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codeName="ThisWorkbook"/>
  <mc:AlternateContent xmlns:mc="http://schemas.openxmlformats.org/markup-compatibility/2006">
    <mc:Choice Requires="x15">
      <x15ac:absPath xmlns:x15ac="http://schemas.microsoft.com/office/spreadsheetml/2010/11/ac" url="D:\Customer\Sinar\ibocs\"/>
    </mc:Choice>
  </mc:AlternateContent>
  <xr:revisionPtr revIDLastSave="0" documentId="13_ncr:1_{3172FE8E-D345-4614-9063-DE5AE105809A}" xr6:coauthVersionLast="47" xr6:coauthVersionMax="47" xr10:uidLastSave="{00000000-0000-0000-0000-000000000000}"/>
  <bookViews>
    <workbookView xWindow="-120" yWindow="-120" windowWidth="29040" windowHeight="15720" activeTab="3" xr2:uid="{9D8318F7-7882-41F3-A227-C41705E63F2F}"/>
  </bookViews>
  <sheets>
    <sheet name="STD SAP" sheetId="1" r:id="rId1"/>
    <sheet name="STD COBB" sheetId="2" r:id="rId2"/>
    <sheet name="Simulasi IBOCS" sheetId="3" r:id="rId3"/>
    <sheet name="Layout IBOCS" sheetId="4" r:id="rId4"/>
  </sheets>
  <definedNames>
    <definedName name="_xlnm._FilterDatabase" localSheetId="0" hidden="1">'STD SAP'!$K$2:$T$3282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" i="4" l="1"/>
  <c r="AV3" i="4"/>
  <c r="AL3" i="4"/>
  <c r="AD3" i="4"/>
  <c r="H3" i="4"/>
  <c r="Z3" i="4"/>
  <c r="Y5" i="4"/>
  <c r="Y4" i="4"/>
  <c r="T3" i="4"/>
  <c r="S3" i="4"/>
  <c r="AV14" i="4"/>
  <c r="Z14" i="4"/>
  <c r="T14" i="4"/>
  <c r="S14" i="4"/>
  <c r="H14" i="4"/>
  <c r="F14" i="4"/>
  <c r="AL14" i="4" s="1"/>
  <c r="D14" i="4"/>
  <c r="AV13" i="4"/>
  <c r="Z13" i="4"/>
  <c r="T13" i="4"/>
  <c r="S13" i="4"/>
  <c r="H13" i="4"/>
  <c r="F13" i="4"/>
  <c r="AL13" i="4" s="1"/>
  <c r="D13" i="4"/>
  <c r="Z9" i="4"/>
  <c r="Z10" i="4"/>
  <c r="Z4" i="4"/>
  <c r="A21" i="4" a="1"/>
  <c r="S12" i="4"/>
  <c r="S10" i="4"/>
  <c r="S9" i="4"/>
  <c r="S8" i="4"/>
  <c r="S7" i="4"/>
  <c r="S6" i="4"/>
  <c r="S5" i="4"/>
  <c r="S4" i="4"/>
  <c r="S11" i="4"/>
  <c r="H8" i="4"/>
  <c r="Z8" i="4" s="1"/>
  <c r="H7" i="4"/>
  <c r="Z7" i="4" s="1"/>
  <c r="H6" i="4"/>
  <c r="Z6" i="4" s="1"/>
  <c r="AV10" i="4"/>
  <c r="T10" i="4"/>
  <c r="N10" i="4"/>
  <c r="AD10" i="4" s="1"/>
  <c r="AH10" i="4" s="1"/>
  <c r="L10" i="4"/>
  <c r="M10" i="4" s="1"/>
  <c r="H10" i="4"/>
  <c r="AV9" i="4"/>
  <c r="T9" i="4"/>
  <c r="N9" i="4"/>
  <c r="AD9" i="4" s="1"/>
  <c r="AH9" i="4" s="1"/>
  <c r="L9" i="4"/>
  <c r="M9" i="4" s="1"/>
  <c r="H9" i="4"/>
  <c r="AV8" i="4"/>
  <c r="T8" i="4"/>
  <c r="AV7" i="4"/>
  <c r="T7" i="4"/>
  <c r="D10" i="4"/>
  <c r="D9" i="4"/>
  <c r="D8" i="4"/>
  <c r="D7" i="4"/>
  <c r="D12" i="4"/>
  <c r="F12" i="4" s="1"/>
  <c r="AL12" i="4" s="1"/>
  <c r="D11" i="4"/>
  <c r="J11" i="4" s="1"/>
  <c r="AV12" i="4"/>
  <c r="AV11" i="4"/>
  <c r="AV6" i="4"/>
  <c r="AV5" i="4"/>
  <c r="AV4" i="4"/>
  <c r="H12" i="4"/>
  <c r="Z12" i="4" s="1"/>
  <c r="H11" i="4"/>
  <c r="Z11" i="4" s="1"/>
  <c r="H5" i="4"/>
  <c r="Z5" i="4" s="1"/>
  <c r="H4" i="4"/>
  <c r="N12" i="4"/>
  <c r="N11" i="4"/>
  <c r="T12" i="4"/>
  <c r="T6" i="4"/>
  <c r="T5" i="4"/>
  <c r="T4" i="4"/>
  <c r="T11" i="4"/>
  <c r="AD12" i="4"/>
  <c r="AD11" i="4"/>
  <c r="D6" i="4"/>
  <c r="F6" i="4" s="1"/>
  <c r="AL6" i="4" s="1"/>
  <c r="D5" i="4"/>
  <c r="F5" i="4"/>
  <c r="AL5" i="4" s="1"/>
  <c r="F11" i="4"/>
  <c r="AL11" i="4" s="1"/>
  <c r="D4" i="4"/>
  <c r="L12" i="4"/>
  <c r="M12" i="4" s="1"/>
  <c r="L11" i="4"/>
  <c r="M11" i="4" s="1"/>
  <c r="G20" i="3"/>
  <c r="D3" i="4"/>
  <c r="J3" i="3"/>
  <c r="J11" i="3"/>
  <c r="J12" i="3"/>
  <c r="J41" i="3"/>
  <c r="J40" i="3"/>
  <c r="J39" i="3"/>
  <c r="J38" i="3"/>
  <c r="J37" i="3"/>
  <c r="J36" i="3"/>
  <c r="J35" i="3"/>
  <c r="J32" i="3"/>
  <c r="J31" i="3"/>
  <c r="J30" i="3"/>
  <c r="J29" i="3"/>
  <c r="J28" i="3"/>
  <c r="J27" i="3"/>
  <c r="J26" i="3"/>
  <c r="J25" i="3"/>
  <c r="J23" i="3"/>
  <c r="J22" i="3"/>
  <c r="J21" i="3"/>
  <c r="J20" i="3"/>
  <c r="J18" i="3"/>
  <c r="J16" i="3"/>
  <c r="J15" i="3"/>
  <c r="J14" i="3"/>
  <c r="J10" i="3"/>
  <c r="J9" i="3"/>
  <c r="J6" i="3"/>
  <c r="AH6" i="2"/>
  <c r="G14" i="3"/>
  <c r="G21" i="3" s="1"/>
  <c r="G4" i="3"/>
  <c r="G24" i="3" s="1"/>
  <c r="E8" i="3"/>
  <c r="E4" i="3"/>
  <c r="D4" i="3" s="1"/>
  <c r="C4" i="3" s="1"/>
  <c r="C11" i="3" s="1"/>
  <c r="D11" i="3" s="1"/>
  <c r="E11" i="3" s="1"/>
  <c r="E18" i="3" s="1"/>
  <c r="F17" i="3"/>
  <c r="G15" i="3"/>
  <c r="F4" i="3"/>
  <c r="E28" i="3"/>
  <c r="D13" i="3"/>
  <c r="C13" i="3" s="1"/>
  <c r="E14" i="3"/>
  <c r="F19" i="3"/>
  <c r="E20" i="3"/>
  <c r="S6" i="2"/>
  <c r="S7" i="2"/>
  <c r="S10" i="2"/>
  <c r="S11" i="2"/>
  <c r="S14" i="2"/>
  <c r="S15" i="2"/>
  <c r="S18" i="2"/>
  <c r="S19" i="2"/>
  <c r="S22" i="2"/>
  <c r="S23" i="2"/>
  <c r="S26" i="2"/>
  <c r="S27" i="2"/>
  <c r="S30" i="2"/>
  <c r="S31" i="2"/>
  <c r="S34" i="2"/>
  <c r="S35" i="2"/>
  <c r="S38" i="2"/>
  <c r="S39" i="2"/>
  <c r="S42" i="2"/>
  <c r="S43" i="2"/>
  <c r="S46" i="2"/>
  <c r="S47" i="2"/>
  <c r="S50" i="2"/>
  <c r="S51" i="2"/>
  <c r="S54" i="2"/>
  <c r="S55" i="2"/>
  <c r="S58" i="2"/>
  <c r="S59" i="2"/>
  <c r="S62" i="2"/>
  <c r="S63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422" i="2"/>
  <c r="S423" i="2"/>
  <c r="S424" i="2"/>
  <c r="S425" i="2"/>
  <c r="S426" i="2"/>
  <c r="S427" i="2"/>
  <c r="S428" i="2"/>
  <c r="S429" i="2"/>
  <c r="S430" i="2"/>
  <c r="S431" i="2"/>
  <c r="S432" i="2"/>
  <c r="S433" i="2"/>
  <c r="S434" i="2"/>
  <c r="S435" i="2"/>
  <c r="S436" i="2"/>
  <c r="S437" i="2"/>
  <c r="S438" i="2"/>
  <c r="S439" i="2"/>
  <c r="S440" i="2"/>
  <c r="S441" i="2"/>
  <c r="S442" i="2"/>
  <c r="S443" i="2"/>
  <c r="S444" i="2"/>
  <c r="S445" i="2"/>
  <c r="S446" i="2"/>
  <c r="S447" i="2"/>
  <c r="S448" i="2"/>
  <c r="S449" i="2"/>
  <c r="S450" i="2"/>
  <c r="S451" i="2"/>
  <c r="S452" i="2"/>
  <c r="S453" i="2"/>
  <c r="S454" i="2"/>
  <c r="S455" i="2"/>
  <c r="S456" i="2"/>
  <c r="S457" i="2"/>
  <c r="S458" i="2"/>
  <c r="S459" i="2"/>
  <c r="S460" i="2"/>
  <c r="S461" i="2"/>
  <c r="S462" i="2"/>
  <c r="S463" i="2"/>
  <c r="S464" i="2"/>
  <c r="S465" i="2"/>
  <c r="S466" i="2"/>
  <c r="S467" i="2"/>
  <c r="S468" i="2"/>
  <c r="S469" i="2"/>
  <c r="S470" i="2"/>
  <c r="S471" i="2"/>
  <c r="S472" i="2"/>
  <c r="S473" i="2"/>
  <c r="S474" i="2"/>
  <c r="S475" i="2"/>
  <c r="S476" i="2"/>
  <c r="S477" i="2"/>
  <c r="S478" i="2"/>
  <c r="S479" i="2"/>
  <c r="S480" i="2"/>
  <c r="S481" i="2"/>
  <c r="S482" i="2"/>
  <c r="S483" i="2"/>
  <c r="S484" i="2"/>
  <c r="S485" i="2"/>
  <c r="S486" i="2"/>
  <c r="S487" i="2"/>
  <c r="S488" i="2"/>
  <c r="S489" i="2"/>
  <c r="S490" i="2"/>
  <c r="S491" i="2"/>
  <c r="S492" i="2"/>
  <c r="S493" i="2"/>
  <c r="S494" i="2"/>
  <c r="S495" i="2"/>
  <c r="S496" i="2"/>
  <c r="S497" i="2"/>
  <c r="S498" i="2"/>
  <c r="S499" i="2"/>
  <c r="S500" i="2"/>
  <c r="S501" i="2"/>
  <c r="S502" i="2"/>
  <c r="S503" i="2"/>
  <c r="S504" i="2"/>
  <c r="S505" i="2"/>
  <c r="S506" i="2"/>
  <c r="S507" i="2"/>
  <c r="S508" i="2"/>
  <c r="S509" i="2"/>
  <c r="S510" i="2"/>
  <c r="S511" i="2"/>
  <c r="S512" i="2"/>
  <c r="S513" i="2"/>
  <c r="S514" i="2"/>
  <c r="S515" i="2"/>
  <c r="S516" i="2"/>
  <c r="S517" i="2"/>
  <c r="S518" i="2"/>
  <c r="S519" i="2"/>
  <c r="S520" i="2"/>
  <c r="S521" i="2"/>
  <c r="S522" i="2"/>
  <c r="S523" i="2"/>
  <c r="S524" i="2"/>
  <c r="S525" i="2"/>
  <c r="S526" i="2"/>
  <c r="S527" i="2"/>
  <c r="S528" i="2"/>
  <c r="S529" i="2"/>
  <c r="S530" i="2"/>
  <c r="S531" i="2"/>
  <c r="S532" i="2"/>
  <c r="S533" i="2"/>
  <c r="S534" i="2"/>
  <c r="S535" i="2"/>
  <c r="S536" i="2"/>
  <c r="S537" i="2"/>
  <c r="S538" i="2"/>
  <c r="S539" i="2"/>
  <c r="S540" i="2"/>
  <c r="S541" i="2"/>
  <c r="S542" i="2"/>
  <c r="S543" i="2"/>
  <c r="S544" i="2"/>
  <c r="S545" i="2"/>
  <c r="S546" i="2"/>
  <c r="S547" i="2"/>
  <c r="S548" i="2"/>
  <c r="S549" i="2"/>
  <c r="S550" i="2"/>
  <c r="S551" i="2"/>
  <c r="S552" i="2"/>
  <c r="S553" i="2"/>
  <c r="S554" i="2"/>
  <c r="S555" i="2"/>
  <c r="S556" i="2"/>
  <c r="S557" i="2"/>
  <c r="S558" i="2"/>
  <c r="S559" i="2"/>
  <c r="S560" i="2"/>
  <c r="S561" i="2"/>
  <c r="S562" i="2"/>
  <c r="S563" i="2"/>
  <c r="S564" i="2"/>
  <c r="S565" i="2"/>
  <c r="S566" i="2"/>
  <c r="S567" i="2"/>
  <c r="S568" i="2"/>
  <c r="S569" i="2"/>
  <c r="S570" i="2"/>
  <c r="S571" i="2"/>
  <c r="S572" i="2"/>
  <c r="S573" i="2"/>
  <c r="S574" i="2"/>
  <c r="S575" i="2"/>
  <c r="S576" i="2"/>
  <c r="S577" i="2"/>
  <c r="S578" i="2"/>
  <c r="S579" i="2"/>
  <c r="S580" i="2"/>
  <c r="S581" i="2"/>
  <c r="S582" i="2"/>
  <c r="S583" i="2"/>
  <c r="S584" i="2"/>
  <c r="S585" i="2"/>
  <c r="S586" i="2"/>
  <c r="S587" i="2"/>
  <c r="S588" i="2"/>
  <c r="S589" i="2"/>
  <c r="S590" i="2"/>
  <c r="S591" i="2"/>
  <c r="S592" i="2"/>
  <c r="S593" i="2"/>
  <c r="S594" i="2"/>
  <c r="S595" i="2"/>
  <c r="S596" i="2"/>
  <c r="S597" i="2"/>
  <c r="S598" i="2"/>
  <c r="S599" i="2"/>
  <c r="S600" i="2"/>
  <c r="S601" i="2"/>
  <c r="S602" i="2"/>
  <c r="S603" i="2"/>
  <c r="S604" i="2"/>
  <c r="S605" i="2"/>
  <c r="S606" i="2"/>
  <c r="S607" i="2"/>
  <c r="S608" i="2"/>
  <c r="S609" i="2"/>
  <c r="S610" i="2"/>
  <c r="S611" i="2"/>
  <c r="S612" i="2"/>
  <c r="S613" i="2"/>
  <c r="S614" i="2"/>
  <c r="S615" i="2"/>
  <c r="S616" i="2"/>
  <c r="S617" i="2"/>
  <c r="S618" i="2"/>
  <c r="S619" i="2"/>
  <c r="S620" i="2"/>
  <c r="S621" i="2"/>
  <c r="S622" i="2"/>
  <c r="S623" i="2"/>
  <c r="S624" i="2"/>
  <c r="S625" i="2"/>
  <c r="S626" i="2"/>
  <c r="S627" i="2"/>
  <c r="S628" i="2"/>
  <c r="S629" i="2"/>
  <c r="S630" i="2"/>
  <c r="S631" i="2"/>
  <c r="S632" i="2"/>
  <c r="S633" i="2"/>
  <c r="S634" i="2"/>
  <c r="S635" i="2"/>
  <c r="S636" i="2"/>
  <c r="S637" i="2"/>
  <c r="S638" i="2"/>
  <c r="S639" i="2"/>
  <c r="S640" i="2"/>
  <c r="S641" i="2"/>
  <c r="S642" i="2"/>
  <c r="S643" i="2"/>
  <c r="S644" i="2"/>
  <c r="S645" i="2"/>
  <c r="S646" i="2"/>
  <c r="S647" i="2"/>
  <c r="S648" i="2"/>
  <c r="S649" i="2"/>
  <c r="S650" i="2"/>
  <c r="S651" i="2"/>
  <c r="S652" i="2"/>
  <c r="S653" i="2"/>
  <c r="S654" i="2"/>
  <c r="S655" i="2"/>
  <c r="S656" i="2"/>
  <c r="S657" i="2"/>
  <c r="S658" i="2"/>
  <c r="S659" i="2"/>
  <c r="S660" i="2"/>
  <c r="S661" i="2"/>
  <c r="S662" i="2"/>
  <c r="S663" i="2"/>
  <c r="S664" i="2"/>
  <c r="S665" i="2"/>
  <c r="S666" i="2"/>
  <c r="S667" i="2"/>
  <c r="S668" i="2"/>
  <c r="S669" i="2"/>
  <c r="S670" i="2"/>
  <c r="S671" i="2"/>
  <c r="S672" i="2"/>
  <c r="S673" i="2"/>
  <c r="S674" i="2"/>
  <c r="S675" i="2"/>
  <c r="S676" i="2"/>
  <c r="S677" i="2"/>
  <c r="S678" i="2"/>
  <c r="S679" i="2"/>
  <c r="S680" i="2"/>
  <c r="S681" i="2"/>
  <c r="S682" i="2"/>
  <c r="S683" i="2"/>
  <c r="S684" i="2"/>
  <c r="S685" i="2"/>
  <c r="S686" i="2"/>
  <c r="S687" i="2"/>
  <c r="S688" i="2"/>
  <c r="S689" i="2"/>
  <c r="S690" i="2"/>
  <c r="S691" i="2"/>
  <c r="S692" i="2"/>
  <c r="S693" i="2"/>
  <c r="S694" i="2"/>
  <c r="S695" i="2"/>
  <c r="S696" i="2"/>
  <c r="S697" i="2"/>
  <c r="S698" i="2"/>
  <c r="S699" i="2"/>
  <c r="S700" i="2"/>
  <c r="S701" i="2"/>
  <c r="S702" i="2"/>
  <c r="S703" i="2"/>
  <c r="S704" i="2"/>
  <c r="S705" i="2"/>
  <c r="S706" i="2"/>
  <c r="S707" i="2"/>
  <c r="S708" i="2"/>
  <c r="S709" i="2"/>
  <c r="S710" i="2"/>
  <c r="S711" i="2"/>
  <c r="S712" i="2"/>
  <c r="S713" i="2"/>
  <c r="S714" i="2"/>
  <c r="S715" i="2"/>
  <c r="S716" i="2"/>
  <c r="S717" i="2"/>
  <c r="S718" i="2"/>
  <c r="S719" i="2"/>
  <c r="S720" i="2"/>
  <c r="S721" i="2"/>
  <c r="S722" i="2"/>
  <c r="S723" i="2"/>
  <c r="S724" i="2"/>
  <c r="S725" i="2"/>
  <c r="S726" i="2"/>
  <c r="S727" i="2"/>
  <c r="S728" i="2"/>
  <c r="S729" i="2"/>
  <c r="S730" i="2"/>
  <c r="S731" i="2"/>
  <c r="S732" i="2"/>
  <c r="S733" i="2"/>
  <c r="S734" i="2"/>
  <c r="S735" i="2"/>
  <c r="S736" i="2"/>
  <c r="S737" i="2"/>
  <c r="S738" i="2"/>
  <c r="S739" i="2"/>
  <c r="S740" i="2"/>
  <c r="S741" i="2"/>
  <c r="S742" i="2"/>
  <c r="S743" i="2"/>
  <c r="S744" i="2"/>
  <c r="S745" i="2"/>
  <c r="S746" i="2"/>
  <c r="S747" i="2"/>
  <c r="S748" i="2"/>
  <c r="S749" i="2"/>
  <c r="S750" i="2"/>
  <c r="S751" i="2"/>
  <c r="S752" i="2"/>
  <c r="S753" i="2"/>
  <c r="S754" i="2"/>
  <c r="S755" i="2"/>
  <c r="S756" i="2"/>
  <c r="S757" i="2"/>
  <c r="S758" i="2"/>
  <c r="S759" i="2"/>
  <c r="S760" i="2"/>
  <c r="S761" i="2"/>
  <c r="S762" i="2"/>
  <c r="S763" i="2"/>
  <c r="S764" i="2"/>
  <c r="S765" i="2"/>
  <c r="S766" i="2"/>
  <c r="S767" i="2"/>
  <c r="S768" i="2"/>
  <c r="S769" i="2"/>
  <c r="S770" i="2"/>
  <c r="S771" i="2"/>
  <c r="S772" i="2"/>
  <c r="S773" i="2"/>
  <c r="S774" i="2"/>
  <c r="S775" i="2"/>
  <c r="S776" i="2"/>
  <c r="S777" i="2"/>
  <c r="S778" i="2"/>
  <c r="S779" i="2"/>
  <c r="S780" i="2"/>
  <c r="S781" i="2"/>
  <c r="S782" i="2"/>
  <c r="S783" i="2"/>
  <c r="S784" i="2"/>
  <c r="S785" i="2"/>
  <c r="S786" i="2"/>
  <c r="S787" i="2"/>
  <c r="S788" i="2"/>
  <c r="S789" i="2"/>
  <c r="S790" i="2"/>
  <c r="S791" i="2"/>
  <c r="S792" i="2"/>
  <c r="S793" i="2"/>
  <c r="S794" i="2"/>
  <c r="S795" i="2"/>
  <c r="S796" i="2"/>
  <c r="S797" i="2"/>
  <c r="S798" i="2"/>
  <c r="S799" i="2"/>
  <c r="S800" i="2"/>
  <c r="S801" i="2"/>
  <c r="S802" i="2"/>
  <c r="S803" i="2"/>
  <c r="S804" i="2"/>
  <c r="S805" i="2"/>
  <c r="S806" i="2"/>
  <c r="S807" i="2"/>
  <c r="S808" i="2"/>
  <c r="S809" i="2"/>
  <c r="S810" i="2"/>
  <c r="S811" i="2"/>
  <c r="S812" i="2"/>
  <c r="S813" i="2"/>
  <c r="S814" i="2"/>
  <c r="S815" i="2"/>
  <c r="S816" i="2"/>
  <c r="S817" i="2"/>
  <c r="S818" i="2"/>
  <c r="S819" i="2"/>
  <c r="S820" i="2"/>
  <c r="S821" i="2"/>
  <c r="S822" i="2"/>
  <c r="S823" i="2"/>
  <c r="S824" i="2"/>
  <c r="S825" i="2"/>
  <c r="S826" i="2"/>
  <c r="S827" i="2"/>
  <c r="S828" i="2"/>
  <c r="S829" i="2"/>
  <c r="S830" i="2"/>
  <c r="S831" i="2"/>
  <c r="S832" i="2"/>
  <c r="S833" i="2"/>
  <c r="S834" i="2"/>
  <c r="S835" i="2"/>
  <c r="S836" i="2"/>
  <c r="S837" i="2"/>
  <c r="S838" i="2"/>
  <c r="S839" i="2"/>
  <c r="S840" i="2"/>
  <c r="S841" i="2"/>
  <c r="S842" i="2"/>
  <c r="S843" i="2"/>
  <c r="S844" i="2"/>
  <c r="S845" i="2"/>
  <c r="S846" i="2"/>
  <c r="S847" i="2"/>
  <c r="S848" i="2"/>
  <c r="S849" i="2"/>
  <c r="S850" i="2"/>
  <c r="S851" i="2"/>
  <c r="S852" i="2"/>
  <c r="S853" i="2"/>
  <c r="S854" i="2"/>
  <c r="S855" i="2"/>
  <c r="S856" i="2"/>
  <c r="S857" i="2"/>
  <c r="S858" i="2"/>
  <c r="S859" i="2"/>
  <c r="S860" i="2"/>
  <c r="S861" i="2"/>
  <c r="S862" i="2"/>
  <c r="S863" i="2"/>
  <c r="S864" i="2"/>
  <c r="S865" i="2"/>
  <c r="S866" i="2"/>
  <c r="S867" i="2"/>
  <c r="S868" i="2"/>
  <c r="S869" i="2"/>
  <c r="S870" i="2"/>
  <c r="S871" i="2"/>
  <c r="S872" i="2"/>
  <c r="S873" i="2"/>
  <c r="S874" i="2"/>
  <c r="S875" i="2"/>
  <c r="S876" i="2"/>
  <c r="S877" i="2"/>
  <c r="S878" i="2"/>
  <c r="S879" i="2"/>
  <c r="S880" i="2"/>
  <c r="S881" i="2"/>
  <c r="S882" i="2"/>
  <c r="S883" i="2"/>
  <c r="S884" i="2"/>
  <c r="S885" i="2"/>
  <c r="S886" i="2"/>
  <c r="S887" i="2"/>
  <c r="S888" i="2"/>
  <c r="S889" i="2"/>
  <c r="S890" i="2"/>
  <c r="S891" i="2"/>
  <c r="S892" i="2"/>
  <c r="S893" i="2"/>
  <c r="S894" i="2"/>
  <c r="S895" i="2"/>
  <c r="S896" i="2"/>
  <c r="S897" i="2"/>
  <c r="S898" i="2"/>
  <c r="S899" i="2"/>
  <c r="S900" i="2"/>
  <c r="S901" i="2"/>
  <c r="S902" i="2"/>
  <c r="S903" i="2"/>
  <c r="S904" i="2"/>
  <c r="S905" i="2"/>
  <c r="S906" i="2"/>
  <c r="S907" i="2"/>
  <c r="S908" i="2"/>
  <c r="S909" i="2"/>
  <c r="S910" i="2"/>
  <c r="S911" i="2"/>
  <c r="S912" i="2"/>
  <c r="S913" i="2"/>
  <c r="S914" i="2"/>
  <c r="S915" i="2"/>
  <c r="S916" i="2"/>
  <c r="S917" i="2"/>
  <c r="S918" i="2"/>
  <c r="S919" i="2"/>
  <c r="S920" i="2"/>
  <c r="S921" i="2"/>
  <c r="S922" i="2"/>
  <c r="S923" i="2"/>
  <c r="S924" i="2"/>
  <c r="S925" i="2"/>
  <c r="S926" i="2"/>
  <c r="S927" i="2"/>
  <c r="S928" i="2"/>
  <c r="S929" i="2"/>
  <c r="S930" i="2"/>
  <c r="S931" i="2"/>
  <c r="S932" i="2"/>
  <c r="S933" i="2"/>
  <c r="S934" i="2"/>
  <c r="S935" i="2"/>
  <c r="S936" i="2"/>
  <c r="S937" i="2"/>
  <c r="S938" i="2"/>
  <c r="S939" i="2"/>
  <c r="S940" i="2"/>
  <c r="S941" i="2"/>
  <c r="S942" i="2"/>
  <c r="S943" i="2"/>
  <c r="S944" i="2"/>
  <c r="S945" i="2"/>
  <c r="S946" i="2"/>
  <c r="S947" i="2"/>
  <c r="S948" i="2"/>
  <c r="S949" i="2"/>
  <c r="S950" i="2"/>
  <c r="S951" i="2"/>
  <c r="S952" i="2"/>
  <c r="S953" i="2"/>
  <c r="S954" i="2"/>
  <c r="S955" i="2"/>
  <c r="S956" i="2"/>
  <c r="S957" i="2"/>
  <c r="S958" i="2"/>
  <c r="S959" i="2"/>
  <c r="S960" i="2"/>
  <c r="S961" i="2"/>
  <c r="S962" i="2"/>
  <c r="S963" i="2"/>
  <c r="S964" i="2"/>
  <c r="S965" i="2"/>
  <c r="S966" i="2"/>
  <c r="S967" i="2"/>
  <c r="S968" i="2"/>
  <c r="S969" i="2"/>
  <c r="S970" i="2"/>
  <c r="S971" i="2"/>
  <c r="S972" i="2"/>
  <c r="S973" i="2"/>
  <c r="S974" i="2"/>
  <c r="S975" i="2"/>
  <c r="S976" i="2"/>
  <c r="S977" i="2"/>
  <c r="S978" i="2"/>
  <c r="S979" i="2"/>
  <c r="S980" i="2"/>
  <c r="S981" i="2"/>
  <c r="S982" i="2"/>
  <c r="S983" i="2"/>
  <c r="S984" i="2"/>
  <c r="S985" i="2"/>
  <c r="S986" i="2"/>
  <c r="S987" i="2"/>
  <c r="S988" i="2"/>
  <c r="S989" i="2"/>
  <c r="S990" i="2"/>
  <c r="S991" i="2"/>
  <c r="S992" i="2"/>
  <c r="S993" i="2"/>
  <c r="S994" i="2"/>
  <c r="S995" i="2"/>
  <c r="S996" i="2"/>
  <c r="S997" i="2"/>
  <c r="S998" i="2"/>
  <c r="S999" i="2"/>
  <c r="S1000" i="2"/>
  <c r="S1001" i="2"/>
  <c r="S1002" i="2"/>
  <c r="S1003" i="2"/>
  <c r="S1004" i="2"/>
  <c r="S1005" i="2"/>
  <c r="S1006" i="2"/>
  <c r="S1007" i="2"/>
  <c r="S1008" i="2"/>
  <c r="S1009" i="2"/>
  <c r="S1010" i="2"/>
  <c r="S1011" i="2"/>
  <c r="S1012" i="2"/>
  <c r="S1013" i="2"/>
  <c r="S1014" i="2"/>
  <c r="S1015" i="2"/>
  <c r="S1016" i="2"/>
  <c r="S1017" i="2"/>
  <c r="S1018" i="2"/>
  <c r="S1019" i="2"/>
  <c r="S1020" i="2"/>
  <c r="S1021" i="2"/>
  <c r="S1022" i="2"/>
  <c r="S1023" i="2"/>
  <c r="S1024" i="2"/>
  <c r="S1025" i="2"/>
  <c r="S1026" i="2"/>
  <c r="S1027" i="2"/>
  <c r="S1028" i="2"/>
  <c r="S1029" i="2"/>
  <c r="S1030" i="2"/>
  <c r="S1031" i="2"/>
  <c r="S1032" i="2"/>
  <c r="S1033" i="2"/>
  <c r="S1034" i="2"/>
  <c r="S1035" i="2"/>
  <c r="S1036" i="2"/>
  <c r="S1037" i="2"/>
  <c r="S1038" i="2"/>
  <c r="S1039" i="2"/>
  <c r="S1040" i="2"/>
  <c r="S1041" i="2"/>
  <c r="S1042" i="2"/>
  <c r="S1043" i="2"/>
  <c r="S1044" i="2"/>
  <c r="S1045" i="2"/>
  <c r="S1046" i="2"/>
  <c r="S1047" i="2"/>
  <c r="S1048" i="2"/>
  <c r="S1049" i="2"/>
  <c r="S1050" i="2"/>
  <c r="S1051" i="2"/>
  <c r="S1052" i="2"/>
  <c r="S1053" i="2"/>
  <c r="S1054" i="2"/>
  <c r="S1055" i="2"/>
  <c r="S1056" i="2"/>
  <c r="S1057" i="2"/>
  <c r="S1058" i="2"/>
  <c r="S1059" i="2"/>
  <c r="S1060" i="2"/>
  <c r="S1061" i="2"/>
  <c r="S1062" i="2"/>
  <c r="S1063" i="2"/>
  <c r="S1064" i="2"/>
  <c r="S1065" i="2"/>
  <c r="S1066" i="2"/>
  <c r="S1067" i="2"/>
  <c r="S1068" i="2"/>
  <c r="S1069" i="2"/>
  <c r="S1070" i="2"/>
  <c r="S1071" i="2"/>
  <c r="S1072" i="2"/>
  <c r="S1073" i="2"/>
  <c r="S1074" i="2"/>
  <c r="S1075" i="2"/>
  <c r="S1076" i="2"/>
  <c r="S1077" i="2"/>
  <c r="S1078" i="2"/>
  <c r="S1079" i="2"/>
  <c r="S1080" i="2"/>
  <c r="S1081" i="2"/>
  <c r="S1082" i="2"/>
  <c r="S1083" i="2"/>
  <c r="S1084" i="2"/>
  <c r="S1085" i="2"/>
  <c r="S1086" i="2"/>
  <c r="S1087" i="2"/>
  <c r="S1088" i="2"/>
  <c r="S1089" i="2"/>
  <c r="S1090" i="2"/>
  <c r="S1091" i="2"/>
  <c r="S1092" i="2"/>
  <c r="S1093" i="2"/>
  <c r="S1094" i="2"/>
  <c r="S1095" i="2"/>
  <c r="S1096" i="2"/>
  <c r="S1097" i="2"/>
  <c r="S1098" i="2"/>
  <c r="S1099" i="2"/>
  <c r="S1100" i="2"/>
  <c r="S1101" i="2"/>
  <c r="S1102" i="2"/>
  <c r="S1103" i="2"/>
  <c r="S1104" i="2"/>
  <c r="S1105" i="2"/>
  <c r="S1106" i="2"/>
  <c r="S1107" i="2"/>
  <c r="S1108" i="2"/>
  <c r="S1109" i="2"/>
  <c r="S1110" i="2"/>
  <c r="S1111" i="2"/>
  <c r="S1112" i="2"/>
  <c r="S1113" i="2"/>
  <c r="S1114" i="2"/>
  <c r="S1115" i="2"/>
  <c r="S1116" i="2"/>
  <c r="S1117" i="2"/>
  <c r="S1118" i="2"/>
  <c r="S1119" i="2"/>
  <c r="S1120" i="2"/>
  <c r="S1121" i="2"/>
  <c r="S1122" i="2"/>
  <c r="S1123" i="2"/>
  <c r="S1124" i="2"/>
  <c r="S1125" i="2"/>
  <c r="S1126" i="2"/>
  <c r="S1127" i="2"/>
  <c r="S1128" i="2"/>
  <c r="S1129" i="2"/>
  <c r="S1130" i="2"/>
  <c r="S1131" i="2"/>
  <c r="S1132" i="2"/>
  <c r="S1133" i="2"/>
  <c r="S1134" i="2"/>
  <c r="S1135" i="2"/>
  <c r="S1136" i="2"/>
  <c r="S1137" i="2"/>
  <c r="S1138" i="2"/>
  <c r="S1139" i="2"/>
  <c r="S1140" i="2"/>
  <c r="S1141" i="2"/>
  <c r="S1142" i="2"/>
  <c r="S1143" i="2"/>
  <c r="S1144" i="2"/>
  <c r="S1145" i="2"/>
  <c r="S1146" i="2"/>
  <c r="S1147" i="2"/>
  <c r="S1148" i="2"/>
  <c r="S1149" i="2"/>
  <c r="S1150" i="2"/>
  <c r="S1151" i="2"/>
  <c r="S1152" i="2"/>
  <c r="S1153" i="2"/>
  <c r="S1154" i="2"/>
  <c r="S1155" i="2"/>
  <c r="S1156" i="2"/>
  <c r="S1157" i="2"/>
  <c r="S1158" i="2"/>
  <c r="S1159" i="2"/>
  <c r="S1160" i="2"/>
  <c r="S1161" i="2"/>
  <c r="S1162" i="2"/>
  <c r="S1163" i="2"/>
  <c r="S1164" i="2"/>
  <c r="S1165" i="2"/>
  <c r="S1166" i="2"/>
  <c r="S1167" i="2"/>
  <c r="S1168" i="2"/>
  <c r="S1169" i="2"/>
  <c r="S1170" i="2"/>
  <c r="S1171" i="2"/>
  <c r="S1172" i="2"/>
  <c r="S1173" i="2"/>
  <c r="S1174" i="2"/>
  <c r="S1175" i="2"/>
  <c r="S1176" i="2"/>
  <c r="S1177" i="2"/>
  <c r="S1178" i="2"/>
  <c r="S1179" i="2"/>
  <c r="S1180" i="2"/>
  <c r="S1181" i="2"/>
  <c r="S1182" i="2"/>
  <c r="S1183" i="2"/>
  <c r="S1184" i="2"/>
  <c r="S1185" i="2"/>
  <c r="S1186" i="2"/>
  <c r="S1187" i="2"/>
  <c r="S1188" i="2"/>
  <c r="S1189" i="2"/>
  <c r="S1190" i="2"/>
  <c r="S1191" i="2"/>
  <c r="S1192" i="2"/>
  <c r="S1193" i="2"/>
  <c r="S1194" i="2"/>
  <c r="S1195" i="2"/>
  <c r="S1196" i="2"/>
  <c r="S1197" i="2"/>
  <c r="S1198" i="2"/>
  <c r="S1199" i="2"/>
  <c r="S1200" i="2"/>
  <c r="S1201" i="2"/>
  <c r="S1202" i="2"/>
  <c r="S1203" i="2"/>
  <c r="S1204" i="2"/>
  <c r="S1205" i="2"/>
  <c r="S1206" i="2"/>
  <c r="S1207" i="2"/>
  <c r="S1208" i="2"/>
  <c r="S1209" i="2"/>
  <c r="S1210" i="2"/>
  <c r="S1211" i="2"/>
  <c r="S1212" i="2"/>
  <c r="S1213" i="2"/>
  <c r="S1214" i="2"/>
  <c r="S1215" i="2"/>
  <c r="S1216" i="2"/>
  <c r="S1217" i="2"/>
  <c r="S1218" i="2"/>
  <c r="S1219" i="2"/>
  <c r="S1220" i="2"/>
  <c r="S1221" i="2"/>
  <c r="S1222" i="2"/>
  <c r="S1223" i="2"/>
  <c r="S1224" i="2"/>
  <c r="S1225" i="2"/>
  <c r="S1226" i="2"/>
  <c r="S1227" i="2"/>
  <c r="S1228" i="2"/>
  <c r="S1229" i="2"/>
  <c r="S1230" i="2"/>
  <c r="S1231" i="2"/>
  <c r="S1232" i="2"/>
  <c r="S1233" i="2"/>
  <c r="S1234" i="2"/>
  <c r="S1235" i="2"/>
  <c r="S1236" i="2"/>
  <c r="S1237" i="2"/>
  <c r="S1238" i="2"/>
  <c r="S1239" i="2"/>
  <c r="S1240" i="2"/>
  <c r="S1241" i="2"/>
  <c r="S1242" i="2"/>
  <c r="S1243" i="2"/>
  <c r="S1244" i="2"/>
  <c r="S1245" i="2"/>
  <c r="S1246" i="2"/>
  <c r="S1247" i="2"/>
  <c r="S1248" i="2"/>
  <c r="S1249" i="2"/>
  <c r="S1250" i="2"/>
  <c r="S1251" i="2"/>
  <c r="S1252" i="2"/>
  <c r="S1253" i="2"/>
  <c r="S1254" i="2"/>
  <c r="S1255" i="2"/>
  <c r="S1256" i="2"/>
  <c r="S1257" i="2"/>
  <c r="S1258" i="2"/>
  <c r="S1259" i="2"/>
  <c r="S1260" i="2"/>
  <c r="S1261" i="2"/>
  <c r="S1262" i="2"/>
  <c r="S1263" i="2"/>
  <c r="S1264" i="2"/>
  <c r="S1265" i="2"/>
  <c r="S1266" i="2"/>
  <c r="S1267" i="2"/>
  <c r="S1268" i="2"/>
  <c r="S1269" i="2"/>
  <c r="S1270" i="2"/>
  <c r="S1271" i="2"/>
  <c r="S1272" i="2"/>
  <c r="S1273" i="2"/>
  <c r="S1274" i="2"/>
  <c r="S1275" i="2"/>
  <c r="S1276" i="2"/>
  <c r="S1277" i="2"/>
  <c r="S1278" i="2"/>
  <c r="S1279" i="2"/>
  <c r="S1280" i="2"/>
  <c r="S1281" i="2"/>
  <c r="S1282" i="2"/>
  <c r="S1283" i="2"/>
  <c r="S1284" i="2"/>
  <c r="S1285" i="2"/>
  <c r="S1286" i="2"/>
  <c r="S1287" i="2"/>
  <c r="S1288" i="2"/>
  <c r="S1289" i="2"/>
  <c r="S1290" i="2"/>
  <c r="S1291" i="2"/>
  <c r="S1292" i="2"/>
  <c r="S1293" i="2"/>
  <c r="S1294" i="2"/>
  <c r="S1295" i="2"/>
  <c r="S1296" i="2"/>
  <c r="S1297" i="2"/>
  <c r="S1298" i="2"/>
  <c r="S1299" i="2"/>
  <c r="S1300" i="2"/>
  <c r="S1301" i="2"/>
  <c r="S1302" i="2"/>
  <c r="S1303" i="2"/>
  <c r="S1304" i="2"/>
  <c r="S1305" i="2"/>
  <c r="S1306" i="2"/>
  <c r="S1307" i="2"/>
  <c r="S1308" i="2"/>
  <c r="S1309" i="2"/>
  <c r="S1310" i="2"/>
  <c r="S1311" i="2"/>
  <c r="S1312" i="2"/>
  <c r="S1313" i="2"/>
  <c r="S1314" i="2"/>
  <c r="S1315" i="2"/>
  <c r="S1316" i="2"/>
  <c r="S1317" i="2"/>
  <c r="S1318" i="2"/>
  <c r="S1319" i="2"/>
  <c r="S1320" i="2"/>
  <c r="S1321" i="2"/>
  <c r="S1322" i="2"/>
  <c r="S1323" i="2"/>
  <c r="S1324" i="2"/>
  <c r="S1325" i="2"/>
  <c r="S1326" i="2"/>
  <c r="S1327" i="2"/>
  <c r="S1328" i="2"/>
  <c r="S1329" i="2"/>
  <c r="S1330" i="2"/>
  <c r="S1331" i="2"/>
  <c r="S1332" i="2"/>
  <c r="S1333" i="2"/>
  <c r="S1334" i="2"/>
  <c r="S1335" i="2"/>
  <c r="S1336" i="2"/>
  <c r="S1337" i="2"/>
  <c r="S1338" i="2"/>
  <c r="S1339" i="2"/>
  <c r="S1340" i="2"/>
  <c r="S1341" i="2"/>
  <c r="S1342" i="2"/>
  <c r="S1343" i="2"/>
  <c r="S1344" i="2"/>
  <c r="S1345" i="2"/>
  <c r="S1346" i="2"/>
  <c r="S1347" i="2"/>
  <c r="S1348" i="2"/>
  <c r="S1349" i="2"/>
  <c r="S1350" i="2"/>
  <c r="S1351" i="2"/>
  <c r="S1352" i="2"/>
  <c r="S1353" i="2"/>
  <c r="S1354" i="2"/>
  <c r="S1355" i="2"/>
  <c r="S1356" i="2"/>
  <c r="S1357" i="2"/>
  <c r="S1358" i="2"/>
  <c r="S1359" i="2"/>
  <c r="S1360" i="2"/>
  <c r="S1361" i="2"/>
  <c r="S1362" i="2"/>
  <c r="S1363" i="2"/>
  <c r="S1364" i="2"/>
  <c r="S1365" i="2"/>
  <c r="S1366" i="2"/>
  <c r="S1367" i="2"/>
  <c r="S1368" i="2"/>
  <c r="S1369" i="2"/>
  <c r="S1370" i="2"/>
  <c r="S1371" i="2"/>
  <c r="S1372" i="2"/>
  <c r="S1373" i="2"/>
  <c r="S1374" i="2"/>
  <c r="S1375" i="2"/>
  <c r="S1376" i="2"/>
  <c r="S1377" i="2"/>
  <c r="S1378" i="2"/>
  <c r="S1379" i="2"/>
  <c r="S1380" i="2"/>
  <c r="S1381" i="2"/>
  <c r="S1382" i="2"/>
  <c r="S1383" i="2"/>
  <c r="S1384" i="2"/>
  <c r="S1385" i="2"/>
  <c r="S1386" i="2"/>
  <c r="S1387" i="2"/>
  <c r="S1388" i="2"/>
  <c r="S1389" i="2"/>
  <c r="S1390" i="2"/>
  <c r="S1391" i="2"/>
  <c r="S1392" i="2"/>
  <c r="S1393" i="2"/>
  <c r="S1394" i="2"/>
  <c r="S1395" i="2"/>
  <c r="S1396" i="2"/>
  <c r="S1397" i="2"/>
  <c r="S1398" i="2"/>
  <c r="S1399" i="2"/>
  <c r="S1400" i="2"/>
  <c r="S1401" i="2"/>
  <c r="S1402" i="2"/>
  <c r="S1403" i="2"/>
  <c r="S1404" i="2"/>
  <c r="S1405" i="2"/>
  <c r="S1406" i="2"/>
  <c r="S1407" i="2"/>
  <c r="S1408" i="2"/>
  <c r="S1409" i="2"/>
  <c r="S1410" i="2"/>
  <c r="S1411" i="2"/>
  <c r="S1412" i="2"/>
  <c r="S1413" i="2"/>
  <c r="S1414" i="2"/>
  <c r="S1415" i="2"/>
  <c r="S1416" i="2"/>
  <c r="S1417" i="2"/>
  <c r="S1418" i="2"/>
  <c r="S1419" i="2"/>
  <c r="S1420" i="2"/>
  <c r="S1421" i="2"/>
  <c r="S1422" i="2"/>
  <c r="S1423" i="2"/>
  <c r="S1424" i="2"/>
  <c r="S1425" i="2"/>
  <c r="S1426" i="2"/>
  <c r="S1427" i="2"/>
  <c r="S1428" i="2"/>
  <c r="S1429" i="2"/>
  <c r="S1430" i="2"/>
  <c r="S1431" i="2"/>
  <c r="S1432" i="2"/>
  <c r="S1433" i="2"/>
  <c r="S1434" i="2"/>
  <c r="S1435" i="2"/>
  <c r="S1436" i="2"/>
  <c r="S1437" i="2"/>
  <c r="S1438" i="2"/>
  <c r="S1439" i="2"/>
  <c r="S1440" i="2"/>
  <c r="S1441" i="2"/>
  <c r="S1442" i="2"/>
  <c r="S1443" i="2"/>
  <c r="S1444" i="2"/>
  <c r="S1445" i="2"/>
  <c r="S1446" i="2"/>
  <c r="S1447" i="2"/>
  <c r="S1448" i="2"/>
  <c r="S1449" i="2"/>
  <c r="S1450" i="2"/>
  <c r="S1451" i="2"/>
  <c r="S1452" i="2"/>
  <c r="S1453" i="2"/>
  <c r="S1454" i="2"/>
  <c r="S1455" i="2"/>
  <c r="S1456" i="2"/>
  <c r="S1457" i="2"/>
  <c r="S1458" i="2"/>
  <c r="S1459" i="2"/>
  <c r="S1460" i="2"/>
  <c r="S1461" i="2"/>
  <c r="S1462" i="2"/>
  <c r="S1463" i="2"/>
  <c r="S1464" i="2"/>
  <c r="S1465" i="2"/>
  <c r="S1466" i="2"/>
  <c r="S1467" i="2"/>
  <c r="S1468" i="2"/>
  <c r="S1469" i="2"/>
  <c r="S1470" i="2"/>
  <c r="S1471" i="2"/>
  <c r="S1472" i="2"/>
  <c r="S1473" i="2"/>
  <c r="S1474" i="2"/>
  <c r="S1475" i="2"/>
  <c r="S1476" i="2"/>
  <c r="S1477" i="2"/>
  <c r="S1478" i="2"/>
  <c r="S1479" i="2"/>
  <c r="S1480" i="2"/>
  <c r="S1481" i="2"/>
  <c r="S1482" i="2"/>
  <c r="S1483" i="2"/>
  <c r="S1484" i="2"/>
  <c r="S1485" i="2"/>
  <c r="S1486" i="2"/>
  <c r="S1487" i="2"/>
  <c r="S1488" i="2"/>
  <c r="S1489" i="2"/>
  <c r="S1490" i="2"/>
  <c r="S1491" i="2"/>
  <c r="S1492" i="2"/>
  <c r="S1493" i="2"/>
  <c r="S1494" i="2"/>
  <c r="S1495" i="2"/>
  <c r="S1496" i="2"/>
  <c r="S1497" i="2"/>
  <c r="S1498" i="2"/>
  <c r="S1499" i="2"/>
  <c r="S1500" i="2"/>
  <c r="S1501" i="2"/>
  <c r="S1502" i="2"/>
  <c r="S1503" i="2"/>
  <c r="S1504" i="2"/>
  <c r="S1505" i="2"/>
  <c r="S1506" i="2"/>
  <c r="S1507" i="2"/>
  <c r="S1508" i="2"/>
  <c r="S1509" i="2"/>
  <c r="S1510" i="2"/>
  <c r="S1511" i="2"/>
  <c r="S1512" i="2"/>
  <c r="S1513" i="2"/>
  <c r="S1514" i="2"/>
  <c r="S1515" i="2"/>
  <c r="S1516" i="2"/>
  <c r="S1517" i="2"/>
  <c r="S1518" i="2"/>
  <c r="S1519" i="2"/>
  <c r="S1520" i="2"/>
  <c r="S1521" i="2"/>
  <c r="S1522" i="2"/>
  <c r="S1523" i="2"/>
  <c r="S1524" i="2"/>
  <c r="S1525" i="2"/>
  <c r="S1526" i="2"/>
  <c r="S1527" i="2"/>
  <c r="S1528" i="2"/>
  <c r="S1529" i="2"/>
  <c r="S1530" i="2"/>
  <c r="S1531" i="2"/>
  <c r="S1532" i="2"/>
  <c r="S1533" i="2"/>
  <c r="S1534" i="2"/>
  <c r="S1535" i="2"/>
  <c r="S1536" i="2"/>
  <c r="S1537" i="2"/>
  <c r="S1538" i="2"/>
  <c r="S1539" i="2"/>
  <c r="S1540" i="2"/>
  <c r="S1541" i="2"/>
  <c r="S1542" i="2"/>
  <c r="S1543" i="2"/>
  <c r="S1544" i="2"/>
  <c r="S1545" i="2"/>
  <c r="S1546" i="2"/>
  <c r="S1547" i="2"/>
  <c r="S1548" i="2"/>
  <c r="S1549" i="2"/>
  <c r="S1550" i="2"/>
  <c r="S1551" i="2"/>
  <c r="S1552" i="2"/>
  <c r="S1553" i="2"/>
  <c r="S1554" i="2"/>
  <c r="S1555" i="2"/>
  <c r="S1556" i="2"/>
  <c r="S1557" i="2"/>
  <c r="S1558" i="2"/>
  <c r="S1559" i="2"/>
  <c r="S1560" i="2"/>
  <c r="S1561" i="2"/>
  <c r="S1562" i="2"/>
  <c r="S1563" i="2"/>
  <c r="S1564" i="2"/>
  <c r="S1565" i="2"/>
  <c r="S1566" i="2"/>
  <c r="S1567" i="2"/>
  <c r="S1568" i="2"/>
  <c r="S1569" i="2"/>
  <c r="S1570" i="2"/>
  <c r="S1571" i="2"/>
  <c r="S1572" i="2"/>
  <c r="S1573" i="2"/>
  <c r="S1574" i="2"/>
  <c r="S1575" i="2"/>
  <c r="S1576" i="2"/>
  <c r="S1577" i="2"/>
  <c r="S1578" i="2"/>
  <c r="S1579" i="2"/>
  <c r="S1580" i="2"/>
  <c r="S1581" i="2"/>
  <c r="S1582" i="2"/>
  <c r="S1583" i="2"/>
  <c r="S1584" i="2"/>
  <c r="S1585" i="2"/>
  <c r="S1586" i="2"/>
  <c r="S1587" i="2"/>
  <c r="S1588" i="2"/>
  <c r="S1589" i="2"/>
  <c r="S1590" i="2"/>
  <c r="S1591" i="2"/>
  <c r="S1592" i="2"/>
  <c r="S1593" i="2"/>
  <c r="S1594" i="2"/>
  <c r="S1595" i="2"/>
  <c r="S1596" i="2"/>
  <c r="S1597" i="2"/>
  <c r="S1598" i="2"/>
  <c r="S1599" i="2"/>
  <c r="S1600" i="2"/>
  <c r="S1601" i="2"/>
  <c r="S1602" i="2"/>
  <c r="S1603" i="2"/>
  <c r="S1604" i="2"/>
  <c r="S1605" i="2"/>
  <c r="S1606" i="2"/>
  <c r="S1607" i="2"/>
  <c r="S1608" i="2"/>
  <c r="S1609" i="2"/>
  <c r="S1610" i="2"/>
  <c r="S1611" i="2"/>
  <c r="S1612" i="2"/>
  <c r="S1613" i="2"/>
  <c r="S1614" i="2"/>
  <c r="S1615" i="2"/>
  <c r="S1616" i="2"/>
  <c r="S1617" i="2"/>
  <c r="S1618" i="2"/>
  <c r="S1619" i="2"/>
  <c r="S1620" i="2"/>
  <c r="S1621" i="2"/>
  <c r="S1622" i="2"/>
  <c r="S1623" i="2"/>
  <c r="S1624" i="2"/>
  <c r="S1625" i="2"/>
  <c r="S1626" i="2"/>
  <c r="S1627" i="2"/>
  <c r="S1628" i="2"/>
  <c r="S1629" i="2"/>
  <c r="S1630" i="2"/>
  <c r="S1631" i="2"/>
  <c r="S1632" i="2"/>
  <c r="S1633" i="2"/>
  <c r="S1634" i="2"/>
  <c r="S1635" i="2"/>
  <c r="S1636" i="2"/>
  <c r="S1637" i="2"/>
  <c r="S1638" i="2"/>
  <c r="S1639" i="2"/>
  <c r="S1640" i="2"/>
  <c r="S1641" i="2"/>
  <c r="S1642" i="2"/>
  <c r="S1643" i="2"/>
  <c r="S1644" i="2"/>
  <c r="S1645" i="2"/>
  <c r="S1646" i="2"/>
  <c r="S1647" i="2"/>
  <c r="S1648" i="2"/>
  <c r="S1649" i="2"/>
  <c r="S1650" i="2"/>
  <c r="S1651" i="2"/>
  <c r="S1652" i="2"/>
  <c r="S1653" i="2"/>
  <c r="S1654" i="2"/>
  <c r="S1655" i="2"/>
  <c r="S1656" i="2"/>
  <c r="S1657" i="2"/>
  <c r="S1658" i="2"/>
  <c r="S1659" i="2"/>
  <c r="S1660" i="2"/>
  <c r="S1661" i="2"/>
  <c r="S1662" i="2"/>
  <c r="S1663" i="2"/>
  <c r="S1664" i="2"/>
  <c r="S1665" i="2"/>
  <c r="S1666" i="2"/>
  <c r="S1667" i="2"/>
  <c r="S1668" i="2"/>
  <c r="S1669" i="2"/>
  <c r="S1670" i="2"/>
  <c r="S1671" i="2"/>
  <c r="S1672" i="2"/>
  <c r="S1673" i="2"/>
  <c r="S1674" i="2"/>
  <c r="S1675" i="2"/>
  <c r="S1676" i="2"/>
  <c r="S1677" i="2"/>
  <c r="S1678" i="2"/>
  <c r="S1679" i="2"/>
  <c r="S1680" i="2"/>
  <c r="S1681" i="2"/>
  <c r="S1682" i="2"/>
  <c r="S1683" i="2"/>
  <c r="S1684" i="2"/>
  <c r="S1685" i="2"/>
  <c r="S1686" i="2"/>
  <c r="S1687" i="2"/>
  <c r="S1688" i="2"/>
  <c r="S1689" i="2"/>
  <c r="S1690" i="2"/>
  <c r="S1691" i="2"/>
  <c r="S1692" i="2"/>
  <c r="S1693" i="2"/>
  <c r="S1694" i="2"/>
  <c r="S1695" i="2"/>
  <c r="S1696" i="2"/>
  <c r="S1697" i="2"/>
  <c r="S1698" i="2"/>
  <c r="S1699" i="2"/>
  <c r="S1700" i="2"/>
  <c r="S1701" i="2"/>
  <c r="S1702" i="2"/>
  <c r="S1703" i="2"/>
  <c r="S1704" i="2"/>
  <c r="S1705" i="2"/>
  <c r="S1706" i="2"/>
  <c r="S1707" i="2"/>
  <c r="S1708" i="2"/>
  <c r="S1709" i="2"/>
  <c r="S1710" i="2"/>
  <c r="S1711" i="2"/>
  <c r="S1712" i="2"/>
  <c r="S1713" i="2"/>
  <c r="S1714" i="2"/>
  <c r="S1715" i="2"/>
  <c r="S1716" i="2"/>
  <c r="S1717" i="2"/>
  <c r="S1718" i="2"/>
  <c r="S1719" i="2"/>
  <c r="S1720" i="2"/>
  <c r="S1721" i="2"/>
  <c r="S1722" i="2"/>
  <c r="S1723" i="2"/>
  <c r="S1724" i="2"/>
  <c r="S1725" i="2"/>
  <c r="S1726" i="2"/>
  <c r="S1727" i="2"/>
  <c r="S1728" i="2"/>
  <c r="S1729" i="2"/>
  <c r="S1730" i="2"/>
  <c r="S1731" i="2"/>
  <c r="S1732" i="2"/>
  <c r="S1733" i="2"/>
  <c r="S1734" i="2"/>
  <c r="S1735" i="2"/>
  <c r="S1736" i="2"/>
  <c r="S1737" i="2"/>
  <c r="S1738" i="2"/>
  <c r="S1739" i="2"/>
  <c r="S1740" i="2"/>
  <c r="S1741" i="2"/>
  <c r="S1742" i="2"/>
  <c r="S1743" i="2"/>
  <c r="S1744" i="2"/>
  <c r="S1745" i="2"/>
  <c r="S1746" i="2"/>
  <c r="S1747" i="2"/>
  <c r="S1748" i="2"/>
  <c r="S1749" i="2"/>
  <c r="S1750" i="2"/>
  <c r="S1751" i="2"/>
  <c r="S1752" i="2"/>
  <c r="S1753" i="2"/>
  <c r="S1754" i="2"/>
  <c r="S1755" i="2"/>
  <c r="S1756" i="2"/>
  <c r="S1757" i="2"/>
  <c r="S1758" i="2"/>
  <c r="S1759" i="2"/>
  <c r="S1760" i="2"/>
  <c r="S1761" i="2"/>
  <c r="S1762" i="2"/>
  <c r="S1763" i="2"/>
  <c r="S1764" i="2"/>
  <c r="S1765" i="2"/>
  <c r="S1766" i="2"/>
  <c r="S1767" i="2"/>
  <c r="S1768" i="2"/>
  <c r="S1769" i="2"/>
  <c r="S1770" i="2"/>
  <c r="S1771" i="2"/>
  <c r="S1772" i="2"/>
  <c r="S1773" i="2"/>
  <c r="S1774" i="2"/>
  <c r="S1775" i="2"/>
  <c r="S1776" i="2"/>
  <c r="S1777" i="2"/>
  <c r="S1778" i="2"/>
  <c r="S1779" i="2"/>
  <c r="S1780" i="2"/>
  <c r="S1781" i="2"/>
  <c r="S1782" i="2"/>
  <c r="S1783" i="2"/>
  <c r="S1784" i="2"/>
  <c r="S1785" i="2"/>
  <c r="S1786" i="2"/>
  <c r="S1787" i="2"/>
  <c r="S1788" i="2"/>
  <c r="S1789" i="2"/>
  <c r="S1790" i="2"/>
  <c r="S1791" i="2"/>
  <c r="S1792" i="2"/>
  <c r="S1793" i="2"/>
  <c r="S1794" i="2"/>
  <c r="S1795" i="2"/>
  <c r="S1796" i="2"/>
  <c r="S1797" i="2"/>
  <c r="S1798" i="2"/>
  <c r="S1799" i="2"/>
  <c r="S1800" i="2"/>
  <c r="S1801" i="2"/>
  <c r="S1802" i="2"/>
  <c r="S1803" i="2"/>
  <c r="S1804" i="2"/>
  <c r="S1805" i="2"/>
  <c r="S1806" i="2"/>
  <c r="S1807" i="2"/>
  <c r="S1808" i="2"/>
  <c r="S1809" i="2"/>
  <c r="S1810" i="2"/>
  <c r="S1811" i="2"/>
  <c r="S1812" i="2"/>
  <c r="S1813" i="2"/>
  <c r="S1814" i="2"/>
  <c r="S1815" i="2"/>
  <c r="S1816" i="2"/>
  <c r="S1817" i="2"/>
  <c r="S1818" i="2"/>
  <c r="S1819" i="2"/>
  <c r="S1820" i="2"/>
  <c r="S1821" i="2"/>
  <c r="S1822" i="2"/>
  <c r="S1823" i="2"/>
  <c r="S1824" i="2"/>
  <c r="S1825" i="2"/>
  <c r="S1826" i="2"/>
  <c r="S1827" i="2"/>
  <c r="S1828" i="2"/>
  <c r="S1829" i="2"/>
  <c r="S1830" i="2"/>
  <c r="S1831" i="2"/>
  <c r="S1832" i="2"/>
  <c r="S1833" i="2"/>
  <c r="S1834" i="2"/>
  <c r="S1835" i="2"/>
  <c r="S1836" i="2"/>
  <c r="S1837" i="2"/>
  <c r="S1838" i="2"/>
  <c r="S1839" i="2"/>
  <c r="S1840" i="2"/>
  <c r="S1841" i="2"/>
  <c r="S1842" i="2"/>
  <c r="S1843" i="2"/>
  <c r="S1844" i="2"/>
  <c r="S1845" i="2"/>
  <c r="S1846" i="2"/>
  <c r="S1847" i="2"/>
  <c r="S1848" i="2"/>
  <c r="S1849" i="2"/>
  <c r="S1850" i="2"/>
  <c r="S1851" i="2"/>
  <c r="S1852" i="2"/>
  <c r="S1853" i="2"/>
  <c r="S1854" i="2"/>
  <c r="S1855" i="2"/>
  <c r="S1856" i="2"/>
  <c r="S1857" i="2"/>
  <c r="S1858" i="2"/>
  <c r="S1859" i="2"/>
  <c r="S1860" i="2"/>
  <c r="S1861" i="2"/>
  <c r="S1862" i="2"/>
  <c r="S1863" i="2"/>
  <c r="S1864" i="2"/>
  <c r="S1865" i="2"/>
  <c r="S1866" i="2"/>
  <c r="S1867" i="2"/>
  <c r="S1868" i="2"/>
  <c r="S1869" i="2"/>
  <c r="S1870" i="2"/>
  <c r="S1871" i="2"/>
  <c r="S1872" i="2"/>
  <c r="S1873" i="2"/>
  <c r="S1874" i="2"/>
  <c r="S1875" i="2"/>
  <c r="S1876" i="2"/>
  <c r="S1877" i="2"/>
  <c r="S1878" i="2"/>
  <c r="S1879" i="2"/>
  <c r="S1880" i="2"/>
  <c r="S1881" i="2"/>
  <c r="S1882" i="2"/>
  <c r="S1883" i="2"/>
  <c r="S1884" i="2"/>
  <c r="S1885" i="2"/>
  <c r="S1886" i="2"/>
  <c r="S1887" i="2"/>
  <c r="S1888" i="2"/>
  <c r="S1889" i="2"/>
  <c r="S1890" i="2"/>
  <c r="S1891" i="2"/>
  <c r="S1892" i="2"/>
  <c r="S1893" i="2"/>
  <c r="S1894" i="2"/>
  <c r="S1895" i="2"/>
  <c r="S1896" i="2"/>
  <c r="S1897" i="2"/>
  <c r="S1898" i="2"/>
  <c r="S1899" i="2"/>
  <c r="S1900" i="2"/>
  <c r="S1901" i="2"/>
  <c r="S1902" i="2"/>
  <c r="S1903" i="2"/>
  <c r="S1904" i="2"/>
  <c r="S1905" i="2"/>
  <c r="S1906" i="2"/>
  <c r="S1907" i="2"/>
  <c r="S1908" i="2"/>
  <c r="S1909" i="2"/>
  <c r="S1910" i="2"/>
  <c r="S1911" i="2"/>
  <c r="S1912" i="2"/>
  <c r="S1913" i="2"/>
  <c r="S1914" i="2"/>
  <c r="S1915" i="2"/>
  <c r="S1916" i="2"/>
  <c r="S1917" i="2"/>
  <c r="S1918" i="2"/>
  <c r="S1919" i="2"/>
  <c r="S1920" i="2"/>
  <c r="S1921" i="2"/>
  <c r="S1922" i="2"/>
  <c r="S1923" i="2"/>
  <c r="S1924" i="2"/>
  <c r="S1925" i="2"/>
  <c r="S1926" i="2"/>
  <c r="S1927" i="2"/>
  <c r="S1928" i="2"/>
  <c r="S1929" i="2"/>
  <c r="S1930" i="2"/>
  <c r="S1931" i="2"/>
  <c r="S1932" i="2"/>
  <c r="S1933" i="2"/>
  <c r="S1934" i="2"/>
  <c r="S1935" i="2"/>
  <c r="S1936" i="2"/>
  <c r="S1937" i="2"/>
  <c r="S1938" i="2"/>
  <c r="S1939" i="2"/>
  <c r="S1940" i="2"/>
  <c r="S1941" i="2"/>
  <c r="S1942" i="2"/>
  <c r="S1943" i="2"/>
  <c r="S1944" i="2"/>
  <c r="S1945" i="2"/>
  <c r="S1946" i="2"/>
  <c r="S1947" i="2"/>
  <c r="S1948" i="2"/>
  <c r="S1949" i="2"/>
  <c r="S1950" i="2"/>
  <c r="S1951" i="2"/>
  <c r="S1952" i="2"/>
  <c r="S1953" i="2"/>
  <c r="S1954" i="2"/>
  <c r="S1955" i="2"/>
  <c r="S1956" i="2"/>
  <c r="S1957" i="2"/>
  <c r="S1958" i="2"/>
  <c r="S1959" i="2"/>
  <c r="S1960" i="2"/>
  <c r="S1961" i="2"/>
  <c r="S1962" i="2"/>
  <c r="S1963" i="2"/>
  <c r="S1964" i="2"/>
  <c r="S1965" i="2"/>
  <c r="S1966" i="2"/>
  <c r="S1967" i="2"/>
  <c r="S1968" i="2"/>
  <c r="S1969" i="2"/>
  <c r="S1970" i="2"/>
  <c r="S1971" i="2"/>
  <c r="S1972" i="2"/>
  <c r="S1973" i="2"/>
  <c r="S1974" i="2"/>
  <c r="S1975" i="2"/>
  <c r="S1976" i="2"/>
  <c r="S1977" i="2"/>
  <c r="S1978" i="2"/>
  <c r="S1979" i="2"/>
  <c r="S1980" i="2"/>
  <c r="S1981" i="2"/>
  <c r="S1982" i="2"/>
  <c r="S1983" i="2"/>
  <c r="S1984" i="2"/>
  <c r="S1985" i="2"/>
  <c r="S1986" i="2"/>
  <c r="S1987" i="2"/>
  <c r="S1988" i="2"/>
  <c r="S1989" i="2"/>
  <c r="S1990" i="2"/>
  <c r="S1991" i="2"/>
  <c r="S1992" i="2"/>
  <c r="S1993" i="2"/>
  <c r="S1994" i="2"/>
  <c r="S1995" i="2"/>
  <c r="S1996" i="2"/>
  <c r="S1997" i="2"/>
  <c r="S1998" i="2"/>
  <c r="S1999" i="2"/>
  <c r="S2000" i="2"/>
  <c r="S2001" i="2"/>
  <c r="S2002" i="2"/>
  <c r="S2003" i="2"/>
  <c r="S2004" i="2"/>
  <c r="S2005" i="2"/>
  <c r="S2006" i="2"/>
  <c r="S2007" i="2"/>
  <c r="S2008" i="2"/>
  <c r="S2009" i="2"/>
  <c r="S2010" i="2"/>
  <c r="S2011" i="2"/>
  <c r="S2012" i="2"/>
  <c r="S2013" i="2"/>
  <c r="S2014" i="2"/>
  <c r="S2015" i="2"/>
  <c r="S2016" i="2"/>
  <c r="S2017" i="2"/>
  <c r="S2018" i="2"/>
  <c r="S2019" i="2"/>
  <c r="S2020" i="2"/>
  <c r="S2021" i="2"/>
  <c r="S2022" i="2"/>
  <c r="S2023" i="2"/>
  <c r="S2024" i="2"/>
  <c r="S2025" i="2"/>
  <c r="S2026" i="2"/>
  <c r="S2027" i="2"/>
  <c r="S2028" i="2"/>
  <c r="S2029" i="2"/>
  <c r="S2030" i="2"/>
  <c r="S2031" i="2"/>
  <c r="S2032" i="2"/>
  <c r="S2033" i="2"/>
  <c r="S2034" i="2"/>
  <c r="S2035" i="2"/>
  <c r="S2036" i="2"/>
  <c r="S2037" i="2"/>
  <c r="S2038" i="2"/>
  <c r="S2039" i="2"/>
  <c r="S2040" i="2"/>
  <c r="S2041" i="2"/>
  <c r="S2042" i="2"/>
  <c r="S2043" i="2"/>
  <c r="S2044" i="2"/>
  <c r="S2045" i="2"/>
  <c r="S2046" i="2"/>
  <c r="S2047" i="2"/>
  <c r="S2048" i="2"/>
  <c r="S2049" i="2"/>
  <c r="S2050" i="2"/>
  <c r="S2051" i="2"/>
  <c r="S2052" i="2"/>
  <c r="S2053" i="2"/>
  <c r="S2054" i="2"/>
  <c r="S2055" i="2"/>
  <c r="S2056" i="2"/>
  <c r="S2057" i="2"/>
  <c r="S2058" i="2"/>
  <c r="S2059" i="2"/>
  <c r="S2060" i="2"/>
  <c r="S2061" i="2"/>
  <c r="S2062" i="2"/>
  <c r="S2063" i="2"/>
  <c r="S2064" i="2"/>
  <c r="S2065" i="2"/>
  <c r="S2066" i="2"/>
  <c r="S2067" i="2"/>
  <c r="S2068" i="2"/>
  <c r="S2069" i="2"/>
  <c r="S2070" i="2"/>
  <c r="S2071" i="2"/>
  <c r="S2072" i="2"/>
  <c r="S2073" i="2"/>
  <c r="S2074" i="2"/>
  <c r="S2075" i="2"/>
  <c r="S2076" i="2"/>
  <c r="S2077" i="2"/>
  <c r="S2078" i="2"/>
  <c r="S2079" i="2"/>
  <c r="S2080" i="2"/>
  <c r="S2081" i="2"/>
  <c r="S2082" i="2"/>
  <c r="S2083" i="2"/>
  <c r="S2084" i="2"/>
  <c r="S2085" i="2"/>
  <c r="S2086" i="2"/>
  <c r="S2087" i="2"/>
  <c r="S2088" i="2"/>
  <c r="S2089" i="2"/>
  <c r="S2090" i="2"/>
  <c r="S2091" i="2"/>
  <c r="S2092" i="2"/>
  <c r="S2093" i="2"/>
  <c r="S2094" i="2"/>
  <c r="S2095" i="2"/>
  <c r="S2096" i="2"/>
  <c r="S2097" i="2"/>
  <c r="S2098" i="2"/>
  <c r="S2099" i="2"/>
  <c r="S2100" i="2"/>
  <c r="S2101" i="2"/>
  <c r="S2102" i="2"/>
  <c r="S2103" i="2"/>
  <c r="S2104" i="2"/>
  <c r="S2105" i="2"/>
  <c r="S2106" i="2"/>
  <c r="S2107" i="2"/>
  <c r="S2108" i="2"/>
  <c r="S2109" i="2"/>
  <c r="S2110" i="2"/>
  <c r="S2111" i="2"/>
  <c r="S2112" i="2"/>
  <c r="S2113" i="2"/>
  <c r="S2114" i="2"/>
  <c r="S2115" i="2"/>
  <c r="S2116" i="2"/>
  <c r="S2117" i="2"/>
  <c r="S2118" i="2"/>
  <c r="S2119" i="2"/>
  <c r="S2120" i="2"/>
  <c r="S2121" i="2"/>
  <c r="S2122" i="2"/>
  <c r="S2123" i="2"/>
  <c r="S2124" i="2"/>
  <c r="S2125" i="2"/>
  <c r="S2126" i="2"/>
  <c r="S2127" i="2"/>
  <c r="S2128" i="2"/>
  <c r="S2129" i="2"/>
  <c r="S2130" i="2"/>
  <c r="S2131" i="2"/>
  <c r="S2132" i="2"/>
  <c r="S2133" i="2"/>
  <c r="S2134" i="2"/>
  <c r="S2135" i="2"/>
  <c r="S2136" i="2"/>
  <c r="S2137" i="2"/>
  <c r="S2138" i="2"/>
  <c r="S2139" i="2"/>
  <c r="S2140" i="2"/>
  <c r="S2141" i="2"/>
  <c r="S2142" i="2"/>
  <c r="S2143" i="2"/>
  <c r="S2144" i="2"/>
  <c r="S2145" i="2"/>
  <c r="S2146" i="2"/>
  <c r="S2147" i="2"/>
  <c r="S2148" i="2"/>
  <c r="S2149" i="2"/>
  <c r="S2150" i="2"/>
  <c r="S2151" i="2"/>
  <c r="S2152" i="2"/>
  <c r="S2153" i="2"/>
  <c r="S2154" i="2"/>
  <c r="S2155" i="2"/>
  <c r="S2156" i="2"/>
  <c r="S2157" i="2"/>
  <c r="S2158" i="2"/>
  <c r="S2159" i="2"/>
  <c r="S2160" i="2"/>
  <c r="S2161" i="2"/>
  <c r="S2162" i="2"/>
  <c r="S2163" i="2"/>
  <c r="S2164" i="2"/>
  <c r="S2165" i="2"/>
  <c r="S2166" i="2"/>
  <c r="S2167" i="2"/>
  <c r="S2168" i="2"/>
  <c r="S2169" i="2"/>
  <c r="S2170" i="2"/>
  <c r="S2171" i="2"/>
  <c r="S2172" i="2"/>
  <c r="S2173" i="2"/>
  <c r="S2174" i="2"/>
  <c r="S2175" i="2"/>
  <c r="S2176" i="2"/>
  <c r="S2177" i="2"/>
  <c r="S2178" i="2"/>
  <c r="S2179" i="2"/>
  <c r="S2180" i="2"/>
  <c r="S2181" i="2"/>
  <c r="S2182" i="2"/>
  <c r="S2183" i="2"/>
  <c r="S2184" i="2"/>
  <c r="S2185" i="2"/>
  <c r="S2186" i="2"/>
  <c r="S2187" i="2"/>
  <c r="S2188" i="2"/>
  <c r="S2189" i="2"/>
  <c r="S2190" i="2"/>
  <c r="S2191" i="2"/>
  <c r="S2192" i="2"/>
  <c r="S2193" i="2"/>
  <c r="S2194" i="2"/>
  <c r="S2195" i="2"/>
  <c r="S2196" i="2"/>
  <c r="S2197" i="2"/>
  <c r="S2198" i="2"/>
  <c r="S2199" i="2"/>
  <c r="S2200" i="2"/>
  <c r="S2201" i="2"/>
  <c r="S2202" i="2"/>
  <c r="S2203" i="2"/>
  <c r="S2204" i="2"/>
  <c r="S2205" i="2"/>
  <c r="S2206" i="2"/>
  <c r="S2207" i="2"/>
  <c r="S2208" i="2"/>
  <c r="S2209" i="2"/>
  <c r="S2210" i="2"/>
  <c r="S2211" i="2"/>
  <c r="S2212" i="2"/>
  <c r="S2213" i="2"/>
  <c r="S2214" i="2"/>
  <c r="S2215" i="2"/>
  <c r="S2216" i="2"/>
  <c r="S2217" i="2"/>
  <c r="S2218" i="2"/>
  <c r="S2219" i="2"/>
  <c r="S2220" i="2"/>
  <c r="S2221" i="2"/>
  <c r="S2222" i="2"/>
  <c r="S2223" i="2"/>
  <c r="S2224" i="2"/>
  <c r="S2225" i="2"/>
  <c r="S2226" i="2"/>
  <c r="S2227" i="2"/>
  <c r="S2228" i="2"/>
  <c r="S2229" i="2"/>
  <c r="S2230" i="2"/>
  <c r="S2231" i="2"/>
  <c r="S2232" i="2"/>
  <c r="S2233" i="2"/>
  <c r="S2234" i="2"/>
  <c r="S2235" i="2"/>
  <c r="S2236" i="2"/>
  <c r="S2237" i="2"/>
  <c r="S2238" i="2"/>
  <c r="S2239" i="2"/>
  <c r="S2240" i="2"/>
  <c r="S2241" i="2"/>
  <c r="S2242" i="2"/>
  <c r="S2243" i="2"/>
  <c r="S2244" i="2"/>
  <c r="S2245" i="2"/>
  <c r="S2246" i="2"/>
  <c r="S2247" i="2"/>
  <c r="S2248" i="2"/>
  <c r="S2249" i="2"/>
  <c r="S2250" i="2"/>
  <c r="S2251" i="2"/>
  <c r="S2252" i="2"/>
  <c r="S2253" i="2"/>
  <c r="S2254" i="2"/>
  <c r="S2255" i="2"/>
  <c r="S2256" i="2"/>
  <c r="S2257" i="2"/>
  <c r="S2258" i="2"/>
  <c r="S2259" i="2"/>
  <c r="S2260" i="2"/>
  <c r="S2261" i="2"/>
  <c r="S2262" i="2"/>
  <c r="S2263" i="2"/>
  <c r="S2264" i="2"/>
  <c r="S2265" i="2"/>
  <c r="S2266" i="2"/>
  <c r="S2267" i="2"/>
  <c r="S2268" i="2"/>
  <c r="S2269" i="2"/>
  <c r="S2270" i="2"/>
  <c r="S2271" i="2"/>
  <c r="S2272" i="2"/>
  <c r="S2273" i="2"/>
  <c r="S2274" i="2"/>
  <c r="S2275" i="2"/>
  <c r="S2276" i="2"/>
  <c r="S2277" i="2"/>
  <c r="S2278" i="2"/>
  <c r="S2279" i="2"/>
  <c r="S2280" i="2"/>
  <c r="S2281" i="2"/>
  <c r="S2282" i="2"/>
  <c r="S2283" i="2"/>
  <c r="S2284" i="2"/>
  <c r="S2285" i="2"/>
  <c r="S2286" i="2"/>
  <c r="S2287" i="2"/>
  <c r="S2288" i="2"/>
  <c r="S2289" i="2"/>
  <c r="S2290" i="2"/>
  <c r="S2291" i="2"/>
  <c r="S2292" i="2"/>
  <c r="S2293" i="2"/>
  <c r="S2294" i="2"/>
  <c r="S2295" i="2"/>
  <c r="S2296" i="2"/>
  <c r="S2297" i="2"/>
  <c r="S2298" i="2"/>
  <c r="S2299" i="2"/>
  <c r="S2300" i="2"/>
  <c r="S2301" i="2"/>
  <c r="S2302" i="2"/>
  <c r="S2303" i="2"/>
  <c r="S2304" i="2"/>
  <c r="S2305" i="2"/>
  <c r="S2306" i="2"/>
  <c r="S2307" i="2"/>
  <c r="S2308" i="2"/>
  <c r="S2309" i="2"/>
  <c r="S2310" i="2"/>
  <c r="S2311" i="2"/>
  <c r="S2312" i="2"/>
  <c r="S2313" i="2"/>
  <c r="S2314" i="2"/>
  <c r="S2315" i="2"/>
  <c r="S2316" i="2"/>
  <c r="S2317" i="2"/>
  <c r="S2318" i="2"/>
  <c r="S2319" i="2"/>
  <c r="S2320" i="2"/>
  <c r="S2321" i="2"/>
  <c r="S2322" i="2"/>
  <c r="S2323" i="2"/>
  <c r="S2324" i="2"/>
  <c r="S2325" i="2"/>
  <c r="S2326" i="2"/>
  <c r="S2327" i="2"/>
  <c r="S2328" i="2"/>
  <c r="S2329" i="2"/>
  <c r="S2330" i="2"/>
  <c r="S2331" i="2"/>
  <c r="S2332" i="2"/>
  <c r="S2333" i="2"/>
  <c r="S2334" i="2"/>
  <c r="S2335" i="2"/>
  <c r="S2336" i="2"/>
  <c r="S2337" i="2"/>
  <c r="S2338" i="2"/>
  <c r="S2339" i="2"/>
  <c r="S2340" i="2"/>
  <c r="S2341" i="2"/>
  <c r="S2342" i="2"/>
  <c r="S2343" i="2"/>
  <c r="S2344" i="2"/>
  <c r="S2345" i="2"/>
  <c r="S2346" i="2"/>
  <c r="S2347" i="2"/>
  <c r="S2348" i="2"/>
  <c r="S2349" i="2"/>
  <c r="S2350" i="2"/>
  <c r="S2351" i="2"/>
  <c r="S2352" i="2"/>
  <c r="S2353" i="2"/>
  <c r="S2354" i="2"/>
  <c r="S2355" i="2"/>
  <c r="S2356" i="2"/>
  <c r="S2357" i="2"/>
  <c r="S2358" i="2"/>
  <c r="S2359" i="2"/>
  <c r="S2360" i="2"/>
  <c r="S2361" i="2"/>
  <c r="S2362" i="2"/>
  <c r="S2363" i="2"/>
  <c r="S2364" i="2"/>
  <c r="S2365" i="2"/>
  <c r="S2366" i="2"/>
  <c r="S2367" i="2"/>
  <c r="S2368" i="2"/>
  <c r="S2369" i="2"/>
  <c r="S2370" i="2"/>
  <c r="S2371" i="2"/>
  <c r="S2372" i="2"/>
  <c r="S2373" i="2"/>
  <c r="S2374" i="2"/>
  <c r="S2375" i="2"/>
  <c r="S2376" i="2"/>
  <c r="S2377" i="2"/>
  <c r="S2378" i="2"/>
  <c r="S2379" i="2"/>
  <c r="S2380" i="2"/>
  <c r="S2381" i="2"/>
  <c r="S2382" i="2"/>
  <c r="S2383" i="2"/>
  <c r="S2384" i="2"/>
  <c r="S2385" i="2"/>
  <c r="S2386" i="2"/>
  <c r="S2387" i="2"/>
  <c r="S2388" i="2"/>
  <c r="S2389" i="2"/>
  <c r="S2390" i="2"/>
  <c r="S2391" i="2"/>
  <c r="S2392" i="2"/>
  <c r="S2393" i="2"/>
  <c r="S2394" i="2"/>
  <c r="S2395" i="2"/>
  <c r="S2396" i="2"/>
  <c r="S2397" i="2"/>
  <c r="S2398" i="2"/>
  <c r="S2399" i="2"/>
  <c r="S2400" i="2"/>
  <c r="S2401" i="2"/>
  <c r="S2402" i="2"/>
  <c r="S2403" i="2"/>
  <c r="S2404" i="2"/>
  <c r="S2405" i="2"/>
  <c r="S2406" i="2"/>
  <c r="S2407" i="2"/>
  <c r="S2408" i="2"/>
  <c r="S2409" i="2"/>
  <c r="S2410" i="2"/>
  <c r="S2411" i="2"/>
  <c r="S2412" i="2"/>
  <c r="S2413" i="2"/>
  <c r="S2414" i="2"/>
  <c r="S2415" i="2"/>
  <c r="S2416" i="2"/>
  <c r="S2417" i="2"/>
  <c r="S2418" i="2"/>
  <c r="S2419" i="2"/>
  <c r="S2420" i="2"/>
  <c r="S2421" i="2"/>
  <c r="S2422" i="2"/>
  <c r="S2423" i="2"/>
  <c r="S2424" i="2"/>
  <c r="S2425" i="2"/>
  <c r="S2426" i="2"/>
  <c r="S2427" i="2"/>
  <c r="S2428" i="2"/>
  <c r="S2429" i="2"/>
  <c r="S2430" i="2"/>
  <c r="S2431" i="2"/>
  <c r="S2432" i="2"/>
  <c r="S2433" i="2"/>
  <c r="S2434" i="2"/>
  <c r="S2435" i="2"/>
  <c r="S2436" i="2"/>
  <c r="S2437" i="2"/>
  <c r="S2438" i="2"/>
  <c r="S2439" i="2"/>
  <c r="S2440" i="2"/>
  <c r="S2441" i="2"/>
  <c r="S2442" i="2"/>
  <c r="S2443" i="2"/>
  <c r="S2444" i="2"/>
  <c r="S2445" i="2"/>
  <c r="S2446" i="2"/>
  <c r="S2447" i="2"/>
  <c r="S2448" i="2"/>
  <c r="S2449" i="2"/>
  <c r="S2450" i="2"/>
  <c r="S2451" i="2"/>
  <c r="S2452" i="2"/>
  <c r="S2453" i="2"/>
  <c r="S2454" i="2"/>
  <c r="S2455" i="2"/>
  <c r="S2456" i="2"/>
  <c r="S2457" i="2"/>
  <c r="S2458" i="2"/>
  <c r="S2459" i="2"/>
  <c r="S2460" i="2"/>
  <c r="S2461" i="2"/>
  <c r="S2462" i="2"/>
  <c r="S2463" i="2"/>
  <c r="S2464" i="2"/>
  <c r="S2465" i="2"/>
  <c r="S2466" i="2"/>
  <c r="S2467" i="2"/>
  <c r="S2468" i="2"/>
  <c r="S2469" i="2"/>
  <c r="S2470" i="2"/>
  <c r="S2471" i="2"/>
  <c r="S2472" i="2"/>
  <c r="S2473" i="2"/>
  <c r="S2474" i="2"/>
  <c r="S2475" i="2"/>
  <c r="S2476" i="2"/>
  <c r="S2477" i="2"/>
  <c r="S2478" i="2"/>
  <c r="S2479" i="2"/>
  <c r="S2480" i="2"/>
  <c r="S2481" i="2"/>
  <c r="S2482" i="2"/>
  <c r="S2483" i="2"/>
  <c r="S2484" i="2"/>
  <c r="S2485" i="2"/>
  <c r="S2486" i="2"/>
  <c r="S2487" i="2"/>
  <c r="S2488" i="2"/>
  <c r="S2489" i="2"/>
  <c r="S2490" i="2"/>
  <c r="S2491" i="2"/>
  <c r="S2492" i="2"/>
  <c r="S2493" i="2"/>
  <c r="S2494" i="2"/>
  <c r="S2495" i="2"/>
  <c r="S2496" i="2"/>
  <c r="S2497" i="2"/>
  <c r="S2498" i="2"/>
  <c r="S2499" i="2"/>
  <c r="S2500" i="2"/>
  <c r="S2501" i="2"/>
  <c r="S2502" i="2"/>
  <c r="S2503" i="2"/>
  <c r="S2504" i="2"/>
  <c r="S2505" i="2"/>
  <c r="S2506" i="2"/>
  <c r="S2507" i="2"/>
  <c r="S2508" i="2"/>
  <c r="S2509" i="2"/>
  <c r="S2510" i="2"/>
  <c r="S2511" i="2"/>
  <c r="S2512" i="2"/>
  <c r="S2513" i="2"/>
  <c r="S2514" i="2"/>
  <c r="S2515" i="2"/>
  <c r="S2516" i="2"/>
  <c r="S2517" i="2"/>
  <c r="S2518" i="2"/>
  <c r="S2519" i="2"/>
  <c r="S2520" i="2"/>
  <c r="S2521" i="2"/>
  <c r="S2522" i="2"/>
  <c r="S2523" i="2"/>
  <c r="S2524" i="2"/>
  <c r="S2525" i="2"/>
  <c r="S2526" i="2"/>
  <c r="S2527" i="2"/>
  <c r="S2528" i="2"/>
  <c r="S2529" i="2"/>
  <c r="S2530" i="2"/>
  <c r="S2531" i="2"/>
  <c r="S2532" i="2"/>
  <c r="S2533" i="2"/>
  <c r="S2534" i="2"/>
  <c r="S2535" i="2"/>
  <c r="S2536" i="2"/>
  <c r="S2537" i="2"/>
  <c r="S2538" i="2"/>
  <c r="S2539" i="2"/>
  <c r="S2540" i="2"/>
  <c r="S2541" i="2"/>
  <c r="S2542" i="2"/>
  <c r="S2543" i="2"/>
  <c r="S2544" i="2"/>
  <c r="S2545" i="2"/>
  <c r="S2546" i="2"/>
  <c r="S2547" i="2"/>
  <c r="S2548" i="2"/>
  <c r="S2549" i="2"/>
  <c r="S2550" i="2"/>
  <c r="S2551" i="2"/>
  <c r="S2552" i="2"/>
  <c r="S2553" i="2"/>
  <c r="S2554" i="2"/>
  <c r="S2555" i="2"/>
  <c r="S2556" i="2"/>
  <c r="S2557" i="2"/>
  <c r="S2558" i="2"/>
  <c r="S2559" i="2"/>
  <c r="S2560" i="2"/>
  <c r="S2561" i="2"/>
  <c r="S2562" i="2"/>
  <c r="S2563" i="2"/>
  <c r="S2564" i="2"/>
  <c r="S2565" i="2"/>
  <c r="S2566" i="2"/>
  <c r="S2567" i="2"/>
  <c r="S2568" i="2"/>
  <c r="S2569" i="2"/>
  <c r="S2570" i="2"/>
  <c r="S2571" i="2"/>
  <c r="S2572" i="2"/>
  <c r="S2573" i="2"/>
  <c r="S2574" i="2"/>
  <c r="S2575" i="2"/>
  <c r="S2576" i="2"/>
  <c r="S2577" i="2"/>
  <c r="S2578" i="2"/>
  <c r="S2579" i="2"/>
  <c r="S2580" i="2"/>
  <c r="S2581" i="2"/>
  <c r="S2582" i="2"/>
  <c r="S2583" i="2"/>
  <c r="S2584" i="2"/>
  <c r="S2585" i="2"/>
  <c r="S2586" i="2"/>
  <c r="S2587" i="2"/>
  <c r="S2588" i="2"/>
  <c r="S2589" i="2"/>
  <c r="S2590" i="2"/>
  <c r="S2591" i="2"/>
  <c r="S2592" i="2"/>
  <c r="S2593" i="2"/>
  <c r="S2594" i="2"/>
  <c r="S2595" i="2"/>
  <c r="S2596" i="2"/>
  <c r="S2597" i="2"/>
  <c r="S2598" i="2"/>
  <c r="S2599" i="2"/>
  <c r="S2600" i="2"/>
  <c r="S2601" i="2"/>
  <c r="S2602" i="2"/>
  <c r="S2603" i="2"/>
  <c r="S2604" i="2"/>
  <c r="S2605" i="2"/>
  <c r="S2606" i="2"/>
  <c r="S2607" i="2"/>
  <c r="S2608" i="2"/>
  <c r="S2609" i="2"/>
  <c r="S2610" i="2"/>
  <c r="S2611" i="2"/>
  <c r="S2612" i="2"/>
  <c r="S2613" i="2"/>
  <c r="S2614" i="2"/>
  <c r="S2615" i="2"/>
  <c r="S2616" i="2"/>
  <c r="S2617" i="2"/>
  <c r="S2618" i="2"/>
  <c r="S2619" i="2"/>
  <c r="S2620" i="2"/>
  <c r="S2621" i="2"/>
  <c r="S2622" i="2"/>
  <c r="S2623" i="2"/>
  <c r="S2624" i="2"/>
  <c r="S2625" i="2"/>
  <c r="S2626" i="2"/>
  <c r="S2627" i="2"/>
  <c r="S2628" i="2"/>
  <c r="S2629" i="2"/>
  <c r="S2630" i="2"/>
  <c r="S2631" i="2"/>
  <c r="S2632" i="2"/>
  <c r="S2633" i="2"/>
  <c r="S2634" i="2"/>
  <c r="S2635" i="2"/>
  <c r="S2636" i="2"/>
  <c r="S2637" i="2"/>
  <c r="S2638" i="2"/>
  <c r="S2639" i="2"/>
  <c r="S2640" i="2"/>
  <c r="S2641" i="2"/>
  <c r="S2642" i="2"/>
  <c r="S2643" i="2"/>
  <c r="S2644" i="2"/>
  <c r="S2645" i="2"/>
  <c r="S2646" i="2"/>
  <c r="S2647" i="2"/>
  <c r="S2648" i="2"/>
  <c r="S2649" i="2"/>
  <c r="S2650" i="2"/>
  <c r="S2651" i="2"/>
  <c r="S2652" i="2"/>
  <c r="S2653" i="2"/>
  <c r="S2654" i="2"/>
  <c r="S2655" i="2"/>
  <c r="S2656" i="2"/>
  <c r="S2657" i="2"/>
  <c r="S2658" i="2"/>
  <c r="S2659" i="2"/>
  <c r="S2660" i="2"/>
  <c r="S2661" i="2"/>
  <c r="S2662" i="2"/>
  <c r="S2663" i="2"/>
  <c r="S2664" i="2"/>
  <c r="S2665" i="2"/>
  <c r="S2666" i="2"/>
  <c r="S2667" i="2"/>
  <c r="S2668" i="2"/>
  <c r="S2669" i="2"/>
  <c r="S2670" i="2"/>
  <c r="S2671" i="2"/>
  <c r="S2672" i="2"/>
  <c r="S2673" i="2"/>
  <c r="S2674" i="2"/>
  <c r="S2675" i="2"/>
  <c r="S2676" i="2"/>
  <c r="S2677" i="2"/>
  <c r="S2678" i="2"/>
  <c r="S2679" i="2"/>
  <c r="S2680" i="2"/>
  <c r="S2681" i="2"/>
  <c r="S2682" i="2"/>
  <c r="S2683" i="2"/>
  <c r="S2684" i="2"/>
  <c r="S2685" i="2"/>
  <c r="S2686" i="2"/>
  <c r="S2687" i="2"/>
  <c r="S2688" i="2"/>
  <c r="S2689" i="2"/>
  <c r="S2690" i="2"/>
  <c r="S2691" i="2"/>
  <c r="S2692" i="2"/>
  <c r="S2693" i="2"/>
  <c r="S2694" i="2"/>
  <c r="S2695" i="2"/>
  <c r="S2696" i="2"/>
  <c r="S2697" i="2"/>
  <c r="S2698" i="2"/>
  <c r="S2699" i="2"/>
  <c r="S2700" i="2"/>
  <c r="S2701" i="2"/>
  <c r="S2702" i="2"/>
  <c r="S2703" i="2"/>
  <c r="S2704" i="2"/>
  <c r="S2705" i="2"/>
  <c r="S2706" i="2"/>
  <c r="S2707" i="2"/>
  <c r="S2708" i="2"/>
  <c r="S2709" i="2"/>
  <c r="S2710" i="2"/>
  <c r="S2711" i="2"/>
  <c r="S2712" i="2"/>
  <c r="S2713" i="2"/>
  <c r="S2714" i="2"/>
  <c r="S2715" i="2"/>
  <c r="S2716" i="2"/>
  <c r="S2717" i="2"/>
  <c r="S2718" i="2"/>
  <c r="S2719" i="2"/>
  <c r="S2720" i="2"/>
  <c r="S2721" i="2"/>
  <c r="S2722" i="2"/>
  <c r="S2723" i="2"/>
  <c r="S2724" i="2"/>
  <c r="S2725" i="2"/>
  <c r="S2726" i="2"/>
  <c r="S2727" i="2"/>
  <c r="S2728" i="2"/>
  <c r="S2729" i="2"/>
  <c r="S2730" i="2"/>
  <c r="S2731" i="2"/>
  <c r="S2732" i="2"/>
  <c r="S2733" i="2"/>
  <c r="S2734" i="2"/>
  <c r="S2735" i="2"/>
  <c r="S2736" i="2"/>
  <c r="S2737" i="2"/>
  <c r="S2738" i="2"/>
  <c r="S2739" i="2"/>
  <c r="S2740" i="2"/>
  <c r="S2741" i="2"/>
  <c r="S2742" i="2"/>
  <c r="S2743" i="2"/>
  <c r="S2744" i="2"/>
  <c r="S2745" i="2"/>
  <c r="S2746" i="2"/>
  <c r="S2747" i="2"/>
  <c r="S2748" i="2"/>
  <c r="S2749" i="2"/>
  <c r="S2750" i="2"/>
  <c r="S2751" i="2"/>
  <c r="S2752" i="2"/>
  <c r="S2753" i="2"/>
  <c r="S2754" i="2"/>
  <c r="S2755" i="2"/>
  <c r="S2756" i="2"/>
  <c r="S2757" i="2"/>
  <c r="S2758" i="2"/>
  <c r="S2759" i="2"/>
  <c r="S2760" i="2"/>
  <c r="S2761" i="2"/>
  <c r="S2762" i="2"/>
  <c r="S2763" i="2"/>
  <c r="S2764" i="2"/>
  <c r="S2765" i="2"/>
  <c r="S2766" i="2"/>
  <c r="S2767" i="2"/>
  <c r="S2768" i="2"/>
  <c r="S2769" i="2"/>
  <c r="S2770" i="2"/>
  <c r="S2771" i="2"/>
  <c r="S2772" i="2"/>
  <c r="S2773" i="2"/>
  <c r="S2774" i="2"/>
  <c r="S2775" i="2"/>
  <c r="S2776" i="2"/>
  <c r="S2777" i="2"/>
  <c r="S2778" i="2"/>
  <c r="S2779" i="2"/>
  <c r="S2780" i="2"/>
  <c r="S2781" i="2"/>
  <c r="S2782" i="2"/>
  <c r="S2783" i="2"/>
  <c r="S2784" i="2"/>
  <c r="S2785" i="2"/>
  <c r="S2786" i="2"/>
  <c r="S2787" i="2"/>
  <c r="S2788" i="2"/>
  <c r="S2789" i="2"/>
  <c r="S2790" i="2"/>
  <c r="S2791" i="2"/>
  <c r="S2792" i="2"/>
  <c r="S2793" i="2"/>
  <c r="S2794" i="2"/>
  <c r="S2795" i="2"/>
  <c r="S2796" i="2"/>
  <c r="S2797" i="2"/>
  <c r="S2798" i="2"/>
  <c r="S2799" i="2"/>
  <c r="S2800" i="2"/>
  <c r="S2801" i="2"/>
  <c r="S2802" i="2"/>
  <c r="S2803" i="2"/>
  <c r="S2804" i="2"/>
  <c r="S2805" i="2"/>
  <c r="S2806" i="2"/>
  <c r="S2807" i="2"/>
  <c r="S2808" i="2"/>
  <c r="S2809" i="2"/>
  <c r="S2810" i="2"/>
  <c r="S2811" i="2"/>
  <c r="S2812" i="2"/>
  <c r="S2813" i="2"/>
  <c r="S2814" i="2"/>
  <c r="S2815" i="2"/>
  <c r="S2816" i="2"/>
  <c r="S2817" i="2"/>
  <c r="S2818" i="2"/>
  <c r="S2819" i="2"/>
  <c r="S2820" i="2"/>
  <c r="S2821" i="2"/>
  <c r="S2822" i="2"/>
  <c r="S2823" i="2"/>
  <c r="S2824" i="2"/>
  <c r="S2825" i="2"/>
  <c r="S2826" i="2"/>
  <c r="S2827" i="2"/>
  <c r="S2828" i="2"/>
  <c r="S2829" i="2"/>
  <c r="S2830" i="2"/>
  <c r="S2831" i="2"/>
  <c r="S2832" i="2"/>
  <c r="S2833" i="2"/>
  <c r="S2834" i="2"/>
  <c r="S2835" i="2"/>
  <c r="S2836" i="2"/>
  <c r="S2837" i="2"/>
  <c r="S2838" i="2"/>
  <c r="S2839" i="2"/>
  <c r="S2840" i="2"/>
  <c r="S2841" i="2"/>
  <c r="S2842" i="2"/>
  <c r="S2843" i="2"/>
  <c r="S2844" i="2"/>
  <c r="S2845" i="2"/>
  <c r="S2846" i="2"/>
  <c r="S2847" i="2"/>
  <c r="S2848" i="2"/>
  <c r="S2849" i="2"/>
  <c r="S2850" i="2"/>
  <c r="S2851" i="2"/>
  <c r="S2852" i="2"/>
  <c r="S2853" i="2"/>
  <c r="S2854" i="2"/>
  <c r="S2855" i="2"/>
  <c r="S2856" i="2"/>
  <c r="S2857" i="2"/>
  <c r="S2858" i="2"/>
  <c r="S2859" i="2"/>
  <c r="S2860" i="2"/>
  <c r="S2861" i="2"/>
  <c r="S2862" i="2"/>
  <c r="S2863" i="2"/>
  <c r="S2864" i="2"/>
  <c r="S2865" i="2"/>
  <c r="S2866" i="2"/>
  <c r="S2867" i="2"/>
  <c r="S2868" i="2"/>
  <c r="S2869" i="2"/>
  <c r="S2870" i="2"/>
  <c r="S2871" i="2"/>
  <c r="S2872" i="2"/>
  <c r="S2873" i="2"/>
  <c r="S2874" i="2"/>
  <c r="S2875" i="2"/>
  <c r="S2876" i="2"/>
  <c r="S2877" i="2"/>
  <c r="S2878" i="2"/>
  <c r="S2879" i="2"/>
  <c r="S2880" i="2"/>
  <c r="S2881" i="2"/>
  <c r="S2882" i="2"/>
  <c r="S2883" i="2"/>
  <c r="S2884" i="2"/>
  <c r="S2885" i="2"/>
  <c r="S2886" i="2"/>
  <c r="S2887" i="2"/>
  <c r="S2888" i="2"/>
  <c r="S2889" i="2"/>
  <c r="S2890" i="2"/>
  <c r="S2891" i="2"/>
  <c r="S2892" i="2"/>
  <c r="S2893" i="2"/>
  <c r="S2894" i="2"/>
  <c r="S2895" i="2"/>
  <c r="S2896" i="2"/>
  <c r="S2897" i="2"/>
  <c r="S2898" i="2"/>
  <c r="S2899" i="2"/>
  <c r="S2900" i="2"/>
  <c r="S2901" i="2"/>
  <c r="S2902" i="2"/>
  <c r="S2903" i="2"/>
  <c r="S2904" i="2"/>
  <c r="S2905" i="2"/>
  <c r="S2906" i="2"/>
  <c r="S2907" i="2"/>
  <c r="S2908" i="2"/>
  <c r="S2909" i="2"/>
  <c r="S2910" i="2"/>
  <c r="S2911" i="2"/>
  <c r="S2912" i="2"/>
  <c r="S2913" i="2"/>
  <c r="S2914" i="2"/>
  <c r="S2915" i="2"/>
  <c r="S2916" i="2"/>
  <c r="S2917" i="2"/>
  <c r="S2918" i="2"/>
  <c r="S2919" i="2"/>
  <c r="S2920" i="2"/>
  <c r="S2921" i="2"/>
  <c r="S2922" i="2"/>
  <c r="S2923" i="2"/>
  <c r="S2924" i="2"/>
  <c r="S2925" i="2"/>
  <c r="S2926" i="2"/>
  <c r="S2927" i="2"/>
  <c r="S2928" i="2"/>
  <c r="S2929" i="2"/>
  <c r="S2930" i="2"/>
  <c r="S2931" i="2"/>
  <c r="S2932" i="2"/>
  <c r="S2933" i="2"/>
  <c r="S2934" i="2"/>
  <c r="S2935" i="2"/>
  <c r="S2936" i="2"/>
  <c r="S2937" i="2"/>
  <c r="S2938" i="2"/>
  <c r="S2939" i="2"/>
  <c r="S2940" i="2"/>
  <c r="S2941" i="2"/>
  <c r="S2942" i="2"/>
  <c r="S2943" i="2"/>
  <c r="S2944" i="2"/>
  <c r="S2945" i="2"/>
  <c r="S2946" i="2"/>
  <c r="S2947" i="2"/>
  <c r="S2948" i="2"/>
  <c r="S2949" i="2"/>
  <c r="S2950" i="2"/>
  <c r="S2951" i="2"/>
  <c r="S2952" i="2"/>
  <c r="S2953" i="2"/>
  <c r="S2954" i="2"/>
  <c r="S2955" i="2"/>
  <c r="S2956" i="2"/>
  <c r="S2957" i="2"/>
  <c r="S2958" i="2"/>
  <c r="S2959" i="2"/>
  <c r="S2960" i="2"/>
  <c r="S2961" i="2"/>
  <c r="S2962" i="2"/>
  <c r="S2963" i="2"/>
  <c r="S2964" i="2"/>
  <c r="S2965" i="2"/>
  <c r="S2966" i="2"/>
  <c r="S2967" i="2"/>
  <c r="S2968" i="2"/>
  <c r="S2969" i="2"/>
  <c r="S2970" i="2"/>
  <c r="S2971" i="2"/>
  <c r="S2972" i="2"/>
  <c r="S2973" i="2"/>
  <c r="S2974" i="2"/>
  <c r="S2975" i="2"/>
  <c r="S2976" i="2"/>
  <c r="S2977" i="2"/>
  <c r="S2978" i="2"/>
  <c r="S2979" i="2"/>
  <c r="S2980" i="2"/>
  <c r="S2981" i="2"/>
  <c r="S2982" i="2"/>
  <c r="S2983" i="2"/>
  <c r="S2984" i="2"/>
  <c r="S2985" i="2"/>
  <c r="S2986" i="2"/>
  <c r="S2987" i="2"/>
  <c r="S2988" i="2"/>
  <c r="S2989" i="2"/>
  <c r="S2990" i="2"/>
  <c r="S2991" i="2"/>
  <c r="S2992" i="2"/>
  <c r="S2993" i="2"/>
  <c r="S2994" i="2"/>
  <c r="S2995" i="2"/>
  <c r="S2996" i="2"/>
  <c r="S2997" i="2"/>
  <c r="S2998" i="2"/>
  <c r="S2999" i="2"/>
  <c r="S3000" i="2"/>
  <c r="S3001" i="2"/>
  <c r="S3002" i="2"/>
  <c r="S3003" i="2"/>
  <c r="S3004" i="2"/>
  <c r="S3005" i="2"/>
  <c r="S3006" i="2"/>
  <c r="S3007" i="2"/>
  <c r="S3008" i="2"/>
  <c r="S3009" i="2"/>
  <c r="S3010" i="2"/>
  <c r="S3011" i="2"/>
  <c r="S3012" i="2"/>
  <c r="S3013" i="2"/>
  <c r="S3014" i="2"/>
  <c r="S3015" i="2"/>
  <c r="S3016" i="2"/>
  <c r="S3017" i="2"/>
  <c r="S3018" i="2"/>
  <c r="S3019" i="2"/>
  <c r="S3020" i="2"/>
  <c r="S3021" i="2"/>
  <c r="S3022" i="2"/>
  <c r="S3023" i="2"/>
  <c r="S3024" i="2"/>
  <c r="S3025" i="2"/>
  <c r="S3026" i="2"/>
  <c r="S3027" i="2"/>
  <c r="S3028" i="2"/>
  <c r="S3029" i="2"/>
  <c r="S3030" i="2"/>
  <c r="S3031" i="2"/>
  <c r="S3032" i="2"/>
  <c r="S3033" i="2"/>
  <c r="S3034" i="2"/>
  <c r="S3035" i="2"/>
  <c r="S3036" i="2"/>
  <c r="S3037" i="2"/>
  <c r="S3038" i="2"/>
  <c r="S3039" i="2"/>
  <c r="S3040" i="2"/>
  <c r="S3041" i="2"/>
  <c r="S3042" i="2"/>
  <c r="S3043" i="2"/>
  <c r="S3044" i="2"/>
  <c r="S3045" i="2"/>
  <c r="S3046" i="2"/>
  <c r="S3047" i="2"/>
  <c r="S3048" i="2"/>
  <c r="S3049" i="2"/>
  <c r="S3050" i="2"/>
  <c r="S3051" i="2"/>
  <c r="S3052" i="2"/>
  <c r="S3053" i="2"/>
  <c r="S3054" i="2"/>
  <c r="S3055" i="2"/>
  <c r="S3056" i="2"/>
  <c r="S3057" i="2"/>
  <c r="S3058" i="2"/>
  <c r="S3059" i="2"/>
  <c r="S3060" i="2"/>
  <c r="S3061" i="2"/>
  <c r="S3062" i="2"/>
  <c r="S3063" i="2"/>
  <c r="S3064" i="2"/>
  <c r="S3065" i="2"/>
  <c r="S3066" i="2"/>
  <c r="S3067" i="2"/>
  <c r="S3068" i="2"/>
  <c r="S3069" i="2"/>
  <c r="S3070" i="2"/>
  <c r="S3071" i="2"/>
  <c r="S3072" i="2"/>
  <c r="S3073" i="2"/>
  <c r="S3074" i="2"/>
  <c r="S3075" i="2"/>
  <c r="S3076" i="2"/>
  <c r="S3077" i="2"/>
  <c r="S3078" i="2"/>
  <c r="S3079" i="2"/>
  <c r="S3080" i="2"/>
  <c r="S3081" i="2"/>
  <c r="S3082" i="2"/>
  <c r="S3083" i="2"/>
  <c r="S3084" i="2"/>
  <c r="S3085" i="2"/>
  <c r="S3086" i="2"/>
  <c r="S3087" i="2"/>
  <c r="S3088" i="2"/>
  <c r="S3089" i="2"/>
  <c r="S3090" i="2"/>
  <c r="S3091" i="2"/>
  <c r="S3092" i="2"/>
  <c r="S3093" i="2"/>
  <c r="S3094" i="2"/>
  <c r="S3095" i="2"/>
  <c r="S3096" i="2"/>
  <c r="S3097" i="2"/>
  <c r="S3098" i="2"/>
  <c r="S3099" i="2"/>
  <c r="S3100" i="2"/>
  <c r="S3101" i="2"/>
  <c r="S3102" i="2"/>
  <c r="S3103" i="2"/>
  <c r="S3104" i="2"/>
  <c r="S3105" i="2"/>
  <c r="S3106" i="2"/>
  <c r="S3107" i="2"/>
  <c r="S3108" i="2"/>
  <c r="S3109" i="2"/>
  <c r="S3110" i="2"/>
  <c r="S3111" i="2"/>
  <c r="S3112" i="2"/>
  <c r="S3113" i="2"/>
  <c r="S3114" i="2"/>
  <c r="S3115" i="2"/>
  <c r="S3116" i="2"/>
  <c r="S3117" i="2"/>
  <c r="S3118" i="2"/>
  <c r="S3119" i="2"/>
  <c r="S3120" i="2"/>
  <c r="S3121" i="2"/>
  <c r="S3122" i="2"/>
  <c r="S3123" i="2"/>
  <c r="S3124" i="2"/>
  <c r="S3125" i="2"/>
  <c r="S3126" i="2"/>
  <c r="S3127" i="2"/>
  <c r="S3128" i="2"/>
  <c r="S3129" i="2"/>
  <c r="S3130" i="2"/>
  <c r="S3131" i="2"/>
  <c r="S3132" i="2"/>
  <c r="S3133" i="2"/>
  <c r="S3134" i="2"/>
  <c r="S3135" i="2"/>
  <c r="S3136" i="2"/>
  <c r="S3137" i="2"/>
  <c r="S3138" i="2"/>
  <c r="S3139" i="2"/>
  <c r="S3140" i="2"/>
  <c r="S3141" i="2"/>
  <c r="S3142" i="2"/>
  <c r="S3143" i="2"/>
  <c r="S3144" i="2"/>
  <c r="S3145" i="2"/>
  <c r="S3146" i="2"/>
  <c r="S3147" i="2"/>
  <c r="S3148" i="2"/>
  <c r="S3149" i="2"/>
  <c r="S3150" i="2"/>
  <c r="S3151" i="2"/>
  <c r="S3152" i="2"/>
  <c r="S3153" i="2"/>
  <c r="S3154" i="2"/>
  <c r="S3155" i="2"/>
  <c r="S3156" i="2"/>
  <c r="S3157" i="2"/>
  <c r="S3158" i="2"/>
  <c r="S3159" i="2"/>
  <c r="S3160" i="2"/>
  <c r="S3161" i="2"/>
  <c r="S3162" i="2"/>
  <c r="S3163" i="2"/>
  <c r="S3164" i="2"/>
  <c r="S3165" i="2"/>
  <c r="S3166" i="2"/>
  <c r="S3167" i="2"/>
  <c r="S3168" i="2"/>
  <c r="S3169" i="2"/>
  <c r="S3170" i="2"/>
  <c r="S3171" i="2"/>
  <c r="S3172" i="2"/>
  <c r="S3173" i="2"/>
  <c r="S3174" i="2"/>
  <c r="S3175" i="2"/>
  <c r="S3176" i="2"/>
  <c r="S3177" i="2"/>
  <c r="S3178" i="2"/>
  <c r="S3179" i="2"/>
  <c r="S3180" i="2"/>
  <c r="S3181" i="2"/>
  <c r="S3182" i="2"/>
  <c r="S3183" i="2"/>
  <c r="S3184" i="2"/>
  <c r="S3185" i="2"/>
  <c r="S3186" i="2"/>
  <c r="S3187" i="2"/>
  <c r="S3188" i="2"/>
  <c r="S3189" i="2"/>
  <c r="S3190" i="2"/>
  <c r="S3191" i="2"/>
  <c r="S3192" i="2"/>
  <c r="S3193" i="2"/>
  <c r="S3194" i="2"/>
  <c r="S3195" i="2"/>
  <c r="S3196" i="2"/>
  <c r="S3197" i="2"/>
  <c r="S3198" i="2"/>
  <c r="S3199" i="2"/>
  <c r="S3200" i="2"/>
  <c r="S3201" i="2"/>
  <c r="S3202" i="2"/>
  <c r="S3203" i="2"/>
  <c r="S3204" i="2"/>
  <c r="S3205" i="2"/>
  <c r="S3206" i="2"/>
  <c r="S3207" i="2"/>
  <c r="S3208" i="2"/>
  <c r="S3209" i="2"/>
  <c r="S3210" i="2"/>
  <c r="S3211" i="2"/>
  <c r="S3212" i="2"/>
  <c r="S3213" i="2"/>
  <c r="S3214" i="2"/>
  <c r="S3215" i="2"/>
  <c r="S3216" i="2"/>
  <c r="S3217" i="2"/>
  <c r="S3218" i="2"/>
  <c r="S3219" i="2"/>
  <c r="S3220" i="2"/>
  <c r="S3221" i="2"/>
  <c r="S3222" i="2"/>
  <c r="S3223" i="2"/>
  <c r="S3224" i="2"/>
  <c r="S3225" i="2"/>
  <c r="S3226" i="2"/>
  <c r="S3227" i="2"/>
  <c r="S3228" i="2"/>
  <c r="S3229" i="2"/>
  <c r="S3230" i="2"/>
  <c r="S3231" i="2"/>
  <c r="S3232" i="2"/>
  <c r="S3233" i="2"/>
  <c r="S3234" i="2"/>
  <c r="S3235" i="2"/>
  <c r="S3236" i="2"/>
  <c r="S3237" i="2"/>
  <c r="S3238" i="2"/>
  <c r="S3239" i="2"/>
  <c r="S3240" i="2"/>
  <c r="S3241" i="2"/>
  <c r="S3242" i="2"/>
  <c r="S3243" i="2"/>
  <c r="S3244" i="2"/>
  <c r="S3245" i="2"/>
  <c r="S3246" i="2"/>
  <c r="S3247" i="2"/>
  <c r="S3248" i="2"/>
  <c r="S3249" i="2"/>
  <c r="S3250" i="2"/>
  <c r="S3251" i="2"/>
  <c r="S3252" i="2"/>
  <c r="S3253" i="2"/>
  <c r="S3254" i="2"/>
  <c r="S3255" i="2"/>
  <c r="S3256" i="2"/>
  <c r="S3257" i="2"/>
  <c r="S3258" i="2"/>
  <c r="S3259" i="2"/>
  <c r="S3260" i="2"/>
  <c r="S3261" i="2"/>
  <c r="S3262" i="2"/>
  <c r="S3263" i="2"/>
  <c r="S3264" i="2"/>
  <c r="S3265" i="2"/>
  <c r="S3266" i="2"/>
  <c r="S3267" i="2"/>
  <c r="S3268" i="2"/>
  <c r="S3269" i="2"/>
  <c r="S3270" i="2"/>
  <c r="S3271" i="2"/>
  <c r="S3272" i="2"/>
  <c r="S3273" i="2"/>
  <c r="S3274" i="2"/>
  <c r="S3275" i="2"/>
  <c r="S3276" i="2"/>
  <c r="S3277" i="2"/>
  <c r="S3278" i="2"/>
  <c r="S3279" i="2"/>
  <c r="S3280" i="2"/>
  <c r="S3281" i="2"/>
  <c r="S3282" i="2"/>
  <c r="S3283" i="2"/>
  <c r="S3284" i="2"/>
  <c r="S3285" i="2"/>
  <c r="S3286" i="2"/>
  <c r="S3287" i="2"/>
  <c r="S3288" i="2"/>
  <c r="S3289" i="2"/>
  <c r="S3290" i="2"/>
  <c r="S3291" i="2"/>
  <c r="S3292" i="2"/>
  <c r="S3293" i="2"/>
  <c r="S3294" i="2"/>
  <c r="S3295" i="2"/>
  <c r="S3296" i="2"/>
  <c r="S3297" i="2"/>
  <c r="S3298" i="2"/>
  <c r="S3299" i="2"/>
  <c r="S3300" i="2"/>
  <c r="S3301" i="2"/>
  <c r="S3302" i="2"/>
  <c r="S3303" i="2"/>
  <c r="S3304" i="2"/>
  <c r="S3305" i="2"/>
  <c r="S3306" i="2"/>
  <c r="S3307" i="2"/>
  <c r="S3308" i="2"/>
  <c r="S3309" i="2"/>
  <c r="S3310" i="2"/>
  <c r="S3311" i="2"/>
  <c r="S3312" i="2"/>
  <c r="S3313" i="2"/>
  <c r="S3314" i="2"/>
  <c r="S3315" i="2"/>
  <c r="S3316" i="2"/>
  <c r="S3317" i="2"/>
  <c r="S3318" i="2"/>
  <c r="S3319" i="2"/>
  <c r="S3320" i="2"/>
  <c r="S3321" i="2"/>
  <c r="S3322" i="2"/>
  <c r="S3323" i="2"/>
  <c r="S3324" i="2"/>
  <c r="S3325" i="2"/>
  <c r="S3326" i="2"/>
  <c r="S3327" i="2"/>
  <c r="S3328" i="2"/>
  <c r="S3329" i="2"/>
  <c r="S3330" i="2"/>
  <c r="S3331" i="2"/>
  <c r="S3332" i="2"/>
  <c r="S3333" i="2"/>
  <c r="S3334" i="2"/>
  <c r="S3335" i="2"/>
  <c r="S3336" i="2"/>
  <c r="S3337" i="2"/>
  <c r="S3338" i="2"/>
  <c r="S3339" i="2"/>
  <c r="S3340" i="2"/>
  <c r="S3341" i="2"/>
  <c r="S3342" i="2"/>
  <c r="S3343" i="2"/>
  <c r="S3344" i="2"/>
  <c r="S3345" i="2"/>
  <c r="S3346" i="2"/>
  <c r="S3347" i="2"/>
  <c r="S3348" i="2"/>
  <c r="S3349" i="2"/>
  <c r="S3350" i="2"/>
  <c r="S3351" i="2"/>
  <c r="S3352" i="2"/>
  <c r="S3353" i="2"/>
  <c r="S3354" i="2"/>
  <c r="S3355" i="2"/>
  <c r="S3356" i="2"/>
  <c r="S3357" i="2"/>
  <c r="S3358" i="2"/>
  <c r="S3359" i="2"/>
  <c r="S3360" i="2"/>
  <c r="S3361" i="2"/>
  <c r="S3362" i="2"/>
  <c r="S3363" i="2"/>
  <c r="S3364" i="2"/>
  <c r="S3365" i="2"/>
  <c r="S3366" i="2"/>
  <c r="S3367" i="2"/>
  <c r="S3368" i="2"/>
  <c r="S3369" i="2"/>
  <c r="S3370" i="2"/>
  <c r="S3371" i="2"/>
  <c r="S3372" i="2"/>
  <c r="S3373" i="2"/>
  <c r="S3374" i="2"/>
  <c r="S3375" i="2"/>
  <c r="S3376" i="2"/>
  <c r="S3377" i="2"/>
  <c r="S3378" i="2"/>
  <c r="S3379" i="2"/>
  <c r="S3380" i="2"/>
  <c r="S3381" i="2"/>
  <c r="S3382" i="2"/>
  <c r="S3383" i="2"/>
  <c r="S3384" i="2"/>
  <c r="S3385" i="2"/>
  <c r="S3386" i="2"/>
  <c r="S3387" i="2"/>
  <c r="S3388" i="2"/>
  <c r="S3389" i="2"/>
  <c r="S3390" i="2"/>
  <c r="S3391" i="2"/>
  <c r="S3392" i="2"/>
  <c r="S3393" i="2"/>
  <c r="S3394" i="2"/>
  <c r="S3395" i="2"/>
  <c r="S3396" i="2"/>
  <c r="S3397" i="2"/>
  <c r="S3398" i="2"/>
  <c r="S3399" i="2"/>
  <c r="S3400" i="2"/>
  <c r="S3401" i="2"/>
  <c r="S3402" i="2"/>
  <c r="S3403" i="2"/>
  <c r="S3404" i="2"/>
  <c r="S3405" i="2"/>
  <c r="S3406" i="2"/>
  <c r="S3407" i="2"/>
  <c r="S3408" i="2"/>
  <c r="S3409" i="2"/>
  <c r="S3410" i="2"/>
  <c r="S3411" i="2"/>
  <c r="S3412" i="2"/>
  <c r="S3413" i="2"/>
  <c r="S3414" i="2"/>
  <c r="S3415" i="2"/>
  <c r="S3416" i="2"/>
  <c r="S3417" i="2"/>
  <c r="S3418" i="2"/>
  <c r="S3419" i="2"/>
  <c r="S3420" i="2"/>
  <c r="S3421" i="2"/>
  <c r="S3422" i="2"/>
  <c r="S3423" i="2"/>
  <c r="S3424" i="2"/>
  <c r="S3425" i="2"/>
  <c r="S3426" i="2"/>
  <c r="S3427" i="2"/>
  <c r="S3428" i="2"/>
  <c r="S3429" i="2"/>
  <c r="S3430" i="2"/>
  <c r="S3431" i="2"/>
  <c r="S3432" i="2"/>
  <c r="S3433" i="2"/>
  <c r="S3434" i="2"/>
  <c r="S3435" i="2"/>
  <c r="S3436" i="2"/>
  <c r="S3437" i="2"/>
  <c r="S3438" i="2"/>
  <c r="S3439" i="2"/>
  <c r="S3440" i="2"/>
  <c r="S3441" i="2"/>
  <c r="S3442" i="2"/>
  <c r="S3443" i="2"/>
  <c r="S3444" i="2"/>
  <c r="S3445" i="2"/>
  <c r="S3446" i="2"/>
  <c r="S3447" i="2"/>
  <c r="S3448" i="2"/>
  <c r="S3449" i="2"/>
  <c r="S3450" i="2"/>
  <c r="S3451" i="2"/>
  <c r="S3452" i="2"/>
  <c r="S3453" i="2"/>
  <c r="S3454" i="2"/>
  <c r="S3455" i="2"/>
  <c r="S3456" i="2"/>
  <c r="S3457" i="2"/>
  <c r="S3458" i="2"/>
  <c r="S3459" i="2"/>
  <c r="S3460" i="2"/>
  <c r="S3461" i="2"/>
  <c r="S3462" i="2"/>
  <c r="S3463" i="2"/>
  <c r="S3464" i="2"/>
  <c r="S3465" i="2"/>
  <c r="S3466" i="2"/>
  <c r="S3467" i="2"/>
  <c r="S3468" i="2"/>
  <c r="S3469" i="2"/>
  <c r="S3470" i="2"/>
  <c r="S3471" i="2"/>
  <c r="S3472" i="2"/>
  <c r="S3473" i="2"/>
  <c r="S3474" i="2"/>
  <c r="S3475" i="2"/>
  <c r="S3476" i="2"/>
  <c r="S3477" i="2"/>
  <c r="S3478" i="2"/>
  <c r="S3479" i="2"/>
  <c r="S3480" i="2"/>
  <c r="S3481" i="2"/>
  <c r="S3482" i="2"/>
  <c r="S3483" i="2"/>
  <c r="S3484" i="2"/>
  <c r="S3485" i="2"/>
  <c r="S3486" i="2"/>
  <c r="S3487" i="2"/>
  <c r="S3488" i="2"/>
  <c r="S3489" i="2"/>
  <c r="S3490" i="2"/>
  <c r="S3491" i="2"/>
  <c r="S3492" i="2"/>
  <c r="S3493" i="2"/>
  <c r="S3494" i="2"/>
  <c r="S3495" i="2"/>
  <c r="S3496" i="2"/>
  <c r="S3497" i="2"/>
  <c r="S3498" i="2"/>
  <c r="S3499" i="2"/>
  <c r="S3500" i="2"/>
  <c r="S3501" i="2"/>
  <c r="S3502" i="2"/>
  <c r="S3503" i="2"/>
  <c r="S3504" i="2"/>
  <c r="S3505" i="2"/>
  <c r="S3506" i="2"/>
  <c r="S3507" i="2"/>
  <c r="S3508" i="2"/>
  <c r="S3509" i="2"/>
  <c r="S3510" i="2"/>
  <c r="S3511" i="2"/>
  <c r="S3512" i="2"/>
  <c r="S3513" i="2"/>
  <c r="S3514" i="2"/>
  <c r="S3515" i="2"/>
  <c r="S3516" i="2"/>
  <c r="S3517" i="2"/>
  <c r="S3518" i="2"/>
  <c r="S3519" i="2"/>
  <c r="S3520" i="2"/>
  <c r="S3521" i="2"/>
  <c r="S3522" i="2"/>
  <c r="S3523" i="2"/>
  <c r="S3524" i="2"/>
  <c r="S3525" i="2"/>
  <c r="S3526" i="2"/>
  <c r="S3527" i="2"/>
  <c r="S3528" i="2"/>
  <c r="S3529" i="2"/>
  <c r="S3530" i="2"/>
  <c r="S3531" i="2"/>
  <c r="S3532" i="2"/>
  <c r="S3533" i="2"/>
  <c r="S3534" i="2"/>
  <c r="S3535" i="2"/>
  <c r="S3536" i="2"/>
  <c r="S3537" i="2"/>
  <c r="S3538" i="2"/>
  <c r="S3539" i="2"/>
  <c r="S3540" i="2"/>
  <c r="S3541" i="2"/>
  <c r="S3542" i="2"/>
  <c r="S3543" i="2"/>
  <c r="S3544" i="2"/>
  <c r="S3545" i="2"/>
  <c r="S3546" i="2"/>
  <c r="S3547" i="2"/>
  <c r="S3548" i="2"/>
  <c r="S3549" i="2"/>
  <c r="S3550" i="2"/>
  <c r="S3551" i="2"/>
  <c r="S3552" i="2"/>
  <c r="S3553" i="2"/>
  <c r="S3554" i="2"/>
  <c r="S3555" i="2"/>
  <c r="S3556" i="2"/>
  <c r="S3557" i="2"/>
  <c r="S3558" i="2"/>
  <c r="S3559" i="2"/>
  <c r="S3560" i="2"/>
  <c r="S3561" i="2"/>
  <c r="S3562" i="2"/>
  <c r="S3563" i="2"/>
  <c r="S3564" i="2"/>
  <c r="S3565" i="2"/>
  <c r="S3566" i="2"/>
  <c r="S3567" i="2"/>
  <c r="S3568" i="2"/>
  <c r="S3569" i="2"/>
  <c r="S3570" i="2"/>
  <c r="S3571" i="2"/>
  <c r="S3572" i="2"/>
  <c r="S3573" i="2"/>
  <c r="S3574" i="2"/>
  <c r="S3575" i="2"/>
  <c r="S3576" i="2"/>
  <c r="S3577" i="2"/>
  <c r="S3578" i="2"/>
  <c r="S3579" i="2"/>
  <c r="S3580" i="2"/>
  <c r="S3581" i="2"/>
  <c r="S3582" i="2"/>
  <c r="S3583" i="2"/>
  <c r="S3584" i="2"/>
  <c r="S3585" i="2"/>
  <c r="S3586" i="2"/>
  <c r="S3587" i="2"/>
  <c r="S3588" i="2"/>
  <c r="S3589" i="2"/>
  <c r="S3590" i="2"/>
  <c r="S3591" i="2"/>
  <c r="S3592" i="2"/>
  <c r="S3593" i="2"/>
  <c r="S3594" i="2"/>
  <c r="S3595" i="2"/>
  <c r="S3596" i="2"/>
  <c r="S3597" i="2"/>
  <c r="S3598" i="2"/>
  <c r="S3599" i="2"/>
  <c r="S3600" i="2"/>
  <c r="S3601" i="2"/>
  <c r="S3602" i="2"/>
  <c r="S3603" i="2"/>
  <c r="S3604" i="2"/>
  <c r="S3605" i="2"/>
  <c r="S3606" i="2"/>
  <c r="S3607" i="2"/>
  <c r="S3608" i="2"/>
  <c r="S3609" i="2"/>
  <c r="S3610" i="2"/>
  <c r="S3611" i="2"/>
  <c r="S3612" i="2"/>
  <c r="S3613" i="2"/>
  <c r="S3614" i="2"/>
  <c r="S3615" i="2"/>
  <c r="S3616" i="2"/>
  <c r="S3617" i="2"/>
  <c r="S3618" i="2"/>
  <c r="S3619" i="2"/>
  <c r="S3620" i="2"/>
  <c r="S3621" i="2"/>
  <c r="S3622" i="2"/>
  <c r="S3623" i="2"/>
  <c r="S3624" i="2"/>
  <c r="S3625" i="2"/>
  <c r="S3626" i="2"/>
  <c r="S3627" i="2"/>
  <c r="S3628" i="2"/>
  <c r="S3629" i="2"/>
  <c r="S3630" i="2"/>
  <c r="S3631" i="2"/>
  <c r="S3632" i="2"/>
  <c r="S3633" i="2"/>
  <c r="S3634" i="2"/>
  <c r="S3635" i="2"/>
  <c r="S3636" i="2"/>
  <c r="S3637" i="2"/>
  <c r="S3638" i="2"/>
  <c r="S3639" i="2"/>
  <c r="S3640" i="2"/>
  <c r="S3641" i="2"/>
  <c r="S3642" i="2"/>
  <c r="S3643" i="2"/>
  <c r="S3644" i="2"/>
  <c r="S3645" i="2"/>
  <c r="S3646" i="2"/>
  <c r="S3647" i="2"/>
  <c r="S3648" i="2"/>
  <c r="S3649" i="2"/>
  <c r="S3650" i="2"/>
  <c r="S3651" i="2"/>
  <c r="S3652" i="2"/>
  <c r="S3653" i="2"/>
  <c r="S3654" i="2"/>
  <c r="S3655" i="2"/>
  <c r="S3656" i="2"/>
  <c r="S3657" i="2"/>
  <c r="S3658" i="2"/>
  <c r="S3659" i="2"/>
  <c r="S3660" i="2"/>
  <c r="S3661" i="2"/>
  <c r="S3662" i="2"/>
  <c r="S3663" i="2"/>
  <c r="S3664" i="2"/>
  <c r="S3665" i="2"/>
  <c r="S3666" i="2"/>
  <c r="S3667" i="2"/>
  <c r="S3668" i="2"/>
  <c r="S3669" i="2"/>
  <c r="S3670" i="2"/>
  <c r="S3671" i="2"/>
  <c r="S3672" i="2"/>
  <c r="S3673" i="2"/>
  <c r="S3674" i="2"/>
  <c r="S3675" i="2"/>
  <c r="S3676" i="2"/>
  <c r="S3677" i="2"/>
  <c r="S3678" i="2"/>
  <c r="S3679" i="2"/>
  <c r="S3680" i="2"/>
  <c r="S3681" i="2"/>
  <c r="S3682" i="2"/>
  <c r="S3683" i="2"/>
  <c r="S3684" i="2"/>
  <c r="S3685" i="2"/>
  <c r="S3686" i="2"/>
  <c r="S3687" i="2"/>
  <c r="S3688" i="2"/>
  <c r="S3689" i="2"/>
  <c r="S3690" i="2"/>
  <c r="S3691" i="2"/>
  <c r="S3692" i="2"/>
  <c r="S3693" i="2"/>
  <c r="S3694" i="2"/>
  <c r="S3695" i="2"/>
  <c r="S3696" i="2"/>
  <c r="S3697" i="2"/>
  <c r="S3698" i="2"/>
  <c r="S3699" i="2"/>
  <c r="S3700" i="2"/>
  <c r="S3701" i="2"/>
  <c r="S3702" i="2"/>
  <c r="S3703" i="2"/>
  <c r="S3704" i="2"/>
  <c r="S3705" i="2"/>
  <c r="S3706" i="2"/>
  <c r="S3707" i="2"/>
  <c r="S3708" i="2"/>
  <c r="S3709" i="2"/>
  <c r="S3710" i="2"/>
  <c r="S3711" i="2"/>
  <c r="S3712" i="2"/>
  <c r="S3713" i="2"/>
  <c r="S3714" i="2"/>
  <c r="S3715" i="2"/>
  <c r="S3716" i="2"/>
  <c r="S3717" i="2"/>
  <c r="S3718" i="2"/>
  <c r="S3719" i="2"/>
  <c r="S3720" i="2"/>
  <c r="S3721" i="2"/>
  <c r="S3722" i="2"/>
  <c r="S3723" i="2"/>
  <c r="S3724" i="2"/>
  <c r="S3725" i="2"/>
  <c r="S3726" i="2"/>
  <c r="S3727" i="2"/>
  <c r="S3728" i="2"/>
  <c r="S3729" i="2"/>
  <c r="S3730" i="2"/>
  <c r="S3731" i="2"/>
  <c r="S3732" i="2"/>
  <c r="S3733" i="2"/>
  <c r="S3734" i="2"/>
  <c r="S3735" i="2"/>
  <c r="R5" i="2"/>
  <c r="S5" i="2" s="1"/>
  <c r="R6" i="2"/>
  <c r="R7" i="2"/>
  <c r="R8" i="2"/>
  <c r="S8" i="2" s="1"/>
  <c r="R9" i="2"/>
  <c r="S9" i="2" s="1"/>
  <c r="R10" i="2"/>
  <c r="R11" i="2"/>
  <c r="R12" i="2"/>
  <c r="S12" i="2" s="1"/>
  <c r="R13" i="2"/>
  <c r="S13" i="2" s="1"/>
  <c r="R14" i="2"/>
  <c r="R15" i="2"/>
  <c r="R16" i="2"/>
  <c r="S16" i="2" s="1"/>
  <c r="R17" i="2"/>
  <c r="S17" i="2" s="1"/>
  <c r="R18" i="2"/>
  <c r="R19" i="2"/>
  <c r="R20" i="2"/>
  <c r="S20" i="2" s="1"/>
  <c r="R21" i="2"/>
  <c r="S21" i="2" s="1"/>
  <c r="R22" i="2"/>
  <c r="R23" i="2"/>
  <c r="R24" i="2"/>
  <c r="S24" i="2" s="1"/>
  <c r="R25" i="2"/>
  <c r="S25" i="2" s="1"/>
  <c r="R26" i="2"/>
  <c r="R27" i="2"/>
  <c r="R28" i="2"/>
  <c r="S28" i="2" s="1"/>
  <c r="R29" i="2"/>
  <c r="S29" i="2" s="1"/>
  <c r="R30" i="2"/>
  <c r="R31" i="2"/>
  <c r="R32" i="2"/>
  <c r="S32" i="2" s="1"/>
  <c r="R33" i="2"/>
  <c r="S33" i="2" s="1"/>
  <c r="R34" i="2"/>
  <c r="R35" i="2"/>
  <c r="R36" i="2"/>
  <c r="S36" i="2" s="1"/>
  <c r="R37" i="2"/>
  <c r="S37" i="2" s="1"/>
  <c r="R38" i="2"/>
  <c r="R39" i="2"/>
  <c r="R40" i="2"/>
  <c r="S40" i="2" s="1"/>
  <c r="R41" i="2"/>
  <c r="S41" i="2" s="1"/>
  <c r="R42" i="2"/>
  <c r="R43" i="2"/>
  <c r="R44" i="2"/>
  <c r="S44" i="2" s="1"/>
  <c r="R45" i="2"/>
  <c r="S45" i="2" s="1"/>
  <c r="R46" i="2"/>
  <c r="R47" i="2"/>
  <c r="R48" i="2"/>
  <c r="S48" i="2" s="1"/>
  <c r="R49" i="2"/>
  <c r="S49" i="2" s="1"/>
  <c r="R50" i="2"/>
  <c r="R51" i="2"/>
  <c r="R52" i="2"/>
  <c r="S52" i="2" s="1"/>
  <c r="R53" i="2"/>
  <c r="S53" i="2" s="1"/>
  <c r="R54" i="2"/>
  <c r="R55" i="2"/>
  <c r="R56" i="2"/>
  <c r="S56" i="2" s="1"/>
  <c r="R57" i="2"/>
  <c r="S57" i="2" s="1"/>
  <c r="R58" i="2"/>
  <c r="R59" i="2"/>
  <c r="R60" i="2"/>
  <c r="S60" i="2" s="1"/>
  <c r="R61" i="2"/>
  <c r="S61" i="2" s="1"/>
  <c r="R62" i="2"/>
  <c r="R63" i="2"/>
  <c r="R64" i="2"/>
  <c r="S64" i="2" s="1"/>
  <c r="R65" i="2"/>
  <c r="S65" i="2" s="1"/>
  <c r="R66" i="2"/>
  <c r="R67" i="2"/>
  <c r="G9" i="3" a="1"/>
  <c r="G9" i="3" s="1"/>
  <c r="E3" i="3"/>
  <c r="F34" i="3"/>
  <c r="F33" i="3"/>
  <c r="E24" i="3"/>
  <c r="E16" i="3"/>
  <c r="D34" i="3"/>
  <c r="C34" i="3" s="1"/>
  <c r="D33" i="3"/>
  <c r="C33" i="3" s="1"/>
  <c r="D10" i="3"/>
  <c r="C10" i="3" s="1"/>
  <c r="D9" i="3"/>
  <c r="C9" i="3" s="1"/>
  <c r="D5" i="3"/>
  <c r="C5" i="3" s="1"/>
  <c r="T3" i="1" a="1"/>
  <c r="T3" i="1" s="1"/>
  <c r="AI4" i="2"/>
  <c r="AL1" i="2" a="1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H47" i="2"/>
  <c r="AH48" i="2"/>
  <c r="AH49" i="2"/>
  <c r="AH50" i="2"/>
  <c r="AH51" i="2"/>
  <c r="AH52" i="2"/>
  <c r="AH53" i="2"/>
  <c r="AH54" i="2"/>
  <c r="AH55" i="2"/>
  <c r="AH56" i="2"/>
  <c r="AH57" i="2"/>
  <c r="AH58" i="2"/>
  <c r="AH59" i="2"/>
  <c r="AH60" i="2"/>
  <c r="AH61" i="2"/>
  <c r="AH62" i="2"/>
  <c r="AH63" i="2"/>
  <c r="AH64" i="2"/>
  <c r="AH65" i="2"/>
  <c r="AH66" i="2"/>
  <c r="AH67" i="2"/>
  <c r="AH68" i="2"/>
  <c r="AH69" i="2"/>
  <c r="AH70" i="2"/>
  <c r="AH71" i="2"/>
  <c r="AH72" i="2"/>
  <c r="AH73" i="2"/>
  <c r="AH74" i="2"/>
  <c r="AH75" i="2"/>
  <c r="AH76" i="2"/>
  <c r="AH77" i="2"/>
  <c r="AH78" i="2"/>
  <c r="AH79" i="2"/>
  <c r="AH80" i="2"/>
  <c r="AH81" i="2"/>
  <c r="AH82" i="2"/>
  <c r="AH83" i="2"/>
  <c r="AH84" i="2"/>
  <c r="AH85" i="2"/>
  <c r="AH86" i="2"/>
  <c r="AH87" i="2"/>
  <c r="AH88" i="2"/>
  <c r="AH89" i="2"/>
  <c r="AH90" i="2"/>
  <c r="AH91" i="2"/>
  <c r="AH92" i="2"/>
  <c r="AH93" i="2"/>
  <c r="AH94" i="2"/>
  <c r="AH95" i="2"/>
  <c r="AH96" i="2"/>
  <c r="AH97" i="2"/>
  <c r="AH98" i="2"/>
  <c r="AH99" i="2"/>
  <c r="AH100" i="2"/>
  <c r="AH101" i="2"/>
  <c r="AH102" i="2"/>
  <c r="AH103" i="2"/>
  <c r="AH104" i="2"/>
  <c r="AH105" i="2"/>
  <c r="AH106" i="2"/>
  <c r="AH107" i="2"/>
  <c r="AH108" i="2"/>
  <c r="AH109" i="2"/>
  <c r="AH110" i="2"/>
  <c r="AH111" i="2"/>
  <c r="AH112" i="2"/>
  <c r="AH113" i="2"/>
  <c r="AH114" i="2"/>
  <c r="AH115" i="2"/>
  <c r="AH116" i="2"/>
  <c r="AH117" i="2"/>
  <c r="AH118" i="2"/>
  <c r="AH119" i="2"/>
  <c r="AH120" i="2"/>
  <c r="AH121" i="2"/>
  <c r="AH122" i="2"/>
  <c r="AH123" i="2"/>
  <c r="AH124" i="2"/>
  <c r="AH125" i="2"/>
  <c r="AH126" i="2"/>
  <c r="AH127" i="2"/>
  <c r="AH128" i="2"/>
  <c r="AH129" i="2"/>
  <c r="AH130" i="2"/>
  <c r="AH131" i="2"/>
  <c r="AH132" i="2"/>
  <c r="AH133" i="2"/>
  <c r="AH134" i="2"/>
  <c r="AH135" i="2"/>
  <c r="AH136" i="2"/>
  <c r="AH137" i="2"/>
  <c r="AH138" i="2"/>
  <c r="AH139" i="2"/>
  <c r="AH140" i="2"/>
  <c r="AH141" i="2"/>
  <c r="AH142" i="2"/>
  <c r="AH143" i="2"/>
  <c r="AH144" i="2"/>
  <c r="AH145" i="2"/>
  <c r="AH146" i="2"/>
  <c r="AH147" i="2"/>
  <c r="AH148" i="2"/>
  <c r="AH149" i="2"/>
  <c r="AH150" i="2"/>
  <c r="AH151" i="2"/>
  <c r="AH152" i="2"/>
  <c r="AH153" i="2"/>
  <c r="AH154" i="2"/>
  <c r="AH155" i="2"/>
  <c r="AH156" i="2"/>
  <c r="AH157" i="2"/>
  <c r="AH158" i="2"/>
  <c r="AH159" i="2"/>
  <c r="AH160" i="2"/>
  <c r="AH161" i="2"/>
  <c r="AH162" i="2"/>
  <c r="AH163" i="2"/>
  <c r="AH164" i="2"/>
  <c r="AH165" i="2"/>
  <c r="AH166" i="2"/>
  <c r="AH167" i="2"/>
  <c r="AH168" i="2"/>
  <c r="AH169" i="2"/>
  <c r="AH170" i="2"/>
  <c r="AH171" i="2"/>
  <c r="AH172" i="2"/>
  <c r="AH173" i="2"/>
  <c r="AH174" i="2"/>
  <c r="AH175" i="2"/>
  <c r="AH176" i="2"/>
  <c r="AH177" i="2"/>
  <c r="AH178" i="2"/>
  <c r="AH179" i="2"/>
  <c r="AH180" i="2"/>
  <c r="AH181" i="2"/>
  <c r="AH182" i="2"/>
  <c r="AH183" i="2"/>
  <c r="AH184" i="2"/>
  <c r="AH185" i="2"/>
  <c r="AH186" i="2"/>
  <c r="AH187" i="2"/>
  <c r="AH188" i="2"/>
  <c r="AH189" i="2"/>
  <c r="AH190" i="2"/>
  <c r="AH191" i="2"/>
  <c r="AH192" i="2"/>
  <c r="AH193" i="2"/>
  <c r="AH194" i="2"/>
  <c r="AH195" i="2"/>
  <c r="AH196" i="2"/>
  <c r="AH197" i="2"/>
  <c r="AH198" i="2"/>
  <c r="AH199" i="2"/>
  <c r="AH200" i="2"/>
  <c r="AH201" i="2"/>
  <c r="AH202" i="2"/>
  <c r="AH203" i="2"/>
  <c r="AH204" i="2"/>
  <c r="AH205" i="2"/>
  <c r="AH206" i="2"/>
  <c r="AH207" i="2"/>
  <c r="AH208" i="2"/>
  <c r="AH209" i="2"/>
  <c r="AH210" i="2"/>
  <c r="AH211" i="2"/>
  <c r="AH212" i="2"/>
  <c r="AH213" i="2"/>
  <c r="AH214" i="2"/>
  <c r="AH215" i="2"/>
  <c r="AH216" i="2"/>
  <c r="AH217" i="2"/>
  <c r="AH218" i="2"/>
  <c r="AH219" i="2"/>
  <c r="AH220" i="2"/>
  <c r="AH221" i="2"/>
  <c r="AH222" i="2"/>
  <c r="AH223" i="2"/>
  <c r="AH224" i="2"/>
  <c r="AH225" i="2"/>
  <c r="AH226" i="2"/>
  <c r="AH227" i="2"/>
  <c r="AH228" i="2"/>
  <c r="AH229" i="2"/>
  <c r="AH230" i="2"/>
  <c r="AH231" i="2"/>
  <c r="AH232" i="2"/>
  <c r="AH233" i="2"/>
  <c r="AH234" i="2"/>
  <c r="AH235" i="2"/>
  <c r="AH236" i="2"/>
  <c r="AH237" i="2"/>
  <c r="AH238" i="2"/>
  <c r="AH239" i="2"/>
  <c r="AH240" i="2"/>
  <c r="AH241" i="2"/>
  <c r="AH242" i="2"/>
  <c r="AH243" i="2"/>
  <c r="AH244" i="2"/>
  <c r="AH245" i="2"/>
  <c r="AH246" i="2"/>
  <c r="AH247" i="2"/>
  <c r="AH248" i="2"/>
  <c r="AH249" i="2"/>
  <c r="AH250" i="2"/>
  <c r="AH251" i="2"/>
  <c r="AH252" i="2"/>
  <c r="AH253" i="2"/>
  <c r="AH254" i="2"/>
  <c r="AH255" i="2"/>
  <c r="AH256" i="2"/>
  <c r="AH257" i="2"/>
  <c r="AH258" i="2"/>
  <c r="AH259" i="2"/>
  <c r="AH260" i="2"/>
  <c r="AH261" i="2"/>
  <c r="AH262" i="2"/>
  <c r="AH263" i="2"/>
  <c r="AH264" i="2"/>
  <c r="AH265" i="2"/>
  <c r="AH266" i="2"/>
  <c r="AH267" i="2"/>
  <c r="AH268" i="2"/>
  <c r="AH269" i="2"/>
  <c r="AH270" i="2"/>
  <c r="AH271" i="2"/>
  <c r="AH272" i="2"/>
  <c r="AH273" i="2"/>
  <c r="AH274" i="2"/>
  <c r="AH275" i="2"/>
  <c r="AH276" i="2"/>
  <c r="AH277" i="2"/>
  <c r="AH278" i="2"/>
  <c r="AH279" i="2"/>
  <c r="AH280" i="2"/>
  <c r="AH281" i="2"/>
  <c r="AH282" i="2"/>
  <c r="AH283" i="2"/>
  <c r="AH284" i="2"/>
  <c r="AH285" i="2"/>
  <c r="AH286" i="2"/>
  <c r="AH287" i="2"/>
  <c r="AH288" i="2"/>
  <c r="AH289" i="2"/>
  <c r="AH290" i="2"/>
  <c r="AH291" i="2"/>
  <c r="AH292" i="2"/>
  <c r="AH293" i="2"/>
  <c r="AH294" i="2"/>
  <c r="AH295" i="2"/>
  <c r="AH296" i="2"/>
  <c r="AH297" i="2"/>
  <c r="AH298" i="2"/>
  <c r="AH299" i="2"/>
  <c r="AH300" i="2"/>
  <c r="AH301" i="2"/>
  <c r="AH302" i="2"/>
  <c r="AH303" i="2"/>
  <c r="AH304" i="2"/>
  <c r="AH305" i="2"/>
  <c r="AH306" i="2"/>
  <c r="AH307" i="2"/>
  <c r="AH308" i="2"/>
  <c r="AH309" i="2"/>
  <c r="AH310" i="2"/>
  <c r="AH311" i="2"/>
  <c r="AH312" i="2"/>
  <c r="AH313" i="2"/>
  <c r="AH314" i="2"/>
  <c r="AH315" i="2"/>
  <c r="AH316" i="2"/>
  <c r="AH317" i="2"/>
  <c r="AH318" i="2"/>
  <c r="AH319" i="2"/>
  <c r="AH320" i="2"/>
  <c r="AH321" i="2"/>
  <c r="AH322" i="2"/>
  <c r="AH323" i="2"/>
  <c r="AH324" i="2"/>
  <c r="AH325" i="2"/>
  <c r="AH326" i="2"/>
  <c r="AH327" i="2"/>
  <c r="AH328" i="2"/>
  <c r="AH329" i="2"/>
  <c r="AH330" i="2"/>
  <c r="AH331" i="2"/>
  <c r="AH332" i="2"/>
  <c r="AH333" i="2"/>
  <c r="AH334" i="2"/>
  <c r="AH335" i="2"/>
  <c r="AH336" i="2"/>
  <c r="AH337" i="2"/>
  <c r="AH338" i="2"/>
  <c r="AH339" i="2"/>
  <c r="AH340" i="2"/>
  <c r="AH341" i="2"/>
  <c r="AH342" i="2"/>
  <c r="AH343" i="2"/>
  <c r="AH344" i="2"/>
  <c r="AH345" i="2"/>
  <c r="AH346" i="2"/>
  <c r="AH347" i="2"/>
  <c r="AH348" i="2"/>
  <c r="AH349" i="2"/>
  <c r="AH350" i="2"/>
  <c r="AH351" i="2"/>
  <c r="AH352" i="2"/>
  <c r="AH353" i="2"/>
  <c r="AH354" i="2"/>
  <c r="AH355" i="2"/>
  <c r="AH356" i="2"/>
  <c r="AH357" i="2"/>
  <c r="AH358" i="2"/>
  <c r="AH359" i="2"/>
  <c r="AH360" i="2"/>
  <c r="AH361" i="2"/>
  <c r="AH362" i="2"/>
  <c r="AH363" i="2"/>
  <c r="AH364" i="2"/>
  <c r="AH365" i="2"/>
  <c r="AH366" i="2"/>
  <c r="AH367" i="2"/>
  <c r="AH368" i="2"/>
  <c r="AH369" i="2"/>
  <c r="AH370" i="2"/>
  <c r="AH371" i="2"/>
  <c r="AH372" i="2"/>
  <c r="AH373" i="2"/>
  <c r="AH374" i="2"/>
  <c r="AH375" i="2"/>
  <c r="AH376" i="2"/>
  <c r="AH377" i="2"/>
  <c r="AH378" i="2"/>
  <c r="AH379" i="2"/>
  <c r="AH380" i="2"/>
  <c r="AH381" i="2"/>
  <c r="AH382" i="2"/>
  <c r="AH383" i="2"/>
  <c r="AH384" i="2"/>
  <c r="AH385" i="2"/>
  <c r="AH386" i="2"/>
  <c r="AH387" i="2"/>
  <c r="AH388" i="2"/>
  <c r="AH389" i="2"/>
  <c r="AH390" i="2"/>
  <c r="AH391" i="2"/>
  <c r="AH392" i="2"/>
  <c r="AH393" i="2"/>
  <c r="AH394" i="2"/>
  <c r="AH395" i="2"/>
  <c r="AH396" i="2"/>
  <c r="AH397" i="2"/>
  <c r="AH398" i="2"/>
  <c r="AH399" i="2"/>
  <c r="AH400" i="2"/>
  <c r="AH401" i="2"/>
  <c r="AH402" i="2"/>
  <c r="AH403" i="2"/>
  <c r="AH404" i="2"/>
  <c r="AH405" i="2"/>
  <c r="AH406" i="2"/>
  <c r="AH407" i="2"/>
  <c r="AH408" i="2"/>
  <c r="AH409" i="2"/>
  <c r="AH410" i="2"/>
  <c r="AH411" i="2"/>
  <c r="AH412" i="2"/>
  <c r="AH413" i="2"/>
  <c r="AH414" i="2"/>
  <c r="AH415" i="2"/>
  <c r="AH416" i="2"/>
  <c r="AH417" i="2"/>
  <c r="AH418" i="2"/>
  <c r="AH419" i="2"/>
  <c r="AH420" i="2"/>
  <c r="AH421" i="2"/>
  <c r="AH422" i="2"/>
  <c r="AH423" i="2"/>
  <c r="AH424" i="2"/>
  <c r="AH425" i="2"/>
  <c r="AH426" i="2"/>
  <c r="AH427" i="2"/>
  <c r="AH428" i="2"/>
  <c r="AH429" i="2"/>
  <c r="AH430" i="2"/>
  <c r="AH431" i="2"/>
  <c r="AH432" i="2"/>
  <c r="AH433" i="2"/>
  <c r="AH434" i="2"/>
  <c r="AH435" i="2"/>
  <c r="AH436" i="2"/>
  <c r="AH437" i="2"/>
  <c r="AH438" i="2"/>
  <c r="AH439" i="2"/>
  <c r="AH440" i="2"/>
  <c r="AH441" i="2"/>
  <c r="AH442" i="2"/>
  <c r="AH443" i="2"/>
  <c r="AH444" i="2"/>
  <c r="AH445" i="2"/>
  <c r="AH446" i="2"/>
  <c r="AH447" i="2"/>
  <c r="AH448" i="2"/>
  <c r="AH449" i="2"/>
  <c r="AH450" i="2"/>
  <c r="AH451" i="2"/>
  <c r="AH452" i="2"/>
  <c r="AH453" i="2"/>
  <c r="AH454" i="2"/>
  <c r="AH455" i="2"/>
  <c r="AH456" i="2"/>
  <c r="AH457" i="2"/>
  <c r="AH458" i="2"/>
  <c r="AH459" i="2"/>
  <c r="AH460" i="2"/>
  <c r="AH461" i="2"/>
  <c r="AH462" i="2"/>
  <c r="AH463" i="2"/>
  <c r="AH464" i="2"/>
  <c r="AH465" i="2"/>
  <c r="AH466" i="2"/>
  <c r="AH467" i="2"/>
  <c r="AH468" i="2"/>
  <c r="AH469" i="2"/>
  <c r="AH470" i="2"/>
  <c r="AH471" i="2"/>
  <c r="AH472" i="2"/>
  <c r="AH473" i="2"/>
  <c r="AH474" i="2"/>
  <c r="AH475" i="2"/>
  <c r="AH476" i="2"/>
  <c r="AH477" i="2"/>
  <c r="AH478" i="2"/>
  <c r="AH479" i="2"/>
  <c r="AH480" i="2"/>
  <c r="AH481" i="2"/>
  <c r="AH482" i="2"/>
  <c r="AH483" i="2"/>
  <c r="AH484" i="2"/>
  <c r="AH485" i="2"/>
  <c r="AH486" i="2"/>
  <c r="AH487" i="2"/>
  <c r="AH488" i="2"/>
  <c r="AH489" i="2"/>
  <c r="AH490" i="2"/>
  <c r="AH491" i="2"/>
  <c r="AH492" i="2"/>
  <c r="AH493" i="2"/>
  <c r="AH494" i="2"/>
  <c r="AH495" i="2"/>
  <c r="AH496" i="2"/>
  <c r="AH497" i="2"/>
  <c r="AH498" i="2"/>
  <c r="AH499" i="2"/>
  <c r="AH500" i="2"/>
  <c r="AH501" i="2"/>
  <c r="AH502" i="2"/>
  <c r="AH503" i="2"/>
  <c r="AH504" i="2"/>
  <c r="AH505" i="2"/>
  <c r="AH506" i="2"/>
  <c r="AH507" i="2"/>
  <c r="AH508" i="2"/>
  <c r="AH509" i="2"/>
  <c r="AH510" i="2"/>
  <c r="AH511" i="2"/>
  <c r="AH512" i="2"/>
  <c r="AH513" i="2"/>
  <c r="AH514" i="2"/>
  <c r="AH515" i="2"/>
  <c r="AH516" i="2"/>
  <c r="AH517" i="2"/>
  <c r="AH518" i="2"/>
  <c r="AH519" i="2"/>
  <c r="AH520" i="2"/>
  <c r="AH521" i="2"/>
  <c r="AH522" i="2"/>
  <c r="AH523" i="2"/>
  <c r="AH524" i="2"/>
  <c r="AH525" i="2"/>
  <c r="AH526" i="2"/>
  <c r="AH527" i="2"/>
  <c r="AH528" i="2"/>
  <c r="AH529" i="2"/>
  <c r="AH530" i="2"/>
  <c r="AH531" i="2"/>
  <c r="AH532" i="2"/>
  <c r="AH533" i="2"/>
  <c r="AH534" i="2"/>
  <c r="AH535" i="2"/>
  <c r="AH536" i="2"/>
  <c r="AH537" i="2"/>
  <c r="AH538" i="2"/>
  <c r="AH539" i="2"/>
  <c r="AH540" i="2"/>
  <c r="AH541" i="2"/>
  <c r="AH542" i="2"/>
  <c r="AH543" i="2"/>
  <c r="AH544" i="2"/>
  <c r="AH545" i="2"/>
  <c r="AH546" i="2"/>
  <c r="AH547" i="2"/>
  <c r="AH548" i="2"/>
  <c r="AH549" i="2"/>
  <c r="AH550" i="2"/>
  <c r="AH551" i="2"/>
  <c r="AH552" i="2"/>
  <c r="AH553" i="2"/>
  <c r="AH554" i="2"/>
  <c r="AH555" i="2"/>
  <c r="AH556" i="2"/>
  <c r="AH557" i="2"/>
  <c r="AH558" i="2"/>
  <c r="AH559" i="2"/>
  <c r="AH560" i="2"/>
  <c r="AH561" i="2"/>
  <c r="AH562" i="2"/>
  <c r="AH563" i="2"/>
  <c r="AH564" i="2"/>
  <c r="AH565" i="2"/>
  <c r="AH566" i="2"/>
  <c r="AH567" i="2"/>
  <c r="AH568" i="2"/>
  <c r="AH569" i="2"/>
  <c r="AH570" i="2"/>
  <c r="AH571" i="2"/>
  <c r="AH572" i="2"/>
  <c r="AH573" i="2"/>
  <c r="AH574" i="2"/>
  <c r="AH575" i="2"/>
  <c r="AH576" i="2"/>
  <c r="AH577" i="2"/>
  <c r="AH578" i="2"/>
  <c r="AH579" i="2"/>
  <c r="AH580" i="2"/>
  <c r="AH581" i="2"/>
  <c r="AH582" i="2"/>
  <c r="AH583" i="2"/>
  <c r="AH584" i="2"/>
  <c r="AH585" i="2"/>
  <c r="AH586" i="2"/>
  <c r="AH587" i="2"/>
  <c r="AH588" i="2"/>
  <c r="AH589" i="2"/>
  <c r="AH590" i="2"/>
  <c r="AH591" i="2"/>
  <c r="AH592" i="2"/>
  <c r="AH593" i="2"/>
  <c r="AH594" i="2"/>
  <c r="AH595" i="2"/>
  <c r="AH596" i="2"/>
  <c r="AH597" i="2"/>
  <c r="AH598" i="2"/>
  <c r="AH599" i="2"/>
  <c r="AH600" i="2"/>
  <c r="AH601" i="2"/>
  <c r="AH602" i="2"/>
  <c r="AH603" i="2"/>
  <c r="AH604" i="2"/>
  <c r="AH605" i="2"/>
  <c r="AH606" i="2"/>
  <c r="AH607" i="2"/>
  <c r="AH608" i="2"/>
  <c r="AH609" i="2"/>
  <c r="AH610" i="2"/>
  <c r="AH611" i="2"/>
  <c r="AH612" i="2"/>
  <c r="AH613" i="2"/>
  <c r="AH614" i="2"/>
  <c r="AH615" i="2"/>
  <c r="AH616" i="2"/>
  <c r="AH617" i="2"/>
  <c r="AH618" i="2"/>
  <c r="AH619" i="2"/>
  <c r="AH620" i="2"/>
  <c r="AH621" i="2"/>
  <c r="AH622" i="2"/>
  <c r="AH623" i="2"/>
  <c r="AH624" i="2"/>
  <c r="AH625" i="2"/>
  <c r="AH626" i="2"/>
  <c r="AH627" i="2"/>
  <c r="AH628" i="2"/>
  <c r="AH629" i="2"/>
  <c r="AH630" i="2"/>
  <c r="AH631" i="2"/>
  <c r="AH632" i="2"/>
  <c r="AH633" i="2"/>
  <c r="AH634" i="2"/>
  <c r="AH635" i="2"/>
  <c r="AH636" i="2"/>
  <c r="AH637" i="2"/>
  <c r="AH638" i="2"/>
  <c r="AH639" i="2"/>
  <c r="AH640" i="2"/>
  <c r="AH641" i="2"/>
  <c r="AH642" i="2"/>
  <c r="AH643" i="2"/>
  <c r="AH644" i="2"/>
  <c r="AH645" i="2"/>
  <c r="AH646" i="2"/>
  <c r="AH647" i="2"/>
  <c r="AH648" i="2"/>
  <c r="AH649" i="2"/>
  <c r="AH650" i="2"/>
  <c r="AH651" i="2"/>
  <c r="AH652" i="2"/>
  <c r="AH653" i="2"/>
  <c r="AH654" i="2"/>
  <c r="AH655" i="2"/>
  <c r="AH656" i="2"/>
  <c r="AH657" i="2"/>
  <c r="AH658" i="2"/>
  <c r="AH659" i="2"/>
  <c r="AH660" i="2"/>
  <c r="AH661" i="2"/>
  <c r="AH662" i="2"/>
  <c r="AH663" i="2"/>
  <c r="AH664" i="2"/>
  <c r="AH665" i="2"/>
  <c r="AH666" i="2"/>
  <c r="AH667" i="2"/>
  <c r="AH668" i="2"/>
  <c r="AH669" i="2"/>
  <c r="AH670" i="2"/>
  <c r="AH671" i="2"/>
  <c r="AH672" i="2"/>
  <c r="AH673" i="2"/>
  <c r="AH674" i="2"/>
  <c r="AH675" i="2"/>
  <c r="AH676" i="2"/>
  <c r="AH677" i="2"/>
  <c r="AH678" i="2"/>
  <c r="AH679" i="2"/>
  <c r="AH680" i="2"/>
  <c r="AH681" i="2"/>
  <c r="AH682" i="2"/>
  <c r="AH683" i="2"/>
  <c r="AH684" i="2"/>
  <c r="AH685" i="2"/>
  <c r="AH686" i="2"/>
  <c r="AH687" i="2"/>
  <c r="AH688" i="2"/>
  <c r="AH689" i="2"/>
  <c r="AH690" i="2"/>
  <c r="AH691" i="2"/>
  <c r="AH692" i="2"/>
  <c r="AH693" i="2"/>
  <c r="AH694" i="2"/>
  <c r="AH695" i="2"/>
  <c r="AH696" i="2"/>
  <c r="AH697" i="2"/>
  <c r="AH698" i="2"/>
  <c r="AH699" i="2"/>
  <c r="AH700" i="2"/>
  <c r="AH701" i="2"/>
  <c r="AH702" i="2"/>
  <c r="AH703" i="2"/>
  <c r="AH704" i="2"/>
  <c r="AH705" i="2"/>
  <c r="AH706" i="2"/>
  <c r="AH707" i="2"/>
  <c r="AH708" i="2"/>
  <c r="AH709" i="2"/>
  <c r="AH710" i="2"/>
  <c r="AH711" i="2"/>
  <c r="AH712" i="2"/>
  <c r="AH713" i="2"/>
  <c r="AH714" i="2"/>
  <c r="AH715" i="2"/>
  <c r="AH716" i="2"/>
  <c r="AH717" i="2"/>
  <c r="AH718" i="2"/>
  <c r="AH719" i="2"/>
  <c r="AH720" i="2"/>
  <c r="AH721" i="2"/>
  <c r="AH722" i="2"/>
  <c r="AH723" i="2"/>
  <c r="AH724" i="2"/>
  <c r="AH725" i="2"/>
  <c r="AH726" i="2"/>
  <c r="AH727" i="2"/>
  <c r="AH728" i="2"/>
  <c r="AH729" i="2"/>
  <c r="AH730" i="2"/>
  <c r="AH731" i="2"/>
  <c r="AH732" i="2"/>
  <c r="AH733" i="2"/>
  <c r="AH734" i="2"/>
  <c r="AH735" i="2"/>
  <c r="AH736" i="2"/>
  <c r="AH737" i="2"/>
  <c r="AH738" i="2"/>
  <c r="AH739" i="2"/>
  <c r="AH740" i="2"/>
  <c r="AH741" i="2"/>
  <c r="AH742" i="2"/>
  <c r="AH743" i="2"/>
  <c r="AH744" i="2"/>
  <c r="AH745" i="2"/>
  <c r="AH746" i="2"/>
  <c r="AH747" i="2"/>
  <c r="AH748" i="2"/>
  <c r="AH749" i="2"/>
  <c r="AH750" i="2"/>
  <c r="AH751" i="2"/>
  <c r="AH752" i="2"/>
  <c r="AH753" i="2"/>
  <c r="AH754" i="2"/>
  <c r="AH755" i="2"/>
  <c r="AH756" i="2"/>
  <c r="AH757" i="2"/>
  <c r="AH758" i="2"/>
  <c r="AH759" i="2"/>
  <c r="AH760" i="2"/>
  <c r="AH761" i="2"/>
  <c r="AH762" i="2"/>
  <c r="AH763" i="2"/>
  <c r="AH764" i="2"/>
  <c r="AH765" i="2"/>
  <c r="AH766" i="2"/>
  <c r="AH767" i="2"/>
  <c r="AH768" i="2"/>
  <c r="AH769" i="2"/>
  <c r="AH770" i="2"/>
  <c r="AH771" i="2"/>
  <c r="AH772" i="2"/>
  <c r="AH773" i="2"/>
  <c r="AH774" i="2"/>
  <c r="AH775" i="2"/>
  <c r="AH776" i="2"/>
  <c r="AH777" i="2"/>
  <c r="AH778" i="2"/>
  <c r="AH779" i="2"/>
  <c r="AH780" i="2"/>
  <c r="AH781" i="2"/>
  <c r="AH782" i="2"/>
  <c r="AH783" i="2"/>
  <c r="AH784" i="2"/>
  <c r="AH785" i="2"/>
  <c r="AH786" i="2"/>
  <c r="AH787" i="2"/>
  <c r="AH788" i="2"/>
  <c r="AH789" i="2"/>
  <c r="AH790" i="2"/>
  <c r="AH791" i="2"/>
  <c r="AH792" i="2"/>
  <c r="AH793" i="2"/>
  <c r="AH794" i="2"/>
  <c r="AH795" i="2"/>
  <c r="AH796" i="2"/>
  <c r="AH797" i="2"/>
  <c r="AH798" i="2"/>
  <c r="AH799" i="2"/>
  <c r="AH800" i="2"/>
  <c r="AH801" i="2"/>
  <c r="AH802" i="2"/>
  <c r="AH803" i="2"/>
  <c r="AH804" i="2"/>
  <c r="AH805" i="2"/>
  <c r="AH806" i="2"/>
  <c r="AH807" i="2"/>
  <c r="AH808" i="2"/>
  <c r="AH809" i="2"/>
  <c r="AH810" i="2"/>
  <c r="AH811" i="2"/>
  <c r="AH812" i="2"/>
  <c r="AH813" i="2"/>
  <c r="AH814" i="2"/>
  <c r="AH815" i="2"/>
  <c r="AH816" i="2"/>
  <c r="AH817" i="2"/>
  <c r="AH818" i="2"/>
  <c r="AH819" i="2"/>
  <c r="AH820" i="2"/>
  <c r="AH821" i="2"/>
  <c r="AH822" i="2"/>
  <c r="AH823" i="2"/>
  <c r="AH824" i="2"/>
  <c r="AH825" i="2"/>
  <c r="AH826" i="2"/>
  <c r="AH827" i="2"/>
  <c r="AH828" i="2"/>
  <c r="AH829" i="2"/>
  <c r="AH830" i="2"/>
  <c r="AH831" i="2"/>
  <c r="AH832" i="2"/>
  <c r="AH833" i="2"/>
  <c r="AH834" i="2"/>
  <c r="AH835" i="2"/>
  <c r="AH836" i="2"/>
  <c r="AH837" i="2"/>
  <c r="AH838" i="2"/>
  <c r="AH839" i="2"/>
  <c r="AH840" i="2"/>
  <c r="AH841" i="2"/>
  <c r="AH842" i="2"/>
  <c r="AH843" i="2"/>
  <c r="AH844" i="2"/>
  <c r="AH845" i="2"/>
  <c r="AH846" i="2"/>
  <c r="AH847" i="2"/>
  <c r="AH848" i="2"/>
  <c r="AH849" i="2"/>
  <c r="AH850" i="2"/>
  <c r="AH851" i="2"/>
  <c r="AH852" i="2"/>
  <c r="AH853" i="2"/>
  <c r="AH854" i="2"/>
  <c r="AH855" i="2"/>
  <c r="AH856" i="2"/>
  <c r="AH857" i="2"/>
  <c r="AH858" i="2"/>
  <c r="AH859" i="2"/>
  <c r="AH860" i="2"/>
  <c r="AH861" i="2"/>
  <c r="AH862" i="2"/>
  <c r="AH863" i="2"/>
  <c r="AH864" i="2"/>
  <c r="AH865" i="2"/>
  <c r="AH866" i="2"/>
  <c r="AH867" i="2"/>
  <c r="AH868" i="2"/>
  <c r="AH869" i="2"/>
  <c r="AH870" i="2"/>
  <c r="AH871" i="2"/>
  <c r="AH872" i="2"/>
  <c r="AH873" i="2"/>
  <c r="AH874" i="2"/>
  <c r="AH875" i="2"/>
  <c r="AH876" i="2"/>
  <c r="AH877" i="2"/>
  <c r="AH878" i="2"/>
  <c r="AH879" i="2"/>
  <c r="AH880" i="2"/>
  <c r="AH881" i="2"/>
  <c r="AH882" i="2"/>
  <c r="AH883" i="2"/>
  <c r="AH884" i="2"/>
  <c r="AH885" i="2"/>
  <c r="AH886" i="2"/>
  <c r="AH887" i="2"/>
  <c r="AH888" i="2"/>
  <c r="AH889" i="2"/>
  <c r="AH890" i="2"/>
  <c r="AH891" i="2"/>
  <c r="AH892" i="2"/>
  <c r="AH893" i="2"/>
  <c r="AH894" i="2"/>
  <c r="AH895" i="2"/>
  <c r="AH896" i="2"/>
  <c r="AH897" i="2"/>
  <c r="AH898" i="2"/>
  <c r="AH899" i="2"/>
  <c r="AH900" i="2"/>
  <c r="AH901" i="2"/>
  <c r="AH902" i="2"/>
  <c r="AH903" i="2"/>
  <c r="AH904" i="2"/>
  <c r="AH905" i="2"/>
  <c r="AH906" i="2"/>
  <c r="AH907" i="2"/>
  <c r="AH908" i="2"/>
  <c r="AH909" i="2"/>
  <c r="AH910" i="2"/>
  <c r="AH911" i="2"/>
  <c r="AH912" i="2"/>
  <c r="AH913" i="2"/>
  <c r="AH914" i="2"/>
  <c r="AH915" i="2"/>
  <c r="AH916" i="2"/>
  <c r="AH917" i="2"/>
  <c r="AH918" i="2"/>
  <c r="AH919" i="2"/>
  <c r="AH920" i="2"/>
  <c r="AH921" i="2"/>
  <c r="AH922" i="2"/>
  <c r="AH923" i="2"/>
  <c r="AH924" i="2"/>
  <c r="AH925" i="2"/>
  <c r="AH926" i="2"/>
  <c r="AH927" i="2"/>
  <c r="AH928" i="2"/>
  <c r="AH929" i="2"/>
  <c r="AH930" i="2"/>
  <c r="AH931" i="2"/>
  <c r="AH932" i="2"/>
  <c r="AH933" i="2"/>
  <c r="AH934" i="2"/>
  <c r="AH935" i="2"/>
  <c r="AH936" i="2"/>
  <c r="AH937" i="2"/>
  <c r="AH938" i="2"/>
  <c r="AH939" i="2"/>
  <c r="AH940" i="2"/>
  <c r="AH941" i="2"/>
  <c r="AH942" i="2"/>
  <c r="AH943" i="2"/>
  <c r="AH944" i="2"/>
  <c r="AH945" i="2"/>
  <c r="AH946" i="2"/>
  <c r="AH947" i="2"/>
  <c r="AH948" i="2"/>
  <c r="AH949" i="2"/>
  <c r="AH950" i="2"/>
  <c r="AH951" i="2"/>
  <c r="AH952" i="2"/>
  <c r="AH953" i="2"/>
  <c r="AH954" i="2"/>
  <c r="AH955" i="2"/>
  <c r="AH956" i="2"/>
  <c r="AH957" i="2"/>
  <c r="AH958" i="2"/>
  <c r="AH959" i="2"/>
  <c r="AH960" i="2"/>
  <c r="AH961" i="2"/>
  <c r="AH962" i="2"/>
  <c r="AH963" i="2"/>
  <c r="AH964" i="2"/>
  <c r="AH965" i="2"/>
  <c r="AH966" i="2"/>
  <c r="AH967" i="2"/>
  <c r="AH968" i="2"/>
  <c r="AH969" i="2"/>
  <c r="AH970" i="2"/>
  <c r="AH971" i="2"/>
  <c r="AH972" i="2"/>
  <c r="AH973" i="2"/>
  <c r="AH974" i="2"/>
  <c r="AH975" i="2"/>
  <c r="AH976" i="2"/>
  <c r="AH977" i="2"/>
  <c r="AH978" i="2"/>
  <c r="AH979" i="2"/>
  <c r="AH980" i="2"/>
  <c r="AH981" i="2"/>
  <c r="AH982" i="2"/>
  <c r="AH983" i="2"/>
  <c r="AH984" i="2"/>
  <c r="AH985" i="2"/>
  <c r="AH986" i="2"/>
  <c r="AH987" i="2"/>
  <c r="AH988" i="2"/>
  <c r="AH989" i="2"/>
  <c r="AH990" i="2"/>
  <c r="AH991" i="2"/>
  <c r="AH992" i="2"/>
  <c r="AH993" i="2"/>
  <c r="AH994" i="2"/>
  <c r="AH995" i="2"/>
  <c r="AH996" i="2"/>
  <c r="AH997" i="2"/>
  <c r="AH998" i="2"/>
  <c r="AH999" i="2"/>
  <c r="AH1000" i="2"/>
  <c r="AH1001" i="2"/>
  <c r="AH1002" i="2"/>
  <c r="AH1003" i="2"/>
  <c r="AH1004" i="2"/>
  <c r="AH1005" i="2"/>
  <c r="AH1006" i="2"/>
  <c r="AH1007" i="2"/>
  <c r="AH1008" i="2"/>
  <c r="AH1009" i="2"/>
  <c r="AH1010" i="2"/>
  <c r="AH1011" i="2"/>
  <c r="AH1012" i="2"/>
  <c r="AH1013" i="2"/>
  <c r="AH1014" i="2"/>
  <c r="AH1015" i="2"/>
  <c r="AH1016" i="2"/>
  <c r="AH1017" i="2"/>
  <c r="AH1018" i="2"/>
  <c r="AH1019" i="2"/>
  <c r="AH1020" i="2"/>
  <c r="AH1021" i="2"/>
  <c r="AH1022" i="2"/>
  <c r="AH1023" i="2"/>
  <c r="AH1024" i="2"/>
  <c r="AH1025" i="2"/>
  <c r="AH1026" i="2"/>
  <c r="AH1027" i="2"/>
  <c r="AH1028" i="2"/>
  <c r="AH1029" i="2"/>
  <c r="AH1030" i="2"/>
  <c r="AH1031" i="2"/>
  <c r="AH1032" i="2"/>
  <c r="AH1033" i="2"/>
  <c r="AH1034" i="2"/>
  <c r="AH1035" i="2"/>
  <c r="AH1036" i="2"/>
  <c r="AH1037" i="2"/>
  <c r="AH1038" i="2"/>
  <c r="AH1039" i="2"/>
  <c r="AH1040" i="2"/>
  <c r="AH1041" i="2"/>
  <c r="AH1042" i="2"/>
  <c r="AH1043" i="2"/>
  <c r="AH1044" i="2"/>
  <c r="AH1045" i="2"/>
  <c r="AH1046" i="2"/>
  <c r="AH1047" i="2"/>
  <c r="AH1048" i="2"/>
  <c r="AH1049" i="2"/>
  <c r="AH1050" i="2"/>
  <c r="AH1051" i="2"/>
  <c r="AH1052" i="2"/>
  <c r="AH1053" i="2"/>
  <c r="AH1054" i="2"/>
  <c r="AH1055" i="2"/>
  <c r="AH1056" i="2"/>
  <c r="AH1057" i="2"/>
  <c r="AH1058" i="2"/>
  <c r="AH1059" i="2"/>
  <c r="AH1060" i="2"/>
  <c r="AH1061" i="2"/>
  <c r="AH1062" i="2"/>
  <c r="AH1063" i="2"/>
  <c r="AH1064" i="2"/>
  <c r="AH1065" i="2"/>
  <c r="AH1066" i="2"/>
  <c r="AH1067" i="2"/>
  <c r="AH1068" i="2"/>
  <c r="AH1069" i="2"/>
  <c r="AH1070" i="2"/>
  <c r="AH1071" i="2"/>
  <c r="AH1072" i="2"/>
  <c r="AH1073" i="2"/>
  <c r="AH1074" i="2"/>
  <c r="AH1075" i="2"/>
  <c r="AH1076" i="2"/>
  <c r="AH1077" i="2"/>
  <c r="AH1078" i="2"/>
  <c r="AH1079" i="2"/>
  <c r="AH1080" i="2"/>
  <c r="AH1081" i="2"/>
  <c r="AH1082" i="2"/>
  <c r="AH1083" i="2"/>
  <c r="AH1084" i="2"/>
  <c r="AH1085" i="2"/>
  <c r="AH1086" i="2"/>
  <c r="AH1087" i="2"/>
  <c r="AH1088" i="2"/>
  <c r="AH1089" i="2"/>
  <c r="AH1090" i="2"/>
  <c r="AH1091" i="2"/>
  <c r="AH1092" i="2"/>
  <c r="AH1093" i="2"/>
  <c r="AH1094" i="2"/>
  <c r="AH1095" i="2"/>
  <c r="AH1096" i="2"/>
  <c r="AH1097" i="2"/>
  <c r="AH1098" i="2"/>
  <c r="AH1099" i="2"/>
  <c r="AH1100" i="2"/>
  <c r="AH1101" i="2"/>
  <c r="AH1102" i="2"/>
  <c r="AH1103" i="2"/>
  <c r="AH1104" i="2"/>
  <c r="AH1105" i="2"/>
  <c r="AH1106" i="2"/>
  <c r="AH1107" i="2"/>
  <c r="AH1108" i="2"/>
  <c r="AH1109" i="2"/>
  <c r="AH1110" i="2"/>
  <c r="AH1111" i="2"/>
  <c r="AH1112" i="2"/>
  <c r="AH1113" i="2"/>
  <c r="AH1114" i="2"/>
  <c r="AH1115" i="2"/>
  <c r="AH1116" i="2"/>
  <c r="AH1117" i="2"/>
  <c r="AH1118" i="2"/>
  <c r="AH1119" i="2"/>
  <c r="AH1120" i="2"/>
  <c r="AH1121" i="2"/>
  <c r="AH1122" i="2"/>
  <c r="AH1123" i="2"/>
  <c r="AH1124" i="2"/>
  <c r="AH1125" i="2"/>
  <c r="AH1126" i="2"/>
  <c r="AH1127" i="2"/>
  <c r="AH1128" i="2"/>
  <c r="AH1129" i="2"/>
  <c r="AH1130" i="2"/>
  <c r="AH1131" i="2"/>
  <c r="AH1132" i="2"/>
  <c r="AH1133" i="2"/>
  <c r="AH1134" i="2"/>
  <c r="AH1135" i="2"/>
  <c r="AH1136" i="2"/>
  <c r="AH1137" i="2"/>
  <c r="AH1138" i="2"/>
  <c r="AH1139" i="2"/>
  <c r="AH1140" i="2"/>
  <c r="AH1141" i="2"/>
  <c r="AH1142" i="2"/>
  <c r="AH1143" i="2"/>
  <c r="AH1144" i="2"/>
  <c r="AH1145" i="2"/>
  <c r="AH1146" i="2"/>
  <c r="AH1147" i="2"/>
  <c r="AH1148" i="2"/>
  <c r="AH1149" i="2"/>
  <c r="AH1150" i="2"/>
  <c r="AH1151" i="2"/>
  <c r="AH1152" i="2"/>
  <c r="AH1153" i="2"/>
  <c r="AH1154" i="2"/>
  <c r="AH1155" i="2"/>
  <c r="AH1156" i="2"/>
  <c r="AH1157" i="2"/>
  <c r="AH1158" i="2"/>
  <c r="AH1159" i="2"/>
  <c r="AH1160" i="2"/>
  <c r="AH1161" i="2"/>
  <c r="AH1162" i="2"/>
  <c r="AH1163" i="2"/>
  <c r="AH1164" i="2"/>
  <c r="AH1165" i="2"/>
  <c r="AH1166" i="2"/>
  <c r="AH1167" i="2"/>
  <c r="AH1168" i="2"/>
  <c r="AH1169" i="2"/>
  <c r="AH1170" i="2"/>
  <c r="AH1171" i="2"/>
  <c r="AH1172" i="2"/>
  <c r="AH1173" i="2"/>
  <c r="AH1174" i="2"/>
  <c r="AH1175" i="2"/>
  <c r="AH1176" i="2"/>
  <c r="AH1177" i="2"/>
  <c r="AH1178" i="2"/>
  <c r="AH1179" i="2"/>
  <c r="AH1180" i="2"/>
  <c r="AH1181" i="2"/>
  <c r="AH1182" i="2"/>
  <c r="AH1183" i="2"/>
  <c r="AH1184" i="2"/>
  <c r="AH1185" i="2"/>
  <c r="AH1186" i="2"/>
  <c r="AH1187" i="2"/>
  <c r="AH1188" i="2"/>
  <c r="AH1189" i="2"/>
  <c r="AH1190" i="2"/>
  <c r="AH1191" i="2"/>
  <c r="AH1192" i="2"/>
  <c r="AH1193" i="2"/>
  <c r="AH1194" i="2"/>
  <c r="AH1195" i="2"/>
  <c r="AH1196" i="2"/>
  <c r="AH1197" i="2"/>
  <c r="AH1198" i="2"/>
  <c r="AH1199" i="2"/>
  <c r="AH1200" i="2"/>
  <c r="AH1201" i="2"/>
  <c r="AH1202" i="2"/>
  <c r="AH1203" i="2"/>
  <c r="AH1204" i="2"/>
  <c r="AH1205" i="2"/>
  <c r="AH1206" i="2"/>
  <c r="AH1207" i="2"/>
  <c r="AH1208" i="2"/>
  <c r="AH1209" i="2"/>
  <c r="AH1210" i="2"/>
  <c r="AH1211" i="2"/>
  <c r="AH1212" i="2"/>
  <c r="AH1213" i="2"/>
  <c r="AH1214" i="2"/>
  <c r="AH1215" i="2"/>
  <c r="AH1216" i="2"/>
  <c r="AH1217" i="2"/>
  <c r="AH1218" i="2"/>
  <c r="AH1219" i="2"/>
  <c r="AH1220" i="2"/>
  <c r="AH1221" i="2"/>
  <c r="AH1222" i="2"/>
  <c r="AH1223" i="2"/>
  <c r="AH1224" i="2"/>
  <c r="AH1225" i="2"/>
  <c r="AH1226" i="2"/>
  <c r="AH1227" i="2"/>
  <c r="AH1228" i="2"/>
  <c r="AH1229" i="2"/>
  <c r="AH1230" i="2"/>
  <c r="AH1231" i="2"/>
  <c r="AH1232" i="2"/>
  <c r="AH1233" i="2"/>
  <c r="AH1234" i="2"/>
  <c r="AH1235" i="2"/>
  <c r="AH1236" i="2"/>
  <c r="AH1237" i="2"/>
  <c r="AH1238" i="2"/>
  <c r="AH1239" i="2"/>
  <c r="AH1240" i="2"/>
  <c r="AH1241" i="2"/>
  <c r="AH1242" i="2"/>
  <c r="AH1243" i="2"/>
  <c r="AH1244" i="2"/>
  <c r="AH1245" i="2"/>
  <c r="AH1246" i="2"/>
  <c r="AH1247" i="2"/>
  <c r="AH1248" i="2"/>
  <c r="AH1249" i="2"/>
  <c r="AH1250" i="2"/>
  <c r="AH1251" i="2"/>
  <c r="AH1252" i="2"/>
  <c r="AH1253" i="2"/>
  <c r="AH1254" i="2"/>
  <c r="AH1255" i="2"/>
  <c r="AH1256" i="2"/>
  <c r="AH1257" i="2"/>
  <c r="AH1258" i="2"/>
  <c r="AH1259" i="2"/>
  <c r="AH1260" i="2"/>
  <c r="AH1261" i="2"/>
  <c r="AH1262" i="2"/>
  <c r="AH1263" i="2"/>
  <c r="AH1264" i="2"/>
  <c r="AH1265" i="2"/>
  <c r="AH1266" i="2"/>
  <c r="AH1267" i="2"/>
  <c r="AH1268" i="2"/>
  <c r="AH1269" i="2"/>
  <c r="AH1270" i="2"/>
  <c r="AH1271" i="2"/>
  <c r="AH1272" i="2"/>
  <c r="AH1273" i="2"/>
  <c r="AH1274" i="2"/>
  <c r="AH1275" i="2"/>
  <c r="AH1276" i="2"/>
  <c r="AH1277" i="2"/>
  <c r="AH1278" i="2"/>
  <c r="AH1279" i="2"/>
  <c r="AH1280" i="2"/>
  <c r="AH1281" i="2"/>
  <c r="AH1282" i="2"/>
  <c r="AH1283" i="2"/>
  <c r="AH1284" i="2"/>
  <c r="AH1285" i="2"/>
  <c r="AH1286" i="2"/>
  <c r="AH1287" i="2"/>
  <c r="AH1288" i="2"/>
  <c r="AH1289" i="2"/>
  <c r="AH1290" i="2"/>
  <c r="AH1291" i="2"/>
  <c r="AH1292" i="2"/>
  <c r="AH1293" i="2"/>
  <c r="AH1294" i="2"/>
  <c r="AH1295" i="2"/>
  <c r="AH1296" i="2"/>
  <c r="AH1297" i="2"/>
  <c r="AH1298" i="2"/>
  <c r="AH1299" i="2"/>
  <c r="AH1300" i="2"/>
  <c r="AH1301" i="2"/>
  <c r="AH1302" i="2"/>
  <c r="AH1303" i="2"/>
  <c r="AH1304" i="2"/>
  <c r="AH1305" i="2"/>
  <c r="AH1306" i="2"/>
  <c r="AH1307" i="2"/>
  <c r="AH1308" i="2"/>
  <c r="AH1309" i="2"/>
  <c r="AH1310" i="2"/>
  <c r="AH1311" i="2"/>
  <c r="AH1312" i="2"/>
  <c r="AH1313" i="2"/>
  <c r="AH1314" i="2"/>
  <c r="AH1315" i="2"/>
  <c r="AH1316" i="2"/>
  <c r="AH1317" i="2"/>
  <c r="AH1318" i="2"/>
  <c r="AH1319" i="2"/>
  <c r="AH1320" i="2"/>
  <c r="AH1321" i="2"/>
  <c r="AH1322" i="2"/>
  <c r="AH1323" i="2"/>
  <c r="AH1324" i="2"/>
  <c r="AH1325" i="2"/>
  <c r="AH1326" i="2"/>
  <c r="AH1327" i="2"/>
  <c r="AH1328" i="2"/>
  <c r="AH1329" i="2"/>
  <c r="AH1330" i="2"/>
  <c r="AH1331" i="2"/>
  <c r="AH1332" i="2"/>
  <c r="AH1333" i="2"/>
  <c r="AH1334" i="2"/>
  <c r="AH1335" i="2"/>
  <c r="AH1336" i="2"/>
  <c r="AH1337" i="2"/>
  <c r="AH1338" i="2"/>
  <c r="AH1339" i="2"/>
  <c r="AH1340" i="2"/>
  <c r="AH1341" i="2"/>
  <c r="AH1342" i="2"/>
  <c r="AH1343" i="2"/>
  <c r="AH1344" i="2"/>
  <c r="AH1345" i="2"/>
  <c r="AH1346" i="2"/>
  <c r="AH1347" i="2"/>
  <c r="AH1348" i="2"/>
  <c r="AH1349" i="2"/>
  <c r="AH1350" i="2"/>
  <c r="AH1351" i="2"/>
  <c r="AH1352" i="2"/>
  <c r="AH1353" i="2"/>
  <c r="AH1354" i="2"/>
  <c r="AH1355" i="2"/>
  <c r="AH1356" i="2"/>
  <c r="AH1357" i="2"/>
  <c r="AH1358" i="2"/>
  <c r="AH1359" i="2"/>
  <c r="AH1360" i="2"/>
  <c r="AH1361" i="2"/>
  <c r="AH1362" i="2"/>
  <c r="AH1363" i="2"/>
  <c r="AH1364" i="2"/>
  <c r="AH1365" i="2"/>
  <c r="AH1366" i="2"/>
  <c r="AH1367" i="2"/>
  <c r="AH1368" i="2"/>
  <c r="AH1369" i="2"/>
  <c r="AH1370" i="2"/>
  <c r="AH1371" i="2"/>
  <c r="AH1372" i="2"/>
  <c r="AH1373" i="2"/>
  <c r="AH1374" i="2"/>
  <c r="AH1375" i="2"/>
  <c r="AH1376" i="2"/>
  <c r="AH1377" i="2"/>
  <c r="AH1378" i="2"/>
  <c r="AH1379" i="2"/>
  <c r="AH1380" i="2"/>
  <c r="AH1381" i="2"/>
  <c r="AH1382" i="2"/>
  <c r="AH1383" i="2"/>
  <c r="AH1384" i="2"/>
  <c r="AH1385" i="2"/>
  <c r="AH1386" i="2"/>
  <c r="AH1387" i="2"/>
  <c r="AH1388" i="2"/>
  <c r="AH1389" i="2"/>
  <c r="AH1390" i="2"/>
  <c r="AH1391" i="2"/>
  <c r="AH1392" i="2"/>
  <c r="AH1393" i="2"/>
  <c r="AH1394" i="2"/>
  <c r="AH1395" i="2"/>
  <c r="AH1396" i="2"/>
  <c r="AH1397" i="2"/>
  <c r="AH1398" i="2"/>
  <c r="AH1399" i="2"/>
  <c r="AH1400" i="2"/>
  <c r="AH1401" i="2"/>
  <c r="AH1402" i="2"/>
  <c r="AH1403" i="2"/>
  <c r="AH1404" i="2"/>
  <c r="AH1405" i="2"/>
  <c r="AH1406" i="2"/>
  <c r="AH1407" i="2"/>
  <c r="AH1408" i="2"/>
  <c r="AH1409" i="2"/>
  <c r="AH1410" i="2"/>
  <c r="AH1411" i="2"/>
  <c r="AH1412" i="2"/>
  <c r="AH1413" i="2"/>
  <c r="AH1414" i="2"/>
  <c r="AH1415" i="2"/>
  <c r="AH1416" i="2"/>
  <c r="AH1417" i="2"/>
  <c r="AH1418" i="2"/>
  <c r="AH1419" i="2"/>
  <c r="AH1420" i="2"/>
  <c r="AH1421" i="2"/>
  <c r="AH1422" i="2"/>
  <c r="AH1423" i="2"/>
  <c r="AH1424" i="2"/>
  <c r="AH1425" i="2"/>
  <c r="AH1426" i="2"/>
  <c r="AH1427" i="2"/>
  <c r="AH1428" i="2"/>
  <c r="AH1429" i="2"/>
  <c r="AH1430" i="2"/>
  <c r="AH1431" i="2"/>
  <c r="AH1432" i="2"/>
  <c r="AH1433" i="2"/>
  <c r="AH1434" i="2"/>
  <c r="AH1435" i="2"/>
  <c r="AH1436" i="2"/>
  <c r="AH1437" i="2"/>
  <c r="AH1438" i="2"/>
  <c r="AH1439" i="2"/>
  <c r="AH1440" i="2"/>
  <c r="AH1441" i="2"/>
  <c r="AH1442" i="2"/>
  <c r="AH1443" i="2"/>
  <c r="AH1444" i="2"/>
  <c r="AH1445" i="2"/>
  <c r="AH1446" i="2"/>
  <c r="AH1447" i="2"/>
  <c r="AH1448" i="2"/>
  <c r="AH1449" i="2"/>
  <c r="AH1450" i="2"/>
  <c r="AH1451" i="2"/>
  <c r="AH1452" i="2"/>
  <c r="AH1453" i="2"/>
  <c r="AH1454" i="2"/>
  <c r="AH1455" i="2"/>
  <c r="AH1456" i="2"/>
  <c r="AH1457" i="2"/>
  <c r="AH1458" i="2"/>
  <c r="AH1459" i="2"/>
  <c r="AH1460" i="2"/>
  <c r="AH1461" i="2"/>
  <c r="AH1462" i="2"/>
  <c r="AH1463" i="2"/>
  <c r="AH1464" i="2"/>
  <c r="AH1465" i="2"/>
  <c r="AH1466" i="2"/>
  <c r="AH1467" i="2"/>
  <c r="AH1468" i="2"/>
  <c r="AH1469" i="2"/>
  <c r="AH1470" i="2"/>
  <c r="AH1471" i="2"/>
  <c r="AH1472" i="2"/>
  <c r="AH1473" i="2"/>
  <c r="AH1474" i="2"/>
  <c r="AH1475" i="2"/>
  <c r="AH1476" i="2"/>
  <c r="AH1477" i="2"/>
  <c r="AH1478" i="2"/>
  <c r="AH1479" i="2"/>
  <c r="AH1480" i="2"/>
  <c r="AH1481" i="2"/>
  <c r="AH1482" i="2"/>
  <c r="AH1483" i="2"/>
  <c r="AH1484" i="2"/>
  <c r="AH1485" i="2"/>
  <c r="AH1486" i="2"/>
  <c r="AH1487" i="2"/>
  <c r="AH1488" i="2"/>
  <c r="AH1489" i="2"/>
  <c r="AH1490" i="2"/>
  <c r="AH1491" i="2"/>
  <c r="AH1492" i="2"/>
  <c r="AH1493" i="2"/>
  <c r="AH1494" i="2"/>
  <c r="AH1495" i="2"/>
  <c r="AH1496" i="2"/>
  <c r="AH1497" i="2"/>
  <c r="AH1498" i="2"/>
  <c r="AH1499" i="2"/>
  <c r="AH1500" i="2"/>
  <c r="AH1501" i="2"/>
  <c r="AH1502" i="2"/>
  <c r="AH1503" i="2"/>
  <c r="AH1504" i="2"/>
  <c r="AH1505" i="2"/>
  <c r="AH1506" i="2"/>
  <c r="AH1507" i="2"/>
  <c r="AH1508" i="2"/>
  <c r="AH1509" i="2"/>
  <c r="AH1510" i="2"/>
  <c r="AH1511" i="2"/>
  <c r="AH1512" i="2"/>
  <c r="AH1513" i="2"/>
  <c r="AH1514" i="2"/>
  <c r="AH1515" i="2"/>
  <c r="AH1516" i="2"/>
  <c r="AH1517" i="2"/>
  <c r="AH1518" i="2"/>
  <c r="AH1519" i="2"/>
  <c r="AH1520" i="2"/>
  <c r="AH1521" i="2"/>
  <c r="AH1522" i="2"/>
  <c r="AH1523" i="2"/>
  <c r="AH1524" i="2"/>
  <c r="AH1525" i="2"/>
  <c r="AH1526" i="2"/>
  <c r="AH1527" i="2"/>
  <c r="AH1528" i="2"/>
  <c r="AH1529" i="2"/>
  <c r="AH1530" i="2"/>
  <c r="AH1531" i="2"/>
  <c r="AH1532" i="2"/>
  <c r="AH1533" i="2"/>
  <c r="AH1534" i="2"/>
  <c r="AH1535" i="2"/>
  <c r="AH1536" i="2"/>
  <c r="AH1537" i="2"/>
  <c r="AH1538" i="2"/>
  <c r="AH1539" i="2"/>
  <c r="AH1540" i="2"/>
  <c r="AH1541" i="2"/>
  <c r="AH1542" i="2"/>
  <c r="AH1543" i="2"/>
  <c r="AH1544" i="2"/>
  <c r="AH1545" i="2"/>
  <c r="AH1546" i="2"/>
  <c r="AH1547" i="2"/>
  <c r="AH1548" i="2"/>
  <c r="AH1549" i="2"/>
  <c r="AH1550" i="2"/>
  <c r="AH1551" i="2"/>
  <c r="AH1552" i="2"/>
  <c r="AH1553" i="2"/>
  <c r="AH1554" i="2"/>
  <c r="AH1555" i="2"/>
  <c r="AH1556" i="2"/>
  <c r="AH1557" i="2"/>
  <c r="AH1558" i="2"/>
  <c r="AH1559" i="2"/>
  <c r="AH1560" i="2"/>
  <c r="AH1561" i="2"/>
  <c r="AH1562" i="2"/>
  <c r="AH1563" i="2"/>
  <c r="AH1564" i="2"/>
  <c r="AH1565" i="2"/>
  <c r="AH1566" i="2"/>
  <c r="AH1567" i="2"/>
  <c r="AH1568" i="2"/>
  <c r="AH1569" i="2"/>
  <c r="AH1570" i="2"/>
  <c r="AH1571" i="2"/>
  <c r="AH1572" i="2"/>
  <c r="AH1573" i="2"/>
  <c r="AH1574" i="2"/>
  <c r="AH1575" i="2"/>
  <c r="AH1576" i="2"/>
  <c r="AH1577" i="2"/>
  <c r="AH1578" i="2"/>
  <c r="AH1579" i="2"/>
  <c r="AH1580" i="2"/>
  <c r="AH1581" i="2"/>
  <c r="AH1582" i="2"/>
  <c r="AH1583" i="2"/>
  <c r="AH1584" i="2"/>
  <c r="AH1585" i="2"/>
  <c r="AH1586" i="2"/>
  <c r="AH1587" i="2"/>
  <c r="AH1588" i="2"/>
  <c r="AH1589" i="2"/>
  <c r="AH1590" i="2"/>
  <c r="AH1591" i="2"/>
  <c r="AH1592" i="2"/>
  <c r="AH1593" i="2"/>
  <c r="AH1594" i="2"/>
  <c r="AH1595" i="2"/>
  <c r="AH1596" i="2"/>
  <c r="AH1597" i="2"/>
  <c r="AH1598" i="2"/>
  <c r="AH1599" i="2"/>
  <c r="AH1600" i="2"/>
  <c r="AH1601" i="2"/>
  <c r="AH1602" i="2"/>
  <c r="AH1603" i="2"/>
  <c r="AH1604" i="2"/>
  <c r="AH1605" i="2"/>
  <c r="AH1606" i="2"/>
  <c r="AH1607" i="2"/>
  <c r="AH1608" i="2"/>
  <c r="AH1609" i="2"/>
  <c r="AH1610" i="2"/>
  <c r="AH1611" i="2"/>
  <c r="AH1612" i="2"/>
  <c r="AH1613" i="2"/>
  <c r="AH1614" i="2"/>
  <c r="AH1615" i="2"/>
  <c r="AH1616" i="2"/>
  <c r="AH1617" i="2"/>
  <c r="AH1618" i="2"/>
  <c r="AH1619" i="2"/>
  <c r="AH1620" i="2"/>
  <c r="AH1621" i="2"/>
  <c r="AH1622" i="2"/>
  <c r="AH1623" i="2"/>
  <c r="AH1624" i="2"/>
  <c r="AH1625" i="2"/>
  <c r="AH1626" i="2"/>
  <c r="AH1627" i="2"/>
  <c r="AH1628" i="2"/>
  <c r="AH1629" i="2"/>
  <c r="AH1630" i="2"/>
  <c r="AH1631" i="2"/>
  <c r="AH1632" i="2"/>
  <c r="AH1633" i="2"/>
  <c r="AH1634" i="2"/>
  <c r="AH1635" i="2"/>
  <c r="AH1636" i="2"/>
  <c r="AH1637" i="2"/>
  <c r="AH1638" i="2"/>
  <c r="AH1639" i="2"/>
  <c r="AH1640" i="2"/>
  <c r="AH1641" i="2"/>
  <c r="AH1642" i="2"/>
  <c r="AH1643" i="2"/>
  <c r="AH1644" i="2"/>
  <c r="AH1645" i="2"/>
  <c r="AH1646" i="2"/>
  <c r="AH1647" i="2"/>
  <c r="AH1648" i="2"/>
  <c r="AH1649" i="2"/>
  <c r="AH1650" i="2"/>
  <c r="AH1651" i="2"/>
  <c r="AH1652" i="2"/>
  <c r="AH1653" i="2"/>
  <c r="AH1654" i="2"/>
  <c r="AH1655" i="2"/>
  <c r="AH1656" i="2"/>
  <c r="AH1657" i="2"/>
  <c r="AH1658" i="2"/>
  <c r="AH1659" i="2"/>
  <c r="AH1660" i="2"/>
  <c r="AH1661" i="2"/>
  <c r="AH1662" i="2"/>
  <c r="AH1663" i="2"/>
  <c r="AH1664" i="2"/>
  <c r="AH1665" i="2"/>
  <c r="AH1666" i="2"/>
  <c r="AH1667" i="2"/>
  <c r="AH1668" i="2"/>
  <c r="AH1669" i="2"/>
  <c r="AH1670" i="2"/>
  <c r="AH1671" i="2"/>
  <c r="AH1672" i="2"/>
  <c r="AH1673" i="2"/>
  <c r="AH1674" i="2"/>
  <c r="AH1675" i="2"/>
  <c r="AH1676" i="2"/>
  <c r="AH1677" i="2"/>
  <c r="AH1678" i="2"/>
  <c r="AH1679" i="2"/>
  <c r="AH1680" i="2"/>
  <c r="AH1681" i="2"/>
  <c r="AH1682" i="2"/>
  <c r="AH1683" i="2"/>
  <c r="AH1684" i="2"/>
  <c r="AH1685" i="2"/>
  <c r="AH1686" i="2"/>
  <c r="AH1687" i="2"/>
  <c r="AH1688" i="2"/>
  <c r="AH1689" i="2"/>
  <c r="AH1690" i="2"/>
  <c r="AH1691" i="2"/>
  <c r="AH1692" i="2"/>
  <c r="AH1693" i="2"/>
  <c r="AH1694" i="2"/>
  <c r="AH1695" i="2"/>
  <c r="AH1696" i="2"/>
  <c r="AH1697" i="2"/>
  <c r="AH1698" i="2"/>
  <c r="AH1699" i="2"/>
  <c r="AH1700" i="2"/>
  <c r="AH1701" i="2"/>
  <c r="AH1702" i="2"/>
  <c r="AH1703" i="2"/>
  <c r="AH1704" i="2"/>
  <c r="AH1705" i="2"/>
  <c r="AH1706" i="2"/>
  <c r="AH1707" i="2"/>
  <c r="AH1708" i="2"/>
  <c r="AH1709" i="2"/>
  <c r="AH1710" i="2"/>
  <c r="AH1711" i="2"/>
  <c r="AH1712" i="2"/>
  <c r="AH1713" i="2"/>
  <c r="AH1714" i="2"/>
  <c r="AH1715" i="2"/>
  <c r="AH1716" i="2"/>
  <c r="AH1717" i="2"/>
  <c r="AH1718" i="2"/>
  <c r="AH1719" i="2"/>
  <c r="AH1720" i="2"/>
  <c r="AH1721" i="2"/>
  <c r="AH1722" i="2"/>
  <c r="AH1723" i="2"/>
  <c r="AH1724" i="2"/>
  <c r="AH1725" i="2"/>
  <c r="AH1726" i="2"/>
  <c r="AH1727" i="2"/>
  <c r="AH1728" i="2"/>
  <c r="AH1729" i="2"/>
  <c r="AH1730" i="2"/>
  <c r="AH1731" i="2"/>
  <c r="AH1732" i="2"/>
  <c r="AH1733" i="2"/>
  <c r="AH1734" i="2"/>
  <c r="AH1735" i="2"/>
  <c r="AH1736" i="2"/>
  <c r="AH1737" i="2"/>
  <c r="AH1738" i="2"/>
  <c r="AH1739" i="2"/>
  <c r="AH1740" i="2"/>
  <c r="AH1741" i="2"/>
  <c r="AH1742" i="2"/>
  <c r="AH1743" i="2"/>
  <c r="AH1744" i="2"/>
  <c r="AH1745" i="2"/>
  <c r="AH1746" i="2"/>
  <c r="AH1747" i="2"/>
  <c r="AH1748" i="2"/>
  <c r="AH1749" i="2"/>
  <c r="AH1750" i="2"/>
  <c r="AH1751" i="2"/>
  <c r="AH1752" i="2"/>
  <c r="AH1753" i="2"/>
  <c r="AH1754" i="2"/>
  <c r="AH1755" i="2"/>
  <c r="AH1756" i="2"/>
  <c r="AH1757" i="2"/>
  <c r="AH1758" i="2"/>
  <c r="AH1759" i="2"/>
  <c r="AH1760" i="2"/>
  <c r="AH1761" i="2"/>
  <c r="AH1762" i="2"/>
  <c r="AH1763" i="2"/>
  <c r="AH1764" i="2"/>
  <c r="AH1765" i="2"/>
  <c r="AH1766" i="2"/>
  <c r="AH1767" i="2"/>
  <c r="AH1768" i="2"/>
  <c r="AH1769" i="2"/>
  <c r="AH1770" i="2"/>
  <c r="AH1771" i="2"/>
  <c r="AH1772" i="2"/>
  <c r="AH1773" i="2"/>
  <c r="AH1774" i="2"/>
  <c r="AH1775" i="2"/>
  <c r="AH1776" i="2"/>
  <c r="AH1777" i="2"/>
  <c r="AH1778" i="2"/>
  <c r="AH1779" i="2"/>
  <c r="AH1780" i="2"/>
  <c r="AH1781" i="2"/>
  <c r="AH1782" i="2"/>
  <c r="AH1783" i="2"/>
  <c r="AH1784" i="2"/>
  <c r="AH1785" i="2"/>
  <c r="AH1786" i="2"/>
  <c r="AH1787" i="2"/>
  <c r="AH1788" i="2"/>
  <c r="AH1789" i="2"/>
  <c r="AH1790" i="2"/>
  <c r="AH1791" i="2"/>
  <c r="AH1792" i="2"/>
  <c r="AH1793" i="2"/>
  <c r="AH1794" i="2"/>
  <c r="AH1795" i="2"/>
  <c r="AH1796" i="2"/>
  <c r="AH1797" i="2"/>
  <c r="AH1798" i="2"/>
  <c r="AH1799" i="2"/>
  <c r="AH1800" i="2"/>
  <c r="AH1801" i="2"/>
  <c r="AH1802" i="2"/>
  <c r="AH1803" i="2"/>
  <c r="AH1804" i="2"/>
  <c r="AH1805" i="2"/>
  <c r="AH1806" i="2"/>
  <c r="AH1807" i="2"/>
  <c r="AH1808" i="2"/>
  <c r="AH1809" i="2"/>
  <c r="AH1810" i="2"/>
  <c r="AH1811" i="2"/>
  <c r="AH1812" i="2"/>
  <c r="AH1813" i="2"/>
  <c r="AH1814" i="2"/>
  <c r="AH1815" i="2"/>
  <c r="AH1816" i="2"/>
  <c r="AH1817" i="2"/>
  <c r="AH1818" i="2"/>
  <c r="AH1819" i="2"/>
  <c r="AH1820" i="2"/>
  <c r="AH1821" i="2"/>
  <c r="AH1822" i="2"/>
  <c r="AH1823" i="2"/>
  <c r="AH1824" i="2"/>
  <c r="AH1825" i="2"/>
  <c r="AH1826" i="2"/>
  <c r="AH1827" i="2"/>
  <c r="AH1828" i="2"/>
  <c r="AH1829" i="2"/>
  <c r="AH1830" i="2"/>
  <c r="AH1831" i="2"/>
  <c r="AH1832" i="2"/>
  <c r="AH1833" i="2"/>
  <c r="AH1834" i="2"/>
  <c r="AH1835" i="2"/>
  <c r="AH1836" i="2"/>
  <c r="AH1837" i="2"/>
  <c r="AH1838" i="2"/>
  <c r="AH1839" i="2"/>
  <c r="AH1840" i="2"/>
  <c r="AH1841" i="2"/>
  <c r="AH1842" i="2"/>
  <c r="AH1843" i="2"/>
  <c r="AH1844" i="2"/>
  <c r="AH1845" i="2"/>
  <c r="AH1846" i="2"/>
  <c r="AH1847" i="2"/>
  <c r="AH1848" i="2"/>
  <c r="AH1849" i="2"/>
  <c r="AH1850" i="2"/>
  <c r="AH1851" i="2"/>
  <c r="AH1852" i="2"/>
  <c r="AH1853" i="2"/>
  <c r="AH1854" i="2"/>
  <c r="AH1855" i="2"/>
  <c r="AH1856" i="2"/>
  <c r="AH1857" i="2"/>
  <c r="AH1858" i="2"/>
  <c r="AH1859" i="2"/>
  <c r="AH1860" i="2"/>
  <c r="AH1861" i="2"/>
  <c r="AH1862" i="2"/>
  <c r="AH1863" i="2"/>
  <c r="AH1864" i="2"/>
  <c r="AH1865" i="2"/>
  <c r="AH1866" i="2"/>
  <c r="AH1867" i="2"/>
  <c r="AH1868" i="2"/>
  <c r="AH1869" i="2"/>
  <c r="AH1870" i="2"/>
  <c r="AH1871" i="2"/>
  <c r="AH1872" i="2"/>
  <c r="AH1873" i="2"/>
  <c r="AH1874" i="2"/>
  <c r="AH1875" i="2"/>
  <c r="AH1876" i="2"/>
  <c r="AH1877" i="2"/>
  <c r="AH1878" i="2"/>
  <c r="AH1879" i="2"/>
  <c r="AH1880" i="2"/>
  <c r="AH1881" i="2"/>
  <c r="AH1882" i="2"/>
  <c r="AH1883" i="2"/>
  <c r="AH1884" i="2"/>
  <c r="AH1885" i="2"/>
  <c r="AH1886" i="2"/>
  <c r="AH1887" i="2"/>
  <c r="AH1888" i="2"/>
  <c r="AH1889" i="2"/>
  <c r="AH1890" i="2"/>
  <c r="AH1891" i="2"/>
  <c r="AH1892" i="2"/>
  <c r="AH1893" i="2"/>
  <c r="AH1894" i="2"/>
  <c r="AH1895" i="2"/>
  <c r="AH1896" i="2"/>
  <c r="AH1897" i="2"/>
  <c r="AH1898" i="2"/>
  <c r="AH1899" i="2"/>
  <c r="AH1900" i="2"/>
  <c r="AH1901" i="2"/>
  <c r="AH1902" i="2"/>
  <c r="AH1903" i="2"/>
  <c r="AH1904" i="2"/>
  <c r="AH1905" i="2"/>
  <c r="AH1906" i="2"/>
  <c r="AH1907" i="2"/>
  <c r="AH1908" i="2"/>
  <c r="AH1909" i="2"/>
  <c r="AH1910" i="2"/>
  <c r="AH1911" i="2"/>
  <c r="AH1912" i="2"/>
  <c r="AH1913" i="2"/>
  <c r="AH1914" i="2"/>
  <c r="AH1915" i="2"/>
  <c r="AH1916" i="2"/>
  <c r="AH1917" i="2"/>
  <c r="AH1918" i="2"/>
  <c r="AH1919" i="2"/>
  <c r="AH1920" i="2"/>
  <c r="AH1921" i="2"/>
  <c r="AH1922" i="2"/>
  <c r="AH1923" i="2"/>
  <c r="AH1924" i="2"/>
  <c r="AH1925" i="2"/>
  <c r="AH1926" i="2"/>
  <c r="AH1927" i="2"/>
  <c r="AH1928" i="2"/>
  <c r="AH1929" i="2"/>
  <c r="AH1930" i="2"/>
  <c r="AH1931" i="2"/>
  <c r="AH1932" i="2"/>
  <c r="AH1933" i="2"/>
  <c r="AH1934" i="2"/>
  <c r="AH1935" i="2"/>
  <c r="AH1936" i="2"/>
  <c r="AH1937" i="2"/>
  <c r="AH1938" i="2"/>
  <c r="AH1939" i="2"/>
  <c r="AH1940" i="2"/>
  <c r="AH1941" i="2"/>
  <c r="AH1942" i="2"/>
  <c r="AH1943" i="2"/>
  <c r="AH1944" i="2"/>
  <c r="AH1945" i="2"/>
  <c r="AH1946" i="2"/>
  <c r="AH1947" i="2"/>
  <c r="AH1948" i="2"/>
  <c r="AH1949" i="2"/>
  <c r="AH1950" i="2"/>
  <c r="AH1951" i="2"/>
  <c r="AH1952" i="2"/>
  <c r="AH1953" i="2"/>
  <c r="AH1954" i="2"/>
  <c r="AH1955" i="2"/>
  <c r="AH1956" i="2"/>
  <c r="AH1957" i="2"/>
  <c r="AH1958" i="2"/>
  <c r="AH1959" i="2"/>
  <c r="AH1960" i="2"/>
  <c r="AH1961" i="2"/>
  <c r="AH1962" i="2"/>
  <c r="AH1963" i="2"/>
  <c r="AH1964" i="2"/>
  <c r="AH1965" i="2"/>
  <c r="AH1966" i="2"/>
  <c r="AH1967" i="2"/>
  <c r="AH1968" i="2"/>
  <c r="AH1969" i="2"/>
  <c r="AH1970" i="2"/>
  <c r="AH1971" i="2"/>
  <c r="AH1972" i="2"/>
  <c r="AH1973" i="2"/>
  <c r="AH1974" i="2"/>
  <c r="AH1975" i="2"/>
  <c r="AH1976" i="2"/>
  <c r="AH1977" i="2"/>
  <c r="AH1978" i="2"/>
  <c r="AH1979" i="2"/>
  <c r="AH1980" i="2"/>
  <c r="AH1981" i="2"/>
  <c r="AH1982" i="2"/>
  <c r="AH1983" i="2"/>
  <c r="AH1984" i="2"/>
  <c r="AH1985" i="2"/>
  <c r="AH1986" i="2"/>
  <c r="AH1987" i="2"/>
  <c r="AH1988" i="2"/>
  <c r="AH1989" i="2"/>
  <c r="AH1990" i="2"/>
  <c r="AH1991" i="2"/>
  <c r="AH1992" i="2"/>
  <c r="AH1993" i="2"/>
  <c r="AH1994" i="2"/>
  <c r="AH1995" i="2"/>
  <c r="AH1996" i="2"/>
  <c r="AH1997" i="2"/>
  <c r="AH1998" i="2"/>
  <c r="AH1999" i="2"/>
  <c r="AH2000" i="2"/>
  <c r="AH2001" i="2"/>
  <c r="AH2002" i="2"/>
  <c r="AH2003" i="2"/>
  <c r="AH2004" i="2"/>
  <c r="AH2005" i="2"/>
  <c r="AH2006" i="2"/>
  <c r="AH2007" i="2"/>
  <c r="AH2008" i="2"/>
  <c r="AH2009" i="2"/>
  <c r="AH2010" i="2"/>
  <c r="AH2011" i="2"/>
  <c r="AH2012" i="2"/>
  <c r="AH2013" i="2"/>
  <c r="AH2014" i="2"/>
  <c r="AH2015" i="2"/>
  <c r="AH2016" i="2"/>
  <c r="AH2017" i="2"/>
  <c r="AH2018" i="2"/>
  <c r="AH2019" i="2"/>
  <c r="AH2020" i="2"/>
  <c r="AH2021" i="2"/>
  <c r="AH2022" i="2"/>
  <c r="AH2023" i="2"/>
  <c r="AH2024" i="2"/>
  <c r="AH2025" i="2"/>
  <c r="AH2026" i="2"/>
  <c r="AH2027" i="2"/>
  <c r="AH2028" i="2"/>
  <c r="AH2029" i="2"/>
  <c r="AH2030" i="2"/>
  <c r="AH2031" i="2"/>
  <c r="AH2032" i="2"/>
  <c r="AH2033" i="2"/>
  <c r="AH2034" i="2"/>
  <c r="AH2035" i="2"/>
  <c r="AH2036" i="2"/>
  <c r="AH2037" i="2"/>
  <c r="AH2038" i="2"/>
  <c r="AH2039" i="2"/>
  <c r="AH2040" i="2"/>
  <c r="AH2041" i="2"/>
  <c r="AH2042" i="2"/>
  <c r="AH2043" i="2"/>
  <c r="AH2044" i="2"/>
  <c r="AH2045" i="2"/>
  <c r="AH2046" i="2"/>
  <c r="AH2047" i="2"/>
  <c r="AH2048" i="2"/>
  <c r="AH2049" i="2"/>
  <c r="AH2050" i="2"/>
  <c r="AH2051" i="2"/>
  <c r="AH2052" i="2"/>
  <c r="AH2053" i="2"/>
  <c r="AH2054" i="2"/>
  <c r="AH2055" i="2"/>
  <c r="AH2056" i="2"/>
  <c r="AH2057" i="2"/>
  <c r="AH2058" i="2"/>
  <c r="AH2059" i="2"/>
  <c r="AH2060" i="2"/>
  <c r="AH2061" i="2"/>
  <c r="AH2062" i="2"/>
  <c r="AH2063" i="2"/>
  <c r="AH2064" i="2"/>
  <c r="AH2065" i="2"/>
  <c r="AH2066" i="2"/>
  <c r="AH2067" i="2"/>
  <c r="AH2068" i="2"/>
  <c r="AH2069" i="2"/>
  <c r="AH2070" i="2"/>
  <c r="AH2071" i="2"/>
  <c r="AH2072" i="2"/>
  <c r="AH2073" i="2"/>
  <c r="AH2074" i="2"/>
  <c r="AH2075" i="2"/>
  <c r="AH2076" i="2"/>
  <c r="AH2077" i="2"/>
  <c r="AH2078" i="2"/>
  <c r="AH2079" i="2"/>
  <c r="AH2080" i="2"/>
  <c r="AH2081" i="2"/>
  <c r="AH2082" i="2"/>
  <c r="AH2083" i="2"/>
  <c r="AH2084" i="2"/>
  <c r="AH2085" i="2"/>
  <c r="AH2086" i="2"/>
  <c r="AH2087" i="2"/>
  <c r="AH2088" i="2"/>
  <c r="AH2089" i="2"/>
  <c r="AH2090" i="2"/>
  <c r="AH2091" i="2"/>
  <c r="AH2092" i="2"/>
  <c r="AH2093" i="2"/>
  <c r="AH2094" i="2"/>
  <c r="AH2095" i="2"/>
  <c r="AH2096" i="2"/>
  <c r="AH2097" i="2"/>
  <c r="AH2098" i="2"/>
  <c r="AH2099" i="2"/>
  <c r="AH2100" i="2"/>
  <c r="AH2101" i="2"/>
  <c r="AH2102" i="2"/>
  <c r="AH2103" i="2"/>
  <c r="AH2104" i="2"/>
  <c r="AH2105" i="2"/>
  <c r="AH2106" i="2"/>
  <c r="AH2107" i="2"/>
  <c r="AH2108" i="2"/>
  <c r="AH2109" i="2"/>
  <c r="AH2110" i="2"/>
  <c r="AH2111" i="2"/>
  <c r="AH2112" i="2"/>
  <c r="AH2113" i="2"/>
  <c r="AH2114" i="2"/>
  <c r="AH2115" i="2"/>
  <c r="AH2116" i="2"/>
  <c r="AH2117" i="2"/>
  <c r="AH2118" i="2"/>
  <c r="AH2119" i="2"/>
  <c r="AH2120" i="2"/>
  <c r="AH2121" i="2"/>
  <c r="AH2122" i="2"/>
  <c r="AH2123" i="2"/>
  <c r="AH2124" i="2"/>
  <c r="AH2125" i="2"/>
  <c r="AH2126" i="2"/>
  <c r="AH2127" i="2"/>
  <c r="AH2128" i="2"/>
  <c r="AH2129" i="2"/>
  <c r="AH2130" i="2"/>
  <c r="AH2131" i="2"/>
  <c r="AH2132" i="2"/>
  <c r="AH2133" i="2"/>
  <c r="AH2134" i="2"/>
  <c r="AH2135" i="2"/>
  <c r="AH2136" i="2"/>
  <c r="AH2137" i="2"/>
  <c r="AH2138" i="2"/>
  <c r="AH2139" i="2"/>
  <c r="AH2140" i="2"/>
  <c r="AH2141" i="2"/>
  <c r="AH2142" i="2"/>
  <c r="AH2143" i="2"/>
  <c r="AH2144" i="2"/>
  <c r="AH2145" i="2"/>
  <c r="AH2146" i="2"/>
  <c r="AH2147" i="2"/>
  <c r="AH2148" i="2"/>
  <c r="AH2149" i="2"/>
  <c r="AH2150" i="2"/>
  <c r="AH2151" i="2"/>
  <c r="AH2152" i="2"/>
  <c r="AH2153" i="2"/>
  <c r="AH2154" i="2"/>
  <c r="AH2155" i="2"/>
  <c r="AH2156" i="2"/>
  <c r="AH2157" i="2"/>
  <c r="AH2158" i="2"/>
  <c r="AH2159" i="2"/>
  <c r="AH2160" i="2"/>
  <c r="AH2161" i="2"/>
  <c r="AH2162" i="2"/>
  <c r="AH2163" i="2"/>
  <c r="AH2164" i="2"/>
  <c r="AH2165" i="2"/>
  <c r="AH2166" i="2"/>
  <c r="AH2167" i="2"/>
  <c r="AH2168" i="2"/>
  <c r="AH2169" i="2"/>
  <c r="AH2170" i="2"/>
  <c r="AH2171" i="2"/>
  <c r="AH2172" i="2"/>
  <c r="AH2173" i="2"/>
  <c r="AH2174" i="2"/>
  <c r="AH2175" i="2"/>
  <c r="AH2176" i="2"/>
  <c r="AH2177" i="2"/>
  <c r="AH2178" i="2"/>
  <c r="AH2179" i="2"/>
  <c r="AH2180" i="2"/>
  <c r="AH2181" i="2"/>
  <c r="AH2182" i="2"/>
  <c r="AH2183" i="2"/>
  <c r="AH2184" i="2"/>
  <c r="AH2185" i="2"/>
  <c r="AH2186" i="2"/>
  <c r="AH2187" i="2"/>
  <c r="AH2188" i="2"/>
  <c r="AH2189" i="2"/>
  <c r="AH2190" i="2"/>
  <c r="AH2191" i="2"/>
  <c r="AH2192" i="2"/>
  <c r="AH2193" i="2"/>
  <c r="AH2194" i="2"/>
  <c r="AH2195" i="2"/>
  <c r="AH2196" i="2"/>
  <c r="AH2197" i="2"/>
  <c r="AH2198" i="2"/>
  <c r="AH2199" i="2"/>
  <c r="AH2200" i="2"/>
  <c r="AH2201" i="2"/>
  <c r="AH2202" i="2"/>
  <c r="AH2203" i="2"/>
  <c r="AH2204" i="2"/>
  <c r="AH2205" i="2"/>
  <c r="AH2206" i="2"/>
  <c r="AH2207" i="2"/>
  <c r="AH2208" i="2"/>
  <c r="AH2209" i="2"/>
  <c r="AH2210" i="2"/>
  <c r="AH2211" i="2"/>
  <c r="AH2212" i="2"/>
  <c r="AH2213" i="2"/>
  <c r="AH2214" i="2"/>
  <c r="AH2215" i="2"/>
  <c r="AH2216" i="2"/>
  <c r="AH2217" i="2"/>
  <c r="AH2218" i="2"/>
  <c r="AH2219" i="2"/>
  <c r="AH2220" i="2"/>
  <c r="AH2221" i="2"/>
  <c r="AH2222" i="2"/>
  <c r="AH2223" i="2"/>
  <c r="AH2224" i="2"/>
  <c r="AH2225" i="2"/>
  <c r="AH2226" i="2"/>
  <c r="AH2227" i="2"/>
  <c r="AH2228" i="2"/>
  <c r="AH2229" i="2"/>
  <c r="AH2230" i="2"/>
  <c r="AH2231" i="2"/>
  <c r="AH2232" i="2"/>
  <c r="AH2233" i="2"/>
  <c r="AH2234" i="2"/>
  <c r="AH2235" i="2"/>
  <c r="AH2236" i="2"/>
  <c r="AH2237" i="2"/>
  <c r="AH2238" i="2"/>
  <c r="AH2239" i="2"/>
  <c r="AH2240" i="2"/>
  <c r="AH2241" i="2"/>
  <c r="AH2242" i="2"/>
  <c r="AH2243" i="2"/>
  <c r="AH2244" i="2"/>
  <c r="AH2245" i="2"/>
  <c r="AH2246" i="2"/>
  <c r="AH2247" i="2"/>
  <c r="AH2248" i="2"/>
  <c r="AH2249" i="2"/>
  <c r="AH2250" i="2"/>
  <c r="AH2251" i="2"/>
  <c r="AH2252" i="2"/>
  <c r="AH2253" i="2"/>
  <c r="AH2254" i="2"/>
  <c r="AH2255" i="2"/>
  <c r="AH2256" i="2"/>
  <c r="AH2257" i="2"/>
  <c r="AH2258" i="2"/>
  <c r="AH2259" i="2"/>
  <c r="AH2260" i="2"/>
  <c r="AH2261" i="2"/>
  <c r="AH2262" i="2"/>
  <c r="AH2263" i="2"/>
  <c r="AH2264" i="2"/>
  <c r="AH2265" i="2"/>
  <c r="AH2266" i="2"/>
  <c r="AH2267" i="2"/>
  <c r="AH2268" i="2"/>
  <c r="AH2269" i="2"/>
  <c r="AH2270" i="2"/>
  <c r="AH2271" i="2"/>
  <c r="AH2272" i="2"/>
  <c r="AH2273" i="2"/>
  <c r="AH2274" i="2"/>
  <c r="AH2275" i="2"/>
  <c r="AH2276" i="2"/>
  <c r="AH2277" i="2"/>
  <c r="AH2278" i="2"/>
  <c r="AH2279" i="2"/>
  <c r="AH2280" i="2"/>
  <c r="AH2281" i="2"/>
  <c r="AH2282" i="2"/>
  <c r="AH2283" i="2"/>
  <c r="AH2284" i="2"/>
  <c r="AH2285" i="2"/>
  <c r="AH2286" i="2"/>
  <c r="AH2287" i="2"/>
  <c r="AH2288" i="2"/>
  <c r="AH2289" i="2"/>
  <c r="AH2290" i="2"/>
  <c r="AH2291" i="2"/>
  <c r="AH2292" i="2"/>
  <c r="AH2293" i="2"/>
  <c r="AH2294" i="2"/>
  <c r="AH2295" i="2"/>
  <c r="AH2296" i="2"/>
  <c r="AH2297" i="2"/>
  <c r="AH2298" i="2"/>
  <c r="AH2299" i="2"/>
  <c r="AH2300" i="2"/>
  <c r="AH2301" i="2"/>
  <c r="AH2302" i="2"/>
  <c r="AH2303" i="2"/>
  <c r="AH2304" i="2"/>
  <c r="AH2305" i="2"/>
  <c r="AH2306" i="2"/>
  <c r="AH2307" i="2"/>
  <c r="AH2308" i="2"/>
  <c r="AH2309" i="2"/>
  <c r="AH2310" i="2"/>
  <c r="AH2311" i="2"/>
  <c r="AH2312" i="2"/>
  <c r="AH2313" i="2"/>
  <c r="AH2314" i="2"/>
  <c r="AH2315" i="2"/>
  <c r="AH2316" i="2"/>
  <c r="AH2317" i="2"/>
  <c r="AH2318" i="2"/>
  <c r="AH2319" i="2"/>
  <c r="AH2320" i="2"/>
  <c r="AH2321" i="2"/>
  <c r="AH2322" i="2"/>
  <c r="AH2323" i="2"/>
  <c r="AH2324" i="2"/>
  <c r="AH2325" i="2"/>
  <c r="AH2326" i="2"/>
  <c r="AH2327" i="2"/>
  <c r="AH2328" i="2"/>
  <c r="AH2329" i="2"/>
  <c r="AH2330" i="2"/>
  <c r="AH2331" i="2"/>
  <c r="AH2332" i="2"/>
  <c r="AH2333" i="2"/>
  <c r="AH2334" i="2"/>
  <c r="AH2335" i="2"/>
  <c r="AH2336" i="2"/>
  <c r="AH2337" i="2"/>
  <c r="AH2338" i="2"/>
  <c r="AH2339" i="2"/>
  <c r="AH2340" i="2"/>
  <c r="AH2341" i="2"/>
  <c r="AH2342" i="2"/>
  <c r="AH2343" i="2"/>
  <c r="AH2344" i="2"/>
  <c r="AH2345" i="2"/>
  <c r="AH2346" i="2"/>
  <c r="AH2347" i="2"/>
  <c r="AH2348" i="2"/>
  <c r="AH2349" i="2"/>
  <c r="AH2350" i="2"/>
  <c r="AH2351" i="2"/>
  <c r="AH2352" i="2"/>
  <c r="AH2353" i="2"/>
  <c r="AH2354" i="2"/>
  <c r="AH2355" i="2"/>
  <c r="AH2356" i="2"/>
  <c r="AH2357" i="2"/>
  <c r="AH2358" i="2"/>
  <c r="AH2359" i="2"/>
  <c r="AH2360" i="2"/>
  <c r="AH2361" i="2"/>
  <c r="AH2362" i="2"/>
  <c r="AH2363" i="2"/>
  <c r="AH2364" i="2"/>
  <c r="AH2365" i="2"/>
  <c r="AH2366" i="2"/>
  <c r="AH2367" i="2"/>
  <c r="AH2368" i="2"/>
  <c r="AH2369" i="2"/>
  <c r="AH2370" i="2"/>
  <c r="AH2371" i="2"/>
  <c r="AH2372" i="2"/>
  <c r="AH2373" i="2"/>
  <c r="AH2374" i="2"/>
  <c r="AH2375" i="2"/>
  <c r="AH2376" i="2"/>
  <c r="AH2377" i="2"/>
  <c r="AH2378" i="2"/>
  <c r="AH2379" i="2"/>
  <c r="AH2380" i="2"/>
  <c r="AH2381" i="2"/>
  <c r="AH2382" i="2"/>
  <c r="AH2383" i="2"/>
  <c r="AH2384" i="2"/>
  <c r="AH2385" i="2"/>
  <c r="AH2386" i="2"/>
  <c r="AH2387" i="2"/>
  <c r="AH2388" i="2"/>
  <c r="AH2389" i="2"/>
  <c r="AH2390" i="2"/>
  <c r="AH2391" i="2"/>
  <c r="AH2392" i="2"/>
  <c r="AH2393" i="2"/>
  <c r="AH2394" i="2"/>
  <c r="AH2395" i="2"/>
  <c r="AH2396" i="2"/>
  <c r="AH2397" i="2"/>
  <c r="AH2398" i="2"/>
  <c r="AH2399" i="2"/>
  <c r="AH2400" i="2"/>
  <c r="AH2401" i="2"/>
  <c r="AH2402" i="2"/>
  <c r="AH2403" i="2"/>
  <c r="AH2404" i="2"/>
  <c r="AH2405" i="2"/>
  <c r="AH2406" i="2"/>
  <c r="AH2407" i="2"/>
  <c r="AH2408" i="2"/>
  <c r="AH2409" i="2"/>
  <c r="AH2410" i="2"/>
  <c r="AH2411" i="2"/>
  <c r="AH2412" i="2"/>
  <c r="AH2413" i="2"/>
  <c r="AH2414" i="2"/>
  <c r="AH2415" i="2"/>
  <c r="AH2416" i="2"/>
  <c r="AH2417" i="2"/>
  <c r="AH2418" i="2"/>
  <c r="AH2419" i="2"/>
  <c r="AH2420" i="2"/>
  <c r="AH2421" i="2"/>
  <c r="AH2422" i="2"/>
  <c r="AH2423" i="2"/>
  <c r="AH2424" i="2"/>
  <c r="AH2425" i="2"/>
  <c r="AH2426" i="2"/>
  <c r="AH2427" i="2"/>
  <c r="AH2428" i="2"/>
  <c r="AH2429" i="2"/>
  <c r="AH2430" i="2"/>
  <c r="AH2431" i="2"/>
  <c r="AH2432" i="2"/>
  <c r="AH2433" i="2"/>
  <c r="AH2434" i="2"/>
  <c r="AH2435" i="2"/>
  <c r="AH2436" i="2"/>
  <c r="AH2437" i="2"/>
  <c r="AH2438" i="2"/>
  <c r="AH2439" i="2"/>
  <c r="AH2440" i="2"/>
  <c r="AH2441" i="2"/>
  <c r="AH2442" i="2"/>
  <c r="AH2443" i="2"/>
  <c r="AH2444" i="2"/>
  <c r="AH2445" i="2"/>
  <c r="AH2446" i="2"/>
  <c r="AH2447" i="2"/>
  <c r="AH2448" i="2"/>
  <c r="AH2449" i="2"/>
  <c r="AH2450" i="2"/>
  <c r="AH2451" i="2"/>
  <c r="AH2452" i="2"/>
  <c r="AH2453" i="2"/>
  <c r="AH2454" i="2"/>
  <c r="AH2455" i="2"/>
  <c r="AH2456" i="2"/>
  <c r="AH2457" i="2"/>
  <c r="AH2458" i="2"/>
  <c r="AH2459" i="2"/>
  <c r="AH2460" i="2"/>
  <c r="AH2461" i="2"/>
  <c r="AH2462" i="2"/>
  <c r="AH2463" i="2"/>
  <c r="AH2464" i="2"/>
  <c r="AH2465" i="2"/>
  <c r="AH2466" i="2"/>
  <c r="AH2467" i="2"/>
  <c r="AH2468" i="2"/>
  <c r="AH2469" i="2"/>
  <c r="AH2470" i="2"/>
  <c r="AH2471" i="2"/>
  <c r="AH2472" i="2"/>
  <c r="AH2473" i="2"/>
  <c r="AH2474" i="2"/>
  <c r="AH2475" i="2"/>
  <c r="AH2476" i="2"/>
  <c r="AH2477" i="2"/>
  <c r="AH2478" i="2"/>
  <c r="AH2479" i="2"/>
  <c r="AH2480" i="2"/>
  <c r="AH2481" i="2"/>
  <c r="AH2482" i="2"/>
  <c r="AH2483" i="2"/>
  <c r="AH2484" i="2"/>
  <c r="AH2485" i="2"/>
  <c r="AH2486" i="2"/>
  <c r="AH2487" i="2"/>
  <c r="AH2488" i="2"/>
  <c r="AH2489" i="2"/>
  <c r="AH2490" i="2"/>
  <c r="AH2491" i="2"/>
  <c r="AH2492" i="2"/>
  <c r="AH2493" i="2"/>
  <c r="AH2494" i="2"/>
  <c r="AH2495" i="2"/>
  <c r="AH2496" i="2"/>
  <c r="AH2497" i="2"/>
  <c r="AH2498" i="2"/>
  <c r="AH2499" i="2"/>
  <c r="AH2500" i="2"/>
  <c r="AH2501" i="2"/>
  <c r="AH2502" i="2"/>
  <c r="AH2503" i="2"/>
  <c r="AH2504" i="2"/>
  <c r="AH2505" i="2"/>
  <c r="AH2506" i="2"/>
  <c r="AH2507" i="2"/>
  <c r="AH2508" i="2"/>
  <c r="AH2509" i="2"/>
  <c r="AH2510" i="2"/>
  <c r="AH2511" i="2"/>
  <c r="AH2512" i="2"/>
  <c r="AH2513" i="2"/>
  <c r="AH2514" i="2"/>
  <c r="AH2515" i="2"/>
  <c r="AH2516" i="2"/>
  <c r="AH2517" i="2"/>
  <c r="AH2518" i="2"/>
  <c r="AH2519" i="2"/>
  <c r="AH2520" i="2"/>
  <c r="AH2521" i="2"/>
  <c r="AH2522" i="2"/>
  <c r="AH2523" i="2"/>
  <c r="AH2524" i="2"/>
  <c r="AH2525" i="2"/>
  <c r="AH2526" i="2"/>
  <c r="AH2527" i="2"/>
  <c r="AH2528" i="2"/>
  <c r="AH2529" i="2"/>
  <c r="AH2530" i="2"/>
  <c r="AH2531" i="2"/>
  <c r="AH2532" i="2"/>
  <c r="AH2533" i="2"/>
  <c r="AH2534" i="2"/>
  <c r="AH2535" i="2"/>
  <c r="AH2536" i="2"/>
  <c r="AH2537" i="2"/>
  <c r="AH2538" i="2"/>
  <c r="AH2539" i="2"/>
  <c r="AH2540" i="2"/>
  <c r="AH2541" i="2"/>
  <c r="AH2542" i="2"/>
  <c r="AH2543" i="2"/>
  <c r="AH2544" i="2"/>
  <c r="AH2545" i="2"/>
  <c r="AH2546" i="2"/>
  <c r="AH2547" i="2"/>
  <c r="AH2548" i="2"/>
  <c r="AH2549" i="2"/>
  <c r="AH2550" i="2"/>
  <c r="AH2551" i="2"/>
  <c r="AH2552" i="2"/>
  <c r="AH2553" i="2"/>
  <c r="AH2554" i="2"/>
  <c r="AH2555" i="2"/>
  <c r="AH2556" i="2"/>
  <c r="AH2557" i="2"/>
  <c r="AH2558" i="2"/>
  <c r="AH2559" i="2"/>
  <c r="AH2560" i="2"/>
  <c r="AH2561" i="2"/>
  <c r="AH2562" i="2"/>
  <c r="AH2563" i="2"/>
  <c r="AH2564" i="2"/>
  <c r="AH2565" i="2"/>
  <c r="AH2566" i="2"/>
  <c r="AH2567" i="2"/>
  <c r="AH2568" i="2"/>
  <c r="AH2569" i="2"/>
  <c r="AH2570" i="2"/>
  <c r="AH2571" i="2"/>
  <c r="AH2572" i="2"/>
  <c r="AH2573" i="2"/>
  <c r="AH2574" i="2"/>
  <c r="AH2575" i="2"/>
  <c r="AH2576" i="2"/>
  <c r="AH2577" i="2"/>
  <c r="AH2578" i="2"/>
  <c r="AH2579" i="2"/>
  <c r="AH2580" i="2"/>
  <c r="AH2581" i="2"/>
  <c r="AH2582" i="2"/>
  <c r="AH2583" i="2"/>
  <c r="AH2584" i="2"/>
  <c r="AH2585" i="2"/>
  <c r="AH2586" i="2"/>
  <c r="AH2587" i="2"/>
  <c r="AH2588" i="2"/>
  <c r="AH2589" i="2"/>
  <c r="AH2590" i="2"/>
  <c r="AH2591" i="2"/>
  <c r="AH2592" i="2"/>
  <c r="AH2593" i="2"/>
  <c r="AH2594" i="2"/>
  <c r="AH2595" i="2"/>
  <c r="AH2596" i="2"/>
  <c r="AH2597" i="2"/>
  <c r="AH2598" i="2"/>
  <c r="AH2599" i="2"/>
  <c r="AH2600" i="2"/>
  <c r="AH2601" i="2"/>
  <c r="AH2602" i="2"/>
  <c r="AH2603" i="2"/>
  <c r="AH2604" i="2"/>
  <c r="AH2605" i="2"/>
  <c r="AH2606" i="2"/>
  <c r="AH2607" i="2"/>
  <c r="AH2608" i="2"/>
  <c r="AH2609" i="2"/>
  <c r="AH2610" i="2"/>
  <c r="AH2611" i="2"/>
  <c r="AH2612" i="2"/>
  <c r="AH2613" i="2"/>
  <c r="AH2614" i="2"/>
  <c r="AH2615" i="2"/>
  <c r="AH2616" i="2"/>
  <c r="AH2617" i="2"/>
  <c r="AH2618" i="2"/>
  <c r="AH2619" i="2"/>
  <c r="AH2620" i="2"/>
  <c r="AH2621" i="2"/>
  <c r="AH2622" i="2"/>
  <c r="AH2623" i="2"/>
  <c r="AH2624" i="2"/>
  <c r="AH2625" i="2"/>
  <c r="AH2626" i="2"/>
  <c r="AH2627" i="2"/>
  <c r="AH2628" i="2"/>
  <c r="AH2629" i="2"/>
  <c r="AH2630" i="2"/>
  <c r="AH2631" i="2"/>
  <c r="AH2632" i="2"/>
  <c r="AH2633" i="2"/>
  <c r="AH2634" i="2"/>
  <c r="AH2635" i="2"/>
  <c r="AH2636" i="2"/>
  <c r="AH2637" i="2"/>
  <c r="AH2638" i="2"/>
  <c r="AH2639" i="2"/>
  <c r="AH2640" i="2"/>
  <c r="AH2641" i="2"/>
  <c r="AH2642" i="2"/>
  <c r="AH2643" i="2"/>
  <c r="AH2644" i="2"/>
  <c r="AH2645" i="2"/>
  <c r="AH2646" i="2"/>
  <c r="AH2647" i="2"/>
  <c r="AH2648" i="2"/>
  <c r="AH2649" i="2"/>
  <c r="AH2650" i="2"/>
  <c r="AH2651" i="2"/>
  <c r="AH2652" i="2"/>
  <c r="AH2653" i="2"/>
  <c r="AH2654" i="2"/>
  <c r="AH2655" i="2"/>
  <c r="AH2656" i="2"/>
  <c r="AH2657" i="2"/>
  <c r="AH2658" i="2"/>
  <c r="AH2659" i="2"/>
  <c r="AH2660" i="2"/>
  <c r="AH2661" i="2"/>
  <c r="AH2662" i="2"/>
  <c r="AH2663" i="2"/>
  <c r="AH2664" i="2"/>
  <c r="AH2665" i="2"/>
  <c r="AH2666" i="2"/>
  <c r="AH2667" i="2"/>
  <c r="AH2668" i="2"/>
  <c r="AH2669" i="2"/>
  <c r="AH2670" i="2"/>
  <c r="AH2671" i="2"/>
  <c r="AH2672" i="2"/>
  <c r="AH2673" i="2"/>
  <c r="AH2674" i="2"/>
  <c r="AH2675" i="2"/>
  <c r="AH2676" i="2"/>
  <c r="AH2677" i="2"/>
  <c r="AH2678" i="2"/>
  <c r="AH2679" i="2"/>
  <c r="AH2680" i="2"/>
  <c r="AH2681" i="2"/>
  <c r="AH2682" i="2"/>
  <c r="AH2683" i="2"/>
  <c r="AH2684" i="2"/>
  <c r="AH2685" i="2"/>
  <c r="AH2686" i="2"/>
  <c r="AH2687" i="2"/>
  <c r="AH2688" i="2"/>
  <c r="AH2689" i="2"/>
  <c r="AH2690" i="2"/>
  <c r="AH2691" i="2"/>
  <c r="AH2692" i="2"/>
  <c r="AH2693" i="2"/>
  <c r="AH2694" i="2"/>
  <c r="AH2695" i="2"/>
  <c r="AH2696" i="2"/>
  <c r="AH2697" i="2"/>
  <c r="AH2698" i="2"/>
  <c r="AH2699" i="2"/>
  <c r="AH2700" i="2"/>
  <c r="AH2701" i="2"/>
  <c r="AH2702" i="2"/>
  <c r="AH2703" i="2"/>
  <c r="AH2704" i="2"/>
  <c r="AH2705" i="2"/>
  <c r="AH2706" i="2"/>
  <c r="AH2707" i="2"/>
  <c r="AH2708" i="2"/>
  <c r="AH2709" i="2"/>
  <c r="AH2710" i="2"/>
  <c r="AH2711" i="2"/>
  <c r="AH2712" i="2"/>
  <c r="AH2713" i="2"/>
  <c r="AH2714" i="2"/>
  <c r="AH2715" i="2"/>
  <c r="AH2716" i="2"/>
  <c r="AH2717" i="2"/>
  <c r="AH2718" i="2"/>
  <c r="AH2719" i="2"/>
  <c r="AH2720" i="2"/>
  <c r="AH2721" i="2"/>
  <c r="AH2722" i="2"/>
  <c r="AH2723" i="2"/>
  <c r="AH2724" i="2"/>
  <c r="AH2725" i="2"/>
  <c r="AH2726" i="2"/>
  <c r="AH2727" i="2"/>
  <c r="AH2728" i="2"/>
  <c r="AH2729" i="2"/>
  <c r="AH2730" i="2"/>
  <c r="AH2731" i="2"/>
  <c r="AH2732" i="2"/>
  <c r="AH2733" i="2"/>
  <c r="AH2734" i="2"/>
  <c r="AH2735" i="2"/>
  <c r="AH2736" i="2"/>
  <c r="AH2737" i="2"/>
  <c r="AH2738" i="2"/>
  <c r="AH2739" i="2"/>
  <c r="AH2740" i="2"/>
  <c r="AH2741" i="2"/>
  <c r="AH2742" i="2"/>
  <c r="AH2743" i="2"/>
  <c r="AH2744" i="2"/>
  <c r="AH2745" i="2"/>
  <c r="AH2746" i="2"/>
  <c r="AH2747" i="2"/>
  <c r="AH2748" i="2"/>
  <c r="AH2749" i="2"/>
  <c r="AH2750" i="2"/>
  <c r="AH2751" i="2"/>
  <c r="AH2752" i="2"/>
  <c r="AH2753" i="2"/>
  <c r="AH2754" i="2"/>
  <c r="AH2755" i="2"/>
  <c r="AH2756" i="2"/>
  <c r="AH2757" i="2"/>
  <c r="AH2758" i="2"/>
  <c r="AH2759" i="2"/>
  <c r="AH2760" i="2"/>
  <c r="AH2761" i="2"/>
  <c r="AH2762" i="2"/>
  <c r="AH2763" i="2"/>
  <c r="AH2764" i="2"/>
  <c r="AH2765" i="2"/>
  <c r="AH2766" i="2"/>
  <c r="AH2767" i="2"/>
  <c r="AH2768" i="2"/>
  <c r="AH2769" i="2"/>
  <c r="AH2770" i="2"/>
  <c r="AH2771" i="2"/>
  <c r="AH2772" i="2"/>
  <c r="AH2773" i="2"/>
  <c r="AH2774" i="2"/>
  <c r="AH2775" i="2"/>
  <c r="AH2776" i="2"/>
  <c r="AH2777" i="2"/>
  <c r="AH2778" i="2"/>
  <c r="AH2779" i="2"/>
  <c r="AH2780" i="2"/>
  <c r="AH2781" i="2"/>
  <c r="AH2782" i="2"/>
  <c r="AH2783" i="2"/>
  <c r="AH2784" i="2"/>
  <c r="AH2785" i="2"/>
  <c r="AH2786" i="2"/>
  <c r="AH2787" i="2"/>
  <c r="AH2788" i="2"/>
  <c r="AH2789" i="2"/>
  <c r="AH2790" i="2"/>
  <c r="AH2791" i="2"/>
  <c r="AH2792" i="2"/>
  <c r="AH2793" i="2"/>
  <c r="AH2794" i="2"/>
  <c r="AH2795" i="2"/>
  <c r="AH2796" i="2"/>
  <c r="AH2797" i="2"/>
  <c r="AH2798" i="2"/>
  <c r="AH2799" i="2"/>
  <c r="AH2800" i="2"/>
  <c r="AH2801" i="2"/>
  <c r="AH2802" i="2"/>
  <c r="AH2803" i="2"/>
  <c r="AH2804" i="2"/>
  <c r="AH2805" i="2"/>
  <c r="AH2806" i="2"/>
  <c r="AH2807" i="2"/>
  <c r="AH2808" i="2"/>
  <c r="AH2809" i="2"/>
  <c r="AH2810" i="2"/>
  <c r="AH2811" i="2"/>
  <c r="AH2812" i="2"/>
  <c r="AH2813" i="2"/>
  <c r="AH2814" i="2"/>
  <c r="AH2815" i="2"/>
  <c r="AH2816" i="2"/>
  <c r="AH2817" i="2"/>
  <c r="AH2818" i="2"/>
  <c r="AH2819" i="2"/>
  <c r="AH2820" i="2"/>
  <c r="AH2821" i="2"/>
  <c r="AH2822" i="2"/>
  <c r="AH2823" i="2"/>
  <c r="AH2824" i="2"/>
  <c r="AH2825" i="2"/>
  <c r="AH2826" i="2"/>
  <c r="AH2827" i="2"/>
  <c r="AH2828" i="2"/>
  <c r="AH2829" i="2"/>
  <c r="AH2830" i="2"/>
  <c r="AH2831" i="2"/>
  <c r="AH2832" i="2"/>
  <c r="AH2833" i="2"/>
  <c r="AH2834" i="2"/>
  <c r="AH2835" i="2"/>
  <c r="AH2836" i="2"/>
  <c r="AH2837" i="2"/>
  <c r="AH2838" i="2"/>
  <c r="AH2839" i="2"/>
  <c r="AH2840" i="2"/>
  <c r="AH2841" i="2"/>
  <c r="AH2842" i="2"/>
  <c r="AH2843" i="2"/>
  <c r="AH2844" i="2"/>
  <c r="AH2845" i="2"/>
  <c r="AH2846" i="2"/>
  <c r="AH2847" i="2"/>
  <c r="AH2848" i="2"/>
  <c r="AH2849" i="2"/>
  <c r="AH2850" i="2"/>
  <c r="AH2851" i="2"/>
  <c r="AH2852" i="2"/>
  <c r="AH2853" i="2"/>
  <c r="AH2854" i="2"/>
  <c r="AH2855" i="2"/>
  <c r="AH2856" i="2"/>
  <c r="AH2857" i="2"/>
  <c r="AH2858" i="2"/>
  <c r="AH2859" i="2"/>
  <c r="AH2860" i="2"/>
  <c r="AH2861" i="2"/>
  <c r="AH2862" i="2"/>
  <c r="AH2863" i="2"/>
  <c r="AH2864" i="2"/>
  <c r="AH2865" i="2"/>
  <c r="AH2866" i="2"/>
  <c r="AH2867" i="2"/>
  <c r="AH2868" i="2"/>
  <c r="AH2869" i="2"/>
  <c r="AH2870" i="2"/>
  <c r="AH2871" i="2"/>
  <c r="AH2872" i="2"/>
  <c r="AH2873" i="2"/>
  <c r="AH2874" i="2"/>
  <c r="AH2875" i="2"/>
  <c r="AH2876" i="2"/>
  <c r="AH2877" i="2"/>
  <c r="AH2878" i="2"/>
  <c r="AH2879" i="2"/>
  <c r="AH2880" i="2"/>
  <c r="AH2881" i="2"/>
  <c r="AH2882" i="2"/>
  <c r="AH2883" i="2"/>
  <c r="AH2884" i="2"/>
  <c r="AH2885" i="2"/>
  <c r="AH2886" i="2"/>
  <c r="AH2887" i="2"/>
  <c r="AH2888" i="2"/>
  <c r="AH2889" i="2"/>
  <c r="AH2890" i="2"/>
  <c r="AH2891" i="2"/>
  <c r="AH2892" i="2"/>
  <c r="AH2893" i="2"/>
  <c r="AH2894" i="2"/>
  <c r="AH2895" i="2"/>
  <c r="AH2896" i="2"/>
  <c r="AH2897" i="2"/>
  <c r="AH2898" i="2"/>
  <c r="AH2899" i="2"/>
  <c r="AH2900" i="2"/>
  <c r="AH2901" i="2"/>
  <c r="AH2902" i="2"/>
  <c r="AH2903" i="2"/>
  <c r="AH2904" i="2"/>
  <c r="AH2905" i="2"/>
  <c r="AH2906" i="2"/>
  <c r="AH2907" i="2"/>
  <c r="AH2908" i="2"/>
  <c r="AH2909" i="2"/>
  <c r="AH2910" i="2"/>
  <c r="AH2911" i="2"/>
  <c r="AH2912" i="2"/>
  <c r="AH2913" i="2"/>
  <c r="AH2914" i="2"/>
  <c r="AH2915" i="2"/>
  <c r="AH2916" i="2"/>
  <c r="AH2917" i="2"/>
  <c r="AH2918" i="2"/>
  <c r="AH2919" i="2"/>
  <c r="AH2920" i="2"/>
  <c r="AH2921" i="2"/>
  <c r="AH2922" i="2"/>
  <c r="AH2923" i="2"/>
  <c r="AH2924" i="2"/>
  <c r="AH2925" i="2"/>
  <c r="AH2926" i="2"/>
  <c r="AH2927" i="2"/>
  <c r="AH2928" i="2"/>
  <c r="AH2929" i="2"/>
  <c r="AH2930" i="2"/>
  <c r="AH2931" i="2"/>
  <c r="AH2932" i="2"/>
  <c r="AH2933" i="2"/>
  <c r="AH2934" i="2"/>
  <c r="AH2935" i="2"/>
  <c r="AH2936" i="2"/>
  <c r="AH2937" i="2"/>
  <c r="AH2938" i="2"/>
  <c r="AH2939" i="2"/>
  <c r="AH2940" i="2"/>
  <c r="AH2941" i="2"/>
  <c r="AH2942" i="2"/>
  <c r="AH2943" i="2"/>
  <c r="AH2944" i="2"/>
  <c r="AH2945" i="2"/>
  <c r="AH2946" i="2"/>
  <c r="AH2947" i="2"/>
  <c r="AH2948" i="2"/>
  <c r="AH2949" i="2"/>
  <c r="AH2950" i="2"/>
  <c r="AH2951" i="2"/>
  <c r="AH2952" i="2"/>
  <c r="AH2953" i="2"/>
  <c r="AH2954" i="2"/>
  <c r="AH2955" i="2"/>
  <c r="AH2956" i="2"/>
  <c r="AH2957" i="2"/>
  <c r="AH2958" i="2"/>
  <c r="AH2959" i="2"/>
  <c r="AH2960" i="2"/>
  <c r="AH2961" i="2"/>
  <c r="AH2962" i="2"/>
  <c r="AH2963" i="2"/>
  <c r="AH2964" i="2"/>
  <c r="AH2965" i="2"/>
  <c r="AH2966" i="2"/>
  <c r="AH2967" i="2"/>
  <c r="AH2968" i="2"/>
  <c r="AH2969" i="2"/>
  <c r="AH2970" i="2"/>
  <c r="AH2971" i="2"/>
  <c r="AH2972" i="2"/>
  <c r="AH2973" i="2"/>
  <c r="AH2974" i="2"/>
  <c r="AH2975" i="2"/>
  <c r="AH2976" i="2"/>
  <c r="AH2977" i="2"/>
  <c r="AH2978" i="2"/>
  <c r="AH2979" i="2"/>
  <c r="AH2980" i="2"/>
  <c r="AH2981" i="2"/>
  <c r="AH2982" i="2"/>
  <c r="AH2983" i="2"/>
  <c r="AH2984" i="2"/>
  <c r="AH2985" i="2"/>
  <c r="AH2986" i="2"/>
  <c r="AH2987" i="2"/>
  <c r="AH2988" i="2"/>
  <c r="AH2989" i="2"/>
  <c r="AH2990" i="2"/>
  <c r="AH2991" i="2"/>
  <c r="AH2992" i="2"/>
  <c r="AH2993" i="2"/>
  <c r="AH2994" i="2"/>
  <c r="AH2995" i="2"/>
  <c r="AH2996" i="2"/>
  <c r="AH2997" i="2"/>
  <c r="AH2998" i="2"/>
  <c r="AH2999" i="2"/>
  <c r="AH3000" i="2"/>
  <c r="AH3001" i="2"/>
  <c r="AH3002" i="2"/>
  <c r="AH3003" i="2"/>
  <c r="AH3004" i="2"/>
  <c r="AH3005" i="2"/>
  <c r="AH3006" i="2"/>
  <c r="AH3007" i="2"/>
  <c r="AH3008" i="2"/>
  <c r="AH3009" i="2"/>
  <c r="AH3010" i="2"/>
  <c r="AH3011" i="2"/>
  <c r="AH3012" i="2"/>
  <c r="AH3013" i="2"/>
  <c r="AH3014" i="2"/>
  <c r="AH3015" i="2"/>
  <c r="AH3016" i="2"/>
  <c r="AH3017" i="2"/>
  <c r="AH3018" i="2"/>
  <c r="AH3019" i="2"/>
  <c r="AH3020" i="2"/>
  <c r="AH3021" i="2"/>
  <c r="AH3022" i="2"/>
  <c r="AH3023" i="2"/>
  <c r="AH3024" i="2"/>
  <c r="AH3025" i="2"/>
  <c r="AH3026" i="2"/>
  <c r="AH3027" i="2"/>
  <c r="AH3028" i="2"/>
  <c r="AH3029" i="2"/>
  <c r="AH3030" i="2"/>
  <c r="AH3031" i="2"/>
  <c r="AH3032" i="2"/>
  <c r="AH3033" i="2"/>
  <c r="AH3034" i="2"/>
  <c r="AH3035" i="2"/>
  <c r="AH3036" i="2"/>
  <c r="AH3037" i="2"/>
  <c r="AH3038" i="2"/>
  <c r="AH3039" i="2"/>
  <c r="AH3040" i="2"/>
  <c r="AH3041" i="2"/>
  <c r="AH3042" i="2"/>
  <c r="AH3043" i="2"/>
  <c r="AH3044" i="2"/>
  <c r="AH3045" i="2"/>
  <c r="AH3046" i="2"/>
  <c r="AH3047" i="2"/>
  <c r="AH3048" i="2"/>
  <c r="AH3049" i="2"/>
  <c r="AH3050" i="2"/>
  <c r="AH3051" i="2"/>
  <c r="AH3052" i="2"/>
  <c r="AH3053" i="2"/>
  <c r="AH3054" i="2"/>
  <c r="AH3055" i="2"/>
  <c r="AH3056" i="2"/>
  <c r="AH3057" i="2"/>
  <c r="AH3058" i="2"/>
  <c r="AH3059" i="2"/>
  <c r="AH3060" i="2"/>
  <c r="AH3061" i="2"/>
  <c r="AH3062" i="2"/>
  <c r="AH3063" i="2"/>
  <c r="AH3064" i="2"/>
  <c r="AH3065" i="2"/>
  <c r="AH3066" i="2"/>
  <c r="AH3067" i="2"/>
  <c r="AH3068" i="2"/>
  <c r="AH3069" i="2"/>
  <c r="AH3070" i="2"/>
  <c r="AH3071" i="2"/>
  <c r="AH3072" i="2"/>
  <c r="AH3073" i="2"/>
  <c r="AH3074" i="2"/>
  <c r="AH3075" i="2"/>
  <c r="AH3076" i="2"/>
  <c r="AH3077" i="2"/>
  <c r="AH3078" i="2"/>
  <c r="AH3079" i="2"/>
  <c r="AH3080" i="2"/>
  <c r="AH3081" i="2"/>
  <c r="AH3082" i="2"/>
  <c r="AH3083" i="2"/>
  <c r="AH3084" i="2"/>
  <c r="AH3085" i="2"/>
  <c r="AH3086" i="2"/>
  <c r="AH3087" i="2"/>
  <c r="AH3088" i="2"/>
  <c r="AH3089" i="2"/>
  <c r="AH3090" i="2"/>
  <c r="AH3091" i="2"/>
  <c r="AH3092" i="2"/>
  <c r="AH3093" i="2"/>
  <c r="AH3094" i="2"/>
  <c r="AH3095" i="2"/>
  <c r="AH3096" i="2"/>
  <c r="AH3097" i="2"/>
  <c r="AH3098" i="2"/>
  <c r="AH3099" i="2"/>
  <c r="AH3100" i="2"/>
  <c r="AH3101" i="2"/>
  <c r="AH3102" i="2"/>
  <c r="AH3103" i="2"/>
  <c r="AH3104" i="2"/>
  <c r="AH3105" i="2"/>
  <c r="AH3106" i="2"/>
  <c r="AH3107" i="2"/>
  <c r="AH3108" i="2"/>
  <c r="AH3109" i="2"/>
  <c r="AH3110" i="2"/>
  <c r="AH3111" i="2"/>
  <c r="AH3112" i="2"/>
  <c r="AH3113" i="2"/>
  <c r="AH3114" i="2"/>
  <c r="AH3115" i="2"/>
  <c r="AH3116" i="2"/>
  <c r="AH3117" i="2"/>
  <c r="AH3118" i="2"/>
  <c r="AH3119" i="2"/>
  <c r="AH3120" i="2"/>
  <c r="AH3121" i="2"/>
  <c r="AH3122" i="2"/>
  <c r="AH3123" i="2"/>
  <c r="AH3124" i="2"/>
  <c r="AH3125" i="2"/>
  <c r="AH3126" i="2"/>
  <c r="AH3127" i="2"/>
  <c r="AH3128" i="2"/>
  <c r="AH3129" i="2"/>
  <c r="AH3130" i="2"/>
  <c r="AH3131" i="2"/>
  <c r="AH3132" i="2"/>
  <c r="AH3133" i="2"/>
  <c r="AH3134" i="2"/>
  <c r="AH3135" i="2"/>
  <c r="AH3136" i="2"/>
  <c r="AH3137" i="2"/>
  <c r="AH3138" i="2"/>
  <c r="AH3139" i="2"/>
  <c r="AH3140" i="2"/>
  <c r="AH3141" i="2"/>
  <c r="AH3142" i="2"/>
  <c r="AH3143" i="2"/>
  <c r="AH3144" i="2"/>
  <c r="AH3145" i="2"/>
  <c r="AH3146" i="2"/>
  <c r="AH3147" i="2"/>
  <c r="AH3148" i="2"/>
  <c r="AH3149" i="2"/>
  <c r="AH3150" i="2"/>
  <c r="AH3151" i="2"/>
  <c r="AH3152" i="2"/>
  <c r="AH3153" i="2"/>
  <c r="AH3154" i="2"/>
  <c r="AH3155" i="2"/>
  <c r="AH3156" i="2"/>
  <c r="AH3157" i="2"/>
  <c r="AH3158" i="2"/>
  <c r="AH3159" i="2"/>
  <c r="AH3160" i="2"/>
  <c r="AH3161" i="2"/>
  <c r="AH3162" i="2"/>
  <c r="AH3163" i="2"/>
  <c r="AH3164" i="2"/>
  <c r="AH3165" i="2"/>
  <c r="AH3166" i="2"/>
  <c r="AH3167" i="2"/>
  <c r="AH3168" i="2"/>
  <c r="AH3169" i="2"/>
  <c r="AH3170" i="2"/>
  <c r="AH3171" i="2"/>
  <c r="AH3172" i="2"/>
  <c r="AH3173" i="2"/>
  <c r="AH3174" i="2"/>
  <c r="AH3175" i="2"/>
  <c r="AH3176" i="2"/>
  <c r="AH3177" i="2"/>
  <c r="AH3178" i="2"/>
  <c r="AH3179" i="2"/>
  <c r="AH3180" i="2"/>
  <c r="AH3181" i="2"/>
  <c r="AH3182" i="2"/>
  <c r="AH3183" i="2"/>
  <c r="AH3184" i="2"/>
  <c r="AH3185" i="2"/>
  <c r="AH3186" i="2"/>
  <c r="AH3187" i="2"/>
  <c r="AH3188" i="2"/>
  <c r="AH3189" i="2"/>
  <c r="AH3190" i="2"/>
  <c r="AH3191" i="2"/>
  <c r="AH3192" i="2"/>
  <c r="AH3193" i="2"/>
  <c r="AH3194" i="2"/>
  <c r="AH3195" i="2"/>
  <c r="AH3196" i="2"/>
  <c r="AH3197" i="2"/>
  <c r="AH3198" i="2"/>
  <c r="AH3199" i="2"/>
  <c r="AH3200" i="2"/>
  <c r="AH3201" i="2"/>
  <c r="AH3202" i="2"/>
  <c r="AH3203" i="2"/>
  <c r="AH3204" i="2"/>
  <c r="AH3205" i="2"/>
  <c r="AH3206" i="2"/>
  <c r="AH3207" i="2"/>
  <c r="AH3208" i="2"/>
  <c r="AH3209" i="2"/>
  <c r="AH3210" i="2"/>
  <c r="AH3211" i="2"/>
  <c r="AH3212" i="2"/>
  <c r="AH3213" i="2"/>
  <c r="AH3214" i="2"/>
  <c r="AH3215" i="2"/>
  <c r="AH3216" i="2"/>
  <c r="AH3217" i="2"/>
  <c r="AH3218" i="2"/>
  <c r="AH3219" i="2"/>
  <c r="AH3220" i="2"/>
  <c r="AH3221" i="2"/>
  <c r="AH3222" i="2"/>
  <c r="AH3223" i="2"/>
  <c r="AH3224" i="2"/>
  <c r="AH3225" i="2"/>
  <c r="AH3226" i="2"/>
  <c r="AH3227" i="2"/>
  <c r="AH3228" i="2"/>
  <c r="AH3229" i="2"/>
  <c r="AH3230" i="2"/>
  <c r="AH3231" i="2"/>
  <c r="AH3232" i="2"/>
  <c r="AH3233" i="2"/>
  <c r="AH3234" i="2"/>
  <c r="AH3235" i="2"/>
  <c r="AH3236" i="2"/>
  <c r="AH3237" i="2"/>
  <c r="AH3238" i="2"/>
  <c r="AH3239" i="2"/>
  <c r="AH3240" i="2"/>
  <c r="AH3241" i="2"/>
  <c r="AH3242" i="2"/>
  <c r="AH3243" i="2"/>
  <c r="AH3244" i="2"/>
  <c r="AH3245" i="2"/>
  <c r="AH3246" i="2"/>
  <c r="AH3247" i="2"/>
  <c r="AH3248" i="2"/>
  <c r="AH3249" i="2"/>
  <c r="AH3250" i="2"/>
  <c r="AH3251" i="2"/>
  <c r="AH3252" i="2"/>
  <c r="AH3253" i="2"/>
  <c r="AH3254" i="2"/>
  <c r="AH3255" i="2"/>
  <c r="AH3256" i="2"/>
  <c r="AH3257" i="2"/>
  <c r="AH3258" i="2"/>
  <c r="AH3259" i="2"/>
  <c r="AH3260" i="2"/>
  <c r="AH3261" i="2"/>
  <c r="AH3262" i="2"/>
  <c r="AH3263" i="2"/>
  <c r="AH3264" i="2"/>
  <c r="AH3265" i="2"/>
  <c r="AH3266" i="2"/>
  <c r="AH3267" i="2"/>
  <c r="AH3268" i="2"/>
  <c r="AH3269" i="2"/>
  <c r="AH3270" i="2"/>
  <c r="AH3271" i="2"/>
  <c r="AH3272" i="2"/>
  <c r="AH3273" i="2"/>
  <c r="AH3274" i="2"/>
  <c r="AH3275" i="2"/>
  <c r="AH3276" i="2"/>
  <c r="AH3277" i="2"/>
  <c r="AH3278" i="2"/>
  <c r="AH3279" i="2"/>
  <c r="AH3280" i="2"/>
  <c r="AH3281" i="2"/>
  <c r="AH3282" i="2"/>
  <c r="AH3283" i="2"/>
  <c r="AH3284" i="2"/>
  <c r="AH5" i="2"/>
  <c r="AI5" i="2"/>
  <c r="AI6" i="2"/>
  <c r="AI7" i="2"/>
  <c r="AI8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I43" i="2"/>
  <c r="AI44" i="2"/>
  <c r="AI45" i="2"/>
  <c r="AI46" i="2"/>
  <c r="AI47" i="2"/>
  <c r="AI48" i="2"/>
  <c r="AI49" i="2"/>
  <c r="AI50" i="2"/>
  <c r="AI51" i="2"/>
  <c r="AI52" i="2"/>
  <c r="AI53" i="2"/>
  <c r="AI54" i="2"/>
  <c r="AI55" i="2"/>
  <c r="AI56" i="2"/>
  <c r="AI57" i="2"/>
  <c r="AI58" i="2"/>
  <c r="AI59" i="2"/>
  <c r="AI60" i="2"/>
  <c r="AI61" i="2"/>
  <c r="AI62" i="2"/>
  <c r="AI63" i="2"/>
  <c r="AI64" i="2"/>
  <c r="AI65" i="2"/>
  <c r="AI66" i="2"/>
  <c r="AI67" i="2"/>
  <c r="AI68" i="2"/>
  <c r="AI69" i="2"/>
  <c r="AI70" i="2"/>
  <c r="AI71" i="2"/>
  <c r="AI72" i="2"/>
  <c r="AI73" i="2"/>
  <c r="AI74" i="2"/>
  <c r="AI75" i="2"/>
  <c r="AI76" i="2"/>
  <c r="AI77" i="2"/>
  <c r="AI78" i="2"/>
  <c r="AI79" i="2"/>
  <c r="AI80" i="2"/>
  <c r="AI81" i="2"/>
  <c r="AI82" i="2"/>
  <c r="AI83" i="2"/>
  <c r="AI84" i="2"/>
  <c r="AI85" i="2"/>
  <c r="AI86" i="2"/>
  <c r="AI87" i="2"/>
  <c r="AI88" i="2"/>
  <c r="AI89" i="2"/>
  <c r="AI90" i="2"/>
  <c r="AI91" i="2"/>
  <c r="AI92" i="2"/>
  <c r="AI93" i="2"/>
  <c r="AI94" i="2"/>
  <c r="AI95" i="2"/>
  <c r="AI96" i="2"/>
  <c r="AI97" i="2"/>
  <c r="AI98" i="2"/>
  <c r="AI99" i="2"/>
  <c r="AI100" i="2"/>
  <c r="AI101" i="2"/>
  <c r="AI102" i="2"/>
  <c r="AI103" i="2"/>
  <c r="AI104" i="2"/>
  <c r="AI105" i="2"/>
  <c r="AI106" i="2"/>
  <c r="AI107" i="2"/>
  <c r="AI108" i="2"/>
  <c r="AI109" i="2"/>
  <c r="AI110" i="2"/>
  <c r="AI111" i="2"/>
  <c r="AI112" i="2"/>
  <c r="AI113" i="2"/>
  <c r="AI114" i="2"/>
  <c r="AI115" i="2"/>
  <c r="AI116" i="2"/>
  <c r="AI117" i="2"/>
  <c r="AI118" i="2"/>
  <c r="AI119" i="2"/>
  <c r="AI120" i="2"/>
  <c r="AI121" i="2"/>
  <c r="AI122" i="2"/>
  <c r="AI123" i="2"/>
  <c r="AI124" i="2"/>
  <c r="AI125" i="2"/>
  <c r="AI126" i="2"/>
  <c r="AI127" i="2"/>
  <c r="AI128" i="2"/>
  <c r="AI129" i="2"/>
  <c r="AI130" i="2"/>
  <c r="AI131" i="2"/>
  <c r="AI132" i="2"/>
  <c r="AI133" i="2"/>
  <c r="AI134" i="2"/>
  <c r="AI135" i="2"/>
  <c r="AI136" i="2"/>
  <c r="AI137" i="2"/>
  <c r="AI138" i="2"/>
  <c r="AI139" i="2"/>
  <c r="AI140" i="2"/>
  <c r="AI141" i="2"/>
  <c r="AI142" i="2"/>
  <c r="AI143" i="2"/>
  <c r="AI144" i="2"/>
  <c r="AI145" i="2"/>
  <c r="AI146" i="2"/>
  <c r="AI147" i="2"/>
  <c r="AI148" i="2"/>
  <c r="AI149" i="2"/>
  <c r="AI150" i="2"/>
  <c r="AI151" i="2"/>
  <c r="AI152" i="2"/>
  <c r="AI153" i="2"/>
  <c r="AI154" i="2"/>
  <c r="AI155" i="2"/>
  <c r="AI156" i="2"/>
  <c r="AI157" i="2"/>
  <c r="AI158" i="2"/>
  <c r="AI159" i="2"/>
  <c r="AI160" i="2"/>
  <c r="AI161" i="2"/>
  <c r="AI162" i="2"/>
  <c r="AI163" i="2"/>
  <c r="AI164" i="2"/>
  <c r="AI165" i="2"/>
  <c r="AI166" i="2"/>
  <c r="AI167" i="2"/>
  <c r="AI168" i="2"/>
  <c r="AI169" i="2"/>
  <c r="AI170" i="2"/>
  <c r="AI171" i="2"/>
  <c r="AI172" i="2"/>
  <c r="AI173" i="2"/>
  <c r="AI174" i="2"/>
  <c r="AI175" i="2"/>
  <c r="AI176" i="2"/>
  <c r="AI177" i="2"/>
  <c r="AI178" i="2"/>
  <c r="AI179" i="2"/>
  <c r="AI180" i="2"/>
  <c r="AI181" i="2"/>
  <c r="AI182" i="2"/>
  <c r="AI183" i="2"/>
  <c r="AI184" i="2"/>
  <c r="AI185" i="2"/>
  <c r="AI186" i="2"/>
  <c r="AI187" i="2"/>
  <c r="AI188" i="2"/>
  <c r="AI189" i="2"/>
  <c r="AI190" i="2"/>
  <c r="AI191" i="2"/>
  <c r="AI192" i="2"/>
  <c r="AI193" i="2"/>
  <c r="AI194" i="2"/>
  <c r="AI195" i="2"/>
  <c r="AI196" i="2"/>
  <c r="AI197" i="2"/>
  <c r="AI198" i="2"/>
  <c r="AI199" i="2"/>
  <c r="AI200" i="2"/>
  <c r="AI201" i="2"/>
  <c r="AI202" i="2"/>
  <c r="AI203" i="2"/>
  <c r="AI204" i="2"/>
  <c r="AI205" i="2"/>
  <c r="AI206" i="2"/>
  <c r="AI207" i="2"/>
  <c r="AI208" i="2"/>
  <c r="AI209" i="2"/>
  <c r="AI210" i="2"/>
  <c r="AI211" i="2"/>
  <c r="AI212" i="2"/>
  <c r="AI213" i="2"/>
  <c r="AI214" i="2"/>
  <c r="AI215" i="2"/>
  <c r="AI216" i="2"/>
  <c r="AI217" i="2"/>
  <c r="AI218" i="2"/>
  <c r="AI219" i="2"/>
  <c r="AI220" i="2"/>
  <c r="AI221" i="2"/>
  <c r="AI222" i="2"/>
  <c r="AI223" i="2"/>
  <c r="AI224" i="2"/>
  <c r="AI225" i="2"/>
  <c r="AI226" i="2"/>
  <c r="AI227" i="2"/>
  <c r="AI228" i="2"/>
  <c r="AI229" i="2"/>
  <c r="AI230" i="2"/>
  <c r="AI231" i="2"/>
  <c r="AI232" i="2"/>
  <c r="AI233" i="2"/>
  <c r="AI234" i="2"/>
  <c r="AI235" i="2"/>
  <c r="AI236" i="2"/>
  <c r="AI237" i="2"/>
  <c r="AI238" i="2"/>
  <c r="AI239" i="2"/>
  <c r="AI240" i="2"/>
  <c r="AI241" i="2"/>
  <c r="AI242" i="2"/>
  <c r="AI243" i="2"/>
  <c r="AI244" i="2"/>
  <c r="AI245" i="2"/>
  <c r="AI246" i="2"/>
  <c r="AI247" i="2"/>
  <c r="AI248" i="2"/>
  <c r="AI249" i="2"/>
  <c r="AI250" i="2"/>
  <c r="AI251" i="2"/>
  <c r="AI252" i="2"/>
  <c r="AI253" i="2"/>
  <c r="AI254" i="2"/>
  <c r="AI255" i="2"/>
  <c r="AI256" i="2"/>
  <c r="AI257" i="2"/>
  <c r="AI258" i="2"/>
  <c r="AI259" i="2"/>
  <c r="AI260" i="2"/>
  <c r="AI261" i="2"/>
  <c r="AI262" i="2"/>
  <c r="AI263" i="2"/>
  <c r="AI264" i="2"/>
  <c r="AI265" i="2"/>
  <c r="AI266" i="2"/>
  <c r="AI267" i="2"/>
  <c r="AI268" i="2"/>
  <c r="AI269" i="2"/>
  <c r="AI270" i="2"/>
  <c r="AI271" i="2"/>
  <c r="AI272" i="2"/>
  <c r="AI273" i="2"/>
  <c r="AI274" i="2"/>
  <c r="AI275" i="2"/>
  <c r="AI276" i="2"/>
  <c r="AI277" i="2"/>
  <c r="AI278" i="2"/>
  <c r="AI279" i="2"/>
  <c r="AI280" i="2"/>
  <c r="AI281" i="2"/>
  <c r="AI282" i="2"/>
  <c r="AI283" i="2"/>
  <c r="AI284" i="2"/>
  <c r="AI285" i="2"/>
  <c r="AI286" i="2"/>
  <c r="AI287" i="2"/>
  <c r="AI288" i="2"/>
  <c r="AI289" i="2"/>
  <c r="AI290" i="2"/>
  <c r="AI291" i="2"/>
  <c r="AI292" i="2"/>
  <c r="AI293" i="2"/>
  <c r="AI294" i="2"/>
  <c r="AI295" i="2"/>
  <c r="AI296" i="2"/>
  <c r="AI297" i="2"/>
  <c r="AI298" i="2"/>
  <c r="AI299" i="2"/>
  <c r="AI300" i="2"/>
  <c r="AI301" i="2"/>
  <c r="AI302" i="2"/>
  <c r="AI303" i="2"/>
  <c r="AI304" i="2"/>
  <c r="AI305" i="2"/>
  <c r="AI306" i="2"/>
  <c r="AI307" i="2"/>
  <c r="AI308" i="2"/>
  <c r="AI309" i="2"/>
  <c r="AI310" i="2"/>
  <c r="AI311" i="2"/>
  <c r="AI312" i="2"/>
  <c r="AI313" i="2"/>
  <c r="AI314" i="2"/>
  <c r="AI315" i="2"/>
  <c r="AI316" i="2"/>
  <c r="AI317" i="2"/>
  <c r="AI318" i="2"/>
  <c r="AI319" i="2"/>
  <c r="AI320" i="2"/>
  <c r="AI321" i="2"/>
  <c r="AI322" i="2"/>
  <c r="AI323" i="2"/>
  <c r="AI324" i="2"/>
  <c r="AI325" i="2"/>
  <c r="AI326" i="2"/>
  <c r="AI327" i="2"/>
  <c r="AI328" i="2"/>
  <c r="AI329" i="2"/>
  <c r="AI330" i="2"/>
  <c r="AI331" i="2"/>
  <c r="AI332" i="2"/>
  <c r="AI333" i="2"/>
  <c r="AI334" i="2"/>
  <c r="AI335" i="2"/>
  <c r="AI336" i="2"/>
  <c r="AI337" i="2"/>
  <c r="AI338" i="2"/>
  <c r="J12" i="4" l="1"/>
  <c r="O14" i="4"/>
  <c r="N14" i="4"/>
  <c r="AD14" i="4" s="1"/>
  <c r="AH14" i="4" s="1"/>
  <c r="J14" i="4"/>
  <c r="O13" i="4"/>
  <c r="N13" i="4"/>
  <c r="AD13" i="4" s="1"/>
  <c r="AH13" i="4" s="1"/>
  <c r="J13" i="4"/>
  <c r="L13" i="4" s="1"/>
  <c r="M13" i="4" s="1"/>
  <c r="Y12" i="4"/>
  <c r="Y11" i="4"/>
  <c r="AE11" i="4"/>
  <c r="AZ11" i="4" s="1"/>
  <c r="BA11" i="4" s="1"/>
  <c r="BB11" i="4" s="1"/>
  <c r="BC11" i="4" s="1"/>
  <c r="AE12" i="4"/>
  <c r="AZ12" i="4" s="1"/>
  <c r="BA12" i="4" s="1"/>
  <c r="BB12" i="4" s="1"/>
  <c r="BC12" i="4" s="1"/>
  <c r="F4" i="4"/>
  <c r="AL4" i="4" s="1"/>
  <c r="O6" i="4"/>
  <c r="O8" i="4"/>
  <c r="O11" i="4"/>
  <c r="O5" i="4"/>
  <c r="O10" i="4"/>
  <c r="O7" i="4"/>
  <c r="O4" i="4"/>
  <c r="O3" i="4"/>
  <c r="O9" i="4"/>
  <c r="O12" i="4"/>
  <c r="F10" i="4"/>
  <c r="AL10" i="4" s="1"/>
  <c r="J10" i="4"/>
  <c r="Y10" i="4" s="1"/>
  <c r="AE10" i="4" s="1"/>
  <c r="J9" i="4"/>
  <c r="Y9" i="4" s="1"/>
  <c r="AE9" i="4" s="1"/>
  <c r="F9" i="4"/>
  <c r="AL9" i="4" s="1"/>
  <c r="F8" i="4"/>
  <c r="AL8" i="4" s="1"/>
  <c r="N8" i="4"/>
  <c r="AD8" i="4" s="1"/>
  <c r="AH8" i="4" s="1"/>
  <c r="J8" i="4"/>
  <c r="Y8" i="4" s="1"/>
  <c r="N7" i="4"/>
  <c r="AD7" i="4" s="1"/>
  <c r="AH7" i="4" s="1"/>
  <c r="F7" i="4"/>
  <c r="AL7" i="4" s="1"/>
  <c r="J7" i="4"/>
  <c r="Y7" i="4" s="1"/>
  <c r="J6" i="4"/>
  <c r="N6" i="4"/>
  <c r="AD6" i="4" s="1"/>
  <c r="AH6" i="4" s="1"/>
  <c r="N5" i="4"/>
  <c r="AD5" i="4" s="1"/>
  <c r="AH5" i="4" s="1"/>
  <c r="J5" i="4"/>
  <c r="AF12" i="4"/>
  <c r="AG12" i="4" s="1"/>
  <c r="AF11" i="4"/>
  <c r="AG11" i="4" s="1"/>
  <c r="N4" i="4"/>
  <c r="AD4" i="4" s="1"/>
  <c r="AH4" i="4" s="1"/>
  <c r="J4" i="4"/>
  <c r="N3" i="4"/>
  <c r="AH3" i="4" s="1"/>
  <c r="AH12" i="4"/>
  <c r="AH11" i="4"/>
  <c r="J3" i="4"/>
  <c r="A21" i="4"/>
  <c r="H3" i="2"/>
  <c r="H17" i="2" s="1"/>
  <c r="D14" i="3"/>
  <c r="C14" i="3" s="1"/>
  <c r="AL1" i="2"/>
  <c r="AM9" i="2"/>
  <c r="AM14" i="2"/>
  <c r="AM19" i="2"/>
  <c r="AM22" i="2"/>
  <c r="AM27" i="2"/>
  <c r="AM7" i="2"/>
  <c r="AM13" i="2"/>
  <c r="AM18" i="2"/>
  <c r="AM24" i="2"/>
  <c r="AM30" i="2"/>
  <c r="AM33" i="2"/>
  <c r="AM38" i="2"/>
  <c r="AM42" i="2"/>
  <c r="AM47" i="2"/>
  <c r="AM51" i="2"/>
  <c r="AM56" i="2"/>
  <c r="AM60" i="2"/>
  <c r="AM10" i="2"/>
  <c r="AM15" i="2"/>
  <c r="AM20" i="2"/>
  <c r="AM26" i="2"/>
  <c r="AM32" i="2"/>
  <c r="AM36" i="2"/>
  <c r="AM43" i="2"/>
  <c r="AM48" i="2"/>
  <c r="AM52" i="2"/>
  <c r="AM55" i="2"/>
  <c r="AM59" i="2"/>
  <c r="AN5" i="2"/>
  <c r="AM5" i="2"/>
  <c r="AM8" i="2"/>
  <c r="AM12" i="2"/>
  <c r="AM17" i="2"/>
  <c r="AM21" i="2"/>
  <c r="AM29" i="2"/>
  <c r="AM37" i="2"/>
  <c r="AM41" i="2"/>
  <c r="AM46" i="2"/>
  <c r="AM53" i="2"/>
  <c r="AM57" i="2"/>
  <c r="AM6" i="2"/>
  <c r="AM11" i="2"/>
  <c r="AM16" i="2"/>
  <c r="AM23" i="2"/>
  <c r="AM28" i="2"/>
  <c r="AM35" i="2"/>
  <c r="AM40" i="2"/>
  <c r="AM44" i="2"/>
  <c r="AM50" i="2"/>
  <c r="AM25" i="2"/>
  <c r="AM31" i="2"/>
  <c r="AM34" i="2"/>
  <c r="AM39" i="2"/>
  <c r="AM45" i="2"/>
  <c r="AM49" i="2"/>
  <c r="AM54" i="2"/>
  <c r="AM58" i="2"/>
  <c r="AM4" i="2"/>
  <c r="C28" i="3"/>
  <c r="C24" i="3"/>
  <c r="H14" i="2"/>
  <c r="H27" i="2"/>
  <c r="H43" i="2"/>
  <c r="H12" i="2"/>
  <c r="H35" i="2"/>
  <c r="H58" i="2"/>
  <c r="H26" i="2"/>
  <c r="AN54" i="2"/>
  <c r="AN42" i="2"/>
  <c r="AN30" i="2"/>
  <c r="AN18" i="2"/>
  <c r="AN6" i="2"/>
  <c r="AN55" i="2"/>
  <c r="AN19" i="2"/>
  <c r="AN53" i="2"/>
  <c r="AN41" i="2"/>
  <c r="AN29" i="2"/>
  <c r="AN17" i="2"/>
  <c r="AN31" i="2"/>
  <c r="AN52" i="2"/>
  <c r="AN40" i="2"/>
  <c r="AN28" i="2"/>
  <c r="AN16" i="2"/>
  <c r="AN43" i="2"/>
  <c r="AN7" i="2"/>
  <c r="AN51" i="2"/>
  <c r="AN39" i="2"/>
  <c r="AN27" i="2"/>
  <c r="AN15" i="2"/>
  <c r="AN50" i="2"/>
  <c r="AN38" i="2"/>
  <c r="AN26" i="2"/>
  <c r="AN14" i="2"/>
  <c r="AN4" i="2"/>
  <c r="AN49" i="2"/>
  <c r="AN37" i="2"/>
  <c r="AN25" i="2"/>
  <c r="AN13" i="2"/>
  <c r="AN60" i="2"/>
  <c r="AN48" i="2"/>
  <c r="AN36" i="2"/>
  <c r="AN24" i="2"/>
  <c r="AN12" i="2"/>
  <c r="AN59" i="2"/>
  <c r="AN47" i="2"/>
  <c r="AN35" i="2"/>
  <c r="AN23" i="2"/>
  <c r="AN11" i="2"/>
  <c r="AN58" i="2"/>
  <c r="AN46" i="2"/>
  <c r="AN34" i="2"/>
  <c r="AN22" i="2"/>
  <c r="AN10" i="2"/>
  <c r="AN57" i="2"/>
  <c r="AN45" i="2"/>
  <c r="AN33" i="2"/>
  <c r="AN21" i="2"/>
  <c r="AN9" i="2"/>
  <c r="AN56" i="2"/>
  <c r="AO56" i="2" s="1"/>
  <c r="AN44" i="2"/>
  <c r="AO44" i="2" s="1"/>
  <c r="AN32" i="2"/>
  <c r="AN20" i="2"/>
  <c r="AN8" i="2"/>
  <c r="AO8" i="2" s="1"/>
  <c r="Y3" i="4" l="1"/>
  <c r="AE3" i="4" s="1"/>
  <c r="L3" i="4"/>
  <c r="H44" i="2"/>
  <c r="H9" i="2"/>
  <c r="H47" i="2"/>
  <c r="H21" i="2"/>
  <c r="H63" i="2"/>
  <c r="H36" i="2"/>
  <c r="H19" i="2"/>
  <c r="Y13" i="4"/>
  <c r="W4" i="2" a="1"/>
  <c r="W4" i="2" s="1"/>
  <c r="AO23" i="2"/>
  <c r="H49" i="2"/>
  <c r="H23" i="2"/>
  <c r="H50" i="2"/>
  <c r="H31" i="2"/>
  <c r="H64" i="2"/>
  <c r="H38" i="2"/>
  <c r="H25" i="2"/>
  <c r="H5" i="2"/>
  <c r="AO32" i="2"/>
  <c r="AO55" i="2"/>
  <c r="H33" i="2"/>
  <c r="H62" i="2"/>
  <c r="H41" i="2"/>
  <c r="H15" i="2"/>
  <c r="H45" i="2"/>
  <c r="H30" i="2"/>
  <c r="AE13" i="4"/>
  <c r="L14" i="4"/>
  <c r="M14" i="4" s="1"/>
  <c r="Y14" i="4"/>
  <c r="AE14" i="4" s="1"/>
  <c r="AE5" i="4"/>
  <c r="L5" i="4"/>
  <c r="M5" i="4" s="1"/>
  <c r="L6" i="4"/>
  <c r="M6" i="4" s="1"/>
  <c r="Y6" i="4"/>
  <c r="AE6" i="4" s="1"/>
  <c r="L8" i="4"/>
  <c r="M8" i="4" s="1"/>
  <c r="AE8" i="4"/>
  <c r="L7" i="4"/>
  <c r="M7" i="4" s="1"/>
  <c r="AE7" i="4"/>
  <c r="AB12" i="4"/>
  <c r="AF10" i="4"/>
  <c r="AG10" i="4" s="1"/>
  <c r="AI10" i="4" s="1"/>
  <c r="AB10" i="4" s="1"/>
  <c r="AZ10" i="4"/>
  <c r="BA10" i="4" s="1"/>
  <c r="BB10" i="4" s="1"/>
  <c r="AF9" i="4"/>
  <c r="AG9" i="4" s="1"/>
  <c r="AI9" i="4" s="1"/>
  <c r="AB9" i="4" s="1"/>
  <c r="AA9" i="4" s="1"/>
  <c r="AC9" i="4" s="1"/>
  <c r="AZ9" i="4"/>
  <c r="BA9" i="4" s="1"/>
  <c r="BB9" i="4" s="1"/>
  <c r="AI12" i="4"/>
  <c r="AB11" i="4"/>
  <c r="AI11" i="4"/>
  <c r="L4" i="4"/>
  <c r="M4" i="4" s="1"/>
  <c r="AE4" i="4"/>
  <c r="M3" i="4"/>
  <c r="H65" i="2"/>
  <c r="H7" i="2"/>
  <c r="H8" i="2"/>
  <c r="H11" i="2"/>
  <c r="H48" i="2"/>
  <c r="H42" i="2"/>
  <c r="H34" i="2"/>
  <c r="H68" i="2"/>
  <c r="H18" i="2"/>
  <c r="H60" i="2"/>
  <c r="H29" i="2"/>
  <c r="H53" i="2"/>
  <c r="H56" i="2"/>
  <c r="H55" i="2"/>
  <c r="H39" i="2"/>
  <c r="H13" i="2"/>
  <c r="H22" i="2"/>
  <c r="H52" i="2"/>
  <c r="H57" i="2"/>
  <c r="H61" i="2"/>
  <c r="H66" i="2"/>
  <c r="H67" i="2"/>
  <c r="H6" i="2"/>
  <c r="H10" i="2"/>
  <c r="H16" i="2"/>
  <c r="H20" i="2"/>
  <c r="H24" i="2"/>
  <c r="H28" i="2"/>
  <c r="H32" i="2"/>
  <c r="H37" i="2"/>
  <c r="H40" i="2"/>
  <c r="H46" i="2"/>
  <c r="H51" i="2"/>
  <c r="H54" i="2"/>
  <c r="H59" i="2"/>
  <c r="AO42" i="2"/>
  <c r="AO6" i="2"/>
  <c r="AO18" i="2"/>
  <c r="AO19" i="2"/>
  <c r="AO31" i="2"/>
  <c r="AO16" i="2"/>
  <c r="AO43" i="2"/>
  <c r="AO51" i="2"/>
  <c r="AO49" i="2"/>
  <c r="AO37" i="2"/>
  <c r="AO25" i="2"/>
  <c r="AO13" i="2"/>
  <c r="AO11" i="2"/>
  <c r="AO58" i="2"/>
  <c r="AO46" i="2"/>
  <c r="AO20" i="2"/>
  <c r="AO57" i="2"/>
  <c r="AO24" i="2"/>
  <c r="AO50" i="2"/>
  <c r="AO5" i="2"/>
  <c r="AO10" i="2"/>
  <c r="AO36" i="2"/>
  <c r="AO15" i="2"/>
  <c r="AO17" i="2"/>
  <c r="AO33" i="2"/>
  <c r="AO22" i="2"/>
  <c r="AO48" i="2"/>
  <c r="AO27" i="2"/>
  <c r="AO29" i="2"/>
  <c r="AO34" i="2"/>
  <c r="AO60" i="2"/>
  <c r="AO39" i="2"/>
  <c r="AO41" i="2"/>
  <c r="AO53" i="2"/>
  <c r="AO7" i="2"/>
  <c r="AO9" i="2"/>
  <c r="AO35" i="2"/>
  <c r="AO28" i="2"/>
  <c r="AO21" i="2"/>
  <c r="AO47" i="2"/>
  <c r="AO14" i="2"/>
  <c r="AO40" i="2"/>
  <c r="AO30" i="2"/>
  <c r="AO59" i="2"/>
  <c r="AO26" i="2"/>
  <c r="AO52" i="2"/>
  <c r="AO45" i="2"/>
  <c r="AO12" i="2"/>
  <c r="AO38" i="2"/>
  <c r="AO54" i="2"/>
  <c r="AZ13" i="4" l="1"/>
  <c r="BA13" i="4" s="1"/>
  <c r="BB13" i="4" s="1"/>
  <c r="AF13" i="4"/>
  <c r="AG13" i="4" s="1"/>
  <c r="AZ14" i="4"/>
  <c r="BA14" i="4" s="1"/>
  <c r="BB14" i="4" s="1"/>
  <c r="AF14" i="4"/>
  <c r="AG14" i="4" s="1"/>
  <c r="AF6" i="4"/>
  <c r="AG6" i="4" s="1"/>
  <c r="AZ6" i="4"/>
  <c r="BA6" i="4" s="1"/>
  <c r="BB6" i="4" s="1"/>
  <c r="AF8" i="4"/>
  <c r="AG8" i="4" s="1"/>
  <c r="AI8" i="4" s="1"/>
  <c r="AB8" i="4" s="1"/>
  <c r="AZ8" i="4"/>
  <c r="BA8" i="4" s="1"/>
  <c r="BB8" i="4" s="1"/>
  <c r="AF7" i="4"/>
  <c r="AG7" i="4" s="1"/>
  <c r="AI7" i="4" s="1"/>
  <c r="AB7" i="4" s="1"/>
  <c r="AA7" i="4" s="1"/>
  <c r="AC7" i="4" s="1"/>
  <c r="AZ7" i="4"/>
  <c r="BA7" i="4" s="1"/>
  <c r="BB7" i="4" s="1"/>
  <c r="AX10" i="4"/>
  <c r="AW10" i="4" s="1"/>
  <c r="AA10" i="4"/>
  <c r="AC10" i="4" s="1"/>
  <c r="AF5" i="4"/>
  <c r="AG5" i="4" s="1"/>
  <c r="AI5" i="4" s="1"/>
  <c r="AB5" i="4" s="1"/>
  <c r="AA5" i="4" s="1"/>
  <c r="AC5" i="4" s="1"/>
  <c r="AZ5" i="4"/>
  <c r="BA5" i="4" s="1"/>
  <c r="BB5" i="4" s="1"/>
  <c r="BC5" i="4" s="1"/>
  <c r="AA12" i="4"/>
  <c r="AC12" i="4" s="1"/>
  <c r="AX12" i="4"/>
  <c r="AW12" i="4" s="1"/>
  <c r="BC9" i="4"/>
  <c r="AX9" i="4" s="1"/>
  <c r="AW9" i="4" s="1"/>
  <c r="AA11" i="4"/>
  <c r="AC11" i="4" s="1"/>
  <c r="AX11" i="4"/>
  <c r="AW11" i="4" s="1"/>
  <c r="AY11" i="4" s="1"/>
  <c r="AY12" i="4"/>
  <c r="BC8" i="4"/>
  <c r="BC7" i="4"/>
  <c r="BC10" i="4"/>
  <c r="AZ4" i="4"/>
  <c r="BA4" i="4" s="1"/>
  <c r="BB4" i="4" s="1"/>
  <c r="AF4" i="4"/>
  <c r="AG4" i="4" s="1"/>
  <c r="AF3" i="4"/>
  <c r="AG3" i="4" s="1"/>
  <c r="AZ3" i="4"/>
  <c r="BA3" i="4" s="1"/>
  <c r="BB3" i="4" s="1"/>
  <c r="BC6" i="4"/>
  <c r="AJ4" i="2"/>
  <c r="AP3282" i="2"/>
  <c r="AP3272" i="2"/>
  <c r="AP3267" i="2"/>
  <c r="AP3262" i="2"/>
  <c r="AP3256" i="2"/>
  <c r="AP3252" i="2"/>
  <c r="AP3248" i="2"/>
  <c r="AP3244" i="2"/>
  <c r="AP3240" i="2"/>
  <c r="AP3235" i="2"/>
  <c r="AP3230" i="2"/>
  <c r="AP3226" i="2"/>
  <c r="AP3221" i="2"/>
  <c r="AP3215" i="2"/>
  <c r="AP3210" i="2"/>
  <c r="AP3205" i="2"/>
  <c r="AP3200" i="2"/>
  <c r="AP3196" i="2"/>
  <c r="AP3190" i="2"/>
  <c r="AP3185" i="2"/>
  <c r="AP3181" i="2"/>
  <c r="AP3177" i="2"/>
  <c r="AP3173" i="2"/>
  <c r="AP3169" i="2"/>
  <c r="AP3164" i="2"/>
  <c r="AP3159" i="2"/>
  <c r="AP3155" i="2"/>
  <c r="AP3150" i="2"/>
  <c r="AP3142" i="2"/>
  <c r="AP3137" i="2"/>
  <c r="AP3133" i="2"/>
  <c r="AP3128" i="2"/>
  <c r="AP3123" i="2"/>
  <c r="AP3118" i="2"/>
  <c r="AP3114" i="2"/>
  <c r="AP3109" i="2"/>
  <c r="AP3105" i="2"/>
  <c r="AP3101" i="2"/>
  <c r="AP3096" i="2"/>
  <c r="AP3087" i="2"/>
  <c r="AP3081" i="2"/>
  <c r="AP3073" i="2"/>
  <c r="AP3070" i="2"/>
  <c r="AP3064" i="2"/>
  <c r="AP3055" i="2"/>
  <c r="AP3047" i="2"/>
  <c r="AP3042" i="2"/>
  <c r="AP3035" i="2"/>
  <c r="AP3029" i="2"/>
  <c r="AP3022" i="2"/>
  <c r="AP3015" i="2"/>
  <c r="AP3009" i="2"/>
  <c r="AP3003" i="2"/>
  <c r="AP2997" i="2"/>
  <c r="AP2992" i="2"/>
  <c r="AP2986" i="2"/>
  <c r="AP2981" i="2"/>
  <c r="AP2974" i="2"/>
  <c r="AP2967" i="2"/>
  <c r="AP2963" i="2"/>
  <c r="AP2958" i="2"/>
  <c r="AP2953" i="2"/>
  <c r="AP2949" i="2"/>
  <c r="AP2944" i="2"/>
  <c r="AP2937" i="2"/>
  <c r="AP2931" i="2"/>
  <c r="AP2922" i="2"/>
  <c r="AP2917" i="2"/>
  <c r="AP2912" i="2"/>
  <c r="AP2906" i="2"/>
  <c r="AP2900" i="2"/>
  <c r="AP2894" i="2"/>
  <c r="AP2889" i="2"/>
  <c r="AP2883" i="2"/>
  <c r="AP2878" i="2"/>
  <c r="AP2876" i="2"/>
  <c r="AP2871" i="2"/>
  <c r="AP2866" i="2"/>
  <c r="AP2860" i="2"/>
  <c r="AP2854" i="2"/>
  <c r="AP2847" i="2"/>
  <c r="AP2842" i="2"/>
  <c r="AP2836" i="2"/>
  <c r="AP2829" i="2"/>
  <c r="AP2825" i="2"/>
  <c r="AP2820" i="2"/>
  <c r="AP2777" i="2"/>
  <c r="AP2770" i="2"/>
  <c r="AP2759" i="2"/>
  <c r="AP2756" i="2"/>
  <c r="AP2750" i="2"/>
  <c r="AP2741" i="2"/>
  <c r="AP2736" i="2"/>
  <c r="AP2726" i="2"/>
  <c r="AP2716" i="2"/>
  <c r="AP2711" i="2"/>
  <c r="AP2705" i="2"/>
  <c r="AP2700" i="2"/>
  <c r="AP2696" i="2"/>
  <c r="AP2690" i="2"/>
  <c r="AP2685" i="2"/>
  <c r="AP2679" i="2"/>
  <c r="AP2671" i="2"/>
  <c r="AP2666" i="2"/>
  <c r="AP2659" i="2"/>
  <c r="AP2649" i="2"/>
  <c r="AP2643" i="2"/>
  <c r="AP2632" i="2"/>
  <c r="AP2285" i="2"/>
  <c r="AP2277" i="2"/>
  <c r="AP2267" i="2"/>
  <c r="AP2260" i="2"/>
  <c r="AP2254" i="2"/>
  <c r="AP2249" i="2"/>
  <c r="AP2241" i="2"/>
  <c r="AP2236" i="2"/>
  <c r="AP2229" i="2"/>
  <c r="AP2223" i="2"/>
  <c r="AP2218" i="2"/>
  <c r="AP2214" i="2"/>
  <c r="AP2208" i="2"/>
  <c r="AP2204" i="2"/>
  <c r="AP2198" i="2"/>
  <c r="AP2193" i="2"/>
  <c r="AP2186" i="2"/>
  <c r="AP2181" i="2"/>
  <c r="AP2176" i="2"/>
  <c r="AP2167" i="2"/>
  <c r="AP2164" i="2"/>
  <c r="AP2160" i="2"/>
  <c r="AP2154" i="2"/>
  <c r="AP2144" i="2"/>
  <c r="AP2136" i="2"/>
  <c r="AP2130" i="2"/>
  <c r="AP2123" i="2"/>
  <c r="AP2115" i="2"/>
  <c r="AP2106" i="2"/>
  <c r="AP2098" i="2"/>
  <c r="AP2093" i="2"/>
  <c r="AP2089" i="2"/>
  <c r="AP2083" i="2"/>
  <c r="AP2074" i="2"/>
  <c r="AP2069" i="2"/>
  <c r="AP2062" i="2"/>
  <c r="AP2055" i="2"/>
  <c r="AP2050" i="2"/>
  <c r="AP2044" i="2"/>
  <c r="AP2038" i="2"/>
  <c r="AP2031" i="2"/>
  <c r="AP2024" i="2"/>
  <c r="AP2017" i="2"/>
  <c r="AP2010" i="2"/>
  <c r="AP2004" i="2"/>
  <c r="AP1999" i="2"/>
  <c r="AP1990" i="2"/>
  <c r="AP1983" i="2"/>
  <c r="AP1978" i="2"/>
  <c r="AP1974" i="2"/>
  <c r="AP1968" i="2"/>
  <c r="AP1961" i="2"/>
  <c r="AP1954" i="2"/>
  <c r="AP1947" i="2"/>
  <c r="AP1943" i="2"/>
  <c r="AP1936" i="2"/>
  <c r="AP1928" i="2"/>
  <c r="AP1921" i="2"/>
  <c r="AP1915" i="2"/>
  <c r="AP1911" i="2"/>
  <c r="AP1904" i="2"/>
  <c r="AP1897" i="2"/>
  <c r="AP1891" i="2"/>
  <c r="AP1867" i="2"/>
  <c r="AP1862" i="2"/>
  <c r="AP1859" i="2"/>
  <c r="AP1852" i="2"/>
  <c r="AP1839" i="2"/>
  <c r="AP1828" i="2"/>
  <c r="AP1822" i="2"/>
  <c r="AP1818" i="2"/>
  <c r="AP1814" i="2"/>
  <c r="AP1809" i="2"/>
  <c r="AP1805" i="2"/>
  <c r="AP1797" i="2"/>
  <c r="AP1790" i="2"/>
  <c r="AP1787" i="2"/>
  <c r="AP1779" i="2"/>
  <c r="AP1773" i="2"/>
  <c r="AP1764" i="2"/>
  <c r="AP1760" i="2"/>
  <c r="AP1756" i="2"/>
  <c r="AP1752" i="2"/>
  <c r="AP1747" i="2"/>
  <c r="AP1742" i="2"/>
  <c r="AP1737" i="2"/>
  <c r="AP1729" i="2"/>
  <c r="AP1380" i="2"/>
  <c r="AP1372" i="2"/>
  <c r="AP1365" i="2"/>
  <c r="AP1357" i="2"/>
  <c r="AP1351" i="2"/>
  <c r="AP1340" i="2"/>
  <c r="AP1336" i="2"/>
  <c r="AP1326" i="2"/>
  <c r="AP1320" i="2"/>
  <c r="AP1315" i="2"/>
  <c r="AP1308" i="2"/>
  <c r="AP1300" i="2"/>
  <c r="AP1294" i="2"/>
  <c r="AP1288" i="2"/>
  <c r="AP1283" i="2"/>
  <c r="AP1278" i="2"/>
  <c r="AP1274" i="2"/>
  <c r="AP1269" i="2"/>
  <c r="AP1263" i="2"/>
  <c r="AP1258" i="2"/>
  <c r="AP1248" i="2"/>
  <c r="AP1239" i="2"/>
  <c r="AP1232" i="2"/>
  <c r="AP1226" i="2"/>
  <c r="AP1221" i="2"/>
  <c r="AP1214" i="2"/>
  <c r="AP1209" i="2"/>
  <c r="AP1204" i="2"/>
  <c r="AP1198" i="2"/>
  <c r="AP1192" i="2"/>
  <c r="AP1187" i="2"/>
  <c r="AP1181" i="2"/>
  <c r="AP1175" i="2"/>
  <c r="AP1168" i="2"/>
  <c r="AP1162" i="2"/>
  <c r="AP1157" i="2"/>
  <c r="AP1152" i="2"/>
  <c r="AP1140" i="2"/>
  <c r="AP1134" i="2"/>
  <c r="AP1114" i="2"/>
  <c r="AP1108" i="2"/>
  <c r="AP1101" i="2"/>
  <c r="AP1096" i="2"/>
  <c r="AP1085" i="2"/>
  <c r="AP1079" i="2"/>
  <c r="AP1073" i="2"/>
  <c r="AP1067" i="2"/>
  <c r="AP1061" i="2"/>
  <c r="AP1054" i="2"/>
  <c r="AP1036" i="2"/>
  <c r="AP1030" i="2"/>
  <c r="AP1024" i="2"/>
  <c r="AP1009" i="2"/>
  <c r="AP1004" i="2"/>
  <c r="AP995" i="2"/>
  <c r="AP986" i="2"/>
  <c r="AP979" i="2"/>
  <c r="AP972" i="2"/>
  <c r="AP966" i="2"/>
  <c r="AP961" i="2"/>
  <c r="AP949" i="2"/>
  <c r="AP944" i="2"/>
  <c r="AP934" i="2"/>
  <c r="AP929" i="2"/>
  <c r="AP921" i="2"/>
  <c r="AP916" i="2"/>
  <c r="AP907" i="2"/>
  <c r="AP903" i="2"/>
  <c r="AP895" i="2"/>
  <c r="AP891" i="2"/>
  <c r="AP887" i="2"/>
  <c r="AP879" i="2"/>
  <c r="AP875" i="2"/>
  <c r="AP868" i="2"/>
  <c r="AP860" i="2"/>
  <c r="AP849" i="2"/>
  <c r="AP843" i="2"/>
  <c r="AP838" i="2"/>
  <c r="AP830" i="2"/>
  <c r="AP825" i="2"/>
  <c r="AP473" i="2"/>
  <c r="AP467" i="2"/>
  <c r="AP461" i="2"/>
  <c r="AP453" i="2"/>
  <c r="AP439" i="2"/>
  <c r="AP432" i="2"/>
  <c r="AP426" i="2"/>
  <c r="AP421" i="2"/>
  <c r="AP416" i="2"/>
  <c r="AP411" i="2"/>
  <c r="AP401" i="2"/>
  <c r="AP395" i="2"/>
  <c r="AP388" i="2"/>
  <c r="AP382" i="2"/>
  <c r="AP372" i="2"/>
  <c r="AP361" i="2"/>
  <c r="AP356" i="2"/>
  <c r="AP353" i="2"/>
  <c r="AP345" i="2"/>
  <c r="AP337" i="2"/>
  <c r="AP333" i="2"/>
  <c r="AP327" i="2"/>
  <c r="AP320" i="2"/>
  <c r="AP312" i="2"/>
  <c r="AP305" i="2"/>
  <c r="AP298" i="2"/>
  <c r="AP291" i="2"/>
  <c r="AP287" i="2"/>
  <c r="AP280" i="2"/>
  <c r="AP274" i="2"/>
  <c r="AP266" i="2"/>
  <c r="AP261" i="2"/>
  <c r="AP256" i="2"/>
  <c r="AP247" i="2"/>
  <c r="AP241" i="2"/>
  <c r="AP237" i="2"/>
  <c r="AP227" i="2"/>
  <c r="AP222" i="2"/>
  <c r="AP216" i="2"/>
  <c r="AP203" i="2"/>
  <c r="AP194" i="2"/>
  <c r="AP189" i="2"/>
  <c r="AP179" i="2"/>
  <c r="AP166" i="2"/>
  <c r="AP162" i="2"/>
  <c r="AP158" i="2"/>
  <c r="AP152" i="2"/>
  <c r="AP146" i="2"/>
  <c r="AP140" i="2"/>
  <c r="AP133" i="2"/>
  <c r="AP126" i="2"/>
  <c r="AP118" i="2"/>
  <c r="AP111" i="2"/>
  <c r="AP101" i="2"/>
  <c r="AP96" i="2"/>
  <c r="AP89" i="2"/>
  <c r="AP83" i="2"/>
  <c r="AP76" i="2"/>
  <c r="AP70" i="2"/>
  <c r="AP66" i="2"/>
  <c r="AP7" i="2"/>
  <c r="AP13" i="2"/>
  <c r="AP18" i="2"/>
  <c r="AP24" i="2"/>
  <c r="AP28" i="2"/>
  <c r="AP33" i="2"/>
  <c r="AP40" i="2"/>
  <c r="AP3281" i="2"/>
  <c r="AP3279" i="2"/>
  <c r="AP3275" i="2"/>
  <c r="AP3268" i="2"/>
  <c r="AP3263" i="2"/>
  <c r="AP3258" i="2"/>
  <c r="AP3250" i="2"/>
  <c r="AP3243" i="2"/>
  <c r="AP3237" i="2"/>
  <c r="AP3233" i="2"/>
  <c r="AP3228" i="2"/>
  <c r="AP3224" i="2"/>
  <c r="AP3218" i="2"/>
  <c r="AP3212" i="2"/>
  <c r="AP3208" i="2"/>
  <c r="AP3204" i="2"/>
  <c r="AP3199" i="2"/>
  <c r="AP3194" i="2"/>
  <c r="AP3188" i="2"/>
  <c r="AP3184" i="2"/>
  <c r="AP3179" i="2"/>
  <c r="AP3174" i="2"/>
  <c r="AP3170" i="2"/>
  <c r="AP3166" i="2"/>
  <c r="AP3161" i="2"/>
  <c r="AP3157" i="2"/>
  <c r="AP3153" i="2"/>
  <c r="AP3149" i="2"/>
  <c r="AP3144" i="2"/>
  <c r="AP3140" i="2"/>
  <c r="AP3135" i="2"/>
  <c r="AP3130" i="2"/>
  <c r="AP3124" i="2"/>
  <c r="AP3119" i="2"/>
  <c r="AP3113" i="2"/>
  <c r="AP3108" i="2"/>
  <c r="AP3104" i="2"/>
  <c r="AP3099" i="2"/>
  <c r="AP3091" i="2"/>
  <c r="AP3086" i="2"/>
  <c r="AP3082" i="2"/>
  <c r="AP3075" i="2"/>
  <c r="AP3071" i="2"/>
  <c r="AP3065" i="2"/>
  <c r="AP3059" i="2"/>
  <c r="AP3053" i="2"/>
  <c r="AP3049" i="2"/>
  <c r="AP3043" i="2"/>
  <c r="AP3037" i="2"/>
  <c r="AP3028" i="2"/>
  <c r="AP3021" i="2"/>
  <c r="AP3017" i="2"/>
  <c r="AP3011" i="2"/>
  <c r="AP3005" i="2"/>
  <c r="AP2999" i="2"/>
  <c r="AP2993" i="2"/>
  <c r="AP2987" i="2"/>
  <c r="AP2980" i="2"/>
  <c r="AP2975" i="2"/>
  <c r="AP2970" i="2"/>
  <c r="AP2961" i="2"/>
  <c r="AP2956" i="2"/>
  <c r="AP2947" i="2"/>
  <c r="AP2941" i="2"/>
  <c r="AP2938" i="2"/>
  <c r="AP2932" i="2"/>
  <c r="AP2927" i="2"/>
  <c r="AP2921" i="2"/>
  <c r="AP2915" i="2"/>
  <c r="AP2910" i="2"/>
  <c r="AP2901" i="2"/>
  <c r="AP2898" i="2"/>
  <c r="AP2891" i="2"/>
  <c r="AP2886" i="2"/>
  <c r="AP2882" i="2"/>
  <c r="AP2872" i="2"/>
  <c r="AP2867" i="2"/>
  <c r="AP2862" i="2"/>
  <c r="AP2857" i="2"/>
  <c r="AP2815" i="2"/>
  <c r="AP2811" i="2"/>
  <c r="AP2807" i="2"/>
  <c r="AP2804" i="2"/>
  <c r="AP2800" i="2"/>
  <c r="AP2794" i="2"/>
  <c r="AP2787" i="2"/>
  <c r="AP2780" i="2"/>
  <c r="AP2775" i="2"/>
  <c r="AP2769" i="2"/>
  <c r="AP2764" i="2"/>
  <c r="AP2758" i="2"/>
  <c r="AP2751" i="2"/>
  <c r="AP2746" i="2"/>
  <c r="AP2740" i="2"/>
  <c r="AP2732" i="2"/>
  <c r="AP2728" i="2"/>
  <c r="AP2721" i="2"/>
  <c r="AP2715" i="2"/>
  <c r="AP2710" i="2"/>
  <c r="AP2697" i="2"/>
  <c r="AP2692" i="2"/>
  <c r="AP2683" i="2"/>
  <c r="AP2676" i="2"/>
  <c r="AP2668" i="2"/>
  <c r="AP2660" i="2"/>
  <c r="AP2655" i="2"/>
  <c r="AP2646" i="2"/>
  <c r="AP2639" i="2"/>
  <c r="AP2634" i="2"/>
  <c r="AP2282" i="2"/>
  <c r="AP2276" i="2"/>
  <c r="AP2261" i="2"/>
  <c r="AP2255" i="2"/>
  <c r="AP2244" i="2"/>
  <c r="AP2235" i="2"/>
  <c r="AP2230" i="2"/>
  <c r="AP2224" i="2"/>
  <c r="AP2221" i="2"/>
  <c r="AP2216" i="2"/>
  <c r="AP2202" i="2"/>
  <c r="AP2192" i="2"/>
  <c r="AP2187" i="2"/>
  <c r="AP2179" i="2"/>
  <c r="AP2172" i="2"/>
  <c r="AP2159" i="2"/>
  <c r="AP2152" i="2"/>
  <c r="AP2147" i="2"/>
  <c r="AP2138" i="2"/>
  <c r="AP2133" i="2"/>
  <c r="AP2127" i="2"/>
  <c r="AP2121" i="2"/>
  <c r="AP2114" i="2"/>
  <c r="AP2107" i="2"/>
  <c r="AP2101" i="2"/>
  <c r="AP2091" i="2"/>
  <c r="AP2086" i="2"/>
  <c r="AP2076" i="2"/>
  <c r="AP2064" i="2"/>
  <c r="AP2059" i="2"/>
  <c r="AP2053" i="2"/>
  <c r="AP2045" i="2"/>
  <c r="AP2033" i="2"/>
  <c r="AP2028" i="2"/>
  <c r="AP2022" i="2"/>
  <c r="AP2015" i="2"/>
  <c r="AP2009" i="2"/>
  <c r="AP2002" i="2"/>
  <c r="AP1996" i="2"/>
  <c r="AP1991" i="2"/>
  <c r="AP1985" i="2"/>
  <c r="AP1976" i="2"/>
  <c r="AP1970" i="2"/>
  <c r="AP1962" i="2"/>
  <c r="AP1955" i="2"/>
  <c r="AP1948" i="2"/>
  <c r="AP1942" i="2"/>
  <c r="AP1935" i="2"/>
  <c r="AP1930" i="2"/>
  <c r="AP1922" i="2"/>
  <c r="AP1917" i="2"/>
  <c r="AP1907" i="2"/>
  <c r="AP1901" i="2"/>
  <c r="AP1896" i="2"/>
  <c r="AP1889" i="2"/>
  <c r="AP1856" i="2"/>
  <c r="AP1850" i="2"/>
  <c r="AP1846" i="2"/>
  <c r="AP1836" i="2"/>
  <c r="AP1831" i="2"/>
  <c r="AP1827" i="2"/>
  <c r="AP1821" i="2"/>
  <c r="AP1810" i="2"/>
  <c r="AP1804" i="2"/>
  <c r="AP1799" i="2"/>
  <c r="AP1794" i="2"/>
  <c r="AP1788" i="2"/>
  <c r="AP1782" i="2"/>
  <c r="AP1768" i="2"/>
  <c r="AP1762" i="2"/>
  <c r="AP1757" i="2"/>
  <c r="AP1750" i="2"/>
  <c r="AP1741" i="2"/>
  <c r="AP1736" i="2"/>
  <c r="AP1379" i="2"/>
  <c r="AP1373" i="2"/>
  <c r="AP1367" i="2"/>
  <c r="AP1361" i="2"/>
  <c r="AP1356" i="2"/>
  <c r="AP1349" i="2"/>
  <c r="AP1333" i="2"/>
  <c r="AP1327" i="2"/>
  <c r="AP1322" i="2"/>
  <c r="AP1316" i="2"/>
  <c r="AP1305" i="2"/>
  <c r="AP1301" i="2"/>
  <c r="AP1279" i="2"/>
  <c r="AP1273" i="2"/>
  <c r="AP1268" i="2"/>
  <c r="AP1262" i="2"/>
  <c r="AP1256" i="2"/>
  <c r="AP1252" i="2"/>
  <c r="AP1249" i="2"/>
  <c r="AP1241" i="2"/>
  <c r="AP1231" i="2"/>
  <c r="AP1224" i="2"/>
  <c r="AP1217" i="2"/>
  <c r="AP1212" i="2"/>
  <c r="AP1206" i="2"/>
  <c r="AP1196" i="2"/>
  <c r="AP1191" i="2"/>
  <c r="AP1186" i="2"/>
  <c r="AP1183" i="2"/>
  <c r="AP1177" i="2"/>
  <c r="AP1163" i="2"/>
  <c r="AP1155" i="2"/>
  <c r="AP1149" i="2"/>
  <c r="AP1142" i="2"/>
  <c r="AP1137" i="2"/>
  <c r="AP1129" i="2"/>
  <c r="AP1123" i="2"/>
  <c r="AP1120" i="2"/>
  <c r="AP1115" i="2"/>
  <c r="AP1111" i="2"/>
  <c r="AP1102" i="2"/>
  <c r="AP1099" i="2"/>
  <c r="AP1094" i="2"/>
  <c r="AP1088" i="2"/>
  <c r="AP1083" i="2"/>
  <c r="AP1077" i="2"/>
  <c r="AP1071" i="2"/>
  <c r="AP1066" i="2"/>
  <c r="AP1059" i="2"/>
  <c r="AP1055" i="2"/>
  <c r="AP1049" i="2"/>
  <c r="AP1044" i="2"/>
  <c r="AP1037" i="2"/>
  <c r="AP1027" i="2"/>
  <c r="AP1019" i="2"/>
  <c r="AP1006" i="2"/>
  <c r="AP1001" i="2"/>
  <c r="AP996" i="2"/>
  <c r="AP990" i="2"/>
  <c r="AP983" i="2"/>
  <c r="AP978" i="2"/>
  <c r="AP971" i="2"/>
  <c r="AP963" i="2"/>
  <c r="AP956" i="2"/>
  <c r="AP952" i="2"/>
  <c r="AP942" i="2"/>
  <c r="AP931" i="2"/>
  <c r="AP927" i="2"/>
  <c r="AP920" i="2"/>
  <c r="AP910" i="2"/>
  <c r="AP902" i="2"/>
  <c r="AP893" i="2"/>
  <c r="AP883" i="2"/>
  <c r="AP873" i="2"/>
  <c r="AP863" i="2"/>
  <c r="AP858" i="2"/>
  <c r="AP851" i="2"/>
  <c r="AP846" i="2"/>
  <c r="AP840" i="2"/>
  <c r="AP836" i="2"/>
  <c r="AP831" i="2"/>
  <c r="AP476" i="2"/>
  <c r="AP472" i="2"/>
  <c r="AP466" i="2"/>
  <c r="AP458" i="2"/>
  <c r="AP451" i="2"/>
  <c r="AP446" i="2"/>
  <c r="AP442" i="2"/>
  <c r="AP433" i="2"/>
  <c r="AP425" i="2"/>
  <c r="AP415" i="2"/>
  <c r="AP407" i="2"/>
  <c r="AP398" i="2"/>
  <c r="AP391" i="2"/>
  <c r="AP379" i="2"/>
  <c r="AP370" i="2"/>
  <c r="AP364" i="2"/>
  <c r="AP352" i="2"/>
  <c r="AP347" i="2"/>
  <c r="AP344" i="2"/>
  <c r="AP340" i="2"/>
  <c r="AP336" i="2"/>
  <c r="AP329" i="2"/>
  <c r="AP319" i="2"/>
  <c r="AP314" i="2"/>
  <c r="AP300" i="2"/>
  <c r="AP293" i="2"/>
  <c r="AP284" i="2"/>
  <c r="AP271" i="2"/>
  <c r="AP264" i="2"/>
  <c r="AP253" i="2"/>
  <c r="AP244" i="2"/>
  <c r="AP240" i="2"/>
  <c r="AP235" i="2"/>
  <c r="AP229" i="2"/>
  <c r="AP219" i="2"/>
  <c r="AP212" i="2"/>
  <c r="AP206" i="2"/>
  <c r="AP198" i="2"/>
  <c r="AP186" i="2"/>
  <c r="AP181" i="2"/>
  <c r="AP171" i="2"/>
  <c r="AP163" i="2"/>
  <c r="AP155" i="2"/>
  <c r="AP142" i="2"/>
  <c r="AP136" i="2"/>
  <c r="AP128" i="2"/>
  <c r="AP123" i="2"/>
  <c r="AP117" i="2"/>
  <c r="AP110" i="2"/>
  <c r="AP105" i="2"/>
  <c r="AP92" i="2"/>
  <c r="AP84" i="2"/>
  <c r="AP77" i="2"/>
  <c r="AP65" i="2"/>
  <c r="AP6" i="2"/>
  <c r="AP11" i="2"/>
  <c r="AP17" i="2"/>
  <c r="AP23" i="2"/>
  <c r="AP29" i="2"/>
  <c r="AP34" i="2"/>
  <c r="AP39" i="2"/>
  <c r="AP45" i="2"/>
  <c r="AP50" i="2"/>
  <c r="AP55" i="2"/>
  <c r="AP61" i="2"/>
  <c r="AP3077" i="2"/>
  <c r="AP3060" i="2"/>
  <c r="AP3057" i="2"/>
  <c r="AP3052" i="2"/>
  <c r="AP3046" i="2"/>
  <c r="AP3039" i="2"/>
  <c r="AP3033" i="2"/>
  <c r="AP3027" i="2"/>
  <c r="AP3023" i="2"/>
  <c r="AP3016" i="2"/>
  <c r="AP3007" i="2"/>
  <c r="AP3001" i="2"/>
  <c r="AP2996" i="2"/>
  <c r="AP2990" i="2"/>
  <c r="AP2985" i="2"/>
  <c r="AP2979" i="2"/>
  <c r="AP2972" i="2"/>
  <c r="AP2966" i="2"/>
  <c r="AP2960" i="2"/>
  <c r="AP2955" i="2"/>
  <c r="AP2951" i="2"/>
  <c r="AP2945" i="2"/>
  <c r="AP2940" i="2"/>
  <c r="AP2935" i="2"/>
  <c r="AP2930" i="2"/>
  <c r="AP2925" i="2"/>
  <c r="AP2920" i="2"/>
  <c r="AP2914" i="2"/>
  <c r="AP2908" i="2"/>
  <c r="AP2904" i="2"/>
  <c r="AP2899" i="2"/>
  <c r="AP2896" i="2"/>
  <c r="AP2887" i="2"/>
  <c r="AP2880" i="2"/>
  <c r="AP2874" i="2"/>
  <c r="AP2865" i="2"/>
  <c r="AP2859" i="2"/>
  <c r="AP2853" i="2"/>
  <c r="AP2848" i="2"/>
  <c r="AP2843" i="2"/>
  <c r="AP2837" i="2"/>
  <c r="AP2832" i="2"/>
  <c r="AP2827" i="2"/>
  <c r="AP2821" i="2"/>
  <c r="AP2816" i="2"/>
  <c r="AP2812" i="2"/>
  <c r="AP2808" i="2"/>
  <c r="AP2803" i="2"/>
  <c r="AP2798" i="2"/>
  <c r="AP2792" i="2"/>
  <c r="AP2789" i="2"/>
  <c r="AP2784" i="2"/>
  <c r="AP2779" i="2"/>
  <c r="AP2773" i="2"/>
  <c r="AP2767" i="2"/>
  <c r="AP2761" i="2"/>
  <c r="AP2745" i="2"/>
  <c r="AP2739" i="2"/>
  <c r="AP2733" i="2"/>
  <c r="AP2727" i="2"/>
  <c r="AP2720" i="2"/>
  <c r="AP2709" i="2"/>
  <c r="AP2704" i="2"/>
  <c r="AP2693" i="2"/>
  <c r="AP2687" i="2"/>
  <c r="AP2678" i="2"/>
  <c r="AP2670" i="2"/>
  <c r="AP2662" i="2"/>
  <c r="AP2657" i="2"/>
  <c r="AP2652" i="2"/>
  <c r="AP2648" i="2"/>
  <c r="AP2640" i="2"/>
  <c r="AP2636" i="2"/>
  <c r="AP2288" i="2"/>
  <c r="AP2280" i="2"/>
  <c r="AP2271" i="2"/>
  <c r="AP2266" i="2"/>
  <c r="AP2262" i="2"/>
  <c r="AP2256" i="2"/>
  <c r="AP2248" i="2"/>
  <c r="AP2242" i="2"/>
  <c r="AP2237" i="2"/>
  <c r="AP2228" i="2"/>
  <c r="AP2220" i="2"/>
  <c r="AP2213" i="2"/>
  <c r="AP2209" i="2"/>
  <c r="AP2163" i="2"/>
  <c r="AP2157" i="2"/>
  <c r="AP2150" i="2"/>
  <c r="AP2145" i="2"/>
  <c r="AP2140" i="2"/>
  <c r="AP2131" i="2"/>
  <c r="AP2122" i="2"/>
  <c r="AP2117" i="2"/>
  <c r="AP2110" i="2"/>
  <c r="AP2103" i="2"/>
  <c r="AP2094" i="2"/>
  <c r="AP2082" i="2"/>
  <c r="AP2078" i="2"/>
  <c r="AP2072" i="2"/>
  <c r="AP2068" i="2"/>
  <c r="AP2063" i="2"/>
  <c r="AP2057" i="2"/>
  <c r="AP2047" i="2"/>
  <c r="AP2039" i="2"/>
  <c r="AP2030" i="2"/>
  <c r="AP2019" i="2"/>
  <c r="AP2012" i="2"/>
  <c r="AP2006" i="2"/>
  <c r="AP1998" i="2"/>
  <c r="AP1988" i="2"/>
  <c r="AP1982" i="2"/>
  <c r="AP1977" i="2"/>
  <c r="AP1971" i="2"/>
  <c r="AP1966" i="2"/>
  <c r="AP1959" i="2"/>
  <c r="AP1949" i="2"/>
  <c r="AP1945" i="2"/>
  <c r="AP1937" i="2"/>
  <c r="AP1931" i="2"/>
  <c r="AP1926" i="2"/>
  <c r="AP1920" i="2"/>
  <c r="AP1912" i="2"/>
  <c r="AP1906" i="2"/>
  <c r="AP1898" i="2"/>
  <c r="AP1892" i="2"/>
  <c r="AP1886" i="2"/>
  <c r="AP1882" i="2"/>
  <c r="AP1879" i="2"/>
  <c r="AP1874" i="2"/>
  <c r="AP1869" i="2"/>
  <c r="AP1866" i="2"/>
  <c r="AP1861" i="2"/>
  <c r="AP1854" i="2"/>
  <c r="AP1849" i="2"/>
  <c r="AP1845" i="2"/>
  <c r="AP1840" i="2"/>
  <c r="AP1835" i="2"/>
  <c r="AP1830" i="2"/>
  <c r="AP1825" i="2"/>
  <c r="AP1817" i="2"/>
  <c r="AP1806" i="2"/>
  <c r="AP1801" i="2"/>
  <c r="AP1793" i="2"/>
  <c r="AP1784" i="2"/>
  <c r="AP1777" i="2"/>
  <c r="AP1771" i="2"/>
  <c r="AP1765" i="2"/>
  <c r="AP1749" i="2"/>
  <c r="AP1744" i="2"/>
  <c r="AP1732" i="2"/>
  <c r="AP1727" i="2"/>
  <c r="AP1382" i="2"/>
  <c r="AP1374" i="2"/>
  <c r="AP1366" i="2"/>
  <c r="AP1359" i="2"/>
  <c r="AP1352" i="2"/>
  <c r="AP1347" i="2"/>
  <c r="AP1342" i="2"/>
  <c r="AP1330" i="2"/>
  <c r="AP1318" i="2"/>
  <c r="AP1310" i="2"/>
  <c r="AP1302" i="2"/>
  <c r="AP1293" i="2"/>
  <c r="AP1289" i="2"/>
  <c r="AP1284" i="2"/>
  <c r="AP1271" i="2"/>
  <c r="AP1264" i="2"/>
  <c r="AP1250" i="2"/>
  <c r="AP1244" i="2"/>
  <c r="AP1235" i="2"/>
  <c r="AP1200" i="2"/>
  <c r="AP1193" i="2"/>
  <c r="AP1188" i="2"/>
  <c r="AP1178" i="2"/>
  <c r="AP1171" i="2"/>
  <c r="AP1166" i="2"/>
  <c r="AP1159" i="2"/>
  <c r="AP1154" i="2"/>
  <c r="AP1147" i="2"/>
  <c r="AP1143" i="2"/>
  <c r="AP1133" i="2"/>
  <c r="AP1126" i="2"/>
  <c r="AP1121" i="2"/>
  <c r="AP1112" i="2"/>
  <c r="AP1106" i="2"/>
  <c r="AP1097" i="2"/>
  <c r="AP1091" i="2"/>
  <c r="AP1086" i="2"/>
  <c r="AP1080" i="2"/>
  <c r="AP1072" i="2"/>
  <c r="AP1068" i="2"/>
  <c r="AP1058" i="2"/>
  <c r="AP1050" i="2"/>
  <c r="AP1045" i="2"/>
  <c r="AP1039" i="2"/>
  <c r="AP1034" i="2"/>
  <c r="AP1026" i="2"/>
  <c r="AP1021" i="2"/>
  <c r="AP1016" i="2"/>
  <c r="AP1011" i="2"/>
  <c r="AP1005" i="2"/>
  <c r="AP997" i="2"/>
  <c r="AP991" i="2"/>
  <c r="AP985" i="2"/>
  <c r="AP977" i="2"/>
  <c r="AP970" i="2"/>
  <c r="AP962" i="2"/>
  <c r="AP957" i="2"/>
  <c r="AP948" i="2"/>
  <c r="AP941" i="2"/>
  <c r="AP935" i="2"/>
  <c r="AP926" i="2"/>
  <c r="AP913" i="2"/>
  <c r="AP909" i="2"/>
  <c r="AP898" i="2"/>
  <c r="AP885" i="2"/>
  <c r="AP878" i="2"/>
  <c r="AP874" i="2"/>
  <c r="AP869" i="2"/>
  <c r="AP862" i="2"/>
  <c r="AP855" i="2"/>
  <c r="AP850" i="2"/>
  <c r="AP844" i="2"/>
  <c r="AP832" i="2"/>
  <c r="AP827" i="2"/>
  <c r="AP480" i="2"/>
  <c r="AP464" i="2"/>
  <c r="AP457" i="2"/>
  <c r="AP452" i="2"/>
  <c r="AP445" i="2"/>
  <c r="AP441" i="2"/>
  <c r="AP435" i="2"/>
  <c r="AP431" i="2"/>
  <c r="AP427" i="2"/>
  <c r="AP422" i="2"/>
  <c r="AP418" i="2"/>
  <c r="AP412" i="2"/>
  <c r="AP402" i="2"/>
  <c r="AP394" i="2"/>
  <c r="AP386" i="2"/>
  <c r="AP381" i="2"/>
  <c r="AP374" i="2"/>
  <c r="AP368" i="2"/>
  <c r="AP362" i="2"/>
  <c r="AP358" i="2"/>
  <c r="AP348" i="2"/>
  <c r="AP339" i="2"/>
  <c r="AP332" i="2"/>
  <c r="AP326" i="2"/>
  <c r="AP322" i="2"/>
  <c r="AP317" i="2"/>
  <c r="AP306" i="2"/>
  <c r="AP295" i="2"/>
  <c r="AP288" i="2"/>
  <c r="AP282" i="2"/>
  <c r="AP278" i="2"/>
  <c r="AP272" i="2"/>
  <c r="AP263" i="2"/>
  <c r="AP255" i="2"/>
  <c r="AP246" i="2"/>
  <c r="AP238" i="2"/>
  <c r="AP233" i="2"/>
  <c r="AP224" i="2"/>
  <c r="AP215" i="2"/>
  <c r="AP210" i="2"/>
  <c r="AP204" i="2"/>
  <c r="AP200" i="2"/>
  <c r="AP190" i="2"/>
  <c r="AP184" i="2"/>
  <c r="AP176" i="2"/>
  <c r="AP173" i="2"/>
  <c r="AP168" i="2"/>
  <c r="AP156" i="2"/>
  <c r="AP149" i="2"/>
  <c r="AP141" i="2"/>
  <c r="AP134" i="2"/>
  <c r="AP127" i="2"/>
  <c r="AP122" i="2"/>
  <c r="AP116" i="2"/>
  <c r="AP109" i="2"/>
  <c r="AP103" i="2"/>
  <c r="AP97" i="2"/>
  <c r="AP90" i="2"/>
  <c r="AP81" i="2"/>
  <c r="AP74" i="2"/>
  <c r="AP67" i="2"/>
  <c r="AP5" i="2"/>
  <c r="AP12" i="2"/>
  <c r="AP19" i="2"/>
  <c r="AP25" i="2"/>
  <c r="AP30" i="2"/>
  <c r="AP36" i="2"/>
  <c r="AP42" i="2"/>
  <c r="AP47" i="2"/>
  <c r="AP53" i="2"/>
  <c r="AP58" i="2"/>
  <c r="AP4" i="2"/>
  <c r="AP2852" i="2"/>
  <c r="AP2839" i="2"/>
  <c r="AP2831" i="2"/>
  <c r="AP2826" i="2"/>
  <c r="AP2822" i="2"/>
  <c r="AP2817" i="2"/>
  <c r="AP2813" i="2"/>
  <c r="AP2809" i="2"/>
  <c r="AP2805" i="2"/>
  <c r="AP2801" i="2"/>
  <c r="AP2795" i="2"/>
  <c r="AP2790" i="2"/>
  <c r="AP2785" i="2"/>
  <c r="AP2782" i="2"/>
  <c r="AP2776" i="2"/>
  <c r="AP2771" i="2"/>
  <c r="AP2768" i="2"/>
  <c r="AP2763" i="2"/>
  <c r="AP2753" i="2"/>
  <c r="AP2748" i="2"/>
  <c r="AP2738" i="2"/>
  <c r="AP2730" i="2"/>
  <c r="AP2725" i="2"/>
  <c r="AP2719" i="2"/>
  <c r="AP2713" i="2"/>
  <c r="AP2706" i="2"/>
  <c r="AP2701" i="2"/>
  <c r="AP2695" i="2"/>
  <c r="AP2688" i="2"/>
  <c r="AP2680" i="2"/>
  <c r="AP2675" i="2"/>
  <c r="AP2669" i="2"/>
  <c r="AP2663" i="2"/>
  <c r="AP2656" i="2"/>
  <c r="AP2651" i="2"/>
  <c r="AP2647" i="2"/>
  <c r="AP2642" i="2"/>
  <c r="AP2638" i="2"/>
  <c r="AP2631" i="2"/>
  <c r="AP2284" i="2"/>
  <c r="AP2279" i="2"/>
  <c r="AP2273" i="2"/>
  <c r="AP2269" i="2"/>
  <c r="AP2265" i="2"/>
  <c r="AP2257" i="2"/>
  <c r="AP2252" i="2"/>
  <c r="AP2246" i="2"/>
  <c r="AP2239" i="2"/>
  <c r="AP2234" i="2"/>
  <c r="AP2225" i="2"/>
  <c r="AP2219" i="2"/>
  <c r="AP2212" i="2"/>
  <c r="AP2206" i="2"/>
  <c r="AP2200" i="2"/>
  <c r="AP2195" i="2"/>
  <c r="AP2188" i="2"/>
  <c r="AP2182" i="2"/>
  <c r="AP2177" i="2"/>
  <c r="AP2169" i="2"/>
  <c r="AP2162" i="2"/>
  <c r="AP2153" i="2"/>
  <c r="AP2148" i="2"/>
  <c r="AP2143" i="2"/>
  <c r="AP2139" i="2"/>
  <c r="AP2125" i="2"/>
  <c r="AP2118" i="2"/>
  <c r="AP2112" i="2"/>
  <c r="AP2109" i="2"/>
  <c r="AP2104" i="2"/>
  <c r="AP2100" i="2"/>
  <c r="AP2095" i="2"/>
  <c r="AP2088" i="2"/>
  <c r="AP2081" i="2"/>
  <c r="AP2073" i="2"/>
  <c r="AP2065" i="2"/>
  <c r="AP2056" i="2"/>
  <c r="AP2049" i="2"/>
  <c r="AP2042" i="2"/>
  <c r="AP2036" i="2"/>
  <c r="AP2029" i="2"/>
  <c r="AP2026" i="2"/>
  <c r="AP2021" i="2"/>
  <c r="AP2013" i="2"/>
  <c r="AP2007" i="2"/>
  <c r="AP2001" i="2"/>
  <c r="AP1993" i="2"/>
  <c r="AP1967" i="2"/>
  <c r="AP1960" i="2"/>
  <c r="AP1950" i="2"/>
  <c r="AP1944" i="2"/>
  <c r="AP1938" i="2"/>
  <c r="AP1933" i="2"/>
  <c r="AP1929" i="2"/>
  <c r="AP1924" i="2"/>
  <c r="AP1916" i="2"/>
  <c r="AP1910" i="2"/>
  <c r="AP1899" i="2"/>
  <c r="AP1893" i="2"/>
  <c r="AP1888" i="2"/>
  <c r="AP1884" i="2"/>
  <c r="AP1880" i="2"/>
  <c r="AP1876" i="2"/>
  <c r="AP1873" i="2"/>
  <c r="AP1868" i="2"/>
  <c r="AP1863" i="2"/>
  <c r="AP1858" i="2"/>
  <c r="AP1853" i="2"/>
  <c r="AP1848" i="2"/>
  <c r="AP1843" i="2"/>
  <c r="AP1838" i="2"/>
  <c r="AP1826" i="2"/>
  <c r="AP1820" i="2"/>
  <c r="AP1815" i="2"/>
  <c r="AP1812" i="2"/>
  <c r="AP1808" i="2"/>
  <c r="AP1803" i="2"/>
  <c r="AP1798" i="2"/>
  <c r="AP1791" i="2"/>
  <c r="AP1783" i="2"/>
  <c r="AP1774" i="2"/>
  <c r="AP1766" i="2"/>
  <c r="AP1759" i="2"/>
  <c r="AP1754" i="2"/>
  <c r="AP1748" i="2"/>
  <c r="AP1743" i="2"/>
  <c r="AP1735" i="2"/>
  <c r="AP1731" i="2"/>
  <c r="AP1378" i="2"/>
  <c r="AP1371" i="2"/>
  <c r="AP1364" i="2"/>
  <c r="AP1358" i="2"/>
  <c r="AP1350" i="2"/>
  <c r="AP1345" i="2"/>
  <c r="AP1341" i="2"/>
  <c r="AP1335" i="2"/>
  <c r="AP1324" i="2"/>
  <c r="AP1319" i="2"/>
  <c r="AP1312" i="2"/>
  <c r="AP1307" i="2"/>
  <c r="AP1299" i="2"/>
  <c r="AP1295" i="2"/>
  <c r="AP1290" i="2"/>
  <c r="AP1285" i="2"/>
  <c r="AP1281" i="2"/>
  <c r="AP1275" i="2"/>
  <c r="AP1266" i="2"/>
  <c r="AP1260" i="2"/>
  <c r="AP1255" i="2"/>
  <c r="AP1247" i="2"/>
  <c r="AP1242" i="2"/>
  <c r="AP1237" i="2"/>
  <c r="AP1234" i="2"/>
  <c r="AP1228" i="2"/>
  <c r="AP1222" i="2"/>
  <c r="AP1218" i="2"/>
  <c r="AP1213" i="2"/>
  <c r="AP1208" i="2"/>
  <c r="AP1202" i="2"/>
  <c r="AP1195" i="2"/>
  <c r="AP1189" i="2"/>
  <c r="AP1176" i="2"/>
  <c r="AP1167" i="2"/>
  <c r="AP1161" i="2"/>
  <c r="AP1158" i="2"/>
  <c r="AP1150" i="2"/>
  <c r="AP1141" i="2"/>
  <c r="AP1136" i="2"/>
  <c r="AP1130" i="2"/>
  <c r="AP1125" i="2"/>
  <c r="AP1117" i="2"/>
  <c r="AP1107" i="2"/>
  <c r="AP1076" i="2"/>
  <c r="AP1063" i="2"/>
  <c r="AP1056" i="2"/>
  <c r="AP1051" i="2"/>
  <c r="AP1043" i="2"/>
  <c r="AP1035" i="2"/>
  <c r="AP1031" i="2"/>
  <c r="AP1020" i="2"/>
  <c r="AP1013" i="2"/>
  <c r="AP1007" i="2"/>
  <c r="AP1000" i="2"/>
  <c r="AP994" i="2"/>
  <c r="AP988" i="2"/>
  <c r="AP982" i="2"/>
  <c r="AP974" i="2"/>
  <c r="AP968" i="2"/>
  <c r="AP960" i="2"/>
  <c r="AP954" i="2"/>
  <c r="AP947" i="2"/>
  <c r="AP939" i="2"/>
  <c r="AP933" i="2"/>
  <c r="AP924" i="2"/>
  <c r="AP917" i="2"/>
  <c r="AP912" i="2"/>
  <c r="AP908" i="2"/>
  <c r="AP900" i="2"/>
  <c r="AP894" i="2"/>
  <c r="AP886" i="2"/>
  <c r="AP880" i="2"/>
  <c r="AP876" i="2"/>
  <c r="AP872" i="2"/>
  <c r="AP866" i="2"/>
  <c r="AP861" i="2"/>
  <c r="AP857" i="2"/>
  <c r="AP853" i="2"/>
  <c r="AP845" i="2"/>
  <c r="AP833" i="2"/>
  <c r="AP829" i="2"/>
  <c r="AP824" i="2"/>
  <c r="AP475" i="2"/>
  <c r="AP468" i="2"/>
  <c r="AP459" i="2"/>
  <c r="AP454" i="2"/>
  <c r="AP438" i="2"/>
  <c r="AP424" i="2"/>
  <c r="AP419" i="2"/>
  <c r="AP410" i="2"/>
  <c r="AP404" i="2"/>
  <c r="AP399" i="2"/>
  <c r="AP392" i="2"/>
  <c r="AP385" i="2"/>
  <c r="AP380" i="2"/>
  <c r="AP375" i="2"/>
  <c r="AP365" i="2"/>
  <c r="AP360" i="2"/>
  <c r="AP354" i="2"/>
  <c r="AP338" i="2"/>
  <c r="AP330" i="2"/>
  <c r="AP321" i="2"/>
  <c r="AP315" i="2"/>
  <c r="AP310" i="2"/>
  <c r="AP303" i="2"/>
  <c r="AP299" i="2"/>
  <c r="AP296" i="2"/>
  <c r="AP289" i="2"/>
  <c r="AP281" i="2"/>
  <c r="AP276" i="2"/>
  <c r="AP267" i="2"/>
  <c r="AP262" i="2"/>
  <c r="AP258" i="2"/>
  <c r="AP250" i="2"/>
  <c r="AP243" i="2"/>
  <c r="AP236" i="2"/>
  <c r="AP232" i="2"/>
  <c r="AP228" i="2"/>
  <c r="AP221" i="2"/>
  <c r="AP214" i="2"/>
  <c r="AP207" i="2"/>
  <c r="AP202" i="2"/>
  <c r="AP197" i="2"/>
  <c r="AP192" i="2"/>
  <c r="AP188" i="2"/>
  <c r="AP178" i="2"/>
  <c r="AP175" i="2"/>
  <c r="AP167" i="2"/>
  <c r="AP157" i="2"/>
  <c r="AP151" i="2"/>
  <c r="AP147" i="2"/>
  <c r="AP138" i="2"/>
  <c r="AP131" i="2"/>
  <c r="AP124" i="2"/>
  <c r="AP114" i="2"/>
  <c r="AP102" i="2"/>
  <c r="AP95" i="2"/>
  <c r="AP87" i="2"/>
  <c r="AP80" i="2"/>
  <c r="AP72" i="2"/>
  <c r="AP68" i="2"/>
  <c r="AP62" i="2"/>
  <c r="AP10" i="2"/>
  <c r="AP16" i="2"/>
  <c r="AP20" i="2"/>
  <c r="AP27" i="2"/>
  <c r="AP31" i="2"/>
  <c r="AP38" i="2"/>
  <c r="AP44" i="2"/>
  <c r="AP49" i="2"/>
  <c r="AP52" i="2"/>
  <c r="AP57" i="2"/>
  <c r="AP60" i="2"/>
  <c r="AP2630" i="2"/>
  <c r="AP2629" i="2"/>
  <c r="AP2628" i="2"/>
  <c r="AP2627" i="2"/>
  <c r="AP2626" i="2"/>
  <c r="AP2625" i="2"/>
  <c r="AP2624" i="2"/>
  <c r="AP2623" i="2"/>
  <c r="AP2622" i="2"/>
  <c r="AP2621" i="2"/>
  <c r="AP2620" i="2"/>
  <c r="AP2619" i="2"/>
  <c r="AP2618" i="2"/>
  <c r="AP2617" i="2"/>
  <c r="AP2616" i="2"/>
  <c r="AP2615" i="2"/>
  <c r="AP2614" i="2"/>
  <c r="AP2613" i="2"/>
  <c r="AP2612" i="2"/>
  <c r="AP2611" i="2"/>
  <c r="AP2610" i="2"/>
  <c r="AP2609" i="2"/>
  <c r="AP2608" i="2"/>
  <c r="AP2607" i="2"/>
  <c r="AP2606" i="2"/>
  <c r="AP2605" i="2"/>
  <c r="AP2604" i="2"/>
  <c r="AP2603" i="2"/>
  <c r="AP2602" i="2"/>
  <c r="AP2601" i="2"/>
  <c r="AP2600" i="2"/>
  <c r="AP2599" i="2"/>
  <c r="AP2598" i="2"/>
  <c r="AP2597" i="2"/>
  <c r="AP2596" i="2"/>
  <c r="AP2595" i="2"/>
  <c r="AP2594" i="2"/>
  <c r="AP2593" i="2"/>
  <c r="AP2592" i="2"/>
  <c r="AP2591" i="2"/>
  <c r="AP2590" i="2"/>
  <c r="AP2589" i="2"/>
  <c r="AP2588" i="2"/>
  <c r="AP2587" i="2"/>
  <c r="AP2586" i="2"/>
  <c r="AP2585" i="2"/>
  <c r="AP2584" i="2"/>
  <c r="AP2583" i="2"/>
  <c r="AP2582" i="2"/>
  <c r="AP2581" i="2"/>
  <c r="AP2580" i="2"/>
  <c r="AP2579" i="2"/>
  <c r="AP2578" i="2"/>
  <c r="AP2577" i="2"/>
  <c r="AP2576" i="2"/>
  <c r="AP2575" i="2"/>
  <c r="AP2574" i="2"/>
  <c r="AP2573" i="2"/>
  <c r="AP2572" i="2"/>
  <c r="AP2571" i="2"/>
  <c r="AP2570" i="2"/>
  <c r="AP2569" i="2"/>
  <c r="AP2568" i="2"/>
  <c r="AP2567" i="2"/>
  <c r="AP2566" i="2"/>
  <c r="AP2565" i="2"/>
  <c r="AP2564" i="2"/>
  <c r="AP2563" i="2"/>
  <c r="AP2562" i="2"/>
  <c r="AP2561" i="2"/>
  <c r="AP2560" i="2"/>
  <c r="AP2559" i="2"/>
  <c r="AP2558" i="2"/>
  <c r="AP2557" i="2"/>
  <c r="AP2556" i="2"/>
  <c r="AP2555" i="2"/>
  <c r="AP2554" i="2"/>
  <c r="AP2553" i="2"/>
  <c r="AP2552" i="2"/>
  <c r="AP2551" i="2"/>
  <c r="AP2550" i="2"/>
  <c r="AP2549" i="2"/>
  <c r="AP2548" i="2"/>
  <c r="AP2547" i="2"/>
  <c r="AP2546" i="2"/>
  <c r="AP2545" i="2"/>
  <c r="AP2544" i="2"/>
  <c r="AP2543" i="2"/>
  <c r="AP2542" i="2"/>
  <c r="AP2541" i="2"/>
  <c r="AP2540" i="2"/>
  <c r="AP2539" i="2"/>
  <c r="AP2538" i="2"/>
  <c r="AP2537" i="2"/>
  <c r="AP2536" i="2"/>
  <c r="AP2535" i="2"/>
  <c r="AP2534" i="2"/>
  <c r="AP2533" i="2"/>
  <c r="AP2532" i="2"/>
  <c r="AP2531" i="2"/>
  <c r="AP2530" i="2"/>
  <c r="AP2529" i="2"/>
  <c r="AP2528" i="2"/>
  <c r="AP2527" i="2"/>
  <c r="AP2526" i="2"/>
  <c r="AP2525" i="2"/>
  <c r="AP2524" i="2"/>
  <c r="AP2523" i="2"/>
  <c r="AP2522" i="2"/>
  <c r="AP2521" i="2"/>
  <c r="AP2520" i="2"/>
  <c r="AP2519" i="2"/>
  <c r="AP2518" i="2"/>
  <c r="AP2517" i="2"/>
  <c r="AP2516" i="2"/>
  <c r="AP2515" i="2"/>
  <c r="AP2514" i="2"/>
  <c r="AP2513" i="2"/>
  <c r="AP2512" i="2"/>
  <c r="AP2511" i="2"/>
  <c r="AP2510" i="2"/>
  <c r="AP2509" i="2"/>
  <c r="AP2508" i="2"/>
  <c r="AP2507" i="2"/>
  <c r="AP2506" i="2"/>
  <c r="AP2505" i="2"/>
  <c r="AP2504" i="2"/>
  <c r="AP2503" i="2"/>
  <c r="AP2502" i="2"/>
  <c r="AP2501" i="2"/>
  <c r="AP2500" i="2"/>
  <c r="AP2499" i="2"/>
  <c r="AP2498" i="2"/>
  <c r="AP2497" i="2"/>
  <c r="AP2496" i="2"/>
  <c r="AP2495" i="2"/>
  <c r="AP2494" i="2"/>
  <c r="AP2493" i="2"/>
  <c r="AP2492" i="2"/>
  <c r="AP2491" i="2"/>
  <c r="AP2490" i="2"/>
  <c r="AP2489" i="2"/>
  <c r="AP2488" i="2"/>
  <c r="AP2487" i="2"/>
  <c r="AP2486" i="2"/>
  <c r="AP2485" i="2"/>
  <c r="AP2484" i="2"/>
  <c r="AP2483" i="2"/>
  <c r="AP2482" i="2"/>
  <c r="AP2481" i="2"/>
  <c r="AP2480" i="2"/>
  <c r="AP2479" i="2"/>
  <c r="AP2478" i="2"/>
  <c r="AP2477" i="2"/>
  <c r="AP2476" i="2"/>
  <c r="AP2475" i="2"/>
  <c r="AP2474" i="2"/>
  <c r="AP2473" i="2"/>
  <c r="AP2472" i="2"/>
  <c r="AP2471" i="2"/>
  <c r="AP2470" i="2"/>
  <c r="AP2469" i="2"/>
  <c r="AP2468" i="2"/>
  <c r="AP2467" i="2"/>
  <c r="AP2466" i="2"/>
  <c r="AP2465" i="2"/>
  <c r="AP2464" i="2"/>
  <c r="AP2463" i="2"/>
  <c r="AP2462" i="2"/>
  <c r="AP2461" i="2"/>
  <c r="AP2460" i="2"/>
  <c r="AP2459" i="2"/>
  <c r="AP2458" i="2"/>
  <c r="AP2457" i="2"/>
  <c r="AP2456" i="2"/>
  <c r="AP2455" i="2"/>
  <c r="AP2454" i="2"/>
  <c r="AP2453" i="2"/>
  <c r="AP2452" i="2"/>
  <c r="AP2451" i="2"/>
  <c r="AP2450" i="2"/>
  <c r="AP2449" i="2"/>
  <c r="AP2448" i="2"/>
  <c r="AP2447" i="2"/>
  <c r="AP2446" i="2"/>
  <c r="AP2445" i="2"/>
  <c r="AP2444" i="2"/>
  <c r="AP2443" i="2"/>
  <c r="AP2442" i="2"/>
  <c r="AP2441" i="2"/>
  <c r="AP2440" i="2"/>
  <c r="AP2439" i="2"/>
  <c r="AP2438" i="2"/>
  <c r="AP2437" i="2"/>
  <c r="AP2436" i="2"/>
  <c r="AP2435" i="2"/>
  <c r="AP2434" i="2"/>
  <c r="AP2433" i="2"/>
  <c r="AP2432" i="2"/>
  <c r="AP2431" i="2"/>
  <c r="AP2430" i="2"/>
  <c r="AP2429" i="2"/>
  <c r="AP2428" i="2"/>
  <c r="AP2427" i="2"/>
  <c r="AP2426" i="2"/>
  <c r="AP2425" i="2"/>
  <c r="AP2424" i="2"/>
  <c r="AP2423" i="2"/>
  <c r="AP2422" i="2"/>
  <c r="AP2421" i="2"/>
  <c r="AP2420" i="2"/>
  <c r="AP2419" i="2"/>
  <c r="AP2418" i="2"/>
  <c r="AP2417" i="2"/>
  <c r="AP2416" i="2"/>
  <c r="AP2415" i="2"/>
  <c r="AP2414" i="2"/>
  <c r="AP2413" i="2"/>
  <c r="AP2412" i="2"/>
  <c r="AP2411" i="2"/>
  <c r="AP2410" i="2"/>
  <c r="AP2409" i="2"/>
  <c r="AP2408" i="2"/>
  <c r="AP2407" i="2"/>
  <c r="AP2406" i="2"/>
  <c r="AP2405" i="2"/>
  <c r="AP2404" i="2"/>
  <c r="AP2403" i="2"/>
  <c r="AP2402" i="2"/>
  <c r="AP2401" i="2"/>
  <c r="AP2400" i="2"/>
  <c r="AP2399" i="2"/>
  <c r="AP2398" i="2"/>
  <c r="AP2397" i="2"/>
  <c r="AP2396" i="2"/>
  <c r="AP2395" i="2"/>
  <c r="AP2394" i="2"/>
  <c r="AP2393" i="2"/>
  <c r="AP2392" i="2"/>
  <c r="AP2391" i="2"/>
  <c r="AP2390" i="2"/>
  <c r="AP2389" i="2"/>
  <c r="AP2388" i="2"/>
  <c r="AP2387" i="2"/>
  <c r="AP2386" i="2"/>
  <c r="AP2385" i="2"/>
  <c r="AP2384" i="2"/>
  <c r="AP2383" i="2"/>
  <c r="AP2382" i="2"/>
  <c r="AP2381" i="2"/>
  <c r="AP2380" i="2"/>
  <c r="AP2379" i="2"/>
  <c r="AP2378" i="2"/>
  <c r="AP2377" i="2"/>
  <c r="AP2376" i="2"/>
  <c r="AP2375" i="2"/>
  <c r="AP2374" i="2"/>
  <c r="AP2373" i="2"/>
  <c r="AP2372" i="2"/>
  <c r="AP2371" i="2"/>
  <c r="AP2370" i="2"/>
  <c r="AP2369" i="2"/>
  <c r="AP2368" i="2"/>
  <c r="AP2367" i="2"/>
  <c r="AP2366" i="2"/>
  <c r="AP2365" i="2"/>
  <c r="AP2364" i="2"/>
  <c r="AP2363" i="2"/>
  <c r="AP2362" i="2"/>
  <c r="AP2361" i="2"/>
  <c r="AP2360" i="2"/>
  <c r="AP2359" i="2"/>
  <c r="AP2358" i="2"/>
  <c r="AP2357" i="2"/>
  <c r="AP2356" i="2"/>
  <c r="AP2355" i="2"/>
  <c r="AP2354" i="2"/>
  <c r="AP2353" i="2"/>
  <c r="AP2352" i="2"/>
  <c r="AP2351" i="2"/>
  <c r="AP2350" i="2"/>
  <c r="AP2349" i="2"/>
  <c r="AP2348" i="2"/>
  <c r="AP2347" i="2"/>
  <c r="AP2346" i="2"/>
  <c r="AP2345" i="2"/>
  <c r="AP2344" i="2"/>
  <c r="AP2343" i="2"/>
  <c r="AP2342" i="2"/>
  <c r="AP2341" i="2"/>
  <c r="AP2340" i="2"/>
  <c r="AP2339" i="2"/>
  <c r="AP2338" i="2"/>
  <c r="AP2337" i="2"/>
  <c r="AP2336" i="2"/>
  <c r="AP2335" i="2"/>
  <c r="AP2334" i="2"/>
  <c r="AP2333" i="2"/>
  <c r="AP2332" i="2"/>
  <c r="AP2331" i="2"/>
  <c r="AP2330" i="2"/>
  <c r="AP2329" i="2"/>
  <c r="AP2328" i="2"/>
  <c r="AP2327" i="2"/>
  <c r="AP2326" i="2"/>
  <c r="AP2325" i="2"/>
  <c r="AP2324" i="2"/>
  <c r="AP2323" i="2"/>
  <c r="AP2322" i="2"/>
  <c r="AP2321" i="2"/>
  <c r="AP2320" i="2"/>
  <c r="AP2319" i="2"/>
  <c r="AP2318" i="2"/>
  <c r="AP2317" i="2"/>
  <c r="AP2316" i="2"/>
  <c r="AP2315" i="2"/>
  <c r="AP2314" i="2"/>
  <c r="AP2313" i="2"/>
  <c r="AP2312" i="2"/>
  <c r="AP2311" i="2"/>
  <c r="AP2310" i="2"/>
  <c r="AP2309" i="2"/>
  <c r="AP2308" i="2"/>
  <c r="AP2307" i="2"/>
  <c r="AP2306" i="2"/>
  <c r="AP2305" i="2"/>
  <c r="AP2304" i="2"/>
  <c r="AP2303" i="2"/>
  <c r="AP2302" i="2"/>
  <c r="AP2301" i="2"/>
  <c r="AP2300" i="2"/>
  <c r="AP2299" i="2"/>
  <c r="AP2298" i="2"/>
  <c r="AP2297" i="2"/>
  <c r="AP2296" i="2"/>
  <c r="AP2295" i="2"/>
  <c r="AP2294" i="2"/>
  <c r="AP2293" i="2"/>
  <c r="AP2292" i="2"/>
  <c r="AP2291" i="2"/>
  <c r="AP2290" i="2"/>
  <c r="AP2289" i="2"/>
  <c r="AP1726" i="2"/>
  <c r="AP1725" i="2"/>
  <c r="AP1724" i="2"/>
  <c r="AP1723" i="2"/>
  <c r="AP1722" i="2"/>
  <c r="AP1721" i="2"/>
  <c r="AP1720" i="2"/>
  <c r="AP1719" i="2"/>
  <c r="AP1718" i="2"/>
  <c r="AP1717" i="2"/>
  <c r="AP1716" i="2"/>
  <c r="AP1715" i="2"/>
  <c r="AP1714" i="2"/>
  <c r="AP1713" i="2"/>
  <c r="AP1712" i="2"/>
  <c r="AP1711" i="2"/>
  <c r="AP1710" i="2"/>
  <c r="AP1709" i="2"/>
  <c r="AP1708" i="2"/>
  <c r="AP1707" i="2"/>
  <c r="AP1706" i="2"/>
  <c r="AP1705" i="2"/>
  <c r="AP1704" i="2"/>
  <c r="AP1703" i="2"/>
  <c r="AP1702" i="2"/>
  <c r="AP1701" i="2"/>
  <c r="AP1700" i="2"/>
  <c r="AP1699" i="2"/>
  <c r="AP1698" i="2"/>
  <c r="AP1697" i="2"/>
  <c r="AP1696" i="2"/>
  <c r="AP1695" i="2"/>
  <c r="AP1694" i="2"/>
  <c r="AP1693" i="2"/>
  <c r="AP1692" i="2"/>
  <c r="AP1691" i="2"/>
  <c r="AP1690" i="2"/>
  <c r="AP1689" i="2"/>
  <c r="AP1688" i="2"/>
  <c r="AP1687" i="2"/>
  <c r="AP1686" i="2"/>
  <c r="AP1685" i="2"/>
  <c r="AP1684" i="2"/>
  <c r="AP1683" i="2"/>
  <c r="AP1682" i="2"/>
  <c r="AP1681" i="2"/>
  <c r="AP1680" i="2"/>
  <c r="AP1679" i="2"/>
  <c r="AP1678" i="2"/>
  <c r="AP1677" i="2"/>
  <c r="AP1676" i="2"/>
  <c r="AP1675" i="2"/>
  <c r="AP1674" i="2"/>
  <c r="AP1673" i="2"/>
  <c r="AP1672" i="2"/>
  <c r="AP1671" i="2"/>
  <c r="AP1670" i="2"/>
  <c r="AP1669" i="2"/>
  <c r="AP1668" i="2"/>
  <c r="AP1667" i="2"/>
  <c r="AP1666" i="2"/>
  <c r="AP1665" i="2"/>
  <c r="AP1664" i="2"/>
  <c r="AP1663" i="2"/>
  <c r="AP1662" i="2"/>
  <c r="AP1661" i="2"/>
  <c r="AP1660" i="2"/>
  <c r="AP1659" i="2"/>
  <c r="AP1658" i="2"/>
  <c r="AP1657" i="2"/>
  <c r="AP1656" i="2"/>
  <c r="AP1655" i="2"/>
  <c r="AP1654" i="2"/>
  <c r="AP1653" i="2"/>
  <c r="AP1652" i="2"/>
  <c r="AP1651" i="2"/>
  <c r="AP1650" i="2"/>
  <c r="AP1649" i="2"/>
  <c r="AP1648" i="2"/>
  <c r="AP1647" i="2"/>
  <c r="AP1646" i="2"/>
  <c r="AP1645" i="2"/>
  <c r="AP1644" i="2"/>
  <c r="AP1643" i="2"/>
  <c r="AP1642" i="2"/>
  <c r="AP1641" i="2"/>
  <c r="AP1640" i="2"/>
  <c r="AP1639" i="2"/>
  <c r="AP1638" i="2"/>
  <c r="AP1637" i="2"/>
  <c r="AP1636" i="2"/>
  <c r="AP1635" i="2"/>
  <c r="AP1634" i="2"/>
  <c r="AP1633" i="2"/>
  <c r="AP1632" i="2"/>
  <c r="AP1631" i="2"/>
  <c r="AP1630" i="2"/>
  <c r="AP1629" i="2"/>
  <c r="AP1628" i="2"/>
  <c r="AP1627" i="2"/>
  <c r="AP1626" i="2"/>
  <c r="AP1625" i="2"/>
  <c r="AP1624" i="2"/>
  <c r="AP1623" i="2"/>
  <c r="AP1622" i="2"/>
  <c r="AP1621" i="2"/>
  <c r="AP1620" i="2"/>
  <c r="AP1619" i="2"/>
  <c r="AP1618" i="2"/>
  <c r="AP1617" i="2"/>
  <c r="AP1616" i="2"/>
  <c r="AP1615" i="2"/>
  <c r="AP1614" i="2"/>
  <c r="AP1613" i="2"/>
  <c r="AP1612" i="2"/>
  <c r="AP1611" i="2"/>
  <c r="AP1610" i="2"/>
  <c r="AP1609" i="2"/>
  <c r="AP1608" i="2"/>
  <c r="AP1607" i="2"/>
  <c r="AP1606" i="2"/>
  <c r="AP1605" i="2"/>
  <c r="AP1604" i="2"/>
  <c r="AP1603" i="2"/>
  <c r="AP1602" i="2"/>
  <c r="AP1601" i="2"/>
  <c r="AP1600" i="2"/>
  <c r="AP1599" i="2"/>
  <c r="AP1598" i="2"/>
  <c r="AP1597" i="2"/>
  <c r="AP1596" i="2"/>
  <c r="AP1595" i="2"/>
  <c r="AP1594" i="2"/>
  <c r="AP1593" i="2"/>
  <c r="AP1592" i="2"/>
  <c r="AP1591" i="2"/>
  <c r="AP1590" i="2"/>
  <c r="AP1589" i="2"/>
  <c r="AP1588" i="2"/>
  <c r="AP1587" i="2"/>
  <c r="AP1586" i="2"/>
  <c r="AP1585" i="2"/>
  <c r="AP1584" i="2"/>
  <c r="AP1583" i="2"/>
  <c r="AP1582" i="2"/>
  <c r="AP1581" i="2"/>
  <c r="AP1580" i="2"/>
  <c r="AP1579" i="2"/>
  <c r="AP1578" i="2"/>
  <c r="AP1577" i="2"/>
  <c r="AP1576" i="2"/>
  <c r="AP1575" i="2"/>
  <c r="AP1574" i="2"/>
  <c r="AP1573" i="2"/>
  <c r="AP1572" i="2"/>
  <c r="AP1571" i="2"/>
  <c r="AP1570" i="2"/>
  <c r="AP1569" i="2"/>
  <c r="AP1568" i="2"/>
  <c r="AP1567" i="2"/>
  <c r="AP1566" i="2"/>
  <c r="AP1565" i="2"/>
  <c r="AP1564" i="2"/>
  <c r="AP1563" i="2"/>
  <c r="AP1562" i="2"/>
  <c r="AP1561" i="2"/>
  <c r="AP1560" i="2"/>
  <c r="AP1559" i="2"/>
  <c r="AP1558" i="2"/>
  <c r="AP1557" i="2"/>
  <c r="AP1556" i="2"/>
  <c r="AP1555" i="2"/>
  <c r="AP1554" i="2"/>
  <c r="AP1553" i="2"/>
  <c r="AP1552" i="2"/>
  <c r="AP1551" i="2"/>
  <c r="AP1550" i="2"/>
  <c r="AP1549" i="2"/>
  <c r="AP1548" i="2"/>
  <c r="AP1547" i="2"/>
  <c r="AP1546" i="2"/>
  <c r="AP1545" i="2"/>
  <c r="AP1544" i="2"/>
  <c r="AP1543" i="2"/>
  <c r="AP1542" i="2"/>
  <c r="AP1541" i="2"/>
  <c r="AP1540" i="2"/>
  <c r="AP1539" i="2"/>
  <c r="AP1538" i="2"/>
  <c r="AP1537" i="2"/>
  <c r="AP1536" i="2"/>
  <c r="AP1535" i="2"/>
  <c r="AP1534" i="2"/>
  <c r="AP1533" i="2"/>
  <c r="AP1532" i="2"/>
  <c r="AP1531" i="2"/>
  <c r="AP1530" i="2"/>
  <c r="AP1529" i="2"/>
  <c r="AP1528" i="2"/>
  <c r="AP1527" i="2"/>
  <c r="AP1526" i="2"/>
  <c r="AP1525" i="2"/>
  <c r="AP1524" i="2"/>
  <c r="AP1523" i="2"/>
  <c r="AP1522" i="2"/>
  <c r="AP1521" i="2"/>
  <c r="AP1520" i="2"/>
  <c r="AP1519" i="2"/>
  <c r="AP1518" i="2"/>
  <c r="AP1517" i="2"/>
  <c r="AP1516" i="2"/>
  <c r="AP1515" i="2"/>
  <c r="AP1514" i="2"/>
  <c r="AP1513" i="2"/>
  <c r="AP1512" i="2"/>
  <c r="AP1511" i="2"/>
  <c r="AP1510" i="2"/>
  <c r="AP1509" i="2"/>
  <c r="AP1508" i="2"/>
  <c r="AP1507" i="2"/>
  <c r="AP1506" i="2"/>
  <c r="AP1505" i="2"/>
  <c r="AP1504" i="2"/>
  <c r="AP1503" i="2"/>
  <c r="AP1502" i="2"/>
  <c r="AP1501" i="2"/>
  <c r="AP1500" i="2"/>
  <c r="AP1499" i="2"/>
  <c r="AP1498" i="2"/>
  <c r="AP1497" i="2"/>
  <c r="AP1496" i="2"/>
  <c r="AP1495" i="2"/>
  <c r="AP1494" i="2"/>
  <c r="AP1493" i="2"/>
  <c r="AP1492" i="2"/>
  <c r="AP1491" i="2"/>
  <c r="AP1490" i="2"/>
  <c r="AP1489" i="2"/>
  <c r="AP1488" i="2"/>
  <c r="AP1487" i="2"/>
  <c r="AP1486" i="2"/>
  <c r="AP1485" i="2"/>
  <c r="AP1484" i="2"/>
  <c r="AP1483" i="2"/>
  <c r="AP1482" i="2"/>
  <c r="AP1481" i="2"/>
  <c r="AP1480" i="2"/>
  <c r="AP1479" i="2"/>
  <c r="AP1478" i="2"/>
  <c r="AP1477" i="2"/>
  <c r="AP1476" i="2"/>
  <c r="AP1475" i="2"/>
  <c r="AP1474" i="2"/>
  <c r="AP1473" i="2"/>
  <c r="AP1472" i="2"/>
  <c r="AP1471" i="2"/>
  <c r="AP1470" i="2"/>
  <c r="AP1469" i="2"/>
  <c r="AP1468" i="2"/>
  <c r="AP1467" i="2"/>
  <c r="AP1466" i="2"/>
  <c r="AP1465" i="2"/>
  <c r="AP1464" i="2"/>
  <c r="AP1463" i="2"/>
  <c r="AP1462" i="2"/>
  <c r="AP1461" i="2"/>
  <c r="AP1460" i="2"/>
  <c r="AP1459" i="2"/>
  <c r="AP1458" i="2"/>
  <c r="AP1457" i="2"/>
  <c r="AP1456" i="2"/>
  <c r="AP1455" i="2"/>
  <c r="AP1454" i="2"/>
  <c r="AP1453" i="2"/>
  <c r="AP1452" i="2"/>
  <c r="AP1451" i="2"/>
  <c r="AP1450" i="2"/>
  <c r="AP1449" i="2"/>
  <c r="AP1448" i="2"/>
  <c r="AP1447" i="2"/>
  <c r="AP1446" i="2"/>
  <c r="AP1445" i="2"/>
  <c r="AP1444" i="2"/>
  <c r="AP1443" i="2"/>
  <c r="AP1442" i="2"/>
  <c r="AP1441" i="2"/>
  <c r="AP1440" i="2"/>
  <c r="AP1439" i="2"/>
  <c r="AP1438" i="2"/>
  <c r="AP1437" i="2"/>
  <c r="AP1436" i="2"/>
  <c r="AP1435" i="2"/>
  <c r="AP1434" i="2"/>
  <c r="AP1433" i="2"/>
  <c r="AP1432" i="2"/>
  <c r="AP1431" i="2"/>
  <c r="AP1430" i="2"/>
  <c r="AP1429" i="2"/>
  <c r="AP1428" i="2"/>
  <c r="AP1427" i="2"/>
  <c r="AP1426" i="2"/>
  <c r="AP1425" i="2"/>
  <c r="AP1424" i="2"/>
  <c r="AP1423" i="2"/>
  <c r="AP1422" i="2"/>
  <c r="AP1421" i="2"/>
  <c r="AP1420" i="2"/>
  <c r="AP1419" i="2"/>
  <c r="AP1418" i="2"/>
  <c r="AP1417" i="2"/>
  <c r="AP1416" i="2"/>
  <c r="AP1415" i="2"/>
  <c r="AP1414" i="2"/>
  <c r="AP1413" i="2"/>
  <c r="AP1412" i="2"/>
  <c r="AP1411" i="2"/>
  <c r="AP1410" i="2"/>
  <c r="AP1409" i="2"/>
  <c r="AP1408" i="2"/>
  <c r="AP1407" i="2"/>
  <c r="AP1406" i="2"/>
  <c r="AP1405" i="2"/>
  <c r="AP1404" i="2"/>
  <c r="AP1403" i="2"/>
  <c r="AP1402" i="2"/>
  <c r="AP1401" i="2"/>
  <c r="AP1400" i="2"/>
  <c r="AP1399" i="2"/>
  <c r="AP1398" i="2"/>
  <c r="AP1397" i="2"/>
  <c r="AP1396" i="2"/>
  <c r="AP1395" i="2"/>
  <c r="AP1394" i="2"/>
  <c r="AP1393" i="2"/>
  <c r="AP1392" i="2"/>
  <c r="AP1391" i="2"/>
  <c r="AP1390" i="2"/>
  <c r="AP1389" i="2"/>
  <c r="AP1388" i="2"/>
  <c r="AP1387" i="2"/>
  <c r="AP1386" i="2"/>
  <c r="AP1385" i="2"/>
  <c r="AP822" i="2"/>
  <c r="AP821" i="2"/>
  <c r="AP820" i="2"/>
  <c r="AP819" i="2"/>
  <c r="AP818" i="2"/>
  <c r="AP817" i="2"/>
  <c r="AP816" i="2"/>
  <c r="AP815" i="2"/>
  <c r="AP814" i="2"/>
  <c r="AP813" i="2"/>
  <c r="AP812" i="2"/>
  <c r="AP811" i="2"/>
  <c r="AP810" i="2"/>
  <c r="AP809" i="2"/>
  <c r="AP808" i="2"/>
  <c r="AP807" i="2"/>
  <c r="AP806" i="2"/>
  <c r="AP805" i="2"/>
  <c r="AP804" i="2"/>
  <c r="AP803" i="2"/>
  <c r="AP802" i="2"/>
  <c r="AP801" i="2"/>
  <c r="AP800" i="2"/>
  <c r="AP799" i="2"/>
  <c r="AP798" i="2"/>
  <c r="AP797" i="2"/>
  <c r="AP796" i="2"/>
  <c r="AP795" i="2"/>
  <c r="AP794" i="2"/>
  <c r="AP793" i="2"/>
  <c r="AP792" i="2"/>
  <c r="AP791" i="2"/>
  <c r="AP790" i="2"/>
  <c r="AP789" i="2"/>
  <c r="AP788" i="2"/>
  <c r="AP787" i="2"/>
  <c r="AP786" i="2"/>
  <c r="AP785" i="2"/>
  <c r="AP784" i="2"/>
  <c r="AP783" i="2"/>
  <c r="AP782" i="2"/>
  <c r="AP781" i="2"/>
  <c r="AP780" i="2"/>
  <c r="AP779" i="2"/>
  <c r="AP778" i="2"/>
  <c r="AP777" i="2"/>
  <c r="AP776" i="2"/>
  <c r="AP775" i="2"/>
  <c r="AP774" i="2"/>
  <c r="AP773" i="2"/>
  <c r="AP772" i="2"/>
  <c r="AP771" i="2"/>
  <c r="AP770" i="2"/>
  <c r="AP769" i="2"/>
  <c r="AP768" i="2"/>
  <c r="AP767" i="2"/>
  <c r="AP766" i="2"/>
  <c r="AP765" i="2"/>
  <c r="AP764" i="2"/>
  <c r="AP763" i="2"/>
  <c r="AP762" i="2"/>
  <c r="AP761" i="2"/>
  <c r="AP760" i="2"/>
  <c r="AP759" i="2"/>
  <c r="AP758" i="2"/>
  <c r="AP757" i="2"/>
  <c r="AP756" i="2"/>
  <c r="AP755" i="2"/>
  <c r="AP754" i="2"/>
  <c r="AP753" i="2"/>
  <c r="AP752" i="2"/>
  <c r="AP751" i="2"/>
  <c r="AP750" i="2"/>
  <c r="AP749" i="2"/>
  <c r="AP748" i="2"/>
  <c r="AP747" i="2"/>
  <c r="AP746" i="2"/>
  <c r="AP745" i="2"/>
  <c r="AP744" i="2"/>
  <c r="AP743" i="2"/>
  <c r="AP742" i="2"/>
  <c r="AP741" i="2"/>
  <c r="AP740" i="2"/>
  <c r="AP739" i="2"/>
  <c r="AP738" i="2"/>
  <c r="AP737" i="2"/>
  <c r="AP736" i="2"/>
  <c r="AP735" i="2"/>
  <c r="AP734" i="2"/>
  <c r="AP733" i="2"/>
  <c r="AP732" i="2"/>
  <c r="AP731" i="2"/>
  <c r="AP730" i="2"/>
  <c r="AP729" i="2"/>
  <c r="AP728" i="2"/>
  <c r="AP727" i="2"/>
  <c r="AP726" i="2"/>
  <c r="AP725" i="2"/>
  <c r="AP724" i="2"/>
  <c r="AP723" i="2"/>
  <c r="AP722" i="2"/>
  <c r="AP721" i="2"/>
  <c r="AP720" i="2"/>
  <c r="AP719" i="2"/>
  <c r="AP718" i="2"/>
  <c r="AP717" i="2"/>
  <c r="AP716" i="2"/>
  <c r="AP715" i="2"/>
  <c r="AP714" i="2"/>
  <c r="AP713" i="2"/>
  <c r="AP712" i="2"/>
  <c r="AP711" i="2"/>
  <c r="AP710" i="2"/>
  <c r="AP709" i="2"/>
  <c r="AP708" i="2"/>
  <c r="AP707" i="2"/>
  <c r="AP706" i="2"/>
  <c r="AP705" i="2"/>
  <c r="AP704" i="2"/>
  <c r="AP703" i="2"/>
  <c r="AP702" i="2"/>
  <c r="AP701" i="2"/>
  <c r="AP700" i="2"/>
  <c r="AP699" i="2"/>
  <c r="AP698" i="2"/>
  <c r="AP697" i="2"/>
  <c r="AP696" i="2"/>
  <c r="AP695" i="2"/>
  <c r="AP694" i="2"/>
  <c r="AP693" i="2"/>
  <c r="AP692" i="2"/>
  <c r="AP691" i="2"/>
  <c r="AP690" i="2"/>
  <c r="AP689" i="2"/>
  <c r="AP688" i="2"/>
  <c r="AP687" i="2"/>
  <c r="AP686" i="2"/>
  <c r="AP685" i="2"/>
  <c r="AP684" i="2"/>
  <c r="AP683" i="2"/>
  <c r="AP682" i="2"/>
  <c r="AP681" i="2"/>
  <c r="AP680" i="2"/>
  <c r="AP679" i="2"/>
  <c r="AP678" i="2"/>
  <c r="AP677" i="2"/>
  <c r="AP676" i="2"/>
  <c r="AP675" i="2"/>
  <c r="AP674" i="2"/>
  <c r="AP673" i="2"/>
  <c r="AP672" i="2"/>
  <c r="AP671" i="2"/>
  <c r="AP670" i="2"/>
  <c r="AP669" i="2"/>
  <c r="AP668" i="2"/>
  <c r="AP667" i="2"/>
  <c r="AP666" i="2"/>
  <c r="AP665" i="2"/>
  <c r="AP664" i="2"/>
  <c r="AP663" i="2"/>
  <c r="AP662" i="2"/>
  <c r="AP661" i="2"/>
  <c r="AP660" i="2"/>
  <c r="AP659" i="2"/>
  <c r="AP658" i="2"/>
  <c r="AP657" i="2"/>
  <c r="AP656" i="2"/>
  <c r="AP655" i="2"/>
  <c r="AP654" i="2"/>
  <c r="AP653" i="2"/>
  <c r="AP652" i="2"/>
  <c r="AP651" i="2"/>
  <c r="AP650" i="2"/>
  <c r="AP649" i="2"/>
  <c r="AP648" i="2"/>
  <c r="AP647" i="2"/>
  <c r="AP646" i="2"/>
  <c r="AP645" i="2"/>
  <c r="AP644" i="2"/>
  <c r="AP643" i="2"/>
  <c r="AP642" i="2"/>
  <c r="AP641" i="2"/>
  <c r="AP640" i="2"/>
  <c r="AP639" i="2"/>
  <c r="AP638" i="2"/>
  <c r="AP637" i="2"/>
  <c r="AP636" i="2"/>
  <c r="AP635" i="2"/>
  <c r="AP634" i="2"/>
  <c r="AP633" i="2"/>
  <c r="AP632" i="2"/>
  <c r="AP631" i="2"/>
  <c r="AP630" i="2"/>
  <c r="AP629" i="2"/>
  <c r="AP628" i="2"/>
  <c r="AP627" i="2"/>
  <c r="AP626" i="2"/>
  <c r="AP625" i="2"/>
  <c r="AP624" i="2"/>
  <c r="AP623" i="2"/>
  <c r="AP622" i="2"/>
  <c r="AP621" i="2"/>
  <c r="AP620" i="2"/>
  <c r="AP619" i="2"/>
  <c r="AP618" i="2"/>
  <c r="AP617" i="2"/>
  <c r="AP616" i="2"/>
  <c r="AP615" i="2"/>
  <c r="AP614" i="2"/>
  <c r="AP613" i="2"/>
  <c r="AP612" i="2"/>
  <c r="AP611" i="2"/>
  <c r="AP610" i="2"/>
  <c r="AP609" i="2"/>
  <c r="AP608" i="2"/>
  <c r="AP607" i="2"/>
  <c r="AP606" i="2"/>
  <c r="AP605" i="2"/>
  <c r="AP604" i="2"/>
  <c r="AP603" i="2"/>
  <c r="AP602" i="2"/>
  <c r="AP601" i="2"/>
  <c r="AP600" i="2"/>
  <c r="AP599" i="2"/>
  <c r="AP598" i="2"/>
  <c r="AP597" i="2"/>
  <c r="AP596" i="2"/>
  <c r="AP595" i="2"/>
  <c r="AP594" i="2"/>
  <c r="AP593" i="2"/>
  <c r="AP592" i="2"/>
  <c r="AP591" i="2"/>
  <c r="AP590" i="2"/>
  <c r="AP589" i="2"/>
  <c r="AP588" i="2"/>
  <c r="AP587" i="2"/>
  <c r="AP586" i="2"/>
  <c r="AP585" i="2"/>
  <c r="AP584" i="2"/>
  <c r="AP583" i="2"/>
  <c r="AP582" i="2"/>
  <c r="AP581" i="2"/>
  <c r="AP580" i="2"/>
  <c r="AP579" i="2"/>
  <c r="AP578" i="2"/>
  <c r="AP577" i="2"/>
  <c r="AP576" i="2"/>
  <c r="AP575" i="2"/>
  <c r="AP574" i="2"/>
  <c r="AP573" i="2"/>
  <c r="AP572" i="2"/>
  <c r="AP571" i="2"/>
  <c r="AP570" i="2"/>
  <c r="AP569" i="2"/>
  <c r="AP568" i="2"/>
  <c r="AP567" i="2"/>
  <c r="AP566" i="2"/>
  <c r="AP565" i="2"/>
  <c r="AP564" i="2"/>
  <c r="AP563" i="2"/>
  <c r="AP562" i="2"/>
  <c r="AP561" i="2"/>
  <c r="AP560" i="2"/>
  <c r="AP559" i="2"/>
  <c r="AP558" i="2"/>
  <c r="AP557" i="2"/>
  <c r="AP556" i="2"/>
  <c r="AP555" i="2"/>
  <c r="AP554" i="2"/>
  <c r="AP553" i="2"/>
  <c r="AP552" i="2"/>
  <c r="AP551" i="2"/>
  <c r="AP550" i="2"/>
  <c r="AP549" i="2"/>
  <c r="AP548" i="2"/>
  <c r="AP547" i="2"/>
  <c r="AP546" i="2"/>
  <c r="AP545" i="2"/>
  <c r="AP544" i="2"/>
  <c r="AP543" i="2"/>
  <c r="AP542" i="2"/>
  <c r="AP541" i="2"/>
  <c r="AP540" i="2"/>
  <c r="AP539" i="2"/>
  <c r="AP538" i="2"/>
  <c r="AP537" i="2"/>
  <c r="AP536" i="2"/>
  <c r="AP535" i="2"/>
  <c r="AP534" i="2"/>
  <c r="AP533" i="2"/>
  <c r="AP532" i="2"/>
  <c r="AP531" i="2"/>
  <c r="AP530" i="2"/>
  <c r="AP529" i="2"/>
  <c r="AP528" i="2"/>
  <c r="AP527" i="2"/>
  <c r="AP526" i="2"/>
  <c r="AP525" i="2"/>
  <c r="AP524" i="2"/>
  <c r="AP523" i="2"/>
  <c r="AP522" i="2"/>
  <c r="AP521" i="2"/>
  <c r="AP520" i="2"/>
  <c r="AP519" i="2"/>
  <c r="AP518" i="2"/>
  <c r="AP517" i="2"/>
  <c r="AP516" i="2"/>
  <c r="AP515" i="2"/>
  <c r="AP514" i="2"/>
  <c r="AP513" i="2"/>
  <c r="AP512" i="2"/>
  <c r="AP511" i="2"/>
  <c r="AP510" i="2"/>
  <c r="AP509" i="2"/>
  <c r="AP508" i="2"/>
  <c r="AP507" i="2"/>
  <c r="AP506" i="2"/>
  <c r="AP505" i="2"/>
  <c r="AP504" i="2"/>
  <c r="AP503" i="2"/>
  <c r="AP502" i="2"/>
  <c r="AP501" i="2"/>
  <c r="AP500" i="2"/>
  <c r="AP499" i="2"/>
  <c r="AP498" i="2"/>
  <c r="AP497" i="2"/>
  <c r="AP496" i="2"/>
  <c r="AP495" i="2"/>
  <c r="AP494" i="2"/>
  <c r="AP493" i="2"/>
  <c r="AP492" i="2"/>
  <c r="AP491" i="2"/>
  <c r="AP490" i="2"/>
  <c r="AP489" i="2"/>
  <c r="AP488" i="2"/>
  <c r="AP487" i="2"/>
  <c r="AP486" i="2"/>
  <c r="AP485" i="2"/>
  <c r="AP484" i="2"/>
  <c r="AP483" i="2"/>
  <c r="AP482" i="2"/>
  <c r="AP481" i="2"/>
  <c r="AP3280" i="2"/>
  <c r="AP3278" i="2"/>
  <c r="AP3273" i="2"/>
  <c r="AP3271" i="2"/>
  <c r="AP3266" i="2"/>
  <c r="AP3261" i="2"/>
  <c r="AP3257" i="2"/>
  <c r="AP3253" i="2"/>
  <c r="AP3249" i="2"/>
  <c r="AP3245" i="2"/>
  <c r="AP3239" i="2"/>
  <c r="AP3234" i="2"/>
  <c r="AP3229" i="2"/>
  <c r="AP3223" i="2"/>
  <c r="AP3219" i="2"/>
  <c r="AP3216" i="2"/>
  <c r="AP3211" i="2"/>
  <c r="AP3206" i="2"/>
  <c r="AP3201" i="2"/>
  <c r="AP3198" i="2"/>
  <c r="AP3193" i="2"/>
  <c r="AP3189" i="2"/>
  <c r="AP3183" i="2"/>
  <c r="AP3180" i="2"/>
  <c r="AP3176" i="2"/>
  <c r="AP3171" i="2"/>
  <c r="AP3165" i="2"/>
  <c r="AP3160" i="2"/>
  <c r="AP3154" i="2"/>
  <c r="AP3148" i="2"/>
  <c r="AP3145" i="2"/>
  <c r="AP3139" i="2"/>
  <c r="AP3134" i="2"/>
  <c r="AP3129" i="2"/>
  <c r="AP3125" i="2"/>
  <c r="AP3120" i="2"/>
  <c r="AP3115" i="2"/>
  <c r="AP3110" i="2"/>
  <c r="AP3103" i="2"/>
  <c r="AP3098" i="2"/>
  <c r="AP3092" i="2"/>
  <c r="AP3088" i="2"/>
  <c r="AP3083" i="2"/>
  <c r="AP3079" i="2"/>
  <c r="AP3074" i="2"/>
  <c r="AP3069" i="2"/>
  <c r="AP3062" i="2"/>
  <c r="AP3054" i="2"/>
  <c r="AP3048" i="2"/>
  <c r="AP3040" i="2"/>
  <c r="AP3034" i="2"/>
  <c r="AP3030" i="2"/>
  <c r="AP3024" i="2"/>
  <c r="AP3018" i="2"/>
  <c r="AP3012" i="2"/>
  <c r="AP3006" i="2"/>
  <c r="AP3000" i="2"/>
  <c r="AP2995" i="2"/>
  <c r="AP2989" i="2"/>
  <c r="AP2983" i="2"/>
  <c r="AP2976" i="2"/>
  <c r="AP2968" i="2"/>
  <c r="AP2965" i="2"/>
  <c r="AP2959" i="2"/>
  <c r="AP2948" i="2"/>
  <c r="AP2942" i="2"/>
  <c r="AP2934" i="2"/>
  <c r="AP2926" i="2"/>
  <c r="AP2918" i="2"/>
  <c r="AP2909" i="2"/>
  <c r="AP2903" i="2"/>
  <c r="AP2897" i="2"/>
  <c r="AP2893" i="2"/>
  <c r="AP2888" i="2"/>
  <c r="AP2881" i="2"/>
  <c r="AP2875" i="2"/>
  <c r="AP2869" i="2"/>
  <c r="AP2863" i="2"/>
  <c r="AP2856" i="2"/>
  <c r="AP2851" i="2"/>
  <c r="AP2846" i="2"/>
  <c r="AP2838" i="2"/>
  <c r="AP2833" i="2"/>
  <c r="AP2828" i="2"/>
  <c r="AP2823" i="2"/>
  <c r="AP2818" i="2"/>
  <c r="AP2797" i="2"/>
  <c r="AP2791" i="2"/>
  <c r="AP2786" i="2"/>
  <c r="AP2781" i="2"/>
  <c r="AP2774" i="2"/>
  <c r="AP2766" i="2"/>
  <c r="AP2762" i="2"/>
  <c r="AP2754" i="2"/>
  <c r="AP2749" i="2"/>
  <c r="AP2742" i="2"/>
  <c r="AP2735" i="2"/>
  <c r="AP2729" i="2"/>
  <c r="AP2724" i="2"/>
  <c r="AP2717" i="2"/>
  <c r="AP2712" i="2"/>
  <c r="AP2708" i="2"/>
  <c r="AP2699" i="2"/>
  <c r="AP2689" i="2"/>
  <c r="AP2681" i="2"/>
  <c r="AP2674" i="2"/>
  <c r="AP2667" i="2"/>
  <c r="AP2658" i="2"/>
  <c r="AP2653" i="2"/>
  <c r="AP2641" i="2"/>
  <c r="AP2633" i="2"/>
  <c r="AP2283" i="2"/>
  <c r="AP2275" i="2"/>
  <c r="AP2268" i="2"/>
  <c r="AP2258" i="2"/>
  <c r="AP2253" i="2"/>
  <c r="AP2247" i="2"/>
  <c r="AP2240" i="2"/>
  <c r="AP2233" i="2"/>
  <c r="AP2222" i="2"/>
  <c r="AP2210" i="2"/>
  <c r="AP2203" i="2"/>
  <c r="AP2199" i="2"/>
  <c r="AP2194" i="2"/>
  <c r="AP2189" i="2"/>
  <c r="AP2183" i="2"/>
  <c r="AP2175" i="2"/>
  <c r="AP2171" i="2"/>
  <c r="AP2165" i="2"/>
  <c r="AP2156" i="2"/>
  <c r="AP2149" i="2"/>
  <c r="AP2142" i="2"/>
  <c r="AP2134" i="2"/>
  <c r="AP2126" i="2"/>
  <c r="AP2120" i="2"/>
  <c r="AP2113" i="2"/>
  <c r="AP2105" i="2"/>
  <c r="AP2097" i="2"/>
  <c r="AP2090" i="2"/>
  <c r="AP2084" i="2"/>
  <c r="AP2080" i="2"/>
  <c r="AP2075" i="2"/>
  <c r="AP2070" i="2"/>
  <c r="AP2058" i="2"/>
  <c r="AP2052" i="2"/>
  <c r="AP2043" i="2"/>
  <c r="AP2037" i="2"/>
  <c r="AP2032" i="2"/>
  <c r="AP2018" i="2"/>
  <c r="AP2011" i="2"/>
  <c r="AP2003" i="2"/>
  <c r="AP1997" i="2"/>
  <c r="AP1992" i="2"/>
  <c r="AP1986" i="2"/>
  <c r="AP1979" i="2"/>
  <c r="AP1972" i="2"/>
  <c r="AP1963" i="2"/>
  <c r="AP1958" i="2"/>
  <c r="AP1953" i="2"/>
  <c r="AP1941" i="2"/>
  <c r="AP1934" i="2"/>
  <c r="AP1927" i="2"/>
  <c r="AP1919" i="2"/>
  <c r="AP1913" i="2"/>
  <c r="AP1905" i="2"/>
  <c r="AP1900" i="2"/>
  <c r="AP1890" i="2"/>
  <c r="AP1885" i="2"/>
  <c r="AP1881" i="2"/>
  <c r="AP1877" i="2"/>
  <c r="AP1872" i="2"/>
  <c r="AP1844" i="2"/>
  <c r="AP1837" i="2"/>
  <c r="AP1832" i="2"/>
  <c r="AP1813" i="2"/>
  <c r="AP1807" i="2"/>
  <c r="AP1800" i="2"/>
  <c r="AP1795" i="2"/>
  <c r="AP1789" i="2"/>
  <c r="AP1781" i="2"/>
  <c r="AP1776" i="2"/>
  <c r="AP1770" i="2"/>
  <c r="AP1763" i="2"/>
  <c r="AP1758" i="2"/>
  <c r="AP1740" i="2"/>
  <c r="AP1734" i="2"/>
  <c r="AP1728" i="2"/>
  <c r="AP1381" i="2"/>
  <c r="AP1376" i="2"/>
  <c r="AP1368" i="2"/>
  <c r="AP1362" i="2"/>
  <c r="AP1355" i="2"/>
  <c r="AP1344" i="2"/>
  <c r="AP1339" i="2"/>
  <c r="AP1332" i="2"/>
  <c r="AP1329" i="2"/>
  <c r="AP1321" i="2"/>
  <c r="AP1314" i="2"/>
  <c r="AP1309" i="2"/>
  <c r="AP1303" i="2"/>
  <c r="AP1297" i="2"/>
  <c r="AP1282" i="2"/>
  <c r="AP1270" i="2"/>
  <c r="AP1261" i="2"/>
  <c r="AP1254" i="2"/>
  <c r="AP1238" i="2"/>
  <c r="AP1233" i="2"/>
  <c r="AP1227" i="2"/>
  <c r="AP1223" i="2"/>
  <c r="AP1216" i="2"/>
  <c r="AP1210" i="2"/>
  <c r="AP1205" i="2"/>
  <c r="AP1199" i="2"/>
  <c r="AP1190" i="2"/>
  <c r="AP1184" i="2"/>
  <c r="AP1180" i="2"/>
  <c r="AP1173" i="2"/>
  <c r="AP1169" i="2"/>
  <c r="AP1156" i="2"/>
  <c r="AP1148" i="2"/>
  <c r="AP1144" i="2"/>
  <c r="AP1135" i="2"/>
  <c r="AP1128" i="2"/>
  <c r="AP1122" i="2"/>
  <c r="AP1118" i="2"/>
  <c r="AP1109" i="2"/>
  <c r="AP1103" i="2"/>
  <c r="AP1095" i="2"/>
  <c r="AP1090" i="2"/>
  <c r="AP1084" i="2"/>
  <c r="AP1078" i="2"/>
  <c r="AP1070" i="2"/>
  <c r="AP1065" i="2"/>
  <c r="AP1060" i="2"/>
  <c r="AP1052" i="2"/>
  <c r="AP1047" i="2"/>
  <c r="AP1041" i="2"/>
  <c r="AP1029" i="2"/>
  <c r="AP1022" i="2"/>
  <c r="AP1017" i="2"/>
  <c r="AP1008" i="2"/>
  <c r="AP1003" i="2"/>
  <c r="AP998" i="2"/>
  <c r="AP993" i="2"/>
  <c r="AP984" i="2"/>
  <c r="AP973" i="2"/>
  <c r="AP967" i="2"/>
  <c r="AP958" i="2"/>
  <c r="AP951" i="2"/>
  <c r="AP943" i="2"/>
  <c r="AP938" i="2"/>
  <c r="AP930" i="2"/>
  <c r="AP922" i="2"/>
  <c r="AP918" i="2"/>
  <c r="AP911" i="2"/>
  <c r="AP904" i="2"/>
  <c r="AP899" i="2"/>
  <c r="AP892" i="2"/>
  <c r="AP889" i="2"/>
  <c r="AP884" i="2"/>
  <c r="AP870" i="2"/>
  <c r="AP864" i="2"/>
  <c r="AP854" i="2"/>
  <c r="AP848" i="2"/>
  <c r="AP841" i="2"/>
  <c r="AP834" i="2"/>
  <c r="AP479" i="2"/>
  <c r="AP474" i="2"/>
  <c r="AP469" i="2"/>
  <c r="AP463" i="2"/>
  <c r="AP450" i="2"/>
  <c r="AP447" i="2"/>
  <c r="AP440" i="2"/>
  <c r="AP434" i="2"/>
  <c r="AP428" i="2"/>
  <c r="AP417" i="2"/>
  <c r="AP408" i="2"/>
  <c r="AP405" i="2"/>
  <c r="AP400" i="2"/>
  <c r="AP393" i="2"/>
  <c r="AP387" i="2"/>
  <c r="AP378" i="2"/>
  <c r="AP373" i="2"/>
  <c r="AP367" i="2"/>
  <c r="AP349" i="2"/>
  <c r="AP343" i="2"/>
  <c r="AP323" i="2"/>
  <c r="AP316" i="2"/>
  <c r="AP309" i="2"/>
  <c r="AP304" i="2"/>
  <c r="AP292" i="2"/>
  <c r="AP286" i="2"/>
  <c r="AP279" i="2"/>
  <c r="AP273" i="2"/>
  <c r="AP268" i="2"/>
  <c r="AP259" i="2"/>
  <c r="AP251" i="2"/>
  <c r="AP245" i="2"/>
  <c r="AP231" i="2"/>
  <c r="AP226" i="2"/>
  <c r="AP220" i="2"/>
  <c r="AP211" i="2"/>
  <c r="AP205" i="2"/>
  <c r="AP195" i="2"/>
  <c r="AP187" i="2"/>
  <c r="AP182" i="2"/>
  <c r="AP172" i="2"/>
  <c r="AP169" i="2"/>
  <c r="AP165" i="2"/>
  <c r="AP160" i="2"/>
  <c r="AP144" i="2"/>
  <c r="AP137" i="2"/>
  <c r="AP132" i="2"/>
  <c r="AP125" i="2"/>
  <c r="AP120" i="2"/>
  <c r="AP112" i="2"/>
  <c r="AP107" i="2"/>
  <c r="AP100" i="2"/>
  <c r="AP93" i="2"/>
  <c r="AP86" i="2"/>
  <c r="AP75" i="2"/>
  <c r="AP64" i="2"/>
  <c r="AP8" i="2"/>
  <c r="AP14" i="2"/>
  <c r="AP21" i="2"/>
  <c r="AP35" i="2"/>
  <c r="AP41" i="2"/>
  <c r="AP46" i="2"/>
  <c r="AP51" i="2"/>
  <c r="AP54" i="2"/>
  <c r="AP59" i="2"/>
  <c r="AP3283" i="2"/>
  <c r="AP3277" i="2"/>
  <c r="AP3274" i="2"/>
  <c r="AP3269" i="2"/>
  <c r="AP3265" i="2"/>
  <c r="AP3260" i="2"/>
  <c r="AP3254" i="2"/>
  <c r="AP3247" i="2"/>
  <c r="AP3242" i="2"/>
  <c r="AP3238" i="2"/>
  <c r="AP3232" i="2"/>
  <c r="AP3225" i="2"/>
  <c r="AP3220" i="2"/>
  <c r="AP3214" i="2"/>
  <c r="AP3207" i="2"/>
  <c r="AP3202" i="2"/>
  <c r="AP3195" i="2"/>
  <c r="AP3191" i="2"/>
  <c r="AP3186" i="2"/>
  <c r="AP3178" i="2"/>
  <c r="AP3172" i="2"/>
  <c r="AP3167" i="2"/>
  <c r="AP3162" i="2"/>
  <c r="AP3158" i="2"/>
  <c r="AP3152" i="2"/>
  <c r="AP3147" i="2"/>
  <c r="AP3143" i="2"/>
  <c r="AP3138" i="2"/>
  <c r="AP3132" i="2"/>
  <c r="AP3126" i="2"/>
  <c r="AP3121" i="2"/>
  <c r="AP3116" i="2"/>
  <c r="AP3111" i="2"/>
  <c r="AP3106" i="2"/>
  <c r="AP3100" i="2"/>
  <c r="AP3095" i="2"/>
  <c r="AP3090" i="2"/>
  <c r="AP3085" i="2"/>
  <c r="AP3080" i="2"/>
  <c r="AP3076" i="2"/>
  <c r="AP3067" i="2"/>
  <c r="AP3063" i="2"/>
  <c r="AP3058" i="2"/>
  <c r="AP3051" i="2"/>
  <c r="AP3044" i="2"/>
  <c r="AP3038" i="2"/>
  <c r="AP3032" i="2"/>
  <c r="AP3026" i="2"/>
  <c r="AP3020" i="2"/>
  <c r="AP3013" i="2"/>
  <c r="AP3008" i="2"/>
  <c r="AP3002" i="2"/>
  <c r="AP2994" i="2"/>
  <c r="AP2988" i="2"/>
  <c r="AP2982" i="2"/>
  <c r="AP2977" i="2"/>
  <c r="AP2971" i="2"/>
  <c r="AP2962" i="2"/>
  <c r="AP2954" i="2"/>
  <c r="AP2950" i="2"/>
  <c r="AP2943" i="2"/>
  <c r="AP2936" i="2"/>
  <c r="AP2929" i="2"/>
  <c r="AP2924" i="2"/>
  <c r="AP2919" i="2"/>
  <c r="AP2913" i="2"/>
  <c r="AP2907" i="2"/>
  <c r="AP2902" i="2"/>
  <c r="AP2892" i="2"/>
  <c r="AP2884" i="2"/>
  <c r="AP2877" i="2"/>
  <c r="AP2870" i="2"/>
  <c r="AP2864" i="2"/>
  <c r="AP2858" i="2"/>
  <c r="AP2850" i="2"/>
  <c r="AP2844" i="2"/>
  <c r="AP2840" i="2"/>
  <c r="AP2834" i="2"/>
  <c r="AP2830" i="2"/>
  <c r="AP2824" i="2"/>
  <c r="AP2819" i="2"/>
  <c r="AP2814" i="2"/>
  <c r="AP2810" i="2"/>
  <c r="AP2806" i="2"/>
  <c r="AP2802" i="2"/>
  <c r="AP2796" i="2"/>
  <c r="AP2760" i="2"/>
  <c r="AP2755" i="2"/>
  <c r="AP2747" i="2"/>
  <c r="AP2743" i="2"/>
  <c r="AP2734" i="2"/>
  <c r="AP2722" i="2"/>
  <c r="AP2707" i="2"/>
  <c r="AP2702" i="2"/>
  <c r="AP2694" i="2"/>
  <c r="AP2686" i="2"/>
  <c r="AP2682" i="2"/>
  <c r="AP2673" i="2"/>
  <c r="AP2664" i="2"/>
  <c r="AP2650" i="2"/>
  <c r="AP2645" i="2"/>
  <c r="AP2637" i="2"/>
  <c r="AP2286" i="2"/>
  <c r="AP2281" i="2"/>
  <c r="AP2274" i="2"/>
  <c r="AP2270" i="2"/>
  <c r="AP2263" i="2"/>
  <c r="AP2251" i="2"/>
  <c r="AP2243" i="2"/>
  <c r="AP2232" i="2"/>
  <c r="AP2227" i="2"/>
  <c r="AP2217" i="2"/>
  <c r="AP2211" i="2"/>
  <c r="AP2205" i="2"/>
  <c r="AP2197" i="2"/>
  <c r="AP2191" i="2"/>
  <c r="AP2185" i="2"/>
  <c r="AP2178" i="2"/>
  <c r="AP2173" i="2"/>
  <c r="AP2168" i="2"/>
  <c r="AP2158" i="2"/>
  <c r="AP2151" i="2"/>
  <c r="AP2146" i="2"/>
  <c r="AP2141" i="2"/>
  <c r="AP2135" i="2"/>
  <c r="AP2129" i="2"/>
  <c r="AP2124" i="2"/>
  <c r="AP2116" i="2"/>
  <c r="AP2108" i="2"/>
  <c r="AP2102" i="2"/>
  <c r="AP2096" i="2"/>
  <c r="AP2087" i="2"/>
  <c r="AP2077" i="2"/>
  <c r="AP2067" i="2"/>
  <c r="AP2061" i="2"/>
  <c r="AP2054" i="2"/>
  <c r="AP2048" i="2"/>
  <c r="AP2040" i="2"/>
  <c r="AP2034" i="2"/>
  <c r="AP2025" i="2"/>
  <c r="AP2020" i="2"/>
  <c r="AP2014" i="2"/>
  <c r="AP2005" i="2"/>
  <c r="AP1994" i="2"/>
  <c r="AP1987" i="2"/>
  <c r="AP1981" i="2"/>
  <c r="AP1975" i="2"/>
  <c r="AP1969" i="2"/>
  <c r="AP1964" i="2"/>
  <c r="AP1957" i="2"/>
  <c r="AP1952" i="2"/>
  <c r="AP1940" i="2"/>
  <c r="AP1925" i="2"/>
  <c r="AP1918" i="2"/>
  <c r="AP1909" i="2"/>
  <c r="AP1902" i="2"/>
  <c r="AP1894" i="2"/>
  <c r="AP1887" i="2"/>
  <c r="AP1883" i="2"/>
  <c r="AP1878" i="2"/>
  <c r="AP1875" i="2"/>
  <c r="AP1871" i="2"/>
  <c r="AP1865" i="2"/>
  <c r="AP1860" i="2"/>
  <c r="AP1855" i="2"/>
  <c r="AP1847" i="2"/>
  <c r="AP1841" i="2"/>
  <c r="AP1834" i="2"/>
  <c r="AP1829" i="2"/>
  <c r="AP1824" i="2"/>
  <c r="AP1819" i="2"/>
  <c r="AP1792" i="2"/>
  <c r="AP1785" i="2"/>
  <c r="AP1780" i="2"/>
  <c r="AP1775" i="2"/>
  <c r="AP1767" i="2"/>
  <c r="AP1753" i="2"/>
  <c r="AP1746" i="2"/>
  <c r="AP1739" i="2"/>
  <c r="AP1733" i="2"/>
  <c r="AP1383" i="2"/>
  <c r="AP1377" i="2"/>
  <c r="AP1370" i="2"/>
  <c r="AP1363" i="2"/>
  <c r="AP1353" i="2"/>
  <c r="AP1348" i="2"/>
  <c r="AP1343" i="2"/>
  <c r="AP1338" i="2"/>
  <c r="AP1334" i="2"/>
  <c r="AP1328" i="2"/>
  <c r="AP1323" i="2"/>
  <c r="AP1317" i="2"/>
  <c r="AP1311" i="2"/>
  <c r="AP1306" i="2"/>
  <c r="AP1296" i="2"/>
  <c r="AP1292" i="2"/>
  <c r="AP1287" i="2"/>
  <c r="AP1280" i="2"/>
  <c r="AP1276" i="2"/>
  <c r="AP1265" i="2"/>
  <c r="AP1257" i="2"/>
  <c r="AP1251" i="2"/>
  <c r="AP1245" i="2"/>
  <c r="AP1240" i="2"/>
  <c r="AP1229" i="2"/>
  <c r="AP1220" i="2"/>
  <c r="AP1215" i="2"/>
  <c r="AP1207" i="2"/>
  <c r="AP1201" i="2"/>
  <c r="AP1194" i="2"/>
  <c r="AP1182" i="2"/>
  <c r="AP1174" i="2"/>
  <c r="AP1170" i="2"/>
  <c r="AP1164" i="2"/>
  <c r="AP1151" i="2"/>
  <c r="AP1146" i="2"/>
  <c r="AP1139" i="2"/>
  <c r="AP1132" i="2"/>
  <c r="AP1127" i="2"/>
  <c r="AP1119" i="2"/>
  <c r="AP1113" i="2"/>
  <c r="AP1104" i="2"/>
  <c r="AP1098" i="2"/>
  <c r="AP1092" i="2"/>
  <c r="AP1087" i="2"/>
  <c r="AP1082" i="2"/>
  <c r="AP1075" i="2"/>
  <c r="AP1064" i="2"/>
  <c r="AP1053" i="2"/>
  <c r="AP1046" i="2"/>
  <c r="AP1040" i="2"/>
  <c r="AP1032" i="2"/>
  <c r="AP1025" i="2"/>
  <c r="AP1015" i="2"/>
  <c r="AP1012" i="2"/>
  <c r="AP1002" i="2"/>
  <c r="AP989" i="2"/>
  <c r="AP981" i="2"/>
  <c r="AP975" i="2"/>
  <c r="AP969" i="2"/>
  <c r="AP964" i="2"/>
  <c r="AP955" i="2"/>
  <c r="AP950" i="2"/>
  <c r="AP945" i="2"/>
  <c r="AP937" i="2"/>
  <c r="AP932" i="2"/>
  <c r="AP928" i="2"/>
  <c r="AP923" i="2"/>
  <c r="AP915" i="2"/>
  <c r="AP906" i="2"/>
  <c r="AP897" i="2"/>
  <c r="AP888" i="2"/>
  <c r="AP881" i="2"/>
  <c r="AP871" i="2"/>
  <c r="AP865" i="2"/>
  <c r="AP859" i="2"/>
  <c r="AP852" i="2"/>
  <c r="AP842" i="2"/>
  <c r="AP837" i="2"/>
  <c r="AP828" i="2"/>
  <c r="AP823" i="2"/>
  <c r="AP478" i="2"/>
  <c r="AP470" i="2"/>
  <c r="AP462" i="2"/>
  <c r="AP456" i="2"/>
  <c r="AP449" i="2"/>
  <c r="AP443" i="2"/>
  <c r="AP437" i="2"/>
  <c r="AP429" i="2"/>
  <c r="AP414" i="2"/>
  <c r="AP409" i="2"/>
  <c r="AP403" i="2"/>
  <c r="AP397" i="2"/>
  <c r="AP389" i="2"/>
  <c r="AP383" i="2"/>
  <c r="AP376" i="2"/>
  <c r="AP369" i="2"/>
  <c r="AP363" i="2"/>
  <c r="AP357" i="2"/>
  <c r="AP350" i="2"/>
  <c r="AP341" i="2"/>
  <c r="AP335" i="2"/>
  <c r="AP331" i="2"/>
  <c r="AP324" i="2"/>
  <c r="AP313" i="2"/>
  <c r="AP308" i="2"/>
  <c r="AP301" i="2"/>
  <c r="AP294" i="2"/>
  <c r="AP283" i="2"/>
  <c r="AP277" i="2"/>
  <c r="AP270" i="2"/>
  <c r="AP265" i="2"/>
  <c r="AP257" i="2"/>
  <c r="AP252" i="2"/>
  <c r="AP248" i="2"/>
  <c r="AP239" i="2"/>
  <c r="AP225" i="2"/>
  <c r="AP218" i="2"/>
  <c r="AP213" i="2"/>
  <c r="AP209" i="2"/>
  <c r="AP201" i="2"/>
  <c r="AP196" i="2"/>
  <c r="AP191" i="2"/>
  <c r="AP183" i="2"/>
  <c r="AP180" i="2"/>
  <c r="AP170" i="2"/>
  <c r="AP161" i="2"/>
  <c r="AP154" i="2"/>
  <c r="AP150" i="2"/>
  <c r="AP143" i="2"/>
  <c r="AP135" i="2"/>
  <c r="AP129" i="2"/>
  <c r="AP121" i="2"/>
  <c r="AP115" i="2"/>
  <c r="AP108" i="2"/>
  <c r="AP104" i="2"/>
  <c r="AP98" i="2"/>
  <c r="AP91" i="2"/>
  <c r="AP85" i="2"/>
  <c r="AP79" i="2"/>
  <c r="AP73" i="2"/>
  <c r="AP69" i="2"/>
  <c r="AP63" i="2"/>
  <c r="AP9" i="2"/>
  <c r="AP15" i="2"/>
  <c r="AP22" i="2"/>
  <c r="AP26" i="2"/>
  <c r="AP32" i="2"/>
  <c r="AP37" i="2"/>
  <c r="AP43" i="2"/>
  <c r="AP48" i="2"/>
  <c r="AP56" i="2"/>
  <c r="AP3284" i="2"/>
  <c r="AP3276" i="2"/>
  <c r="AP3270" i="2"/>
  <c r="AP3264" i="2"/>
  <c r="AP3259" i="2"/>
  <c r="AP3255" i="2"/>
  <c r="AP3251" i="2"/>
  <c r="AP3246" i="2"/>
  <c r="AP3241" i="2"/>
  <c r="AP3236" i="2"/>
  <c r="AP3231" i="2"/>
  <c r="AP3227" i="2"/>
  <c r="AP3222" i="2"/>
  <c r="AP3217" i="2"/>
  <c r="AP3213" i="2"/>
  <c r="AP3209" i="2"/>
  <c r="AP3203" i="2"/>
  <c r="AP3197" i="2"/>
  <c r="AP3192" i="2"/>
  <c r="AP3187" i="2"/>
  <c r="AP3182" i="2"/>
  <c r="AP3175" i="2"/>
  <c r="AP3168" i="2"/>
  <c r="AP3163" i="2"/>
  <c r="AP3156" i="2"/>
  <c r="AP3151" i="2"/>
  <c r="AP3146" i="2"/>
  <c r="AP3141" i="2"/>
  <c r="AP3136" i="2"/>
  <c r="AP3131" i="2"/>
  <c r="AP3127" i="2"/>
  <c r="AP3122" i="2"/>
  <c r="AP3117" i="2"/>
  <c r="AP3112" i="2"/>
  <c r="AP3107" i="2"/>
  <c r="AP3102" i="2"/>
  <c r="AP3097" i="2"/>
  <c r="AP3094" i="2"/>
  <c r="AP3093" i="2"/>
  <c r="AP3089" i="2"/>
  <c r="AP3084" i="2"/>
  <c r="AP3078" i="2"/>
  <c r="AP3072" i="2"/>
  <c r="AP3068" i="2"/>
  <c r="AP3066" i="2"/>
  <c r="AP3061" i="2"/>
  <c r="AP3056" i="2"/>
  <c r="AP3050" i="2"/>
  <c r="AP3045" i="2"/>
  <c r="AP3041" i="2"/>
  <c r="AP3036" i="2"/>
  <c r="AP3031" i="2"/>
  <c r="AP3025" i="2"/>
  <c r="AP3019" i="2"/>
  <c r="AP3014" i="2"/>
  <c r="AP3010" i="2"/>
  <c r="AP3004" i="2"/>
  <c r="AP2998" i="2"/>
  <c r="AP2991" i="2"/>
  <c r="AP2984" i="2"/>
  <c r="AP2978" i="2"/>
  <c r="AP2973" i="2"/>
  <c r="AP2969" i="2"/>
  <c r="AP2964" i="2"/>
  <c r="AP2957" i="2"/>
  <c r="AP2952" i="2"/>
  <c r="AP2946" i="2"/>
  <c r="AP2939" i="2"/>
  <c r="AP2933" i="2"/>
  <c r="AP2928" i="2"/>
  <c r="AP2923" i="2"/>
  <c r="AP2916" i="2"/>
  <c r="AP2911" i="2"/>
  <c r="AP2905" i="2"/>
  <c r="AP2895" i="2"/>
  <c r="AP2890" i="2"/>
  <c r="AP2885" i="2"/>
  <c r="AP2879" i="2"/>
  <c r="AP2873" i="2"/>
  <c r="AP2868" i="2"/>
  <c r="AP2861" i="2"/>
  <c r="AP2855" i="2"/>
  <c r="AP2849" i="2"/>
  <c r="AP2845" i="2"/>
  <c r="AP2841" i="2"/>
  <c r="AP2835" i="2"/>
  <c r="AP2799" i="2"/>
  <c r="AP2793" i="2"/>
  <c r="AP2788" i="2"/>
  <c r="AP2783" i="2"/>
  <c r="AP2778" i="2"/>
  <c r="AP2772" i="2"/>
  <c r="AP2765" i="2"/>
  <c r="AP2757" i="2"/>
  <c r="AP2752" i="2"/>
  <c r="AP2744" i="2"/>
  <c r="AP2737" i="2"/>
  <c r="AP2731" i="2"/>
  <c r="AP2723" i="2"/>
  <c r="AP2718" i="2"/>
  <c r="AP2714" i="2"/>
  <c r="AP2703" i="2"/>
  <c r="AP2698" i="2"/>
  <c r="AP2691" i="2"/>
  <c r="AP2684" i="2"/>
  <c r="AP2677" i="2"/>
  <c r="AP2672" i="2"/>
  <c r="AP2665" i="2"/>
  <c r="AP2661" i="2"/>
  <c r="AP2654" i="2"/>
  <c r="AP2644" i="2"/>
  <c r="AP2635" i="2"/>
  <c r="AP2287" i="2"/>
  <c r="AP2278" i="2"/>
  <c r="AP2272" i="2"/>
  <c r="AP2264" i="2"/>
  <c r="AP2259" i="2"/>
  <c r="AP2250" i="2"/>
  <c r="AP2245" i="2"/>
  <c r="AP2238" i="2"/>
  <c r="AP2231" i="2"/>
  <c r="AP2226" i="2"/>
  <c r="AP2215" i="2"/>
  <c r="AP2207" i="2"/>
  <c r="AP2201" i="2"/>
  <c r="AP2196" i="2"/>
  <c r="AP2190" i="2"/>
  <c r="AP2184" i="2"/>
  <c r="AP2180" i="2"/>
  <c r="AP2174" i="2"/>
  <c r="AP2170" i="2"/>
  <c r="AP2166" i="2"/>
  <c r="AP2161" i="2"/>
  <c r="AP2155" i="2"/>
  <c r="AP2137" i="2"/>
  <c r="AP2132" i="2"/>
  <c r="AP2128" i="2"/>
  <c r="AP2119" i="2"/>
  <c r="AP2111" i="2"/>
  <c r="AP2099" i="2"/>
  <c r="AP2092" i="2"/>
  <c r="AP2085" i="2"/>
  <c r="AP2079" i="2"/>
  <c r="AP2071" i="2"/>
  <c r="AP2066" i="2"/>
  <c r="AP2060" i="2"/>
  <c r="AP2051" i="2"/>
  <c r="AP2046" i="2"/>
  <c r="AP2041" i="2"/>
  <c r="AP2035" i="2"/>
  <c r="AP2027" i="2"/>
  <c r="AP2023" i="2"/>
  <c r="AP2016" i="2"/>
  <c r="AP2008" i="2"/>
  <c r="AP2000" i="2"/>
  <c r="AP1995" i="2"/>
  <c r="AP1989" i="2"/>
  <c r="AP1984" i="2"/>
  <c r="AP1980" i="2"/>
  <c r="AP1973" i="2"/>
  <c r="AP1965" i="2"/>
  <c r="AP1956" i="2"/>
  <c r="AP1951" i="2"/>
  <c r="AP1946" i="2"/>
  <c r="AP1939" i="2"/>
  <c r="AP1932" i="2"/>
  <c r="AP1923" i="2"/>
  <c r="AP1914" i="2"/>
  <c r="AP1908" i="2"/>
  <c r="AP1903" i="2"/>
  <c r="AP1895" i="2"/>
  <c r="AP1870" i="2"/>
  <c r="AP1864" i="2"/>
  <c r="AP1857" i="2"/>
  <c r="AP1851" i="2"/>
  <c r="AP1842" i="2"/>
  <c r="AP1833" i="2"/>
  <c r="AP1823" i="2"/>
  <c r="AP1816" i="2"/>
  <c r="AP1811" i="2"/>
  <c r="AP1802" i="2"/>
  <c r="AP1796" i="2"/>
  <c r="AP1786" i="2"/>
  <c r="AP1778" i="2"/>
  <c r="AP1772" i="2"/>
  <c r="AP1769" i="2"/>
  <c r="AP1761" i="2"/>
  <c r="AP1755" i="2"/>
  <c r="AP1751" i="2"/>
  <c r="AP1745" i="2"/>
  <c r="AP1738" i="2"/>
  <c r="AP1730" i="2"/>
  <c r="AP1384" i="2"/>
  <c r="AP1375" i="2"/>
  <c r="AP1369" i="2"/>
  <c r="AP1360" i="2"/>
  <c r="AP1354" i="2"/>
  <c r="AP1346" i="2"/>
  <c r="AP1337" i="2"/>
  <c r="AP1331" i="2"/>
  <c r="AP1325" i="2"/>
  <c r="AP1313" i="2"/>
  <c r="AP1304" i="2"/>
  <c r="AP1298" i="2"/>
  <c r="AP1291" i="2"/>
  <c r="AP1286" i="2"/>
  <c r="AP1277" i="2"/>
  <c r="AP1272" i="2"/>
  <c r="AP1267" i="2"/>
  <c r="AP1259" i="2"/>
  <c r="AP1253" i="2"/>
  <c r="AP1246" i="2"/>
  <c r="AP1243" i="2"/>
  <c r="AP1236" i="2"/>
  <c r="AP1230" i="2"/>
  <c r="AP1225" i="2"/>
  <c r="AP1219" i="2"/>
  <c r="AP1211" i="2"/>
  <c r="AP1203" i="2"/>
  <c r="AP1197" i="2"/>
  <c r="AP1185" i="2"/>
  <c r="AP1179" i="2"/>
  <c r="AP1172" i="2"/>
  <c r="AP1165" i="2"/>
  <c r="AP1160" i="2"/>
  <c r="AP1153" i="2"/>
  <c r="AP1145" i="2"/>
  <c r="AP1138" i="2"/>
  <c r="AP1131" i="2"/>
  <c r="AP1124" i="2"/>
  <c r="AP1116" i="2"/>
  <c r="AP1110" i="2"/>
  <c r="AP1105" i="2"/>
  <c r="AP1100" i="2"/>
  <c r="AP1093" i="2"/>
  <c r="AP1089" i="2"/>
  <c r="AP1081" i="2"/>
  <c r="AP1074" i="2"/>
  <c r="AP1069" i="2"/>
  <c r="AP1062" i="2"/>
  <c r="AP1057" i="2"/>
  <c r="AP1048" i="2"/>
  <c r="AP1042" i="2"/>
  <c r="AP1038" i="2"/>
  <c r="AP1033" i="2"/>
  <c r="AP1028" i="2"/>
  <c r="AP1023" i="2"/>
  <c r="AP1018" i="2"/>
  <c r="AP1014" i="2"/>
  <c r="AP1010" i="2"/>
  <c r="AP999" i="2"/>
  <c r="AP992" i="2"/>
  <c r="AP987" i="2"/>
  <c r="AP980" i="2"/>
  <c r="AP976" i="2"/>
  <c r="AP965" i="2"/>
  <c r="AP959" i="2"/>
  <c r="AP953" i="2"/>
  <c r="AP946" i="2"/>
  <c r="AP940" i="2"/>
  <c r="AP936" i="2"/>
  <c r="AP925" i="2"/>
  <c r="AP919" i="2"/>
  <c r="AP914" i="2"/>
  <c r="AP905" i="2"/>
  <c r="AP901" i="2"/>
  <c r="AP896" i="2"/>
  <c r="AP890" i="2"/>
  <c r="AP882" i="2"/>
  <c r="AP877" i="2"/>
  <c r="AP867" i="2"/>
  <c r="AP856" i="2"/>
  <c r="AP847" i="2"/>
  <c r="AP839" i="2"/>
  <c r="AP835" i="2"/>
  <c r="AP826" i="2"/>
  <c r="AP477" i="2"/>
  <c r="AP471" i="2"/>
  <c r="AP465" i="2"/>
  <c r="AP460" i="2"/>
  <c r="AP455" i="2"/>
  <c r="AP448" i="2"/>
  <c r="AP444" i="2"/>
  <c r="AP436" i="2"/>
  <c r="AP430" i="2"/>
  <c r="AP423" i="2"/>
  <c r="AP420" i="2"/>
  <c r="AP413" i="2"/>
  <c r="AP406" i="2"/>
  <c r="AP396" i="2"/>
  <c r="AP390" i="2"/>
  <c r="AP384" i="2"/>
  <c r="AP377" i="2"/>
  <c r="AP371" i="2"/>
  <c r="AP366" i="2"/>
  <c r="AP359" i="2"/>
  <c r="AP355" i="2"/>
  <c r="AP351" i="2"/>
  <c r="AP346" i="2"/>
  <c r="AP342" i="2"/>
  <c r="AP334" i="2"/>
  <c r="AP328" i="2"/>
  <c r="AP325" i="2"/>
  <c r="AP318" i="2"/>
  <c r="AP311" i="2"/>
  <c r="AP307" i="2"/>
  <c r="AP302" i="2"/>
  <c r="AP297" i="2"/>
  <c r="AP290" i="2"/>
  <c r="AP285" i="2"/>
  <c r="AP275" i="2"/>
  <c r="AP269" i="2"/>
  <c r="AP260" i="2"/>
  <c r="AP254" i="2"/>
  <c r="AP249" i="2"/>
  <c r="AP242" i="2"/>
  <c r="AP234" i="2"/>
  <c r="AP230" i="2"/>
  <c r="AP223" i="2"/>
  <c r="AP217" i="2"/>
  <c r="AP208" i="2"/>
  <c r="AP199" i="2"/>
  <c r="AP193" i="2"/>
  <c r="AP185" i="2"/>
  <c r="AP177" i="2"/>
  <c r="AP174" i="2"/>
  <c r="AP164" i="2"/>
  <c r="AP159" i="2"/>
  <c r="AP153" i="2"/>
  <c r="AP148" i="2"/>
  <c r="AP145" i="2"/>
  <c r="AP139" i="2"/>
  <c r="AP130" i="2"/>
  <c r="AP119" i="2"/>
  <c r="AP113" i="2"/>
  <c r="AP106" i="2"/>
  <c r="AP99" i="2"/>
  <c r="AP94" i="2"/>
  <c r="AP88" i="2"/>
  <c r="AP82" i="2"/>
  <c r="AP78" i="2"/>
  <c r="AP71" i="2"/>
  <c r="AJ2970" i="2"/>
  <c r="AJ2958" i="2"/>
  <c r="AJ2946" i="2"/>
  <c r="AJ2934" i="2"/>
  <c r="AJ2922" i="2"/>
  <c r="AJ2910" i="2"/>
  <c r="AJ2898" i="2"/>
  <c r="AJ2886" i="2"/>
  <c r="AJ2874" i="2"/>
  <c r="AJ2862" i="2"/>
  <c r="AJ2850" i="2"/>
  <c r="AJ2838" i="2"/>
  <c r="AJ2826" i="2"/>
  <c r="AJ3281" i="2"/>
  <c r="AJ3269" i="2"/>
  <c r="AJ3257" i="2"/>
  <c r="AJ3245" i="2"/>
  <c r="AJ3233" i="2"/>
  <c r="AJ3221" i="2"/>
  <c r="AJ3209" i="2"/>
  <c r="AJ3197" i="2"/>
  <c r="AJ3185" i="2"/>
  <c r="AJ3173" i="2"/>
  <c r="AJ3161" i="2"/>
  <c r="AJ3149" i="2"/>
  <c r="AJ3137" i="2"/>
  <c r="AJ3125" i="2"/>
  <c r="AJ3113" i="2"/>
  <c r="AJ3101" i="2"/>
  <c r="AJ3089" i="2"/>
  <c r="AJ3077" i="2"/>
  <c r="AJ3065" i="2"/>
  <c r="AJ3053" i="2"/>
  <c r="AJ3041" i="2"/>
  <c r="AJ3029" i="2"/>
  <c r="AJ3017" i="2"/>
  <c r="AJ3005" i="2"/>
  <c r="AJ2993" i="2"/>
  <c r="AJ2981" i="2"/>
  <c r="AJ2969" i="2"/>
  <c r="AJ2957" i="2"/>
  <c r="AJ2945" i="2"/>
  <c r="AJ2933" i="2"/>
  <c r="AJ2921" i="2"/>
  <c r="AJ2909" i="2"/>
  <c r="AJ2897" i="2"/>
  <c r="AJ2885" i="2"/>
  <c r="AJ2873" i="2"/>
  <c r="AJ2861" i="2"/>
  <c r="AJ2849" i="2"/>
  <c r="AJ2837" i="2"/>
  <c r="AJ2825" i="2"/>
  <c r="AJ2813" i="2"/>
  <c r="AJ2801" i="2"/>
  <c r="AJ2789" i="2"/>
  <c r="AJ2777" i="2"/>
  <c r="AJ2765" i="2"/>
  <c r="AJ2753" i="2"/>
  <c r="AJ2741" i="2"/>
  <c r="AJ2729" i="2"/>
  <c r="AJ2717" i="2"/>
  <c r="AJ2705" i="2"/>
  <c r="AJ2693" i="2"/>
  <c r="AJ2681" i="2"/>
  <c r="AJ2669" i="2"/>
  <c r="AJ2657" i="2"/>
  <c r="AJ2645" i="2"/>
  <c r="AJ2633" i="2"/>
  <c r="AJ2621" i="2"/>
  <c r="AJ2609" i="2"/>
  <c r="AJ2597" i="2"/>
  <c r="AJ2585" i="2"/>
  <c r="AJ2573" i="2"/>
  <c r="AJ2561" i="2"/>
  <c r="AJ2549" i="2"/>
  <c r="AJ2537" i="2"/>
  <c r="AJ2525" i="2"/>
  <c r="AJ2513" i="2"/>
  <c r="AJ2501" i="2"/>
  <c r="AJ2489" i="2"/>
  <c r="AJ2477" i="2"/>
  <c r="AJ2465" i="2"/>
  <c r="AJ2453" i="2"/>
  <c r="AJ2441" i="2"/>
  <c r="AJ2429" i="2"/>
  <c r="AJ2417" i="2"/>
  <c r="AJ2405" i="2"/>
  <c r="AJ2393" i="2"/>
  <c r="AJ2381" i="2"/>
  <c r="AJ2369" i="2"/>
  <c r="AJ2357" i="2"/>
  <c r="AJ2345" i="2"/>
  <c r="AJ2333" i="2"/>
  <c r="AJ2321" i="2"/>
  <c r="AJ2309" i="2"/>
  <c r="AJ2297" i="2"/>
  <c r="AJ2285" i="2"/>
  <c r="AJ2273" i="2"/>
  <c r="AJ3280" i="2"/>
  <c r="AJ3268" i="2"/>
  <c r="AJ3256" i="2"/>
  <c r="AJ3244" i="2"/>
  <c r="AJ3232" i="2"/>
  <c r="AJ3220" i="2"/>
  <c r="AJ3208" i="2"/>
  <c r="AJ3196" i="2"/>
  <c r="AJ3184" i="2"/>
  <c r="AJ3172" i="2"/>
  <c r="AJ3160" i="2"/>
  <c r="AJ3148" i="2"/>
  <c r="AJ3136" i="2"/>
  <c r="AJ3124" i="2"/>
  <c r="AJ3112" i="2"/>
  <c r="AJ3100" i="2"/>
  <c r="AJ3088" i="2"/>
  <c r="AJ3076" i="2"/>
  <c r="AJ3064" i="2"/>
  <c r="AJ3052" i="2"/>
  <c r="AJ3040" i="2"/>
  <c r="AJ3028" i="2"/>
  <c r="AJ3016" i="2"/>
  <c r="AJ3004" i="2"/>
  <c r="AJ2992" i="2"/>
  <c r="AJ2980" i="2"/>
  <c r="AJ2968" i="2"/>
  <c r="AJ2956" i="2"/>
  <c r="AJ2944" i="2"/>
  <c r="AJ2932" i="2"/>
  <c r="AJ2920" i="2"/>
  <c r="AJ2908" i="2"/>
  <c r="AJ2896" i="2"/>
  <c r="AJ2884" i="2"/>
  <c r="AJ2872" i="2"/>
  <c r="AJ2860" i="2"/>
  <c r="AJ2848" i="2"/>
  <c r="AJ2836" i="2"/>
  <c r="AJ2824" i="2"/>
  <c r="AJ2812" i="2"/>
  <c r="AJ2800" i="2"/>
  <c r="AJ2788" i="2"/>
  <c r="AJ2776" i="2"/>
  <c r="AJ3279" i="2"/>
  <c r="AJ3267" i="2"/>
  <c r="AJ3255" i="2"/>
  <c r="AJ3243" i="2"/>
  <c r="AJ3231" i="2"/>
  <c r="AJ3219" i="2"/>
  <c r="AJ3207" i="2"/>
  <c r="AJ3195" i="2"/>
  <c r="AJ3183" i="2"/>
  <c r="AJ3171" i="2"/>
  <c r="AJ3159" i="2"/>
  <c r="AJ3147" i="2"/>
  <c r="AJ3135" i="2"/>
  <c r="AJ3123" i="2"/>
  <c r="AJ3111" i="2"/>
  <c r="AJ3099" i="2"/>
  <c r="AJ3087" i="2"/>
  <c r="AJ3075" i="2"/>
  <c r="AJ3063" i="2"/>
  <c r="AJ3051" i="2"/>
  <c r="AJ3039" i="2"/>
  <c r="AJ3027" i="2"/>
  <c r="AJ3015" i="2"/>
  <c r="AJ3003" i="2"/>
  <c r="AJ2991" i="2"/>
  <c r="AJ2979" i="2"/>
  <c r="AJ2967" i="2"/>
  <c r="AJ2955" i="2"/>
  <c r="AJ2943" i="2"/>
  <c r="AJ2931" i="2"/>
  <c r="AJ2919" i="2"/>
  <c r="AJ2907" i="2"/>
  <c r="AJ2895" i="2"/>
  <c r="AJ2883" i="2"/>
  <c r="AJ2871" i="2"/>
  <c r="AJ2859" i="2"/>
  <c r="AJ2847" i="2"/>
  <c r="AJ2835" i="2"/>
  <c r="AJ2823" i="2"/>
  <c r="AJ2811" i="2"/>
  <c r="AJ2799" i="2"/>
  <c r="AJ2787" i="2"/>
  <c r="AJ2775" i="2"/>
  <c r="AJ2763" i="2"/>
  <c r="AJ2751" i="2"/>
  <c r="AJ2739" i="2"/>
  <c r="AJ2727" i="2"/>
  <c r="AJ2715" i="2"/>
  <c r="AJ2703" i="2"/>
  <c r="AJ2691" i="2"/>
  <c r="AJ2679" i="2"/>
  <c r="AJ2667" i="2"/>
  <c r="AJ2655" i="2"/>
  <c r="AJ2643" i="2"/>
  <c r="AJ2631" i="2"/>
  <c r="AJ2619" i="2"/>
  <c r="AJ2607" i="2"/>
  <c r="AJ2595" i="2"/>
  <c r="AJ2583" i="2"/>
  <c r="AJ2571" i="2"/>
  <c r="AJ2559" i="2"/>
  <c r="AJ2547" i="2"/>
  <c r="AJ2535" i="2"/>
  <c r="AJ2523" i="2"/>
  <c r="AJ2511" i="2"/>
  <c r="AJ2499" i="2"/>
  <c r="AJ2487" i="2"/>
  <c r="AJ2475" i="2"/>
  <c r="AJ2463" i="2"/>
  <c r="AJ2451" i="2"/>
  <c r="AJ2439" i="2"/>
  <c r="AJ2427" i="2"/>
  <c r="AJ2415" i="2"/>
  <c r="AJ2403" i="2"/>
  <c r="AJ2391" i="2"/>
  <c r="AJ2379" i="2"/>
  <c r="AJ2367" i="2"/>
  <c r="AJ2355" i="2"/>
  <c r="AJ2343" i="2"/>
  <c r="AJ2331" i="2"/>
  <c r="AJ2319" i="2"/>
  <c r="AJ2307" i="2"/>
  <c r="AJ2295" i="2"/>
  <c r="AJ2283" i="2"/>
  <c r="AJ2271" i="2"/>
  <c r="AJ3278" i="2"/>
  <c r="AJ3266" i="2"/>
  <c r="AJ3254" i="2"/>
  <c r="AJ3242" i="2"/>
  <c r="AJ3230" i="2"/>
  <c r="AJ3218" i="2"/>
  <c r="AJ3206" i="2"/>
  <c r="AJ3194" i="2"/>
  <c r="AJ3182" i="2"/>
  <c r="AJ3170" i="2"/>
  <c r="AJ3158" i="2"/>
  <c r="AJ3146" i="2"/>
  <c r="AJ3134" i="2"/>
  <c r="AJ3122" i="2"/>
  <c r="AJ3110" i="2"/>
  <c r="AJ3098" i="2"/>
  <c r="AJ3086" i="2"/>
  <c r="AJ3074" i="2"/>
  <c r="AJ3062" i="2"/>
  <c r="AJ3050" i="2"/>
  <c r="AJ3038" i="2"/>
  <c r="AJ3026" i="2"/>
  <c r="AJ3014" i="2"/>
  <c r="AJ3002" i="2"/>
  <c r="AJ2990" i="2"/>
  <c r="AJ2978" i="2"/>
  <c r="AJ2966" i="2"/>
  <c r="AJ2954" i="2"/>
  <c r="AJ2942" i="2"/>
  <c r="AJ2930" i="2"/>
  <c r="AJ2918" i="2"/>
  <c r="AJ2906" i="2"/>
  <c r="AJ2894" i="2"/>
  <c r="AJ2882" i="2"/>
  <c r="AJ2870" i="2"/>
  <c r="AJ2858" i="2"/>
  <c r="AJ2846" i="2"/>
  <c r="AJ2834" i="2"/>
  <c r="AJ2822" i="2"/>
  <c r="AJ3277" i="2"/>
  <c r="AJ3265" i="2"/>
  <c r="AJ3253" i="2"/>
  <c r="AJ3241" i="2"/>
  <c r="AJ3229" i="2"/>
  <c r="AJ3217" i="2"/>
  <c r="AJ3205" i="2"/>
  <c r="AJ3193" i="2"/>
  <c r="AJ3181" i="2"/>
  <c r="AJ3169" i="2"/>
  <c r="AJ3157" i="2"/>
  <c r="AJ3145" i="2"/>
  <c r="AJ3133" i="2"/>
  <c r="AJ3121" i="2"/>
  <c r="AJ1651" i="2"/>
  <c r="AJ1627" i="2"/>
  <c r="AJ1603" i="2"/>
  <c r="AJ3132" i="2"/>
  <c r="AJ2844" i="2"/>
  <c r="AJ2774" i="2"/>
  <c r="AJ2732" i="2"/>
  <c r="AJ2692" i="2"/>
  <c r="AJ2649" i="2"/>
  <c r="AJ2610" i="2"/>
  <c r="AJ2568" i="2"/>
  <c r="AJ2527" i="2"/>
  <c r="AJ2486" i="2"/>
  <c r="AJ2444" i="2"/>
  <c r="AJ2424" i="2"/>
  <c r="AJ2383" i="2"/>
  <c r="AJ2342" i="2"/>
  <c r="AJ2300" i="2"/>
  <c r="AJ2262" i="2"/>
  <c r="AJ2238" i="2"/>
  <c r="AJ2214" i="2"/>
  <c r="AJ2190" i="2"/>
  <c r="AJ2952" i="2"/>
  <c r="AJ2792" i="2"/>
  <c r="AJ2728" i="2"/>
  <c r="AJ2666" i="2"/>
  <c r="AJ2624" i="2"/>
  <c r="AJ2584" i="2"/>
  <c r="AJ2522" i="2"/>
  <c r="AJ2460" i="2"/>
  <c r="AJ2397" i="2"/>
  <c r="AJ2358" i="2"/>
  <c r="AJ2316" i="2"/>
  <c r="AJ2259" i="2"/>
  <c r="AJ2223" i="2"/>
  <c r="AJ2199" i="2"/>
  <c r="AJ2163" i="2"/>
  <c r="AJ2127" i="2"/>
  <c r="AJ2091" i="2"/>
  <c r="AJ2055" i="2"/>
  <c r="AJ2019" i="2"/>
  <c r="AJ1983" i="2"/>
  <c r="AJ1959" i="2"/>
  <c r="AJ1911" i="2"/>
  <c r="AJ1875" i="2"/>
  <c r="AJ1851" i="2"/>
  <c r="AJ1815" i="2"/>
  <c r="AJ1779" i="2"/>
  <c r="AJ1755" i="2"/>
  <c r="AJ1731" i="2"/>
  <c r="AJ1695" i="2"/>
  <c r="AJ1659" i="2"/>
  <c r="AJ1635" i="2"/>
  <c r="AJ2940" i="2"/>
  <c r="AJ2791" i="2"/>
  <c r="AJ2726" i="2"/>
  <c r="AJ2664" i="2"/>
  <c r="AJ2601" i="2"/>
  <c r="AJ2540" i="2"/>
  <c r="AJ1800" i="2"/>
  <c r="AJ1740" i="2"/>
  <c r="AJ1692" i="2"/>
  <c r="AJ1656" i="2"/>
  <c r="AJ2288" i="2"/>
  <c r="AJ2243" i="2"/>
  <c r="AJ2183" i="2"/>
  <c r="AJ2147" i="2"/>
  <c r="AJ2063" i="2"/>
  <c r="AJ2027" i="2"/>
  <c r="AJ1661" i="2"/>
  <c r="AJ1613" i="2"/>
  <c r="AJ1546" i="2"/>
  <c r="AJ2758" i="2"/>
  <c r="AJ2590" i="2"/>
  <c r="AJ2374" i="2"/>
  <c r="AJ3273" i="2"/>
  <c r="AJ3213" i="2"/>
  <c r="AJ3021" i="2"/>
  <c r="AJ2877" i="2"/>
  <c r="AJ3152" i="2"/>
  <c r="AJ3044" i="2"/>
  <c r="AJ2972" i="2"/>
  <c r="AJ2852" i="2"/>
  <c r="AJ3163" i="2"/>
  <c r="AJ3055" i="2"/>
  <c r="AJ2923" i="2"/>
  <c r="AJ3246" i="2"/>
  <c r="AJ3162" i="2"/>
  <c r="AJ3090" i="2"/>
  <c r="AJ2982" i="2"/>
  <c r="AJ3109" i="2"/>
  <c r="AJ3097" i="2"/>
  <c r="AJ3085" i="2"/>
  <c r="AJ3073" i="2"/>
  <c r="AJ3061" i="2"/>
  <c r="AJ3049" i="2"/>
  <c r="AJ3037" i="2"/>
  <c r="AJ3025" i="2"/>
  <c r="AJ3013" i="2"/>
  <c r="AJ3001" i="2"/>
  <c r="AJ2989" i="2"/>
  <c r="AJ2977" i="2"/>
  <c r="AJ2965" i="2"/>
  <c r="AJ2953" i="2"/>
  <c r="AJ2941" i="2"/>
  <c r="AJ2929" i="2"/>
  <c r="AJ2917" i="2"/>
  <c r="AJ2905" i="2"/>
  <c r="AJ2893" i="2"/>
  <c r="AJ2881" i="2"/>
  <c r="AJ2869" i="2"/>
  <c r="AJ2857" i="2"/>
  <c r="AJ2845" i="2"/>
  <c r="AJ2833" i="2"/>
  <c r="AJ2821" i="2"/>
  <c r="AJ2809" i="2"/>
  <c r="AJ2797" i="2"/>
  <c r="AJ2785" i="2"/>
  <c r="AJ2773" i="2"/>
  <c r="AJ2761" i="2"/>
  <c r="AJ2749" i="2"/>
  <c r="AJ2737" i="2"/>
  <c r="AJ2725" i="2"/>
  <c r="AJ2713" i="2"/>
  <c r="AJ2701" i="2"/>
  <c r="AJ2689" i="2"/>
  <c r="AJ2677" i="2"/>
  <c r="AJ2665" i="2"/>
  <c r="AJ2653" i="2"/>
  <c r="AJ2641" i="2"/>
  <c r="AJ2629" i="2"/>
  <c r="AJ2617" i="2"/>
  <c r="AJ2605" i="2"/>
  <c r="AJ2593" i="2"/>
  <c r="AJ2581" i="2"/>
  <c r="AJ2569" i="2"/>
  <c r="AJ2557" i="2"/>
  <c r="AJ2545" i="2"/>
  <c r="AJ2533" i="2"/>
  <c r="AJ2521" i="2"/>
  <c r="AJ2509" i="2"/>
  <c r="AJ2497" i="2"/>
  <c r="AJ2485" i="2"/>
  <c r="AJ2473" i="2"/>
  <c r="AJ2461" i="2"/>
  <c r="AJ2449" i="2"/>
  <c r="AJ2437" i="2"/>
  <c r="AJ2425" i="2"/>
  <c r="AJ2413" i="2"/>
  <c r="AJ2401" i="2"/>
  <c r="AJ2389" i="2"/>
  <c r="AJ2377" i="2"/>
  <c r="AJ2365" i="2"/>
  <c r="AJ2353" i="2"/>
  <c r="AJ2341" i="2"/>
  <c r="AJ2329" i="2"/>
  <c r="AJ2317" i="2"/>
  <c r="AJ2305" i="2"/>
  <c r="AJ2293" i="2"/>
  <c r="AJ2281" i="2"/>
  <c r="AJ2269" i="2"/>
  <c r="AJ3275" i="2"/>
  <c r="AJ3263" i="2"/>
  <c r="AJ3251" i="2"/>
  <c r="AJ3239" i="2"/>
  <c r="AJ3227" i="2"/>
  <c r="AJ3215" i="2"/>
  <c r="AJ3203" i="2"/>
  <c r="AJ3191" i="2"/>
  <c r="AJ3179" i="2"/>
  <c r="AJ3167" i="2"/>
  <c r="AJ3155" i="2"/>
  <c r="AJ3143" i="2"/>
  <c r="AJ3131" i="2"/>
  <c r="AJ3119" i="2"/>
  <c r="AJ3107" i="2"/>
  <c r="AJ3095" i="2"/>
  <c r="AJ3083" i="2"/>
  <c r="AJ3071" i="2"/>
  <c r="AJ3059" i="2"/>
  <c r="AJ3047" i="2"/>
  <c r="AJ3035" i="2"/>
  <c r="AJ3023" i="2"/>
  <c r="AJ3011" i="2"/>
  <c r="AJ2999" i="2"/>
  <c r="AJ2987" i="2"/>
  <c r="AJ2975" i="2"/>
  <c r="AJ2963" i="2"/>
  <c r="AJ2951" i="2"/>
  <c r="AJ2939" i="2"/>
  <c r="AJ2927" i="2"/>
  <c r="AJ2915" i="2"/>
  <c r="AJ2903" i="2"/>
  <c r="AJ2891" i="2"/>
  <c r="AJ2879" i="2"/>
  <c r="AJ2867" i="2"/>
  <c r="AJ2855" i="2"/>
  <c r="AJ2843" i="2"/>
  <c r="AJ2831" i="2"/>
  <c r="AJ2819" i="2"/>
  <c r="AJ2807" i="2"/>
  <c r="AJ2795" i="2"/>
  <c r="AJ2783" i="2"/>
  <c r="AJ2771" i="2"/>
  <c r="AJ2759" i="2"/>
  <c r="AJ2747" i="2"/>
  <c r="AJ2735" i="2"/>
  <c r="AJ2723" i="2"/>
  <c r="AJ2711" i="2"/>
  <c r="AJ2699" i="2"/>
  <c r="AJ2687" i="2"/>
  <c r="AJ2675" i="2"/>
  <c r="AJ2663" i="2"/>
  <c r="AJ2651" i="2"/>
  <c r="AJ2639" i="2"/>
  <c r="AJ2627" i="2"/>
  <c r="AJ2615" i="2"/>
  <c r="AJ2603" i="2"/>
  <c r="AJ2591" i="2"/>
  <c r="AJ2579" i="2"/>
  <c r="AJ2567" i="2"/>
  <c r="AJ2555" i="2"/>
  <c r="AJ2543" i="2"/>
  <c r="AJ2531" i="2"/>
  <c r="AJ2519" i="2"/>
  <c r="AJ2507" i="2"/>
  <c r="AJ2495" i="2"/>
  <c r="AJ2483" i="2"/>
  <c r="AJ2471" i="2"/>
  <c r="AJ2459" i="2"/>
  <c r="AJ2447" i="2"/>
  <c r="AJ2435" i="2"/>
  <c r="AJ2423" i="2"/>
  <c r="AJ2411" i="2"/>
  <c r="AJ2399" i="2"/>
  <c r="AJ2387" i="2"/>
  <c r="AJ2375" i="2"/>
  <c r="AJ2363" i="2"/>
  <c r="AJ2351" i="2"/>
  <c r="AJ2339" i="2"/>
  <c r="AJ2327" i="2"/>
  <c r="AJ2315" i="2"/>
  <c r="AJ2303" i="2"/>
  <c r="AJ2291" i="2"/>
  <c r="AJ2279" i="2"/>
  <c r="AJ2267" i="2"/>
  <c r="AJ3144" i="2"/>
  <c r="AJ3000" i="2"/>
  <c r="AJ2856" i="2"/>
  <c r="AJ2802" i="2"/>
  <c r="AJ2778" i="2"/>
  <c r="AJ2755" i="2"/>
  <c r="AJ2733" i="2"/>
  <c r="AJ2714" i="2"/>
  <c r="AJ2694" i="2"/>
  <c r="AJ2672" i="2"/>
  <c r="AJ2652" i="2"/>
  <c r="AJ2632" i="2"/>
  <c r="AJ2611" i="2"/>
  <c r="AJ2589" i="2"/>
  <c r="AJ2570" i="2"/>
  <c r="AJ2550" i="2"/>
  <c r="AJ2528" i="2"/>
  <c r="AJ2508" i="2"/>
  <c r="AJ2488" i="2"/>
  <c r="AJ2467" i="2"/>
  <c r="AJ2445" i="2"/>
  <c r="AJ2426" i="2"/>
  <c r="AJ2406" i="2"/>
  <c r="AJ2384" i="2"/>
  <c r="AJ2364" i="2"/>
  <c r="AJ2344" i="2"/>
  <c r="AJ2323" i="2"/>
  <c r="AJ2301" i="2"/>
  <c r="AJ2282" i="2"/>
  <c r="AJ2263" i="2"/>
  <c r="AJ2251" i="2"/>
  <c r="AJ2239" i="2"/>
  <c r="AJ2227" i="2"/>
  <c r="AJ2215" i="2"/>
  <c r="AJ2203" i="2"/>
  <c r="AJ2191" i="2"/>
  <c r="AJ2179" i="2"/>
  <c r="AJ2167" i="2"/>
  <c r="AJ2155" i="2"/>
  <c r="AJ2143" i="2"/>
  <c r="AJ2131" i="2"/>
  <c r="AJ2119" i="2"/>
  <c r="AJ2107" i="2"/>
  <c r="AJ2095" i="2"/>
  <c r="AJ2083" i="2"/>
  <c r="AJ2071" i="2"/>
  <c r="AJ2059" i="2"/>
  <c r="AJ2047" i="2"/>
  <c r="AJ2035" i="2"/>
  <c r="AJ2023" i="2"/>
  <c r="AJ2011" i="2"/>
  <c r="AJ1999" i="2"/>
  <c r="AJ1987" i="2"/>
  <c r="AJ1975" i="2"/>
  <c r="AJ1963" i="2"/>
  <c r="AJ1951" i="2"/>
  <c r="AJ1939" i="2"/>
  <c r="AJ1927" i="2"/>
  <c r="AJ1915" i="2"/>
  <c r="AJ1903" i="2"/>
  <c r="AJ1891" i="2"/>
  <c r="AJ1879" i="2"/>
  <c r="AJ1867" i="2"/>
  <c r="AJ1855" i="2"/>
  <c r="AJ1843" i="2"/>
  <c r="AJ1831" i="2"/>
  <c r="AJ1819" i="2"/>
  <c r="AJ1807" i="2"/>
  <c r="AJ1795" i="2"/>
  <c r="AJ1783" i="2"/>
  <c r="AJ1771" i="2"/>
  <c r="AJ1759" i="2"/>
  <c r="AJ1747" i="2"/>
  <c r="AJ1735" i="2"/>
  <c r="AJ1723" i="2"/>
  <c r="AJ1711" i="2"/>
  <c r="AJ1699" i="2"/>
  <c r="AJ1687" i="2"/>
  <c r="AJ1675" i="2"/>
  <c r="AJ1663" i="2"/>
  <c r="AJ1639" i="2"/>
  <c r="AJ1615" i="2"/>
  <c r="AJ3276" i="2"/>
  <c r="AJ2988" i="2"/>
  <c r="AJ2798" i="2"/>
  <c r="AJ2754" i="2"/>
  <c r="AJ2712" i="2"/>
  <c r="AJ2671" i="2"/>
  <c r="AJ2630" i="2"/>
  <c r="AJ2588" i="2"/>
  <c r="AJ2548" i="2"/>
  <c r="AJ2505" i="2"/>
  <c r="AJ2466" i="2"/>
  <c r="AJ2404" i="2"/>
  <c r="AJ2361" i="2"/>
  <c r="AJ2322" i="2"/>
  <c r="AJ2280" i="2"/>
  <c r="AJ2250" i="2"/>
  <c r="AJ2226" i="2"/>
  <c r="AJ2202" i="2"/>
  <c r="AJ2178" i="2"/>
  <c r="AJ2816" i="2"/>
  <c r="AJ2748" i="2"/>
  <c r="AJ2685" i="2"/>
  <c r="AJ2604" i="2"/>
  <c r="AJ2541" i="2"/>
  <c r="AJ2480" i="2"/>
  <c r="AJ2440" i="2"/>
  <c r="AJ2378" i="2"/>
  <c r="AJ2296" i="2"/>
  <c r="AJ2247" i="2"/>
  <c r="AJ2211" i="2"/>
  <c r="AJ2175" i="2"/>
  <c r="AJ2151" i="2"/>
  <c r="AJ2103" i="2"/>
  <c r="AJ2067" i="2"/>
  <c r="AJ2043" i="2"/>
  <c r="AJ2007" i="2"/>
  <c r="AJ1971" i="2"/>
  <c r="AJ1935" i="2"/>
  <c r="AJ1899" i="2"/>
  <c r="AJ1863" i="2"/>
  <c r="AJ1827" i="2"/>
  <c r="AJ1791" i="2"/>
  <c r="AJ1743" i="2"/>
  <c r="AJ1707" i="2"/>
  <c r="AJ1671" i="2"/>
  <c r="AJ1611" i="2"/>
  <c r="AJ3084" i="2"/>
  <c r="AJ2767" i="2"/>
  <c r="AJ2706" i="2"/>
  <c r="AJ2644" i="2"/>
  <c r="AJ2582" i="2"/>
  <c r="AJ2520" i="2"/>
  <c r="AJ1788" i="2"/>
  <c r="AJ1752" i="2"/>
  <c r="AJ1704" i="2"/>
  <c r="AJ1632" i="2"/>
  <c r="AJ3192" i="2"/>
  <c r="AJ2808" i="2"/>
  <c r="AJ2742" i="2"/>
  <c r="AJ2659" i="2"/>
  <c r="AJ2598" i="2"/>
  <c r="AJ2515" i="2"/>
  <c r="AJ2474" i="2"/>
  <c r="AJ2371" i="2"/>
  <c r="AJ2310" i="2"/>
  <c r="AJ2231" i="2"/>
  <c r="AJ2171" i="2"/>
  <c r="AJ2135" i="2"/>
  <c r="AJ2099" i="2"/>
  <c r="AJ2075" i="2"/>
  <c r="AJ2015" i="2"/>
  <c r="AJ1685" i="2"/>
  <c r="AJ1570" i="2"/>
  <c r="AJ1510" i="2"/>
  <c r="AJ2650" i="2"/>
  <c r="AJ2578" i="2"/>
  <c r="AJ2386" i="2"/>
  <c r="AJ2314" i="2"/>
  <c r="AJ3225" i="2"/>
  <c r="AJ2961" i="2"/>
  <c r="AJ2865" i="2"/>
  <c r="AJ3260" i="2"/>
  <c r="AJ3116" i="2"/>
  <c r="AJ2948" i="2"/>
  <c r="AJ2864" i="2"/>
  <c r="AJ3139" i="2"/>
  <c r="AJ3043" i="2"/>
  <c r="AJ2959" i="2"/>
  <c r="AJ3270" i="2"/>
  <c r="AJ2994" i="2"/>
  <c r="AJ2166" i="2"/>
  <c r="AJ2154" i="2"/>
  <c r="AJ2142" i="2"/>
  <c r="AJ2130" i="2"/>
  <c r="AJ2118" i="2"/>
  <c r="AJ2106" i="2"/>
  <c r="AJ2094" i="2"/>
  <c r="AJ2082" i="2"/>
  <c r="AJ2070" i="2"/>
  <c r="AJ2058" i="2"/>
  <c r="AJ2046" i="2"/>
  <c r="AJ2034" i="2"/>
  <c r="AJ2022" i="2"/>
  <c r="AJ2010" i="2"/>
  <c r="AJ1998" i="2"/>
  <c r="AJ1986" i="2"/>
  <c r="AJ1974" i="2"/>
  <c r="AJ1962" i="2"/>
  <c r="AJ1950" i="2"/>
  <c r="AJ1938" i="2"/>
  <c r="AJ1926" i="2"/>
  <c r="AJ1914" i="2"/>
  <c r="AJ1902" i="2"/>
  <c r="AJ1890" i="2"/>
  <c r="AJ1878" i="2"/>
  <c r="AJ1866" i="2"/>
  <c r="AJ1854" i="2"/>
  <c r="AJ1842" i="2"/>
  <c r="AJ1830" i="2"/>
  <c r="AJ3264" i="2"/>
  <c r="AJ3120" i="2"/>
  <c r="AJ2976" i="2"/>
  <c r="AJ2832" i="2"/>
  <c r="AJ2796" i="2"/>
  <c r="AJ2772" i="2"/>
  <c r="AJ2752" i="2"/>
  <c r="AJ2731" i="2"/>
  <c r="AJ2709" i="2"/>
  <c r="AJ2690" i="2"/>
  <c r="AJ2670" i="2"/>
  <c r="AJ2648" i="2"/>
  <c r="AJ2628" i="2"/>
  <c r="AJ2608" i="2"/>
  <c r="AJ2587" i="2"/>
  <c r="AJ2565" i="2"/>
  <c r="AJ2546" i="2"/>
  <c r="AJ2526" i="2"/>
  <c r="AJ2504" i="2"/>
  <c r="AJ2484" i="2"/>
  <c r="AJ2464" i="2"/>
  <c r="AJ2443" i="2"/>
  <c r="AJ2421" i="2"/>
  <c r="AJ2402" i="2"/>
  <c r="AJ2382" i="2"/>
  <c r="AJ2360" i="2"/>
  <c r="AJ2340" i="2"/>
  <c r="AJ2320" i="2"/>
  <c r="AJ2299" i="2"/>
  <c r="AJ2277" i="2"/>
  <c r="AJ2261" i="2"/>
  <c r="AJ2249" i="2"/>
  <c r="AJ2237" i="2"/>
  <c r="AJ2225" i="2"/>
  <c r="AJ2213" i="2"/>
  <c r="AJ2201" i="2"/>
  <c r="AJ2189" i="2"/>
  <c r="AJ2177" i="2"/>
  <c r="AJ2165" i="2"/>
  <c r="AJ2153" i="2"/>
  <c r="AJ2141" i="2"/>
  <c r="AJ2129" i="2"/>
  <c r="AJ2117" i="2"/>
  <c r="AJ2105" i="2"/>
  <c r="AJ2093" i="2"/>
  <c r="AJ2081" i="2"/>
  <c r="AJ2069" i="2"/>
  <c r="AJ2057" i="2"/>
  <c r="AJ2045" i="2"/>
  <c r="AJ2033" i="2"/>
  <c r="AJ2021" i="2"/>
  <c r="AJ2009" i="2"/>
  <c r="AJ1997" i="2"/>
  <c r="AJ1985" i="2"/>
  <c r="AJ1973" i="2"/>
  <c r="AJ1961" i="2"/>
  <c r="AJ1949" i="2"/>
  <c r="AJ1937" i="2"/>
  <c r="AJ1925" i="2"/>
  <c r="AJ1913" i="2"/>
  <c r="AJ1901" i="2"/>
  <c r="AJ1889" i="2"/>
  <c r="AJ3252" i="2"/>
  <c r="AJ3108" i="2"/>
  <c r="AJ2964" i="2"/>
  <c r="AJ2820" i="2"/>
  <c r="AJ2793" i="2"/>
  <c r="AJ2769" i="2"/>
  <c r="AJ2750" i="2"/>
  <c r="AJ2730" i="2"/>
  <c r="AJ2708" i="2"/>
  <c r="AJ2688" i="2"/>
  <c r="AJ2668" i="2"/>
  <c r="AJ2647" i="2"/>
  <c r="AJ2625" i="2"/>
  <c r="AJ2606" i="2"/>
  <c r="AJ2586" i="2"/>
  <c r="AJ2564" i="2"/>
  <c r="AJ2544" i="2"/>
  <c r="AJ2524" i="2"/>
  <c r="AJ2503" i="2"/>
  <c r="AJ2481" i="2"/>
  <c r="AJ2462" i="2"/>
  <c r="AJ2442" i="2"/>
  <c r="AJ2420" i="2"/>
  <c r="AJ2400" i="2"/>
  <c r="AJ2380" i="2"/>
  <c r="AJ2359" i="2"/>
  <c r="AJ2337" i="2"/>
  <c r="AJ2318" i="2"/>
  <c r="AJ2298" i="2"/>
  <c r="AJ2276" i="2"/>
  <c r="AJ2260" i="2"/>
  <c r="AJ2248" i="2"/>
  <c r="AJ2236" i="2"/>
  <c r="AJ2224" i="2"/>
  <c r="AJ2212" i="2"/>
  <c r="AJ2200" i="2"/>
  <c r="AJ2188" i="2"/>
  <c r="AJ2176" i="2"/>
  <c r="AJ2164" i="2"/>
  <c r="AJ2152" i="2"/>
  <c r="AJ2140" i="2"/>
  <c r="AJ2128" i="2"/>
  <c r="AJ2116" i="2"/>
  <c r="AJ2104" i="2"/>
  <c r="AJ2092" i="2"/>
  <c r="AJ2080" i="2"/>
  <c r="AJ2068" i="2"/>
  <c r="AJ2056" i="2"/>
  <c r="AJ2044" i="2"/>
  <c r="AJ2032" i="2"/>
  <c r="AJ2020" i="2"/>
  <c r="AJ2008" i="2"/>
  <c r="AJ1996" i="2"/>
  <c r="AJ1984" i="2"/>
  <c r="AJ1972" i="2"/>
  <c r="AJ1960" i="2"/>
  <c r="AJ1948" i="2"/>
  <c r="AJ1936" i="2"/>
  <c r="AJ1924" i="2"/>
  <c r="AJ1912" i="2"/>
  <c r="AJ1900" i="2"/>
  <c r="AJ1888" i="2"/>
  <c r="AJ1876" i="2"/>
  <c r="AJ1864" i="2"/>
  <c r="AJ1852" i="2"/>
  <c r="AJ1840" i="2"/>
  <c r="AJ1828" i="2"/>
  <c r="AJ1816" i="2"/>
  <c r="AJ1804" i="2"/>
  <c r="AJ1792" i="2"/>
  <c r="AJ1780" i="2"/>
  <c r="AJ1768" i="2"/>
  <c r="AJ1756" i="2"/>
  <c r="AJ1744" i="2"/>
  <c r="AJ1732" i="2"/>
  <c r="AJ1720" i="2"/>
  <c r="AJ1708" i="2"/>
  <c r="AJ1696" i="2"/>
  <c r="AJ1684" i="2"/>
  <c r="AJ1672" i="2"/>
  <c r="AJ1660" i="2"/>
  <c r="AJ1648" i="2"/>
  <c r="AJ1636" i="2"/>
  <c r="AJ1624" i="2"/>
  <c r="AJ1612" i="2"/>
  <c r="AJ3240" i="2"/>
  <c r="AJ3096" i="2"/>
  <c r="AJ2768" i="2"/>
  <c r="AJ2707" i="2"/>
  <c r="AJ2646" i="2"/>
  <c r="AJ2563" i="2"/>
  <c r="AJ2502" i="2"/>
  <c r="AJ2419" i="2"/>
  <c r="AJ2336" i="2"/>
  <c r="AJ2275" i="2"/>
  <c r="AJ2235" i="2"/>
  <c r="AJ2187" i="2"/>
  <c r="AJ2139" i="2"/>
  <c r="AJ2115" i="2"/>
  <c r="AJ2079" i="2"/>
  <c r="AJ2031" i="2"/>
  <c r="AJ1995" i="2"/>
  <c r="AJ1947" i="2"/>
  <c r="AJ1923" i="2"/>
  <c r="AJ1887" i="2"/>
  <c r="AJ1839" i="2"/>
  <c r="AJ1803" i="2"/>
  <c r="AJ1767" i="2"/>
  <c r="AJ1719" i="2"/>
  <c r="AJ1683" i="2"/>
  <c r="AJ1647" i="2"/>
  <c r="AJ1623" i="2"/>
  <c r="AJ3228" i="2"/>
  <c r="AJ2815" i="2"/>
  <c r="AJ2745" i="2"/>
  <c r="AJ2684" i="2"/>
  <c r="AJ2623" i="2"/>
  <c r="AJ2562" i="2"/>
  <c r="AJ1812" i="2"/>
  <c r="AJ1764" i="2"/>
  <c r="AJ1716" i="2"/>
  <c r="AJ1680" i="2"/>
  <c r="AJ1644" i="2"/>
  <c r="AJ1608" i="2"/>
  <c r="AJ2904" i="2"/>
  <c r="AJ2784" i="2"/>
  <c r="AJ2720" i="2"/>
  <c r="AJ2680" i="2"/>
  <c r="AJ2618" i="2"/>
  <c r="AJ2556" i="2"/>
  <c r="AJ2493" i="2"/>
  <c r="AJ2432" i="2"/>
  <c r="AJ2392" i="2"/>
  <c r="AJ2349" i="2"/>
  <c r="AJ2268" i="2"/>
  <c r="AJ2219" i="2"/>
  <c r="AJ2195" i="2"/>
  <c r="AJ2123" i="2"/>
  <c r="AJ2087" i="2"/>
  <c r="AJ2039" i="2"/>
  <c r="AJ1991" i="2"/>
  <c r="AJ1594" i="2"/>
  <c r="AJ1534" i="2"/>
  <c r="AJ1486" i="2"/>
  <c r="AJ2662" i="2"/>
  <c r="AJ2566" i="2"/>
  <c r="AJ2482" i="2"/>
  <c r="AJ2350" i="2"/>
  <c r="AJ2278" i="2"/>
  <c r="AJ3201" i="2"/>
  <c r="AJ3093" i="2"/>
  <c r="AJ3033" i="2"/>
  <c r="AJ2985" i="2"/>
  <c r="AJ2901" i="2"/>
  <c r="AJ3248" i="2"/>
  <c r="AJ3068" i="2"/>
  <c r="AJ2960" i="2"/>
  <c r="AJ2876" i="2"/>
  <c r="AJ3283" i="2"/>
  <c r="AJ3127" i="2"/>
  <c r="AJ3007" i="2"/>
  <c r="AJ2887" i="2"/>
  <c r="AJ3282" i="2"/>
  <c r="AJ3234" i="2"/>
  <c r="AJ3006" i="2"/>
  <c r="AJ2500" i="2"/>
  <c r="AJ2479" i="2"/>
  <c r="AJ2457" i="2"/>
  <c r="AJ2438" i="2"/>
  <c r="AJ2418" i="2"/>
  <c r="AJ2396" i="2"/>
  <c r="AJ2376" i="2"/>
  <c r="AJ2356" i="2"/>
  <c r="AJ2335" i="2"/>
  <c r="AJ2313" i="2"/>
  <c r="AJ2294" i="2"/>
  <c r="AJ2274" i="2"/>
  <c r="AJ2258" i="2"/>
  <c r="AJ2246" i="2"/>
  <c r="AJ2234" i="2"/>
  <c r="AJ2222" i="2"/>
  <c r="AJ2210" i="2"/>
  <c r="AJ2198" i="2"/>
  <c r="AJ2186" i="2"/>
  <c r="AJ2174" i="2"/>
  <c r="AJ2162" i="2"/>
  <c r="AJ2150" i="2"/>
  <c r="AJ2138" i="2"/>
  <c r="AJ2126" i="2"/>
  <c r="AJ2114" i="2"/>
  <c r="AJ2102" i="2"/>
  <c r="AJ2090" i="2"/>
  <c r="AJ2078" i="2"/>
  <c r="AJ2066" i="2"/>
  <c r="AJ2054" i="2"/>
  <c r="AJ2042" i="2"/>
  <c r="AJ2030" i="2"/>
  <c r="AJ2018" i="2"/>
  <c r="AJ2006" i="2"/>
  <c r="AJ1994" i="2"/>
  <c r="AJ1982" i="2"/>
  <c r="AJ1970" i="2"/>
  <c r="AJ1958" i="2"/>
  <c r="AJ1946" i="2"/>
  <c r="AJ1934" i="2"/>
  <c r="AJ1922" i="2"/>
  <c r="AJ1910" i="2"/>
  <c r="AJ1898" i="2"/>
  <c r="AJ1886" i="2"/>
  <c r="AJ1874" i="2"/>
  <c r="AJ1862" i="2"/>
  <c r="AJ1850" i="2"/>
  <c r="AJ1838" i="2"/>
  <c r="AJ1826" i="2"/>
  <c r="AJ1814" i="2"/>
  <c r="AJ1802" i="2"/>
  <c r="AJ1790" i="2"/>
  <c r="AJ1778" i="2"/>
  <c r="AJ1766" i="2"/>
  <c r="AJ1754" i="2"/>
  <c r="AJ1742" i="2"/>
  <c r="AJ1730" i="2"/>
  <c r="AJ1718" i="2"/>
  <c r="AJ1706" i="2"/>
  <c r="AJ1694" i="2"/>
  <c r="AJ1682" i="2"/>
  <c r="AJ1670" i="2"/>
  <c r="AJ1658" i="2"/>
  <c r="AJ1646" i="2"/>
  <c r="AJ1634" i="2"/>
  <c r="AJ1622" i="2"/>
  <c r="AJ1610" i="2"/>
  <c r="AJ1598" i="2"/>
  <c r="AJ3216" i="2"/>
  <c r="AJ3072" i="2"/>
  <c r="AJ2928" i="2"/>
  <c r="AJ2814" i="2"/>
  <c r="AJ2790" i="2"/>
  <c r="AJ2766" i="2"/>
  <c r="AJ2744" i="2"/>
  <c r="AJ2724" i="2"/>
  <c r="AJ2704" i="2"/>
  <c r="AJ2683" i="2"/>
  <c r="AJ2661" i="2"/>
  <c r="AJ2642" i="2"/>
  <c r="AJ2622" i="2"/>
  <c r="AJ2600" i="2"/>
  <c r="AJ2580" i="2"/>
  <c r="AJ2560" i="2"/>
  <c r="AJ2539" i="2"/>
  <c r="AJ2517" i="2"/>
  <c r="AJ2498" i="2"/>
  <c r="AJ2478" i="2"/>
  <c r="AJ2456" i="2"/>
  <c r="AJ2436" i="2"/>
  <c r="AJ2416" i="2"/>
  <c r="AJ2395" i="2"/>
  <c r="AJ2373" i="2"/>
  <c r="AJ2354" i="2"/>
  <c r="AJ2334" i="2"/>
  <c r="AJ2312" i="2"/>
  <c r="AJ2292" i="2"/>
  <c r="AJ2272" i="2"/>
  <c r="AJ2257" i="2"/>
  <c r="AJ2245" i="2"/>
  <c r="AJ2233" i="2"/>
  <c r="AJ2221" i="2"/>
  <c r="AJ2209" i="2"/>
  <c r="AJ2197" i="2"/>
  <c r="AJ2185" i="2"/>
  <c r="AJ2173" i="2"/>
  <c r="AJ2161" i="2"/>
  <c r="AJ2149" i="2"/>
  <c r="AJ2137" i="2"/>
  <c r="AJ2125" i="2"/>
  <c r="AJ2113" i="2"/>
  <c r="AJ2101" i="2"/>
  <c r="AJ2089" i="2"/>
  <c r="AJ2077" i="2"/>
  <c r="AJ2065" i="2"/>
  <c r="AJ2053" i="2"/>
  <c r="AJ2041" i="2"/>
  <c r="AJ2029" i="2"/>
  <c r="AJ2017" i="2"/>
  <c r="AJ2005" i="2"/>
  <c r="AJ1993" i="2"/>
  <c r="AJ1981" i="2"/>
  <c r="AJ1969" i="2"/>
  <c r="AJ1957" i="2"/>
  <c r="AJ1945" i="2"/>
  <c r="AJ1933" i="2"/>
  <c r="AJ1921" i="2"/>
  <c r="AJ1909" i="2"/>
  <c r="AJ1897" i="2"/>
  <c r="AJ1885" i="2"/>
  <c r="AJ1873" i="2"/>
  <c r="AJ1861" i="2"/>
  <c r="AJ1849" i="2"/>
  <c r="AJ1837" i="2"/>
  <c r="AJ1825" i="2"/>
  <c r="AJ1813" i="2"/>
  <c r="AJ1801" i="2"/>
  <c r="AJ1789" i="2"/>
  <c r="AJ1777" i="2"/>
  <c r="AJ1765" i="2"/>
  <c r="AJ1753" i="2"/>
  <c r="AJ3204" i="2"/>
  <c r="AJ3060" i="2"/>
  <c r="AJ2916" i="2"/>
  <c r="AJ2810" i="2"/>
  <c r="AJ2786" i="2"/>
  <c r="AJ2764" i="2"/>
  <c r="AJ2743" i="2"/>
  <c r="AJ2721" i="2"/>
  <c r="AJ2702" i="2"/>
  <c r="AJ2682" i="2"/>
  <c r="AJ2660" i="2"/>
  <c r="AJ2640" i="2"/>
  <c r="AJ2620" i="2"/>
  <c r="AJ2599" i="2"/>
  <c r="AJ2577" i="2"/>
  <c r="AJ2558" i="2"/>
  <c r="AJ2538" i="2"/>
  <c r="AJ2516" i="2"/>
  <c r="AJ2496" i="2"/>
  <c r="AJ2476" i="2"/>
  <c r="AJ2455" i="2"/>
  <c r="AJ2433" i="2"/>
  <c r="AJ2414" i="2"/>
  <c r="AJ2394" i="2"/>
  <c r="AJ2372" i="2"/>
  <c r="AJ2352" i="2"/>
  <c r="AJ2332" i="2"/>
  <c r="AJ2311" i="2"/>
  <c r="AJ2289" i="2"/>
  <c r="AJ2270" i="2"/>
  <c r="AJ2256" i="2"/>
  <c r="AJ2244" i="2"/>
  <c r="AJ2232" i="2"/>
  <c r="AJ2220" i="2"/>
  <c r="AJ2208" i="2"/>
  <c r="AJ2196" i="2"/>
  <c r="AJ2184" i="2"/>
  <c r="AJ2172" i="2"/>
  <c r="AJ2160" i="2"/>
  <c r="AJ2148" i="2"/>
  <c r="AJ2136" i="2"/>
  <c r="AJ2124" i="2"/>
  <c r="AJ2112" i="2"/>
  <c r="AJ2100" i="2"/>
  <c r="AJ2088" i="2"/>
  <c r="AJ2076" i="2"/>
  <c r="AJ2064" i="2"/>
  <c r="AJ2052" i="2"/>
  <c r="AJ2040" i="2"/>
  <c r="AJ2028" i="2"/>
  <c r="AJ2016" i="2"/>
  <c r="AJ2004" i="2"/>
  <c r="AJ1992" i="2"/>
  <c r="AJ1980" i="2"/>
  <c r="AJ1968" i="2"/>
  <c r="AJ1956" i="2"/>
  <c r="AJ1944" i="2"/>
  <c r="AJ1932" i="2"/>
  <c r="AJ1920" i="2"/>
  <c r="AJ1908" i="2"/>
  <c r="AJ1896" i="2"/>
  <c r="AJ1884" i="2"/>
  <c r="AJ1872" i="2"/>
  <c r="AJ1860" i="2"/>
  <c r="AJ1848" i="2"/>
  <c r="AJ1836" i="2"/>
  <c r="AJ1824" i="2"/>
  <c r="AJ1776" i="2"/>
  <c r="AJ1728" i="2"/>
  <c r="AJ1668" i="2"/>
  <c r="AJ1620" i="2"/>
  <c r="AJ3048" i="2"/>
  <c r="AJ2762" i="2"/>
  <c r="AJ2700" i="2"/>
  <c r="AJ2637" i="2"/>
  <c r="AJ2576" i="2"/>
  <c r="AJ2536" i="2"/>
  <c r="AJ2454" i="2"/>
  <c r="AJ2412" i="2"/>
  <c r="AJ2330" i="2"/>
  <c r="AJ2255" i="2"/>
  <c r="AJ2207" i="2"/>
  <c r="AJ2159" i="2"/>
  <c r="AJ2111" i="2"/>
  <c r="AJ2051" i="2"/>
  <c r="AJ2003" i="2"/>
  <c r="AJ1582" i="2"/>
  <c r="AJ1498" i="2"/>
  <c r="AJ2602" i="2"/>
  <c r="AJ2422" i="2"/>
  <c r="AJ3261" i="2"/>
  <c r="AJ3189" i="2"/>
  <c r="AJ3117" i="2"/>
  <c r="AJ3009" i="2"/>
  <c r="AJ2841" i="2"/>
  <c r="AJ3224" i="2"/>
  <c r="AJ3080" i="2"/>
  <c r="AJ3008" i="2"/>
  <c r="AJ2900" i="2"/>
  <c r="AJ2840" i="2"/>
  <c r="AJ3247" i="2"/>
  <c r="AJ3091" i="2"/>
  <c r="AJ2983" i="2"/>
  <c r="AJ2911" i="2"/>
  <c r="AJ3210" i="2"/>
  <c r="AJ3078" i="2"/>
  <c r="AJ3030" i="2"/>
  <c r="AJ1979" i="2"/>
  <c r="AJ1967" i="2"/>
  <c r="AJ1955" i="2"/>
  <c r="AJ1943" i="2"/>
  <c r="AJ1931" i="2"/>
  <c r="AJ1919" i="2"/>
  <c r="AJ1907" i="2"/>
  <c r="AJ1895" i="2"/>
  <c r="AJ1883" i="2"/>
  <c r="AJ3180" i="2"/>
  <c r="AJ3036" i="2"/>
  <c r="AJ2892" i="2"/>
  <c r="AJ2805" i="2"/>
  <c r="AJ2781" i="2"/>
  <c r="AJ2760" i="2"/>
  <c r="AJ2740" i="2"/>
  <c r="AJ2719" i="2"/>
  <c r="AJ2697" i="2"/>
  <c r="AJ2678" i="2"/>
  <c r="AJ2658" i="2"/>
  <c r="AJ2636" i="2"/>
  <c r="AJ2616" i="2"/>
  <c r="AJ2596" i="2"/>
  <c r="AJ2575" i="2"/>
  <c r="AJ2553" i="2"/>
  <c r="AJ2534" i="2"/>
  <c r="AJ2514" i="2"/>
  <c r="AJ2492" i="2"/>
  <c r="AJ2472" i="2"/>
  <c r="AJ2452" i="2"/>
  <c r="AJ2431" i="2"/>
  <c r="AJ2409" i="2"/>
  <c r="AJ2390" i="2"/>
  <c r="AJ2370" i="2"/>
  <c r="AJ2348" i="2"/>
  <c r="AJ2328" i="2"/>
  <c r="AJ2308" i="2"/>
  <c r="AJ2287" i="2"/>
  <c r="AJ2266" i="2"/>
  <c r="AJ2254" i="2"/>
  <c r="AJ2242" i="2"/>
  <c r="AJ2230" i="2"/>
  <c r="AJ2218" i="2"/>
  <c r="AJ2206" i="2"/>
  <c r="AJ2194" i="2"/>
  <c r="AJ2182" i="2"/>
  <c r="AJ2170" i="2"/>
  <c r="AJ2158" i="2"/>
  <c r="AJ2146" i="2"/>
  <c r="AJ2134" i="2"/>
  <c r="AJ2122" i="2"/>
  <c r="AJ2110" i="2"/>
  <c r="AJ2098" i="2"/>
  <c r="AJ2086" i="2"/>
  <c r="AJ2074" i="2"/>
  <c r="AJ2062" i="2"/>
  <c r="AJ2050" i="2"/>
  <c r="AJ2038" i="2"/>
  <c r="AJ2026" i="2"/>
  <c r="AJ2014" i="2"/>
  <c r="AJ2002" i="2"/>
  <c r="AJ1990" i="2"/>
  <c r="AJ1978" i="2"/>
  <c r="AJ1966" i="2"/>
  <c r="AJ1954" i="2"/>
  <c r="AJ1942" i="2"/>
  <c r="AJ1930" i="2"/>
  <c r="AJ1918" i="2"/>
  <c r="AJ1906" i="2"/>
  <c r="AJ1894" i="2"/>
  <c r="AJ1882" i="2"/>
  <c r="AJ1870" i="2"/>
  <c r="AJ1858" i="2"/>
  <c r="AJ1846" i="2"/>
  <c r="AJ1834" i="2"/>
  <c r="AJ1822" i="2"/>
  <c r="AJ1810" i="2"/>
  <c r="AJ1798" i="2"/>
  <c r="AJ1786" i="2"/>
  <c r="AJ1774" i="2"/>
  <c r="AJ1762" i="2"/>
  <c r="AJ1750" i="2"/>
  <c r="AJ1738" i="2"/>
  <c r="AJ1726" i="2"/>
  <c r="AJ1714" i="2"/>
  <c r="AJ1702" i="2"/>
  <c r="AJ1690" i="2"/>
  <c r="AJ1678" i="2"/>
  <c r="AJ1666" i="2"/>
  <c r="AJ1654" i="2"/>
  <c r="AJ1642" i="2"/>
  <c r="AJ1630" i="2"/>
  <c r="AJ1618" i="2"/>
  <c r="AJ1606" i="2"/>
  <c r="AJ2756" i="2"/>
  <c r="AJ2634" i="2"/>
  <c r="AJ2510" i="2"/>
  <c r="AJ2385" i="2"/>
  <c r="AJ2264" i="2"/>
  <c r="AJ2192" i="2"/>
  <c r="AJ2120" i="2"/>
  <c r="AJ2048" i="2"/>
  <c r="AJ1976" i="2"/>
  <c r="AJ1904" i="2"/>
  <c r="AJ1856" i="2"/>
  <c r="AJ1820" i="2"/>
  <c r="AJ1793" i="2"/>
  <c r="AJ1761" i="2"/>
  <c r="AJ1736" i="2"/>
  <c r="AJ1712" i="2"/>
  <c r="AJ1688" i="2"/>
  <c r="AJ1664" i="2"/>
  <c r="AJ1640" i="2"/>
  <c r="AJ1616" i="2"/>
  <c r="AJ1596" i="2"/>
  <c r="AJ1584" i="2"/>
  <c r="AJ1572" i="2"/>
  <c r="AJ1560" i="2"/>
  <c r="AJ1548" i="2"/>
  <c r="AJ1536" i="2"/>
  <c r="AJ1524" i="2"/>
  <c r="AJ1512" i="2"/>
  <c r="AJ1500" i="2"/>
  <c r="AJ1488" i="2"/>
  <c r="AJ1476" i="2"/>
  <c r="AJ1464" i="2"/>
  <c r="AJ1452" i="2"/>
  <c r="AJ1440" i="2"/>
  <c r="AJ1428" i="2"/>
  <c r="AJ1416" i="2"/>
  <c r="AJ1404" i="2"/>
  <c r="AJ1392" i="2"/>
  <c r="AJ1380" i="2"/>
  <c r="AJ1368" i="2"/>
  <c r="AJ1356" i="2"/>
  <c r="AJ1344" i="2"/>
  <c r="AJ1332" i="2"/>
  <c r="AJ1320" i="2"/>
  <c r="AJ1308" i="2"/>
  <c r="AJ1296" i="2"/>
  <c r="AJ1284" i="2"/>
  <c r="AJ1272" i="2"/>
  <c r="AJ1260" i="2"/>
  <c r="AJ1248" i="2"/>
  <c r="AJ1236" i="2"/>
  <c r="AJ1224" i="2"/>
  <c r="AJ1212" i="2"/>
  <c r="AJ1200" i="2"/>
  <c r="AJ1188" i="2"/>
  <c r="AJ1176" i="2"/>
  <c r="AJ1164" i="2"/>
  <c r="AJ1152" i="2"/>
  <c r="AJ1140" i="2"/>
  <c r="AJ1128" i="2"/>
  <c r="AJ1116" i="2"/>
  <c r="AJ1104" i="2"/>
  <c r="AJ1092" i="2"/>
  <c r="AJ1080" i="2"/>
  <c r="AJ1068" i="2"/>
  <c r="AJ1056" i="2"/>
  <c r="AJ1044" i="2"/>
  <c r="AJ1032" i="2"/>
  <c r="AJ1020" i="2"/>
  <c r="AJ1008" i="2"/>
  <c r="AJ996" i="2"/>
  <c r="AJ984" i="2"/>
  <c r="AJ972" i="2"/>
  <c r="AJ960" i="2"/>
  <c r="AJ948" i="2"/>
  <c r="AJ936" i="2"/>
  <c r="AJ924" i="2"/>
  <c r="AJ912" i="2"/>
  <c r="AJ900" i="2"/>
  <c r="AJ888" i="2"/>
  <c r="AJ876" i="2"/>
  <c r="AJ864" i="2"/>
  <c r="AJ852" i="2"/>
  <c r="AJ840" i="2"/>
  <c r="AJ828" i="2"/>
  <c r="AJ3168" i="2"/>
  <c r="AJ2738" i="2"/>
  <c r="AJ2613" i="2"/>
  <c r="AJ2491" i="2"/>
  <c r="AJ2368" i="2"/>
  <c r="AJ2253" i="2"/>
  <c r="AJ2181" i="2"/>
  <c r="AJ2109" i="2"/>
  <c r="AJ2037" i="2"/>
  <c r="AJ1965" i="2"/>
  <c r="AJ1893" i="2"/>
  <c r="AJ1853" i="2"/>
  <c r="AJ1818" i="2"/>
  <c r="AJ1787" i="2"/>
  <c r="AJ1760" i="2"/>
  <c r="AJ1734" i="2"/>
  <c r="AJ1710" i="2"/>
  <c r="AJ1686" i="2"/>
  <c r="AJ1662" i="2"/>
  <c r="AJ1638" i="2"/>
  <c r="AJ1614" i="2"/>
  <c r="AJ1595" i="2"/>
  <c r="AJ1583" i="2"/>
  <c r="AJ1571" i="2"/>
  <c r="AJ1559" i="2"/>
  <c r="AJ1547" i="2"/>
  <c r="AJ1535" i="2"/>
  <c r="AJ1523" i="2"/>
  <c r="AJ1511" i="2"/>
  <c r="AJ1499" i="2"/>
  <c r="AJ1487" i="2"/>
  <c r="AJ1475" i="2"/>
  <c r="AJ1463" i="2"/>
  <c r="AJ1451" i="2"/>
  <c r="AJ1439" i="2"/>
  <c r="AJ1427" i="2"/>
  <c r="AJ1415" i="2"/>
  <c r="AJ1403" i="2"/>
  <c r="AJ1391" i="2"/>
  <c r="AJ1379" i="2"/>
  <c r="AJ1367" i="2"/>
  <c r="AJ1355" i="2"/>
  <c r="AJ1343" i="2"/>
  <c r="AJ1331" i="2"/>
  <c r="AJ1319" i="2"/>
  <c r="AJ1307" i="2"/>
  <c r="AJ1295" i="2"/>
  <c r="AJ1283" i="2"/>
  <c r="AJ1271" i="2"/>
  <c r="AJ1259" i="2"/>
  <c r="AJ1247" i="2"/>
  <c r="AJ1235" i="2"/>
  <c r="AJ1223" i="2"/>
  <c r="AJ1211" i="2"/>
  <c r="AJ1199" i="2"/>
  <c r="AJ1187" i="2"/>
  <c r="AJ1175" i="2"/>
  <c r="AJ1163" i="2"/>
  <c r="AJ1151" i="2"/>
  <c r="AJ1139" i="2"/>
  <c r="AJ1127" i="2"/>
  <c r="AJ1115" i="2"/>
  <c r="AJ1103" i="2"/>
  <c r="AJ1091" i="2"/>
  <c r="AJ1079" i="2"/>
  <c r="AJ1067" i="2"/>
  <c r="AJ1055" i="2"/>
  <c r="AJ1043" i="2"/>
  <c r="AJ1031" i="2"/>
  <c r="AJ3156" i="2"/>
  <c r="AJ2736" i="2"/>
  <c r="AJ2612" i="2"/>
  <c r="AJ2490" i="2"/>
  <c r="AJ2366" i="2"/>
  <c r="AJ2252" i="2"/>
  <c r="AJ2180" i="2"/>
  <c r="AJ2108" i="2"/>
  <c r="AJ2036" i="2"/>
  <c r="AJ1964" i="2"/>
  <c r="AJ1892" i="2"/>
  <c r="AJ1847" i="2"/>
  <c r="AJ1817" i="2"/>
  <c r="AJ1785" i="2"/>
  <c r="AJ1758" i="2"/>
  <c r="AJ1733" i="2"/>
  <c r="AJ1709" i="2"/>
  <c r="AJ1637" i="2"/>
  <c r="AJ1558" i="2"/>
  <c r="AJ1522" i="2"/>
  <c r="AJ2782" i="2"/>
  <c r="AJ2710" i="2"/>
  <c r="AJ2518" i="2"/>
  <c r="AJ2434" i="2"/>
  <c r="AJ3177" i="2"/>
  <c r="AJ3129" i="2"/>
  <c r="AJ2949" i="2"/>
  <c r="AJ3284" i="2"/>
  <c r="AJ3188" i="2"/>
  <c r="AJ3128" i="2"/>
  <c r="AJ2888" i="2"/>
  <c r="AJ3223" i="2"/>
  <c r="AJ3115" i="2"/>
  <c r="AJ3222" i="2"/>
  <c r="AJ3114" i="2"/>
  <c r="AJ1474" i="2"/>
  <c r="AJ1462" i="2"/>
  <c r="AJ1450" i="2"/>
  <c r="AJ1438" i="2"/>
  <c r="AJ1426" i="2"/>
  <c r="AJ1414" i="2"/>
  <c r="AJ1402" i="2"/>
  <c r="AJ1390" i="2"/>
  <c r="AJ1378" i="2"/>
  <c r="AJ1366" i="2"/>
  <c r="AJ1354" i="2"/>
  <c r="AJ1342" i="2"/>
  <c r="AJ1330" i="2"/>
  <c r="AJ1318" i="2"/>
  <c r="AJ1306" i="2"/>
  <c r="AJ1294" i="2"/>
  <c r="AJ1282" i="2"/>
  <c r="AJ1270" i="2"/>
  <c r="AJ1258" i="2"/>
  <c r="AJ1246" i="2"/>
  <c r="AJ1234" i="2"/>
  <c r="AJ1222" i="2"/>
  <c r="AJ1210" i="2"/>
  <c r="AJ1198" i="2"/>
  <c r="AJ1186" i="2"/>
  <c r="AJ1174" i="2"/>
  <c r="AJ1162" i="2"/>
  <c r="AJ1150" i="2"/>
  <c r="AJ1138" i="2"/>
  <c r="AJ1126" i="2"/>
  <c r="AJ1114" i="2"/>
  <c r="AJ1102" i="2"/>
  <c r="AJ1090" i="2"/>
  <c r="AJ1078" i="2"/>
  <c r="AJ1066" i="2"/>
  <c r="AJ1054" i="2"/>
  <c r="AJ1042" i="2"/>
  <c r="AJ1030" i="2"/>
  <c r="AJ3024" i="2"/>
  <c r="AJ2718" i="2"/>
  <c r="AJ2594" i="2"/>
  <c r="AJ2469" i="2"/>
  <c r="AJ2347" i="2"/>
  <c r="AJ2241" i="2"/>
  <c r="AJ2169" i="2"/>
  <c r="AJ2097" i="2"/>
  <c r="AJ2025" i="2"/>
  <c r="AJ1953" i="2"/>
  <c r="AJ1881" i="2"/>
  <c r="AJ1845" i="2"/>
  <c r="AJ1811" i="2"/>
  <c r="AJ1784" i="2"/>
  <c r="AJ1757" i="2"/>
  <c r="AJ1729" i="2"/>
  <c r="AJ1705" i="2"/>
  <c r="AJ1681" i="2"/>
  <c r="AJ1657" i="2"/>
  <c r="AJ1633" i="2"/>
  <c r="AJ1609" i="2"/>
  <c r="AJ1593" i="2"/>
  <c r="AJ1581" i="2"/>
  <c r="AJ1569" i="2"/>
  <c r="AJ1557" i="2"/>
  <c r="AJ1545" i="2"/>
  <c r="AJ1533" i="2"/>
  <c r="AJ1521" i="2"/>
  <c r="AJ1509" i="2"/>
  <c r="AJ1497" i="2"/>
  <c r="AJ1485" i="2"/>
  <c r="AJ1473" i="2"/>
  <c r="AJ1461" i="2"/>
  <c r="AJ1449" i="2"/>
  <c r="AJ1437" i="2"/>
  <c r="AJ1425" i="2"/>
  <c r="AJ1413" i="2"/>
  <c r="AJ1401" i="2"/>
  <c r="AJ1389" i="2"/>
  <c r="AJ1377" i="2"/>
  <c r="AJ1365" i="2"/>
  <c r="AJ1353" i="2"/>
  <c r="AJ1341" i="2"/>
  <c r="AJ1329" i="2"/>
  <c r="AJ1317" i="2"/>
  <c r="AJ1305" i="2"/>
  <c r="AJ1293" i="2"/>
  <c r="AJ1281" i="2"/>
  <c r="AJ1269" i="2"/>
  <c r="AJ1257" i="2"/>
  <c r="AJ1245" i="2"/>
  <c r="AJ1233" i="2"/>
  <c r="AJ1221" i="2"/>
  <c r="AJ1209" i="2"/>
  <c r="AJ1197" i="2"/>
  <c r="AJ1185" i="2"/>
  <c r="AJ1173" i="2"/>
  <c r="AJ1161" i="2"/>
  <c r="AJ1149" i="2"/>
  <c r="AJ1137" i="2"/>
  <c r="AJ1125" i="2"/>
  <c r="AJ1113" i="2"/>
  <c r="AJ1101" i="2"/>
  <c r="AJ1089" i="2"/>
  <c r="AJ1077" i="2"/>
  <c r="AJ1065" i="2"/>
  <c r="AJ1053" i="2"/>
  <c r="AJ1041" i="2"/>
  <c r="AJ1029" i="2"/>
  <c r="AJ1017" i="2"/>
  <c r="AJ1005" i="2"/>
  <c r="AJ993" i="2"/>
  <c r="AJ981" i="2"/>
  <c r="AJ969" i="2"/>
  <c r="AJ957" i="2"/>
  <c r="AJ945" i="2"/>
  <c r="AJ933" i="2"/>
  <c r="AJ921" i="2"/>
  <c r="AJ909" i="2"/>
  <c r="AJ897" i="2"/>
  <c r="AJ885" i="2"/>
  <c r="AJ873" i="2"/>
  <c r="AJ861" i="2"/>
  <c r="AJ849" i="2"/>
  <c r="AJ837" i="2"/>
  <c r="AJ825" i="2"/>
  <c r="AJ3012" i="2"/>
  <c r="AJ2716" i="2"/>
  <c r="AJ2592" i="2"/>
  <c r="AJ2468" i="2"/>
  <c r="AJ2346" i="2"/>
  <c r="AJ2240" i="2"/>
  <c r="AJ2168" i="2"/>
  <c r="AJ2096" i="2"/>
  <c r="AJ2024" i="2"/>
  <c r="AJ1952" i="2"/>
  <c r="AJ1880" i="2"/>
  <c r="AJ1844" i="2"/>
  <c r="AJ1809" i="2"/>
  <c r="AJ1782" i="2"/>
  <c r="AJ1751" i="2"/>
  <c r="AJ1727" i="2"/>
  <c r="AJ1703" i="2"/>
  <c r="AJ1679" i="2"/>
  <c r="AJ1655" i="2"/>
  <c r="AJ1631" i="2"/>
  <c r="AJ1607" i="2"/>
  <c r="AJ1592" i="2"/>
  <c r="AJ1580" i="2"/>
  <c r="AJ1568" i="2"/>
  <c r="AJ1556" i="2"/>
  <c r="AJ1544" i="2"/>
  <c r="AJ1532" i="2"/>
  <c r="AJ1520" i="2"/>
  <c r="AJ1508" i="2"/>
  <c r="AJ1496" i="2"/>
  <c r="AJ1484" i="2"/>
  <c r="AJ1472" i="2"/>
  <c r="AJ1460" i="2"/>
  <c r="AJ1448" i="2"/>
  <c r="AJ1436" i="2"/>
  <c r="AJ1424" i="2"/>
  <c r="AJ1412" i="2"/>
  <c r="AJ1400" i="2"/>
  <c r="AJ1388" i="2"/>
  <c r="AJ1376" i="2"/>
  <c r="AJ1364" i="2"/>
  <c r="AJ1352" i="2"/>
  <c r="AJ1340" i="2"/>
  <c r="AJ1328" i="2"/>
  <c r="AJ1316" i="2"/>
  <c r="AJ1304" i="2"/>
  <c r="AJ1292" i="2"/>
  <c r="AJ1280" i="2"/>
  <c r="AJ1268" i="2"/>
  <c r="AJ1256" i="2"/>
  <c r="AJ1244" i="2"/>
  <c r="AJ1232" i="2"/>
  <c r="AJ1220" i="2"/>
  <c r="AJ1208" i="2"/>
  <c r="AJ1196" i="2"/>
  <c r="AJ1184" i="2"/>
  <c r="AJ1172" i="2"/>
  <c r="AJ1160" i="2"/>
  <c r="AJ1148" i="2"/>
  <c r="AJ1136" i="2"/>
  <c r="AJ1124" i="2"/>
  <c r="AJ1112" i="2"/>
  <c r="AJ1100" i="2"/>
  <c r="AJ1088" i="2"/>
  <c r="AJ1076" i="2"/>
  <c r="AJ1064" i="2"/>
  <c r="AJ1052" i="2"/>
  <c r="AJ1040" i="2"/>
  <c r="AJ1028" i="2"/>
  <c r="AJ1016" i="2"/>
  <c r="AJ1004" i="2"/>
  <c r="AJ992" i="2"/>
  <c r="AJ980" i="2"/>
  <c r="AJ968" i="2"/>
  <c r="AJ956" i="2"/>
  <c r="AJ944" i="2"/>
  <c r="AJ932" i="2"/>
  <c r="AJ920" i="2"/>
  <c r="AJ908" i="2"/>
  <c r="AJ896" i="2"/>
  <c r="AJ884" i="2"/>
  <c r="AJ872" i="2"/>
  <c r="AJ860" i="2"/>
  <c r="AJ848" i="2"/>
  <c r="AJ836" i="2"/>
  <c r="AJ824" i="2"/>
  <c r="AJ2880" i="2"/>
  <c r="AJ2696" i="2"/>
  <c r="AJ2574" i="2"/>
  <c r="AJ2450" i="2"/>
  <c r="AJ2325" i="2"/>
  <c r="AJ2229" i="2"/>
  <c r="AJ2157" i="2"/>
  <c r="AJ2085" i="2"/>
  <c r="AJ2013" i="2"/>
  <c r="AJ1941" i="2"/>
  <c r="AJ1877" i="2"/>
  <c r="AJ1841" i="2"/>
  <c r="AJ1808" i="2"/>
  <c r="AJ1781" i="2"/>
  <c r="AJ1749" i="2"/>
  <c r="AJ1725" i="2"/>
  <c r="AJ1701" i="2"/>
  <c r="AJ1677" i="2"/>
  <c r="AJ1653" i="2"/>
  <c r="AJ1629" i="2"/>
  <c r="AJ1605" i="2"/>
  <c r="AJ1591" i="2"/>
  <c r="AJ1579" i="2"/>
  <c r="AJ1567" i="2"/>
  <c r="AJ1555" i="2"/>
  <c r="AJ1543" i="2"/>
  <c r="AJ1531" i="2"/>
  <c r="AJ1519" i="2"/>
  <c r="AJ1507" i="2"/>
  <c r="AJ1495" i="2"/>
  <c r="AJ1483" i="2"/>
  <c r="AJ1471" i="2"/>
  <c r="AJ1459" i="2"/>
  <c r="AJ1447" i="2"/>
  <c r="AJ1435" i="2"/>
  <c r="AJ1423" i="2"/>
  <c r="AJ1411" i="2"/>
  <c r="AJ1399" i="2"/>
  <c r="AJ1387" i="2"/>
  <c r="AJ1375" i="2"/>
  <c r="AJ1363" i="2"/>
  <c r="AJ1351" i="2"/>
  <c r="AJ1339" i="2"/>
  <c r="AJ1327" i="2"/>
  <c r="AJ1315" i="2"/>
  <c r="AJ1303" i="2"/>
  <c r="AJ1291" i="2"/>
  <c r="AJ1279" i="2"/>
  <c r="AJ1267" i="2"/>
  <c r="AJ1255" i="2"/>
  <c r="AJ1243" i="2"/>
  <c r="AJ1231" i="2"/>
  <c r="AJ1219" i="2"/>
  <c r="AJ1207" i="2"/>
  <c r="AJ1195" i="2"/>
  <c r="AJ1183" i="2"/>
  <c r="AJ1171" i="2"/>
  <c r="AJ1159" i="2"/>
  <c r="AJ1147" i="2"/>
  <c r="AJ1135" i="2"/>
  <c r="AJ1123" i="2"/>
  <c r="AJ1111" i="2"/>
  <c r="AJ1099" i="2"/>
  <c r="AJ1087" i="2"/>
  <c r="AJ1075" i="2"/>
  <c r="AJ1063" i="2"/>
  <c r="AJ1051" i="2"/>
  <c r="AJ1039" i="2"/>
  <c r="AJ1027" i="2"/>
  <c r="AJ2818" i="2"/>
  <c r="AJ2530" i="2"/>
  <c r="AJ2458" i="2"/>
  <c r="AJ2338" i="2"/>
  <c r="AJ3249" i="2"/>
  <c r="AJ3105" i="2"/>
  <c r="AJ2997" i="2"/>
  <c r="AJ2853" i="2"/>
  <c r="AJ3236" i="2"/>
  <c r="AJ3020" i="2"/>
  <c r="AJ2984" i="2"/>
  <c r="AJ2912" i="2"/>
  <c r="AJ3271" i="2"/>
  <c r="AJ3079" i="2"/>
  <c r="AJ2971" i="2"/>
  <c r="AJ2899" i="2"/>
  <c r="AJ2851" i="2"/>
  <c r="AJ3102" i="2"/>
  <c r="AJ1015" i="2"/>
  <c r="AJ1003" i="2"/>
  <c r="AJ991" i="2"/>
  <c r="AJ979" i="2"/>
  <c r="AJ967" i="2"/>
  <c r="AJ955" i="2"/>
  <c r="AJ943" i="2"/>
  <c r="AJ931" i="2"/>
  <c r="AJ919" i="2"/>
  <c r="AJ907" i="2"/>
  <c r="AJ895" i="2"/>
  <c r="AJ883" i="2"/>
  <c r="AJ871" i="2"/>
  <c r="AJ859" i="2"/>
  <c r="AJ847" i="2"/>
  <c r="AJ835" i="2"/>
  <c r="AJ823" i="2"/>
  <c r="AJ2868" i="2"/>
  <c r="AJ2695" i="2"/>
  <c r="AJ2572" i="2"/>
  <c r="AJ2448" i="2"/>
  <c r="AJ2324" i="2"/>
  <c r="AJ2228" i="2"/>
  <c r="AJ2156" i="2"/>
  <c r="AJ2084" i="2"/>
  <c r="AJ2012" i="2"/>
  <c r="AJ1940" i="2"/>
  <c r="AJ1871" i="2"/>
  <c r="AJ1835" i="2"/>
  <c r="AJ1806" i="2"/>
  <c r="AJ1775" i="2"/>
  <c r="AJ1748" i="2"/>
  <c r="AJ1724" i="2"/>
  <c r="AJ1700" i="2"/>
  <c r="AJ1676" i="2"/>
  <c r="AJ1652" i="2"/>
  <c r="AJ1628" i="2"/>
  <c r="AJ1604" i="2"/>
  <c r="AJ1590" i="2"/>
  <c r="AJ1578" i="2"/>
  <c r="AJ1566" i="2"/>
  <c r="AJ1554" i="2"/>
  <c r="AJ1542" i="2"/>
  <c r="AJ1530" i="2"/>
  <c r="AJ1518" i="2"/>
  <c r="AJ1506" i="2"/>
  <c r="AJ1494" i="2"/>
  <c r="AJ1482" i="2"/>
  <c r="AJ1470" i="2"/>
  <c r="AJ1458" i="2"/>
  <c r="AJ1446" i="2"/>
  <c r="AJ1434" i="2"/>
  <c r="AJ1422" i="2"/>
  <c r="AJ1410" i="2"/>
  <c r="AJ1398" i="2"/>
  <c r="AJ1386" i="2"/>
  <c r="AJ1374" i="2"/>
  <c r="AJ1362" i="2"/>
  <c r="AJ1350" i="2"/>
  <c r="AJ1338" i="2"/>
  <c r="AJ1326" i="2"/>
  <c r="AJ1314" i="2"/>
  <c r="AJ1302" i="2"/>
  <c r="AJ1290" i="2"/>
  <c r="AJ1278" i="2"/>
  <c r="AJ1266" i="2"/>
  <c r="AJ1254" i="2"/>
  <c r="AJ1242" i="2"/>
  <c r="AJ1230" i="2"/>
  <c r="AJ1218" i="2"/>
  <c r="AJ1206" i="2"/>
  <c r="AJ1194" i="2"/>
  <c r="AJ1182" i="2"/>
  <c r="AJ1170" i="2"/>
  <c r="AJ1158" i="2"/>
  <c r="AJ1146" i="2"/>
  <c r="AJ1134" i="2"/>
  <c r="AJ1122" i="2"/>
  <c r="AJ1110" i="2"/>
  <c r="AJ1098" i="2"/>
  <c r="AJ1086" i="2"/>
  <c r="AJ1074" i="2"/>
  <c r="AJ1062" i="2"/>
  <c r="AJ1050" i="2"/>
  <c r="AJ1038" i="2"/>
  <c r="AJ1026" i="2"/>
  <c r="AJ1014" i="2"/>
  <c r="AJ1002" i="2"/>
  <c r="AJ990" i="2"/>
  <c r="AJ978" i="2"/>
  <c r="AJ2804" i="2"/>
  <c r="AJ2676" i="2"/>
  <c r="AJ2552" i="2"/>
  <c r="AJ2430" i="2"/>
  <c r="AJ2306" i="2"/>
  <c r="AJ2217" i="2"/>
  <c r="AJ2145" i="2"/>
  <c r="AJ2073" i="2"/>
  <c r="AJ2001" i="2"/>
  <c r="AJ1929" i="2"/>
  <c r="AJ1869" i="2"/>
  <c r="AJ1833" i="2"/>
  <c r="AJ1805" i="2"/>
  <c r="AJ1773" i="2"/>
  <c r="AJ1746" i="2"/>
  <c r="AJ1722" i="2"/>
  <c r="AJ1698" i="2"/>
  <c r="AJ1674" i="2"/>
  <c r="AJ1650" i="2"/>
  <c r="AJ1626" i="2"/>
  <c r="AJ1602" i="2"/>
  <c r="AJ1589" i="2"/>
  <c r="AJ1577" i="2"/>
  <c r="AJ1565" i="2"/>
  <c r="AJ1553" i="2"/>
  <c r="AJ1541" i="2"/>
  <c r="AJ1529" i="2"/>
  <c r="AJ1517" i="2"/>
  <c r="AJ1505" i="2"/>
  <c r="AJ1493" i="2"/>
  <c r="AJ1481" i="2"/>
  <c r="AJ1469" i="2"/>
  <c r="AJ1457" i="2"/>
  <c r="AJ1445" i="2"/>
  <c r="AJ1433" i="2"/>
  <c r="AJ1421" i="2"/>
  <c r="AJ1409" i="2"/>
  <c r="AJ1397" i="2"/>
  <c r="AJ1385" i="2"/>
  <c r="AJ1373" i="2"/>
  <c r="AJ1361" i="2"/>
  <c r="AJ1349" i="2"/>
  <c r="AJ1337" i="2"/>
  <c r="AJ1325" i="2"/>
  <c r="AJ1313" i="2"/>
  <c r="AJ1301" i="2"/>
  <c r="AJ1289" i="2"/>
  <c r="AJ1277" i="2"/>
  <c r="AJ1265" i="2"/>
  <c r="AJ1253" i="2"/>
  <c r="AJ1241" i="2"/>
  <c r="AJ1229" i="2"/>
  <c r="AJ1217" i="2"/>
  <c r="AJ1205" i="2"/>
  <c r="AJ1193" i="2"/>
  <c r="AJ1181" i="2"/>
  <c r="AJ1169" i="2"/>
  <c r="AJ1157" i="2"/>
  <c r="AJ1145" i="2"/>
  <c r="AJ1133" i="2"/>
  <c r="AJ1121" i="2"/>
  <c r="AJ1109" i="2"/>
  <c r="AJ1097" i="2"/>
  <c r="AJ1085" i="2"/>
  <c r="AJ1073" i="2"/>
  <c r="AJ1061" i="2"/>
  <c r="AJ1049" i="2"/>
  <c r="AJ1037" i="2"/>
  <c r="AJ1025" i="2"/>
  <c r="AJ1013" i="2"/>
  <c r="AJ1001" i="2"/>
  <c r="AJ989" i="2"/>
  <c r="AJ977" i="2"/>
  <c r="AJ965" i="2"/>
  <c r="AJ953" i="2"/>
  <c r="AJ941" i="2"/>
  <c r="AJ929" i="2"/>
  <c r="AJ917" i="2"/>
  <c r="AJ905" i="2"/>
  <c r="AJ893" i="2"/>
  <c r="AJ881" i="2"/>
  <c r="AJ869" i="2"/>
  <c r="AJ857" i="2"/>
  <c r="AJ845" i="2"/>
  <c r="AJ833" i="2"/>
  <c r="AJ2803" i="2"/>
  <c r="AJ2673" i="2"/>
  <c r="AJ2551" i="2"/>
  <c r="AJ2428" i="2"/>
  <c r="AJ2304" i="2"/>
  <c r="AJ2216" i="2"/>
  <c r="AJ2144" i="2"/>
  <c r="AJ2072" i="2"/>
  <c r="AJ2000" i="2"/>
  <c r="AJ1928" i="2"/>
  <c r="AJ1868" i="2"/>
  <c r="AJ1832" i="2"/>
  <c r="AJ1799" i="2"/>
  <c r="AJ1772" i="2"/>
  <c r="AJ1745" i="2"/>
  <c r="AJ1721" i="2"/>
  <c r="AJ1697" i="2"/>
  <c r="AJ1673" i="2"/>
  <c r="AJ1649" i="2"/>
  <c r="AJ1625" i="2"/>
  <c r="AJ1601" i="2"/>
  <c r="AJ1588" i="2"/>
  <c r="AJ1576" i="2"/>
  <c r="AJ1564" i="2"/>
  <c r="AJ1552" i="2"/>
  <c r="AJ1540" i="2"/>
  <c r="AJ1528" i="2"/>
  <c r="AJ1516" i="2"/>
  <c r="AJ1504" i="2"/>
  <c r="AJ1492" i="2"/>
  <c r="AJ1480" i="2"/>
  <c r="AJ1468" i="2"/>
  <c r="AJ1456" i="2"/>
  <c r="AJ1444" i="2"/>
  <c r="AJ1432" i="2"/>
  <c r="AJ1420" i="2"/>
  <c r="AJ1408" i="2"/>
  <c r="AJ1396" i="2"/>
  <c r="AJ1384" i="2"/>
  <c r="AJ1372" i="2"/>
  <c r="AJ1360" i="2"/>
  <c r="AJ1348" i="2"/>
  <c r="AJ1336" i="2"/>
  <c r="AJ1324" i="2"/>
  <c r="AJ1312" i="2"/>
  <c r="AJ1300" i="2"/>
  <c r="AJ1288" i="2"/>
  <c r="AJ1276" i="2"/>
  <c r="AJ1264" i="2"/>
  <c r="AJ1252" i="2"/>
  <c r="AJ1240" i="2"/>
  <c r="AJ1228" i="2"/>
  <c r="AJ1216" i="2"/>
  <c r="AJ1204" i="2"/>
  <c r="AJ1192" i="2"/>
  <c r="AJ1180" i="2"/>
  <c r="AJ1168" i="2"/>
  <c r="AJ1156" i="2"/>
  <c r="AJ1144" i="2"/>
  <c r="AJ1132" i="2"/>
  <c r="AJ1120" i="2"/>
  <c r="AJ1108" i="2"/>
  <c r="AJ1096" i="2"/>
  <c r="AJ1084" i="2"/>
  <c r="AJ1072" i="2"/>
  <c r="AJ1060" i="2"/>
  <c r="AJ1048" i="2"/>
  <c r="AJ1036" i="2"/>
  <c r="AJ2780" i="2"/>
  <c r="AJ2656" i="2"/>
  <c r="AJ2532" i="2"/>
  <c r="AJ2408" i="2"/>
  <c r="AJ2286" i="2"/>
  <c r="AJ2205" i="2"/>
  <c r="AJ2133" i="2"/>
  <c r="AJ2061" i="2"/>
  <c r="AJ1989" i="2"/>
  <c r="AJ1917" i="2"/>
  <c r="AJ1865" i="2"/>
  <c r="AJ1829" i="2"/>
  <c r="AJ1797" i="2"/>
  <c r="AJ1770" i="2"/>
  <c r="AJ1741" i="2"/>
  <c r="AJ1717" i="2"/>
  <c r="AJ1693" i="2"/>
  <c r="AJ1669" i="2"/>
  <c r="AJ1645" i="2"/>
  <c r="AJ1621" i="2"/>
  <c r="AJ1600" i="2"/>
  <c r="AJ1587" i="2"/>
  <c r="AJ1575" i="2"/>
  <c r="AJ1563" i="2"/>
  <c r="AJ1551" i="2"/>
  <c r="AJ1539" i="2"/>
  <c r="AJ1527" i="2"/>
  <c r="AJ1515" i="2"/>
  <c r="AJ1503" i="2"/>
  <c r="AJ1491" i="2"/>
  <c r="AJ1479" i="2"/>
  <c r="AJ1467" i="2"/>
  <c r="AJ1455" i="2"/>
  <c r="AJ1443" i="2"/>
  <c r="AJ1431" i="2"/>
  <c r="AJ1419" i="2"/>
  <c r="AJ3166" i="2"/>
  <c r="AJ3118" i="2"/>
  <c r="AJ3058" i="2"/>
  <c r="AJ2998" i="2"/>
  <c r="AJ2926" i="2"/>
  <c r="AJ2866" i="2"/>
  <c r="AJ2770" i="2"/>
  <c r="AJ2686" i="2"/>
  <c r="AJ2506" i="2"/>
  <c r="AJ2446" i="2"/>
  <c r="AJ2398" i="2"/>
  <c r="AJ3141" i="2"/>
  <c r="AJ3057" i="2"/>
  <c r="AJ2889" i="2"/>
  <c r="AJ3272" i="2"/>
  <c r="AJ3200" i="2"/>
  <c r="AJ3104" i="2"/>
  <c r="AJ2996" i="2"/>
  <c r="AJ3199" i="2"/>
  <c r="AJ3067" i="2"/>
  <c r="AJ2995" i="2"/>
  <c r="AJ2839" i="2"/>
  <c r="AJ3138" i="2"/>
  <c r="AJ3042" i="2"/>
  <c r="AJ1407" i="2"/>
  <c r="AJ1395" i="2"/>
  <c r="AJ1383" i="2"/>
  <c r="AJ1371" i="2"/>
  <c r="AJ1359" i="2"/>
  <c r="AJ1347" i="2"/>
  <c r="AJ1335" i="2"/>
  <c r="AJ1323" i="2"/>
  <c r="AJ1311" i="2"/>
  <c r="AJ1299" i="2"/>
  <c r="AJ1287" i="2"/>
  <c r="AJ1275" i="2"/>
  <c r="AJ1263" i="2"/>
  <c r="AJ1251" i="2"/>
  <c r="AJ1239" i="2"/>
  <c r="AJ1227" i="2"/>
  <c r="AJ1215" i="2"/>
  <c r="AJ1203" i="2"/>
  <c r="AJ1191" i="2"/>
  <c r="AJ1179" i="2"/>
  <c r="AJ1167" i="2"/>
  <c r="AJ1155" i="2"/>
  <c r="AJ1143" i="2"/>
  <c r="AJ1131" i="2"/>
  <c r="AJ1119" i="2"/>
  <c r="AJ1107" i="2"/>
  <c r="AJ1095" i="2"/>
  <c r="AJ1083" i="2"/>
  <c r="AJ1071" i="2"/>
  <c r="AJ1059" i="2"/>
  <c r="AJ1047" i="2"/>
  <c r="AJ1035" i="2"/>
  <c r="AJ1023" i="2"/>
  <c r="AJ1011" i="2"/>
  <c r="AJ999" i="2"/>
  <c r="AJ987" i="2"/>
  <c r="AJ975" i="2"/>
  <c r="AJ963" i="2"/>
  <c r="AJ951" i="2"/>
  <c r="AJ939" i="2"/>
  <c r="AJ927" i="2"/>
  <c r="AJ915" i="2"/>
  <c r="AJ903" i="2"/>
  <c r="AJ891" i="2"/>
  <c r="AJ879" i="2"/>
  <c r="AJ867" i="2"/>
  <c r="AJ855" i="2"/>
  <c r="AJ843" i="2"/>
  <c r="AJ831" i="2"/>
  <c r="AJ2193" i="2"/>
  <c r="AJ1821" i="2"/>
  <c r="AJ1665" i="2"/>
  <c r="AJ1561" i="2"/>
  <c r="AJ1489" i="2"/>
  <c r="AJ1417" i="2"/>
  <c r="AJ1345" i="2"/>
  <c r="AJ1273" i="2"/>
  <c r="AJ1201" i="2"/>
  <c r="AJ1129" i="2"/>
  <c r="AJ1057" i="2"/>
  <c r="AJ1009" i="2"/>
  <c r="AJ982" i="2"/>
  <c r="AJ954" i="2"/>
  <c r="AJ930" i="2"/>
  <c r="AJ906" i="2"/>
  <c r="AJ882" i="2"/>
  <c r="AJ858" i="2"/>
  <c r="AJ834" i="2"/>
  <c r="AJ816" i="2"/>
  <c r="AJ804" i="2"/>
  <c r="AJ792" i="2"/>
  <c r="AJ780" i="2"/>
  <c r="AJ768" i="2"/>
  <c r="AJ756" i="2"/>
  <c r="AJ744" i="2"/>
  <c r="AJ732" i="2"/>
  <c r="AJ720" i="2"/>
  <c r="AJ708" i="2"/>
  <c r="AJ696" i="2"/>
  <c r="AJ684" i="2"/>
  <c r="AJ672" i="2"/>
  <c r="AJ660" i="2"/>
  <c r="AJ648" i="2"/>
  <c r="AJ636" i="2"/>
  <c r="AJ624" i="2"/>
  <c r="AJ612" i="2"/>
  <c r="AJ600" i="2"/>
  <c r="AJ588" i="2"/>
  <c r="AJ576" i="2"/>
  <c r="AJ564" i="2"/>
  <c r="AJ552" i="2"/>
  <c r="AJ540" i="2"/>
  <c r="AJ528" i="2"/>
  <c r="AJ516" i="2"/>
  <c r="AJ504" i="2"/>
  <c r="AJ492" i="2"/>
  <c r="AJ480" i="2"/>
  <c r="AJ468" i="2"/>
  <c r="AJ456" i="2"/>
  <c r="AJ444" i="2"/>
  <c r="AJ432" i="2"/>
  <c r="AJ420" i="2"/>
  <c r="AJ408" i="2"/>
  <c r="AJ396" i="2"/>
  <c r="AJ384" i="2"/>
  <c r="AJ372" i="2"/>
  <c r="AJ360" i="2"/>
  <c r="AJ348" i="2"/>
  <c r="AJ7" i="2"/>
  <c r="AJ19" i="2"/>
  <c r="AJ31" i="2"/>
  <c r="AJ43" i="2"/>
  <c r="AJ55" i="2"/>
  <c r="AJ67" i="2"/>
  <c r="AJ79" i="2"/>
  <c r="AJ91" i="2"/>
  <c r="AJ103" i="2"/>
  <c r="AJ115" i="2"/>
  <c r="AJ127" i="2"/>
  <c r="AJ139" i="2"/>
  <c r="AJ151" i="2"/>
  <c r="AJ163" i="2"/>
  <c r="AJ175" i="2"/>
  <c r="AJ187" i="2"/>
  <c r="AJ199" i="2"/>
  <c r="AJ211" i="2"/>
  <c r="AJ223" i="2"/>
  <c r="AJ235" i="2"/>
  <c r="AJ247" i="2"/>
  <c r="AJ259" i="2"/>
  <c r="AJ271" i="2"/>
  <c r="AJ283" i="2"/>
  <c r="AJ295" i="2"/>
  <c r="AJ307" i="2"/>
  <c r="AJ2779" i="2"/>
  <c r="AJ2132" i="2"/>
  <c r="AJ1796" i="2"/>
  <c r="AJ1643" i="2"/>
  <c r="AJ1550" i="2"/>
  <c r="AJ1478" i="2"/>
  <c r="AJ1406" i="2"/>
  <c r="AJ1334" i="2"/>
  <c r="AJ1262" i="2"/>
  <c r="AJ1190" i="2"/>
  <c r="AJ1118" i="2"/>
  <c r="AJ1046" i="2"/>
  <c r="AJ1007" i="2"/>
  <c r="AJ976" i="2"/>
  <c r="AJ952" i="2"/>
  <c r="AJ928" i="2"/>
  <c r="AJ904" i="2"/>
  <c r="AJ880" i="2"/>
  <c r="AJ856" i="2"/>
  <c r="AJ832" i="2"/>
  <c r="AJ815" i="2"/>
  <c r="AJ803" i="2"/>
  <c r="AJ791" i="2"/>
  <c r="AJ779" i="2"/>
  <c r="AJ767" i="2"/>
  <c r="AJ755" i="2"/>
  <c r="AJ743" i="2"/>
  <c r="AJ731" i="2"/>
  <c r="AJ719" i="2"/>
  <c r="AJ707" i="2"/>
  <c r="AJ695" i="2"/>
  <c r="AJ683" i="2"/>
  <c r="AJ671" i="2"/>
  <c r="AJ659" i="2"/>
  <c r="AJ647" i="2"/>
  <c r="AJ635" i="2"/>
  <c r="AJ623" i="2"/>
  <c r="AJ611" i="2"/>
  <c r="AJ599" i="2"/>
  <c r="AJ587" i="2"/>
  <c r="AJ575" i="2"/>
  <c r="AJ563" i="2"/>
  <c r="AJ551" i="2"/>
  <c r="AJ539" i="2"/>
  <c r="AJ527" i="2"/>
  <c r="AJ515" i="2"/>
  <c r="AJ503" i="2"/>
  <c r="AJ491" i="2"/>
  <c r="AJ479" i="2"/>
  <c r="AJ467" i="2"/>
  <c r="AJ455" i="2"/>
  <c r="AJ443" i="2"/>
  <c r="AJ431" i="2"/>
  <c r="AJ419" i="2"/>
  <c r="AJ407" i="2"/>
  <c r="AJ395" i="2"/>
  <c r="AJ383" i="2"/>
  <c r="AJ371" i="2"/>
  <c r="AJ359" i="2"/>
  <c r="AJ347" i="2"/>
  <c r="AJ8" i="2"/>
  <c r="AJ20" i="2"/>
  <c r="AJ32" i="2"/>
  <c r="AJ44" i="2"/>
  <c r="AJ56" i="2"/>
  <c r="AJ68" i="2"/>
  <c r="AJ80" i="2"/>
  <c r="AJ2757" i="2"/>
  <c r="AJ2121" i="2"/>
  <c r="AJ1794" i="2"/>
  <c r="AJ1641" i="2"/>
  <c r="AJ1549" i="2"/>
  <c r="AJ1477" i="2"/>
  <c r="AJ1405" i="2"/>
  <c r="AJ1333" i="2"/>
  <c r="AJ1261" i="2"/>
  <c r="AJ1189" i="2"/>
  <c r="AJ1117" i="2"/>
  <c r="AJ1045" i="2"/>
  <c r="AJ1006" i="2"/>
  <c r="AJ974" i="2"/>
  <c r="AJ950" i="2"/>
  <c r="AJ926" i="2"/>
  <c r="AJ902" i="2"/>
  <c r="AJ878" i="2"/>
  <c r="AJ854" i="2"/>
  <c r="AJ830" i="2"/>
  <c r="AJ814" i="2"/>
  <c r="AJ802" i="2"/>
  <c r="AJ790" i="2"/>
  <c r="AJ778" i="2"/>
  <c r="AJ766" i="2"/>
  <c r="AJ754" i="2"/>
  <c r="AJ742" i="2"/>
  <c r="AJ730" i="2"/>
  <c r="AJ718" i="2"/>
  <c r="AJ706" i="2"/>
  <c r="AJ694" i="2"/>
  <c r="AJ682" i="2"/>
  <c r="AJ670" i="2"/>
  <c r="AJ658" i="2"/>
  <c r="AJ646" i="2"/>
  <c r="AJ634" i="2"/>
  <c r="AJ622" i="2"/>
  <c r="AJ610" i="2"/>
  <c r="AJ598" i="2"/>
  <c r="AJ586" i="2"/>
  <c r="AJ574" i="2"/>
  <c r="AJ562" i="2"/>
  <c r="AJ550" i="2"/>
  <c r="AJ538" i="2"/>
  <c r="AJ526" i="2"/>
  <c r="AJ514" i="2"/>
  <c r="AJ502" i="2"/>
  <c r="AJ490" i="2"/>
  <c r="AJ478" i="2"/>
  <c r="AJ466" i="2"/>
  <c r="AJ454" i="2"/>
  <c r="AJ442" i="2"/>
  <c r="AJ430" i="2"/>
  <c r="AJ418" i="2"/>
  <c r="AJ406" i="2"/>
  <c r="AJ394" i="2"/>
  <c r="AJ382" i="2"/>
  <c r="AJ370" i="2"/>
  <c r="AJ358" i="2"/>
  <c r="AJ346" i="2"/>
  <c r="AJ9" i="2"/>
  <c r="AJ21" i="2"/>
  <c r="AJ33" i="2"/>
  <c r="AJ45" i="2"/>
  <c r="AJ57" i="2"/>
  <c r="AJ69" i="2"/>
  <c r="AJ81" i="2"/>
  <c r="AJ2654" i="2"/>
  <c r="AJ2060" i="2"/>
  <c r="AJ1769" i="2"/>
  <c r="AJ1619" i="2"/>
  <c r="AJ1538" i="2"/>
  <c r="AJ1466" i="2"/>
  <c r="AJ1394" i="2"/>
  <c r="AJ1322" i="2"/>
  <c r="AJ1250" i="2"/>
  <c r="AJ1178" i="2"/>
  <c r="AJ1106" i="2"/>
  <c r="AJ1381" i="2"/>
  <c r="AJ1237" i="2"/>
  <c r="AJ1093" i="2"/>
  <c r="AJ966" i="2"/>
  <c r="AJ918" i="2"/>
  <c r="AJ870" i="2"/>
  <c r="AJ822" i="2"/>
  <c r="AJ798" i="2"/>
  <c r="AJ774" i="2"/>
  <c r="AJ750" i="2"/>
  <c r="AJ726" i="2"/>
  <c r="AJ702" i="2"/>
  <c r="AJ678" i="2"/>
  <c r="AJ579" i="2"/>
  <c r="AJ555" i="2"/>
  <c r="AJ519" i="2"/>
  <c r="AJ483" i="2"/>
  <c r="AJ447" i="2"/>
  <c r="AJ423" i="2"/>
  <c r="AJ387" i="2"/>
  <c r="AJ363" i="2"/>
  <c r="AJ16" i="2"/>
  <c r="AJ52" i="2"/>
  <c r="AJ100" i="2"/>
  <c r="AJ136" i="2"/>
  <c r="AJ160" i="2"/>
  <c r="AJ184" i="2"/>
  <c r="AJ208" i="2"/>
  <c r="AJ244" i="2"/>
  <c r="AJ280" i="2"/>
  <c r="AJ862" i="2"/>
  <c r="AJ625" i="2"/>
  <c r="AJ3250" i="2"/>
  <c r="AJ3178" i="2"/>
  <c r="AJ3142" i="2"/>
  <c r="AJ3082" i="2"/>
  <c r="AJ3022" i="2"/>
  <c r="AJ2962" i="2"/>
  <c r="AJ2902" i="2"/>
  <c r="AJ2842" i="2"/>
  <c r="AJ2698" i="2"/>
  <c r="AJ2542" i="2"/>
  <c r="AJ2470" i="2"/>
  <c r="AJ2410" i="2"/>
  <c r="AJ2302" i="2"/>
  <c r="AJ3165" i="2"/>
  <c r="AJ3069" i="2"/>
  <c r="AJ2937" i="2"/>
  <c r="AJ3176" i="2"/>
  <c r="AJ3056" i="2"/>
  <c r="AJ3175" i="2"/>
  <c r="AJ3031" i="2"/>
  <c r="AJ2947" i="2"/>
  <c r="AJ2863" i="2"/>
  <c r="AJ3258" i="2"/>
  <c r="AJ3198" i="2"/>
  <c r="AJ3150" i="2"/>
  <c r="AJ3054" i="2"/>
  <c r="AJ1034" i="2"/>
  <c r="AJ1000" i="2"/>
  <c r="AJ973" i="2"/>
  <c r="AJ949" i="2"/>
  <c r="AJ925" i="2"/>
  <c r="AJ901" i="2"/>
  <c r="AJ877" i="2"/>
  <c r="AJ853" i="2"/>
  <c r="AJ829" i="2"/>
  <c r="AJ813" i="2"/>
  <c r="AJ801" i="2"/>
  <c r="AJ789" i="2"/>
  <c r="AJ777" i="2"/>
  <c r="AJ765" i="2"/>
  <c r="AJ753" i="2"/>
  <c r="AJ741" i="2"/>
  <c r="AJ729" i="2"/>
  <c r="AJ717" i="2"/>
  <c r="AJ705" i="2"/>
  <c r="AJ693" i="2"/>
  <c r="AJ681" i="2"/>
  <c r="AJ669" i="2"/>
  <c r="AJ657" i="2"/>
  <c r="AJ645" i="2"/>
  <c r="AJ633" i="2"/>
  <c r="AJ621" i="2"/>
  <c r="AJ609" i="2"/>
  <c r="AJ597" i="2"/>
  <c r="AJ585" i="2"/>
  <c r="AJ573" i="2"/>
  <c r="AJ561" i="2"/>
  <c r="AJ549" i="2"/>
  <c r="AJ537" i="2"/>
  <c r="AJ525" i="2"/>
  <c r="AJ513" i="2"/>
  <c r="AJ501" i="2"/>
  <c r="AJ489" i="2"/>
  <c r="AJ477" i="2"/>
  <c r="AJ465" i="2"/>
  <c r="AJ453" i="2"/>
  <c r="AJ441" i="2"/>
  <c r="AJ429" i="2"/>
  <c r="AJ417" i="2"/>
  <c r="AJ405" i="2"/>
  <c r="AJ393" i="2"/>
  <c r="AJ381" i="2"/>
  <c r="AJ369" i="2"/>
  <c r="AJ357" i="2"/>
  <c r="AJ345" i="2"/>
  <c r="AJ10" i="2"/>
  <c r="AJ22" i="2"/>
  <c r="AJ34" i="2"/>
  <c r="AJ46" i="2"/>
  <c r="AJ58" i="2"/>
  <c r="AJ70" i="2"/>
  <c r="AJ82" i="2"/>
  <c r="AJ94" i="2"/>
  <c r="AJ106" i="2"/>
  <c r="AJ118" i="2"/>
  <c r="AJ130" i="2"/>
  <c r="AJ142" i="2"/>
  <c r="AJ154" i="2"/>
  <c r="AJ166" i="2"/>
  <c r="AJ178" i="2"/>
  <c r="AJ190" i="2"/>
  <c r="AJ202" i="2"/>
  <c r="AJ214" i="2"/>
  <c r="AJ226" i="2"/>
  <c r="AJ238" i="2"/>
  <c r="AJ250" i="2"/>
  <c r="AJ262" i="2"/>
  <c r="AJ274" i="2"/>
  <c r="AJ286" i="2"/>
  <c r="AJ298" i="2"/>
  <c r="AJ310" i="2"/>
  <c r="AJ2635" i="2"/>
  <c r="AJ2049" i="2"/>
  <c r="AJ1763" i="2"/>
  <c r="AJ1617" i="2"/>
  <c r="AJ1537" i="2"/>
  <c r="AJ1465" i="2"/>
  <c r="AJ1393" i="2"/>
  <c r="AJ1321" i="2"/>
  <c r="AJ1249" i="2"/>
  <c r="AJ1177" i="2"/>
  <c r="AJ1105" i="2"/>
  <c r="AJ1033" i="2"/>
  <c r="AJ998" i="2"/>
  <c r="AJ971" i="2"/>
  <c r="AJ947" i="2"/>
  <c r="AJ923" i="2"/>
  <c r="AJ899" i="2"/>
  <c r="AJ875" i="2"/>
  <c r="AJ851" i="2"/>
  <c r="AJ827" i="2"/>
  <c r="AJ812" i="2"/>
  <c r="AJ800" i="2"/>
  <c r="AJ788" i="2"/>
  <c r="AJ776" i="2"/>
  <c r="AJ764" i="2"/>
  <c r="AJ752" i="2"/>
  <c r="AJ740" i="2"/>
  <c r="AJ728" i="2"/>
  <c r="AJ716" i="2"/>
  <c r="AJ704" i="2"/>
  <c r="AJ692" i="2"/>
  <c r="AJ680" i="2"/>
  <c r="AJ668" i="2"/>
  <c r="AJ656" i="2"/>
  <c r="AJ644" i="2"/>
  <c r="AJ632" i="2"/>
  <c r="AJ620" i="2"/>
  <c r="AJ608" i="2"/>
  <c r="AJ596" i="2"/>
  <c r="AJ584" i="2"/>
  <c r="AJ572" i="2"/>
  <c r="AJ560" i="2"/>
  <c r="AJ548" i="2"/>
  <c r="AJ536" i="2"/>
  <c r="AJ524" i="2"/>
  <c r="AJ512" i="2"/>
  <c r="AJ500" i="2"/>
  <c r="AJ488" i="2"/>
  <c r="AJ476" i="2"/>
  <c r="AJ464" i="2"/>
  <c r="AJ452" i="2"/>
  <c r="AJ440" i="2"/>
  <c r="AJ428" i="2"/>
  <c r="AJ416" i="2"/>
  <c r="AJ404" i="2"/>
  <c r="AJ392" i="2"/>
  <c r="AJ380" i="2"/>
  <c r="AJ368" i="2"/>
  <c r="AJ356" i="2"/>
  <c r="AJ344" i="2"/>
  <c r="AJ11" i="2"/>
  <c r="AJ23" i="2"/>
  <c r="AJ35" i="2"/>
  <c r="AJ47" i="2"/>
  <c r="AJ59" i="2"/>
  <c r="AJ71" i="2"/>
  <c r="AJ83" i="2"/>
  <c r="AJ95" i="2"/>
  <c r="AJ107" i="2"/>
  <c r="AJ119" i="2"/>
  <c r="AJ131" i="2"/>
  <c r="AJ143" i="2"/>
  <c r="AJ155" i="2"/>
  <c r="AJ167" i="2"/>
  <c r="AJ179" i="2"/>
  <c r="AJ191" i="2"/>
  <c r="AJ203" i="2"/>
  <c r="AJ215" i="2"/>
  <c r="AJ227" i="2"/>
  <c r="AJ239" i="2"/>
  <c r="AJ251" i="2"/>
  <c r="AJ263" i="2"/>
  <c r="AJ275" i="2"/>
  <c r="AJ287" i="2"/>
  <c r="AJ299" i="2"/>
  <c r="AJ311" i="2"/>
  <c r="AJ2529" i="2"/>
  <c r="AJ1988" i="2"/>
  <c r="AJ1739" i="2"/>
  <c r="AJ1599" i="2"/>
  <c r="AJ1526" i="2"/>
  <c r="AJ1454" i="2"/>
  <c r="AJ1382" i="2"/>
  <c r="AJ1310" i="2"/>
  <c r="AJ1238" i="2"/>
  <c r="AJ1166" i="2"/>
  <c r="AJ1094" i="2"/>
  <c r="AJ1024" i="2"/>
  <c r="AJ997" i="2"/>
  <c r="AJ970" i="2"/>
  <c r="AJ946" i="2"/>
  <c r="AJ922" i="2"/>
  <c r="AJ898" i="2"/>
  <c r="AJ874" i="2"/>
  <c r="AJ850" i="2"/>
  <c r="AJ826" i="2"/>
  <c r="AJ811" i="2"/>
  <c r="AJ799" i="2"/>
  <c r="AJ787" i="2"/>
  <c r="AJ775" i="2"/>
  <c r="AJ763" i="2"/>
  <c r="AJ751" i="2"/>
  <c r="AJ739" i="2"/>
  <c r="AJ727" i="2"/>
  <c r="AJ715" i="2"/>
  <c r="AJ703" i="2"/>
  <c r="AJ691" i="2"/>
  <c r="AJ679" i="2"/>
  <c r="AJ667" i="2"/>
  <c r="AJ655" i="2"/>
  <c r="AJ643" i="2"/>
  <c r="AJ631" i="2"/>
  <c r="AJ619" i="2"/>
  <c r="AJ607" i="2"/>
  <c r="AJ595" i="2"/>
  <c r="AJ583" i="2"/>
  <c r="AJ571" i="2"/>
  <c r="AJ559" i="2"/>
  <c r="AJ547" i="2"/>
  <c r="AJ535" i="2"/>
  <c r="AJ523" i="2"/>
  <c r="AJ511" i="2"/>
  <c r="AJ499" i="2"/>
  <c r="AJ487" i="2"/>
  <c r="AJ475" i="2"/>
  <c r="AJ463" i="2"/>
  <c r="AJ451" i="2"/>
  <c r="AJ439" i="2"/>
  <c r="AJ427" i="2"/>
  <c r="AJ415" i="2"/>
  <c r="AJ403" i="2"/>
  <c r="AJ391" i="2"/>
  <c r="AJ379" i="2"/>
  <c r="AJ367" i="2"/>
  <c r="AJ355" i="2"/>
  <c r="AJ343" i="2"/>
  <c r="AJ12" i="2"/>
  <c r="AJ24" i="2"/>
  <c r="AJ36" i="2"/>
  <c r="AJ48" i="2"/>
  <c r="AJ60" i="2"/>
  <c r="AJ72" i="2"/>
  <c r="AJ84" i="2"/>
  <c r="AJ96" i="2"/>
  <c r="AJ108" i="2"/>
  <c r="AJ120" i="2"/>
  <c r="AJ132" i="2"/>
  <c r="AJ144" i="2"/>
  <c r="AJ156" i="2"/>
  <c r="AJ168" i="2"/>
  <c r="AJ180" i="2"/>
  <c r="AJ192" i="2"/>
  <c r="AJ204" i="2"/>
  <c r="AJ216" i="2"/>
  <c r="AJ228" i="2"/>
  <c r="AJ240" i="2"/>
  <c r="AJ252" i="2"/>
  <c r="AJ264" i="2"/>
  <c r="AJ276" i="2"/>
  <c r="AJ288" i="2"/>
  <c r="AJ300" i="2"/>
  <c r="AJ312" i="2"/>
  <c r="AJ2512" i="2"/>
  <c r="AJ1977" i="2"/>
  <c r="AJ1737" i="2"/>
  <c r="AJ1597" i="2"/>
  <c r="AJ1525" i="2"/>
  <c r="AJ1453" i="2"/>
  <c r="AJ1309" i="2"/>
  <c r="AJ1165" i="2"/>
  <c r="AJ1022" i="2"/>
  <c r="AJ995" i="2"/>
  <c r="AJ942" i="2"/>
  <c r="AJ894" i="2"/>
  <c r="AJ846" i="2"/>
  <c r="AJ810" i="2"/>
  <c r="AJ786" i="2"/>
  <c r="AJ762" i="2"/>
  <c r="AJ738" i="2"/>
  <c r="AJ714" i="2"/>
  <c r="AJ690" i="2"/>
  <c r="AJ591" i="2"/>
  <c r="AJ543" i="2"/>
  <c r="AJ531" i="2"/>
  <c r="AJ495" i="2"/>
  <c r="AJ459" i="2"/>
  <c r="AJ411" i="2"/>
  <c r="AJ351" i="2"/>
  <c r="AJ28" i="2"/>
  <c r="AJ64" i="2"/>
  <c r="AJ88" i="2"/>
  <c r="AJ112" i="2"/>
  <c r="AJ148" i="2"/>
  <c r="AJ196" i="2"/>
  <c r="AJ232" i="2"/>
  <c r="AJ268" i="2"/>
  <c r="AJ304" i="2"/>
  <c r="AJ1418" i="2"/>
  <c r="AJ697" i="2"/>
  <c r="AJ3274" i="2"/>
  <c r="AJ3226" i="2"/>
  <c r="AJ3202" i="2"/>
  <c r="AJ3130" i="2"/>
  <c r="AJ3070" i="2"/>
  <c r="AJ3010" i="2"/>
  <c r="AJ2950" i="2"/>
  <c r="AJ2890" i="2"/>
  <c r="AJ2830" i="2"/>
  <c r="AJ2794" i="2"/>
  <c r="AJ2734" i="2"/>
  <c r="AJ2638" i="2"/>
  <c r="AJ2554" i="2"/>
  <c r="AJ2326" i="2"/>
  <c r="AJ3045" i="2"/>
  <c r="AJ2925" i="2"/>
  <c r="AJ2817" i="2"/>
  <c r="AJ2828" i="2"/>
  <c r="AJ3211" i="2"/>
  <c r="AJ3103" i="2"/>
  <c r="AJ2935" i="2"/>
  <c r="AJ2827" i="2"/>
  <c r="AJ3186" i="2"/>
  <c r="AJ666" i="2"/>
  <c r="AJ654" i="2"/>
  <c r="AJ642" i="2"/>
  <c r="AJ630" i="2"/>
  <c r="AJ618" i="2"/>
  <c r="AJ606" i="2"/>
  <c r="AJ594" i="2"/>
  <c r="AJ582" i="2"/>
  <c r="AJ570" i="2"/>
  <c r="AJ558" i="2"/>
  <c r="AJ546" i="2"/>
  <c r="AJ534" i="2"/>
  <c r="AJ522" i="2"/>
  <c r="AJ510" i="2"/>
  <c r="AJ498" i="2"/>
  <c r="AJ486" i="2"/>
  <c r="AJ474" i="2"/>
  <c r="AJ462" i="2"/>
  <c r="AJ450" i="2"/>
  <c r="AJ438" i="2"/>
  <c r="AJ426" i="2"/>
  <c r="AJ414" i="2"/>
  <c r="AJ402" i="2"/>
  <c r="AJ390" i="2"/>
  <c r="AJ378" i="2"/>
  <c r="AJ366" i="2"/>
  <c r="AJ354" i="2"/>
  <c r="AJ342" i="2"/>
  <c r="AJ13" i="2"/>
  <c r="AJ25" i="2"/>
  <c r="AJ37" i="2"/>
  <c r="AJ49" i="2"/>
  <c r="AJ61" i="2"/>
  <c r="AJ73" i="2"/>
  <c r="AJ85" i="2"/>
  <c r="AJ2407" i="2"/>
  <c r="AJ1916" i="2"/>
  <c r="AJ1715" i="2"/>
  <c r="AJ1586" i="2"/>
  <c r="AJ1514" i="2"/>
  <c r="AJ1442" i="2"/>
  <c r="AJ1370" i="2"/>
  <c r="AJ1298" i="2"/>
  <c r="AJ1226" i="2"/>
  <c r="AJ1154" i="2"/>
  <c r="AJ1082" i="2"/>
  <c r="AJ1021" i="2"/>
  <c r="AJ994" i="2"/>
  <c r="AJ964" i="2"/>
  <c r="AJ940" i="2"/>
  <c r="AJ916" i="2"/>
  <c r="AJ892" i="2"/>
  <c r="AJ868" i="2"/>
  <c r="AJ844" i="2"/>
  <c r="AJ821" i="2"/>
  <c r="AJ809" i="2"/>
  <c r="AJ797" i="2"/>
  <c r="AJ785" i="2"/>
  <c r="AJ773" i="2"/>
  <c r="AJ761" i="2"/>
  <c r="AJ749" i="2"/>
  <c r="AJ737" i="2"/>
  <c r="AJ725" i="2"/>
  <c r="AJ713" i="2"/>
  <c r="AJ701" i="2"/>
  <c r="AJ689" i="2"/>
  <c r="AJ677" i="2"/>
  <c r="AJ665" i="2"/>
  <c r="AJ653" i="2"/>
  <c r="AJ641" i="2"/>
  <c r="AJ629" i="2"/>
  <c r="AJ617" i="2"/>
  <c r="AJ605" i="2"/>
  <c r="AJ593" i="2"/>
  <c r="AJ581" i="2"/>
  <c r="AJ569" i="2"/>
  <c r="AJ557" i="2"/>
  <c r="AJ545" i="2"/>
  <c r="AJ533" i="2"/>
  <c r="AJ521" i="2"/>
  <c r="AJ509" i="2"/>
  <c r="AJ497" i="2"/>
  <c r="AJ485" i="2"/>
  <c r="AJ473" i="2"/>
  <c r="AJ461" i="2"/>
  <c r="AJ449" i="2"/>
  <c r="AJ437" i="2"/>
  <c r="AJ425" i="2"/>
  <c r="AJ413" i="2"/>
  <c r="AJ401" i="2"/>
  <c r="AJ389" i="2"/>
  <c r="AJ377" i="2"/>
  <c r="AJ365" i="2"/>
  <c r="AJ353" i="2"/>
  <c r="AJ341" i="2"/>
  <c r="AJ14" i="2"/>
  <c r="AJ26" i="2"/>
  <c r="AJ38" i="2"/>
  <c r="AJ50" i="2"/>
  <c r="AJ62" i="2"/>
  <c r="AJ74" i="2"/>
  <c r="AJ86" i="2"/>
  <c r="AJ98" i="2"/>
  <c r="AJ110" i="2"/>
  <c r="AJ122" i="2"/>
  <c r="AJ134" i="2"/>
  <c r="AJ146" i="2"/>
  <c r="AJ158" i="2"/>
  <c r="AJ170" i="2"/>
  <c r="AJ182" i="2"/>
  <c r="AJ194" i="2"/>
  <c r="AJ206" i="2"/>
  <c r="AJ218" i="2"/>
  <c r="AJ230" i="2"/>
  <c r="AJ242" i="2"/>
  <c r="AJ254" i="2"/>
  <c r="AJ266" i="2"/>
  <c r="AJ278" i="2"/>
  <c r="AJ290" i="2"/>
  <c r="AJ302" i="2"/>
  <c r="AJ314" i="2"/>
  <c r="AJ2388" i="2"/>
  <c r="AJ1905" i="2"/>
  <c r="AJ1713" i="2"/>
  <c r="AJ1585" i="2"/>
  <c r="AJ1513" i="2"/>
  <c r="AJ1441" i="2"/>
  <c r="AJ1369" i="2"/>
  <c r="AJ1297" i="2"/>
  <c r="AJ1225" i="2"/>
  <c r="AJ1153" i="2"/>
  <c r="AJ1081" i="2"/>
  <c r="AJ1019" i="2"/>
  <c r="AJ988" i="2"/>
  <c r="AJ962" i="2"/>
  <c r="AJ938" i="2"/>
  <c r="AJ914" i="2"/>
  <c r="AJ890" i="2"/>
  <c r="AJ866" i="2"/>
  <c r="AJ842" i="2"/>
  <c r="AJ820" i="2"/>
  <c r="AJ808" i="2"/>
  <c r="AJ796" i="2"/>
  <c r="AJ784" i="2"/>
  <c r="AJ772" i="2"/>
  <c r="AJ760" i="2"/>
  <c r="AJ748" i="2"/>
  <c r="AJ736" i="2"/>
  <c r="AJ724" i="2"/>
  <c r="AJ712" i="2"/>
  <c r="AJ700" i="2"/>
  <c r="AJ688" i="2"/>
  <c r="AJ676" i="2"/>
  <c r="AJ664" i="2"/>
  <c r="AJ652" i="2"/>
  <c r="AJ640" i="2"/>
  <c r="AJ628" i="2"/>
  <c r="AJ616" i="2"/>
  <c r="AJ604" i="2"/>
  <c r="AJ592" i="2"/>
  <c r="AJ580" i="2"/>
  <c r="AJ568" i="2"/>
  <c r="AJ556" i="2"/>
  <c r="AJ544" i="2"/>
  <c r="AJ532" i="2"/>
  <c r="AJ520" i="2"/>
  <c r="AJ508" i="2"/>
  <c r="AJ496" i="2"/>
  <c r="AJ484" i="2"/>
  <c r="AJ472" i="2"/>
  <c r="AJ460" i="2"/>
  <c r="AJ448" i="2"/>
  <c r="AJ436" i="2"/>
  <c r="AJ424" i="2"/>
  <c r="AJ412" i="2"/>
  <c r="AJ400" i="2"/>
  <c r="AJ388" i="2"/>
  <c r="AJ376" i="2"/>
  <c r="AJ364" i="2"/>
  <c r="AJ352" i="2"/>
  <c r="AJ340" i="2"/>
  <c r="AJ15" i="2"/>
  <c r="AJ27" i="2"/>
  <c r="AJ39" i="2"/>
  <c r="AJ51" i="2"/>
  <c r="AJ63" i="2"/>
  <c r="AJ75" i="2"/>
  <c r="AJ2284" i="2"/>
  <c r="AJ1859" i="2"/>
  <c r="AJ1691" i="2"/>
  <c r="AJ1574" i="2"/>
  <c r="AJ1502" i="2"/>
  <c r="AJ1430" i="2"/>
  <c r="AJ1358" i="2"/>
  <c r="AJ1286" i="2"/>
  <c r="AJ1214" i="2"/>
  <c r="AJ1142" i="2"/>
  <c r="AJ1070" i="2"/>
  <c r="AJ1018" i="2"/>
  <c r="AJ986" i="2"/>
  <c r="AJ961" i="2"/>
  <c r="AJ937" i="2"/>
  <c r="AJ913" i="2"/>
  <c r="AJ889" i="2"/>
  <c r="AJ865" i="2"/>
  <c r="AJ841" i="2"/>
  <c r="AJ819" i="2"/>
  <c r="AJ807" i="2"/>
  <c r="AJ795" i="2"/>
  <c r="AJ783" i="2"/>
  <c r="AJ771" i="2"/>
  <c r="AJ759" i="2"/>
  <c r="AJ747" i="2"/>
  <c r="AJ735" i="2"/>
  <c r="AJ723" i="2"/>
  <c r="AJ711" i="2"/>
  <c r="AJ699" i="2"/>
  <c r="AJ687" i="2"/>
  <c r="AJ675" i="2"/>
  <c r="AJ663" i="2"/>
  <c r="AJ651" i="2"/>
  <c r="AJ639" i="2"/>
  <c r="AJ627" i="2"/>
  <c r="AJ615" i="2"/>
  <c r="AJ603" i="2"/>
  <c r="AJ567" i="2"/>
  <c r="AJ507" i="2"/>
  <c r="AJ471" i="2"/>
  <c r="AJ435" i="2"/>
  <c r="AJ399" i="2"/>
  <c r="AJ375" i="2"/>
  <c r="AJ339" i="2"/>
  <c r="AJ40" i="2"/>
  <c r="AJ76" i="2"/>
  <c r="AJ124" i="2"/>
  <c r="AJ172" i="2"/>
  <c r="AJ220" i="2"/>
  <c r="AJ256" i="2"/>
  <c r="AJ292" i="2"/>
  <c r="AJ1010" i="2"/>
  <c r="AJ769" i="2"/>
  <c r="AJ553" i="2"/>
  <c r="AJ3262" i="2"/>
  <c r="AJ3190" i="2"/>
  <c r="AJ3094" i="2"/>
  <c r="AJ3034" i="2"/>
  <c r="AJ2974" i="2"/>
  <c r="AJ2914" i="2"/>
  <c r="AJ2854" i="2"/>
  <c r="AJ2722" i="2"/>
  <c r="AJ2674" i="2"/>
  <c r="AJ2614" i="2"/>
  <c r="AJ3237" i="2"/>
  <c r="AJ3153" i="2"/>
  <c r="AJ2913" i="2"/>
  <c r="AJ3164" i="2"/>
  <c r="AJ3092" i="2"/>
  <c r="AJ3032" i="2"/>
  <c r="AJ2924" i="2"/>
  <c r="AJ3259" i="2"/>
  <c r="AJ3151" i="2"/>
  <c r="AJ3174" i="2"/>
  <c r="AJ3126" i="2"/>
  <c r="AJ3066" i="2"/>
  <c r="AJ481" i="2"/>
  <c r="AJ409" i="2"/>
  <c r="AJ6" i="2"/>
  <c r="AJ78" i="2"/>
  <c r="AJ109" i="2"/>
  <c r="AJ133" i="2"/>
  <c r="AJ157" i="2"/>
  <c r="AJ181" i="2"/>
  <c r="AJ205" i="2"/>
  <c r="AJ229" i="2"/>
  <c r="AJ253" i="2"/>
  <c r="AJ277" i="2"/>
  <c r="AJ301" i="2"/>
  <c r="AJ320" i="2"/>
  <c r="AJ332" i="2"/>
  <c r="AJ494" i="2"/>
  <c r="AJ126" i="2"/>
  <c r="AJ294" i="2"/>
  <c r="AJ709" i="2"/>
  <c r="AJ66" i="2"/>
  <c r="AJ200" i="2"/>
  <c r="AJ296" i="2"/>
  <c r="AJ2265" i="2"/>
  <c r="AJ1357" i="2"/>
  <c r="AJ985" i="2"/>
  <c r="AJ839" i="2"/>
  <c r="AJ758" i="2"/>
  <c r="AJ686" i="2"/>
  <c r="AJ614" i="2"/>
  <c r="AJ542" i="2"/>
  <c r="AJ470" i="2"/>
  <c r="AJ398" i="2"/>
  <c r="AJ17" i="2"/>
  <c r="AJ87" i="2"/>
  <c r="AJ111" i="2"/>
  <c r="AJ135" i="2"/>
  <c r="AJ159" i="2"/>
  <c r="AJ183" i="2"/>
  <c r="AJ207" i="2"/>
  <c r="AJ231" i="2"/>
  <c r="AJ255" i="2"/>
  <c r="AJ279" i="2"/>
  <c r="AJ303" i="2"/>
  <c r="AJ321" i="2"/>
  <c r="AJ333" i="2"/>
  <c r="AJ638" i="2"/>
  <c r="AJ246" i="2"/>
  <c r="AJ349" i="2"/>
  <c r="AJ2204" i="2"/>
  <c r="AJ1346" i="2"/>
  <c r="AJ983" i="2"/>
  <c r="AJ838" i="2"/>
  <c r="AJ757" i="2"/>
  <c r="AJ685" i="2"/>
  <c r="AJ613" i="2"/>
  <c r="AJ541" i="2"/>
  <c r="AJ469" i="2"/>
  <c r="AJ397" i="2"/>
  <c r="AJ18" i="2"/>
  <c r="AJ89" i="2"/>
  <c r="AJ113" i="2"/>
  <c r="AJ137" i="2"/>
  <c r="AJ161" i="2"/>
  <c r="AJ185" i="2"/>
  <c r="AJ209" i="2"/>
  <c r="AJ233" i="2"/>
  <c r="AJ257" i="2"/>
  <c r="AJ281" i="2"/>
  <c r="AJ305" i="2"/>
  <c r="AJ322" i="2"/>
  <c r="AJ334" i="2"/>
  <c r="AJ422" i="2"/>
  <c r="AJ65" i="2"/>
  <c r="AJ198" i="2"/>
  <c r="AJ781" i="2"/>
  <c r="AJ128" i="2"/>
  <c r="AJ224" i="2"/>
  <c r="AJ1857" i="2"/>
  <c r="AJ1285" i="2"/>
  <c r="AJ959" i="2"/>
  <c r="AJ818" i="2"/>
  <c r="AJ746" i="2"/>
  <c r="AJ674" i="2"/>
  <c r="AJ602" i="2"/>
  <c r="AJ530" i="2"/>
  <c r="AJ458" i="2"/>
  <c r="AJ386" i="2"/>
  <c r="AJ29" i="2"/>
  <c r="AJ90" i="2"/>
  <c r="AJ114" i="2"/>
  <c r="AJ138" i="2"/>
  <c r="AJ162" i="2"/>
  <c r="AJ186" i="2"/>
  <c r="AJ210" i="2"/>
  <c r="AJ234" i="2"/>
  <c r="AJ258" i="2"/>
  <c r="AJ282" i="2"/>
  <c r="AJ306" i="2"/>
  <c r="AJ323" i="2"/>
  <c r="AJ335" i="2"/>
  <c r="AJ350" i="2"/>
  <c r="AJ102" i="2"/>
  <c r="AJ222" i="2"/>
  <c r="AJ270" i="2"/>
  <c r="AJ1490" i="2"/>
  <c r="AJ1823" i="2"/>
  <c r="AJ1274" i="2"/>
  <c r="AJ958" i="2"/>
  <c r="AJ817" i="2"/>
  <c r="AJ745" i="2"/>
  <c r="AJ673" i="2"/>
  <c r="AJ601" i="2"/>
  <c r="AJ529" i="2"/>
  <c r="AJ457" i="2"/>
  <c r="AJ385" i="2"/>
  <c r="AJ30" i="2"/>
  <c r="AJ92" i="2"/>
  <c r="AJ116" i="2"/>
  <c r="AJ140" i="2"/>
  <c r="AJ164" i="2"/>
  <c r="AJ188" i="2"/>
  <c r="AJ212" i="2"/>
  <c r="AJ236" i="2"/>
  <c r="AJ260" i="2"/>
  <c r="AJ284" i="2"/>
  <c r="AJ308" i="2"/>
  <c r="AJ324" i="2"/>
  <c r="AJ336" i="2"/>
  <c r="AJ782" i="2"/>
  <c r="AJ493" i="2"/>
  <c r="AJ1689" i="2"/>
  <c r="AJ1213" i="2"/>
  <c r="AJ935" i="2"/>
  <c r="AJ806" i="2"/>
  <c r="AJ734" i="2"/>
  <c r="AJ662" i="2"/>
  <c r="AJ590" i="2"/>
  <c r="AJ518" i="2"/>
  <c r="AJ446" i="2"/>
  <c r="AJ374" i="2"/>
  <c r="AJ41" i="2"/>
  <c r="AJ93" i="2"/>
  <c r="AJ117" i="2"/>
  <c r="AJ141" i="2"/>
  <c r="AJ165" i="2"/>
  <c r="AJ189" i="2"/>
  <c r="AJ213" i="2"/>
  <c r="AJ237" i="2"/>
  <c r="AJ261" i="2"/>
  <c r="AJ285" i="2"/>
  <c r="AJ309" i="2"/>
  <c r="AJ325" i="2"/>
  <c r="AJ337" i="2"/>
  <c r="AJ710" i="2"/>
  <c r="AJ174" i="2"/>
  <c r="AJ317" i="2"/>
  <c r="AJ637" i="2"/>
  <c r="AJ104" i="2"/>
  <c r="AJ176" i="2"/>
  <c r="AJ272" i="2"/>
  <c r="AJ1667" i="2"/>
  <c r="AJ1202" i="2"/>
  <c r="AJ934" i="2"/>
  <c r="AJ805" i="2"/>
  <c r="AJ733" i="2"/>
  <c r="AJ661" i="2"/>
  <c r="AJ589" i="2"/>
  <c r="AJ517" i="2"/>
  <c r="AJ445" i="2"/>
  <c r="AJ373" i="2"/>
  <c r="AJ42" i="2"/>
  <c r="AJ97" i="2"/>
  <c r="AJ121" i="2"/>
  <c r="AJ145" i="2"/>
  <c r="AJ169" i="2"/>
  <c r="AJ193" i="2"/>
  <c r="AJ217" i="2"/>
  <c r="AJ241" i="2"/>
  <c r="AJ265" i="2"/>
  <c r="AJ289" i="2"/>
  <c r="AJ313" i="2"/>
  <c r="AJ326" i="2"/>
  <c r="AJ338" i="2"/>
  <c r="AJ1069" i="2"/>
  <c r="AJ421" i="2"/>
  <c r="AJ1573" i="2"/>
  <c r="AJ1141" i="2"/>
  <c r="AJ911" i="2"/>
  <c r="AJ794" i="2"/>
  <c r="AJ722" i="2"/>
  <c r="AJ650" i="2"/>
  <c r="AJ578" i="2"/>
  <c r="AJ506" i="2"/>
  <c r="AJ434" i="2"/>
  <c r="AJ362" i="2"/>
  <c r="AJ53" i="2"/>
  <c r="AJ99" i="2"/>
  <c r="AJ123" i="2"/>
  <c r="AJ147" i="2"/>
  <c r="AJ171" i="2"/>
  <c r="AJ195" i="2"/>
  <c r="AJ219" i="2"/>
  <c r="AJ243" i="2"/>
  <c r="AJ267" i="2"/>
  <c r="AJ291" i="2"/>
  <c r="AJ315" i="2"/>
  <c r="AJ327" i="2"/>
  <c r="AJ887" i="2"/>
  <c r="AJ329" i="2"/>
  <c r="AJ565" i="2"/>
  <c r="AJ1562" i="2"/>
  <c r="AJ1130" i="2"/>
  <c r="AJ910" i="2"/>
  <c r="AJ793" i="2"/>
  <c r="AJ721" i="2"/>
  <c r="AJ649" i="2"/>
  <c r="AJ577" i="2"/>
  <c r="AJ505" i="2"/>
  <c r="AJ433" i="2"/>
  <c r="AJ361" i="2"/>
  <c r="AJ54" i="2"/>
  <c r="AJ101" i="2"/>
  <c r="AJ125" i="2"/>
  <c r="AJ149" i="2"/>
  <c r="AJ173" i="2"/>
  <c r="AJ197" i="2"/>
  <c r="AJ221" i="2"/>
  <c r="AJ245" i="2"/>
  <c r="AJ269" i="2"/>
  <c r="AJ293" i="2"/>
  <c r="AJ316" i="2"/>
  <c r="AJ328" i="2"/>
  <c r="AJ1501" i="2"/>
  <c r="AJ886" i="2"/>
  <c r="AJ152" i="2"/>
  <c r="AJ248" i="2"/>
  <c r="AJ330" i="2"/>
  <c r="AJ1429" i="2"/>
  <c r="AJ1012" i="2"/>
  <c r="AJ863" i="2"/>
  <c r="AJ770" i="2"/>
  <c r="AJ698" i="2"/>
  <c r="AJ626" i="2"/>
  <c r="AJ554" i="2"/>
  <c r="AJ482" i="2"/>
  <c r="AJ410" i="2"/>
  <c r="AJ5" i="2"/>
  <c r="AJ77" i="2"/>
  <c r="AJ105" i="2"/>
  <c r="AJ129" i="2"/>
  <c r="AJ153" i="2"/>
  <c r="AJ177" i="2"/>
  <c r="AJ201" i="2"/>
  <c r="AJ225" i="2"/>
  <c r="AJ249" i="2"/>
  <c r="AJ273" i="2"/>
  <c r="AJ297" i="2"/>
  <c r="AJ319" i="2"/>
  <c r="AJ331" i="2"/>
  <c r="AJ566" i="2"/>
  <c r="AJ150" i="2"/>
  <c r="AJ1058" i="2"/>
  <c r="AJ318" i="2"/>
  <c r="AJ3238" i="2"/>
  <c r="AJ3214" i="2"/>
  <c r="AJ3154" i="2"/>
  <c r="AJ3106" i="2"/>
  <c r="AJ3046" i="2"/>
  <c r="AJ2986" i="2"/>
  <c r="AJ2938" i="2"/>
  <c r="AJ2878" i="2"/>
  <c r="AJ2806" i="2"/>
  <c r="AJ2746" i="2"/>
  <c r="AJ2626" i="2"/>
  <c r="AJ2494" i="2"/>
  <c r="AJ2362" i="2"/>
  <c r="AJ2290" i="2"/>
  <c r="AJ3081" i="2"/>
  <c r="AJ2973" i="2"/>
  <c r="AJ2829" i="2"/>
  <c r="AJ3212" i="2"/>
  <c r="AJ3140" i="2"/>
  <c r="AJ2936" i="2"/>
  <c r="AJ3235" i="2"/>
  <c r="AJ3187" i="2"/>
  <c r="AJ3019" i="2"/>
  <c r="AJ2875" i="2"/>
  <c r="AJ3018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39" i="2"/>
  <c r="Y40" i="2"/>
  <c r="Y41" i="2"/>
  <c r="Y42" i="2"/>
  <c r="Y43" i="2"/>
  <c r="Y44" i="2"/>
  <c r="Y45" i="2"/>
  <c r="Y46" i="2"/>
  <c r="Y47" i="2"/>
  <c r="Y48" i="2"/>
  <c r="Y49" i="2"/>
  <c r="Y50" i="2"/>
  <c r="Y51" i="2"/>
  <c r="Y52" i="2"/>
  <c r="Y53" i="2"/>
  <c r="Y54" i="2"/>
  <c r="Y55" i="2"/>
  <c r="Y56" i="2"/>
  <c r="Y57" i="2"/>
  <c r="Y58" i="2"/>
  <c r="Y59" i="2"/>
  <c r="Y60" i="2"/>
  <c r="Y61" i="2"/>
  <c r="Y62" i="2"/>
  <c r="Y63" i="2"/>
  <c r="Y64" i="2"/>
  <c r="Y65" i="2"/>
  <c r="Y66" i="2"/>
  <c r="Y67" i="2"/>
  <c r="Y68" i="2"/>
  <c r="Y69" i="2"/>
  <c r="Y70" i="2"/>
  <c r="Y71" i="2"/>
  <c r="Y72" i="2"/>
  <c r="Y73" i="2"/>
  <c r="Y74" i="2"/>
  <c r="Y75" i="2"/>
  <c r="Y76" i="2"/>
  <c r="Y77" i="2"/>
  <c r="Y78" i="2"/>
  <c r="Y79" i="2"/>
  <c r="Y80" i="2"/>
  <c r="Y81" i="2"/>
  <c r="Y82" i="2"/>
  <c r="Y83" i="2"/>
  <c r="Y84" i="2"/>
  <c r="Y85" i="2"/>
  <c r="Y86" i="2"/>
  <c r="Y87" i="2"/>
  <c r="Y88" i="2"/>
  <c r="Y89" i="2"/>
  <c r="Y90" i="2"/>
  <c r="Y91" i="2"/>
  <c r="Y92" i="2"/>
  <c r="Y93" i="2"/>
  <c r="Y94" i="2"/>
  <c r="Y95" i="2"/>
  <c r="Y96" i="2"/>
  <c r="Y97" i="2"/>
  <c r="Y98" i="2"/>
  <c r="Y99" i="2"/>
  <c r="Y100" i="2"/>
  <c r="Y101" i="2"/>
  <c r="Y102" i="2"/>
  <c r="Y103" i="2"/>
  <c r="Y104" i="2"/>
  <c r="Y105" i="2"/>
  <c r="Y106" i="2"/>
  <c r="Y107" i="2"/>
  <c r="Y108" i="2"/>
  <c r="Y109" i="2"/>
  <c r="Y110" i="2"/>
  <c r="Y111" i="2"/>
  <c r="Y112" i="2"/>
  <c r="Y113" i="2"/>
  <c r="Y114" i="2"/>
  <c r="Y115" i="2"/>
  <c r="Y116" i="2"/>
  <c r="Y117" i="2"/>
  <c r="Y118" i="2"/>
  <c r="Y119" i="2"/>
  <c r="Y120" i="2"/>
  <c r="Y121" i="2"/>
  <c r="Y122" i="2"/>
  <c r="Y123" i="2"/>
  <c r="Y124" i="2"/>
  <c r="Y125" i="2"/>
  <c r="Y126" i="2"/>
  <c r="Y127" i="2"/>
  <c r="Y128" i="2"/>
  <c r="Y129" i="2"/>
  <c r="Y130" i="2"/>
  <c r="Y131" i="2"/>
  <c r="Y132" i="2"/>
  <c r="Y133" i="2"/>
  <c r="Y134" i="2"/>
  <c r="Y135" i="2"/>
  <c r="Y136" i="2"/>
  <c r="Y137" i="2"/>
  <c r="Y138" i="2"/>
  <c r="Y139" i="2"/>
  <c r="Y140" i="2"/>
  <c r="Y141" i="2"/>
  <c r="Y142" i="2"/>
  <c r="Y143" i="2"/>
  <c r="Y144" i="2"/>
  <c r="Y145" i="2"/>
  <c r="Y146" i="2"/>
  <c r="Y147" i="2"/>
  <c r="Y148" i="2"/>
  <c r="Y149" i="2"/>
  <c r="Y150" i="2"/>
  <c r="Y151" i="2"/>
  <c r="Y152" i="2"/>
  <c r="Y153" i="2"/>
  <c r="Y154" i="2"/>
  <c r="Y155" i="2"/>
  <c r="Y156" i="2"/>
  <c r="Y157" i="2"/>
  <c r="Y158" i="2"/>
  <c r="Y159" i="2"/>
  <c r="Y160" i="2"/>
  <c r="Y161" i="2"/>
  <c r="Y162" i="2"/>
  <c r="Y163" i="2"/>
  <c r="Y164" i="2"/>
  <c r="Y165" i="2"/>
  <c r="Y166" i="2"/>
  <c r="Y167" i="2"/>
  <c r="Y168" i="2"/>
  <c r="Y169" i="2"/>
  <c r="Y170" i="2"/>
  <c r="Y171" i="2"/>
  <c r="Y172" i="2"/>
  <c r="Y173" i="2"/>
  <c r="Y174" i="2"/>
  <c r="Y175" i="2"/>
  <c r="Y176" i="2"/>
  <c r="Y177" i="2"/>
  <c r="Y178" i="2"/>
  <c r="Y179" i="2"/>
  <c r="Y180" i="2"/>
  <c r="Y181" i="2"/>
  <c r="Y182" i="2"/>
  <c r="Y183" i="2"/>
  <c r="Y184" i="2"/>
  <c r="Y185" i="2"/>
  <c r="Y186" i="2"/>
  <c r="Y187" i="2"/>
  <c r="Y188" i="2"/>
  <c r="Y189" i="2"/>
  <c r="Y190" i="2"/>
  <c r="Y191" i="2"/>
  <c r="Y192" i="2"/>
  <c r="Y193" i="2"/>
  <c r="Y194" i="2"/>
  <c r="Y195" i="2"/>
  <c r="Y196" i="2"/>
  <c r="Y197" i="2"/>
  <c r="Y198" i="2"/>
  <c r="Y199" i="2"/>
  <c r="Y200" i="2"/>
  <c r="Y201" i="2"/>
  <c r="Y202" i="2"/>
  <c r="Y203" i="2"/>
  <c r="Y204" i="2"/>
  <c r="Y205" i="2"/>
  <c r="Y206" i="2"/>
  <c r="Y207" i="2"/>
  <c r="Y208" i="2"/>
  <c r="Y209" i="2"/>
  <c r="Y210" i="2"/>
  <c r="Y211" i="2"/>
  <c r="Y212" i="2"/>
  <c r="Y213" i="2"/>
  <c r="Y214" i="2"/>
  <c r="Y215" i="2"/>
  <c r="Y216" i="2"/>
  <c r="Y217" i="2"/>
  <c r="Y218" i="2"/>
  <c r="Y219" i="2"/>
  <c r="Y220" i="2"/>
  <c r="Y221" i="2"/>
  <c r="Y222" i="2"/>
  <c r="Y223" i="2"/>
  <c r="Y224" i="2"/>
  <c r="Y225" i="2"/>
  <c r="Y226" i="2"/>
  <c r="Y227" i="2"/>
  <c r="Y228" i="2"/>
  <c r="Y229" i="2"/>
  <c r="Y230" i="2"/>
  <c r="Y231" i="2"/>
  <c r="Y232" i="2"/>
  <c r="Y233" i="2"/>
  <c r="Y234" i="2"/>
  <c r="Y235" i="2"/>
  <c r="Y236" i="2"/>
  <c r="Y237" i="2"/>
  <c r="Y238" i="2"/>
  <c r="Y239" i="2"/>
  <c r="Y240" i="2"/>
  <c r="Y241" i="2"/>
  <c r="Y242" i="2"/>
  <c r="Y243" i="2"/>
  <c r="Y244" i="2"/>
  <c r="Y245" i="2"/>
  <c r="Y246" i="2"/>
  <c r="Y247" i="2"/>
  <c r="Y248" i="2"/>
  <c r="Y249" i="2"/>
  <c r="Y250" i="2"/>
  <c r="Y251" i="2"/>
  <c r="Y252" i="2"/>
  <c r="Y253" i="2"/>
  <c r="Y254" i="2"/>
  <c r="Y255" i="2"/>
  <c r="Y256" i="2"/>
  <c r="Y257" i="2"/>
  <c r="Y258" i="2"/>
  <c r="Y259" i="2"/>
  <c r="Y260" i="2"/>
  <c r="Y261" i="2"/>
  <c r="Y262" i="2"/>
  <c r="Y263" i="2"/>
  <c r="Y264" i="2"/>
  <c r="Y265" i="2"/>
  <c r="Y266" i="2"/>
  <c r="Y267" i="2"/>
  <c r="Y268" i="2"/>
  <c r="Y269" i="2"/>
  <c r="Y270" i="2"/>
  <c r="Y271" i="2"/>
  <c r="Y272" i="2"/>
  <c r="Y273" i="2"/>
  <c r="Y274" i="2"/>
  <c r="Y275" i="2"/>
  <c r="Y276" i="2"/>
  <c r="Y277" i="2"/>
  <c r="Y278" i="2"/>
  <c r="Y279" i="2"/>
  <c r="Y280" i="2"/>
  <c r="Y281" i="2"/>
  <c r="Y282" i="2"/>
  <c r="Y283" i="2"/>
  <c r="Y284" i="2"/>
  <c r="Y285" i="2"/>
  <c r="Y286" i="2"/>
  <c r="Y287" i="2"/>
  <c r="Y288" i="2"/>
  <c r="Y289" i="2"/>
  <c r="Y290" i="2"/>
  <c r="Y291" i="2"/>
  <c r="Y292" i="2"/>
  <c r="Y293" i="2"/>
  <c r="Y294" i="2"/>
  <c r="Y295" i="2"/>
  <c r="Y296" i="2"/>
  <c r="Y297" i="2"/>
  <c r="Y298" i="2"/>
  <c r="Y299" i="2"/>
  <c r="Y300" i="2"/>
  <c r="Y301" i="2"/>
  <c r="Y302" i="2"/>
  <c r="Y303" i="2"/>
  <c r="Y304" i="2"/>
  <c r="Y305" i="2"/>
  <c r="Y306" i="2"/>
  <c r="Y307" i="2"/>
  <c r="Y308" i="2"/>
  <c r="Y309" i="2"/>
  <c r="Y310" i="2"/>
  <c r="Y311" i="2"/>
  <c r="Y312" i="2"/>
  <c r="Y313" i="2"/>
  <c r="Y314" i="2"/>
  <c r="Y315" i="2"/>
  <c r="Y316" i="2"/>
  <c r="Y317" i="2"/>
  <c r="Y318" i="2"/>
  <c r="Y319" i="2"/>
  <c r="Y320" i="2"/>
  <c r="Y321" i="2"/>
  <c r="Y322" i="2"/>
  <c r="Y323" i="2"/>
  <c r="Y324" i="2"/>
  <c r="Y325" i="2"/>
  <c r="Y326" i="2"/>
  <c r="Y327" i="2"/>
  <c r="Y328" i="2"/>
  <c r="Y329" i="2"/>
  <c r="Y330" i="2"/>
  <c r="Y331" i="2"/>
  <c r="Y332" i="2"/>
  <c r="Y333" i="2"/>
  <c r="Y334" i="2"/>
  <c r="Y335" i="2"/>
  <c r="Y336" i="2"/>
  <c r="Y337" i="2"/>
  <c r="Y338" i="2"/>
  <c r="Y339" i="2"/>
  <c r="Y340" i="2"/>
  <c r="Y341" i="2"/>
  <c r="Y342" i="2"/>
  <c r="Y343" i="2"/>
  <c r="Y344" i="2"/>
  <c r="Y345" i="2"/>
  <c r="Y346" i="2"/>
  <c r="Y347" i="2"/>
  <c r="Y348" i="2"/>
  <c r="Y349" i="2"/>
  <c r="Y350" i="2"/>
  <c r="Y351" i="2"/>
  <c r="Y352" i="2"/>
  <c r="Y353" i="2"/>
  <c r="Y354" i="2"/>
  <c r="Y355" i="2"/>
  <c r="Y356" i="2"/>
  <c r="Y357" i="2"/>
  <c r="Y358" i="2"/>
  <c r="Y359" i="2"/>
  <c r="Y360" i="2"/>
  <c r="Y361" i="2"/>
  <c r="Y362" i="2"/>
  <c r="Y363" i="2"/>
  <c r="Y364" i="2"/>
  <c r="Y365" i="2"/>
  <c r="Y366" i="2"/>
  <c r="Y367" i="2"/>
  <c r="Y368" i="2"/>
  <c r="Y369" i="2"/>
  <c r="Y370" i="2"/>
  <c r="Y371" i="2"/>
  <c r="Y372" i="2"/>
  <c r="Y373" i="2"/>
  <c r="Y374" i="2"/>
  <c r="Y375" i="2"/>
  <c r="Y376" i="2"/>
  <c r="Y377" i="2"/>
  <c r="Y378" i="2"/>
  <c r="Y379" i="2"/>
  <c r="Y380" i="2"/>
  <c r="Y381" i="2"/>
  <c r="Y382" i="2"/>
  <c r="Y383" i="2"/>
  <c r="Y384" i="2"/>
  <c r="Y385" i="2"/>
  <c r="Y386" i="2"/>
  <c r="Y387" i="2"/>
  <c r="Y388" i="2"/>
  <c r="Y389" i="2"/>
  <c r="Y390" i="2"/>
  <c r="Y391" i="2"/>
  <c r="Y392" i="2"/>
  <c r="Y393" i="2"/>
  <c r="Y394" i="2"/>
  <c r="Y395" i="2"/>
  <c r="Y396" i="2"/>
  <c r="Y397" i="2"/>
  <c r="Y398" i="2"/>
  <c r="Y399" i="2"/>
  <c r="Y400" i="2"/>
  <c r="Y401" i="2"/>
  <c r="Y402" i="2"/>
  <c r="Y403" i="2"/>
  <c r="Y404" i="2"/>
  <c r="Y405" i="2"/>
  <c r="Y406" i="2"/>
  <c r="Y407" i="2"/>
  <c r="Y408" i="2"/>
  <c r="Y409" i="2"/>
  <c r="Y410" i="2"/>
  <c r="Y411" i="2"/>
  <c r="Y412" i="2"/>
  <c r="Y413" i="2"/>
  <c r="Y414" i="2"/>
  <c r="Y415" i="2"/>
  <c r="Y416" i="2"/>
  <c r="Y417" i="2"/>
  <c r="Y418" i="2"/>
  <c r="Y419" i="2"/>
  <c r="Y420" i="2"/>
  <c r="Y421" i="2"/>
  <c r="Y422" i="2"/>
  <c r="Y423" i="2"/>
  <c r="Y424" i="2"/>
  <c r="Y425" i="2"/>
  <c r="Y426" i="2"/>
  <c r="Y427" i="2"/>
  <c r="Y428" i="2"/>
  <c r="Y429" i="2"/>
  <c r="Y430" i="2"/>
  <c r="Y431" i="2"/>
  <c r="Y432" i="2"/>
  <c r="Y433" i="2"/>
  <c r="Y434" i="2"/>
  <c r="Y435" i="2"/>
  <c r="Y436" i="2"/>
  <c r="Y437" i="2"/>
  <c r="Y438" i="2"/>
  <c r="Y439" i="2"/>
  <c r="Y440" i="2"/>
  <c r="Y441" i="2"/>
  <c r="Y442" i="2"/>
  <c r="Y443" i="2"/>
  <c r="Y444" i="2"/>
  <c r="Y445" i="2"/>
  <c r="Y446" i="2"/>
  <c r="Y447" i="2"/>
  <c r="Y448" i="2"/>
  <c r="Y449" i="2"/>
  <c r="Y450" i="2"/>
  <c r="Y451" i="2"/>
  <c r="Y452" i="2"/>
  <c r="Y453" i="2"/>
  <c r="Y454" i="2"/>
  <c r="Y455" i="2"/>
  <c r="Y456" i="2"/>
  <c r="Y457" i="2"/>
  <c r="Y458" i="2"/>
  <c r="Y459" i="2"/>
  <c r="Y460" i="2"/>
  <c r="Y461" i="2"/>
  <c r="Y462" i="2"/>
  <c r="Y463" i="2"/>
  <c r="Y464" i="2"/>
  <c r="Y465" i="2"/>
  <c r="Y466" i="2"/>
  <c r="Y467" i="2"/>
  <c r="Y468" i="2"/>
  <c r="Y469" i="2"/>
  <c r="Y470" i="2"/>
  <c r="Y471" i="2"/>
  <c r="Y472" i="2"/>
  <c r="Y473" i="2"/>
  <c r="Y474" i="2"/>
  <c r="Y475" i="2"/>
  <c r="Y476" i="2"/>
  <c r="Y477" i="2"/>
  <c r="Y478" i="2"/>
  <c r="Y479" i="2"/>
  <c r="Y480" i="2"/>
  <c r="Y481" i="2"/>
  <c r="Y482" i="2"/>
  <c r="Y483" i="2"/>
  <c r="Y484" i="2"/>
  <c r="Y485" i="2"/>
  <c r="Y486" i="2"/>
  <c r="Y487" i="2"/>
  <c r="Y488" i="2"/>
  <c r="Y489" i="2"/>
  <c r="Y490" i="2"/>
  <c r="Y491" i="2"/>
  <c r="Y492" i="2"/>
  <c r="Y493" i="2"/>
  <c r="Y494" i="2"/>
  <c r="Y495" i="2"/>
  <c r="Y496" i="2"/>
  <c r="Y497" i="2"/>
  <c r="Y498" i="2"/>
  <c r="Y499" i="2"/>
  <c r="Y500" i="2"/>
  <c r="Y501" i="2"/>
  <c r="Y502" i="2"/>
  <c r="Y503" i="2"/>
  <c r="Y504" i="2"/>
  <c r="Y505" i="2"/>
  <c r="Y506" i="2"/>
  <c r="Y507" i="2"/>
  <c r="Y508" i="2"/>
  <c r="Y509" i="2"/>
  <c r="Y510" i="2"/>
  <c r="Y511" i="2"/>
  <c r="Y512" i="2"/>
  <c r="Y513" i="2"/>
  <c r="Y514" i="2"/>
  <c r="Y515" i="2"/>
  <c r="Y516" i="2"/>
  <c r="Y517" i="2"/>
  <c r="Y518" i="2"/>
  <c r="Y519" i="2"/>
  <c r="Y520" i="2"/>
  <c r="Y521" i="2"/>
  <c r="Y522" i="2"/>
  <c r="Y523" i="2"/>
  <c r="Y524" i="2"/>
  <c r="Y525" i="2"/>
  <c r="Y526" i="2"/>
  <c r="Y527" i="2"/>
  <c r="Y528" i="2"/>
  <c r="Y529" i="2"/>
  <c r="Y530" i="2"/>
  <c r="Y531" i="2"/>
  <c r="Y532" i="2"/>
  <c r="Y533" i="2"/>
  <c r="Y534" i="2"/>
  <c r="Y535" i="2"/>
  <c r="Y536" i="2"/>
  <c r="Y537" i="2"/>
  <c r="Y538" i="2"/>
  <c r="Y539" i="2"/>
  <c r="Y540" i="2"/>
  <c r="Y541" i="2"/>
  <c r="Y542" i="2"/>
  <c r="Y543" i="2"/>
  <c r="Y544" i="2"/>
  <c r="Y545" i="2"/>
  <c r="Y546" i="2"/>
  <c r="Y547" i="2"/>
  <c r="Y548" i="2"/>
  <c r="Y549" i="2"/>
  <c r="Y550" i="2"/>
  <c r="Y551" i="2"/>
  <c r="Y552" i="2"/>
  <c r="Y553" i="2"/>
  <c r="Y554" i="2"/>
  <c r="Y555" i="2"/>
  <c r="Y556" i="2"/>
  <c r="Y557" i="2"/>
  <c r="Y558" i="2"/>
  <c r="Y559" i="2"/>
  <c r="Y560" i="2"/>
  <c r="Y561" i="2"/>
  <c r="Y562" i="2"/>
  <c r="Y563" i="2"/>
  <c r="Y564" i="2"/>
  <c r="Y565" i="2"/>
  <c r="Y566" i="2"/>
  <c r="Y567" i="2"/>
  <c r="Y568" i="2"/>
  <c r="Y569" i="2"/>
  <c r="Y570" i="2"/>
  <c r="Y571" i="2"/>
  <c r="Y572" i="2"/>
  <c r="Y573" i="2"/>
  <c r="Y574" i="2"/>
  <c r="Y575" i="2"/>
  <c r="Y576" i="2"/>
  <c r="Y577" i="2"/>
  <c r="Y578" i="2"/>
  <c r="Y579" i="2"/>
  <c r="Y580" i="2"/>
  <c r="Y581" i="2"/>
  <c r="Y582" i="2"/>
  <c r="Y583" i="2"/>
  <c r="Y584" i="2"/>
  <c r="Y585" i="2"/>
  <c r="Y586" i="2"/>
  <c r="Y587" i="2"/>
  <c r="Y588" i="2"/>
  <c r="Y589" i="2"/>
  <c r="Y590" i="2"/>
  <c r="Y591" i="2"/>
  <c r="Y592" i="2"/>
  <c r="Y593" i="2"/>
  <c r="Y594" i="2"/>
  <c r="Y595" i="2"/>
  <c r="Y596" i="2"/>
  <c r="Y597" i="2"/>
  <c r="Y598" i="2"/>
  <c r="Y599" i="2"/>
  <c r="Y600" i="2"/>
  <c r="Y601" i="2"/>
  <c r="Y602" i="2"/>
  <c r="Y603" i="2"/>
  <c r="Y604" i="2"/>
  <c r="Y605" i="2"/>
  <c r="Y606" i="2"/>
  <c r="Y607" i="2"/>
  <c r="Y608" i="2"/>
  <c r="Y609" i="2"/>
  <c r="Y610" i="2"/>
  <c r="Y611" i="2"/>
  <c r="Y612" i="2"/>
  <c r="Y613" i="2"/>
  <c r="Y614" i="2"/>
  <c r="Y615" i="2"/>
  <c r="Y616" i="2"/>
  <c r="Y617" i="2"/>
  <c r="Y618" i="2"/>
  <c r="Y619" i="2"/>
  <c r="Y620" i="2"/>
  <c r="Y621" i="2"/>
  <c r="Y622" i="2"/>
  <c r="Y623" i="2"/>
  <c r="Y624" i="2"/>
  <c r="Y625" i="2"/>
  <c r="Y626" i="2"/>
  <c r="Y627" i="2"/>
  <c r="Y628" i="2"/>
  <c r="Y629" i="2"/>
  <c r="Y630" i="2"/>
  <c r="Y631" i="2"/>
  <c r="Y632" i="2"/>
  <c r="Y633" i="2"/>
  <c r="Y634" i="2"/>
  <c r="Y635" i="2"/>
  <c r="Y636" i="2"/>
  <c r="Y637" i="2"/>
  <c r="Y638" i="2"/>
  <c r="Y639" i="2"/>
  <c r="Y640" i="2"/>
  <c r="Y641" i="2"/>
  <c r="Y642" i="2"/>
  <c r="Y643" i="2"/>
  <c r="Y644" i="2"/>
  <c r="Y645" i="2"/>
  <c r="Y646" i="2"/>
  <c r="Y647" i="2"/>
  <c r="Y648" i="2"/>
  <c r="Y649" i="2"/>
  <c r="Y650" i="2"/>
  <c r="Y651" i="2"/>
  <c r="Y652" i="2"/>
  <c r="Y653" i="2"/>
  <c r="Y654" i="2"/>
  <c r="Y655" i="2"/>
  <c r="Y656" i="2"/>
  <c r="Y657" i="2"/>
  <c r="Y658" i="2"/>
  <c r="Y659" i="2"/>
  <c r="Y660" i="2"/>
  <c r="Y661" i="2"/>
  <c r="Y662" i="2"/>
  <c r="Y663" i="2"/>
  <c r="Y664" i="2"/>
  <c r="Y665" i="2"/>
  <c r="Y666" i="2"/>
  <c r="Y667" i="2"/>
  <c r="Y668" i="2"/>
  <c r="Y669" i="2"/>
  <c r="Y670" i="2"/>
  <c r="Y671" i="2"/>
  <c r="Y672" i="2"/>
  <c r="Y673" i="2"/>
  <c r="Y674" i="2"/>
  <c r="Y675" i="2"/>
  <c r="Y676" i="2"/>
  <c r="Y677" i="2"/>
  <c r="Y678" i="2"/>
  <c r="Y679" i="2"/>
  <c r="Y680" i="2"/>
  <c r="Y681" i="2"/>
  <c r="Y682" i="2"/>
  <c r="Y683" i="2"/>
  <c r="Y684" i="2"/>
  <c r="Y685" i="2"/>
  <c r="Y686" i="2"/>
  <c r="Y687" i="2"/>
  <c r="Y688" i="2"/>
  <c r="Y689" i="2"/>
  <c r="Y690" i="2"/>
  <c r="Y691" i="2"/>
  <c r="Y692" i="2"/>
  <c r="Y693" i="2"/>
  <c r="Y694" i="2"/>
  <c r="Y695" i="2"/>
  <c r="Y696" i="2"/>
  <c r="Y697" i="2"/>
  <c r="Y698" i="2"/>
  <c r="Y699" i="2"/>
  <c r="Y700" i="2"/>
  <c r="Y701" i="2"/>
  <c r="Y702" i="2"/>
  <c r="Y703" i="2"/>
  <c r="Y704" i="2"/>
  <c r="Y705" i="2"/>
  <c r="Y706" i="2"/>
  <c r="Y707" i="2"/>
  <c r="Y708" i="2"/>
  <c r="Y709" i="2"/>
  <c r="Y710" i="2"/>
  <c r="Y711" i="2"/>
  <c r="Y712" i="2"/>
  <c r="Y713" i="2"/>
  <c r="Y714" i="2"/>
  <c r="Y715" i="2"/>
  <c r="Y716" i="2"/>
  <c r="Y717" i="2"/>
  <c r="Y718" i="2"/>
  <c r="Y719" i="2"/>
  <c r="Y720" i="2"/>
  <c r="Y721" i="2"/>
  <c r="Y722" i="2"/>
  <c r="Y723" i="2"/>
  <c r="Y724" i="2"/>
  <c r="Y725" i="2"/>
  <c r="Y726" i="2"/>
  <c r="Y727" i="2"/>
  <c r="Y728" i="2"/>
  <c r="Y729" i="2"/>
  <c r="Y730" i="2"/>
  <c r="Y731" i="2"/>
  <c r="Y732" i="2"/>
  <c r="Y733" i="2"/>
  <c r="Y734" i="2"/>
  <c r="Y735" i="2"/>
  <c r="Y736" i="2"/>
  <c r="Y737" i="2"/>
  <c r="Y738" i="2"/>
  <c r="Y739" i="2"/>
  <c r="Y740" i="2"/>
  <c r="Y741" i="2"/>
  <c r="Y742" i="2"/>
  <c r="Y743" i="2"/>
  <c r="Y744" i="2"/>
  <c r="Y745" i="2"/>
  <c r="Y746" i="2"/>
  <c r="Y747" i="2"/>
  <c r="Y748" i="2"/>
  <c r="Y749" i="2"/>
  <c r="Y750" i="2"/>
  <c r="Y751" i="2"/>
  <c r="Y752" i="2"/>
  <c r="Y753" i="2"/>
  <c r="Y754" i="2"/>
  <c r="Y755" i="2"/>
  <c r="Y756" i="2"/>
  <c r="Y757" i="2"/>
  <c r="Y758" i="2"/>
  <c r="Y759" i="2"/>
  <c r="Y760" i="2"/>
  <c r="Y761" i="2"/>
  <c r="Y762" i="2"/>
  <c r="Y763" i="2"/>
  <c r="Y764" i="2"/>
  <c r="Y765" i="2"/>
  <c r="Y766" i="2"/>
  <c r="Y767" i="2"/>
  <c r="Y768" i="2"/>
  <c r="Y769" i="2"/>
  <c r="Y770" i="2"/>
  <c r="Y771" i="2"/>
  <c r="Y772" i="2"/>
  <c r="Y773" i="2"/>
  <c r="Y774" i="2"/>
  <c r="Y775" i="2"/>
  <c r="Y776" i="2"/>
  <c r="Y777" i="2"/>
  <c r="Y778" i="2"/>
  <c r="Y779" i="2"/>
  <c r="Y780" i="2"/>
  <c r="Y781" i="2"/>
  <c r="Y782" i="2"/>
  <c r="Y783" i="2"/>
  <c r="Y784" i="2"/>
  <c r="Y785" i="2"/>
  <c r="Y786" i="2"/>
  <c r="Y787" i="2"/>
  <c r="Y788" i="2"/>
  <c r="Y789" i="2"/>
  <c r="Y790" i="2"/>
  <c r="Y791" i="2"/>
  <c r="Y792" i="2"/>
  <c r="Y793" i="2"/>
  <c r="Y794" i="2"/>
  <c r="Y795" i="2"/>
  <c r="Y796" i="2"/>
  <c r="Y797" i="2"/>
  <c r="Y798" i="2"/>
  <c r="Y799" i="2"/>
  <c r="Y800" i="2"/>
  <c r="Y801" i="2"/>
  <c r="Y802" i="2"/>
  <c r="Y803" i="2"/>
  <c r="Y804" i="2"/>
  <c r="Y805" i="2"/>
  <c r="Y806" i="2"/>
  <c r="Y807" i="2"/>
  <c r="Y808" i="2"/>
  <c r="Y809" i="2"/>
  <c r="Y810" i="2"/>
  <c r="Y811" i="2"/>
  <c r="Y812" i="2"/>
  <c r="Y813" i="2"/>
  <c r="Y814" i="2"/>
  <c r="Y815" i="2"/>
  <c r="Y816" i="2"/>
  <c r="Y817" i="2"/>
  <c r="Y818" i="2"/>
  <c r="Y819" i="2"/>
  <c r="Y820" i="2"/>
  <c r="Y821" i="2"/>
  <c r="Y822" i="2"/>
  <c r="Y823" i="2"/>
  <c r="Y824" i="2"/>
  <c r="Y825" i="2"/>
  <c r="Y826" i="2"/>
  <c r="Y827" i="2"/>
  <c r="Y828" i="2"/>
  <c r="Y829" i="2"/>
  <c r="Y830" i="2"/>
  <c r="Y831" i="2"/>
  <c r="Y832" i="2"/>
  <c r="Y833" i="2"/>
  <c r="Y834" i="2"/>
  <c r="Y835" i="2"/>
  <c r="Y836" i="2"/>
  <c r="Y837" i="2"/>
  <c r="Y838" i="2"/>
  <c r="Y839" i="2"/>
  <c r="Y840" i="2"/>
  <c r="Y841" i="2"/>
  <c r="Y842" i="2"/>
  <c r="Y843" i="2"/>
  <c r="Y844" i="2"/>
  <c r="Y845" i="2"/>
  <c r="Y846" i="2"/>
  <c r="Y847" i="2"/>
  <c r="Y848" i="2"/>
  <c r="Y849" i="2"/>
  <c r="Y850" i="2"/>
  <c r="Y851" i="2"/>
  <c r="Y852" i="2"/>
  <c r="Y853" i="2"/>
  <c r="Y854" i="2"/>
  <c r="Y855" i="2"/>
  <c r="Y856" i="2"/>
  <c r="Y857" i="2"/>
  <c r="Y858" i="2"/>
  <c r="Y859" i="2"/>
  <c r="Y860" i="2"/>
  <c r="Y861" i="2"/>
  <c r="Y862" i="2"/>
  <c r="Y863" i="2"/>
  <c r="Y864" i="2"/>
  <c r="Y865" i="2"/>
  <c r="Y866" i="2"/>
  <c r="Y867" i="2"/>
  <c r="Y868" i="2"/>
  <c r="Y869" i="2"/>
  <c r="Y870" i="2"/>
  <c r="Y871" i="2"/>
  <c r="Y872" i="2"/>
  <c r="Y873" i="2"/>
  <c r="Y874" i="2"/>
  <c r="Y875" i="2"/>
  <c r="Y876" i="2"/>
  <c r="Y877" i="2"/>
  <c r="Y878" i="2"/>
  <c r="Y879" i="2"/>
  <c r="Y880" i="2"/>
  <c r="Y881" i="2"/>
  <c r="Y882" i="2"/>
  <c r="Y883" i="2"/>
  <c r="Y884" i="2"/>
  <c r="Y885" i="2"/>
  <c r="Y886" i="2"/>
  <c r="Y887" i="2"/>
  <c r="Y888" i="2"/>
  <c r="Y889" i="2"/>
  <c r="Y890" i="2"/>
  <c r="Y891" i="2"/>
  <c r="Y892" i="2"/>
  <c r="Y893" i="2"/>
  <c r="Y894" i="2"/>
  <c r="Y895" i="2"/>
  <c r="Y896" i="2"/>
  <c r="Y897" i="2"/>
  <c r="Y898" i="2"/>
  <c r="Y899" i="2"/>
  <c r="Y900" i="2"/>
  <c r="Y901" i="2"/>
  <c r="Y902" i="2"/>
  <c r="Y903" i="2"/>
  <c r="Y904" i="2"/>
  <c r="Y905" i="2"/>
  <c r="Y906" i="2"/>
  <c r="Y907" i="2"/>
  <c r="Y908" i="2"/>
  <c r="Y909" i="2"/>
  <c r="Y910" i="2"/>
  <c r="Y911" i="2"/>
  <c r="Y912" i="2"/>
  <c r="Y913" i="2"/>
  <c r="Y914" i="2"/>
  <c r="Y915" i="2"/>
  <c r="Y916" i="2"/>
  <c r="Y917" i="2"/>
  <c r="Y918" i="2"/>
  <c r="Y919" i="2"/>
  <c r="Y920" i="2"/>
  <c r="Y921" i="2"/>
  <c r="Y922" i="2"/>
  <c r="Y923" i="2"/>
  <c r="Y924" i="2"/>
  <c r="Y925" i="2"/>
  <c r="Y926" i="2"/>
  <c r="Y927" i="2"/>
  <c r="Y928" i="2"/>
  <c r="Y929" i="2"/>
  <c r="Y930" i="2"/>
  <c r="Y931" i="2"/>
  <c r="Y932" i="2"/>
  <c r="Y933" i="2"/>
  <c r="Y934" i="2"/>
  <c r="Y935" i="2"/>
  <c r="Y936" i="2"/>
  <c r="Y937" i="2"/>
  <c r="Y938" i="2"/>
  <c r="Y939" i="2"/>
  <c r="Y940" i="2"/>
  <c r="Y941" i="2"/>
  <c r="Y942" i="2"/>
  <c r="Y943" i="2"/>
  <c r="Y944" i="2"/>
  <c r="Y945" i="2"/>
  <c r="Y946" i="2"/>
  <c r="Y947" i="2"/>
  <c r="Y948" i="2"/>
  <c r="Y949" i="2"/>
  <c r="Y950" i="2"/>
  <c r="Y951" i="2"/>
  <c r="Y952" i="2"/>
  <c r="Y953" i="2"/>
  <c r="Y954" i="2"/>
  <c r="Y955" i="2"/>
  <c r="Y956" i="2"/>
  <c r="Y957" i="2"/>
  <c r="Y958" i="2"/>
  <c r="Y959" i="2"/>
  <c r="Y960" i="2"/>
  <c r="Y961" i="2"/>
  <c r="Y962" i="2"/>
  <c r="Y963" i="2"/>
  <c r="Y964" i="2"/>
  <c r="Y965" i="2"/>
  <c r="Y966" i="2"/>
  <c r="Y967" i="2"/>
  <c r="Y968" i="2"/>
  <c r="Y969" i="2"/>
  <c r="Y970" i="2"/>
  <c r="Y971" i="2"/>
  <c r="Y972" i="2"/>
  <c r="Y973" i="2"/>
  <c r="Y974" i="2"/>
  <c r="Y975" i="2"/>
  <c r="Y976" i="2"/>
  <c r="Y977" i="2"/>
  <c r="Y978" i="2"/>
  <c r="Y979" i="2"/>
  <c r="Y980" i="2"/>
  <c r="Y981" i="2"/>
  <c r="Y982" i="2"/>
  <c r="Y983" i="2"/>
  <c r="Y984" i="2"/>
  <c r="Y985" i="2"/>
  <c r="Y986" i="2"/>
  <c r="Y987" i="2"/>
  <c r="Y988" i="2"/>
  <c r="Y989" i="2"/>
  <c r="Y990" i="2"/>
  <c r="Y991" i="2"/>
  <c r="Y992" i="2"/>
  <c r="Y993" i="2"/>
  <c r="Y994" i="2"/>
  <c r="Y995" i="2"/>
  <c r="Y996" i="2"/>
  <c r="Y997" i="2"/>
  <c r="Y998" i="2"/>
  <c r="Y999" i="2"/>
  <c r="Y1000" i="2"/>
  <c r="Y1001" i="2"/>
  <c r="Y1002" i="2"/>
  <c r="Y1003" i="2"/>
  <c r="Y1004" i="2"/>
  <c r="Y1005" i="2"/>
  <c r="Y1006" i="2"/>
  <c r="Y1007" i="2"/>
  <c r="Y1008" i="2"/>
  <c r="Y1009" i="2"/>
  <c r="Y1010" i="2"/>
  <c r="Y1011" i="2"/>
  <c r="Y1012" i="2"/>
  <c r="Y1013" i="2"/>
  <c r="Y1014" i="2"/>
  <c r="Y1015" i="2"/>
  <c r="Y1016" i="2"/>
  <c r="Y1017" i="2"/>
  <c r="Y1018" i="2"/>
  <c r="Y1019" i="2"/>
  <c r="Y1020" i="2"/>
  <c r="Y1021" i="2"/>
  <c r="Y1022" i="2"/>
  <c r="Y1023" i="2"/>
  <c r="Y1024" i="2"/>
  <c r="Y1025" i="2"/>
  <c r="Y1026" i="2"/>
  <c r="Y1027" i="2"/>
  <c r="Y1028" i="2"/>
  <c r="Y1029" i="2"/>
  <c r="Y1030" i="2"/>
  <c r="Y1031" i="2"/>
  <c r="Y1032" i="2"/>
  <c r="Y1033" i="2"/>
  <c r="Y1034" i="2"/>
  <c r="Y1035" i="2"/>
  <c r="Y1036" i="2"/>
  <c r="Y1037" i="2"/>
  <c r="Y1038" i="2"/>
  <c r="Y1039" i="2"/>
  <c r="Y1040" i="2"/>
  <c r="Y1041" i="2"/>
  <c r="Y1042" i="2"/>
  <c r="Y1043" i="2"/>
  <c r="Y1044" i="2"/>
  <c r="Y1045" i="2"/>
  <c r="Y1046" i="2"/>
  <c r="Y1047" i="2"/>
  <c r="Y1048" i="2"/>
  <c r="Y1049" i="2"/>
  <c r="Y1050" i="2"/>
  <c r="Y1051" i="2"/>
  <c r="Y1052" i="2"/>
  <c r="Y1053" i="2"/>
  <c r="Y1054" i="2"/>
  <c r="Y1055" i="2"/>
  <c r="Y1056" i="2"/>
  <c r="Y1057" i="2"/>
  <c r="Y1058" i="2"/>
  <c r="Y1059" i="2"/>
  <c r="Y1060" i="2"/>
  <c r="Y1061" i="2"/>
  <c r="Y1062" i="2"/>
  <c r="Y1063" i="2"/>
  <c r="Y1064" i="2"/>
  <c r="Y1065" i="2"/>
  <c r="Y1066" i="2"/>
  <c r="Y1067" i="2"/>
  <c r="Y1068" i="2"/>
  <c r="Y1069" i="2"/>
  <c r="Y1070" i="2"/>
  <c r="Y1071" i="2"/>
  <c r="Y1072" i="2"/>
  <c r="Y1073" i="2"/>
  <c r="Y1074" i="2"/>
  <c r="Y1075" i="2"/>
  <c r="Y1076" i="2"/>
  <c r="Y1077" i="2"/>
  <c r="Y1078" i="2"/>
  <c r="Y1079" i="2"/>
  <c r="Y1080" i="2"/>
  <c r="Y1081" i="2"/>
  <c r="Y1082" i="2"/>
  <c r="Y1083" i="2"/>
  <c r="Y1084" i="2"/>
  <c r="Y1085" i="2"/>
  <c r="Y1086" i="2"/>
  <c r="Y1087" i="2"/>
  <c r="Y1088" i="2"/>
  <c r="Y1089" i="2"/>
  <c r="Y1090" i="2"/>
  <c r="Y1091" i="2"/>
  <c r="Y1092" i="2"/>
  <c r="Y1093" i="2"/>
  <c r="Y1094" i="2"/>
  <c r="Y1095" i="2"/>
  <c r="Y1096" i="2"/>
  <c r="Y1097" i="2"/>
  <c r="Y1098" i="2"/>
  <c r="Y1099" i="2"/>
  <c r="Y1100" i="2"/>
  <c r="Y1101" i="2"/>
  <c r="Y1102" i="2"/>
  <c r="Y1103" i="2"/>
  <c r="Y1104" i="2"/>
  <c r="Y1105" i="2"/>
  <c r="Y1106" i="2"/>
  <c r="Y1107" i="2"/>
  <c r="Y1108" i="2"/>
  <c r="Y1109" i="2"/>
  <c r="Y1110" i="2"/>
  <c r="Y1111" i="2"/>
  <c r="Y1112" i="2"/>
  <c r="Y1113" i="2"/>
  <c r="Y1114" i="2"/>
  <c r="Y1115" i="2"/>
  <c r="Y1116" i="2"/>
  <c r="Y1117" i="2"/>
  <c r="Y1118" i="2"/>
  <c r="Y1119" i="2"/>
  <c r="Y1120" i="2"/>
  <c r="Y1121" i="2"/>
  <c r="Y1122" i="2"/>
  <c r="Y1123" i="2"/>
  <c r="Y1124" i="2"/>
  <c r="Y1125" i="2"/>
  <c r="Y1126" i="2"/>
  <c r="Y1127" i="2"/>
  <c r="Y1128" i="2"/>
  <c r="Y1129" i="2"/>
  <c r="Y1130" i="2"/>
  <c r="Y1131" i="2"/>
  <c r="Y1132" i="2"/>
  <c r="Y1133" i="2"/>
  <c r="Y1134" i="2"/>
  <c r="Y1135" i="2"/>
  <c r="Y1136" i="2"/>
  <c r="Y1137" i="2"/>
  <c r="Y1138" i="2"/>
  <c r="Y1139" i="2"/>
  <c r="Y1140" i="2"/>
  <c r="Y1141" i="2"/>
  <c r="Y1142" i="2"/>
  <c r="Y1143" i="2"/>
  <c r="Y1144" i="2"/>
  <c r="Y1145" i="2"/>
  <c r="Y1146" i="2"/>
  <c r="Y1147" i="2"/>
  <c r="Y1148" i="2"/>
  <c r="Y1149" i="2"/>
  <c r="Y1150" i="2"/>
  <c r="Y1151" i="2"/>
  <c r="Y1152" i="2"/>
  <c r="Y1153" i="2"/>
  <c r="Y1154" i="2"/>
  <c r="Y1155" i="2"/>
  <c r="Y1156" i="2"/>
  <c r="Y1157" i="2"/>
  <c r="Y1158" i="2"/>
  <c r="Y1159" i="2"/>
  <c r="Y1160" i="2"/>
  <c r="Y1161" i="2"/>
  <c r="Y1162" i="2"/>
  <c r="Y1163" i="2"/>
  <c r="Y1164" i="2"/>
  <c r="Y1165" i="2"/>
  <c r="Y1166" i="2"/>
  <c r="Y1167" i="2"/>
  <c r="Y1168" i="2"/>
  <c r="Y1169" i="2"/>
  <c r="Y1170" i="2"/>
  <c r="Y1171" i="2"/>
  <c r="Y1172" i="2"/>
  <c r="Y1173" i="2"/>
  <c r="Y1174" i="2"/>
  <c r="Y1175" i="2"/>
  <c r="Y1176" i="2"/>
  <c r="Y1177" i="2"/>
  <c r="Y1178" i="2"/>
  <c r="Y1179" i="2"/>
  <c r="Y1180" i="2"/>
  <c r="Y1181" i="2"/>
  <c r="Y1182" i="2"/>
  <c r="Y1183" i="2"/>
  <c r="Y1184" i="2"/>
  <c r="Y1185" i="2"/>
  <c r="Y1186" i="2"/>
  <c r="Y1187" i="2"/>
  <c r="Y1188" i="2"/>
  <c r="Y1189" i="2"/>
  <c r="Y1190" i="2"/>
  <c r="Y1191" i="2"/>
  <c r="Y1192" i="2"/>
  <c r="Y1193" i="2"/>
  <c r="Y1194" i="2"/>
  <c r="Y1195" i="2"/>
  <c r="Y1196" i="2"/>
  <c r="Y1197" i="2"/>
  <c r="Y1198" i="2"/>
  <c r="Y1199" i="2"/>
  <c r="Y1200" i="2"/>
  <c r="Y1201" i="2"/>
  <c r="Y1202" i="2"/>
  <c r="Y1203" i="2"/>
  <c r="Y1204" i="2"/>
  <c r="Y1205" i="2"/>
  <c r="Y1206" i="2"/>
  <c r="Y1207" i="2"/>
  <c r="Y1208" i="2"/>
  <c r="Y1209" i="2"/>
  <c r="Y1210" i="2"/>
  <c r="Y1211" i="2"/>
  <c r="Y1212" i="2"/>
  <c r="Y1213" i="2"/>
  <c r="Y1214" i="2"/>
  <c r="Y1215" i="2"/>
  <c r="Y1216" i="2"/>
  <c r="Y1217" i="2"/>
  <c r="Y1218" i="2"/>
  <c r="Y1219" i="2"/>
  <c r="Y1220" i="2"/>
  <c r="Y1221" i="2"/>
  <c r="Y1222" i="2"/>
  <c r="Y1223" i="2"/>
  <c r="Y1224" i="2"/>
  <c r="Y1225" i="2"/>
  <c r="Y1226" i="2"/>
  <c r="Y1227" i="2"/>
  <c r="Y1228" i="2"/>
  <c r="Y1229" i="2"/>
  <c r="Y1230" i="2"/>
  <c r="Y1231" i="2"/>
  <c r="Y1232" i="2"/>
  <c r="Y1233" i="2"/>
  <c r="Y1234" i="2"/>
  <c r="Y1235" i="2"/>
  <c r="Y1236" i="2"/>
  <c r="Y1237" i="2"/>
  <c r="Y1238" i="2"/>
  <c r="Y1239" i="2"/>
  <c r="Y1240" i="2"/>
  <c r="Y1241" i="2"/>
  <c r="Y1242" i="2"/>
  <c r="Y1243" i="2"/>
  <c r="Y1244" i="2"/>
  <c r="Y1245" i="2"/>
  <c r="Y1246" i="2"/>
  <c r="Y1247" i="2"/>
  <c r="Y1248" i="2"/>
  <c r="Y1249" i="2"/>
  <c r="Y1250" i="2"/>
  <c r="Y1251" i="2"/>
  <c r="Y1252" i="2"/>
  <c r="Y1253" i="2"/>
  <c r="Y1254" i="2"/>
  <c r="Y1255" i="2"/>
  <c r="Y1256" i="2"/>
  <c r="Y1257" i="2"/>
  <c r="Y1258" i="2"/>
  <c r="Y1259" i="2"/>
  <c r="Y1260" i="2"/>
  <c r="Y1261" i="2"/>
  <c r="Y1262" i="2"/>
  <c r="Y1263" i="2"/>
  <c r="Y1264" i="2"/>
  <c r="Y1265" i="2"/>
  <c r="Y1266" i="2"/>
  <c r="Y1267" i="2"/>
  <c r="Y1268" i="2"/>
  <c r="Y1269" i="2"/>
  <c r="Y1270" i="2"/>
  <c r="Y1271" i="2"/>
  <c r="Y1272" i="2"/>
  <c r="Y1273" i="2"/>
  <c r="Y1274" i="2"/>
  <c r="Y1275" i="2"/>
  <c r="Y1276" i="2"/>
  <c r="Y1277" i="2"/>
  <c r="Y1278" i="2"/>
  <c r="Y1279" i="2"/>
  <c r="Y1280" i="2"/>
  <c r="Y1281" i="2"/>
  <c r="Y1282" i="2"/>
  <c r="Y1283" i="2"/>
  <c r="Y1284" i="2"/>
  <c r="Y1285" i="2"/>
  <c r="Y1286" i="2"/>
  <c r="Y1287" i="2"/>
  <c r="Y1288" i="2"/>
  <c r="Y1289" i="2"/>
  <c r="Y1290" i="2"/>
  <c r="Y1291" i="2"/>
  <c r="Y1292" i="2"/>
  <c r="Y1293" i="2"/>
  <c r="Y1294" i="2"/>
  <c r="Y1295" i="2"/>
  <c r="Y1296" i="2"/>
  <c r="Y1297" i="2"/>
  <c r="Y1298" i="2"/>
  <c r="Y1299" i="2"/>
  <c r="Y1300" i="2"/>
  <c r="Y1301" i="2"/>
  <c r="Y1302" i="2"/>
  <c r="Y1303" i="2"/>
  <c r="Y1304" i="2"/>
  <c r="Y1305" i="2"/>
  <c r="Y1306" i="2"/>
  <c r="Y1307" i="2"/>
  <c r="Y1308" i="2"/>
  <c r="Y1309" i="2"/>
  <c r="Y1310" i="2"/>
  <c r="Y1311" i="2"/>
  <c r="Y1312" i="2"/>
  <c r="Y1313" i="2"/>
  <c r="Y1314" i="2"/>
  <c r="Y1315" i="2"/>
  <c r="Y1316" i="2"/>
  <c r="Y1317" i="2"/>
  <c r="Y1318" i="2"/>
  <c r="Y1319" i="2"/>
  <c r="Y1320" i="2"/>
  <c r="Y1321" i="2"/>
  <c r="Y1322" i="2"/>
  <c r="Y1323" i="2"/>
  <c r="Y1324" i="2"/>
  <c r="Y1325" i="2"/>
  <c r="Y1326" i="2"/>
  <c r="Y1327" i="2"/>
  <c r="Y1328" i="2"/>
  <c r="Y1329" i="2"/>
  <c r="Y1330" i="2"/>
  <c r="Y1331" i="2"/>
  <c r="Y1332" i="2"/>
  <c r="Y1333" i="2"/>
  <c r="Y1334" i="2"/>
  <c r="Y1335" i="2"/>
  <c r="Y1336" i="2"/>
  <c r="Y1337" i="2"/>
  <c r="Y1338" i="2"/>
  <c r="Y1339" i="2"/>
  <c r="Y1340" i="2"/>
  <c r="Y1341" i="2"/>
  <c r="Y1342" i="2"/>
  <c r="Y1343" i="2"/>
  <c r="Y1344" i="2"/>
  <c r="Y1345" i="2"/>
  <c r="Y1346" i="2"/>
  <c r="Y1347" i="2"/>
  <c r="Y1348" i="2"/>
  <c r="Y1349" i="2"/>
  <c r="Y1350" i="2"/>
  <c r="Y1351" i="2"/>
  <c r="Y1352" i="2"/>
  <c r="Y1353" i="2"/>
  <c r="Y1354" i="2"/>
  <c r="Y1355" i="2"/>
  <c r="Y1356" i="2"/>
  <c r="Y1357" i="2"/>
  <c r="Y1358" i="2"/>
  <c r="Y1359" i="2"/>
  <c r="Y1360" i="2"/>
  <c r="Y1361" i="2"/>
  <c r="Y1362" i="2"/>
  <c r="Y1363" i="2"/>
  <c r="Y1364" i="2"/>
  <c r="Y1365" i="2"/>
  <c r="Y1366" i="2"/>
  <c r="Y1367" i="2"/>
  <c r="Y1368" i="2"/>
  <c r="Y1369" i="2"/>
  <c r="Y1370" i="2"/>
  <c r="Y1371" i="2"/>
  <c r="Y1372" i="2"/>
  <c r="Y1373" i="2"/>
  <c r="Y1374" i="2"/>
  <c r="Y1375" i="2"/>
  <c r="Y1376" i="2"/>
  <c r="Y1377" i="2"/>
  <c r="Y1378" i="2"/>
  <c r="Y1379" i="2"/>
  <c r="Y1380" i="2"/>
  <c r="Y1381" i="2"/>
  <c r="Y1382" i="2"/>
  <c r="Y1383" i="2"/>
  <c r="Y1384" i="2"/>
  <c r="Y1385" i="2"/>
  <c r="Y1386" i="2"/>
  <c r="Y1387" i="2"/>
  <c r="Y1388" i="2"/>
  <c r="Y1389" i="2"/>
  <c r="Y1390" i="2"/>
  <c r="Y1391" i="2"/>
  <c r="Y1392" i="2"/>
  <c r="Y1393" i="2"/>
  <c r="Y1394" i="2"/>
  <c r="Y1395" i="2"/>
  <c r="Y1396" i="2"/>
  <c r="Y1397" i="2"/>
  <c r="Y1398" i="2"/>
  <c r="Y1399" i="2"/>
  <c r="Y1400" i="2"/>
  <c r="Y1401" i="2"/>
  <c r="Y1402" i="2"/>
  <c r="Y1403" i="2"/>
  <c r="Y1404" i="2"/>
  <c r="Y1405" i="2"/>
  <c r="Y1406" i="2"/>
  <c r="Y1407" i="2"/>
  <c r="Y1408" i="2"/>
  <c r="Y1409" i="2"/>
  <c r="Y1410" i="2"/>
  <c r="Y1411" i="2"/>
  <c r="Y1412" i="2"/>
  <c r="Y1413" i="2"/>
  <c r="Y1414" i="2"/>
  <c r="Y1415" i="2"/>
  <c r="Y1416" i="2"/>
  <c r="Y1417" i="2"/>
  <c r="Y1418" i="2"/>
  <c r="Y1419" i="2"/>
  <c r="Y1420" i="2"/>
  <c r="Y1421" i="2"/>
  <c r="Y1422" i="2"/>
  <c r="Y1423" i="2"/>
  <c r="Y1424" i="2"/>
  <c r="Y1425" i="2"/>
  <c r="Y1426" i="2"/>
  <c r="Y1427" i="2"/>
  <c r="Y1428" i="2"/>
  <c r="Y1429" i="2"/>
  <c r="Y1430" i="2"/>
  <c r="Y1431" i="2"/>
  <c r="Y1432" i="2"/>
  <c r="Y1433" i="2"/>
  <c r="Y1434" i="2"/>
  <c r="Y1435" i="2"/>
  <c r="Y1436" i="2"/>
  <c r="Y1437" i="2"/>
  <c r="Y1438" i="2"/>
  <c r="Y1439" i="2"/>
  <c r="Y1440" i="2"/>
  <c r="Y1441" i="2"/>
  <c r="Y1442" i="2"/>
  <c r="Y1443" i="2"/>
  <c r="Y1444" i="2"/>
  <c r="Y1445" i="2"/>
  <c r="Y1446" i="2"/>
  <c r="Y1447" i="2"/>
  <c r="Y1448" i="2"/>
  <c r="Y1449" i="2"/>
  <c r="Y1450" i="2"/>
  <c r="Y1451" i="2"/>
  <c r="Y1452" i="2"/>
  <c r="Y1453" i="2"/>
  <c r="Y1454" i="2"/>
  <c r="Y1455" i="2"/>
  <c r="Y1456" i="2"/>
  <c r="Y1457" i="2"/>
  <c r="Y1458" i="2"/>
  <c r="Y1459" i="2"/>
  <c r="Y1460" i="2"/>
  <c r="Y1461" i="2"/>
  <c r="Y1462" i="2"/>
  <c r="Y1463" i="2"/>
  <c r="Y1464" i="2"/>
  <c r="Y1465" i="2"/>
  <c r="Y1466" i="2"/>
  <c r="Y1467" i="2"/>
  <c r="Y1468" i="2"/>
  <c r="Y1469" i="2"/>
  <c r="Y1470" i="2"/>
  <c r="Y1471" i="2"/>
  <c r="Y1472" i="2"/>
  <c r="Y1473" i="2"/>
  <c r="Y1474" i="2"/>
  <c r="Y1475" i="2"/>
  <c r="Y1476" i="2"/>
  <c r="Y1477" i="2"/>
  <c r="Y1478" i="2"/>
  <c r="Y1479" i="2"/>
  <c r="Y1480" i="2"/>
  <c r="Y1481" i="2"/>
  <c r="Y1482" i="2"/>
  <c r="Y1483" i="2"/>
  <c r="Y1484" i="2"/>
  <c r="Y1485" i="2"/>
  <c r="Y1486" i="2"/>
  <c r="Y1487" i="2"/>
  <c r="Y1488" i="2"/>
  <c r="Y1489" i="2"/>
  <c r="Y1490" i="2"/>
  <c r="Y1491" i="2"/>
  <c r="Y1492" i="2"/>
  <c r="Y1493" i="2"/>
  <c r="Y1494" i="2"/>
  <c r="Y1495" i="2"/>
  <c r="Y1496" i="2"/>
  <c r="Y1497" i="2"/>
  <c r="Y1498" i="2"/>
  <c r="Y1499" i="2"/>
  <c r="Y1500" i="2"/>
  <c r="Y1501" i="2"/>
  <c r="Y1502" i="2"/>
  <c r="Y1503" i="2"/>
  <c r="Y1504" i="2"/>
  <c r="Y1505" i="2"/>
  <c r="Y1506" i="2"/>
  <c r="Y1507" i="2"/>
  <c r="Y1508" i="2"/>
  <c r="Y1509" i="2"/>
  <c r="Y1510" i="2"/>
  <c r="Y1511" i="2"/>
  <c r="Y1512" i="2"/>
  <c r="Y1513" i="2"/>
  <c r="Y1514" i="2"/>
  <c r="Y1515" i="2"/>
  <c r="Y1516" i="2"/>
  <c r="Y1517" i="2"/>
  <c r="Y1518" i="2"/>
  <c r="Y1519" i="2"/>
  <c r="Y1520" i="2"/>
  <c r="Y1521" i="2"/>
  <c r="Y1522" i="2"/>
  <c r="Y1523" i="2"/>
  <c r="Y1524" i="2"/>
  <c r="Y1525" i="2"/>
  <c r="Y1526" i="2"/>
  <c r="Y1527" i="2"/>
  <c r="Y1528" i="2"/>
  <c r="Y1529" i="2"/>
  <c r="Y1530" i="2"/>
  <c r="Y1531" i="2"/>
  <c r="Y1532" i="2"/>
  <c r="Y1533" i="2"/>
  <c r="Y1534" i="2"/>
  <c r="Y1535" i="2"/>
  <c r="Y1536" i="2"/>
  <c r="Y1537" i="2"/>
  <c r="Y1538" i="2"/>
  <c r="Y1539" i="2"/>
  <c r="Y1540" i="2"/>
  <c r="Y1541" i="2"/>
  <c r="Y1542" i="2"/>
  <c r="Y1543" i="2"/>
  <c r="Y1544" i="2"/>
  <c r="Y1545" i="2"/>
  <c r="Y1546" i="2"/>
  <c r="Y1547" i="2"/>
  <c r="Y1548" i="2"/>
  <c r="Y1549" i="2"/>
  <c r="Y1550" i="2"/>
  <c r="Y1551" i="2"/>
  <c r="Y1552" i="2"/>
  <c r="Y1553" i="2"/>
  <c r="Y1554" i="2"/>
  <c r="Y1555" i="2"/>
  <c r="Y1556" i="2"/>
  <c r="Y1557" i="2"/>
  <c r="Y1558" i="2"/>
  <c r="Y1559" i="2"/>
  <c r="Y1560" i="2"/>
  <c r="Y1561" i="2"/>
  <c r="Y1562" i="2"/>
  <c r="Y1563" i="2"/>
  <c r="Y1564" i="2"/>
  <c r="Y1565" i="2"/>
  <c r="Y1566" i="2"/>
  <c r="Y1567" i="2"/>
  <c r="Y1568" i="2"/>
  <c r="Y1569" i="2"/>
  <c r="Y1570" i="2"/>
  <c r="Y1571" i="2"/>
  <c r="Y1572" i="2"/>
  <c r="Y1573" i="2"/>
  <c r="Y1574" i="2"/>
  <c r="Y1575" i="2"/>
  <c r="Y1576" i="2"/>
  <c r="Y1577" i="2"/>
  <c r="Y1578" i="2"/>
  <c r="Y1579" i="2"/>
  <c r="Y1580" i="2"/>
  <c r="Y1581" i="2"/>
  <c r="Y1582" i="2"/>
  <c r="Y1583" i="2"/>
  <c r="Y1584" i="2"/>
  <c r="Y1585" i="2"/>
  <c r="Y1586" i="2"/>
  <c r="Y1587" i="2"/>
  <c r="Y1588" i="2"/>
  <c r="Y1589" i="2"/>
  <c r="Y1590" i="2"/>
  <c r="Y1591" i="2"/>
  <c r="Y1592" i="2"/>
  <c r="Y1593" i="2"/>
  <c r="Y1594" i="2"/>
  <c r="Y1595" i="2"/>
  <c r="Y1596" i="2"/>
  <c r="Y1597" i="2"/>
  <c r="Y1598" i="2"/>
  <c r="Y1599" i="2"/>
  <c r="Y1600" i="2"/>
  <c r="Y1601" i="2"/>
  <c r="Y1602" i="2"/>
  <c r="Y1603" i="2"/>
  <c r="Y1604" i="2"/>
  <c r="Y1605" i="2"/>
  <c r="Y1606" i="2"/>
  <c r="Y1607" i="2"/>
  <c r="Y1608" i="2"/>
  <c r="Y1609" i="2"/>
  <c r="Y1610" i="2"/>
  <c r="Y1611" i="2"/>
  <c r="Y1612" i="2"/>
  <c r="Y1613" i="2"/>
  <c r="Y1614" i="2"/>
  <c r="Y1615" i="2"/>
  <c r="Y1616" i="2"/>
  <c r="Y1617" i="2"/>
  <c r="Y1618" i="2"/>
  <c r="Y1619" i="2"/>
  <c r="Y1620" i="2"/>
  <c r="Y1621" i="2"/>
  <c r="Y1622" i="2"/>
  <c r="Y1623" i="2"/>
  <c r="Y1624" i="2"/>
  <c r="Y1625" i="2"/>
  <c r="Y1626" i="2"/>
  <c r="Y1627" i="2"/>
  <c r="Y1628" i="2"/>
  <c r="Y1629" i="2"/>
  <c r="Y1630" i="2"/>
  <c r="Y1631" i="2"/>
  <c r="Y1632" i="2"/>
  <c r="Y1633" i="2"/>
  <c r="Y1634" i="2"/>
  <c r="Y1635" i="2"/>
  <c r="Y1636" i="2"/>
  <c r="Y1637" i="2"/>
  <c r="Y1638" i="2"/>
  <c r="Y1639" i="2"/>
  <c r="Y1640" i="2"/>
  <c r="Y1641" i="2"/>
  <c r="Y1642" i="2"/>
  <c r="Y1643" i="2"/>
  <c r="Y1644" i="2"/>
  <c r="Y1645" i="2"/>
  <c r="Y1646" i="2"/>
  <c r="Y1647" i="2"/>
  <c r="Y1648" i="2"/>
  <c r="Y1649" i="2"/>
  <c r="Y1650" i="2"/>
  <c r="Y1651" i="2"/>
  <c r="Y1652" i="2"/>
  <c r="Y1653" i="2"/>
  <c r="Y1654" i="2"/>
  <c r="Y1655" i="2"/>
  <c r="Y1656" i="2"/>
  <c r="Y1657" i="2"/>
  <c r="Y1658" i="2"/>
  <c r="Y1659" i="2"/>
  <c r="Y1660" i="2"/>
  <c r="Y1661" i="2"/>
  <c r="Y1662" i="2"/>
  <c r="Y1663" i="2"/>
  <c r="Y1664" i="2"/>
  <c r="Y1665" i="2"/>
  <c r="Y1666" i="2"/>
  <c r="Y1667" i="2"/>
  <c r="Y1668" i="2"/>
  <c r="Y1669" i="2"/>
  <c r="Y1670" i="2"/>
  <c r="Y1671" i="2"/>
  <c r="Y1672" i="2"/>
  <c r="Y1673" i="2"/>
  <c r="Y1674" i="2"/>
  <c r="Y1675" i="2"/>
  <c r="Y1676" i="2"/>
  <c r="Y1677" i="2"/>
  <c r="Y1678" i="2"/>
  <c r="Y1679" i="2"/>
  <c r="Y1680" i="2"/>
  <c r="Y1681" i="2"/>
  <c r="Y1682" i="2"/>
  <c r="Y1683" i="2"/>
  <c r="Y1684" i="2"/>
  <c r="Y1685" i="2"/>
  <c r="Y1686" i="2"/>
  <c r="Y1687" i="2"/>
  <c r="Y1688" i="2"/>
  <c r="Y1689" i="2"/>
  <c r="Y1690" i="2"/>
  <c r="Y1691" i="2"/>
  <c r="Y1692" i="2"/>
  <c r="Y1693" i="2"/>
  <c r="Y1694" i="2"/>
  <c r="Y1695" i="2"/>
  <c r="Y1696" i="2"/>
  <c r="Y1697" i="2"/>
  <c r="Y1698" i="2"/>
  <c r="Y1699" i="2"/>
  <c r="Y1700" i="2"/>
  <c r="Y1701" i="2"/>
  <c r="Y1702" i="2"/>
  <c r="Y1703" i="2"/>
  <c r="Y1704" i="2"/>
  <c r="Y1705" i="2"/>
  <c r="Y1706" i="2"/>
  <c r="Y1707" i="2"/>
  <c r="Y1708" i="2"/>
  <c r="Y1709" i="2"/>
  <c r="Y1710" i="2"/>
  <c r="Y1711" i="2"/>
  <c r="Y1712" i="2"/>
  <c r="Y1713" i="2"/>
  <c r="Y1714" i="2"/>
  <c r="Y1715" i="2"/>
  <c r="Y1716" i="2"/>
  <c r="Y1717" i="2"/>
  <c r="Y1718" i="2"/>
  <c r="Y1719" i="2"/>
  <c r="Y1720" i="2"/>
  <c r="Y1721" i="2"/>
  <c r="Y1722" i="2"/>
  <c r="Y1723" i="2"/>
  <c r="Y1724" i="2"/>
  <c r="Y1725" i="2"/>
  <c r="Y1726" i="2"/>
  <c r="Y1727" i="2"/>
  <c r="Y1728" i="2"/>
  <c r="Y1729" i="2"/>
  <c r="Y1730" i="2"/>
  <c r="Y1731" i="2"/>
  <c r="Y1732" i="2"/>
  <c r="Y1733" i="2"/>
  <c r="Y1734" i="2"/>
  <c r="Y1735" i="2"/>
  <c r="Y1736" i="2"/>
  <c r="Y1737" i="2"/>
  <c r="Y1738" i="2"/>
  <c r="Y1739" i="2"/>
  <c r="Y1740" i="2"/>
  <c r="Y1741" i="2"/>
  <c r="Y1742" i="2"/>
  <c r="Y1743" i="2"/>
  <c r="Y1744" i="2"/>
  <c r="Y1745" i="2"/>
  <c r="Y1746" i="2"/>
  <c r="Y1747" i="2"/>
  <c r="Y1748" i="2"/>
  <c r="Y1749" i="2"/>
  <c r="Y1750" i="2"/>
  <c r="Y1751" i="2"/>
  <c r="Y1752" i="2"/>
  <c r="Y1753" i="2"/>
  <c r="Y1754" i="2"/>
  <c r="Y1755" i="2"/>
  <c r="Y1756" i="2"/>
  <c r="Y1757" i="2"/>
  <c r="Y1758" i="2"/>
  <c r="Y1759" i="2"/>
  <c r="Y1760" i="2"/>
  <c r="Y1761" i="2"/>
  <c r="Y1762" i="2"/>
  <c r="Y1763" i="2"/>
  <c r="Y1764" i="2"/>
  <c r="Y1765" i="2"/>
  <c r="Y1766" i="2"/>
  <c r="Y1767" i="2"/>
  <c r="Y1768" i="2"/>
  <c r="Y1769" i="2"/>
  <c r="Y1770" i="2"/>
  <c r="Y1771" i="2"/>
  <c r="Y1772" i="2"/>
  <c r="Y1773" i="2"/>
  <c r="Y1774" i="2"/>
  <c r="Y1775" i="2"/>
  <c r="Y1776" i="2"/>
  <c r="Y1777" i="2"/>
  <c r="Y1778" i="2"/>
  <c r="Y1779" i="2"/>
  <c r="Y1780" i="2"/>
  <c r="Y1781" i="2"/>
  <c r="Y1782" i="2"/>
  <c r="Y1783" i="2"/>
  <c r="Y1784" i="2"/>
  <c r="Y1785" i="2"/>
  <c r="Y1786" i="2"/>
  <c r="Y1787" i="2"/>
  <c r="Y1788" i="2"/>
  <c r="Y1789" i="2"/>
  <c r="Y1790" i="2"/>
  <c r="Y1791" i="2"/>
  <c r="Y1792" i="2"/>
  <c r="Y1793" i="2"/>
  <c r="Y1794" i="2"/>
  <c r="Y1795" i="2"/>
  <c r="Y1796" i="2"/>
  <c r="Y1797" i="2"/>
  <c r="Y1798" i="2"/>
  <c r="Y1799" i="2"/>
  <c r="Y1800" i="2"/>
  <c r="Y1801" i="2"/>
  <c r="Y1802" i="2"/>
  <c r="Y1803" i="2"/>
  <c r="Y1804" i="2"/>
  <c r="Y1805" i="2"/>
  <c r="Y1806" i="2"/>
  <c r="Y1807" i="2"/>
  <c r="Y1808" i="2"/>
  <c r="Y1809" i="2"/>
  <c r="Y1810" i="2"/>
  <c r="Y1811" i="2"/>
  <c r="Y1812" i="2"/>
  <c r="Y1813" i="2"/>
  <c r="Y1814" i="2"/>
  <c r="Y1815" i="2"/>
  <c r="Y1816" i="2"/>
  <c r="Y1817" i="2"/>
  <c r="Y1818" i="2"/>
  <c r="Y1819" i="2"/>
  <c r="Y1820" i="2"/>
  <c r="Y1821" i="2"/>
  <c r="Y1822" i="2"/>
  <c r="Y1823" i="2"/>
  <c r="Y1824" i="2"/>
  <c r="Y1825" i="2"/>
  <c r="Y1826" i="2"/>
  <c r="Y1827" i="2"/>
  <c r="Y1828" i="2"/>
  <c r="Y1829" i="2"/>
  <c r="Y1830" i="2"/>
  <c r="Y1831" i="2"/>
  <c r="Y1832" i="2"/>
  <c r="Y1833" i="2"/>
  <c r="Y1834" i="2"/>
  <c r="Y1835" i="2"/>
  <c r="Y1836" i="2"/>
  <c r="Y1837" i="2"/>
  <c r="Y1838" i="2"/>
  <c r="Y1839" i="2"/>
  <c r="Y1840" i="2"/>
  <c r="Y1841" i="2"/>
  <c r="Y1842" i="2"/>
  <c r="Y1843" i="2"/>
  <c r="Y1844" i="2"/>
  <c r="Y1845" i="2"/>
  <c r="Y1846" i="2"/>
  <c r="Y1847" i="2"/>
  <c r="Y1848" i="2"/>
  <c r="Y1849" i="2"/>
  <c r="Y1850" i="2"/>
  <c r="Y1851" i="2"/>
  <c r="Y1852" i="2"/>
  <c r="Y1853" i="2"/>
  <c r="Y1854" i="2"/>
  <c r="Y1855" i="2"/>
  <c r="Y1856" i="2"/>
  <c r="Y1857" i="2"/>
  <c r="Y1858" i="2"/>
  <c r="Y1859" i="2"/>
  <c r="Y1860" i="2"/>
  <c r="Y1861" i="2"/>
  <c r="Y1862" i="2"/>
  <c r="Y1863" i="2"/>
  <c r="Y1864" i="2"/>
  <c r="Y1865" i="2"/>
  <c r="Y1866" i="2"/>
  <c r="Y1867" i="2"/>
  <c r="Y1868" i="2"/>
  <c r="Y1869" i="2"/>
  <c r="Y1870" i="2"/>
  <c r="Y1871" i="2"/>
  <c r="Y1872" i="2"/>
  <c r="Y1873" i="2"/>
  <c r="Y1874" i="2"/>
  <c r="Y1875" i="2"/>
  <c r="Y1876" i="2"/>
  <c r="Y1877" i="2"/>
  <c r="Y1878" i="2"/>
  <c r="Y1879" i="2"/>
  <c r="Y1880" i="2"/>
  <c r="Y1881" i="2"/>
  <c r="Y1882" i="2"/>
  <c r="Y1883" i="2"/>
  <c r="Y1884" i="2"/>
  <c r="Y1885" i="2"/>
  <c r="Y1886" i="2"/>
  <c r="Y1887" i="2"/>
  <c r="Y1888" i="2"/>
  <c r="Y1889" i="2"/>
  <c r="Y1890" i="2"/>
  <c r="Y1891" i="2"/>
  <c r="Y1892" i="2"/>
  <c r="Y1893" i="2"/>
  <c r="Y1894" i="2"/>
  <c r="Y1895" i="2"/>
  <c r="Y1896" i="2"/>
  <c r="Y1897" i="2"/>
  <c r="Y1898" i="2"/>
  <c r="Y1899" i="2"/>
  <c r="Y1900" i="2"/>
  <c r="Y1901" i="2"/>
  <c r="Y1902" i="2"/>
  <c r="Y1903" i="2"/>
  <c r="Y1904" i="2"/>
  <c r="Y1905" i="2"/>
  <c r="Y1906" i="2"/>
  <c r="Y1907" i="2"/>
  <c r="Y1908" i="2"/>
  <c r="Y1909" i="2"/>
  <c r="Y1910" i="2"/>
  <c r="Y1911" i="2"/>
  <c r="Y1912" i="2"/>
  <c r="Y1913" i="2"/>
  <c r="Y1914" i="2"/>
  <c r="Y1915" i="2"/>
  <c r="Y1916" i="2"/>
  <c r="Y1917" i="2"/>
  <c r="Y1918" i="2"/>
  <c r="Y1919" i="2"/>
  <c r="Y1920" i="2"/>
  <c r="Y1921" i="2"/>
  <c r="Y1922" i="2"/>
  <c r="Y1923" i="2"/>
  <c r="Y1924" i="2"/>
  <c r="Y1925" i="2"/>
  <c r="Y1926" i="2"/>
  <c r="Y1927" i="2"/>
  <c r="Y1928" i="2"/>
  <c r="Y1929" i="2"/>
  <c r="Y1930" i="2"/>
  <c r="Y1931" i="2"/>
  <c r="Y1932" i="2"/>
  <c r="Y1933" i="2"/>
  <c r="Y1934" i="2"/>
  <c r="Y1935" i="2"/>
  <c r="Y1936" i="2"/>
  <c r="Y1937" i="2"/>
  <c r="Y1938" i="2"/>
  <c r="Y1939" i="2"/>
  <c r="Y1940" i="2"/>
  <c r="Y1941" i="2"/>
  <c r="Y1942" i="2"/>
  <c r="Y1943" i="2"/>
  <c r="Y1944" i="2"/>
  <c r="Y1945" i="2"/>
  <c r="Y1946" i="2"/>
  <c r="Y1947" i="2"/>
  <c r="Y1948" i="2"/>
  <c r="Y1949" i="2"/>
  <c r="Y1950" i="2"/>
  <c r="Y1951" i="2"/>
  <c r="Y1952" i="2"/>
  <c r="Y1953" i="2"/>
  <c r="Y1954" i="2"/>
  <c r="Y1955" i="2"/>
  <c r="Y1956" i="2"/>
  <c r="Y1957" i="2"/>
  <c r="Y1958" i="2"/>
  <c r="Y1959" i="2"/>
  <c r="Y1960" i="2"/>
  <c r="Y1961" i="2"/>
  <c r="Y1962" i="2"/>
  <c r="Y1963" i="2"/>
  <c r="Y1964" i="2"/>
  <c r="Y1965" i="2"/>
  <c r="Y1966" i="2"/>
  <c r="Y1967" i="2"/>
  <c r="Y1968" i="2"/>
  <c r="Y1969" i="2"/>
  <c r="Y1970" i="2"/>
  <c r="Y1971" i="2"/>
  <c r="Y1972" i="2"/>
  <c r="Y1973" i="2"/>
  <c r="Y1974" i="2"/>
  <c r="Y1975" i="2"/>
  <c r="Y1976" i="2"/>
  <c r="Y1977" i="2"/>
  <c r="Y1978" i="2"/>
  <c r="Y1979" i="2"/>
  <c r="Y1980" i="2"/>
  <c r="Y1981" i="2"/>
  <c r="Y1982" i="2"/>
  <c r="Y1983" i="2"/>
  <c r="Y1984" i="2"/>
  <c r="Y1985" i="2"/>
  <c r="Y1986" i="2"/>
  <c r="Y1987" i="2"/>
  <c r="Y1988" i="2"/>
  <c r="Y1989" i="2"/>
  <c r="Y1990" i="2"/>
  <c r="Y1991" i="2"/>
  <c r="Y1992" i="2"/>
  <c r="Y1993" i="2"/>
  <c r="Y1994" i="2"/>
  <c r="Y1995" i="2"/>
  <c r="Y1996" i="2"/>
  <c r="Y1997" i="2"/>
  <c r="Y1998" i="2"/>
  <c r="Y1999" i="2"/>
  <c r="Y2000" i="2"/>
  <c r="Y2001" i="2"/>
  <c r="Y2002" i="2"/>
  <c r="Y2003" i="2"/>
  <c r="Y2004" i="2"/>
  <c r="Y2005" i="2"/>
  <c r="Y2006" i="2"/>
  <c r="Y2007" i="2"/>
  <c r="Y2008" i="2"/>
  <c r="Y2009" i="2"/>
  <c r="Y2010" i="2"/>
  <c r="Y2011" i="2"/>
  <c r="Y2012" i="2"/>
  <c r="Y2013" i="2"/>
  <c r="Y2014" i="2"/>
  <c r="Y2015" i="2"/>
  <c r="Y2016" i="2"/>
  <c r="Y2017" i="2"/>
  <c r="Y2018" i="2"/>
  <c r="Y2019" i="2"/>
  <c r="Y2020" i="2"/>
  <c r="Y2021" i="2"/>
  <c r="Y2022" i="2"/>
  <c r="Y2023" i="2"/>
  <c r="Y2024" i="2"/>
  <c r="Y2025" i="2"/>
  <c r="Y2026" i="2"/>
  <c r="Y2027" i="2"/>
  <c r="Y2028" i="2"/>
  <c r="Y2029" i="2"/>
  <c r="Y2030" i="2"/>
  <c r="Y2031" i="2"/>
  <c r="Y2032" i="2"/>
  <c r="Y2033" i="2"/>
  <c r="Y2034" i="2"/>
  <c r="Y2035" i="2"/>
  <c r="Y2036" i="2"/>
  <c r="Y2037" i="2"/>
  <c r="Y2038" i="2"/>
  <c r="Y2039" i="2"/>
  <c r="Y2040" i="2"/>
  <c r="Y2041" i="2"/>
  <c r="Y2042" i="2"/>
  <c r="Y2043" i="2"/>
  <c r="Y2044" i="2"/>
  <c r="Y2045" i="2"/>
  <c r="Y2046" i="2"/>
  <c r="Y2047" i="2"/>
  <c r="Y2048" i="2"/>
  <c r="Y2049" i="2"/>
  <c r="Y2050" i="2"/>
  <c r="Y2051" i="2"/>
  <c r="Y2052" i="2"/>
  <c r="Y2053" i="2"/>
  <c r="Y2054" i="2"/>
  <c r="Y2055" i="2"/>
  <c r="Y2056" i="2"/>
  <c r="Y2057" i="2"/>
  <c r="Y2058" i="2"/>
  <c r="Y2059" i="2"/>
  <c r="Y2060" i="2"/>
  <c r="Y2061" i="2"/>
  <c r="Y2062" i="2"/>
  <c r="Y2063" i="2"/>
  <c r="Y2064" i="2"/>
  <c r="Y2065" i="2"/>
  <c r="Y2066" i="2"/>
  <c r="Y2067" i="2"/>
  <c r="Y2068" i="2"/>
  <c r="Y2069" i="2"/>
  <c r="Y2070" i="2"/>
  <c r="Y2071" i="2"/>
  <c r="Y2072" i="2"/>
  <c r="Y2073" i="2"/>
  <c r="Y2074" i="2"/>
  <c r="Y2075" i="2"/>
  <c r="Y2076" i="2"/>
  <c r="Y2077" i="2"/>
  <c r="Y2078" i="2"/>
  <c r="Y2079" i="2"/>
  <c r="Y2080" i="2"/>
  <c r="Y2081" i="2"/>
  <c r="Y2082" i="2"/>
  <c r="Y2083" i="2"/>
  <c r="Y2084" i="2"/>
  <c r="Y2085" i="2"/>
  <c r="Y2086" i="2"/>
  <c r="Y2087" i="2"/>
  <c r="Y2088" i="2"/>
  <c r="Y2089" i="2"/>
  <c r="Y2090" i="2"/>
  <c r="Y2091" i="2"/>
  <c r="Y2092" i="2"/>
  <c r="Y2093" i="2"/>
  <c r="Y2094" i="2"/>
  <c r="Y2095" i="2"/>
  <c r="Y2096" i="2"/>
  <c r="Y2097" i="2"/>
  <c r="Y2098" i="2"/>
  <c r="Y2099" i="2"/>
  <c r="Y2100" i="2"/>
  <c r="Y2101" i="2"/>
  <c r="Y2102" i="2"/>
  <c r="Y2103" i="2"/>
  <c r="Y2104" i="2"/>
  <c r="Y2105" i="2"/>
  <c r="Y2106" i="2"/>
  <c r="Y2107" i="2"/>
  <c r="Y2108" i="2"/>
  <c r="Y2109" i="2"/>
  <c r="Y2110" i="2"/>
  <c r="Y2111" i="2"/>
  <c r="Y2112" i="2"/>
  <c r="Y2113" i="2"/>
  <c r="Y2114" i="2"/>
  <c r="Y2115" i="2"/>
  <c r="Y2116" i="2"/>
  <c r="Y2117" i="2"/>
  <c r="Y2118" i="2"/>
  <c r="Y2119" i="2"/>
  <c r="Y2120" i="2"/>
  <c r="Y2121" i="2"/>
  <c r="Y2122" i="2"/>
  <c r="Y2123" i="2"/>
  <c r="Y2124" i="2"/>
  <c r="Y2125" i="2"/>
  <c r="Y2126" i="2"/>
  <c r="Y2127" i="2"/>
  <c r="Y2128" i="2"/>
  <c r="Y2129" i="2"/>
  <c r="Y2130" i="2"/>
  <c r="Y2131" i="2"/>
  <c r="Y2132" i="2"/>
  <c r="Y2133" i="2"/>
  <c r="Y2134" i="2"/>
  <c r="Y2135" i="2"/>
  <c r="Y2136" i="2"/>
  <c r="Y2137" i="2"/>
  <c r="Y2138" i="2"/>
  <c r="Y2139" i="2"/>
  <c r="Y2140" i="2"/>
  <c r="Y2141" i="2"/>
  <c r="Y2142" i="2"/>
  <c r="Y2143" i="2"/>
  <c r="Y2144" i="2"/>
  <c r="Y2145" i="2"/>
  <c r="Y2146" i="2"/>
  <c r="Y2147" i="2"/>
  <c r="Y2148" i="2"/>
  <c r="Y2149" i="2"/>
  <c r="Y2150" i="2"/>
  <c r="Y2151" i="2"/>
  <c r="Y2152" i="2"/>
  <c r="Y2153" i="2"/>
  <c r="Y2154" i="2"/>
  <c r="Y2155" i="2"/>
  <c r="Y2156" i="2"/>
  <c r="Y2157" i="2"/>
  <c r="Y2158" i="2"/>
  <c r="Y2159" i="2"/>
  <c r="Y2160" i="2"/>
  <c r="Y2161" i="2"/>
  <c r="Y2162" i="2"/>
  <c r="Y2163" i="2"/>
  <c r="Y2164" i="2"/>
  <c r="Y2165" i="2"/>
  <c r="Y2166" i="2"/>
  <c r="Y2167" i="2"/>
  <c r="Y2168" i="2"/>
  <c r="Y2169" i="2"/>
  <c r="Y2170" i="2"/>
  <c r="Y2171" i="2"/>
  <c r="Y2172" i="2"/>
  <c r="Y2173" i="2"/>
  <c r="Y2174" i="2"/>
  <c r="Y2175" i="2"/>
  <c r="Y2176" i="2"/>
  <c r="Y2177" i="2"/>
  <c r="Y2178" i="2"/>
  <c r="Y2179" i="2"/>
  <c r="Y2180" i="2"/>
  <c r="Y2181" i="2"/>
  <c r="Y2182" i="2"/>
  <c r="Y2183" i="2"/>
  <c r="Y2184" i="2"/>
  <c r="Y2185" i="2"/>
  <c r="Y2186" i="2"/>
  <c r="Y2187" i="2"/>
  <c r="Y2188" i="2"/>
  <c r="Y2189" i="2"/>
  <c r="Y2190" i="2"/>
  <c r="Y2191" i="2"/>
  <c r="Y2192" i="2"/>
  <c r="Y2193" i="2"/>
  <c r="Y2194" i="2"/>
  <c r="Y2195" i="2"/>
  <c r="Y2196" i="2"/>
  <c r="Y2197" i="2"/>
  <c r="Y2198" i="2"/>
  <c r="Y2199" i="2"/>
  <c r="Y2200" i="2"/>
  <c r="Y2201" i="2"/>
  <c r="Y2202" i="2"/>
  <c r="Y2203" i="2"/>
  <c r="Y2204" i="2"/>
  <c r="Y2205" i="2"/>
  <c r="Y2206" i="2"/>
  <c r="Y2207" i="2"/>
  <c r="Y2208" i="2"/>
  <c r="Y2209" i="2"/>
  <c r="Y2210" i="2"/>
  <c r="Y2211" i="2"/>
  <c r="Y2212" i="2"/>
  <c r="Y2213" i="2"/>
  <c r="Y2214" i="2"/>
  <c r="Y2215" i="2"/>
  <c r="Y2216" i="2"/>
  <c r="Y2217" i="2"/>
  <c r="Y2218" i="2"/>
  <c r="Y2219" i="2"/>
  <c r="Y2220" i="2"/>
  <c r="Y2221" i="2"/>
  <c r="Y2222" i="2"/>
  <c r="Y2223" i="2"/>
  <c r="Y2224" i="2"/>
  <c r="Y2225" i="2"/>
  <c r="Y2226" i="2"/>
  <c r="Y2227" i="2"/>
  <c r="Y2228" i="2"/>
  <c r="Y2229" i="2"/>
  <c r="Y2230" i="2"/>
  <c r="Y2231" i="2"/>
  <c r="Y2232" i="2"/>
  <c r="Y2233" i="2"/>
  <c r="Y2234" i="2"/>
  <c r="Y2235" i="2"/>
  <c r="Y2236" i="2"/>
  <c r="Y2237" i="2"/>
  <c r="Y2238" i="2"/>
  <c r="Y2239" i="2"/>
  <c r="Y2240" i="2"/>
  <c r="Y2241" i="2"/>
  <c r="Y2242" i="2"/>
  <c r="Y2243" i="2"/>
  <c r="Y2244" i="2"/>
  <c r="Y2245" i="2"/>
  <c r="Y2246" i="2"/>
  <c r="Y2247" i="2"/>
  <c r="Y2248" i="2"/>
  <c r="Y2249" i="2"/>
  <c r="Y2250" i="2"/>
  <c r="Y2251" i="2"/>
  <c r="Y2252" i="2"/>
  <c r="Y2253" i="2"/>
  <c r="Y2254" i="2"/>
  <c r="Y2255" i="2"/>
  <c r="Y2256" i="2"/>
  <c r="Y2257" i="2"/>
  <c r="Y2258" i="2"/>
  <c r="Y2259" i="2"/>
  <c r="Y2260" i="2"/>
  <c r="Y2261" i="2"/>
  <c r="Y2262" i="2"/>
  <c r="Y2263" i="2"/>
  <c r="Y2264" i="2"/>
  <c r="Y2265" i="2"/>
  <c r="Y2266" i="2"/>
  <c r="Y2267" i="2"/>
  <c r="Y2268" i="2"/>
  <c r="Y2269" i="2"/>
  <c r="Y2270" i="2"/>
  <c r="Y2271" i="2"/>
  <c r="Y2272" i="2"/>
  <c r="Y2273" i="2"/>
  <c r="Y2274" i="2"/>
  <c r="Y2275" i="2"/>
  <c r="Y2276" i="2"/>
  <c r="Y2277" i="2"/>
  <c r="Y2278" i="2"/>
  <c r="Y2279" i="2"/>
  <c r="Y2280" i="2"/>
  <c r="Y2281" i="2"/>
  <c r="Y2282" i="2"/>
  <c r="Y2283" i="2"/>
  <c r="Y2284" i="2"/>
  <c r="Y2285" i="2"/>
  <c r="Y2286" i="2"/>
  <c r="Y2287" i="2"/>
  <c r="Y2288" i="2"/>
  <c r="Y2289" i="2"/>
  <c r="Y2290" i="2"/>
  <c r="Y2291" i="2"/>
  <c r="Y2292" i="2"/>
  <c r="Y2293" i="2"/>
  <c r="Y2294" i="2"/>
  <c r="Y2295" i="2"/>
  <c r="Y2296" i="2"/>
  <c r="Y2297" i="2"/>
  <c r="Y2298" i="2"/>
  <c r="Y2299" i="2"/>
  <c r="Y2300" i="2"/>
  <c r="Y2301" i="2"/>
  <c r="Y2302" i="2"/>
  <c r="Y2303" i="2"/>
  <c r="Y2304" i="2"/>
  <c r="Y2305" i="2"/>
  <c r="Y2306" i="2"/>
  <c r="Y2307" i="2"/>
  <c r="Y2308" i="2"/>
  <c r="Y2309" i="2"/>
  <c r="Y2310" i="2"/>
  <c r="Y2311" i="2"/>
  <c r="Y2312" i="2"/>
  <c r="Y2313" i="2"/>
  <c r="Y2314" i="2"/>
  <c r="Y2315" i="2"/>
  <c r="Y2316" i="2"/>
  <c r="Y2317" i="2"/>
  <c r="Y2318" i="2"/>
  <c r="Y2319" i="2"/>
  <c r="Y2320" i="2"/>
  <c r="Y2321" i="2"/>
  <c r="Y2322" i="2"/>
  <c r="Y2323" i="2"/>
  <c r="Y2324" i="2"/>
  <c r="Y2325" i="2"/>
  <c r="Y2326" i="2"/>
  <c r="Y2327" i="2"/>
  <c r="Y2328" i="2"/>
  <c r="Y2329" i="2"/>
  <c r="Y2330" i="2"/>
  <c r="Y2331" i="2"/>
  <c r="Y2332" i="2"/>
  <c r="Y2333" i="2"/>
  <c r="Y2334" i="2"/>
  <c r="Y2335" i="2"/>
  <c r="Y2336" i="2"/>
  <c r="Y2337" i="2"/>
  <c r="Y2338" i="2"/>
  <c r="Y2339" i="2"/>
  <c r="Y2340" i="2"/>
  <c r="Y2341" i="2"/>
  <c r="Y2342" i="2"/>
  <c r="Y2343" i="2"/>
  <c r="Y2344" i="2"/>
  <c r="Y2345" i="2"/>
  <c r="Y2346" i="2"/>
  <c r="Y2347" i="2"/>
  <c r="Y2348" i="2"/>
  <c r="Y2349" i="2"/>
  <c r="Y2350" i="2"/>
  <c r="Y2351" i="2"/>
  <c r="Y2352" i="2"/>
  <c r="Y2353" i="2"/>
  <c r="Y2354" i="2"/>
  <c r="Y2355" i="2"/>
  <c r="Y2356" i="2"/>
  <c r="Y2357" i="2"/>
  <c r="Y2358" i="2"/>
  <c r="Y2359" i="2"/>
  <c r="Y2360" i="2"/>
  <c r="Y2361" i="2"/>
  <c r="Y2362" i="2"/>
  <c r="Y2363" i="2"/>
  <c r="Y2364" i="2"/>
  <c r="Y2365" i="2"/>
  <c r="Y2366" i="2"/>
  <c r="Y2367" i="2"/>
  <c r="Y2368" i="2"/>
  <c r="Y2369" i="2"/>
  <c r="Y2370" i="2"/>
  <c r="Y2371" i="2"/>
  <c r="Y2372" i="2"/>
  <c r="Y2373" i="2"/>
  <c r="Y2374" i="2"/>
  <c r="Y2375" i="2"/>
  <c r="Y2376" i="2"/>
  <c r="Y2377" i="2"/>
  <c r="Y2378" i="2"/>
  <c r="Y2379" i="2"/>
  <c r="Y2380" i="2"/>
  <c r="Y2381" i="2"/>
  <c r="Y2382" i="2"/>
  <c r="Y2383" i="2"/>
  <c r="Y2384" i="2"/>
  <c r="Y2385" i="2"/>
  <c r="Y2386" i="2"/>
  <c r="Y2387" i="2"/>
  <c r="Y2388" i="2"/>
  <c r="Y2389" i="2"/>
  <c r="Y2390" i="2"/>
  <c r="Y2391" i="2"/>
  <c r="Y2392" i="2"/>
  <c r="Y2393" i="2"/>
  <c r="Y2394" i="2"/>
  <c r="Y2395" i="2"/>
  <c r="Y2396" i="2"/>
  <c r="Y2397" i="2"/>
  <c r="Y2398" i="2"/>
  <c r="Y2399" i="2"/>
  <c r="Y2400" i="2"/>
  <c r="Y2401" i="2"/>
  <c r="Y2402" i="2"/>
  <c r="Y2403" i="2"/>
  <c r="Y2404" i="2"/>
  <c r="Y2405" i="2"/>
  <c r="Y2406" i="2"/>
  <c r="Y2407" i="2"/>
  <c r="Y2408" i="2"/>
  <c r="Y2409" i="2"/>
  <c r="Y2410" i="2"/>
  <c r="Y2411" i="2"/>
  <c r="Y2412" i="2"/>
  <c r="Y2413" i="2"/>
  <c r="Y2414" i="2"/>
  <c r="Y2415" i="2"/>
  <c r="Y2416" i="2"/>
  <c r="Y2417" i="2"/>
  <c r="Y2418" i="2"/>
  <c r="Y2419" i="2"/>
  <c r="Y2420" i="2"/>
  <c r="Y2421" i="2"/>
  <c r="Y2422" i="2"/>
  <c r="Y2423" i="2"/>
  <c r="Y2424" i="2"/>
  <c r="Y2425" i="2"/>
  <c r="Y2426" i="2"/>
  <c r="Y2427" i="2"/>
  <c r="Y2428" i="2"/>
  <c r="Y2429" i="2"/>
  <c r="Y2430" i="2"/>
  <c r="Y2431" i="2"/>
  <c r="Y2432" i="2"/>
  <c r="Y2433" i="2"/>
  <c r="Y2434" i="2"/>
  <c r="Y2435" i="2"/>
  <c r="Y2436" i="2"/>
  <c r="Y2437" i="2"/>
  <c r="Y2438" i="2"/>
  <c r="Y2439" i="2"/>
  <c r="Y2440" i="2"/>
  <c r="Y2441" i="2"/>
  <c r="Y2442" i="2"/>
  <c r="Y2443" i="2"/>
  <c r="Y2444" i="2"/>
  <c r="Y2445" i="2"/>
  <c r="Y2446" i="2"/>
  <c r="Y2447" i="2"/>
  <c r="Y2448" i="2"/>
  <c r="Y2449" i="2"/>
  <c r="Y2450" i="2"/>
  <c r="Y2451" i="2"/>
  <c r="Y2452" i="2"/>
  <c r="Y2453" i="2"/>
  <c r="Y2454" i="2"/>
  <c r="Y2455" i="2"/>
  <c r="Y2456" i="2"/>
  <c r="Y2457" i="2"/>
  <c r="Y2458" i="2"/>
  <c r="Y2459" i="2"/>
  <c r="Y2460" i="2"/>
  <c r="Y2461" i="2"/>
  <c r="Y2462" i="2"/>
  <c r="Y2463" i="2"/>
  <c r="Y2464" i="2"/>
  <c r="Y2465" i="2"/>
  <c r="Y2466" i="2"/>
  <c r="Y2467" i="2"/>
  <c r="Y2468" i="2"/>
  <c r="Y2469" i="2"/>
  <c r="Y2470" i="2"/>
  <c r="Y2471" i="2"/>
  <c r="Y2472" i="2"/>
  <c r="Y2473" i="2"/>
  <c r="Y2474" i="2"/>
  <c r="Y2475" i="2"/>
  <c r="Y2476" i="2"/>
  <c r="Y2477" i="2"/>
  <c r="Y2478" i="2"/>
  <c r="Y2479" i="2"/>
  <c r="Y2480" i="2"/>
  <c r="Y2481" i="2"/>
  <c r="Y2482" i="2"/>
  <c r="Y2483" i="2"/>
  <c r="Y2484" i="2"/>
  <c r="Y2485" i="2"/>
  <c r="Y2486" i="2"/>
  <c r="Y2487" i="2"/>
  <c r="Y2488" i="2"/>
  <c r="Y2489" i="2"/>
  <c r="Y2490" i="2"/>
  <c r="Y2491" i="2"/>
  <c r="Y2492" i="2"/>
  <c r="Y2493" i="2"/>
  <c r="Y2494" i="2"/>
  <c r="Y2495" i="2"/>
  <c r="Y2496" i="2"/>
  <c r="Y2497" i="2"/>
  <c r="Y2498" i="2"/>
  <c r="Y2499" i="2"/>
  <c r="Y2500" i="2"/>
  <c r="Y2501" i="2"/>
  <c r="Y2502" i="2"/>
  <c r="Y2503" i="2"/>
  <c r="Y2504" i="2"/>
  <c r="Y2505" i="2"/>
  <c r="Y2506" i="2"/>
  <c r="Y2507" i="2"/>
  <c r="Y2508" i="2"/>
  <c r="Y2509" i="2"/>
  <c r="Y2510" i="2"/>
  <c r="Y2511" i="2"/>
  <c r="Y2512" i="2"/>
  <c r="Y2513" i="2"/>
  <c r="Y2514" i="2"/>
  <c r="Y2515" i="2"/>
  <c r="Y2516" i="2"/>
  <c r="Y2517" i="2"/>
  <c r="Y2518" i="2"/>
  <c r="Y2519" i="2"/>
  <c r="Y2520" i="2"/>
  <c r="Y2521" i="2"/>
  <c r="Y2522" i="2"/>
  <c r="Y2523" i="2"/>
  <c r="Y2524" i="2"/>
  <c r="Y2525" i="2"/>
  <c r="Y2526" i="2"/>
  <c r="Y2527" i="2"/>
  <c r="Y2528" i="2"/>
  <c r="Y2529" i="2"/>
  <c r="Y2530" i="2"/>
  <c r="Y2531" i="2"/>
  <c r="Y2532" i="2"/>
  <c r="Y2533" i="2"/>
  <c r="Y2534" i="2"/>
  <c r="Y2535" i="2"/>
  <c r="Y2536" i="2"/>
  <c r="Y2537" i="2"/>
  <c r="Y2538" i="2"/>
  <c r="Y2539" i="2"/>
  <c r="Y2540" i="2"/>
  <c r="Y2541" i="2"/>
  <c r="Y2542" i="2"/>
  <c r="Y2543" i="2"/>
  <c r="Y2544" i="2"/>
  <c r="Y2545" i="2"/>
  <c r="Y2546" i="2"/>
  <c r="Y2547" i="2"/>
  <c r="Y2548" i="2"/>
  <c r="Y2549" i="2"/>
  <c r="Y2550" i="2"/>
  <c r="Y2551" i="2"/>
  <c r="Y2552" i="2"/>
  <c r="Y2553" i="2"/>
  <c r="Y2554" i="2"/>
  <c r="Y2555" i="2"/>
  <c r="Y2556" i="2"/>
  <c r="Y2557" i="2"/>
  <c r="Y2558" i="2"/>
  <c r="Y2559" i="2"/>
  <c r="Y2560" i="2"/>
  <c r="Y2561" i="2"/>
  <c r="Y2562" i="2"/>
  <c r="Y2563" i="2"/>
  <c r="Y2564" i="2"/>
  <c r="Y2565" i="2"/>
  <c r="Y2566" i="2"/>
  <c r="Y2567" i="2"/>
  <c r="Y2568" i="2"/>
  <c r="Y2569" i="2"/>
  <c r="Y2570" i="2"/>
  <c r="Y2571" i="2"/>
  <c r="Y2572" i="2"/>
  <c r="Y2573" i="2"/>
  <c r="Y2574" i="2"/>
  <c r="Y2575" i="2"/>
  <c r="Y2576" i="2"/>
  <c r="Y2577" i="2"/>
  <c r="Y2578" i="2"/>
  <c r="Y2579" i="2"/>
  <c r="Y2580" i="2"/>
  <c r="Y2581" i="2"/>
  <c r="Y2582" i="2"/>
  <c r="Y2583" i="2"/>
  <c r="Y2584" i="2"/>
  <c r="Y2585" i="2"/>
  <c r="Y2586" i="2"/>
  <c r="Y2587" i="2"/>
  <c r="Y2588" i="2"/>
  <c r="Y2589" i="2"/>
  <c r="Y2590" i="2"/>
  <c r="Y2591" i="2"/>
  <c r="Y2592" i="2"/>
  <c r="Y2593" i="2"/>
  <c r="Y2594" i="2"/>
  <c r="Y2595" i="2"/>
  <c r="Y2596" i="2"/>
  <c r="Y2597" i="2"/>
  <c r="Y2598" i="2"/>
  <c r="Y2599" i="2"/>
  <c r="Y2600" i="2"/>
  <c r="Y2601" i="2"/>
  <c r="Y2602" i="2"/>
  <c r="Y2603" i="2"/>
  <c r="Y2604" i="2"/>
  <c r="Y2605" i="2"/>
  <c r="Y2606" i="2"/>
  <c r="Y2607" i="2"/>
  <c r="Y2608" i="2"/>
  <c r="Y2609" i="2"/>
  <c r="Y2610" i="2"/>
  <c r="Y2611" i="2"/>
  <c r="Y2612" i="2"/>
  <c r="Y2613" i="2"/>
  <c r="Y2614" i="2"/>
  <c r="Y2615" i="2"/>
  <c r="Y2616" i="2"/>
  <c r="Y2617" i="2"/>
  <c r="Y2618" i="2"/>
  <c r="Y2619" i="2"/>
  <c r="Y2620" i="2"/>
  <c r="Y2621" i="2"/>
  <c r="Y2622" i="2"/>
  <c r="Y2623" i="2"/>
  <c r="Y2624" i="2"/>
  <c r="Y2625" i="2"/>
  <c r="Y2626" i="2"/>
  <c r="Y2627" i="2"/>
  <c r="Y2628" i="2"/>
  <c r="Y2629" i="2"/>
  <c r="Y2630" i="2"/>
  <c r="Y2631" i="2"/>
  <c r="Y2632" i="2"/>
  <c r="Y2633" i="2"/>
  <c r="Y2634" i="2"/>
  <c r="Y2635" i="2"/>
  <c r="Y2636" i="2"/>
  <c r="Y2637" i="2"/>
  <c r="Y2638" i="2"/>
  <c r="Y2639" i="2"/>
  <c r="Y2640" i="2"/>
  <c r="Y2641" i="2"/>
  <c r="Y2642" i="2"/>
  <c r="Y2643" i="2"/>
  <c r="Y2644" i="2"/>
  <c r="Y2645" i="2"/>
  <c r="Y2646" i="2"/>
  <c r="Y2647" i="2"/>
  <c r="Y2648" i="2"/>
  <c r="Y2649" i="2"/>
  <c r="Y2650" i="2"/>
  <c r="Y2651" i="2"/>
  <c r="Y2652" i="2"/>
  <c r="Y2653" i="2"/>
  <c r="Y2654" i="2"/>
  <c r="Y2655" i="2"/>
  <c r="Y2656" i="2"/>
  <c r="Y2657" i="2"/>
  <c r="Y2658" i="2"/>
  <c r="Y2659" i="2"/>
  <c r="Y2660" i="2"/>
  <c r="Y2661" i="2"/>
  <c r="Y2662" i="2"/>
  <c r="Y2663" i="2"/>
  <c r="Y2664" i="2"/>
  <c r="Y2665" i="2"/>
  <c r="Y2666" i="2"/>
  <c r="Y2667" i="2"/>
  <c r="Y2668" i="2"/>
  <c r="Y2669" i="2"/>
  <c r="Y2670" i="2"/>
  <c r="Y2671" i="2"/>
  <c r="Y2672" i="2"/>
  <c r="Y2673" i="2"/>
  <c r="Y2674" i="2"/>
  <c r="Y2675" i="2"/>
  <c r="Y2676" i="2"/>
  <c r="Y2677" i="2"/>
  <c r="Y2678" i="2"/>
  <c r="Y2679" i="2"/>
  <c r="Y2680" i="2"/>
  <c r="Y2681" i="2"/>
  <c r="Y2682" i="2"/>
  <c r="Y2683" i="2"/>
  <c r="Y2684" i="2"/>
  <c r="Y2685" i="2"/>
  <c r="Y2686" i="2"/>
  <c r="Y2687" i="2"/>
  <c r="Y2688" i="2"/>
  <c r="Y2689" i="2"/>
  <c r="Y2690" i="2"/>
  <c r="Y2691" i="2"/>
  <c r="Y2692" i="2"/>
  <c r="Y2693" i="2"/>
  <c r="Y2694" i="2"/>
  <c r="Y2695" i="2"/>
  <c r="Y2696" i="2"/>
  <c r="Y2697" i="2"/>
  <c r="Y2698" i="2"/>
  <c r="Y2699" i="2"/>
  <c r="Y2700" i="2"/>
  <c r="Y2701" i="2"/>
  <c r="Y2702" i="2"/>
  <c r="Y2703" i="2"/>
  <c r="Y2704" i="2"/>
  <c r="Y2705" i="2"/>
  <c r="Y2706" i="2"/>
  <c r="Y2707" i="2"/>
  <c r="Y2708" i="2"/>
  <c r="Y2709" i="2"/>
  <c r="Y2710" i="2"/>
  <c r="Y2711" i="2"/>
  <c r="Y2712" i="2"/>
  <c r="Y2713" i="2"/>
  <c r="Y2714" i="2"/>
  <c r="Y2715" i="2"/>
  <c r="Y2716" i="2"/>
  <c r="Y2717" i="2"/>
  <c r="Y2718" i="2"/>
  <c r="Y2719" i="2"/>
  <c r="Y2720" i="2"/>
  <c r="Y2721" i="2"/>
  <c r="Y2722" i="2"/>
  <c r="Y2723" i="2"/>
  <c r="Y2724" i="2"/>
  <c r="Y2725" i="2"/>
  <c r="Y2726" i="2"/>
  <c r="Y2727" i="2"/>
  <c r="Y2728" i="2"/>
  <c r="Y2729" i="2"/>
  <c r="Y2730" i="2"/>
  <c r="Y2731" i="2"/>
  <c r="Y2732" i="2"/>
  <c r="Y2733" i="2"/>
  <c r="Y2734" i="2"/>
  <c r="Y2735" i="2"/>
  <c r="Y2736" i="2"/>
  <c r="Y2737" i="2"/>
  <c r="Y2738" i="2"/>
  <c r="Y2739" i="2"/>
  <c r="Y2740" i="2"/>
  <c r="Y2741" i="2"/>
  <c r="Y2742" i="2"/>
  <c r="Y2743" i="2"/>
  <c r="Y2744" i="2"/>
  <c r="Y2745" i="2"/>
  <c r="Y2746" i="2"/>
  <c r="Y2747" i="2"/>
  <c r="Y2748" i="2"/>
  <c r="Y2749" i="2"/>
  <c r="Y2750" i="2"/>
  <c r="Y2751" i="2"/>
  <c r="Y2752" i="2"/>
  <c r="Y2753" i="2"/>
  <c r="Y2754" i="2"/>
  <c r="Y2755" i="2"/>
  <c r="Y2756" i="2"/>
  <c r="Y2757" i="2"/>
  <c r="Y2758" i="2"/>
  <c r="Y2759" i="2"/>
  <c r="Y2760" i="2"/>
  <c r="Y2761" i="2"/>
  <c r="Y2762" i="2"/>
  <c r="Y2763" i="2"/>
  <c r="Y2764" i="2"/>
  <c r="Y2765" i="2"/>
  <c r="Y2766" i="2"/>
  <c r="Y2767" i="2"/>
  <c r="Y2768" i="2"/>
  <c r="Y2769" i="2"/>
  <c r="Y2770" i="2"/>
  <c r="Y2771" i="2"/>
  <c r="Y2772" i="2"/>
  <c r="Y2773" i="2"/>
  <c r="Y2774" i="2"/>
  <c r="Y2775" i="2"/>
  <c r="Y2776" i="2"/>
  <c r="Y2777" i="2"/>
  <c r="Y2778" i="2"/>
  <c r="Y2779" i="2"/>
  <c r="Y2780" i="2"/>
  <c r="Y2781" i="2"/>
  <c r="Y2782" i="2"/>
  <c r="Y2783" i="2"/>
  <c r="Y2784" i="2"/>
  <c r="Y2785" i="2"/>
  <c r="Y2786" i="2"/>
  <c r="Y2787" i="2"/>
  <c r="Y2788" i="2"/>
  <c r="Y2789" i="2"/>
  <c r="Y2790" i="2"/>
  <c r="Y2791" i="2"/>
  <c r="Y2792" i="2"/>
  <c r="Y2793" i="2"/>
  <c r="Y2794" i="2"/>
  <c r="Y2795" i="2"/>
  <c r="Y2796" i="2"/>
  <c r="Y2797" i="2"/>
  <c r="Y2798" i="2"/>
  <c r="Y2799" i="2"/>
  <c r="Y2800" i="2"/>
  <c r="Y2801" i="2"/>
  <c r="Y2802" i="2"/>
  <c r="Y2803" i="2"/>
  <c r="Y2804" i="2"/>
  <c r="Y2805" i="2"/>
  <c r="Y2806" i="2"/>
  <c r="Y2807" i="2"/>
  <c r="Y2808" i="2"/>
  <c r="Y2809" i="2"/>
  <c r="Y2810" i="2"/>
  <c r="Y2811" i="2"/>
  <c r="Y2812" i="2"/>
  <c r="Y2813" i="2"/>
  <c r="Y2814" i="2"/>
  <c r="Y2815" i="2"/>
  <c r="Y2816" i="2"/>
  <c r="Y2817" i="2"/>
  <c r="Y2818" i="2"/>
  <c r="Y2819" i="2"/>
  <c r="Y2820" i="2"/>
  <c r="Y2821" i="2"/>
  <c r="Y2822" i="2"/>
  <c r="Y2823" i="2"/>
  <c r="Y2824" i="2"/>
  <c r="Y2825" i="2"/>
  <c r="Y2826" i="2"/>
  <c r="Y2827" i="2"/>
  <c r="Y2828" i="2"/>
  <c r="Y2829" i="2"/>
  <c r="Y2830" i="2"/>
  <c r="Y2831" i="2"/>
  <c r="Y2832" i="2"/>
  <c r="Y2833" i="2"/>
  <c r="Y2834" i="2"/>
  <c r="Y2835" i="2"/>
  <c r="Y2836" i="2"/>
  <c r="Y2837" i="2"/>
  <c r="Y2838" i="2"/>
  <c r="Y2839" i="2"/>
  <c r="Y2840" i="2"/>
  <c r="Y2841" i="2"/>
  <c r="Y2842" i="2"/>
  <c r="Y2843" i="2"/>
  <c r="Y2844" i="2"/>
  <c r="Y2845" i="2"/>
  <c r="Y2846" i="2"/>
  <c r="Y2847" i="2"/>
  <c r="Y2848" i="2"/>
  <c r="Y2849" i="2"/>
  <c r="Y2850" i="2"/>
  <c r="Y2851" i="2"/>
  <c r="Y2852" i="2"/>
  <c r="Y2853" i="2"/>
  <c r="Y2854" i="2"/>
  <c r="Y2855" i="2"/>
  <c r="Y2856" i="2"/>
  <c r="Y2857" i="2"/>
  <c r="Y2858" i="2"/>
  <c r="Y2859" i="2"/>
  <c r="Y2860" i="2"/>
  <c r="Y2861" i="2"/>
  <c r="Y2862" i="2"/>
  <c r="Y2863" i="2"/>
  <c r="Y2864" i="2"/>
  <c r="Y2865" i="2"/>
  <c r="Y2866" i="2"/>
  <c r="Y2867" i="2"/>
  <c r="Y2868" i="2"/>
  <c r="Y2869" i="2"/>
  <c r="Y2870" i="2"/>
  <c r="Y2871" i="2"/>
  <c r="Y2872" i="2"/>
  <c r="Y2873" i="2"/>
  <c r="Y2874" i="2"/>
  <c r="Y2875" i="2"/>
  <c r="Y2876" i="2"/>
  <c r="Y2877" i="2"/>
  <c r="Y2878" i="2"/>
  <c r="Y2879" i="2"/>
  <c r="Y2880" i="2"/>
  <c r="Y2881" i="2"/>
  <c r="Y2882" i="2"/>
  <c r="Y2883" i="2"/>
  <c r="Y2884" i="2"/>
  <c r="Y2885" i="2"/>
  <c r="Y2886" i="2"/>
  <c r="Y2887" i="2"/>
  <c r="Y2888" i="2"/>
  <c r="Y2889" i="2"/>
  <c r="Y2890" i="2"/>
  <c r="Y2891" i="2"/>
  <c r="Y2892" i="2"/>
  <c r="Y2893" i="2"/>
  <c r="Y2894" i="2"/>
  <c r="Y2895" i="2"/>
  <c r="Y2896" i="2"/>
  <c r="Y2897" i="2"/>
  <c r="Y2898" i="2"/>
  <c r="Y2899" i="2"/>
  <c r="Y2900" i="2"/>
  <c r="Y2901" i="2"/>
  <c r="Y2902" i="2"/>
  <c r="Y2903" i="2"/>
  <c r="Y2904" i="2"/>
  <c r="Y2905" i="2"/>
  <c r="Y2906" i="2"/>
  <c r="Y2907" i="2"/>
  <c r="Y2908" i="2"/>
  <c r="Y2909" i="2"/>
  <c r="Y2910" i="2"/>
  <c r="Y2911" i="2"/>
  <c r="Y2912" i="2"/>
  <c r="Y2913" i="2"/>
  <c r="Y2914" i="2"/>
  <c r="Y2915" i="2"/>
  <c r="Y2916" i="2"/>
  <c r="Y2917" i="2"/>
  <c r="Y2918" i="2"/>
  <c r="Y2919" i="2"/>
  <c r="Y2920" i="2"/>
  <c r="Y2921" i="2"/>
  <c r="Y2922" i="2"/>
  <c r="Y2923" i="2"/>
  <c r="Y2924" i="2"/>
  <c r="Y2925" i="2"/>
  <c r="Y2926" i="2"/>
  <c r="Y2927" i="2"/>
  <c r="Y2928" i="2"/>
  <c r="Y2929" i="2"/>
  <c r="Y2930" i="2"/>
  <c r="Y2931" i="2"/>
  <c r="Y2932" i="2"/>
  <c r="Y2933" i="2"/>
  <c r="Y2934" i="2"/>
  <c r="Y2935" i="2"/>
  <c r="Y2936" i="2"/>
  <c r="Y2937" i="2"/>
  <c r="Y2938" i="2"/>
  <c r="Y2939" i="2"/>
  <c r="Y2940" i="2"/>
  <c r="Y2941" i="2"/>
  <c r="Y2942" i="2"/>
  <c r="Y2943" i="2"/>
  <c r="Y2944" i="2"/>
  <c r="Y2945" i="2"/>
  <c r="Y2946" i="2"/>
  <c r="Y2947" i="2"/>
  <c r="Y2948" i="2"/>
  <c r="Y2949" i="2"/>
  <c r="Y2950" i="2"/>
  <c r="Y2951" i="2"/>
  <c r="Y2952" i="2"/>
  <c r="Y2953" i="2"/>
  <c r="Y2954" i="2"/>
  <c r="Y2955" i="2"/>
  <c r="Y2956" i="2"/>
  <c r="Y2957" i="2"/>
  <c r="Y2958" i="2"/>
  <c r="Y2959" i="2"/>
  <c r="Y2960" i="2"/>
  <c r="Y2961" i="2"/>
  <c r="Y2962" i="2"/>
  <c r="Y2963" i="2"/>
  <c r="Y2964" i="2"/>
  <c r="Y2965" i="2"/>
  <c r="Y2966" i="2"/>
  <c r="Y2967" i="2"/>
  <c r="Y2968" i="2"/>
  <c r="Y2969" i="2"/>
  <c r="Y2970" i="2"/>
  <c r="Y2971" i="2"/>
  <c r="Y2972" i="2"/>
  <c r="Y2973" i="2"/>
  <c r="Y2974" i="2"/>
  <c r="Y2975" i="2"/>
  <c r="Y2976" i="2"/>
  <c r="Y2977" i="2"/>
  <c r="Y2978" i="2"/>
  <c r="Y2979" i="2"/>
  <c r="Y2980" i="2"/>
  <c r="Y2981" i="2"/>
  <c r="Y2982" i="2"/>
  <c r="Y2983" i="2"/>
  <c r="Y2984" i="2"/>
  <c r="Y2985" i="2"/>
  <c r="Y2986" i="2"/>
  <c r="Y2987" i="2"/>
  <c r="Y2988" i="2"/>
  <c r="Y2989" i="2"/>
  <c r="Y2990" i="2"/>
  <c r="Y2991" i="2"/>
  <c r="Y2992" i="2"/>
  <c r="Y2993" i="2"/>
  <c r="Y2994" i="2"/>
  <c r="Y2995" i="2"/>
  <c r="Y2996" i="2"/>
  <c r="Y2997" i="2"/>
  <c r="Y2998" i="2"/>
  <c r="Y2999" i="2"/>
  <c r="Y3000" i="2"/>
  <c r="Y3001" i="2"/>
  <c r="Y3002" i="2"/>
  <c r="Y3003" i="2"/>
  <c r="Y3004" i="2"/>
  <c r="Y3005" i="2"/>
  <c r="Y3006" i="2"/>
  <c r="Y3007" i="2"/>
  <c r="Y3008" i="2"/>
  <c r="Y3009" i="2"/>
  <c r="Y3010" i="2"/>
  <c r="Y3011" i="2"/>
  <c r="Y3012" i="2"/>
  <c r="Y3013" i="2"/>
  <c r="Y3014" i="2"/>
  <c r="Y3015" i="2"/>
  <c r="Y3016" i="2"/>
  <c r="Y3017" i="2"/>
  <c r="Y3018" i="2"/>
  <c r="Y3019" i="2"/>
  <c r="Y3020" i="2"/>
  <c r="Y3021" i="2"/>
  <c r="Y3022" i="2"/>
  <c r="Y3023" i="2"/>
  <c r="Y3024" i="2"/>
  <c r="Y3025" i="2"/>
  <c r="Y3026" i="2"/>
  <c r="Y3027" i="2"/>
  <c r="Y3028" i="2"/>
  <c r="Y3029" i="2"/>
  <c r="Y3030" i="2"/>
  <c r="Y3031" i="2"/>
  <c r="Y3032" i="2"/>
  <c r="Y3033" i="2"/>
  <c r="Y3034" i="2"/>
  <c r="Y3035" i="2"/>
  <c r="Y3036" i="2"/>
  <c r="Y3037" i="2"/>
  <c r="Y3038" i="2"/>
  <c r="Y3039" i="2"/>
  <c r="Y3040" i="2"/>
  <c r="Y3041" i="2"/>
  <c r="Y3042" i="2"/>
  <c r="Y3043" i="2"/>
  <c r="Y3044" i="2"/>
  <c r="Y3045" i="2"/>
  <c r="Y3046" i="2"/>
  <c r="Y3047" i="2"/>
  <c r="Y3048" i="2"/>
  <c r="Y3049" i="2"/>
  <c r="Y3050" i="2"/>
  <c r="Y3051" i="2"/>
  <c r="Y3052" i="2"/>
  <c r="Y3053" i="2"/>
  <c r="Y3054" i="2"/>
  <c r="Y3055" i="2"/>
  <c r="Y3056" i="2"/>
  <c r="Y3057" i="2"/>
  <c r="Y3058" i="2"/>
  <c r="Y3059" i="2"/>
  <c r="Y3060" i="2"/>
  <c r="Y3061" i="2"/>
  <c r="Y3062" i="2"/>
  <c r="Y3063" i="2"/>
  <c r="Y3064" i="2"/>
  <c r="Y3065" i="2"/>
  <c r="Y3066" i="2"/>
  <c r="Y3067" i="2"/>
  <c r="Y3068" i="2"/>
  <c r="Y3069" i="2"/>
  <c r="Y3070" i="2"/>
  <c r="Y3071" i="2"/>
  <c r="Y3072" i="2"/>
  <c r="Y3073" i="2"/>
  <c r="Y3074" i="2"/>
  <c r="Y3075" i="2"/>
  <c r="Y3076" i="2"/>
  <c r="Y3077" i="2"/>
  <c r="Y3078" i="2"/>
  <c r="Y3079" i="2"/>
  <c r="Y3080" i="2"/>
  <c r="Y3081" i="2"/>
  <c r="Y3082" i="2"/>
  <c r="Y3083" i="2"/>
  <c r="Y3084" i="2"/>
  <c r="Y3085" i="2"/>
  <c r="Y3086" i="2"/>
  <c r="Y3087" i="2"/>
  <c r="Y3088" i="2"/>
  <c r="Y3089" i="2"/>
  <c r="Y3090" i="2"/>
  <c r="Y3091" i="2"/>
  <c r="Y3092" i="2"/>
  <c r="Y3093" i="2"/>
  <c r="Y3094" i="2"/>
  <c r="Y3095" i="2"/>
  <c r="Y3096" i="2"/>
  <c r="Y3097" i="2"/>
  <c r="Y3098" i="2"/>
  <c r="Y3099" i="2"/>
  <c r="Y3100" i="2"/>
  <c r="Y3101" i="2"/>
  <c r="Y3102" i="2"/>
  <c r="Y3103" i="2"/>
  <c r="Y3104" i="2"/>
  <c r="Y3105" i="2"/>
  <c r="Y3106" i="2"/>
  <c r="Y3107" i="2"/>
  <c r="Y3108" i="2"/>
  <c r="Y3109" i="2"/>
  <c r="Y3110" i="2"/>
  <c r="Y3111" i="2"/>
  <c r="Y3112" i="2"/>
  <c r="Y3113" i="2"/>
  <c r="Y3114" i="2"/>
  <c r="Y3115" i="2"/>
  <c r="Y3116" i="2"/>
  <c r="Y3117" i="2"/>
  <c r="Y3118" i="2"/>
  <c r="Y3119" i="2"/>
  <c r="Y3120" i="2"/>
  <c r="Y3121" i="2"/>
  <c r="Y3122" i="2"/>
  <c r="Y3123" i="2"/>
  <c r="Y3124" i="2"/>
  <c r="Y3125" i="2"/>
  <c r="Y3126" i="2"/>
  <c r="Y3127" i="2"/>
  <c r="Y3128" i="2"/>
  <c r="Y3129" i="2"/>
  <c r="Y3130" i="2"/>
  <c r="Y3131" i="2"/>
  <c r="Y3132" i="2"/>
  <c r="Y3133" i="2"/>
  <c r="Y3134" i="2"/>
  <c r="Y3135" i="2"/>
  <c r="Y3136" i="2"/>
  <c r="Y3137" i="2"/>
  <c r="Y3138" i="2"/>
  <c r="Y3139" i="2"/>
  <c r="Y3140" i="2"/>
  <c r="Y3141" i="2"/>
  <c r="Y3142" i="2"/>
  <c r="Y3143" i="2"/>
  <c r="Y3144" i="2"/>
  <c r="Y3145" i="2"/>
  <c r="Y3146" i="2"/>
  <c r="Y3147" i="2"/>
  <c r="Y3148" i="2"/>
  <c r="Y3149" i="2"/>
  <c r="Y3150" i="2"/>
  <c r="Y3151" i="2"/>
  <c r="Y3152" i="2"/>
  <c r="Y3153" i="2"/>
  <c r="Y3154" i="2"/>
  <c r="Y3155" i="2"/>
  <c r="Y3156" i="2"/>
  <c r="Y3157" i="2"/>
  <c r="Y3158" i="2"/>
  <c r="Y3159" i="2"/>
  <c r="Y3160" i="2"/>
  <c r="Y3161" i="2"/>
  <c r="Y3162" i="2"/>
  <c r="Y3163" i="2"/>
  <c r="Y3164" i="2"/>
  <c r="Y3165" i="2"/>
  <c r="Y3166" i="2"/>
  <c r="Y3167" i="2"/>
  <c r="Y3168" i="2"/>
  <c r="Y3169" i="2"/>
  <c r="Y3170" i="2"/>
  <c r="Y3171" i="2"/>
  <c r="Y3172" i="2"/>
  <c r="Y3173" i="2"/>
  <c r="Y3174" i="2"/>
  <c r="Y3175" i="2"/>
  <c r="Y3176" i="2"/>
  <c r="Y3177" i="2"/>
  <c r="Y3178" i="2"/>
  <c r="Y3179" i="2"/>
  <c r="Y3180" i="2"/>
  <c r="Y3181" i="2"/>
  <c r="Y3182" i="2"/>
  <c r="Y3183" i="2"/>
  <c r="Y3184" i="2"/>
  <c r="Y3185" i="2"/>
  <c r="Y3186" i="2"/>
  <c r="Y3187" i="2"/>
  <c r="Y3188" i="2"/>
  <c r="Y3189" i="2"/>
  <c r="Y3190" i="2"/>
  <c r="Y3191" i="2"/>
  <c r="Y3192" i="2"/>
  <c r="Y3193" i="2"/>
  <c r="Y3194" i="2"/>
  <c r="Y3195" i="2"/>
  <c r="Y3196" i="2"/>
  <c r="Y3197" i="2"/>
  <c r="Y3198" i="2"/>
  <c r="Y3199" i="2"/>
  <c r="Y3200" i="2"/>
  <c r="Y3201" i="2"/>
  <c r="Y3202" i="2"/>
  <c r="Y3203" i="2"/>
  <c r="Y3204" i="2"/>
  <c r="Y3205" i="2"/>
  <c r="Y3206" i="2"/>
  <c r="Y3207" i="2"/>
  <c r="Y3208" i="2"/>
  <c r="Y3209" i="2"/>
  <c r="Y3210" i="2"/>
  <c r="Y3211" i="2"/>
  <c r="Y3212" i="2"/>
  <c r="Y3213" i="2"/>
  <c r="Y3214" i="2"/>
  <c r="Y3215" i="2"/>
  <c r="Y3216" i="2"/>
  <c r="Y3217" i="2"/>
  <c r="Y3218" i="2"/>
  <c r="Y3219" i="2"/>
  <c r="Y3220" i="2"/>
  <c r="Y3221" i="2"/>
  <c r="Y3222" i="2"/>
  <c r="Y3223" i="2"/>
  <c r="Y3224" i="2"/>
  <c r="Y3225" i="2"/>
  <c r="Y3226" i="2"/>
  <c r="Y3227" i="2"/>
  <c r="Y3228" i="2"/>
  <c r="Y3229" i="2"/>
  <c r="Y3230" i="2"/>
  <c r="Y3231" i="2"/>
  <c r="Y3232" i="2"/>
  <c r="Y3233" i="2"/>
  <c r="Y3234" i="2"/>
  <c r="Y3235" i="2"/>
  <c r="Y3236" i="2"/>
  <c r="Y3237" i="2"/>
  <c r="Y3238" i="2"/>
  <c r="Y3239" i="2"/>
  <c r="Y3240" i="2"/>
  <c r="Y3241" i="2"/>
  <c r="Y3242" i="2"/>
  <c r="Y3243" i="2"/>
  <c r="Y3244" i="2"/>
  <c r="Y3245" i="2"/>
  <c r="Y3246" i="2"/>
  <c r="Y3247" i="2"/>
  <c r="Y3248" i="2"/>
  <c r="Y3249" i="2"/>
  <c r="Y3250" i="2"/>
  <c r="Y3251" i="2"/>
  <c r="Y3252" i="2"/>
  <c r="Y3253" i="2"/>
  <c r="Y3254" i="2"/>
  <c r="Y3255" i="2"/>
  <c r="Y3256" i="2"/>
  <c r="Y3257" i="2"/>
  <c r="Y3258" i="2"/>
  <c r="Y3259" i="2"/>
  <c r="Y3260" i="2"/>
  <c r="Y3261" i="2"/>
  <c r="Y3262" i="2"/>
  <c r="Y3263" i="2"/>
  <c r="Y3264" i="2"/>
  <c r="Y3265" i="2"/>
  <c r="Y3266" i="2"/>
  <c r="Y3267" i="2"/>
  <c r="Y3268" i="2"/>
  <c r="Y3269" i="2"/>
  <c r="Y3270" i="2"/>
  <c r="Y3271" i="2"/>
  <c r="Y3272" i="2"/>
  <c r="Y3273" i="2"/>
  <c r="Y3274" i="2"/>
  <c r="Y3275" i="2"/>
  <c r="Y3276" i="2"/>
  <c r="Y3277" i="2"/>
  <c r="Y3278" i="2"/>
  <c r="Y3279" i="2"/>
  <c r="Y3280" i="2"/>
  <c r="Y3281" i="2"/>
  <c r="Y3282" i="2"/>
  <c r="Y3283" i="2"/>
  <c r="Y3284" i="2"/>
  <c r="Y3285" i="2"/>
  <c r="Y3286" i="2"/>
  <c r="Y3287" i="2"/>
  <c r="Y3288" i="2"/>
  <c r="Y3289" i="2"/>
  <c r="Y3290" i="2"/>
  <c r="Y3291" i="2"/>
  <c r="Y3292" i="2"/>
  <c r="Y3293" i="2"/>
  <c r="Y3294" i="2"/>
  <c r="Y3295" i="2"/>
  <c r="Y3296" i="2"/>
  <c r="Y3297" i="2"/>
  <c r="Y3298" i="2"/>
  <c r="Y3299" i="2"/>
  <c r="Y3300" i="2"/>
  <c r="Y3301" i="2"/>
  <c r="Y3302" i="2"/>
  <c r="Y3303" i="2"/>
  <c r="Y3304" i="2"/>
  <c r="Y3305" i="2"/>
  <c r="Y3306" i="2"/>
  <c r="Y3307" i="2"/>
  <c r="Y3308" i="2"/>
  <c r="Y3309" i="2"/>
  <c r="Y3310" i="2"/>
  <c r="Y3311" i="2"/>
  <c r="Y3312" i="2"/>
  <c r="Y3313" i="2"/>
  <c r="Y3314" i="2"/>
  <c r="Y3315" i="2"/>
  <c r="Y3316" i="2"/>
  <c r="Y3317" i="2"/>
  <c r="Y3318" i="2"/>
  <c r="Y3319" i="2"/>
  <c r="Y3320" i="2"/>
  <c r="Y3321" i="2"/>
  <c r="Y3322" i="2"/>
  <c r="Y3323" i="2"/>
  <c r="Y3324" i="2"/>
  <c r="Y3325" i="2"/>
  <c r="Y3326" i="2"/>
  <c r="Y3327" i="2"/>
  <c r="Y3328" i="2"/>
  <c r="Y3329" i="2"/>
  <c r="Y3330" i="2"/>
  <c r="Y3331" i="2"/>
  <c r="Y3332" i="2"/>
  <c r="Y3333" i="2"/>
  <c r="Y3334" i="2"/>
  <c r="Y3335" i="2"/>
  <c r="Y3336" i="2"/>
  <c r="Y3337" i="2"/>
  <c r="Y3338" i="2"/>
  <c r="Y3339" i="2"/>
  <c r="Y3340" i="2"/>
  <c r="Y3341" i="2"/>
  <c r="Y3342" i="2"/>
  <c r="Y3343" i="2"/>
  <c r="Y3344" i="2"/>
  <c r="Y3345" i="2"/>
  <c r="Y3346" i="2"/>
  <c r="Y3347" i="2"/>
  <c r="Y3348" i="2"/>
  <c r="Y3349" i="2"/>
  <c r="Y3350" i="2"/>
  <c r="Y3351" i="2"/>
  <c r="Y3352" i="2"/>
  <c r="Y3353" i="2"/>
  <c r="Y3354" i="2"/>
  <c r="Y3355" i="2"/>
  <c r="Y3356" i="2"/>
  <c r="Y3357" i="2"/>
  <c r="Y3358" i="2"/>
  <c r="Y3359" i="2"/>
  <c r="Y3360" i="2"/>
  <c r="Y3361" i="2"/>
  <c r="Y3362" i="2"/>
  <c r="Y3363" i="2"/>
  <c r="Y3364" i="2"/>
  <c r="Y3365" i="2"/>
  <c r="Y3366" i="2"/>
  <c r="Y3367" i="2"/>
  <c r="Y3368" i="2"/>
  <c r="Y3369" i="2"/>
  <c r="Y3370" i="2"/>
  <c r="Y3371" i="2"/>
  <c r="Y3372" i="2"/>
  <c r="Y3373" i="2"/>
  <c r="Y3374" i="2"/>
  <c r="Y3375" i="2"/>
  <c r="Y3376" i="2"/>
  <c r="Y3377" i="2"/>
  <c r="Y3378" i="2"/>
  <c r="Y3379" i="2"/>
  <c r="Y3380" i="2"/>
  <c r="Y3381" i="2"/>
  <c r="Y3382" i="2"/>
  <c r="Y3383" i="2"/>
  <c r="Y3384" i="2"/>
  <c r="Y3385" i="2"/>
  <c r="Y3386" i="2"/>
  <c r="Y3387" i="2"/>
  <c r="Y3388" i="2"/>
  <c r="Y3389" i="2"/>
  <c r="Y3390" i="2"/>
  <c r="Y3391" i="2"/>
  <c r="Y3392" i="2"/>
  <c r="Y3393" i="2"/>
  <c r="Y3394" i="2"/>
  <c r="Y3395" i="2"/>
  <c r="Y3396" i="2"/>
  <c r="Y3397" i="2"/>
  <c r="Y3398" i="2"/>
  <c r="Y3399" i="2"/>
  <c r="Y3400" i="2"/>
  <c r="Y3401" i="2"/>
  <c r="Y3402" i="2"/>
  <c r="Y3403" i="2"/>
  <c r="Y3404" i="2"/>
  <c r="Y3405" i="2"/>
  <c r="Y3406" i="2"/>
  <c r="Y3407" i="2"/>
  <c r="Y3408" i="2"/>
  <c r="Y3409" i="2"/>
  <c r="Y3410" i="2"/>
  <c r="Y3411" i="2"/>
  <c r="Y3412" i="2"/>
  <c r="Y3413" i="2"/>
  <c r="Y3414" i="2"/>
  <c r="Y3415" i="2"/>
  <c r="Y3416" i="2"/>
  <c r="Y3417" i="2"/>
  <c r="Y3418" i="2"/>
  <c r="Y3419" i="2"/>
  <c r="Y3420" i="2"/>
  <c r="Y3421" i="2"/>
  <c r="Y3422" i="2"/>
  <c r="Y3423" i="2"/>
  <c r="Y3424" i="2"/>
  <c r="Y3425" i="2"/>
  <c r="Y3426" i="2"/>
  <c r="Y3427" i="2"/>
  <c r="Y3428" i="2"/>
  <c r="Y3429" i="2"/>
  <c r="Y3430" i="2"/>
  <c r="Y3431" i="2"/>
  <c r="Y3432" i="2"/>
  <c r="Y3433" i="2"/>
  <c r="Y3434" i="2"/>
  <c r="Y3435" i="2"/>
  <c r="Y3436" i="2"/>
  <c r="Y3437" i="2"/>
  <c r="Y3438" i="2"/>
  <c r="Y3439" i="2"/>
  <c r="Y3440" i="2"/>
  <c r="Y3441" i="2"/>
  <c r="Y3442" i="2"/>
  <c r="Y3443" i="2"/>
  <c r="Y3444" i="2"/>
  <c r="Y3445" i="2"/>
  <c r="Y3446" i="2"/>
  <c r="Y3447" i="2"/>
  <c r="Y3448" i="2"/>
  <c r="Y3449" i="2"/>
  <c r="Y3450" i="2"/>
  <c r="Y3451" i="2"/>
  <c r="Y3452" i="2"/>
  <c r="Y3453" i="2"/>
  <c r="Y3454" i="2"/>
  <c r="Y3455" i="2"/>
  <c r="Y3456" i="2"/>
  <c r="Y3457" i="2"/>
  <c r="Y3458" i="2"/>
  <c r="Y3459" i="2"/>
  <c r="Y3460" i="2"/>
  <c r="Y3461" i="2"/>
  <c r="Y3462" i="2"/>
  <c r="Y3463" i="2"/>
  <c r="Y3464" i="2"/>
  <c r="Y3465" i="2"/>
  <c r="Y3466" i="2"/>
  <c r="Y3467" i="2"/>
  <c r="Y3468" i="2"/>
  <c r="Y3469" i="2"/>
  <c r="Y3470" i="2"/>
  <c r="Y3471" i="2"/>
  <c r="Y3472" i="2"/>
  <c r="Y3473" i="2"/>
  <c r="Y3474" i="2"/>
  <c r="Y3475" i="2"/>
  <c r="Y3476" i="2"/>
  <c r="Y3477" i="2"/>
  <c r="Y3478" i="2"/>
  <c r="Y3479" i="2"/>
  <c r="Y3480" i="2"/>
  <c r="Y3481" i="2"/>
  <c r="Y3482" i="2"/>
  <c r="Y3483" i="2"/>
  <c r="Y3484" i="2"/>
  <c r="Y3485" i="2"/>
  <c r="Y3486" i="2"/>
  <c r="Y3487" i="2"/>
  <c r="Y3488" i="2"/>
  <c r="Y3489" i="2"/>
  <c r="Y3490" i="2"/>
  <c r="Y3491" i="2"/>
  <c r="Y3492" i="2"/>
  <c r="Y3493" i="2"/>
  <c r="Y3494" i="2"/>
  <c r="Y3495" i="2"/>
  <c r="Y3496" i="2"/>
  <c r="Y3497" i="2"/>
  <c r="Y3498" i="2"/>
  <c r="Y3499" i="2"/>
  <c r="Y3500" i="2"/>
  <c r="Y3501" i="2"/>
  <c r="Y3502" i="2"/>
  <c r="Y3503" i="2"/>
  <c r="Y3504" i="2"/>
  <c r="Y3505" i="2"/>
  <c r="Y3506" i="2"/>
  <c r="Y3507" i="2"/>
  <c r="Y3508" i="2"/>
  <c r="Y3509" i="2"/>
  <c r="Y3510" i="2"/>
  <c r="Y3511" i="2"/>
  <c r="Y3512" i="2"/>
  <c r="Y3513" i="2"/>
  <c r="Y3514" i="2"/>
  <c r="Y3515" i="2"/>
  <c r="Y3516" i="2"/>
  <c r="Y3517" i="2"/>
  <c r="Y3518" i="2"/>
  <c r="Y3519" i="2"/>
  <c r="Y3520" i="2"/>
  <c r="Y3521" i="2"/>
  <c r="Y3522" i="2"/>
  <c r="Y3523" i="2"/>
  <c r="Y3524" i="2"/>
  <c r="Y3525" i="2"/>
  <c r="Y3526" i="2"/>
  <c r="Y3527" i="2"/>
  <c r="Y3528" i="2"/>
  <c r="Y3529" i="2"/>
  <c r="Y3530" i="2"/>
  <c r="Y3531" i="2"/>
  <c r="Y3532" i="2"/>
  <c r="Y3533" i="2"/>
  <c r="Y3534" i="2"/>
  <c r="Y3535" i="2"/>
  <c r="Y3536" i="2"/>
  <c r="Y3537" i="2"/>
  <c r="Y3538" i="2"/>
  <c r="Y3539" i="2"/>
  <c r="Y3540" i="2"/>
  <c r="Y3541" i="2"/>
  <c r="Y3542" i="2"/>
  <c r="Y3543" i="2"/>
  <c r="Y3544" i="2"/>
  <c r="Y3545" i="2"/>
  <c r="Y3546" i="2"/>
  <c r="Y3547" i="2"/>
  <c r="Y3548" i="2"/>
  <c r="Y3549" i="2"/>
  <c r="Y3550" i="2"/>
  <c r="Y3551" i="2"/>
  <c r="Y3552" i="2"/>
  <c r="Y3553" i="2"/>
  <c r="Y3554" i="2"/>
  <c r="Y3555" i="2"/>
  <c r="Y3556" i="2"/>
  <c r="Y3557" i="2"/>
  <c r="Y3558" i="2"/>
  <c r="Y3559" i="2"/>
  <c r="Y3560" i="2"/>
  <c r="Y3561" i="2"/>
  <c r="Y3562" i="2"/>
  <c r="Y3563" i="2"/>
  <c r="Y3564" i="2"/>
  <c r="Y3565" i="2"/>
  <c r="Y3566" i="2"/>
  <c r="Y3567" i="2"/>
  <c r="Y3568" i="2"/>
  <c r="Y3569" i="2"/>
  <c r="Y3570" i="2"/>
  <c r="Y3571" i="2"/>
  <c r="Y3572" i="2"/>
  <c r="Y3573" i="2"/>
  <c r="Y3574" i="2"/>
  <c r="Y3575" i="2"/>
  <c r="Y3576" i="2"/>
  <c r="Y3577" i="2"/>
  <c r="Y3578" i="2"/>
  <c r="Y3579" i="2"/>
  <c r="Y3580" i="2"/>
  <c r="Y3581" i="2"/>
  <c r="Y3582" i="2"/>
  <c r="Y3583" i="2"/>
  <c r="Y3584" i="2"/>
  <c r="Y3585" i="2"/>
  <c r="Y3586" i="2"/>
  <c r="Y3587" i="2"/>
  <c r="Y3588" i="2"/>
  <c r="Y3589" i="2"/>
  <c r="Y3590" i="2"/>
  <c r="Y3591" i="2"/>
  <c r="Y3592" i="2"/>
  <c r="Y3593" i="2"/>
  <c r="Y3594" i="2"/>
  <c r="Y3595" i="2"/>
  <c r="Y3596" i="2"/>
  <c r="Y3597" i="2"/>
  <c r="Y3598" i="2"/>
  <c r="Y3599" i="2"/>
  <c r="Y3600" i="2"/>
  <c r="Y3601" i="2"/>
  <c r="Y3602" i="2"/>
  <c r="Y3603" i="2"/>
  <c r="Y3604" i="2"/>
  <c r="Y3605" i="2"/>
  <c r="Y3606" i="2"/>
  <c r="Y3607" i="2"/>
  <c r="Y3608" i="2"/>
  <c r="Y3609" i="2"/>
  <c r="Y3610" i="2"/>
  <c r="Y3611" i="2"/>
  <c r="Y3612" i="2"/>
  <c r="Y3613" i="2"/>
  <c r="Y3614" i="2"/>
  <c r="Y3615" i="2"/>
  <c r="Y3616" i="2"/>
  <c r="Y3617" i="2"/>
  <c r="Y3618" i="2"/>
  <c r="Y3619" i="2"/>
  <c r="Y3620" i="2"/>
  <c r="Y3621" i="2"/>
  <c r="Y3622" i="2"/>
  <c r="Y3623" i="2"/>
  <c r="Y3624" i="2"/>
  <c r="Y3625" i="2"/>
  <c r="Y3626" i="2"/>
  <c r="Y3627" i="2"/>
  <c r="Y3628" i="2"/>
  <c r="Y3629" i="2"/>
  <c r="Y3630" i="2"/>
  <c r="Y3631" i="2"/>
  <c r="Y3632" i="2"/>
  <c r="Y3633" i="2"/>
  <c r="Y3634" i="2"/>
  <c r="Y3635" i="2"/>
  <c r="Y3636" i="2"/>
  <c r="Y3637" i="2"/>
  <c r="Y3638" i="2"/>
  <c r="Y3639" i="2"/>
  <c r="Y3640" i="2"/>
  <c r="Y3641" i="2"/>
  <c r="Y3642" i="2"/>
  <c r="Y3643" i="2"/>
  <c r="Y3644" i="2"/>
  <c r="Y3645" i="2"/>
  <c r="Y3646" i="2"/>
  <c r="Y3647" i="2"/>
  <c r="Y3648" i="2"/>
  <c r="Y3649" i="2"/>
  <c r="Y3650" i="2"/>
  <c r="Y3651" i="2"/>
  <c r="Y3652" i="2"/>
  <c r="Y3653" i="2"/>
  <c r="Y3654" i="2"/>
  <c r="Y3655" i="2"/>
  <c r="Y3656" i="2"/>
  <c r="Y3657" i="2"/>
  <c r="Y3658" i="2"/>
  <c r="Y3659" i="2"/>
  <c r="Y3660" i="2"/>
  <c r="Y3661" i="2"/>
  <c r="Y3662" i="2"/>
  <c r="Y3663" i="2"/>
  <c r="Y3664" i="2"/>
  <c r="Y3665" i="2"/>
  <c r="Y3666" i="2"/>
  <c r="Y3667" i="2"/>
  <c r="Y3668" i="2"/>
  <c r="Y3669" i="2"/>
  <c r="Y3670" i="2"/>
  <c r="Y3671" i="2"/>
  <c r="Y3672" i="2"/>
  <c r="Y3673" i="2"/>
  <c r="Y3674" i="2"/>
  <c r="Y3675" i="2"/>
  <c r="Y3676" i="2"/>
  <c r="Y3677" i="2"/>
  <c r="Y3678" i="2"/>
  <c r="Y3679" i="2"/>
  <c r="Y3680" i="2"/>
  <c r="Y3681" i="2"/>
  <c r="Y3682" i="2"/>
  <c r="Y3683" i="2"/>
  <c r="Y3684" i="2"/>
  <c r="Y3685" i="2"/>
  <c r="Y3686" i="2"/>
  <c r="Y3687" i="2"/>
  <c r="Y3688" i="2"/>
  <c r="Y3689" i="2"/>
  <c r="Y3690" i="2"/>
  <c r="Y3691" i="2"/>
  <c r="Y3692" i="2"/>
  <c r="Y3693" i="2"/>
  <c r="Y3694" i="2"/>
  <c r="Y3695" i="2"/>
  <c r="Y3696" i="2"/>
  <c r="Y3697" i="2"/>
  <c r="Y3698" i="2"/>
  <c r="Y3699" i="2"/>
  <c r="Y3700" i="2"/>
  <c r="Y3701" i="2"/>
  <c r="Y3702" i="2"/>
  <c r="Y3703" i="2"/>
  <c r="Y3704" i="2"/>
  <c r="Y3705" i="2"/>
  <c r="Y3706" i="2"/>
  <c r="Y3707" i="2"/>
  <c r="Y3708" i="2"/>
  <c r="Y3709" i="2"/>
  <c r="Y3710" i="2"/>
  <c r="Y3711" i="2"/>
  <c r="Y3712" i="2"/>
  <c r="Y3713" i="2"/>
  <c r="Y3714" i="2"/>
  <c r="Y3715" i="2"/>
  <c r="Y3716" i="2"/>
  <c r="Y3717" i="2"/>
  <c r="Y3718" i="2"/>
  <c r="Y3719" i="2"/>
  <c r="Y3720" i="2"/>
  <c r="Y3721" i="2"/>
  <c r="Y3722" i="2"/>
  <c r="Y3723" i="2"/>
  <c r="Y3724" i="2"/>
  <c r="Y3725" i="2"/>
  <c r="Y3726" i="2"/>
  <c r="Y3727" i="2"/>
  <c r="Y3728" i="2"/>
  <c r="Y3729" i="2"/>
  <c r="Y3730" i="2"/>
  <c r="Y3731" i="2"/>
  <c r="Y3732" i="2"/>
  <c r="Y3733" i="2"/>
  <c r="Y3734" i="2"/>
  <c r="Y3735" i="2"/>
  <c r="Y4" i="2"/>
  <c r="AQ4" i="2" s="1"/>
  <c r="T2" i="2" a="1"/>
  <c r="C21" i="3"/>
  <c r="C15" i="3"/>
  <c r="D15" i="3"/>
  <c r="F10" i="3"/>
  <c r="BC13" i="4" l="1"/>
  <c r="AI13" i="4"/>
  <c r="AB13" i="4" s="1"/>
  <c r="AA13" i="4" s="1"/>
  <c r="AC13" i="4" s="1"/>
  <c r="BC14" i="4"/>
  <c r="AI14" i="4"/>
  <c r="AB14" i="4" s="1"/>
  <c r="AI6" i="4"/>
  <c r="AB6" i="4" s="1"/>
  <c r="AX7" i="4"/>
  <c r="AW7" i="4" s="1"/>
  <c r="AY7" i="4" s="1"/>
  <c r="AX8" i="4"/>
  <c r="AW8" i="4" s="1"/>
  <c r="AY8" i="4" s="1"/>
  <c r="AA8" i="4"/>
  <c r="AC8" i="4" s="1"/>
  <c r="AX5" i="4"/>
  <c r="AW5" i="4" s="1"/>
  <c r="BC3" i="4"/>
  <c r="AY10" i="4"/>
  <c r="AY9" i="4"/>
  <c r="AI4" i="4"/>
  <c r="AB4" i="4" s="1"/>
  <c r="AX4" i="4" s="1"/>
  <c r="AI3" i="4"/>
  <c r="AB3" i="4" s="1"/>
  <c r="BC4" i="4"/>
  <c r="C35" i="3"/>
  <c r="C36" i="3" s="1"/>
  <c r="C37" i="3" s="1"/>
  <c r="C38" i="3" s="1"/>
  <c r="C25" i="3"/>
  <c r="C26" i="3" s="1"/>
  <c r="D24" i="3"/>
  <c r="D28" i="3"/>
  <c r="E12" i="3"/>
  <c r="E21" i="3"/>
  <c r="D21" i="3"/>
  <c r="T2" i="2"/>
  <c r="V16" i="2"/>
  <c r="V28" i="2"/>
  <c r="V40" i="2"/>
  <c r="V52" i="2"/>
  <c r="U13" i="2"/>
  <c r="U25" i="2"/>
  <c r="V41" i="2"/>
  <c r="U38" i="2"/>
  <c r="V53" i="2"/>
  <c r="V6" i="2"/>
  <c r="V18" i="2"/>
  <c r="V30" i="2"/>
  <c r="V42" i="2"/>
  <c r="V54" i="2"/>
  <c r="U15" i="2"/>
  <c r="U27" i="2"/>
  <c r="U39" i="2"/>
  <c r="U51" i="2"/>
  <c r="V7" i="2"/>
  <c r="V19" i="2"/>
  <c r="V31" i="2"/>
  <c r="V43" i="2"/>
  <c r="V4" i="2"/>
  <c r="U16" i="2"/>
  <c r="U28" i="2"/>
  <c r="U40" i="2"/>
  <c r="U52" i="2"/>
  <c r="V21" i="2"/>
  <c r="V45" i="2"/>
  <c r="U30" i="2"/>
  <c r="U54" i="2"/>
  <c r="V22" i="2"/>
  <c r="V34" i="2"/>
  <c r="U7" i="2"/>
  <c r="U31" i="2"/>
  <c r="U43" i="2"/>
  <c r="V11" i="2"/>
  <c r="V35" i="2"/>
  <c r="U44" i="2"/>
  <c r="U20" i="2"/>
  <c r="V8" i="2"/>
  <c r="V20" i="2"/>
  <c r="V32" i="2"/>
  <c r="V44" i="2"/>
  <c r="U5" i="2"/>
  <c r="U17" i="2"/>
  <c r="U29" i="2"/>
  <c r="U41" i="2"/>
  <c r="U53" i="2"/>
  <c r="V9" i="2"/>
  <c r="V33" i="2"/>
  <c r="U6" i="2"/>
  <c r="U18" i="2"/>
  <c r="U42" i="2"/>
  <c r="V46" i="2"/>
  <c r="U4" i="2"/>
  <c r="V23" i="2"/>
  <c r="U32" i="2"/>
  <c r="U8" i="2"/>
  <c r="V10" i="2"/>
  <c r="U19" i="2"/>
  <c r="V47" i="2"/>
  <c r="U26" i="2"/>
  <c r="V29" i="2"/>
  <c r="U49" i="2"/>
  <c r="U36" i="2"/>
  <c r="U12" i="2"/>
  <c r="V15" i="2"/>
  <c r="U47" i="2"/>
  <c r="U35" i="2"/>
  <c r="U23" i="2"/>
  <c r="U11" i="2"/>
  <c r="V50" i="2"/>
  <c r="V38" i="2"/>
  <c r="V26" i="2"/>
  <c r="V14" i="2"/>
  <c r="U14" i="2"/>
  <c r="V17" i="2"/>
  <c r="U37" i="2"/>
  <c r="U48" i="2"/>
  <c r="U24" i="2"/>
  <c r="V51" i="2"/>
  <c r="V39" i="2"/>
  <c r="V27" i="2"/>
  <c r="U46" i="2"/>
  <c r="U34" i="2"/>
  <c r="U22" i="2"/>
  <c r="U10" i="2"/>
  <c r="V49" i="2"/>
  <c r="V37" i="2"/>
  <c r="V25" i="2"/>
  <c r="V13" i="2"/>
  <c r="U50" i="2"/>
  <c r="V5" i="2"/>
  <c r="U45" i="2"/>
  <c r="U33" i="2"/>
  <c r="U21" i="2"/>
  <c r="U9" i="2"/>
  <c r="V48" i="2"/>
  <c r="V36" i="2"/>
  <c r="V24" i="2"/>
  <c r="V12" i="2"/>
  <c r="D35" i="3"/>
  <c r="F14" i="3"/>
  <c r="AX14" i="4" l="1"/>
  <c r="AW14" i="4" s="1"/>
  <c r="AY14" i="4" s="1"/>
  <c r="AA14" i="4"/>
  <c r="AC14" i="4" s="1"/>
  <c r="AX13" i="4"/>
  <c r="AW13" i="4" s="1"/>
  <c r="AY13" i="4" s="1"/>
  <c r="AX6" i="4"/>
  <c r="AW6" i="4" s="1"/>
  <c r="AY6" i="4" s="1"/>
  <c r="AA6" i="4"/>
  <c r="AC6" i="4" s="1"/>
  <c r="AY5" i="4"/>
  <c r="AW4" i="4"/>
  <c r="AA4" i="4"/>
  <c r="AC4" i="4" s="1"/>
  <c r="D36" i="3"/>
  <c r="D37" i="3" s="1"/>
  <c r="D38" i="3" s="1"/>
  <c r="F5" i="3"/>
  <c r="D25" i="3"/>
  <c r="D26" i="3" s="1"/>
  <c r="F21" i="3"/>
  <c r="C27" i="3"/>
  <c r="F9" i="3"/>
  <c r="F28" i="3" s="1"/>
  <c r="E15" i="3"/>
  <c r="F13" i="3"/>
  <c r="AA3" i="4" l="1"/>
  <c r="AC3" i="4" s="1"/>
  <c r="AX3" i="4"/>
  <c r="AW3" i="4" s="1"/>
  <c r="AY3" i="4" s="1"/>
  <c r="AY4" i="4"/>
  <c r="E25" i="3"/>
  <c r="E26" i="3" s="1"/>
  <c r="E27" i="3" s="1"/>
  <c r="F16" i="3"/>
  <c r="F20" i="3"/>
  <c r="F24" i="3"/>
  <c r="F15" i="3"/>
  <c r="F11" i="3"/>
  <c r="D27" i="3"/>
  <c r="E35" i="3"/>
  <c r="E36" i="3" s="1"/>
  <c r="E37" i="3" s="1"/>
  <c r="F35" i="3" l="1"/>
  <c r="F25" i="3"/>
  <c r="F26" i="3" s="1"/>
  <c r="F12" i="3"/>
  <c r="G11" i="3"/>
  <c r="G16" i="3"/>
  <c r="F18" i="3"/>
  <c r="E38" i="3"/>
  <c r="G18" i="3" l="1"/>
  <c r="G12" i="3"/>
  <c r="F27" i="3"/>
  <c r="F36" i="3"/>
  <c r="F37" i="3" s="1"/>
  <c r="F38" i="3" s="1"/>
  <c r="D2" i="3" l="1"/>
  <c r="F2" i="3"/>
  <c r="E6" i="3"/>
  <c r="E32" i="3" s="1"/>
  <c r="C2" i="3" l="1"/>
  <c r="C3" i="3" s="1"/>
  <c r="C6" i="3" s="1"/>
  <c r="C32" i="3" s="1"/>
  <c r="D3" i="3"/>
  <c r="D6" i="3" s="1"/>
  <c r="D32" i="3" s="1"/>
  <c r="G2" i="3"/>
  <c r="G3" i="3" s="1"/>
  <c r="G6" i="3" s="1"/>
  <c r="G32" i="3" s="1"/>
  <c r="F3" i="3"/>
  <c r="F6" i="3" s="1"/>
  <c r="F32" i="3" s="1"/>
  <c r="D8" i="3" l="1"/>
  <c r="F8" i="3"/>
  <c r="E29" i="3"/>
  <c r="E39" i="3"/>
  <c r="D39" i="3" l="1"/>
  <c r="D29" i="3"/>
  <c r="D41" i="3"/>
  <c r="D40" i="3"/>
  <c r="F29" i="3"/>
  <c r="F39" i="3"/>
  <c r="E30" i="3"/>
  <c r="E31" i="3"/>
  <c r="D7" i="3"/>
  <c r="C8" i="3"/>
  <c r="G8" i="3"/>
  <c r="G22" i="3" s="1" a="1"/>
  <c r="G22" i="3" s="1"/>
  <c r="F7" i="3"/>
  <c r="E40" i="3"/>
  <c r="E41" i="3"/>
  <c r="G28" i="3" l="1"/>
  <c r="G23" i="3"/>
  <c r="G25" i="3" s="1"/>
  <c r="G26" i="3" s="1"/>
  <c r="G27" i="3" s="1"/>
  <c r="G29" i="3" s="1"/>
  <c r="G30" i="3" s="1"/>
  <c r="G31" i="3" s="1"/>
  <c r="D30" i="3"/>
  <c r="D31" i="3"/>
  <c r="F31" i="3"/>
  <c r="F30" i="3"/>
  <c r="F40" i="3"/>
  <c r="F41" i="3"/>
  <c r="C39" i="3"/>
  <c r="C29" i="3"/>
  <c r="C7" i="3"/>
  <c r="C40" i="3" l="1"/>
  <c r="C41" i="3"/>
  <c r="C31" i="3"/>
  <c r="C30" i="3"/>
  <c r="G35" i="3" l="1"/>
  <c r="G36" i="3" s="1"/>
  <c r="G37" i="3" s="1"/>
  <c r="G38" i="3" l="1"/>
  <c r="G39" i="3" s="1"/>
  <c r="G40" i="3" l="1"/>
  <c r="G41" i="3" s="1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X3284" i="2"/>
  <c r="W3284" i="2"/>
  <c r="X3283" i="2"/>
  <c r="W3283" i="2"/>
  <c r="X3282" i="2"/>
  <c r="W3282" i="2"/>
  <c r="X3281" i="2"/>
  <c r="W3281" i="2"/>
  <c r="X3280" i="2"/>
  <c r="W3280" i="2"/>
  <c r="X3279" i="2"/>
  <c r="W3279" i="2"/>
  <c r="X3278" i="2"/>
  <c r="W3278" i="2"/>
  <c r="X3277" i="2"/>
  <c r="W3277" i="2"/>
  <c r="X3276" i="2"/>
  <c r="W3276" i="2"/>
  <c r="X3275" i="2"/>
  <c r="W3275" i="2"/>
  <c r="X3274" i="2"/>
  <c r="W3274" i="2"/>
  <c r="X3273" i="2"/>
  <c r="W3273" i="2"/>
  <c r="X3272" i="2"/>
  <c r="W3272" i="2"/>
  <c r="X3271" i="2"/>
  <c r="W3271" i="2"/>
  <c r="X3270" i="2"/>
  <c r="W3270" i="2"/>
  <c r="X3269" i="2"/>
  <c r="W3269" i="2"/>
  <c r="X3268" i="2"/>
  <c r="W3268" i="2"/>
  <c r="X3267" i="2"/>
  <c r="W3267" i="2"/>
  <c r="X3266" i="2"/>
  <c r="W3266" i="2"/>
  <c r="X3265" i="2"/>
  <c r="W3265" i="2"/>
  <c r="X3264" i="2"/>
  <c r="W3264" i="2"/>
  <c r="X3263" i="2"/>
  <c r="W3263" i="2"/>
  <c r="X3262" i="2"/>
  <c r="W3262" i="2"/>
  <c r="X3261" i="2"/>
  <c r="W3261" i="2"/>
  <c r="X3260" i="2"/>
  <c r="W3260" i="2"/>
  <c r="X3259" i="2"/>
  <c r="W3259" i="2"/>
  <c r="X3258" i="2"/>
  <c r="W3258" i="2"/>
  <c r="X3257" i="2"/>
  <c r="W3257" i="2"/>
  <c r="X3256" i="2"/>
  <c r="W3256" i="2"/>
  <c r="X3255" i="2"/>
  <c r="W3255" i="2"/>
  <c r="X3254" i="2"/>
  <c r="W3254" i="2"/>
  <c r="X3253" i="2"/>
  <c r="W3253" i="2"/>
  <c r="X3252" i="2"/>
  <c r="W3252" i="2"/>
  <c r="X3251" i="2"/>
  <c r="W3251" i="2"/>
  <c r="X3250" i="2"/>
  <c r="W3250" i="2"/>
  <c r="X3249" i="2"/>
  <c r="W3249" i="2"/>
  <c r="X3248" i="2"/>
  <c r="W3248" i="2"/>
  <c r="X3247" i="2"/>
  <c r="W3247" i="2"/>
  <c r="X3246" i="2"/>
  <c r="W3246" i="2"/>
  <c r="X3245" i="2"/>
  <c r="W3245" i="2"/>
  <c r="X3244" i="2"/>
  <c r="W3244" i="2"/>
  <c r="X3243" i="2"/>
  <c r="W3243" i="2"/>
  <c r="X3242" i="2"/>
  <c r="W3242" i="2"/>
  <c r="X3241" i="2"/>
  <c r="W3241" i="2"/>
  <c r="X3240" i="2"/>
  <c r="W3240" i="2"/>
  <c r="X3239" i="2"/>
  <c r="W3239" i="2"/>
  <c r="X3238" i="2"/>
  <c r="W3238" i="2"/>
  <c r="X3237" i="2"/>
  <c r="W3237" i="2"/>
  <c r="X3236" i="2"/>
  <c r="W3236" i="2"/>
  <c r="X3235" i="2"/>
  <c r="W3235" i="2"/>
  <c r="X3234" i="2"/>
  <c r="W3234" i="2"/>
  <c r="X3233" i="2"/>
  <c r="W3233" i="2"/>
  <c r="X3232" i="2"/>
  <c r="W3232" i="2"/>
  <c r="X3231" i="2"/>
  <c r="W3231" i="2"/>
  <c r="X3230" i="2"/>
  <c r="W3230" i="2"/>
  <c r="X3229" i="2"/>
  <c r="W3229" i="2"/>
  <c r="X3228" i="2"/>
  <c r="W3228" i="2"/>
  <c r="X3227" i="2"/>
  <c r="W3227" i="2"/>
  <c r="X3226" i="2"/>
  <c r="W3226" i="2"/>
  <c r="X3225" i="2"/>
  <c r="W3225" i="2"/>
  <c r="X3224" i="2"/>
  <c r="W3224" i="2"/>
  <c r="X3223" i="2"/>
  <c r="W3223" i="2"/>
  <c r="X3222" i="2"/>
  <c r="W3222" i="2"/>
  <c r="X3221" i="2"/>
  <c r="W3221" i="2"/>
  <c r="X3220" i="2"/>
  <c r="W3220" i="2"/>
  <c r="X3219" i="2"/>
  <c r="W3219" i="2"/>
  <c r="X3218" i="2"/>
  <c r="W3218" i="2"/>
  <c r="X3217" i="2"/>
  <c r="W3217" i="2"/>
  <c r="X3216" i="2"/>
  <c r="W3216" i="2"/>
  <c r="X3215" i="2"/>
  <c r="W3215" i="2"/>
  <c r="X3214" i="2"/>
  <c r="W3214" i="2"/>
  <c r="X3213" i="2"/>
  <c r="W3213" i="2"/>
  <c r="X3212" i="2"/>
  <c r="W3212" i="2"/>
  <c r="X3211" i="2"/>
  <c r="W3211" i="2"/>
  <c r="X3210" i="2"/>
  <c r="W3210" i="2"/>
  <c r="X3209" i="2"/>
  <c r="W3209" i="2"/>
  <c r="X3208" i="2"/>
  <c r="W3208" i="2"/>
  <c r="X3207" i="2"/>
  <c r="W3207" i="2"/>
  <c r="X3206" i="2"/>
  <c r="W3206" i="2"/>
  <c r="X3205" i="2"/>
  <c r="W3205" i="2"/>
  <c r="X3204" i="2"/>
  <c r="W3204" i="2"/>
  <c r="X3203" i="2"/>
  <c r="W3203" i="2"/>
  <c r="X3202" i="2"/>
  <c r="W3202" i="2"/>
  <c r="X3201" i="2"/>
  <c r="W3201" i="2"/>
  <c r="X3200" i="2"/>
  <c r="W3200" i="2"/>
  <c r="X3199" i="2"/>
  <c r="W3199" i="2"/>
  <c r="X3198" i="2"/>
  <c r="W3198" i="2"/>
  <c r="X3197" i="2"/>
  <c r="W3197" i="2"/>
  <c r="X3196" i="2"/>
  <c r="W3196" i="2"/>
  <c r="X3195" i="2"/>
  <c r="W3195" i="2"/>
  <c r="X3194" i="2"/>
  <c r="W3194" i="2"/>
  <c r="X3193" i="2"/>
  <c r="W3193" i="2"/>
  <c r="X3192" i="2"/>
  <c r="W3192" i="2"/>
  <c r="X3191" i="2"/>
  <c r="W3191" i="2"/>
  <c r="X3190" i="2"/>
  <c r="W3190" i="2"/>
  <c r="X3189" i="2"/>
  <c r="W3189" i="2"/>
  <c r="X3188" i="2"/>
  <c r="W3188" i="2"/>
  <c r="X3187" i="2"/>
  <c r="W3187" i="2"/>
  <c r="X3186" i="2"/>
  <c r="W3186" i="2"/>
  <c r="X3185" i="2"/>
  <c r="W3185" i="2"/>
  <c r="X3184" i="2"/>
  <c r="W3184" i="2"/>
  <c r="X3183" i="2"/>
  <c r="W3183" i="2"/>
  <c r="X3182" i="2"/>
  <c r="W3182" i="2"/>
  <c r="X3181" i="2"/>
  <c r="W3181" i="2"/>
  <c r="X3180" i="2"/>
  <c r="W3180" i="2"/>
  <c r="X3179" i="2"/>
  <c r="W3179" i="2"/>
  <c r="X3178" i="2"/>
  <c r="W3178" i="2"/>
  <c r="X3177" i="2"/>
  <c r="W3177" i="2"/>
  <c r="X3176" i="2"/>
  <c r="W3176" i="2"/>
  <c r="X3175" i="2"/>
  <c r="W3175" i="2"/>
  <c r="X3174" i="2"/>
  <c r="W3174" i="2"/>
  <c r="X3173" i="2"/>
  <c r="W3173" i="2"/>
  <c r="X3172" i="2"/>
  <c r="W3172" i="2"/>
  <c r="X3171" i="2"/>
  <c r="W3171" i="2"/>
  <c r="X3170" i="2"/>
  <c r="W3170" i="2"/>
  <c r="X3169" i="2"/>
  <c r="W3169" i="2"/>
  <c r="X3168" i="2"/>
  <c r="W3168" i="2"/>
  <c r="X3167" i="2"/>
  <c r="W3167" i="2"/>
  <c r="X3166" i="2"/>
  <c r="W3166" i="2"/>
  <c r="X3165" i="2"/>
  <c r="W3165" i="2"/>
  <c r="X3164" i="2"/>
  <c r="W3164" i="2"/>
  <c r="X3163" i="2"/>
  <c r="W3163" i="2"/>
  <c r="X3162" i="2"/>
  <c r="W3162" i="2"/>
  <c r="X3161" i="2"/>
  <c r="W3161" i="2"/>
  <c r="X3160" i="2"/>
  <c r="W3160" i="2"/>
  <c r="X3159" i="2"/>
  <c r="W3159" i="2"/>
  <c r="X3158" i="2"/>
  <c r="W3158" i="2"/>
  <c r="X3157" i="2"/>
  <c r="W3157" i="2"/>
  <c r="X3156" i="2"/>
  <c r="W3156" i="2"/>
  <c r="X3155" i="2"/>
  <c r="W3155" i="2"/>
  <c r="X3154" i="2"/>
  <c r="W3154" i="2"/>
  <c r="X3153" i="2"/>
  <c r="W3153" i="2"/>
  <c r="X3152" i="2"/>
  <c r="W3152" i="2"/>
  <c r="X3151" i="2"/>
  <c r="W3151" i="2"/>
  <c r="X3150" i="2"/>
  <c r="W3150" i="2"/>
  <c r="X3149" i="2"/>
  <c r="W3149" i="2"/>
  <c r="X3148" i="2"/>
  <c r="W3148" i="2"/>
  <c r="X3147" i="2"/>
  <c r="W3147" i="2"/>
  <c r="X3146" i="2"/>
  <c r="W3146" i="2"/>
  <c r="X3145" i="2"/>
  <c r="W3145" i="2"/>
  <c r="X3144" i="2"/>
  <c r="W3144" i="2"/>
  <c r="X3143" i="2"/>
  <c r="W3143" i="2"/>
  <c r="X3142" i="2"/>
  <c r="W3142" i="2"/>
  <c r="X3141" i="2"/>
  <c r="W3141" i="2"/>
  <c r="X3140" i="2"/>
  <c r="W3140" i="2"/>
  <c r="X3139" i="2"/>
  <c r="W3139" i="2"/>
  <c r="X3138" i="2"/>
  <c r="W3138" i="2"/>
  <c r="X3137" i="2"/>
  <c r="W3137" i="2"/>
  <c r="X3136" i="2"/>
  <c r="W3136" i="2"/>
  <c r="X3135" i="2"/>
  <c r="W3135" i="2"/>
  <c r="X3134" i="2"/>
  <c r="W3134" i="2"/>
  <c r="X3133" i="2"/>
  <c r="W3133" i="2"/>
  <c r="X3132" i="2"/>
  <c r="W3132" i="2"/>
  <c r="X3131" i="2"/>
  <c r="W3131" i="2"/>
  <c r="X3130" i="2"/>
  <c r="W3130" i="2"/>
  <c r="X3129" i="2"/>
  <c r="W3129" i="2"/>
  <c r="X3128" i="2"/>
  <c r="W3128" i="2"/>
  <c r="X3127" i="2"/>
  <c r="W3127" i="2"/>
  <c r="X3126" i="2"/>
  <c r="W3126" i="2"/>
  <c r="X3125" i="2"/>
  <c r="W3125" i="2"/>
  <c r="X3124" i="2"/>
  <c r="W3124" i="2"/>
  <c r="X3123" i="2"/>
  <c r="W3123" i="2"/>
  <c r="X3122" i="2"/>
  <c r="W3122" i="2"/>
  <c r="X3121" i="2"/>
  <c r="W3121" i="2"/>
  <c r="X3120" i="2"/>
  <c r="W3120" i="2"/>
  <c r="X3119" i="2"/>
  <c r="W3119" i="2"/>
  <c r="X3118" i="2"/>
  <c r="W3118" i="2"/>
  <c r="X3117" i="2"/>
  <c r="W3117" i="2"/>
  <c r="X3116" i="2"/>
  <c r="W3116" i="2"/>
  <c r="X3115" i="2"/>
  <c r="W3115" i="2"/>
  <c r="X3114" i="2"/>
  <c r="W3114" i="2"/>
  <c r="X3113" i="2"/>
  <c r="W3113" i="2"/>
  <c r="X3112" i="2"/>
  <c r="W3112" i="2"/>
  <c r="X3111" i="2"/>
  <c r="W3111" i="2"/>
  <c r="X3110" i="2"/>
  <c r="W3110" i="2"/>
  <c r="X3109" i="2"/>
  <c r="W3109" i="2"/>
  <c r="X3108" i="2"/>
  <c r="W3108" i="2"/>
  <c r="X3107" i="2"/>
  <c r="W3107" i="2"/>
  <c r="X3106" i="2"/>
  <c r="W3106" i="2"/>
  <c r="X3105" i="2"/>
  <c r="W3105" i="2"/>
  <c r="X3104" i="2"/>
  <c r="W3104" i="2"/>
  <c r="X3103" i="2"/>
  <c r="W3103" i="2"/>
  <c r="X3102" i="2"/>
  <c r="W3102" i="2"/>
  <c r="X3101" i="2"/>
  <c r="W3101" i="2"/>
  <c r="X3100" i="2"/>
  <c r="W3100" i="2"/>
  <c r="X3099" i="2"/>
  <c r="W3099" i="2"/>
  <c r="X3098" i="2"/>
  <c r="W3098" i="2"/>
  <c r="X3097" i="2"/>
  <c r="W3097" i="2"/>
  <c r="X3096" i="2"/>
  <c r="W3096" i="2"/>
  <c r="X3095" i="2"/>
  <c r="W3095" i="2"/>
  <c r="X3094" i="2"/>
  <c r="W3094" i="2"/>
  <c r="X3093" i="2"/>
  <c r="W3093" i="2"/>
  <c r="X3092" i="2"/>
  <c r="W3092" i="2"/>
  <c r="X3091" i="2"/>
  <c r="W3091" i="2"/>
  <c r="X3090" i="2"/>
  <c r="W3090" i="2"/>
  <c r="X3089" i="2"/>
  <c r="W3089" i="2"/>
  <c r="X3088" i="2"/>
  <c r="W3088" i="2"/>
  <c r="X3087" i="2"/>
  <c r="W3087" i="2"/>
  <c r="X3086" i="2"/>
  <c r="W3086" i="2"/>
  <c r="X3085" i="2"/>
  <c r="W3085" i="2"/>
  <c r="X3084" i="2"/>
  <c r="W3084" i="2"/>
  <c r="X3083" i="2"/>
  <c r="W3083" i="2"/>
  <c r="X3082" i="2"/>
  <c r="W3082" i="2"/>
  <c r="X3081" i="2"/>
  <c r="W3081" i="2"/>
  <c r="X3080" i="2"/>
  <c r="W3080" i="2"/>
  <c r="X3079" i="2"/>
  <c r="W3079" i="2"/>
  <c r="X3078" i="2"/>
  <c r="W3078" i="2"/>
  <c r="X3077" i="2"/>
  <c r="W3077" i="2"/>
  <c r="X3076" i="2"/>
  <c r="W3076" i="2"/>
  <c r="X3075" i="2"/>
  <c r="W3075" i="2"/>
  <c r="X3074" i="2"/>
  <c r="W3074" i="2"/>
  <c r="X3073" i="2"/>
  <c r="W3073" i="2"/>
  <c r="X3072" i="2"/>
  <c r="W3072" i="2"/>
  <c r="X3071" i="2"/>
  <c r="W3071" i="2"/>
  <c r="X3070" i="2"/>
  <c r="W3070" i="2"/>
  <c r="X3069" i="2"/>
  <c r="W3069" i="2"/>
  <c r="X3068" i="2"/>
  <c r="W3068" i="2"/>
  <c r="X3067" i="2"/>
  <c r="W3067" i="2"/>
  <c r="X3066" i="2"/>
  <c r="W3066" i="2"/>
  <c r="X3065" i="2"/>
  <c r="W3065" i="2"/>
  <c r="X3064" i="2"/>
  <c r="W3064" i="2"/>
  <c r="X3063" i="2"/>
  <c r="W3063" i="2"/>
  <c r="X3062" i="2"/>
  <c r="W3062" i="2"/>
  <c r="X3061" i="2"/>
  <c r="W3061" i="2"/>
  <c r="X3060" i="2"/>
  <c r="W3060" i="2"/>
  <c r="X3059" i="2"/>
  <c r="W3059" i="2"/>
  <c r="X3058" i="2"/>
  <c r="W3058" i="2"/>
  <c r="X3057" i="2"/>
  <c r="W3057" i="2"/>
  <c r="X3056" i="2"/>
  <c r="W3056" i="2"/>
  <c r="X3055" i="2"/>
  <c r="W3055" i="2"/>
  <c r="X3054" i="2"/>
  <c r="W3054" i="2"/>
  <c r="X3053" i="2"/>
  <c r="W3053" i="2"/>
  <c r="X3052" i="2"/>
  <c r="W3052" i="2"/>
  <c r="X3051" i="2"/>
  <c r="W3051" i="2"/>
  <c r="X3050" i="2"/>
  <c r="W3050" i="2"/>
  <c r="X3049" i="2"/>
  <c r="W3049" i="2"/>
  <c r="X3048" i="2"/>
  <c r="W3048" i="2"/>
  <c r="X3047" i="2"/>
  <c r="W3047" i="2"/>
  <c r="X3046" i="2"/>
  <c r="W3046" i="2"/>
  <c r="X3045" i="2"/>
  <c r="W3045" i="2"/>
  <c r="X3044" i="2"/>
  <c r="W3044" i="2"/>
  <c r="X3043" i="2"/>
  <c r="W3043" i="2"/>
  <c r="X3042" i="2"/>
  <c r="W3042" i="2"/>
  <c r="X3041" i="2"/>
  <c r="W3041" i="2"/>
  <c r="X3040" i="2"/>
  <c r="W3040" i="2"/>
  <c r="X3039" i="2"/>
  <c r="W3039" i="2"/>
  <c r="X3038" i="2"/>
  <c r="W3038" i="2"/>
  <c r="X3037" i="2"/>
  <c r="W3037" i="2"/>
  <c r="X3036" i="2"/>
  <c r="W3036" i="2"/>
  <c r="X3035" i="2"/>
  <c r="W3035" i="2"/>
  <c r="X3034" i="2"/>
  <c r="W3034" i="2"/>
  <c r="X3033" i="2"/>
  <c r="W3033" i="2"/>
  <c r="X3032" i="2"/>
  <c r="W3032" i="2"/>
  <c r="X3031" i="2"/>
  <c r="W3031" i="2"/>
  <c r="X3030" i="2"/>
  <c r="W3030" i="2"/>
  <c r="X3029" i="2"/>
  <c r="W3029" i="2"/>
  <c r="X3028" i="2"/>
  <c r="W3028" i="2"/>
  <c r="X3027" i="2"/>
  <c r="W3027" i="2"/>
  <c r="X3026" i="2"/>
  <c r="W3026" i="2"/>
  <c r="X3025" i="2"/>
  <c r="W3025" i="2"/>
  <c r="X3024" i="2"/>
  <c r="W3024" i="2"/>
  <c r="X3023" i="2"/>
  <c r="W3023" i="2"/>
  <c r="X3022" i="2"/>
  <c r="W3022" i="2"/>
  <c r="X3021" i="2"/>
  <c r="W3021" i="2"/>
  <c r="X3020" i="2"/>
  <c r="W3020" i="2"/>
  <c r="X3019" i="2"/>
  <c r="W3019" i="2"/>
  <c r="X3018" i="2"/>
  <c r="W3018" i="2"/>
  <c r="X3017" i="2"/>
  <c r="W3017" i="2"/>
  <c r="X3016" i="2"/>
  <c r="W3016" i="2"/>
  <c r="X3015" i="2"/>
  <c r="W3015" i="2"/>
  <c r="X3014" i="2"/>
  <c r="W3014" i="2"/>
  <c r="X3013" i="2"/>
  <c r="W3013" i="2"/>
  <c r="X3012" i="2"/>
  <c r="W3012" i="2"/>
  <c r="X3011" i="2"/>
  <c r="W3011" i="2"/>
  <c r="X3010" i="2"/>
  <c r="W3010" i="2"/>
  <c r="X3009" i="2"/>
  <c r="W3009" i="2"/>
  <c r="X3008" i="2"/>
  <c r="W3008" i="2"/>
  <c r="X3007" i="2"/>
  <c r="W3007" i="2"/>
  <c r="X3006" i="2"/>
  <c r="W3006" i="2"/>
  <c r="X3005" i="2"/>
  <c r="W3005" i="2"/>
  <c r="X3004" i="2"/>
  <c r="W3004" i="2"/>
  <c r="X3003" i="2"/>
  <c r="W3003" i="2"/>
  <c r="X3002" i="2"/>
  <c r="W3002" i="2"/>
  <c r="X3001" i="2"/>
  <c r="W3001" i="2"/>
  <c r="X3000" i="2"/>
  <c r="W3000" i="2"/>
  <c r="X2999" i="2"/>
  <c r="W2999" i="2"/>
  <c r="X2998" i="2"/>
  <c r="W2998" i="2"/>
  <c r="X2997" i="2"/>
  <c r="W2997" i="2"/>
  <c r="X2996" i="2"/>
  <c r="W2996" i="2"/>
  <c r="X2995" i="2"/>
  <c r="W2995" i="2"/>
  <c r="X2994" i="2"/>
  <c r="W2994" i="2"/>
  <c r="X2993" i="2"/>
  <c r="W2993" i="2"/>
  <c r="X2992" i="2"/>
  <c r="W2992" i="2"/>
  <c r="X2991" i="2"/>
  <c r="W2991" i="2"/>
  <c r="X2990" i="2"/>
  <c r="W2990" i="2"/>
  <c r="X2989" i="2"/>
  <c r="W2989" i="2"/>
  <c r="X2988" i="2"/>
  <c r="W2988" i="2"/>
  <c r="X2987" i="2"/>
  <c r="W2987" i="2"/>
  <c r="X2986" i="2"/>
  <c r="W2986" i="2"/>
  <c r="X2985" i="2"/>
  <c r="W2985" i="2"/>
  <c r="X2984" i="2"/>
  <c r="W2984" i="2"/>
  <c r="X2983" i="2"/>
  <c r="W2983" i="2"/>
  <c r="X2982" i="2"/>
  <c r="W2982" i="2"/>
  <c r="X2981" i="2"/>
  <c r="W2981" i="2"/>
  <c r="X2980" i="2"/>
  <c r="W2980" i="2"/>
  <c r="X2979" i="2"/>
  <c r="W2979" i="2"/>
  <c r="X2978" i="2"/>
  <c r="W2978" i="2"/>
  <c r="X2977" i="2"/>
  <c r="W2977" i="2"/>
  <c r="X2976" i="2"/>
  <c r="W2976" i="2"/>
  <c r="X2975" i="2"/>
  <c r="W2975" i="2"/>
  <c r="X2974" i="2"/>
  <c r="W2974" i="2"/>
  <c r="X2973" i="2"/>
  <c r="W2973" i="2"/>
  <c r="X2972" i="2"/>
  <c r="W2972" i="2"/>
  <c r="X2971" i="2"/>
  <c r="W2971" i="2"/>
  <c r="X2970" i="2"/>
  <c r="W2970" i="2"/>
  <c r="X2969" i="2"/>
  <c r="W2969" i="2"/>
  <c r="X2968" i="2"/>
  <c r="W2968" i="2"/>
  <c r="X2967" i="2"/>
  <c r="W2967" i="2"/>
  <c r="X2966" i="2"/>
  <c r="W2966" i="2"/>
  <c r="X2965" i="2"/>
  <c r="W2965" i="2"/>
  <c r="X2964" i="2"/>
  <c r="W2964" i="2"/>
  <c r="X2963" i="2"/>
  <c r="W2963" i="2"/>
  <c r="X2962" i="2"/>
  <c r="W2962" i="2"/>
  <c r="X2961" i="2"/>
  <c r="W2961" i="2"/>
  <c r="X2960" i="2"/>
  <c r="W2960" i="2"/>
  <c r="X2959" i="2"/>
  <c r="W2959" i="2"/>
  <c r="X2958" i="2"/>
  <c r="W2958" i="2"/>
  <c r="X2957" i="2"/>
  <c r="W2957" i="2"/>
  <c r="X2956" i="2"/>
  <c r="W2956" i="2"/>
  <c r="X2955" i="2"/>
  <c r="W2955" i="2"/>
  <c r="X2954" i="2"/>
  <c r="W2954" i="2"/>
  <c r="X2953" i="2"/>
  <c r="W2953" i="2"/>
  <c r="X2952" i="2"/>
  <c r="W2952" i="2"/>
  <c r="X2951" i="2"/>
  <c r="W2951" i="2"/>
  <c r="X2950" i="2"/>
  <c r="W2950" i="2"/>
  <c r="X2949" i="2"/>
  <c r="W2949" i="2"/>
  <c r="X2948" i="2"/>
  <c r="W2948" i="2"/>
  <c r="X2947" i="2"/>
  <c r="W2947" i="2"/>
  <c r="X2946" i="2"/>
  <c r="W2946" i="2"/>
  <c r="X2945" i="2"/>
  <c r="W2945" i="2"/>
  <c r="X2944" i="2"/>
  <c r="W2944" i="2"/>
  <c r="X2943" i="2"/>
  <c r="W2943" i="2"/>
  <c r="X2942" i="2"/>
  <c r="W2942" i="2"/>
  <c r="X2941" i="2"/>
  <c r="W2941" i="2"/>
  <c r="X2940" i="2"/>
  <c r="W2940" i="2"/>
  <c r="X2939" i="2"/>
  <c r="W2939" i="2"/>
  <c r="X2938" i="2"/>
  <c r="W2938" i="2"/>
  <c r="X2937" i="2"/>
  <c r="W2937" i="2"/>
  <c r="X2936" i="2"/>
  <c r="W2936" i="2"/>
  <c r="X2935" i="2"/>
  <c r="W2935" i="2"/>
  <c r="X2934" i="2"/>
  <c r="W2934" i="2"/>
  <c r="X2933" i="2"/>
  <c r="W2933" i="2"/>
  <c r="X2932" i="2"/>
  <c r="W2932" i="2"/>
  <c r="X2931" i="2"/>
  <c r="W2931" i="2"/>
  <c r="X2930" i="2"/>
  <c r="W2930" i="2"/>
  <c r="X2929" i="2"/>
  <c r="W2929" i="2"/>
  <c r="X2928" i="2"/>
  <c r="W2928" i="2"/>
  <c r="X2927" i="2"/>
  <c r="W2927" i="2"/>
  <c r="X2926" i="2"/>
  <c r="W2926" i="2"/>
  <c r="X2925" i="2"/>
  <c r="W2925" i="2"/>
  <c r="X2924" i="2"/>
  <c r="W2924" i="2"/>
  <c r="X2923" i="2"/>
  <c r="W2923" i="2"/>
  <c r="X2922" i="2"/>
  <c r="W2922" i="2"/>
  <c r="X2921" i="2"/>
  <c r="W2921" i="2"/>
  <c r="X2920" i="2"/>
  <c r="W2920" i="2"/>
  <c r="X2919" i="2"/>
  <c r="W2919" i="2"/>
  <c r="X2918" i="2"/>
  <c r="W2918" i="2"/>
  <c r="X2917" i="2"/>
  <c r="W2917" i="2"/>
  <c r="X2916" i="2"/>
  <c r="W2916" i="2"/>
  <c r="X2915" i="2"/>
  <c r="W2915" i="2"/>
  <c r="X2914" i="2"/>
  <c r="W2914" i="2"/>
  <c r="X2913" i="2"/>
  <c r="W2913" i="2"/>
  <c r="X2912" i="2"/>
  <c r="W2912" i="2"/>
  <c r="X2911" i="2"/>
  <c r="W2911" i="2"/>
  <c r="X2910" i="2"/>
  <c r="W2910" i="2"/>
  <c r="X2909" i="2"/>
  <c r="W2909" i="2"/>
  <c r="X2908" i="2"/>
  <c r="W2908" i="2"/>
  <c r="X2907" i="2"/>
  <c r="W2907" i="2"/>
  <c r="X2906" i="2"/>
  <c r="W2906" i="2"/>
  <c r="X2905" i="2"/>
  <c r="W2905" i="2"/>
  <c r="X2904" i="2"/>
  <c r="W2904" i="2"/>
  <c r="X2903" i="2"/>
  <c r="W2903" i="2"/>
  <c r="X2902" i="2"/>
  <c r="W2902" i="2"/>
  <c r="X2901" i="2"/>
  <c r="W2901" i="2"/>
  <c r="X2900" i="2"/>
  <c r="W2900" i="2"/>
  <c r="X2899" i="2"/>
  <c r="W2899" i="2"/>
  <c r="X2898" i="2"/>
  <c r="W2898" i="2"/>
  <c r="X2897" i="2"/>
  <c r="W2897" i="2"/>
  <c r="X2896" i="2"/>
  <c r="W2896" i="2"/>
  <c r="X2895" i="2"/>
  <c r="W2895" i="2"/>
  <c r="X2894" i="2"/>
  <c r="W2894" i="2"/>
  <c r="X2893" i="2"/>
  <c r="W2893" i="2"/>
  <c r="X2892" i="2"/>
  <c r="W2892" i="2"/>
  <c r="X2891" i="2"/>
  <c r="W2891" i="2"/>
  <c r="X2890" i="2"/>
  <c r="W2890" i="2"/>
  <c r="X2889" i="2"/>
  <c r="W2889" i="2"/>
  <c r="X2888" i="2"/>
  <c r="W2888" i="2"/>
  <c r="X2887" i="2"/>
  <c r="W2887" i="2"/>
  <c r="X2886" i="2"/>
  <c r="W2886" i="2"/>
  <c r="X2885" i="2"/>
  <c r="W2885" i="2"/>
  <c r="X2884" i="2"/>
  <c r="W2884" i="2"/>
  <c r="X2883" i="2"/>
  <c r="W2883" i="2"/>
  <c r="X2882" i="2"/>
  <c r="W2882" i="2"/>
  <c r="X2881" i="2"/>
  <c r="W2881" i="2"/>
  <c r="X2880" i="2"/>
  <c r="W2880" i="2"/>
  <c r="X2879" i="2"/>
  <c r="W2879" i="2"/>
  <c r="X2878" i="2"/>
  <c r="W2878" i="2"/>
  <c r="X2877" i="2"/>
  <c r="W2877" i="2"/>
  <c r="X2876" i="2"/>
  <c r="W2876" i="2"/>
  <c r="X2875" i="2"/>
  <c r="W2875" i="2"/>
  <c r="X2874" i="2"/>
  <c r="W2874" i="2"/>
  <c r="X2873" i="2"/>
  <c r="W2873" i="2"/>
  <c r="X2872" i="2"/>
  <c r="W2872" i="2"/>
  <c r="X2871" i="2"/>
  <c r="W2871" i="2"/>
  <c r="X2870" i="2"/>
  <c r="W2870" i="2"/>
  <c r="X2869" i="2"/>
  <c r="W2869" i="2"/>
  <c r="X2868" i="2"/>
  <c r="W2868" i="2"/>
  <c r="X2867" i="2"/>
  <c r="W2867" i="2"/>
  <c r="X2866" i="2"/>
  <c r="W2866" i="2"/>
  <c r="X2865" i="2"/>
  <c r="W2865" i="2"/>
  <c r="X2864" i="2"/>
  <c r="W2864" i="2"/>
  <c r="X2863" i="2"/>
  <c r="W2863" i="2"/>
  <c r="X2862" i="2"/>
  <c r="W2862" i="2"/>
  <c r="X2861" i="2"/>
  <c r="W2861" i="2"/>
  <c r="X2860" i="2"/>
  <c r="W2860" i="2"/>
  <c r="X2859" i="2"/>
  <c r="W2859" i="2"/>
  <c r="X2858" i="2"/>
  <c r="W2858" i="2"/>
  <c r="X2857" i="2"/>
  <c r="W2857" i="2"/>
  <c r="X2856" i="2"/>
  <c r="W2856" i="2"/>
  <c r="X2855" i="2"/>
  <c r="W2855" i="2"/>
  <c r="X2854" i="2"/>
  <c r="W2854" i="2"/>
  <c r="X2853" i="2"/>
  <c r="W2853" i="2"/>
  <c r="X2852" i="2"/>
  <c r="W2852" i="2"/>
  <c r="X2851" i="2"/>
  <c r="W2851" i="2"/>
  <c r="X2850" i="2"/>
  <c r="W2850" i="2"/>
  <c r="X2849" i="2"/>
  <c r="W2849" i="2"/>
  <c r="X2848" i="2"/>
  <c r="W2848" i="2"/>
  <c r="X2847" i="2"/>
  <c r="W2847" i="2"/>
  <c r="X2846" i="2"/>
  <c r="W2846" i="2"/>
  <c r="X2845" i="2"/>
  <c r="W2845" i="2"/>
  <c r="X2844" i="2"/>
  <c r="W2844" i="2"/>
  <c r="X2843" i="2"/>
  <c r="W2843" i="2"/>
  <c r="X2842" i="2"/>
  <c r="W2842" i="2"/>
  <c r="X2841" i="2"/>
  <c r="W2841" i="2"/>
  <c r="X2840" i="2"/>
  <c r="W2840" i="2"/>
  <c r="X2839" i="2"/>
  <c r="W2839" i="2"/>
  <c r="X2838" i="2"/>
  <c r="W2838" i="2"/>
  <c r="X2837" i="2"/>
  <c r="W2837" i="2"/>
  <c r="X2836" i="2"/>
  <c r="W2836" i="2"/>
  <c r="X2835" i="2"/>
  <c r="W2835" i="2"/>
  <c r="X2834" i="2"/>
  <c r="W2834" i="2"/>
  <c r="X2833" i="2"/>
  <c r="W2833" i="2"/>
  <c r="X2832" i="2"/>
  <c r="W2832" i="2"/>
  <c r="X2831" i="2"/>
  <c r="W2831" i="2"/>
  <c r="X2830" i="2"/>
  <c r="W2830" i="2"/>
  <c r="X2829" i="2"/>
  <c r="W2829" i="2"/>
  <c r="X2828" i="2"/>
  <c r="W2828" i="2"/>
  <c r="X2827" i="2"/>
  <c r="W2827" i="2"/>
  <c r="X2826" i="2"/>
  <c r="W2826" i="2"/>
  <c r="X2825" i="2"/>
  <c r="W2825" i="2"/>
  <c r="X2824" i="2"/>
  <c r="W2824" i="2"/>
  <c r="X2823" i="2"/>
  <c r="W2823" i="2"/>
  <c r="X2822" i="2"/>
  <c r="W2822" i="2"/>
  <c r="X2821" i="2"/>
  <c r="W2821" i="2"/>
  <c r="X2820" i="2"/>
  <c r="W2820" i="2"/>
  <c r="X2819" i="2"/>
  <c r="W2819" i="2"/>
  <c r="X2818" i="2"/>
  <c r="W2818" i="2"/>
  <c r="X2817" i="2"/>
  <c r="W2817" i="2"/>
  <c r="X2816" i="2"/>
  <c r="W2816" i="2"/>
  <c r="X2815" i="2"/>
  <c r="W2815" i="2"/>
  <c r="X2814" i="2"/>
  <c r="W2814" i="2"/>
  <c r="X2813" i="2"/>
  <c r="W2813" i="2"/>
  <c r="X2812" i="2"/>
  <c r="W2812" i="2"/>
  <c r="X2811" i="2"/>
  <c r="W2811" i="2"/>
  <c r="X2810" i="2"/>
  <c r="W2810" i="2"/>
  <c r="X2809" i="2"/>
  <c r="W2809" i="2"/>
  <c r="X2808" i="2"/>
  <c r="W2808" i="2"/>
  <c r="X2807" i="2"/>
  <c r="W2807" i="2"/>
  <c r="X2806" i="2"/>
  <c r="W2806" i="2"/>
  <c r="X2805" i="2"/>
  <c r="W2805" i="2"/>
  <c r="X2804" i="2"/>
  <c r="W2804" i="2"/>
  <c r="X2803" i="2"/>
  <c r="W2803" i="2"/>
  <c r="X2802" i="2"/>
  <c r="W2802" i="2"/>
  <c r="X2801" i="2"/>
  <c r="W2801" i="2"/>
  <c r="X2800" i="2"/>
  <c r="W2800" i="2"/>
  <c r="X2799" i="2"/>
  <c r="W2799" i="2"/>
  <c r="X2798" i="2"/>
  <c r="W2798" i="2"/>
  <c r="X2797" i="2"/>
  <c r="W2797" i="2"/>
  <c r="X2796" i="2"/>
  <c r="W2796" i="2"/>
  <c r="X2795" i="2"/>
  <c r="W2795" i="2"/>
  <c r="X2794" i="2"/>
  <c r="W2794" i="2"/>
  <c r="X2793" i="2"/>
  <c r="W2793" i="2"/>
  <c r="X2792" i="2"/>
  <c r="W2792" i="2"/>
  <c r="X2791" i="2"/>
  <c r="W2791" i="2"/>
  <c r="X2790" i="2"/>
  <c r="W2790" i="2"/>
  <c r="X2789" i="2"/>
  <c r="W2789" i="2"/>
  <c r="X2788" i="2"/>
  <c r="W2788" i="2"/>
  <c r="X2787" i="2"/>
  <c r="W2787" i="2"/>
  <c r="X2786" i="2"/>
  <c r="W2786" i="2"/>
  <c r="X2785" i="2"/>
  <c r="W2785" i="2"/>
  <c r="X2784" i="2"/>
  <c r="W2784" i="2"/>
  <c r="X2783" i="2"/>
  <c r="W2783" i="2"/>
  <c r="X2782" i="2"/>
  <c r="W2782" i="2"/>
  <c r="X2781" i="2"/>
  <c r="W2781" i="2"/>
  <c r="X2780" i="2"/>
  <c r="W2780" i="2"/>
  <c r="X2779" i="2"/>
  <c r="W2779" i="2"/>
  <c r="X2778" i="2"/>
  <c r="W2778" i="2"/>
  <c r="X2777" i="2"/>
  <c r="W2777" i="2"/>
  <c r="X2776" i="2"/>
  <c r="W2776" i="2"/>
  <c r="X2775" i="2"/>
  <c r="W2775" i="2"/>
  <c r="X2774" i="2"/>
  <c r="W2774" i="2"/>
  <c r="X2773" i="2"/>
  <c r="W2773" i="2"/>
  <c r="X2772" i="2"/>
  <c r="W2772" i="2"/>
  <c r="X2771" i="2"/>
  <c r="W2771" i="2"/>
  <c r="X2770" i="2"/>
  <c r="W2770" i="2"/>
  <c r="X2769" i="2"/>
  <c r="W2769" i="2"/>
  <c r="X2768" i="2"/>
  <c r="W2768" i="2"/>
  <c r="X2767" i="2"/>
  <c r="W2767" i="2"/>
  <c r="X2766" i="2"/>
  <c r="W2766" i="2"/>
  <c r="X2765" i="2"/>
  <c r="W2765" i="2"/>
  <c r="X2764" i="2"/>
  <c r="W2764" i="2"/>
  <c r="X2763" i="2"/>
  <c r="W2763" i="2"/>
  <c r="X2762" i="2"/>
  <c r="W2762" i="2"/>
  <c r="X2761" i="2"/>
  <c r="W2761" i="2"/>
  <c r="X2760" i="2"/>
  <c r="W2760" i="2"/>
  <c r="X2759" i="2"/>
  <c r="W2759" i="2"/>
  <c r="X2758" i="2"/>
  <c r="W2758" i="2"/>
  <c r="X2757" i="2"/>
  <c r="W2757" i="2"/>
  <c r="X2756" i="2"/>
  <c r="W2756" i="2"/>
  <c r="X2755" i="2"/>
  <c r="W2755" i="2"/>
  <c r="X2754" i="2"/>
  <c r="W2754" i="2"/>
  <c r="X2753" i="2"/>
  <c r="W2753" i="2"/>
  <c r="X2752" i="2"/>
  <c r="W2752" i="2"/>
  <c r="X2751" i="2"/>
  <c r="W2751" i="2"/>
  <c r="X2750" i="2"/>
  <c r="W2750" i="2"/>
  <c r="X2749" i="2"/>
  <c r="W2749" i="2"/>
  <c r="X2748" i="2"/>
  <c r="W2748" i="2"/>
  <c r="X2747" i="2"/>
  <c r="W2747" i="2"/>
  <c r="X2746" i="2"/>
  <c r="W2746" i="2"/>
  <c r="X2745" i="2"/>
  <c r="W2745" i="2"/>
  <c r="X2744" i="2"/>
  <c r="W2744" i="2"/>
  <c r="X2743" i="2"/>
  <c r="W2743" i="2"/>
  <c r="X2742" i="2"/>
  <c r="W2742" i="2"/>
  <c r="X2741" i="2"/>
  <c r="W2741" i="2"/>
  <c r="X2740" i="2"/>
  <c r="W2740" i="2"/>
  <c r="X2739" i="2"/>
  <c r="W2739" i="2"/>
  <c r="X2738" i="2"/>
  <c r="W2738" i="2"/>
  <c r="X2737" i="2"/>
  <c r="W2737" i="2"/>
  <c r="X2736" i="2"/>
  <c r="W2736" i="2"/>
  <c r="X2735" i="2"/>
  <c r="W2735" i="2"/>
  <c r="X2734" i="2"/>
  <c r="W2734" i="2"/>
  <c r="X2733" i="2"/>
  <c r="W2733" i="2"/>
  <c r="X2732" i="2"/>
  <c r="W2732" i="2"/>
  <c r="X2731" i="2"/>
  <c r="W2731" i="2"/>
  <c r="X2730" i="2"/>
  <c r="W2730" i="2"/>
  <c r="X2729" i="2"/>
  <c r="W2729" i="2"/>
  <c r="X2728" i="2"/>
  <c r="W2728" i="2"/>
  <c r="X2727" i="2"/>
  <c r="W2727" i="2"/>
  <c r="X2726" i="2"/>
  <c r="W2726" i="2"/>
  <c r="X2725" i="2"/>
  <c r="W2725" i="2"/>
  <c r="X2724" i="2"/>
  <c r="W2724" i="2"/>
  <c r="X2723" i="2"/>
  <c r="W2723" i="2"/>
  <c r="X2722" i="2"/>
  <c r="W2722" i="2"/>
  <c r="X2721" i="2"/>
  <c r="W2721" i="2"/>
  <c r="X2720" i="2"/>
  <c r="W2720" i="2"/>
  <c r="X2719" i="2"/>
  <c r="W2719" i="2"/>
  <c r="X2718" i="2"/>
  <c r="W2718" i="2"/>
  <c r="X2717" i="2"/>
  <c r="W2717" i="2"/>
  <c r="X2716" i="2"/>
  <c r="W2716" i="2"/>
  <c r="X2715" i="2"/>
  <c r="W2715" i="2"/>
  <c r="X2714" i="2"/>
  <c r="W2714" i="2"/>
  <c r="X2713" i="2"/>
  <c r="W2713" i="2"/>
  <c r="X2712" i="2"/>
  <c r="W2712" i="2"/>
  <c r="X2711" i="2"/>
  <c r="W2711" i="2"/>
  <c r="X2710" i="2"/>
  <c r="W2710" i="2"/>
  <c r="X2709" i="2"/>
  <c r="W2709" i="2"/>
  <c r="X2708" i="2"/>
  <c r="W2708" i="2"/>
  <c r="X2707" i="2"/>
  <c r="W2707" i="2"/>
  <c r="X2706" i="2"/>
  <c r="W2706" i="2"/>
  <c r="X2705" i="2"/>
  <c r="W2705" i="2"/>
  <c r="X2704" i="2"/>
  <c r="W2704" i="2"/>
  <c r="X2703" i="2"/>
  <c r="W2703" i="2"/>
  <c r="X2702" i="2"/>
  <c r="W2702" i="2"/>
  <c r="X2701" i="2"/>
  <c r="W2701" i="2"/>
  <c r="X2700" i="2"/>
  <c r="W2700" i="2"/>
  <c r="X2699" i="2"/>
  <c r="W2699" i="2"/>
  <c r="X2698" i="2"/>
  <c r="W2698" i="2"/>
  <c r="X2697" i="2"/>
  <c r="W2697" i="2"/>
  <c r="X2696" i="2"/>
  <c r="W2696" i="2"/>
  <c r="X2695" i="2"/>
  <c r="W2695" i="2"/>
  <c r="X2694" i="2"/>
  <c r="W2694" i="2"/>
  <c r="X2693" i="2"/>
  <c r="W2693" i="2"/>
  <c r="X2692" i="2"/>
  <c r="W2692" i="2"/>
  <c r="X2691" i="2"/>
  <c r="W2691" i="2"/>
  <c r="X2690" i="2"/>
  <c r="W2690" i="2"/>
  <c r="X2689" i="2"/>
  <c r="W2689" i="2"/>
  <c r="X2688" i="2"/>
  <c r="W2688" i="2"/>
  <c r="X2687" i="2"/>
  <c r="W2687" i="2"/>
  <c r="X2686" i="2"/>
  <c r="W2686" i="2"/>
  <c r="X2685" i="2"/>
  <c r="W2685" i="2"/>
  <c r="X2684" i="2"/>
  <c r="W2684" i="2"/>
  <c r="X2683" i="2"/>
  <c r="W2683" i="2"/>
  <c r="X2682" i="2"/>
  <c r="W2682" i="2"/>
  <c r="X2681" i="2"/>
  <c r="W2681" i="2"/>
  <c r="X2680" i="2"/>
  <c r="W2680" i="2"/>
  <c r="X2679" i="2"/>
  <c r="W2679" i="2"/>
  <c r="X2678" i="2"/>
  <c r="W2678" i="2"/>
  <c r="X2677" i="2"/>
  <c r="W2677" i="2"/>
  <c r="X2676" i="2"/>
  <c r="W2676" i="2"/>
  <c r="X2675" i="2"/>
  <c r="W2675" i="2"/>
  <c r="X2674" i="2"/>
  <c r="W2674" i="2"/>
  <c r="X2673" i="2"/>
  <c r="W2673" i="2"/>
  <c r="X2672" i="2"/>
  <c r="W2672" i="2"/>
  <c r="X2671" i="2"/>
  <c r="W2671" i="2"/>
  <c r="X2670" i="2"/>
  <c r="W2670" i="2"/>
  <c r="X2669" i="2"/>
  <c r="W2669" i="2"/>
  <c r="X2668" i="2"/>
  <c r="W2668" i="2"/>
  <c r="X2667" i="2"/>
  <c r="W2667" i="2"/>
  <c r="X2666" i="2"/>
  <c r="W2666" i="2"/>
  <c r="X2665" i="2"/>
  <c r="W2665" i="2"/>
  <c r="X2664" i="2"/>
  <c r="W2664" i="2"/>
  <c r="X2663" i="2"/>
  <c r="W2663" i="2"/>
  <c r="X2662" i="2"/>
  <c r="W2662" i="2"/>
  <c r="X2661" i="2"/>
  <c r="W2661" i="2"/>
  <c r="X2660" i="2"/>
  <c r="W2660" i="2"/>
  <c r="X2659" i="2"/>
  <c r="W2659" i="2"/>
  <c r="X2658" i="2"/>
  <c r="W2658" i="2"/>
  <c r="X2657" i="2"/>
  <c r="W2657" i="2"/>
  <c r="X2656" i="2"/>
  <c r="W2656" i="2"/>
  <c r="X2655" i="2"/>
  <c r="W2655" i="2"/>
  <c r="X2654" i="2"/>
  <c r="W2654" i="2"/>
  <c r="X2653" i="2"/>
  <c r="W2653" i="2"/>
  <c r="X2652" i="2"/>
  <c r="W2652" i="2"/>
  <c r="X2651" i="2"/>
  <c r="W2651" i="2"/>
  <c r="X2650" i="2"/>
  <c r="W2650" i="2"/>
  <c r="X2649" i="2"/>
  <c r="W2649" i="2"/>
  <c r="X2648" i="2"/>
  <c r="W2648" i="2"/>
  <c r="X2647" i="2"/>
  <c r="W2647" i="2"/>
  <c r="X2646" i="2"/>
  <c r="W2646" i="2"/>
  <c r="X2645" i="2"/>
  <c r="W2645" i="2"/>
  <c r="X2644" i="2"/>
  <c r="W2644" i="2"/>
  <c r="X2643" i="2"/>
  <c r="W2643" i="2"/>
  <c r="X2642" i="2"/>
  <c r="W2642" i="2"/>
  <c r="X2641" i="2"/>
  <c r="W2641" i="2"/>
  <c r="X2640" i="2"/>
  <c r="W2640" i="2"/>
  <c r="X2639" i="2"/>
  <c r="W2639" i="2"/>
  <c r="X2638" i="2"/>
  <c r="W2638" i="2"/>
  <c r="X2637" i="2"/>
  <c r="W2637" i="2"/>
  <c r="X2636" i="2"/>
  <c r="W2636" i="2"/>
  <c r="X2635" i="2"/>
  <c r="W2635" i="2"/>
  <c r="X2634" i="2"/>
  <c r="W2634" i="2"/>
  <c r="X2633" i="2"/>
  <c r="W2633" i="2"/>
  <c r="X2632" i="2"/>
  <c r="W2632" i="2"/>
  <c r="X2631" i="2"/>
  <c r="W2631" i="2"/>
  <c r="X2630" i="2"/>
  <c r="W2630" i="2"/>
  <c r="X2629" i="2"/>
  <c r="W2629" i="2"/>
  <c r="X2628" i="2"/>
  <c r="W2628" i="2"/>
  <c r="X2627" i="2"/>
  <c r="W2627" i="2"/>
  <c r="X2626" i="2"/>
  <c r="W2626" i="2"/>
  <c r="X2625" i="2"/>
  <c r="W2625" i="2"/>
  <c r="X2624" i="2"/>
  <c r="W2624" i="2"/>
  <c r="X2623" i="2"/>
  <c r="W2623" i="2"/>
  <c r="X2622" i="2"/>
  <c r="W2622" i="2"/>
  <c r="X2621" i="2"/>
  <c r="W2621" i="2"/>
  <c r="X2620" i="2"/>
  <c r="W2620" i="2"/>
  <c r="X2619" i="2"/>
  <c r="W2619" i="2"/>
  <c r="X2618" i="2"/>
  <c r="W2618" i="2"/>
  <c r="X2617" i="2"/>
  <c r="W2617" i="2"/>
  <c r="X2616" i="2"/>
  <c r="W2616" i="2"/>
  <c r="X2615" i="2"/>
  <c r="W2615" i="2"/>
  <c r="X2614" i="2"/>
  <c r="W2614" i="2"/>
  <c r="X2613" i="2"/>
  <c r="W2613" i="2"/>
  <c r="X2612" i="2"/>
  <c r="W2612" i="2"/>
  <c r="X2611" i="2"/>
  <c r="W2611" i="2"/>
  <c r="X2610" i="2"/>
  <c r="W2610" i="2"/>
  <c r="X2609" i="2"/>
  <c r="W2609" i="2"/>
  <c r="X2608" i="2"/>
  <c r="W2608" i="2"/>
  <c r="X2607" i="2"/>
  <c r="W2607" i="2"/>
  <c r="X2606" i="2"/>
  <c r="W2606" i="2"/>
  <c r="X2605" i="2"/>
  <c r="W2605" i="2"/>
  <c r="X2604" i="2"/>
  <c r="W2604" i="2"/>
  <c r="X2603" i="2"/>
  <c r="W2603" i="2"/>
  <c r="X2602" i="2"/>
  <c r="W2602" i="2"/>
  <c r="X2601" i="2"/>
  <c r="W2601" i="2"/>
  <c r="X2600" i="2"/>
  <c r="W2600" i="2"/>
  <c r="X2599" i="2"/>
  <c r="W2599" i="2"/>
  <c r="X2598" i="2"/>
  <c r="W2598" i="2"/>
  <c r="X2597" i="2"/>
  <c r="W2597" i="2"/>
  <c r="X2596" i="2"/>
  <c r="W2596" i="2"/>
  <c r="X2595" i="2"/>
  <c r="W2595" i="2"/>
  <c r="X2594" i="2"/>
  <c r="W2594" i="2"/>
  <c r="X2593" i="2"/>
  <c r="W2593" i="2"/>
  <c r="X2592" i="2"/>
  <c r="W2592" i="2"/>
  <c r="X2591" i="2"/>
  <c r="W2591" i="2"/>
  <c r="X2590" i="2"/>
  <c r="W2590" i="2"/>
  <c r="X2589" i="2"/>
  <c r="W2589" i="2"/>
  <c r="X2588" i="2"/>
  <c r="W2588" i="2"/>
  <c r="X2587" i="2"/>
  <c r="W2587" i="2"/>
  <c r="X2586" i="2"/>
  <c r="W2586" i="2"/>
  <c r="X2585" i="2"/>
  <c r="W2585" i="2"/>
  <c r="X2584" i="2"/>
  <c r="W2584" i="2"/>
  <c r="X2583" i="2"/>
  <c r="W2583" i="2"/>
  <c r="X2582" i="2"/>
  <c r="W2582" i="2"/>
  <c r="X2581" i="2"/>
  <c r="W2581" i="2"/>
  <c r="X2580" i="2"/>
  <c r="W2580" i="2"/>
  <c r="X2579" i="2"/>
  <c r="W2579" i="2"/>
  <c r="X2578" i="2"/>
  <c r="W2578" i="2"/>
  <c r="X2577" i="2"/>
  <c r="W2577" i="2"/>
  <c r="X2576" i="2"/>
  <c r="W2576" i="2"/>
  <c r="X2575" i="2"/>
  <c r="W2575" i="2"/>
  <c r="X2574" i="2"/>
  <c r="W2574" i="2"/>
  <c r="X2573" i="2"/>
  <c r="W2573" i="2"/>
  <c r="X2572" i="2"/>
  <c r="W2572" i="2"/>
  <c r="X2571" i="2"/>
  <c r="W2571" i="2"/>
  <c r="X2570" i="2"/>
  <c r="W2570" i="2"/>
  <c r="X2569" i="2"/>
  <c r="W2569" i="2"/>
  <c r="X2568" i="2"/>
  <c r="W2568" i="2"/>
  <c r="X2567" i="2"/>
  <c r="W2567" i="2"/>
  <c r="X2566" i="2"/>
  <c r="W2566" i="2"/>
  <c r="X2565" i="2"/>
  <c r="W2565" i="2"/>
  <c r="X2564" i="2"/>
  <c r="W2564" i="2"/>
  <c r="X2563" i="2"/>
  <c r="W2563" i="2"/>
  <c r="X2562" i="2"/>
  <c r="W2562" i="2"/>
  <c r="X2561" i="2"/>
  <c r="W2561" i="2"/>
  <c r="X2560" i="2"/>
  <c r="W2560" i="2"/>
  <c r="X2559" i="2"/>
  <c r="W2559" i="2"/>
  <c r="X2558" i="2"/>
  <c r="W2558" i="2"/>
  <c r="X2557" i="2"/>
  <c r="W2557" i="2"/>
  <c r="X2556" i="2"/>
  <c r="W2556" i="2"/>
  <c r="X2555" i="2"/>
  <c r="W2555" i="2"/>
  <c r="X2554" i="2"/>
  <c r="W2554" i="2"/>
  <c r="X2553" i="2"/>
  <c r="W2553" i="2"/>
  <c r="X2552" i="2"/>
  <c r="W2552" i="2"/>
  <c r="X2551" i="2"/>
  <c r="W2551" i="2"/>
  <c r="X2550" i="2"/>
  <c r="W2550" i="2"/>
  <c r="X2549" i="2"/>
  <c r="W2549" i="2"/>
  <c r="X2548" i="2"/>
  <c r="W2548" i="2"/>
  <c r="X2547" i="2"/>
  <c r="W2547" i="2"/>
  <c r="X2546" i="2"/>
  <c r="W2546" i="2"/>
  <c r="X2545" i="2"/>
  <c r="W2545" i="2"/>
  <c r="X2544" i="2"/>
  <c r="W2544" i="2"/>
  <c r="X2543" i="2"/>
  <c r="W2543" i="2"/>
  <c r="X2542" i="2"/>
  <c r="W2542" i="2"/>
  <c r="X2541" i="2"/>
  <c r="W2541" i="2"/>
  <c r="X2540" i="2"/>
  <c r="W2540" i="2"/>
  <c r="X2539" i="2"/>
  <c r="W2539" i="2"/>
  <c r="X2538" i="2"/>
  <c r="W2538" i="2"/>
  <c r="X2537" i="2"/>
  <c r="W2537" i="2"/>
  <c r="X2536" i="2"/>
  <c r="W2536" i="2"/>
  <c r="X2535" i="2"/>
  <c r="W2535" i="2"/>
  <c r="X2534" i="2"/>
  <c r="W2534" i="2"/>
  <c r="X2533" i="2"/>
  <c r="W2533" i="2"/>
  <c r="X2532" i="2"/>
  <c r="W2532" i="2"/>
  <c r="X2531" i="2"/>
  <c r="W2531" i="2"/>
  <c r="X2530" i="2"/>
  <c r="W2530" i="2"/>
  <c r="X2529" i="2"/>
  <c r="W2529" i="2"/>
  <c r="X2528" i="2"/>
  <c r="W2528" i="2"/>
  <c r="X2527" i="2"/>
  <c r="W2527" i="2"/>
  <c r="X2526" i="2"/>
  <c r="W2526" i="2"/>
  <c r="X2525" i="2"/>
  <c r="W2525" i="2"/>
  <c r="X2524" i="2"/>
  <c r="W2524" i="2"/>
  <c r="X2523" i="2"/>
  <c r="W2523" i="2"/>
  <c r="X2522" i="2"/>
  <c r="W2522" i="2"/>
  <c r="X2521" i="2"/>
  <c r="W2521" i="2"/>
  <c r="X2520" i="2"/>
  <c r="W2520" i="2"/>
  <c r="X2519" i="2"/>
  <c r="W2519" i="2"/>
  <c r="X2518" i="2"/>
  <c r="W2518" i="2"/>
  <c r="X2517" i="2"/>
  <c r="W2517" i="2"/>
  <c r="X2516" i="2"/>
  <c r="W2516" i="2"/>
  <c r="X2515" i="2"/>
  <c r="W2515" i="2"/>
  <c r="X2514" i="2"/>
  <c r="W2514" i="2"/>
  <c r="X2513" i="2"/>
  <c r="W2513" i="2"/>
  <c r="X2512" i="2"/>
  <c r="W2512" i="2"/>
  <c r="X2511" i="2"/>
  <c r="W2511" i="2"/>
  <c r="X2510" i="2"/>
  <c r="W2510" i="2"/>
  <c r="X2509" i="2"/>
  <c r="W2509" i="2"/>
  <c r="X2508" i="2"/>
  <c r="W2508" i="2"/>
  <c r="X2507" i="2"/>
  <c r="W2507" i="2"/>
  <c r="X2506" i="2"/>
  <c r="W2506" i="2"/>
  <c r="X2505" i="2"/>
  <c r="W2505" i="2"/>
  <c r="X2504" i="2"/>
  <c r="W2504" i="2"/>
  <c r="X2503" i="2"/>
  <c r="W2503" i="2"/>
  <c r="X2502" i="2"/>
  <c r="W2502" i="2"/>
  <c r="X2501" i="2"/>
  <c r="W2501" i="2"/>
  <c r="X2500" i="2"/>
  <c r="W2500" i="2"/>
  <c r="X2499" i="2"/>
  <c r="W2499" i="2"/>
  <c r="X2498" i="2"/>
  <c r="W2498" i="2"/>
  <c r="X2497" i="2"/>
  <c r="W2497" i="2"/>
  <c r="X2496" i="2"/>
  <c r="W2496" i="2"/>
  <c r="X2495" i="2"/>
  <c r="W2495" i="2"/>
  <c r="X2494" i="2"/>
  <c r="W2494" i="2"/>
  <c r="X2493" i="2"/>
  <c r="W2493" i="2"/>
  <c r="X2492" i="2"/>
  <c r="W2492" i="2"/>
  <c r="X2491" i="2"/>
  <c r="W2491" i="2"/>
  <c r="X2490" i="2"/>
  <c r="W2490" i="2"/>
  <c r="X2489" i="2"/>
  <c r="W2489" i="2"/>
  <c r="X2488" i="2"/>
  <c r="W2488" i="2"/>
  <c r="X2487" i="2"/>
  <c r="W2487" i="2"/>
  <c r="X2486" i="2"/>
  <c r="W2486" i="2"/>
  <c r="X2485" i="2"/>
  <c r="W2485" i="2"/>
  <c r="X2484" i="2"/>
  <c r="W2484" i="2"/>
  <c r="X2483" i="2"/>
  <c r="W2483" i="2"/>
  <c r="X2482" i="2"/>
  <c r="W2482" i="2"/>
  <c r="X2481" i="2"/>
  <c r="W2481" i="2"/>
  <c r="X2480" i="2"/>
  <c r="W2480" i="2"/>
  <c r="X2479" i="2"/>
  <c r="W2479" i="2"/>
  <c r="X2478" i="2"/>
  <c r="W2478" i="2"/>
  <c r="X2477" i="2"/>
  <c r="W2477" i="2"/>
  <c r="X2476" i="2"/>
  <c r="W2476" i="2"/>
  <c r="X2475" i="2"/>
  <c r="W2475" i="2"/>
  <c r="X2474" i="2"/>
  <c r="W2474" i="2"/>
  <c r="X2473" i="2"/>
  <c r="W2473" i="2"/>
  <c r="X2472" i="2"/>
  <c r="W2472" i="2"/>
  <c r="X2471" i="2"/>
  <c r="W2471" i="2"/>
  <c r="X2470" i="2"/>
  <c r="W2470" i="2"/>
  <c r="X2469" i="2"/>
  <c r="W2469" i="2"/>
  <c r="X2468" i="2"/>
  <c r="W2468" i="2"/>
  <c r="X2467" i="2"/>
  <c r="W2467" i="2"/>
  <c r="X2466" i="2"/>
  <c r="W2466" i="2"/>
  <c r="X2465" i="2"/>
  <c r="W2465" i="2"/>
  <c r="X2464" i="2"/>
  <c r="W2464" i="2"/>
  <c r="X2463" i="2"/>
  <c r="W2463" i="2"/>
  <c r="X2462" i="2"/>
  <c r="W2462" i="2"/>
  <c r="X2461" i="2"/>
  <c r="W2461" i="2"/>
  <c r="X2460" i="2"/>
  <c r="W2460" i="2"/>
  <c r="X2459" i="2"/>
  <c r="W2459" i="2"/>
  <c r="X2458" i="2"/>
  <c r="W2458" i="2"/>
  <c r="X2457" i="2"/>
  <c r="W2457" i="2"/>
  <c r="X2456" i="2"/>
  <c r="W2456" i="2"/>
  <c r="X2455" i="2"/>
  <c r="W2455" i="2"/>
  <c r="X2454" i="2"/>
  <c r="W2454" i="2"/>
  <c r="X2453" i="2"/>
  <c r="W2453" i="2"/>
  <c r="X2452" i="2"/>
  <c r="W2452" i="2"/>
  <c r="X2451" i="2"/>
  <c r="W2451" i="2"/>
  <c r="X2450" i="2"/>
  <c r="W2450" i="2"/>
  <c r="X2449" i="2"/>
  <c r="W2449" i="2"/>
  <c r="X2448" i="2"/>
  <c r="W2448" i="2"/>
  <c r="X2447" i="2"/>
  <c r="W2447" i="2"/>
  <c r="X2446" i="2"/>
  <c r="W2446" i="2"/>
  <c r="X2445" i="2"/>
  <c r="W2445" i="2"/>
  <c r="X2444" i="2"/>
  <c r="W2444" i="2"/>
  <c r="X2443" i="2"/>
  <c r="W2443" i="2"/>
  <c r="X2442" i="2"/>
  <c r="W2442" i="2"/>
  <c r="X2441" i="2"/>
  <c r="W2441" i="2"/>
  <c r="X2440" i="2"/>
  <c r="W2440" i="2"/>
  <c r="X2439" i="2"/>
  <c r="W2439" i="2"/>
  <c r="X2438" i="2"/>
  <c r="W2438" i="2"/>
  <c r="X2437" i="2"/>
  <c r="W2437" i="2"/>
  <c r="X2436" i="2"/>
  <c r="W2436" i="2"/>
  <c r="X2435" i="2"/>
  <c r="W2435" i="2"/>
  <c r="X2434" i="2"/>
  <c r="W2434" i="2"/>
  <c r="X2433" i="2"/>
  <c r="W2433" i="2"/>
  <c r="X2432" i="2"/>
  <c r="W2432" i="2"/>
  <c r="X2431" i="2"/>
  <c r="W2431" i="2"/>
  <c r="X2430" i="2"/>
  <c r="W2430" i="2"/>
  <c r="X2429" i="2"/>
  <c r="W2429" i="2"/>
  <c r="X2428" i="2"/>
  <c r="W2428" i="2"/>
  <c r="X2427" i="2"/>
  <c r="W2427" i="2"/>
  <c r="X2426" i="2"/>
  <c r="W2426" i="2"/>
  <c r="X2425" i="2"/>
  <c r="W2425" i="2"/>
  <c r="X2424" i="2"/>
  <c r="W2424" i="2"/>
  <c r="X2423" i="2"/>
  <c r="W2423" i="2"/>
  <c r="X2422" i="2"/>
  <c r="W2422" i="2"/>
  <c r="X2421" i="2"/>
  <c r="W2421" i="2"/>
  <c r="X2420" i="2"/>
  <c r="W2420" i="2"/>
  <c r="X2419" i="2"/>
  <c r="W2419" i="2"/>
  <c r="X2418" i="2"/>
  <c r="W2418" i="2"/>
  <c r="X2417" i="2"/>
  <c r="W2417" i="2"/>
  <c r="X2416" i="2"/>
  <c r="W2416" i="2"/>
  <c r="X2415" i="2"/>
  <c r="W2415" i="2"/>
  <c r="X2414" i="2"/>
  <c r="W2414" i="2"/>
  <c r="X2413" i="2"/>
  <c r="W2413" i="2"/>
  <c r="X2412" i="2"/>
  <c r="W2412" i="2"/>
  <c r="X2411" i="2"/>
  <c r="W2411" i="2"/>
  <c r="X2410" i="2"/>
  <c r="W2410" i="2"/>
  <c r="X2409" i="2"/>
  <c r="W2409" i="2"/>
  <c r="X2408" i="2"/>
  <c r="W2408" i="2"/>
  <c r="X2407" i="2"/>
  <c r="W2407" i="2"/>
  <c r="X2406" i="2"/>
  <c r="W2406" i="2"/>
  <c r="X2405" i="2"/>
  <c r="W2405" i="2"/>
  <c r="X2404" i="2"/>
  <c r="W2404" i="2"/>
  <c r="X2403" i="2"/>
  <c r="W2403" i="2"/>
  <c r="X2402" i="2"/>
  <c r="W2402" i="2"/>
  <c r="X2401" i="2"/>
  <c r="W2401" i="2"/>
  <c r="X2400" i="2"/>
  <c r="W2400" i="2"/>
  <c r="X2399" i="2"/>
  <c r="W2399" i="2"/>
  <c r="X2398" i="2"/>
  <c r="W2398" i="2"/>
  <c r="X2397" i="2"/>
  <c r="W2397" i="2"/>
  <c r="X2396" i="2"/>
  <c r="W2396" i="2"/>
  <c r="X2395" i="2"/>
  <c r="W2395" i="2"/>
  <c r="X2394" i="2"/>
  <c r="W2394" i="2"/>
  <c r="X2393" i="2"/>
  <c r="W2393" i="2"/>
  <c r="X2392" i="2"/>
  <c r="W2392" i="2"/>
  <c r="X2391" i="2"/>
  <c r="W2391" i="2"/>
  <c r="X2390" i="2"/>
  <c r="W2390" i="2"/>
  <c r="X2389" i="2"/>
  <c r="W2389" i="2"/>
  <c r="X2388" i="2"/>
  <c r="W2388" i="2"/>
  <c r="X2387" i="2"/>
  <c r="W2387" i="2"/>
  <c r="X2386" i="2"/>
  <c r="W2386" i="2"/>
  <c r="X2385" i="2"/>
  <c r="W2385" i="2"/>
  <c r="X2384" i="2"/>
  <c r="W2384" i="2"/>
  <c r="X2383" i="2"/>
  <c r="W2383" i="2"/>
  <c r="X2382" i="2"/>
  <c r="W2382" i="2"/>
  <c r="X2381" i="2"/>
  <c r="W2381" i="2"/>
  <c r="X2380" i="2"/>
  <c r="W2380" i="2"/>
  <c r="X2379" i="2"/>
  <c r="W2379" i="2"/>
  <c r="X2378" i="2"/>
  <c r="W2378" i="2"/>
  <c r="X2377" i="2"/>
  <c r="W2377" i="2"/>
  <c r="X2376" i="2"/>
  <c r="W2376" i="2"/>
  <c r="X2375" i="2"/>
  <c r="W2375" i="2"/>
  <c r="X2374" i="2"/>
  <c r="W2374" i="2"/>
  <c r="X2373" i="2"/>
  <c r="W2373" i="2"/>
  <c r="X2372" i="2"/>
  <c r="W2372" i="2"/>
  <c r="X2371" i="2"/>
  <c r="W2371" i="2"/>
  <c r="X2370" i="2"/>
  <c r="W2370" i="2"/>
  <c r="X2369" i="2"/>
  <c r="W2369" i="2"/>
  <c r="X2368" i="2"/>
  <c r="W2368" i="2"/>
  <c r="X2367" i="2"/>
  <c r="W2367" i="2"/>
  <c r="X2366" i="2"/>
  <c r="W2366" i="2"/>
  <c r="X2365" i="2"/>
  <c r="W2365" i="2"/>
  <c r="X2364" i="2"/>
  <c r="W2364" i="2"/>
  <c r="X2363" i="2"/>
  <c r="W2363" i="2"/>
  <c r="X2362" i="2"/>
  <c r="W2362" i="2"/>
  <c r="X2361" i="2"/>
  <c r="W2361" i="2"/>
  <c r="X2360" i="2"/>
  <c r="W2360" i="2"/>
  <c r="X2359" i="2"/>
  <c r="W2359" i="2"/>
  <c r="X2358" i="2"/>
  <c r="W2358" i="2"/>
  <c r="X2357" i="2"/>
  <c r="W2357" i="2"/>
  <c r="X2356" i="2"/>
  <c r="W2356" i="2"/>
  <c r="X2355" i="2"/>
  <c r="W2355" i="2"/>
  <c r="X2354" i="2"/>
  <c r="W2354" i="2"/>
  <c r="X2353" i="2"/>
  <c r="W2353" i="2"/>
  <c r="X2352" i="2"/>
  <c r="W2352" i="2"/>
  <c r="X2351" i="2"/>
  <c r="W2351" i="2"/>
  <c r="X2350" i="2"/>
  <c r="W2350" i="2"/>
  <c r="X2349" i="2"/>
  <c r="W2349" i="2"/>
  <c r="X2348" i="2"/>
  <c r="W2348" i="2"/>
  <c r="X2347" i="2"/>
  <c r="W2347" i="2"/>
  <c r="X2346" i="2"/>
  <c r="W2346" i="2"/>
  <c r="X2345" i="2"/>
  <c r="W2345" i="2"/>
  <c r="X2344" i="2"/>
  <c r="W2344" i="2"/>
  <c r="X2343" i="2"/>
  <c r="W2343" i="2"/>
  <c r="X2342" i="2"/>
  <c r="W2342" i="2"/>
  <c r="X2341" i="2"/>
  <c r="W2341" i="2"/>
  <c r="X2340" i="2"/>
  <c r="W2340" i="2"/>
  <c r="X2339" i="2"/>
  <c r="W2339" i="2"/>
  <c r="X2338" i="2"/>
  <c r="W2338" i="2"/>
  <c r="X2337" i="2"/>
  <c r="W2337" i="2"/>
  <c r="X2336" i="2"/>
  <c r="W2336" i="2"/>
  <c r="X2335" i="2"/>
  <c r="W2335" i="2"/>
  <c r="X2334" i="2"/>
  <c r="W2334" i="2"/>
  <c r="X2333" i="2"/>
  <c r="W2333" i="2"/>
  <c r="X2332" i="2"/>
  <c r="W2332" i="2"/>
  <c r="X2331" i="2"/>
  <c r="W2331" i="2"/>
  <c r="X2330" i="2"/>
  <c r="W2330" i="2"/>
  <c r="X2329" i="2"/>
  <c r="W2329" i="2"/>
  <c r="X2328" i="2"/>
  <c r="W2328" i="2"/>
  <c r="X2327" i="2"/>
  <c r="W2327" i="2"/>
  <c r="X2326" i="2"/>
  <c r="W2326" i="2"/>
  <c r="X2325" i="2"/>
  <c r="W2325" i="2"/>
  <c r="X2324" i="2"/>
  <c r="W2324" i="2"/>
  <c r="X2323" i="2"/>
  <c r="W2323" i="2"/>
  <c r="X2322" i="2"/>
  <c r="W2322" i="2"/>
  <c r="X2321" i="2"/>
  <c r="W2321" i="2"/>
  <c r="X2320" i="2"/>
  <c r="W2320" i="2"/>
  <c r="X2319" i="2"/>
  <c r="W2319" i="2"/>
  <c r="X2318" i="2"/>
  <c r="W2318" i="2"/>
  <c r="X2317" i="2"/>
  <c r="W2317" i="2"/>
  <c r="X2316" i="2"/>
  <c r="W2316" i="2"/>
  <c r="X2315" i="2"/>
  <c r="W2315" i="2"/>
  <c r="X2314" i="2"/>
  <c r="W2314" i="2"/>
  <c r="X2313" i="2"/>
  <c r="W2313" i="2"/>
  <c r="X2312" i="2"/>
  <c r="W2312" i="2"/>
  <c r="X2311" i="2"/>
  <c r="W2311" i="2"/>
  <c r="X2310" i="2"/>
  <c r="W2310" i="2"/>
  <c r="X2309" i="2"/>
  <c r="W2309" i="2"/>
  <c r="X2308" i="2"/>
  <c r="W2308" i="2"/>
  <c r="X2307" i="2"/>
  <c r="W2307" i="2"/>
  <c r="X2306" i="2"/>
  <c r="W2306" i="2"/>
  <c r="X2305" i="2"/>
  <c r="W2305" i="2"/>
  <c r="X2304" i="2"/>
  <c r="W2304" i="2"/>
  <c r="X2303" i="2"/>
  <c r="W2303" i="2"/>
  <c r="X2302" i="2"/>
  <c r="W2302" i="2"/>
  <c r="X2301" i="2"/>
  <c r="W2301" i="2"/>
  <c r="X2300" i="2"/>
  <c r="W2300" i="2"/>
  <c r="X2299" i="2"/>
  <c r="W2299" i="2"/>
  <c r="X2298" i="2"/>
  <c r="W2298" i="2"/>
  <c r="X2297" i="2"/>
  <c r="W2297" i="2"/>
  <c r="X2296" i="2"/>
  <c r="W2296" i="2"/>
  <c r="X2295" i="2"/>
  <c r="W2295" i="2"/>
  <c r="X2294" i="2"/>
  <c r="W2294" i="2"/>
  <c r="X2293" i="2"/>
  <c r="W2293" i="2"/>
  <c r="X2292" i="2"/>
  <c r="W2292" i="2"/>
  <c r="X2291" i="2"/>
  <c r="W2291" i="2"/>
  <c r="X2290" i="2"/>
  <c r="W2290" i="2"/>
  <c r="X2289" i="2"/>
  <c r="W2289" i="2"/>
  <c r="X2288" i="2"/>
  <c r="W2288" i="2"/>
  <c r="X2287" i="2"/>
  <c r="W2287" i="2"/>
  <c r="X2286" i="2"/>
  <c r="W2286" i="2"/>
  <c r="X2285" i="2"/>
  <c r="W2285" i="2"/>
  <c r="X2284" i="2"/>
  <c r="W2284" i="2"/>
  <c r="X2283" i="2"/>
  <c r="W2283" i="2"/>
  <c r="X2282" i="2"/>
  <c r="W2282" i="2"/>
  <c r="X2281" i="2"/>
  <c r="W2281" i="2"/>
  <c r="X2280" i="2"/>
  <c r="W2280" i="2"/>
  <c r="X2279" i="2"/>
  <c r="W2279" i="2"/>
  <c r="X2278" i="2"/>
  <c r="W2278" i="2"/>
  <c r="X2277" i="2"/>
  <c r="W2277" i="2"/>
  <c r="X2276" i="2"/>
  <c r="W2276" i="2"/>
  <c r="X2275" i="2"/>
  <c r="W2275" i="2"/>
  <c r="X2274" i="2"/>
  <c r="W2274" i="2"/>
  <c r="X2273" i="2"/>
  <c r="W2273" i="2"/>
  <c r="X2272" i="2"/>
  <c r="W2272" i="2"/>
  <c r="X2271" i="2"/>
  <c r="W2271" i="2"/>
  <c r="X2270" i="2"/>
  <c r="W2270" i="2"/>
  <c r="X2269" i="2"/>
  <c r="W2269" i="2"/>
  <c r="X2268" i="2"/>
  <c r="W2268" i="2"/>
  <c r="X2267" i="2"/>
  <c r="W2267" i="2"/>
  <c r="X2266" i="2"/>
  <c r="W2266" i="2"/>
  <c r="X2265" i="2"/>
  <c r="W2265" i="2"/>
  <c r="X2264" i="2"/>
  <c r="W2264" i="2"/>
  <c r="X2263" i="2"/>
  <c r="W2263" i="2"/>
  <c r="X2262" i="2"/>
  <c r="W2262" i="2"/>
  <c r="X2261" i="2"/>
  <c r="W2261" i="2"/>
  <c r="X2260" i="2"/>
  <c r="W2260" i="2"/>
  <c r="X2259" i="2"/>
  <c r="W2259" i="2"/>
  <c r="X2258" i="2"/>
  <c r="W2258" i="2"/>
  <c r="X2257" i="2"/>
  <c r="W2257" i="2"/>
  <c r="X2256" i="2"/>
  <c r="W2256" i="2"/>
  <c r="X2255" i="2"/>
  <c r="W2255" i="2"/>
  <c r="X2254" i="2"/>
  <c r="W2254" i="2"/>
  <c r="X2253" i="2"/>
  <c r="W2253" i="2"/>
  <c r="X2252" i="2"/>
  <c r="W2252" i="2"/>
  <c r="X2251" i="2"/>
  <c r="W2251" i="2"/>
  <c r="X2250" i="2"/>
  <c r="W2250" i="2"/>
  <c r="X2249" i="2"/>
  <c r="W2249" i="2"/>
  <c r="X2248" i="2"/>
  <c r="W2248" i="2"/>
  <c r="X2247" i="2"/>
  <c r="W2247" i="2"/>
  <c r="X2246" i="2"/>
  <c r="W2246" i="2"/>
  <c r="X2245" i="2"/>
  <c r="W2245" i="2"/>
  <c r="X2244" i="2"/>
  <c r="W2244" i="2"/>
  <c r="X2243" i="2"/>
  <c r="W2243" i="2"/>
  <c r="X2242" i="2"/>
  <c r="W2242" i="2"/>
  <c r="X2241" i="2"/>
  <c r="W2241" i="2"/>
  <c r="X2240" i="2"/>
  <c r="W2240" i="2"/>
  <c r="X2239" i="2"/>
  <c r="W2239" i="2"/>
  <c r="X2238" i="2"/>
  <c r="W2238" i="2"/>
  <c r="X2237" i="2"/>
  <c r="W2237" i="2"/>
  <c r="X2236" i="2"/>
  <c r="W2236" i="2"/>
  <c r="X2235" i="2"/>
  <c r="W2235" i="2"/>
  <c r="X2234" i="2"/>
  <c r="W2234" i="2"/>
  <c r="X2233" i="2"/>
  <c r="W2233" i="2"/>
  <c r="X2232" i="2"/>
  <c r="W2232" i="2"/>
  <c r="X2231" i="2"/>
  <c r="W2231" i="2"/>
  <c r="X2230" i="2"/>
  <c r="W2230" i="2"/>
  <c r="X2229" i="2"/>
  <c r="W2229" i="2"/>
  <c r="X2228" i="2"/>
  <c r="W2228" i="2"/>
  <c r="X2227" i="2"/>
  <c r="W2227" i="2"/>
  <c r="X2226" i="2"/>
  <c r="W2226" i="2"/>
  <c r="X2225" i="2"/>
  <c r="W2225" i="2"/>
  <c r="X2224" i="2"/>
  <c r="W2224" i="2"/>
  <c r="X2223" i="2"/>
  <c r="W2223" i="2"/>
  <c r="X2222" i="2"/>
  <c r="W2222" i="2"/>
  <c r="X2221" i="2"/>
  <c r="W2221" i="2"/>
  <c r="X2220" i="2"/>
  <c r="W2220" i="2"/>
  <c r="X2219" i="2"/>
  <c r="W2219" i="2"/>
  <c r="X2218" i="2"/>
  <c r="W2218" i="2"/>
  <c r="X2217" i="2"/>
  <c r="W2217" i="2"/>
  <c r="X2216" i="2"/>
  <c r="W2216" i="2"/>
  <c r="X2215" i="2"/>
  <c r="W2215" i="2"/>
  <c r="X2214" i="2"/>
  <c r="W2214" i="2"/>
  <c r="X2213" i="2"/>
  <c r="W2213" i="2"/>
  <c r="X2212" i="2"/>
  <c r="W2212" i="2"/>
  <c r="X2211" i="2"/>
  <c r="W2211" i="2"/>
  <c r="X2210" i="2"/>
  <c r="W2210" i="2"/>
  <c r="X2209" i="2"/>
  <c r="W2209" i="2"/>
  <c r="X2208" i="2"/>
  <c r="W2208" i="2"/>
  <c r="X2207" i="2"/>
  <c r="W2207" i="2"/>
  <c r="X2206" i="2"/>
  <c r="W2206" i="2"/>
  <c r="X2205" i="2"/>
  <c r="W2205" i="2"/>
  <c r="X2204" i="2"/>
  <c r="W2204" i="2"/>
  <c r="X2203" i="2"/>
  <c r="W2203" i="2"/>
  <c r="X2202" i="2"/>
  <c r="W2202" i="2"/>
  <c r="X2201" i="2"/>
  <c r="W2201" i="2"/>
  <c r="X2200" i="2"/>
  <c r="W2200" i="2"/>
  <c r="X2199" i="2"/>
  <c r="W2199" i="2"/>
  <c r="X2198" i="2"/>
  <c r="W2198" i="2"/>
  <c r="X2197" i="2"/>
  <c r="W2197" i="2"/>
  <c r="X2196" i="2"/>
  <c r="W2196" i="2"/>
  <c r="X2195" i="2"/>
  <c r="W2195" i="2"/>
  <c r="X2194" i="2"/>
  <c r="W2194" i="2"/>
  <c r="X2193" i="2"/>
  <c r="W2193" i="2"/>
  <c r="X2192" i="2"/>
  <c r="W2192" i="2"/>
  <c r="X2191" i="2"/>
  <c r="W2191" i="2"/>
  <c r="X2190" i="2"/>
  <c r="W2190" i="2"/>
  <c r="X2189" i="2"/>
  <c r="W2189" i="2"/>
  <c r="X2188" i="2"/>
  <c r="W2188" i="2"/>
  <c r="X2187" i="2"/>
  <c r="W2187" i="2"/>
  <c r="X2186" i="2"/>
  <c r="W2186" i="2"/>
  <c r="X2185" i="2"/>
  <c r="W2185" i="2"/>
  <c r="X2184" i="2"/>
  <c r="W2184" i="2"/>
  <c r="X2183" i="2"/>
  <c r="W2183" i="2"/>
  <c r="X2182" i="2"/>
  <c r="W2182" i="2"/>
  <c r="X2181" i="2"/>
  <c r="W2181" i="2"/>
  <c r="X2180" i="2"/>
  <c r="W2180" i="2"/>
  <c r="X2179" i="2"/>
  <c r="W2179" i="2"/>
  <c r="X2178" i="2"/>
  <c r="W2178" i="2"/>
  <c r="X2177" i="2"/>
  <c r="W2177" i="2"/>
  <c r="X2176" i="2"/>
  <c r="W2176" i="2"/>
  <c r="X2175" i="2"/>
  <c r="W2175" i="2"/>
  <c r="X2174" i="2"/>
  <c r="W2174" i="2"/>
  <c r="X2173" i="2"/>
  <c r="W2173" i="2"/>
  <c r="X2172" i="2"/>
  <c r="W2172" i="2"/>
  <c r="X2171" i="2"/>
  <c r="W2171" i="2"/>
  <c r="X2170" i="2"/>
  <c r="W2170" i="2"/>
  <c r="X2169" i="2"/>
  <c r="W2169" i="2"/>
  <c r="X2168" i="2"/>
  <c r="W2168" i="2"/>
  <c r="X2167" i="2"/>
  <c r="W2167" i="2"/>
  <c r="X2166" i="2"/>
  <c r="W2166" i="2"/>
  <c r="X2165" i="2"/>
  <c r="W2165" i="2"/>
  <c r="X2164" i="2"/>
  <c r="W2164" i="2"/>
  <c r="X2163" i="2"/>
  <c r="W2163" i="2"/>
  <c r="X2162" i="2"/>
  <c r="W2162" i="2"/>
  <c r="X2161" i="2"/>
  <c r="W2161" i="2"/>
  <c r="X2160" i="2"/>
  <c r="W2160" i="2"/>
  <c r="X2159" i="2"/>
  <c r="W2159" i="2"/>
  <c r="X2158" i="2"/>
  <c r="W2158" i="2"/>
  <c r="X2157" i="2"/>
  <c r="W2157" i="2"/>
  <c r="X2156" i="2"/>
  <c r="W2156" i="2"/>
  <c r="X2155" i="2"/>
  <c r="W2155" i="2"/>
  <c r="X2154" i="2"/>
  <c r="W2154" i="2"/>
  <c r="X2153" i="2"/>
  <c r="W2153" i="2"/>
  <c r="X2152" i="2"/>
  <c r="W2152" i="2"/>
  <c r="X2151" i="2"/>
  <c r="W2151" i="2"/>
  <c r="X2150" i="2"/>
  <c r="W2150" i="2"/>
  <c r="X2149" i="2"/>
  <c r="W2149" i="2"/>
  <c r="X2148" i="2"/>
  <c r="W2148" i="2"/>
  <c r="X2147" i="2"/>
  <c r="W2147" i="2"/>
  <c r="X2146" i="2"/>
  <c r="W2146" i="2"/>
  <c r="X2145" i="2"/>
  <c r="W2145" i="2"/>
  <c r="X2144" i="2"/>
  <c r="W2144" i="2"/>
  <c r="X2143" i="2"/>
  <c r="W2143" i="2"/>
  <c r="X2142" i="2"/>
  <c r="W2142" i="2"/>
  <c r="X2141" i="2"/>
  <c r="W2141" i="2"/>
  <c r="X2140" i="2"/>
  <c r="W2140" i="2"/>
  <c r="X2139" i="2"/>
  <c r="W2139" i="2"/>
  <c r="X2138" i="2"/>
  <c r="W2138" i="2"/>
  <c r="X2137" i="2"/>
  <c r="W2137" i="2"/>
  <c r="X2136" i="2"/>
  <c r="W2136" i="2"/>
  <c r="X2135" i="2"/>
  <c r="W2135" i="2"/>
  <c r="X2134" i="2"/>
  <c r="W2134" i="2"/>
  <c r="X2133" i="2"/>
  <c r="W2133" i="2"/>
  <c r="X2132" i="2"/>
  <c r="W2132" i="2"/>
  <c r="X2131" i="2"/>
  <c r="W2131" i="2"/>
  <c r="X2130" i="2"/>
  <c r="W2130" i="2"/>
  <c r="X2129" i="2"/>
  <c r="W2129" i="2"/>
  <c r="X2128" i="2"/>
  <c r="W2128" i="2"/>
  <c r="X2127" i="2"/>
  <c r="W2127" i="2"/>
  <c r="X2126" i="2"/>
  <c r="W2126" i="2"/>
  <c r="X2125" i="2"/>
  <c r="W2125" i="2"/>
  <c r="X2124" i="2"/>
  <c r="W2124" i="2"/>
  <c r="X2123" i="2"/>
  <c r="W2123" i="2"/>
  <c r="X2122" i="2"/>
  <c r="W2122" i="2"/>
  <c r="X2121" i="2"/>
  <c r="W2121" i="2"/>
  <c r="X2120" i="2"/>
  <c r="W2120" i="2"/>
  <c r="X2119" i="2"/>
  <c r="W2119" i="2"/>
  <c r="X2118" i="2"/>
  <c r="W2118" i="2"/>
  <c r="X2117" i="2"/>
  <c r="W2117" i="2"/>
  <c r="X2116" i="2"/>
  <c r="W2116" i="2"/>
  <c r="X2115" i="2"/>
  <c r="W2115" i="2"/>
  <c r="X2114" i="2"/>
  <c r="W2114" i="2"/>
  <c r="X2113" i="2"/>
  <c r="W2113" i="2"/>
  <c r="X2112" i="2"/>
  <c r="W2112" i="2"/>
  <c r="X2111" i="2"/>
  <c r="W2111" i="2"/>
  <c r="X2110" i="2"/>
  <c r="W2110" i="2"/>
  <c r="X2109" i="2"/>
  <c r="W2109" i="2"/>
  <c r="X2108" i="2"/>
  <c r="W2108" i="2"/>
  <c r="X2107" i="2"/>
  <c r="W2107" i="2"/>
  <c r="X2106" i="2"/>
  <c r="W2106" i="2"/>
  <c r="X2105" i="2"/>
  <c r="W2105" i="2"/>
  <c r="X2104" i="2"/>
  <c r="W2104" i="2"/>
  <c r="X2103" i="2"/>
  <c r="W2103" i="2"/>
  <c r="X2102" i="2"/>
  <c r="W2102" i="2"/>
  <c r="X2101" i="2"/>
  <c r="W2101" i="2"/>
  <c r="X2100" i="2"/>
  <c r="W2100" i="2"/>
  <c r="X2099" i="2"/>
  <c r="W2099" i="2"/>
  <c r="X2098" i="2"/>
  <c r="W2098" i="2"/>
  <c r="X2097" i="2"/>
  <c r="W2097" i="2"/>
  <c r="X2096" i="2"/>
  <c r="W2096" i="2"/>
  <c r="X2095" i="2"/>
  <c r="W2095" i="2"/>
  <c r="X2094" i="2"/>
  <c r="W2094" i="2"/>
  <c r="X2093" i="2"/>
  <c r="W2093" i="2"/>
  <c r="X2092" i="2"/>
  <c r="W2092" i="2"/>
  <c r="X2091" i="2"/>
  <c r="W2091" i="2"/>
  <c r="X2090" i="2"/>
  <c r="W2090" i="2"/>
  <c r="X2089" i="2"/>
  <c r="W2089" i="2"/>
  <c r="X2088" i="2"/>
  <c r="W2088" i="2"/>
  <c r="X2087" i="2"/>
  <c r="W2087" i="2"/>
  <c r="X2086" i="2"/>
  <c r="W2086" i="2"/>
  <c r="X2085" i="2"/>
  <c r="W2085" i="2"/>
  <c r="X2084" i="2"/>
  <c r="W2084" i="2"/>
  <c r="X2083" i="2"/>
  <c r="W2083" i="2"/>
  <c r="X2082" i="2"/>
  <c r="W2082" i="2"/>
  <c r="X2081" i="2"/>
  <c r="W2081" i="2"/>
  <c r="X2080" i="2"/>
  <c r="W2080" i="2"/>
  <c r="X2079" i="2"/>
  <c r="W2079" i="2"/>
  <c r="X2078" i="2"/>
  <c r="W2078" i="2"/>
  <c r="X2077" i="2"/>
  <c r="W2077" i="2"/>
  <c r="X2076" i="2"/>
  <c r="W2076" i="2"/>
  <c r="X2075" i="2"/>
  <c r="W2075" i="2"/>
  <c r="X2074" i="2"/>
  <c r="W2074" i="2"/>
  <c r="X2073" i="2"/>
  <c r="W2073" i="2"/>
  <c r="X2072" i="2"/>
  <c r="W2072" i="2"/>
  <c r="X2071" i="2"/>
  <c r="W2071" i="2"/>
  <c r="X2070" i="2"/>
  <c r="W2070" i="2"/>
  <c r="X2069" i="2"/>
  <c r="W2069" i="2"/>
  <c r="X2068" i="2"/>
  <c r="W2068" i="2"/>
  <c r="X2067" i="2"/>
  <c r="W2067" i="2"/>
  <c r="X2066" i="2"/>
  <c r="W2066" i="2"/>
  <c r="X2065" i="2"/>
  <c r="W2065" i="2"/>
  <c r="X2064" i="2"/>
  <c r="W2064" i="2"/>
  <c r="X2063" i="2"/>
  <c r="W2063" i="2"/>
  <c r="X2062" i="2"/>
  <c r="W2062" i="2"/>
  <c r="X2061" i="2"/>
  <c r="W2061" i="2"/>
  <c r="X2060" i="2"/>
  <c r="W2060" i="2"/>
  <c r="X2059" i="2"/>
  <c r="W2059" i="2"/>
  <c r="X2058" i="2"/>
  <c r="W2058" i="2"/>
  <c r="X2057" i="2"/>
  <c r="W2057" i="2"/>
  <c r="X2056" i="2"/>
  <c r="W2056" i="2"/>
  <c r="X2055" i="2"/>
  <c r="W2055" i="2"/>
  <c r="X2054" i="2"/>
  <c r="W2054" i="2"/>
  <c r="X2053" i="2"/>
  <c r="W2053" i="2"/>
  <c r="X2052" i="2"/>
  <c r="W2052" i="2"/>
  <c r="X2051" i="2"/>
  <c r="W2051" i="2"/>
  <c r="X2050" i="2"/>
  <c r="W2050" i="2"/>
  <c r="X2049" i="2"/>
  <c r="W2049" i="2"/>
  <c r="X2048" i="2"/>
  <c r="W2048" i="2"/>
  <c r="X2047" i="2"/>
  <c r="W2047" i="2"/>
  <c r="X2046" i="2"/>
  <c r="W2046" i="2"/>
  <c r="X2045" i="2"/>
  <c r="W2045" i="2"/>
  <c r="X2044" i="2"/>
  <c r="W2044" i="2"/>
  <c r="X2043" i="2"/>
  <c r="W2043" i="2"/>
  <c r="X2042" i="2"/>
  <c r="W2042" i="2"/>
  <c r="X2041" i="2"/>
  <c r="W2041" i="2"/>
  <c r="X2040" i="2"/>
  <c r="W2040" i="2"/>
  <c r="X2039" i="2"/>
  <c r="W2039" i="2"/>
  <c r="X2038" i="2"/>
  <c r="W2038" i="2"/>
  <c r="X2037" i="2"/>
  <c r="W2037" i="2"/>
  <c r="X2036" i="2"/>
  <c r="W2036" i="2"/>
  <c r="X2035" i="2"/>
  <c r="W2035" i="2"/>
  <c r="X2034" i="2"/>
  <c r="W2034" i="2"/>
  <c r="X2033" i="2"/>
  <c r="W2033" i="2"/>
  <c r="X2032" i="2"/>
  <c r="W2032" i="2"/>
  <c r="X2031" i="2"/>
  <c r="W2031" i="2"/>
  <c r="X2030" i="2"/>
  <c r="W2030" i="2"/>
  <c r="X2029" i="2"/>
  <c r="W2029" i="2"/>
  <c r="X2028" i="2"/>
  <c r="W2028" i="2"/>
  <c r="X2027" i="2"/>
  <c r="W2027" i="2"/>
  <c r="X2026" i="2"/>
  <c r="W2026" i="2"/>
  <c r="X2025" i="2"/>
  <c r="W2025" i="2"/>
  <c r="X2024" i="2"/>
  <c r="W2024" i="2"/>
  <c r="X2023" i="2"/>
  <c r="W2023" i="2"/>
  <c r="X2022" i="2"/>
  <c r="W2022" i="2"/>
  <c r="X2021" i="2"/>
  <c r="W2021" i="2"/>
  <c r="X2020" i="2"/>
  <c r="W2020" i="2"/>
  <c r="X2019" i="2"/>
  <c r="W2019" i="2"/>
  <c r="X2018" i="2"/>
  <c r="W2018" i="2"/>
  <c r="X2017" i="2"/>
  <c r="W2017" i="2"/>
  <c r="X2016" i="2"/>
  <c r="W2016" i="2"/>
  <c r="X2015" i="2"/>
  <c r="W2015" i="2"/>
  <c r="X2014" i="2"/>
  <c r="W2014" i="2"/>
  <c r="X2013" i="2"/>
  <c r="W2013" i="2"/>
  <c r="X2012" i="2"/>
  <c r="W2012" i="2"/>
  <c r="X2011" i="2"/>
  <c r="W2011" i="2"/>
  <c r="X2010" i="2"/>
  <c r="W2010" i="2"/>
  <c r="X2009" i="2"/>
  <c r="W2009" i="2"/>
  <c r="X2008" i="2"/>
  <c r="W2008" i="2"/>
  <c r="X2007" i="2"/>
  <c r="W2007" i="2"/>
  <c r="X2006" i="2"/>
  <c r="W2006" i="2"/>
  <c r="X2005" i="2"/>
  <c r="W2005" i="2"/>
  <c r="X2004" i="2"/>
  <c r="W2004" i="2"/>
  <c r="X2003" i="2"/>
  <c r="W2003" i="2"/>
  <c r="X2002" i="2"/>
  <c r="W2002" i="2"/>
  <c r="X2001" i="2"/>
  <c r="W2001" i="2"/>
  <c r="X2000" i="2"/>
  <c r="W2000" i="2"/>
  <c r="X1999" i="2"/>
  <c r="W1999" i="2"/>
  <c r="X1998" i="2"/>
  <c r="W1998" i="2"/>
  <c r="X1997" i="2"/>
  <c r="W1997" i="2"/>
  <c r="X1996" i="2"/>
  <c r="W1996" i="2"/>
  <c r="X1995" i="2"/>
  <c r="W1995" i="2"/>
  <c r="X1994" i="2"/>
  <c r="W1994" i="2"/>
  <c r="X1993" i="2"/>
  <c r="W1993" i="2"/>
  <c r="X1992" i="2"/>
  <c r="W1992" i="2"/>
  <c r="X1991" i="2"/>
  <c r="W1991" i="2"/>
  <c r="X1990" i="2"/>
  <c r="W1990" i="2"/>
  <c r="X1989" i="2"/>
  <c r="W1989" i="2"/>
  <c r="X1988" i="2"/>
  <c r="W1988" i="2"/>
  <c r="X1987" i="2"/>
  <c r="W1987" i="2"/>
  <c r="X1986" i="2"/>
  <c r="W1986" i="2"/>
  <c r="X1985" i="2"/>
  <c r="W1985" i="2"/>
  <c r="X1984" i="2"/>
  <c r="W1984" i="2"/>
  <c r="X1983" i="2"/>
  <c r="W1983" i="2"/>
  <c r="X1982" i="2"/>
  <c r="W1982" i="2"/>
  <c r="X1981" i="2"/>
  <c r="W1981" i="2"/>
  <c r="X1980" i="2"/>
  <c r="W1980" i="2"/>
  <c r="X1979" i="2"/>
  <c r="W1979" i="2"/>
  <c r="X1978" i="2"/>
  <c r="W1978" i="2"/>
  <c r="X1977" i="2"/>
  <c r="W1977" i="2"/>
  <c r="X1976" i="2"/>
  <c r="W1976" i="2"/>
  <c r="X1975" i="2"/>
  <c r="W1975" i="2"/>
  <c r="X1974" i="2"/>
  <c r="W1974" i="2"/>
  <c r="X1973" i="2"/>
  <c r="W1973" i="2"/>
  <c r="X1972" i="2"/>
  <c r="W1972" i="2"/>
  <c r="X1971" i="2"/>
  <c r="W1971" i="2"/>
  <c r="X1970" i="2"/>
  <c r="W1970" i="2"/>
  <c r="X1969" i="2"/>
  <c r="W1969" i="2"/>
  <c r="X1968" i="2"/>
  <c r="W1968" i="2"/>
  <c r="X1967" i="2"/>
  <c r="W1967" i="2"/>
  <c r="X1966" i="2"/>
  <c r="W1966" i="2"/>
  <c r="X1965" i="2"/>
  <c r="W1965" i="2"/>
  <c r="X1964" i="2"/>
  <c r="W1964" i="2"/>
  <c r="X1963" i="2"/>
  <c r="W1963" i="2"/>
  <c r="X1962" i="2"/>
  <c r="W1962" i="2"/>
  <c r="X1961" i="2"/>
  <c r="W1961" i="2"/>
  <c r="X1960" i="2"/>
  <c r="W1960" i="2"/>
  <c r="X1959" i="2"/>
  <c r="W1959" i="2"/>
  <c r="X1958" i="2"/>
  <c r="W1958" i="2"/>
  <c r="X1957" i="2"/>
  <c r="W1957" i="2"/>
  <c r="X1956" i="2"/>
  <c r="W1956" i="2"/>
  <c r="X1955" i="2"/>
  <c r="W1955" i="2"/>
  <c r="X1954" i="2"/>
  <c r="W1954" i="2"/>
  <c r="X1953" i="2"/>
  <c r="W1953" i="2"/>
  <c r="X1952" i="2"/>
  <c r="W1952" i="2"/>
  <c r="X1951" i="2"/>
  <c r="W1951" i="2"/>
  <c r="X1950" i="2"/>
  <c r="W1950" i="2"/>
  <c r="X1949" i="2"/>
  <c r="W1949" i="2"/>
  <c r="X1948" i="2"/>
  <c r="W1948" i="2"/>
  <c r="X1947" i="2"/>
  <c r="W1947" i="2"/>
  <c r="X1946" i="2"/>
  <c r="W1946" i="2"/>
  <c r="X1945" i="2"/>
  <c r="W1945" i="2"/>
  <c r="X1944" i="2"/>
  <c r="W1944" i="2"/>
  <c r="X1943" i="2"/>
  <c r="W1943" i="2"/>
  <c r="X1942" i="2"/>
  <c r="W1942" i="2"/>
  <c r="X1941" i="2"/>
  <c r="W1941" i="2"/>
  <c r="X1940" i="2"/>
  <c r="W1940" i="2"/>
  <c r="X1939" i="2"/>
  <c r="W1939" i="2"/>
  <c r="X1938" i="2"/>
  <c r="W1938" i="2"/>
  <c r="X1937" i="2"/>
  <c r="W1937" i="2"/>
  <c r="X1936" i="2"/>
  <c r="W1936" i="2"/>
  <c r="X1935" i="2"/>
  <c r="W1935" i="2"/>
  <c r="X1934" i="2"/>
  <c r="W1934" i="2"/>
  <c r="X1933" i="2"/>
  <c r="W1933" i="2"/>
  <c r="X1932" i="2"/>
  <c r="W1932" i="2"/>
  <c r="X1931" i="2"/>
  <c r="W1931" i="2"/>
  <c r="X1930" i="2"/>
  <c r="W1930" i="2"/>
  <c r="X1929" i="2"/>
  <c r="W1929" i="2"/>
  <c r="X1928" i="2"/>
  <c r="W1928" i="2"/>
  <c r="X1927" i="2"/>
  <c r="W1927" i="2"/>
  <c r="X1926" i="2"/>
  <c r="W1926" i="2"/>
  <c r="X1925" i="2"/>
  <c r="W1925" i="2"/>
  <c r="X1924" i="2"/>
  <c r="W1924" i="2"/>
  <c r="X1923" i="2"/>
  <c r="W1923" i="2"/>
  <c r="X1922" i="2"/>
  <c r="W1922" i="2"/>
  <c r="X1921" i="2"/>
  <c r="W1921" i="2"/>
  <c r="X1920" i="2"/>
  <c r="W1920" i="2"/>
  <c r="X1919" i="2"/>
  <c r="W1919" i="2"/>
  <c r="X1918" i="2"/>
  <c r="W1918" i="2"/>
  <c r="X1917" i="2"/>
  <c r="W1917" i="2"/>
  <c r="X1916" i="2"/>
  <c r="W1916" i="2"/>
  <c r="X1915" i="2"/>
  <c r="W1915" i="2"/>
  <c r="X1914" i="2"/>
  <c r="W1914" i="2"/>
  <c r="X1913" i="2"/>
  <c r="W1913" i="2"/>
  <c r="X1912" i="2"/>
  <c r="W1912" i="2"/>
  <c r="X1911" i="2"/>
  <c r="W1911" i="2"/>
  <c r="X1910" i="2"/>
  <c r="W1910" i="2"/>
  <c r="X1909" i="2"/>
  <c r="W1909" i="2"/>
  <c r="X1908" i="2"/>
  <c r="W1908" i="2"/>
  <c r="X1907" i="2"/>
  <c r="W1907" i="2"/>
  <c r="X1906" i="2"/>
  <c r="W1906" i="2"/>
  <c r="X1905" i="2"/>
  <c r="W1905" i="2"/>
  <c r="X1904" i="2"/>
  <c r="W1904" i="2"/>
  <c r="X1903" i="2"/>
  <c r="W1903" i="2"/>
  <c r="X1902" i="2"/>
  <c r="W1902" i="2"/>
  <c r="X1901" i="2"/>
  <c r="W1901" i="2"/>
  <c r="X1900" i="2"/>
  <c r="W1900" i="2"/>
  <c r="X1899" i="2"/>
  <c r="W1899" i="2"/>
  <c r="X1898" i="2"/>
  <c r="W1898" i="2"/>
  <c r="X1897" i="2"/>
  <c r="W1897" i="2"/>
  <c r="X1896" i="2"/>
  <c r="W1896" i="2"/>
  <c r="X1895" i="2"/>
  <c r="W1895" i="2"/>
  <c r="X1894" i="2"/>
  <c r="W1894" i="2"/>
  <c r="X1893" i="2"/>
  <c r="W1893" i="2"/>
  <c r="X1892" i="2"/>
  <c r="W1892" i="2"/>
  <c r="X1891" i="2"/>
  <c r="W1891" i="2"/>
  <c r="X1890" i="2"/>
  <c r="W1890" i="2"/>
  <c r="X1889" i="2"/>
  <c r="W1889" i="2"/>
  <c r="X1888" i="2"/>
  <c r="W1888" i="2"/>
  <c r="X1887" i="2"/>
  <c r="W1887" i="2"/>
  <c r="X1886" i="2"/>
  <c r="W1886" i="2"/>
  <c r="X1885" i="2"/>
  <c r="W1885" i="2"/>
  <c r="X1884" i="2"/>
  <c r="W1884" i="2"/>
  <c r="X1883" i="2"/>
  <c r="W1883" i="2"/>
  <c r="X1882" i="2"/>
  <c r="W1882" i="2"/>
  <c r="X1881" i="2"/>
  <c r="W1881" i="2"/>
  <c r="X1880" i="2"/>
  <c r="W1880" i="2"/>
  <c r="X1879" i="2"/>
  <c r="W1879" i="2"/>
  <c r="X1878" i="2"/>
  <c r="W1878" i="2"/>
  <c r="X1877" i="2"/>
  <c r="W1877" i="2"/>
  <c r="X1876" i="2"/>
  <c r="W1876" i="2"/>
  <c r="X1875" i="2"/>
  <c r="W1875" i="2"/>
  <c r="X1874" i="2"/>
  <c r="W1874" i="2"/>
  <c r="X1873" i="2"/>
  <c r="W1873" i="2"/>
  <c r="X1872" i="2"/>
  <c r="W1872" i="2"/>
  <c r="X1871" i="2"/>
  <c r="W1871" i="2"/>
  <c r="X1870" i="2"/>
  <c r="W1870" i="2"/>
  <c r="X1869" i="2"/>
  <c r="W1869" i="2"/>
  <c r="X1868" i="2"/>
  <c r="W1868" i="2"/>
  <c r="X1867" i="2"/>
  <c r="W1867" i="2"/>
  <c r="X1866" i="2"/>
  <c r="W1866" i="2"/>
  <c r="X1865" i="2"/>
  <c r="W1865" i="2"/>
  <c r="X1864" i="2"/>
  <c r="W1864" i="2"/>
  <c r="X1863" i="2"/>
  <c r="W1863" i="2"/>
  <c r="X1862" i="2"/>
  <c r="W1862" i="2"/>
  <c r="X1861" i="2"/>
  <c r="W1861" i="2"/>
  <c r="X1860" i="2"/>
  <c r="W1860" i="2"/>
  <c r="X1859" i="2"/>
  <c r="W1859" i="2"/>
  <c r="X1858" i="2"/>
  <c r="W1858" i="2"/>
  <c r="X1857" i="2"/>
  <c r="W1857" i="2"/>
  <c r="X1856" i="2"/>
  <c r="W1856" i="2"/>
  <c r="X1855" i="2"/>
  <c r="W1855" i="2"/>
  <c r="X1854" i="2"/>
  <c r="W1854" i="2"/>
  <c r="X1853" i="2"/>
  <c r="W1853" i="2"/>
  <c r="X1852" i="2"/>
  <c r="W1852" i="2"/>
  <c r="X1851" i="2"/>
  <c r="W1851" i="2"/>
  <c r="X1850" i="2"/>
  <c r="W1850" i="2"/>
  <c r="X1849" i="2"/>
  <c r="W1849" i="2"/>
  <c r="X1848" i="2"/>
  <c r="W1848" i="2"/>
  <c r="X1847" i="2"/>
  <c r="W1847" i="2"/>
  <c r="X1846" i="2"/>
  <c r="W1846" i="2"/>
  <c r="X1845" i="2"/>
  <c r="W1845" i="2"/>
  <c r="X1844" i="2"/>
  <c r="W1844" i="2"/>
  <c r="X1843" i="2"/>
  <c r="W1843" i="2"/>
  <c r="X1842" i="2"/>
  <c r="W1842" i="2"/>
  <c r="X1841" i="2"/>
  <c r="W1841" i="2"/>
  <c r="X1840" i="2"/>
  <c r="W1840" i="2"/>
  <c r="X1839" i="2"/>
  <c r="W1839" i="2"/>
  <c r="X1838" i="2"/>
  <c r="W1838" i="2"/>
  <c r="X1837" i="2"/>
  <c r="W1837" i="2"/>
  <c r="X1836" i="2"/>
  <c r="W1836" i="2"/>
  <c r="X1835" i="2"/>
  <c r="W1835" i="2"/>
  <c r="X1834" i="2"/>
  <c r="W1834" i="2"/>
  <c r="X1833" i="2"/>
  <c r="W1833" i="2"/>
  <c r="X1832" i="2"/>
  <c r="W1832" i="2"/>
  <c r="X1831" i="2"/>
  <c r="W1831" i="2"/>
  <c r="X1830" i="2"/>
  <c r="W1830" i="2"/>
  <c r="X1829" i="2"/>
  <c r="W1829" i="2"/>
  <c r="X1828" i="2"/>
  <c r="W1828" i="2"/>
  <c r="X1827" i="2"/>
  <c r="W1827" i="2"/>
  <c r="X1826" i="2"/>
  <c r="W1826" i="2"/>
  <c r="X1825" i="2"/>
  <c r="W1825" i="2"/>
  <c r="X1824" i="2"/>
  <c r="W1824" i="2"/>
  <c r="X1823" i="2"/>
  <c r="W1823" i="2"/>
  <c r="X1822" i="2"/>
  <c r="W1822" i="2"/>
  <c r="X1821" i="2"/>
  <c r="W1821" i="2"/>
  <c r="X1820" i="2"/>
  <c r="W1820" i="2"/>
  <c r="X1819" i="2"/>
  <c r="W1819" i="2"/>
  <c r="X1818" i="2"/>
  <c r="W1818" i="2"/>
  <c r="X1817" i="2"/>
  <c r="W1817" i="2"/>
  <c r="X1816" i="2"/>
  <c r="W1816" i="2"/>
  <c r="X1815" i="2"/>
  <c r="W1815" i="2"/>
  <c r="X1814" i="2"/>
  <c r="W1814" i="2"/>
  <c r="X1813" i="2"/>
  <c r="W1813" i="2"/>
  <c r="X1812" i="2"/>
  <c r="W1812" i="2"/>
  <c r="X1811" i="2"/>
  <c r="W1811" i="2"/>
  <c r="X1810" i="2"/>
  <c r="W1810" i="2"/>
  <c r="X1809" i="2"/>
  <c r="W1809" i="2"/>
  <c r="X1808" i="2"/>
  <c r="W1808" i="2"/>
  <c r="X1807" i="2"/>
  <c r="W1807" i="2"/>
  <c r="X1806" i="2"/>
  <c r="W1806" i="2"/>
  <c r="X1805" i="2"/>
  <c r="W1805" i="2"/>
  <c r="X1804" i="2"/>
  <c r="W1804" i="2"/>
  <c r="X1803" i="2"/>
  <c r="W1803" i="2"/>
  <c r="X1802" i="2"/>
  <c r="W1802" i="2"/>
  <c r="X1801" i="2"/>
  <c r="W1801" i="2"/>
  <c r="X1800" i="2"/>
  <c r="W1800" i="2"/>
  <c r="X1799" i="2"/>
  <c r="W1799" i="2"/>
  <c r="X1798" i="2"/>
  <c r="W1798" i="2"/>
  <c r="X1797" i="2"/>
  <c r="W1797" i="2"/>
  <c r="X1796" i="2"/>
  <c r="W1796" i="2"/>
  <c r="X1795" i="2"/>
  <c r="W1795" i="2"/>
  <c r="X1794" i="2"/>
  <c r="W1794" i="2"/>
  <c r="X1793" i="2"/>
  <c r="W1793" i="2"/>
  <c r="X1792" i="2"/>
  <c r="W1792" i="2"/>
  <c r="X1791" i="2"/>
  <c r="W1791" i="2"/>
  <c r="X1790" i="2"/>
  <c r="W1790" i="2"/>
  <c r="X1789" i="2"/>
  <c r="W1789" i="2"/>
  <c r="X1788" i="2"/>
  <c r="W1788" i="2"/>
  <c r="X1787" i="2"/>
  <c r="W1787" i="2"/>
  <c r="X1786" i="2"/>
  <c r="W1786" i="2"/>
  <c r="X1785" i="2"/>
  <c r="W1785" i="2"/>
  <c r="X1784" i="2"/>
  <c r="W1784" i="2"/>
  <c r="X1783" i="2"/>
  <c r="W1783" i="2"/>
  <c r="X1782" i="2"/>
  <c r="W1782" i="2"/>
  <c r="X1781" i="2"/>
  <c r="W1781" i="2"/>
  <c r="X1780" i="2"/>
  <c r="W1780" i="2"/>
  <c r="X1779" i="2"/>
  <c r="W1779" i="2"/>
  <c r="X1778" i="2"/>
  <c r="W1778" i="2"/>
  <c r="X1777" i="2"/>
  <c r="W1777" i="2"/>
  <c r="X1776" i="2"/>
  <c r="W1776" i="2"/>
  <c r="X1775" i="2"/>
  <c r="W1775" i="2"/>
  <c r="X1774" i="2"/>
  <c r="W1774" i="2"/>
  <c r="X1773" i="2"/>
  <c r="W1773" i="2"/>
  <c r="X1772" i="2"/>
  <c r="W1772" i="2"/>
  <c r="X1771" i="2"/>
  <c r="W1771" i="2"/>
  <c r="X1770" i="2"/>
  <c r="W1770" i="2"/>
  <c r="X1769" i="2"/>
  <c r="W1769" i="2"/>
  <c r="X1768" i="2"/>
  <c r="W1768" i="2"/>
  <c r="X1767" i="2"/>
  <c r="W1767" i="2"/>
  <c r="X1766" i="2"/>
  <c r="W1766" i="2"/>
  <c r="X1765" i="2"/>
  <c r="W1765" i="2"/>
  <c r="X1764" i="2"/>
  <c r="W1764" i="2"/>
  <c r="X1763" i="2"/>
  <c r="W1763" i="2"/>
  <c r="X1762" i="2"/>
  <c r="W1762" i="2"/>
  <c r="X1761" i="2"/>
  <c r="W1761" i="2"/>
  <c r="X1760" i="2"/>
  <c r="W1760" i="2"/>
  <c r="X1759" i="2"/>
  <c r="W1759" i="2"/>
  <c r="X1758" i="2"/>
  <c r="W1758" i="2"/>
  <c r="X1757" i="2"/>
  <c r="W1757" i="2"/>
  <c r="X1756" i="2"/>
  <c r="W1756" i="2"/>
  <c r="X1755" i="2"/>
  <c r="W1755" i="2"/>
  <c r="X1754" i="2"/>
  <c r="W1754" i="2"/>
  <c r="X1753" i="2"/>
  <c r="W1753" i="2"/>
  <c r="X1752" i="2"/>
  <c r="W1752" i="2"/>
  <c r="X1751" i="2"/>
  <c r="W1751" i="2"/>
  <c r="X1750" i="2"/>
  <c r="W1750" i="2"/>
  <c r="X1749" i="2"/>
  <c r="W1749" i="2"/>
  <c r="X1748" i="2"/>
  <c r="W1748" i="2"/>
  <c r="X1747" i="2"/>
  <c r="W1747" i="2"/>
  <c r="X1746" i="2"/>
  <c r="W1746" i="2"/>
  <c r="X1745" i="2"/>
  <c r="W1745" i="2"/>
  <c r="X1744" i="2"/>
  <c r="W1744" i="2"/>
  <c r="X1743" i="2"/>
  <c r="W1743" i="2"/>
  <c r="X1742" i="2"/>
  <c r="W1742" i="2"/>
  <c r="X1741" i="2"/>
  <c r="W1741" i="2"/>
  <c r="X1740" i="2"/>
  <c r="W1740" i="2"/>
  <c r="X1739" i="2"/>
  <c r="W1739" i="2"/>
  <c r="X1738" i="2"/>
  <c r="W1738" i="2"/>
  <c r="X1737" i="2"/>
  <c r="W1737" i="2"/>
  <c r="X1736" i="2"/>
  <c r="W1736" i="2"/>
  <c r="X1735" i="2"/>
  <c r="W1735" i="2"/>
  <c r="X1734" i="2"/>
  <c r="W1734" i="2"/>
  <c r="X1733" i="2"/>
  <c r="W1733" i="2"/>
  <c r="X1732" i="2"/>
  <c r="W1732" i="2"/>
  <c r="X1731" i="2"/>
  <c r="W1731" i="2"/>
  <c r="X1730" i="2"/>
  <c r="W1730" i="2"/>
  <c r="X1729" i="2"/>
  <c r="W1729" i="2"/>
  <c r="X1728" i="2"/>
  <c r="W1728" i="2"/>
  <c r="X1727" i="2"/>
  <c r="W1727" i="2"/>
  <c r="X1726" i="2"/>
  <c r="W1726" i="2"/>
  <c r="X1725" i="2"/>
  <c r="W1725" i="2"/>
  <c r="X1724" i="2"/>
  <c r="W1724" i="2"/>
  <c r="X1723" i="2"/>
  <c r="W1723" i="2"/>
  <c r="X1722" i="2"/>
  <c r="W1722" i="2"/>
  <c r="X1721" i="2"/>
  <c r="W1721" i="2"/>
  <c r="X1720" i="2"/>
  <c r="W1720" i="2"/>
  <c r="X1719" i="2"/>
  <c r="W1719" i="2"/>
  <c r="X1718" i="2"/>
  <c r="W1718" i="2"/>
  <c r="X1717" i="2"/>
  <c r="W1717" i="2"/>
  <c r="X1716" i="2"/>
  <c r="W1716" i="2"/>
  <c r="X1715" i="2"/>
  <c r="W1715" i="2"/>
  <c r="X1714" i="2"/>
  <c r="W1714" i="2"/>
  <c r="X1713" i="2"/>
  <c r="W1713" i="2"/>
  <c r="X1712" i="2"/>
  <c r="W1712" i="2"/>
  <c r="X1711" i="2"/>
  <c r="W1711" i="2"/>
  <c r="X1710" i="2"/>
  <c r="W1710" i="2"/>
  <c r="X1709" i="2"/>
  <c r="W1709" i="2"/>
  <c r="X1708" i="2"/>
  <c r="W1708" i="2"/>
  <c r="X1707" i="2"/>
  <c r="W1707" i="2"/>
  <c r="X1706" i="2"/>
  <c r="W1706" i="2"/>
  <c r="X1705" i="2"/>
  <c r="W1705" i="2"/>
  <c r="X1704" i="2"/>
  <c r="W1704" i="2"/>
  <c r="X1703" i="2"/>
  <c r="W1703" i="2"/>
  <c r="X1702" i="2"/>
  <c r="W1702" i="2"/>
  <c r="X1701" i="2"/>
  <c r="W1701" i="2"/>
  <c r="X1700" i="2"/>
  <c r="W1700" i="2"/>
  <c r="X1699" i="2"/>
  <c r="W1699" i="2"/>
  <c r="X1698" i="2"/>
  <c r="W1698" i="2"/>
  <c r="X1697" i="2"/>
  <c r="W1697" i="2"/>
  <c r="X1696" i="2"/>
  <c r="W1696" i="2"/>
  <c r="X1695" i="2"/>
  <c r="W1695" i="2"/>
  <c r="X1694" i="2"/>
  <c r="W1694" i="2"/>
  <c r="X1693" i="2"/>
  <c r="W1693" i="2"/>
  <c r="X1692" i="2"/>
  <c r="W1692" i="2"/>
  <c r="X1691" i="2"/>
  <c r="W1691" i="2"/>
  <c r="X1690" i="2"/>
  <c r="W1690" i="2"/>
  <c r="X1689" i="2"/>
  <c r="W1689" i="2"/>
  <c r="X1688" i="2"/>
  <c r="W1688" i="2"/>
  <c r="X1687" i="2"/>
  <c r="W1687" i="2"/>
  <c r="X1686" i="2"/>
  <c r="W1686" i="2"/>
  <c r="X1685" i="2"/>
  <c r="W1685" i="2"/>
  <c r="X1684" i="2"/>
  <c r="W1684" i="2"/>
  <c r="X1683" i="2"/>
  <c r="W1683" i="2"/>
  <c r="X1682" i="2"/>
  <c r="W1682" i="2"/>
  <c r="X1681" i="2"/>
  <c r="W1681" i="2"/>
  <c r="X1680" i="2"/>
  <c r="W1680" i="2"/>
  <c r="X1679" i="2"/>
  <c r="W1679" i="2"/>
  <c r="X1678" i="2"/>
  <c r="W1678" i="2"/>
  <c r="X1677" i="2"/>
  <c r="W1677" i="2"/>
  <c r="X1676" i="2"/>
  <c r="W1676" i="2"/>
  <c r="X1675" i="2"/>
  <c r="W1675" i="2"/>
  <c r="X1674" i="2"/>
  <c r="W1674" i="2"/>
  <c r="X1673" i="2"/>
  <c r="W1673" i="2"/>
  <c r="X1672" i="2"/>
  <c r="W1672" i="2"/>
  <c r="X1671" i="2"/>
  <c r="W1671" i="2"/>
  <c r="X1670" i="2"/>
  <c r="W1670" i="2"/>
  <c r="X1669" i="2"/>
  <c r="W1669" i="2"/>
  <c r="X1668" i="2"/>
  <c r="W1668" i="2"/>
  <c r="X1667" i="2"/>
  <c r="W1667" i="2"/>
  <c r="X1666" i="2"/>
  <c r="W1666" i="2"/>
  <c r="X1665" i="2"/>
  <c r="W1665" i="2"/>
  <c r="X1664" i="2"/>
  <c r="W1664" i="2"/>
  <c r="X1663" i="2"/>
  <c r="W1663" i="2"/>
  <c r="X1662" i="2"/>
  <c r="W1662" i="2"/>
  <c r="X1661" i="2"/>
  <c r="W1661" i="2"/>
  <c r="X1660" i="2"/>
  <c r="W1660" i="2"/>
  <c r="X1659" i="2"/>
  <c r="W1659" i="2"/>
  <c r="X1658" i="2"/>
  <c r="W1658" i="2"/>
  <c r="X1657" i="2"/>
  <c r="W1657" i="2"/>
  <c r="X1656" i="2"/>
  <c r="W1656" i="2"/>
  <c r="X1655" i="2"/>
  <c r="W1655" i="2"/>
  <c r="X1654" i="2"/>
  <c r="W1654" i="2"/>
  <c r="X1653" i="2"/>
  <c r="W1653" i="2"/>
  <c r="X1652" i="2"/>
  <c r="W1652" i="2"/>
  <c r="X1651" i="2"/>
  <c r="W1651" i="2"/>
  <c r="X1650" i="2"/>
  <c r="W1650" i="2"/>
  <c r="X1649" i="2"/>
  <c r="W1649" i="2"/>
  <c r="X1648" i="2"/>
  <c r="W1648" i="2"/>
  <c r="X1647" i="2"/>
  <c r="W1647" i="2"/>
  <c r="X1646" i="2"/>
  <c r="W1646" i="2"/>
  <c r="X1645" i="2"/>
  <c r="W1645" i="2"/>
  <c r="X1644" i="2"/>
  <c r="W1644" i="2"/>
  <c r="X1643" i="2"/>
  <c r="W1643" i="2"/>
  <c r="X1642" i="2"/>
  <c r="W1642" i="2"/>
  <c r="X1641" i="2"/>
  <c r="W1641" i="2"/>
  <c r="X1640" i="2"/>
  <c r="W1640" i="2"/>
  <c r="X1639" i="2"/>
  <c r="W1639" i="2"/>
  <c r="X1638" i="2"/>
  <c r="W1638" i="2"/>
  <c r="X1637" i="2"/>
  <c r="W1637" i="2"/>
  <c r="X1636" i="2"/>
  <c r="W1636" i="2"/>
  <c r="X1635" i="2"/>
  <c r="W1635" i="2"/>
  <c r="X1634" i="2"/>
  <c r="W1634" i="2"/>
  <c r="X1633" i="2"/>
  <c r="W1633" i="2"/>
  <c r="X1632" i="2"/>
  <c r="W1632" i="2"/>
  <c r="X1631" i="2"/>
  <c r="W1631" i="2"/>
  <c r="X1630" i="2"/>
  <c r="W1630" i="2"/>
  <c r="X1629" i="2"/>
  <c r="W1629" i="2"/>
  <c r="X1628" i="2"/>
  <c r="W1628" i="2"/>
  <c r="X1627" i="2"/>
  <c r="W1627" i="2"/>
  <c r="X1626" i="2"/>
  <c r="W1626" i="2"/>
  <c r="X1625" i="2"/>
  <c r="W1625" i="2"/>
  <c r="X1624" i="2"/>
  <c r="W1624" i="2"/>
  <c r="X1623" i="2"/>
  <c r="W1623" i="2"/>
  <c r="X1622" i="2"/>
  <c r="W1622" i="2"/>
  <c r="X1621" i="2"/>
  <c r="W1621" i="2"/>
  <c r="X1620" i="2"/>
  <c r="W1620" i="2"/>
  <c r="X1619" i="2"/>
  <c r="W1619" i="2"/>
  <c r="X1618" i="2"/>
  <c r="W1618" i="2"/>
  <c r="X1617" i="2"/>
  <c r="W1617" i="2"/>
  <c r="X1616" i="2"/>
  <c r="W1616" i="2"/>
  <c r="X1615" i="2"/>
  <c r="W1615" i="2"/>
  <c r="X1614" i="2"/>
  <c r="W1614" i="2"/>
  <c r="X1613" i="2"/>
  <c r="W1613" i="2"/>
  <c r="X1612" i="2"/>
  <c r="W1612" i="2"/>
  <c r="X1611" i="2"/>
  <c r="W1611" i="2"/>
  <c r="X1610" i="2"/>
  <c r="W1610" i="2"/>
  <c r="X1609" i="2"/>
  <c r="W1609" i="2"/>
  <c r="X1608" i="2"/>
  <c r="W1608" i="2"/>
  <c r="X1607" i="2"/>
  <c r="W1607" i="2"/>
  <c r="X1606" i="2"/>
  <c r="W1606" i="2"/>
  <c r="X1605" i="2"/>
  <c r="W1605" i="2"/>
  <c r="X1604" i="2"/>
  <c r="W1604" i="2"/>
  <c r="X1603" i="2"/>
  <c r="W1603" i="2"/>
  <c r="X1602" i="2"/>
  <c r="W1602" i="2"/>
  <c r="X1601" i="2"/>
  <c r="W1601" i="2"/>
  <c r="X1600" i="2"/>
  <c r="W1600" i="2"/>
  <c r="X1599" i="2"/>
  <c r="W1599" i="2"/>
  <c r="X1598" i="2"/>
  <c r="W1598" i="2"/>
  <c r="X1597" i="2"/>
  <c r="W1597" i="2"/>
  <c r="X1596" i="2"/>
  <c r="W1596" i="2"/>
  <c r="X1595" i="2"/>
  <c r="W1595" i="2"/>
  <c r="X1594" i="2"/>
  <c r="W1594" i="2"/>
  <c r="X1593" i="2"/>
  <c r="W1593" i="2"/>
  <c r="X1592" i="2"/>
  <c r="W1592" i="2"/>
  <c r="X1591" i="2"/>
  <c r="W1591" i="2"/>
  <c r="X1590" i="2"/>
  <c r="W1590" i="2"/>
  <c r="X1589" i="2"/>
  <c r="W1589" i="2"/>
  <c r="X1588" i="2"/>
  <c r="W1588" i="2"/>
  <c r="X1587" i="2"/>
  <c r="W1587" i="2"/>
  <c r="X1586" i="2"/>
  <c r="W1586" i="2"/>
  <c r="X1585" i="2"/>
  <c r="W1585" i="2"/>
  <c r="X1584" i="2"/>
  <c r="W1584" i="2"/>
  <c r="X1583" i="2"/>
  <c r="W1583" i="2"/>
  <c r="X1582" i="2"/>
  <c r="W1582" i="2"/>
  <c r="X1581" i="2"/>
  <c r="W1581" i="2"/>
  <c r="X1580" i="2"/>
  <c r="W1580" i="2"/>
  <c r="X1579" i="2"/>
  <c r="W1579" i="2"/>
  <c r="X1578" i="2"/>
  <c r="W1578" i="2"/>
  <c r="X1577" i="2"/>
  <c r="W1577" i="2"/>
  <c r="X1576" i="2"/>
  <c r="W1576" i="2"/>
  <c r="X1575" i="2"/>
  <c r="W1575" i="2"/>
  <c r="X1574" i="2"/>
  <c r="W1574" i="2"/>
  <c r="X1573" i="2"/>
  <c r="W1573" i="2"/>
  <c r="X1572" i="2"/>
  <c r="W1572" i="2"/>
  <c r="X1571" i="2"/>
  <c r="W1571" i="2"/>
  <c r="X1570" i="2"/>
  <c r="W1570" i="2"/>
  <c r="X1569" i="2"/>
  <c r="W1569" i="2"/>
  <c r="X1568" i="2"/>
  <c r="W1568" i="2"/>
  <c r="X1567" i="2"/>
  <c r="W1567" i="2"/>
  <c r="X1566" i="2"/>
  <c r="W1566" i="2"/>
  <c r="X1565" i="2"/>
  <c r="W1565" i="2"/>
  <c r="X1564" i="2"/>
  <c r="W1564" i="2"/>
  <c r="X1563" i="2"/>
  <c r="W1563" i="2"/>
  <c r="X1562" i="2"/>
  <c r="W1562" i="2"/>
  <c r="X1561" i="2"/>
  <c r="W1561" i="2"/>
  <c r="X1560" i="2"/>
  <c r="W1560" i="2"/>
  <c r="X1559" i="2"/>
  <c r="W1559" i="2"/>
  <c r="X1558" i="2"/>
  <c r="W1558" i="2"/>
  <c r="X1557" i="2"/>
  <c r="W1557" i="2"/>
  <c r="X1556" i="2"/>
  <c r="W1556" i="2"/>
  <c r="X1555" i="2"/>
  <c r="W1555" i="2"/>
  <c r="X1554" i="2"/>
  <c r="W1554" i="2"/>
  <c r="X1553" i="2"/>
  <c r="W1553" i="2"/>
  <c r="X1552" i="2"/>
  <c r="W1552" i="2"/>
  <c r="X1551" i="2"/>
  <c r="W1551" i="2"/>
  <c r="X1550" i="2"/>
  <c r="W1550" i="2"/>
  <c r="X1549" i="2"/>
  <c r="W1549" i="2"/>
  <c r="X1548" i="2"/>
  <c r="W1548" i="2"/>
  <c r="X1547" i="2"/>
  <c r="W1547" i="2"/>
  <c r="X1546" i="2"/>
  <c r="W1546" i="2"/>
  <c r="X1545" i="2"/>
  <c r="W1545" i="2"/>
  <c r="X1544" i="2"/>
  <c r="W1544" i="2"/>
  <c r="X1543" i="2"/>
  <c r="W1543" i="2"/>
  <c r="X1542" i="2"/>
  <c r="W1542" i="2"/>
  <c r="X1541" i="2"/>
  <c r="W1541" i="2"/>
  <c r="X1540" i="2"/>
  <c r="W1540" i="2"/>
  <c r="X1539" i="2"/>
  <c r="W1539" i="2"/>
  <c r="X1538" i="2"/>
  <c r="W1538" i="2"/>
  <c r="X1537" i="2"/>
  <c r="W1537" i="2"/>
  <c r="X1536" i="2"/>
  <c r="W1536" i="2"/>
  <c r="X1535" i="2"/>
  <c r="W1535" i="2"/>
  <c r="X1534" i="2"/>
  <c r="W1534" i="2"/>
  <c r="X1533" i="2"/>
  <c r="W1533" i="2"/>
  <c r="X1532" i="2"/>
  <c r="W1532" i="2"/>
  <c r="X1531" i="2"/>
  <c r="W1531" i="2"/>
  <c r="X1530" i="2"/>
  <c r="W1530" i="2"/>
  <c r="X1529" i="2"/>
  <c r="W1529" i="2"/>
  <c r="X1528" i="2"/>
  <c r="W1528" i="2"/>
  <c r="X1527" i="2"/>
  <c r="W1527" i="2"/>
  <c r="X1526" i="2"/>
  <c r="W1526" i="2"/>
  <c r="X1525" i="2"/>
  <c r="W1525" i="2"/>
  <c r="X1524" i="2"/>
  <c r="W1524" i="2"/>
  <c r="X1523" i="2"/>
  <c r="W1523" i="2"/>
  <c r="X1522" i="2"/>
  <c r="W1522" i="2"/>
  <c r="X1521" i="2"/>
  <c r="W1521" i="2"/>
  <c r="X1520" i="2"/>
  <c r="W1520" i="2"/>
  <c r="X1519" i="2"/>
  <c r="W1519" i="2"/>
  <c r="X1518" i="2"/>
  <c r="W1518" i="2"/>
  <c r="X1517" i="2"/>
  <c r="W1517" i="2"/>
  <c r="X1516" i="2"/>
  <c r="W1516" i="2"/>
  <c r="X1515" i="2"/>
  <c r="W1515" i="2"/>
  <c r="X1514" i="2"/>
  <c r="W1514" i="2"/>
  <c r="X1513" i="2"/>
  <c r="W1513" i="2"/>
  <c r="X1512" i="2"/>
  <c r="W1512" i="2"/>
  <c r="X1511" i="2"/>
  <c r="W1511" i="2"/>
  <c r="X1510" i="2"/>
  <c r="W1510" i="2"/>
  <c r="X1509" i="2"/>
  <c r="W1509" i="2"/>
  <c r="X1508" i="2"/>
  <c r="W1508" i="2"/>
  <c r="X1507" i="2"/>
  <c r="W1507" i="2"/>
  <c r="X1506" i="2"/>
  <c r="W1506" i="2"/>
  <c r="X1505" i="2"/>
  <c r="W1505" i="2"/>
  <c r="X1504" i="2"/>
  <c r="W1504" i="2"/>
  <c r="X1503" i="2"/>
  <c r="W1503" i="2"/>
  <c r="X1502" i="2"/>
  <c r="W1502" i="2"/>
  <c r="X1501" i="2"/>
  <c r="W1501" i="2"/>
  <c r="X1500" i="2"/>
  <c r="W1500" i="2"/>
  <c r="X1499" i="2"/>
  <c r="W1499" i="2"/>
  <c r="X1498" i="2"/>
  <c r="W1498" i="2"/>
  <c r="X1497" i="2"/>
  <c r="W1497" i="2"/>
  <c r="X1496" i="2"/>
  <c r="W1496" i="2"/>
  <c r="X1495" i="2"/>
  <c r="W1495" i="2"/>
  <c r="X1494" i="2"/>
  <c r="W1494" i="2"/>
  <c r="X1493" i="2"/>
  <c r="W1493" i="2"/>
  <c r="X1492" i="2"/>
  <c r="W1492" i="2"/>
  <c r="X1491" i="2"/>
  <c r="W1491" i="2"/>
  <c r="X1490" i="2"/>
  <c r="W1490" i="2"/>
  <c r="X1489" i="2"/>
  <c r="W1489" i="2"/>
  <c r="X1488" i="2"/>
  <c r="W1488" i="2"/>
  <c r="X1487" i="2"/>
  <c r="W1487" i="2"/>
  <c r="X1486" i="2"/>
  <c r="W1486" i="2"/>
  <c r="X1485" i="2"/>
  <c r="W1485" i="2"/>
  <c r="X1484" i="2"/>
  <c r="W1484" i="2"/>
  <c r="X1483" i="2"/>
  <c r="W1483" i="2"/>
  <c r="X1482" i="2"/>
  <c r="W1482" i="2"/>
  <c r="X1481" i="2"/>
  <c r="W1481" i="2"/>
  <c r="X1480" i="2"/>
  <c r="W1480" i="2"/>
  <c r="X1479" i="2"/>
  <c r="W1479" i="2"/>
  <c r="X1478" i="2"/>
  <c r="W1478" i="2"/>
  <c r="X1477" i="2"/>
  <c r="W1477" i="2"/>
  <c r="X1476" i="2"/>
  <c r="W1476" i="2"/>
  <c r="X1475" i="2"/>
  <c r="W1475" i="2"/>
  <c r="X1474" i="2"/>
  <c r="W1474" i="2"/>
  <c r="X1473" i="2"/>
  <c r="W1473" i="2"/>
  <c r="X1472" i="2"/>
  <c r="W1472" i="2"/>
  <c r="X1471" i="2"/>
  <c r="W1471" i="2"/>
  <c r="X1470" i="2"/>
  <c r="W1470" i="2"/>
  <c r="X1469" i="2"/>
  <c r="W1469" i="2"/>
  <c r="X1468" i="2"/>
  <c r="W1468" i="2"/>
  <c r="X1467" i="2"/>
  <c r="W1467" i="2"/>
  <c r="X1466" i="2"/>
  <c r="W1466" i="2"/>
  <c r="X1465" i="2"/>
  <c r="W1465" i="2"/>
  <c r="X1464" i="2"/>
  <c r="W1464" i="2"/>
  <c r="X1463" i="2"/>
  <c r="W1463" i="2"/>
  <c r="X1462" i="2"/>
  <c r="W1462" i="2"/>
  <c r="X1461" i="2"/>
  <c r="W1461" i="2"/>
  <c r="X1460" i="2"/>
  <c r="W1460" i="2"/>
  <c r="X1459" i="2"/>
  <c r="W1459" i="2"/>
  <c r="X1458" i="2"/>
  <c r="W1458" i="2"/>
  <c r="X1457" i="2"/>
  <c r="W1457" i="2"/>
  <c r="X1456" i="2"/>
  <c r="W1456" i="2"/>
  <c r="X1455" i="2"/>
  <c r="W1455" i="2"/>
  <c r="X1454" i="2"/>
  <c r="W1454" i="2"/>
  <c r="X1453" i="2"/>
  <c r="W1453" i="2"/>
  <c r="X1452" i="2"/>
  <c r="W1452" i="2"/>
  <c r="X1451" i="2"/>
  <c r="W1451" i="2"/>
  <c r="X1450" i="2"/>
  <c r="W1450" i="2"/>
  <c r="X1449" i="2"/>
  <c r="W1449" i="2"/>
  <c r="X1448" i="2"/>
  <c r="W1448" i="2"/>
  <c r="X1447" i="2"/>
  <c r="W1447" i="2"/>
  <c r="X1446" i="2"/>
  <c r="W1446" i="2"/>
  <c r="X1445" i="2"/>
  <c r="W1445" i="2"/>
  <c r="X1444" i="2"/>
  <c r="W1444" i="2"/>
  <c r="X1443" i="2"/>
  <c r="W1443" i="2"/>
  <c r="X1442" i="2"/>
  <c r="W1442" i="2"/>
  <c r="X1441" i="2"/>
  <c r="W1441" i="2"/>
  <c r="X1440" i="2"/>
  <c r="W1440" i="2"/>
  <c r="X1439" i="2"/>
  <c r="W1439" i="2"/>
  <c r="X1438" i="2"/>
  <c r="W1438" i="2"/>
  <c r="X1437" i="2"/>
  <c r="W1437" i="2"/>
  <c r="X1436" i="2"/>
  <c r="W1436" i="2"/>
  <c r="X1435" i="2"/>
  <c r="W1435" i="2"/>
  <c r="X1434" i="2"/>
  <c r="W1434" i="2"/>
  <c r="X1433" i="2"/>
  <c r="W1433" i="2"/>
  <c r="X1432" i="2"/>
  <c r="W1432" i="2"/>
  <c r="X1431" i="2"/>
  <c r="W1431" i="2"/>
  <c r="X1430" i="2"/>
  <c r="W1430" i="2"/>
  <c r="X1429" i="2"/>
  <c r="W1429" i="2"/>
  <c r="X1428" i="2"/>
  <c r="W1428" i="2"/>
  <c r="X1427" i="2"/>
  <c r="W1427" i="2"/>
  <c r="X1426" i="2"/>
  <c r="W1426" i="2"/>
  <c r="X1425" i="2"/>
  <c r="W1425" i="2"/>
  <c r="X1424" i="2"/>
  <c r="W1424" i="2"/>
  <c r="X1423" i="2"/>
  <c r="W1423" i="2"/>
  <c r="X1422" i="2"/>
  <c r="W1422" i="2"/>
  <c r="X1421" i="2"/>
  <c r="W1421" i="2"/>
  <c r="X1420" i="2"/>
  <c r="W1420" i="2"/>
  <c r="X1419" i="2"/>
  <c r="W1419" i="2"/>
  <c r="X1418" i="2"/>
  <c r="W1418" i="2"/>
  <c r="X1417" i="2"/>
  <c r="W1417" i="2"/>
  <c r="X1416" i="2"/>
  <c r="W1416" i="2"/>
  <c r="X1415" i="2"/>
  <c r="W1415" i="2"/>
  <c r="X1414" i="2"/>
  <c r="W1414" i="2"/>
  <c r="X1413" i="2"/>
  <c r="W1413" i="2"/>
  <c r="X1412" i="2"/>
  <c r="W1412" i="2"/>
  <c r="X1411" i="2"/>
  <c r="W1411" i="2"/>
  <c r="X1410" i="2"/>
  <c r="W1410" i="2"/>
  <c r="X1409" i="2"/>
  <c r="W1409" i="2"/>
  <c r="X1408" i="2"/>
  <c r="W1408" i="2"/>
  <c r="X1407" i="2"/>
  <c r="W1407" i="2"/>
  <c r="X1406" i="2"/>
  <c r="W1406" i="2"/>
  <c r="X1405" i="2"/>
  <c r="W1405" i="2"/>
  <c r="X1404" i="2"/>
  <c r="W1404" i="2"/>
  <c r="X1403" i="2"/>
  <c r="W1403" i="2"/>
  <c r="X1402" i="2"/>
  <c r="W1402" i="2"/>
  <c r="X1401" i="2"/>
  <c r="W1401" i="2"/>
  <c r="X1400" i="2"/>
  <c r="W1400" i="2"/>
  <c r="X1399" i="2"/>
  <c r="W1399" i="2"/>
  <c r="X1398" i="2"/>
  <c r="W1398" i="2"/>
  <c r="X1397" i="2"/>
  <c r="W1397" i="2"/>
  <c r="X1396" i="2"/>
  <c r="W1396" i="2"/>
  <c r="X1395" i="2"/>
  <c r="W1395" i="2"/>
  <c r="X1394" i="2"/>
  <c r="W1394" i="2"/>
  <c r="X1393" i="2"/>
  <c r="W1393" i="2"/>
  <c r="X1392" i="2"/>
  <c r="W1392" i="2"/>
  <c r="X1391" i="2"/>
  <c r="W1391" i="2"/>
  <c r="X1390" i="2"/>
  <c r="W1390" i="2"/>
  <c r="X1389" i="2"/>
  <c r="W1389" i="2"/>
  <c r="X1388" i="2"/>
  <c r="W1388" i="2"/>
  <c r="X1387" i="2"/>
  <c r="W1387" i="2"/>
  <c r="X1386" i="2"/>
  <c r="W1386" i="2"/>
  <c r="X1385" i="2"/>
  <c r="W1385" i="2"/>
  <c r="X1384" i="2"/>
  <c r="W1384" i="2"/>
  <c r="X1383" i="2"/>
  <c r="W1383" i="2"/>
  <c r="X1382" i="2"/>
  <c r="W1382" i="2"/>
  <c r="X1381" i="2"/>
  <c r="W1381" i="2"/>
  <c r="X1380" i="2"/>
  <c r="W1380" i="2"/>
  <c r="X1379" i="2"/>
  <c r="W1379" i="2"/>
  <c r="X1378" i="2"/>
  <c r="W1378" i="2"/>
  <c r="X1377" i="2"/>
  <c r="W1377" i="2"/>
  <c r="X1376" i="2"/>
  <c r="W1376" i="2"/>
  <c r="X1375" i="2"/>
  <c r="W1375" i="2"/>
  <c r="X1374" i="2"/>
  <c r="W1374" i="2"/>
  <c r="X1373" i="2"/>
  <c r="W1373" i="2"/>
  <c r="X1372" i="2"/>
  <c r="W1372" i="2"/>
  <c r="X1371" i="2"/>
  <c r="W1371" i="2"/>
  <c r="X1370" i="2"/>
  <c r="W1370" i="2"/>
  <c r="X1369" i="2"/>
  <c r="W1369" i="2"/>
  <c r="X1368" i="2"/>
  <c r="W1368" i="2"/>
  <c r="X1367" i="2"/>
  <c r="W1367" i="2"/>
  <c r="X1366" i="2"/>
  <c r="W1366" i="2"/>
  <c r="X1365" i="2"/>
  <c r="W1365" i="2"/>
  <c r="X1364" i="2"/>
  <c r="W1364" i="2"/>
  <c r="X1363" i="2"/>
  <c r="W1363" i="2"/>
  <c r="X1362" i="2"/>
  <c r="W1362" i="2"/>
  <c r="X1361" i="2"/>
  <c r="W1361" i="2"/>
  <c r="X1360" i="2"/>
  <c r="W1360" i="2"/>
  <c r="X1359" i="2"/>
  <c r="W1359" i="2"/>
  <c r="X1358" i="2"/>
  <c r="W1358" i="2"/>
  <c r="X1357" i="2"/>
  <c r="W1357" i="2"/>
  <c r="X1356" i="2"/>
  <c r="W1356" i="2"/>
  <c r="X1355" i="2"/>
  <c r="W1355" i="2"/>
  <c r="X1354" i="2"/>
  <c r="W1354" i="2"/>
  <c r="X1353" i="2"/>
  <c r="W1353" i="2"/>
  <c r="X1352" i="2"/>
  <c r="W1352" i="2"/>
  <c r="X1351" i="2"/>
  <c r="W1351" i="2"/>
  <c r="X1350" i="2"/>
  <c r="W1350" i="2"/>
  <c r="X1349" i="2"/>
  <c r="W1349" i="2"/>
  <c r="X1348" i="2"/>
  <c r="W1348" i="2"/>
  <c r="X1347" i="2"/>
  <c r="W1347" i="2"/>
  <c r="X1346" i="2"/>
  <c r="W1346" i="2"/>
  <c r="X1345" i="2"/>
  <c r="W1345" i="2"/>
  <c r="X1344" i="2"/>
  <c r="W1344" i="2"/>
  <c r="X1343" i="2"/>
  <c r="W1343" i="2"/>
  <c r="X1342" i="2"/>
  <c r="W1342" i="2"/>
  <c r="X1341" i="2"/>
  <c r="W1341" i="2"/>
  <c r="X1340" i="2"/>
  <c r="W1340" i="2"/>
  <c r="X1339" i="2"/>
  <c r="W1339" i="2"/>
  <c r="X1338" i="2"/>
  <c r="W1338" i="2"/>
  <c r="X1337" i="2"/>
  <c r="W1337" i="2"/>
  <c r="X1336" i="2"/>
  <c r="W1336" i="2"/>
  <c r="X1335" i="2"/>
  <c r="W1335" i="2"/>
  <c r="X1334" i="2"/>
  <c r="W1334" i="2"/>
  <c r="X1333" i="2"/>
  <c r="W1333" i="2"/>
  <c r="X1332" i="2"/>
  <c r="W1332" i="2"/>
  <c r="X1331" i="2"/>
  <c r="W1331" i="2"/>
  <c r="X1330" i="2"/>
  <c r="W1330" i="2"/>
  <c r="X1329" i="2"/>
  <c r="W1329" i="2"/>
  <c r="X1328" i="2"/>
  <c r="W1328" i="2"/>
  <c r="X1327" i="2"/>
  <c r="W1327" i="2"/>
  <c r="X1326" i="2"/>
  <c r="W1326" i="2"/>
  <c r="X1325" i="2"/>
  <c r="W1325" i="2"/>
  <c r="X1324" i="2"/>
  <c r="W1324" i="2"/>
  <c r="X1323" i="2"/>
  <c r="W1323" i="2"/>
  <c r="X1322" i="2"/>
  <c r="W1322" i="2"/>
  <c r="X1321" i="2"/>
  <c r="W1321" i="2"/>
  <c r="X1320" i="2"/>
  <c r="W1320" i="2"/>
  <c r="X1319" i="2"/>
  <c r="W1319" i="2"/>
  <c r="X1318" i="2"/>
  <c r="W1318" i="2"/>
  <c r="X1317" i="2"/>
  <c r="W1317" i="2"/>
  <c r="X1316" i="2"/>
  <c r="W1316" i="2"/>
  <c r="X1315" i="2"/>
  <c r="W1315" i="2"/>
  <c r="X1314" i="2"/>
  <c r="W1314" i="2"/>
  <c r="X1313" i="2"/>
  <c r="W1313" i="2"/>
  <c r="X1312" i="2"/>
  <c r="W1312" i="2"/>
  <c r="X1311" i="2"/>
  <c r="W1311" i="2"/>
  <c r="X1310" i="2"/>
  <c r="W1310" i="2"/>
  <c r="X1309" i="2"/>
  <c r="W1309" i="2"/>
  <c r="X1308" i="2"/>
  <c r="W1308" i="2"/>
  <c r="X1307" i="2"/>
  <c r="W1307" i="2"/>
  <c r="X1306" i="2"/>
  <c r="W1306" i="2"/>
  <c r="X1305" i="2"/>
  <c r="W1305" i="2"/>
  <c r="X1304" i="2"/>
  <c r="W1304" i="2"/>
  <c r="X1303" i="2"/>
  <c r="W1303" i="2"/>
  <c r="X1302" i="2"/>
  <c r="W1302" i="2"/>
  <c r="X1301" i="2"/>
  <c r="W1301" i="2"/>
  <c r="X1300" i="2"/>
  <c r="W1300" i="2"/>
  <c r="X1299" i="2"/>
  <c r="W1299" i="2"/>
  <c r="X1298" i="2"/>
  <c r="W1298" i="2"/>
  <c r="X1297" i="2"/>
  <c r="W1297" i="2"/>
  <c r="X1296" i="2"/>
  <c r="W1296" i="2"/>
  <c r="X1295" i="2"/>
  <c r="W1295" i="2"/>
  <c r="X1294" i="2"/>
  <c r="W1294" i="2"/>
  <c r="X1293" i="2"/>
  <c r="W1293" i="2"/>
  <c r="X1292" i="2"/>
  <c r="W1292" i="2"/>
  <c r="X1291" i="2"/>
  <c r="W1291" i="2"/>
  <c r="X1290" i="2"/>
  <c r="W1290" i="2"/>
  <c r="X1289" i="2"/>
  <c r="W1289" i="2"/>
  <c r="X1288" i="2"/>
  <c r="W1288" i="2"/>
  <c r="X1287" i="2"/>
  <c r="W1287" i="2"/>
  <c r="X1286" i="2"/>
  <c r="W1286" i="2"/>
  <c r="X1285" i="2"/>
  <c r="W1285" i="2"/>
  <c r="X1284" i="2"/>
  <c r="W1284" i="2"/>
  <c r="X1283" i="2"/>
  <c r="W1283" i="2"/>
  <c r="X1282" i="2"/>
  <c r="W1282" i="2"/>
  <c r="X1281" i="2"/>
  <c r="W1281" i="2"/>
  <c r="X1280" i="2"/>
  <c r="W1280" i="2"/>
  <c r="X1279" i="2"/>
  <c r="W1279" i="2"/>
  <c r="X1278" i="2"/>
  <c r="W1278" i="2"/>
  <c r="X1277" i="2"/>
  <c r="W1277" i="2"/>
  <c r="X1276" i="2"/>
  <c r="W1276" i="2"/>
  <c r="X1275" i="2"/>
  <c r="W1275" i="2"/>
  <c r="X1274" i="2"/>
  <c r="W1274" i="2"/>
  <c r="X1273" i="2"/>
  <c r="W1273" i="2"/>
  <c r="X1272" i="2"/>
  <c r="W1272" i="2"/>
  <c r="X1271" i="2"/>
  <c r="W1271" i="2"/>
  <c r="X1270" i="2"/>
  <c r="W1270" i="2"/>
  <c r="X1269" i="2"/>
  <c r="W1269" i="2"/>
  <c r="X1268" i="2"/>
  <c r="W1268" i="2"/>
  <c r="X1267" i="2"/>
  <c r="W1267" i="2"/>
  <c r="X1266" i="2"/>
  <c r="W1266" i="2"/>
  <c r="X1265" i="2"/>
  <c r="W1265" i="2"/>
  <c r="X1264" i="2"/>
  <c r="W1264" i="2"/>
  <c r="X1263" i="2"/>
  <c r="W1263" i="2"/>
  <c r="X1262" i="2"/>
  <c r="W1262" i="2"/>
  <c r="X1261" i="2"/>
  <c r="W1261" i="2"/>
  <c r="X1260" i="2"/>
  <c r="W1260" i="2"/>
  <c r="X1259" i="2"/>
  <c r="W1259" i="2"/>
  <c r="X1258" i="2"/>
  <c r="W1258" i="2"/>
  <c r="X1257" i="2"/>
  <c r="W1257" i="2"/>
  <c r="X1256" i="2"/>
  <c r="W1256" i="2"/>
  <c r="X1255" i="2"/>
  <c r="W1255" i="2"/>
  <c r="X1254" i="2"/>
  <c r="W1254" i="2"/>
  <c r="X1253" i="2"/>
  <c r="W1253" i="2"/>
  <c r="X1252" i="2"/>
  <c r="W1252" i="2"/>
  <c r="X1251" i="2"/>
  <c r="W1251" i="2"/>
  <c r="X1250" i="2"/>
  <c r="W1250" i="2"/>
  <c r="X1249" i="2"/>
  <c r="W1249" i="2"/>
  <c r="X1248" i="2"/>
  <c r="W1248" i="2"/>
  <c r="X1247" i="2"/>
  <c r="W1247" i="2"/>
  <c r="X1246" i="2"/>
  <c r="W1246" i="2"/>
  <c r="X1245" i="2"/>
  <c r="W1245" i="2"/>
  <c r="X1244" i="2"/>
  <c r="W1244" i="2"/>
  <c r="X1243" i="2"/>
  <c r="W1243" i="2"/>
  <c r="X1242" i="2"/>
  <c r="W1242" i="2"/>
  <c r="X1241" i="2"/>
  <c r="W1241" i="2"/>
  <c r="X1240" i="2"/>
  <c r="W1240" i="2"/>
  <c r="X1239" i="2"/>
  <c r="W1239" i="2"/>
  <c r="X1238" i="2"/>
  <c r="W1238" i="2"/>
  <c r="X1237" i="2"/>
  <c r="W1237" i="2"/>
  <c r="X1236" i="2"/>
  <c r="W1236" i="2"/>
  <c r="X1235" i="2"/>
  <c r="W1235" i="2"/>
  <c r="X1234" i="2"/>
  <c r="W1234" i="2"/>
  <c r="X1233" i="2"/>
  <c r="W1233" i="2"/>
  <c r="X1232" i="2"/>
  <c r="W1232" i="2"/>
  <c r="X1231" i="2"/>
  <c r="W1231" i="2"/>
  <c r="X1230" i="2"/>
  <c r="W1230" i="2"/>
  <c r="X1229" i="2"/>
  <c r="W1229" i="2"/>
  <c r="X1228" i="2"/>
  <c r="W1228" i="2"/>
  <c r="X1227" i="2"/>
  <c r="W1227" i="2"/>
  <c r="X1226" i="2"/>
  <c r="W1226" i="2"/>
  <c r="X1225" i="2"/>
  <c r="W1225" i="2"/>
  <c r="X1224" i="2"/>
  <c r="W1224" i="2"/>
  <c r="X1223" i="2"/>
  <c r="W1223" i="2"/>
  <c r="X1222" i="2"/>
  <c r="W1222" i="2"/>
  <c r="X1221" i="2"/>
  <c r="W1221" i="2"/>
  <c r="X1220" i="2"/>
  <c r="W1220" i="2"/>
  <c r="X1219" i="2"/>
  <c r="W1219" i="2"/>
  <c r="X1218" i="2"/>
  <c r="W1218" i="2"/>
  <c r="X1217" i="2"/>
  <c r="W1217" i="2"/>
  <c r="X1216" i="2"/>
  <c r="W1216" i="2"/>
  <c r="X1215" i="2"/>
  <c r="W1215" i="2"/>
  <c r="X1214" i="2"/>
  <c r="W1214" i="2"/>
  <c r="X1213" i="2"/>
  <c r="W1213" i="2"/>
  <c r="X1212" i="2"/>
  <c r="W1212" i="2"/>
  <c r="X1211" i="2"/>
  <c r="W1211" i="2"/>
  <c r="X1210" i="2"/>
  <c r="W1210" i="2"/>
  <c r="X1209" i="2"/>
  <c r="W1209" i="2"/>
  <c r="X1208" i="2"/>
  <c r="W1208" i="2"/>
  <c r="X1207" i="2"/>
  <c r="W1207" i="2"/>
  <c r="X1206" i="2"/>
  <c r="W1206" i="2"/>
  <c r="X1205" i="2"/>
  <c r="W1205" i="2"/>
  <c r="X1204" i="2"/>
  <c r="W1204" i="2"/>
  <c r="X1203" i="2"/>
  <c r="W1203" i="2"/>
  <c r="X1202" i="2"/>
  <c r="W1202" i="2"/>
  <c r="X1201" i="2"/>
  <c r="W1201" i="2"/>
  <c r="X1200" i="2"/>
  <c r="W1200" i="2"/>
  <c r="X1199" i="2"/>
  <c r="W1199" i="2"/>
  <c r="X1198" i="2"/>
  <c r="W1198" i="2"/>
  <c r="X1197" i="2"/>
  <c r="W1197" i="2"/>
  <c r="X1196" i="2"/>
  <c r="W1196" i="2"/>
  <c r="X1195" i="2"/>
  <c r="W1195" i="2"/>
  <c r="X1194" i="2"/>
  <c r="W1194" i="2"/>
  <c r="X1193" i="2"/>
  <c r="W1193" i="2"/>
  <c r="X1192" i="2"/>
  <c r="W1192" i="2"/>
  <c r="X1191" i="2"/>
  <c r="W1191" i="2"/>
  <c r="X1190" i="2"/>
  <c r="W1190" i="2"/>
  <c r="X1189" i="2"/>
  <c r="W1189" i="2"/>
  <c r="X1188" i="2"/>
  <c r="W1188" i="2"/>
  <c r="X1187" i="2"/>
  <c r="W1187" i="2"/>
  <c r="X1186" i="2"/>
  <c r="W1186" i="2"/>
  <c r="X1185" i="2"/>
  <c r="W1185" i="2"/>
  <c r="X1184" i="2"/>
  <c r="W1184" i="2"/>
  <c r="X1183" i="2"/>
  <c r="W1183" i="2"/>
  <c r="X1182" i="2"/>
  <c r="W1182" i="2"/>
  <c r="X1181" i="2"/>
  <c r="W1181" i="2"/>
  <c r="X1180" i="2"/>
  <c r="W1180" i="2"/>
  <c r="X1179" i="2"/>
  <c r="W1179" i="2"/>
  <c r="X1178" i="2"/>
  <c r="W1178" i="2"/>
  <c r="X1177" i="2"/>
  <c r="W1177" i="2"/>
  <c r="X1176" i="2"/>
  <c r="W1176" i="2"/>
  <c r="X1175" i="2"/>
  <c r="W1175" i="2"/>
  <c r="X1174" i="2"/>
  <c r="W1174" i="2"/>
  <c r="X1173" i="2"/>
  <c r="W1173" i="2"/>
  <c r="X1172" i="2"/>
  <c r="W1172" i="2"/>
  <c r="X1171" i="2"/>
  <c r="W1171" i="2"/>
  <c r="X1170" i="2"/>
  <c r="W1170" i="2"/>
  <c r="X1169" i="2"/>
  <c r="W1169" i="2"/>
  <c r="X1168" i="2"/>
  <c r="W1168" i="2"/>
  <c r="X1167" i="2"/>
  <c r="W1167" i="2"/>
  <c r="X1166" i="2"/>
  <c r="W1166" i="2"/>
  <c r="X1165" i="2"/>
  <c r="W1165" i="2"/>
  <c r="X1164" i="2"/>
  <c r="W1164" i="2"/>
  <c r="X1163" i="2"/>
  <c r="W1163" i="2"/>
  <c r="X1162" i="2"/>
  <c r="W1162" i="2"/>
  <c r="X1161" i="2"/>
  <c r="W1161" i="2"/>
  <c r="X1160" i="2"/>
  <c r="W1160" i="2"/>
  <c r="X1159" i="2"/>
  <c r="W1159" i="2"/>
  <c r="X1158" i="2"/>
  <c r="W1158" i="2"/>
  <c r="X1157" i="2"/>
  <c r="W1157" i="2"/>
  <c r="X1156" i="2"/>
  <c r="W1156" i="2"/>
  <c r="X1155" i="2"/>
  <c r="W1155" i="2"/>
  <c r="X1154" i="2"/>
  <c r="W1154" i="2"/>
  <c r="X1153" i="2"/>
  <c r="W1153" i="2"/>
  <c r="X1152" i="2"/>
  <c r="W1152" i="2"/>
  <c r="X1151" i="2"/>
  <c r="W1151" i="2"/>
  <c r="X1150" i="2"/>
  <c r="W1150" i="2"/>
  <c r="X1149" i="2"/>
  <c r="W1149" i="2"/>
  <c r="X1148" i="2"/>
  <c r="W1148" i="2"/>
  <c r="X1147" i="2"/>
  <c r="W1147" i="2"/>
  <c r="X1146" i="2"/>
  <c r="W1146" i="2"/>
  <c r="X1145" i="2"/>
  <c r="W1145" i="2"/>
  <c r="X1144" i="2"/>
  <c r="W1144" i="2"/>
  <c r="X1143" i="2"/>
  <c r="W1143" i="2"/>
  <c r="X1142" i="2"/>
  <c r="W1142" i="2"/>
  <c r="X1141" i="2"/>
  <c r="W1141" i="2"/>
  <c r="X1140" i="2"/>
  <c r="W1140" i="2"/>
  <c r="X1139" i="2"/>
  <c r="W1139" i="2"/>
  <c r="X1138" i="2"/>
  <c r="W1138" i="2"/>
  <c r="X1137" i="2"/>
  <c r="W1137" i="2"/>
  <c r="X1136" i="2"/>
  <c r="W1136" i="2"/>
  <c r="X1135" i="2"/>
  <c r="W1135" i="2"/>
  <c r="X1134" i="2"/>
  <c r="W1134" i="2"/>
  <c r="X1133" i="2"/>
  <c r="W1133" i="2"/>
  <c r="X1132" i="2"/>
  <c r="W1132" i="2"/>
  <c r="X1131" i="2"/>
  <c r="W1131" i="2"/>
  <c r="X1130" i="2"/>
  <c r="W1130" i="2"/>
  <c r="X1129" i="2"/>
  <c r="W1129" i="2"/>
  <c r="X1128" i="2"/>
  <c r="W1128" i="2"/>
  <c r="X1127" i="2"/>
  <c r="W1127" i="2"/>
  <c r="X1126" i="2"/>
  <c r="W1126" i="2"/>
  <c r="X1125" i="2"/>
  <c r="W1125" i="2"/>
  <c r="X1124" i="2"/>
  <c r="W1124" i="2"/>
  <c r="X1123" i="2"/>
  <c r="W1123" i="2"/>
  <c r="X1122" i="2"/>
  <c r="W1122" i="2"/>
  <c r="X1121" i="2"/>
  <c r="W1121" i="2"/>
  <c r="X1120" i="2"/>
  <c r="W1120" i="2"/>
  <c r="X1119" i="2"/>
  <c r="W1119" i="2"/>
  <c r="X1118" i="2"/>
  <c r="W1118" i="2"/>
  <c r="X1117" i="2"/>
  <c r="W1117" i="2"/>
  <c r="X1116" i="2"/>
  <c r="W1116" i="2"/>
  <c r="X1115" i="2"/>
  <c r="W1115" i="2"/>
  <c r="X1114" i="2"/>
  <c r="W1114" i="2"/>
  <c r="X1113" i="2"/>
  <c r="W1113" i="2"/>
  <c r="X1112" i="2"/>
  <c r="W1112" i="2"/>
  <c r="X1111" i="2"/>
  <c r="W1111" i="2"/>
  <c r="X1110" i="2"/>
  <c r="W1110" i="2"/>
  <c r="X1109" i="2"/>
  <c r="W1109" i="2"/>
  <c r="X1108" i="2"/>
  <c r="W1108" i="2"/>
  <c r="X1107" i="2"/>
  <c r="W1107" i="2"/>
  <c r="X1106" i="2"/>
  <c r="W1106" i="2"/>
  <c r="X1105" i="2"/>
  <c r="W1105" i="2"/>
  <c r="X1104" i="2"/>
  <c r="W1104" i="2"/>
  <c r="X1103" i="2"/>
  <c r="W1103" i="2"/>
  <c r="X1102" i="2"/>
  <c r="W1102" i="2"/>
  <c r="X1101" i="2"/>
  <c r="W1101" i="2"/>
  <c r="X1100" i="2"/>
  <c r="W1100" i="2"/>
  <c r="X1099" i="2"/>
  <c r="W1099" i="2"/>
  <c r="X1098" i="2"/>
  <c r="W1098" i="2"/>
  <c r="X1097" i="2"/>
  <c r="W1097" i="2"/>
  <c r="X1096" i="2"/>
  <c r="W1096" i="2"/>
  <c r="X1095" i="2"/>
  <c r="W1095" i="2"/>
  <c r="X1094" i="2"/>
  <c r="W1094" i="2"/>
  <c r="X1093" i="2"/>
  <c r="W1093" i="2"/>
  <c r="X1092" i="2"/>
  <c r="W1092" i="2"/>
  <c r="X1091" i="2"/>
  <c r="W1091" i="2"/>
  <c r="X1090" i="2"/>
  <c r="W1090" i="2"/>
  <c r="X1089" i="2"/>
  <c r="W1089" i="2"/>
  <c r="X1088" i="2"/>
  <c r="W1088" i="2"/>
  <c r="X1087" i="2"/>
  <c r="W1087" i="2"/>
  <c r="X1086" i="2"/>
  <c r="W1086" i="2"/>
  <c r="X1085" i="2"/>
  <c r="W1085" i="2"/>
  <c r="X1084" i="2"/>
  <c r="W1084" i="2"/>
  <c r="X1083" i="2"/>
  <c r="W1083" i="2"/>
  <c r="X1082" i="2"/>
  <c r="W1082" i="2"/>
  <c r="X1081" i="2"/>
  <c r="W1081" i="2"/>
  <c r="X1080" i="2"/>
  <c r="W1080" i="2"/>
  <c r="X1079" i="2"/>
  <c r="W1079" i="2"/>
  <c r="X1078" i="2"/>
  <c r="W1078" i="2"/>
  <c r="X1077" i="2"/>
  <c r="W1077" i="2"/>
  <c r="X1076" i="2"/>
  <c r="W1076" i="2"/>
  <c r="X1075" i="2"/>
  <c r="W1075" i="2"/>
  <c r="X1074" i="2"/>
  <c r="W1074" i="2"/>
  <c r="X1073" i="2"/>
  <c r="W1073" i="2"/>
  <c r="X1072" i="2"/>
  <c r="W1072" i="2"/>
  <c r="X1071" i="2"/>
  <c r="W1071" i="2"/>
  <c r="X1070" i="2"/>
  <c r="W1070" i="2"/>
  <c r="X1069" i="2"/>
  <c r="W1069" i="2"/>
  <c r="X1068" i="2"/>
  <c r="W1068" i="2"/>
  <c r="X1067" i="2"/>
  <c r="W1067" i="2"/>
  <c r="X1066" i="2"/>
  <c r="W1066" i="2"/>
  <c r="X1065" i="2"/>
  <c r="W1065" i="2"/>
  <c r="X1064" i="2"/>
  <c r="W1064" i="2"/>
  <c r="X1063" i="2"/>
  <c r="W1063" i="2"/>
  <c r="X1062" i="2"/>
  <c r="W1062" i="2"/>
  <c r="X1061" i="2"/>
  <c r="W1061" i="2"/>
  <c r="X1060" i="2"/>
  <c r="W1060" i="2"/>
  <c r="X1059" i="2"/>
  <c r="W1059" i="2"/>
  <c r="X1058" i="2"/>
  <c r="W1058" i="2"/>
  <c r="X1057" i="2"/>
  <c r="W1057" i="2"/>
  <c r="X1056" i="2"/>
  <c r="W1056" i="2"/>
  <c r="X1055" i="2"/>
  <c r="W1055" i="2"/>
  <c r="X1054" i="2"/>
  <c r="W1054" i="2"/>
  <c r="X1053" i="2"/>
  <c r="W1053" i="2"/>
  <c r="X1052" i="2"/>
  <c r="W1052" i="2"/>
  <c r="X1051" i="2"/>
  <c r="W1051" i="2"/>
  <c r="X1050" i="2"/>
  <c r="W1050" i="2"/>
  <c r="X1049" i="2"/>
  <c r="W1049" i="2"/>
  <c r="X1048" i="2"/>
  <c r="W1048" i="2"/>
  <c r="X1047" i="2"/>
  <c r="W1047" i="2"/>
  <c r="X1046" i="2"/>
  <c r="W1046" i="2"/>
  <c r="X1045" i="2"/>
  <c r="W1045" i="2"/>
  <c r="X1044" i="2"/>
  <c r="W1044" i="2"/>
  <c r="X1043" i="2"/>
  <c r="W1043" i="2"/>
  <c r="X1042" i="2"/>
  <c r="W1042" i="2"/>
  <c r="X1041" i="2"/>
  <c r="W1041" i="2"/>
  <c r="X1040" i="2"/>
  <c r="W1040" i="2"/>
  <c r="X1039" i="2"/>
  <c r="W1039" i="2"/>
  <c r="X1038" i="2"/>
  <c r="W1038" i="2"/>
  <c r="X1037" i="2"/>
  <c r="W1037" i="2"/>
  <c r="X1036" i="2"/>
  <c r="W1036" i="2"/>
  <c r="X1035" i="2"/>
  <c r="W1035" i="2"/>
  <c r="X1034" i="2"/>
  <c r="W1034" i="2"/>
  <c r="X1033" i="2"/>
  <c r="W1033" i="2"/>
  <c r="X1032" i="2"/>
  <c r="W1032" i="2"/>
  <c r="X1031" i="2"/>
  <c r="W1031" i="2"/>
  <c r="X1030" i="2"/>
  <c r="W1030" i="2"/>
  <c r="X1029" i="2"/>
  <c r="W1029" i="2"/>
  <c r="X1028" i="2"/>
  <c r="W1028" i="2"/>
  <c r="X1027" i="2"/>
  <c r="W1027" i="2"/>
  <c r="X1026" i="2"/>
  <c r="W1026" i="2"/>
  <c r="X1025" i="2"/>
  <c r="W1025" i="2"/>
  <c r="X1024" i="2"/>
  <c r="W1024" i="2"/>
  <c r="X1023" i="2"/>
  <c r="W1023" i="2"/>
  <c r="X1022" i="2"/>
  <c r="W1022" i="2"/>
  <c r="X1021" i="2"/>
  <c r="W1021" i="2"/>
  <c r="X1020" i="2"/>
  <c r="W1020" i="2"/>
  <c r="X1019" i="2"/>
  <c r="W1019" i="2"/>
  <c r="X1018" i="2"/>
  <c r="W1018" i="2"/>
  <c r="X1017" i="2"/>
  <c r="W1017" i="2"/>
  <c r="X1016" i="2"/>
  <c r="W1016" i="2"/>
  <c r="X1015" i="2"/>
  <c r="W1015" i="2"/>
  <c r="X1014" i="2"/>
  <c r="W1014" i="2"/>
  <c r="X1013" i="2"/>
  <c r="W1013" i="2"/>
  <c r="X1012" i="2"/>
  <c r="W1012" i="2"/>
  <c r="X1011" i="2"/>
  <c r="W1011" i="2"/>
  <c r="X1010" i="2"/>
  <c r="W1010" i="2"/>
  <c r="X1009" i="2"/>
  <c r="W1009" i="2"/>
  <c r="X1008" i="2"/>
  <c r="W1008" i="2"/>
  <c r="X1007" i="2"/>
  <c r="W1007" i="2"/>
  <c r="X1006" i="2"/>
  <c r="W1006" i="2"/>
  <c r="X1005" i="2"/>
  <c r="W1005" i="2"/>
  <c r="X1004" i="2"/>
  <c r="W1004" i="2"/>
  <c r="X1003" i="2"/>
  <c r="W1003" i="2"/>
  <c r="X1002" i="2"/>
  <c r="W1002" i="2"/>
  <c r="X1001" i="2"/>
  <c r="W1001" i="2"/>
  <c r="X1000" i="2"/>
  <c r="W1000" i="2"/>
  <c r="X999" i="2"/>
  <c r="W999" i="2"/>
  <c r="X998" i="2"/>
  <c r="W998" i="2"/>
  <c r="X997" i="2"/>
  <c r="W997" i="2"/>
  <c r="X996" i="2"/>
  <c r="W996" i="2"/>
  <c r="X995" i="2"/>
  <c r="W995" i="2"/>
  <c r="X994" i="2"/>
  <c r="W994" i="2"/>
  <c r="X993" i="2"/>
  <c r="W993" i="2"/>
  <c r="X992" i="2"/>
  <c r="W992" i="2"/>
  <c r="X991" i="2"/>
  <c r="W991" i="2"/>
  <c r="X990" i="2"/>
  <c r="W990" i="2"/>
  <c r="X989" i="2"/>
  <c r="W989" i="2"/>
  <c r="X988" i="2"/>
  <c r="W988" i="2"/>
  <c r="X987" i="2"/>
  <c r="W987" i="2"/>
  <c r="X986" i="2"/>
  <c r="W986" i="2"/>
  <c r="X985" i="2"/>
  <c r="W985" i="2"/>
  <c r="X984" i="2"/>
  <c r="W984" i="2"/>
  <c r="X983" i="2"/>
  <c r="W983" i="2"/>
  <c r="X982" i="2"/>
  <c r="W982" i="2"/>
  <c r="X981" i="2"/>
  <c r="W981" i="2"/>
  <c r="X980" i="2"/>
  <c r="W980" i="2"/>
  <c r="X979" i="2"/>
  <c r="W979" i="2"/>
  <c r="X978" i="2"/>
  <c r="W978" i="2"/>
  <c r="X977" i="2"/>
  <c r="W977" i="2"/>
  <c r="X976" i="2"/>
  <c r="W976" i="2"/>
  <c r="X975" i="2"/>
  <c r="W975" i="2"/>
  <c r="X974" i="2"/>
  <c r="W974" i="2"/>
  <c r="X973" i="2"/>
  <c r="W973" i="2"/>
  <c r="X972" i="2"/>
  <c r="W972" i="2"/>
  <c r="X971" i="2"/>
  <c r="W971" i="2"/>
  <c r="X970" i="2"/>
  <c r="W970" i="2"/>
  <c r="X969" i="2"/>
  <c r="W969" i="2"/>
  <c r="X968" i="2"/>
  <c r="W968" i="2"/>
  <c r="X967" i="2"/>
  <c r="W967" i="2"/>
  <c r="X966" i="2"/>
  <c r="W966" i="2"/>
  <c r="X965" i="2"/>
  <c r="W965" i="2"/>
  <c r="X964" i="2"/>
  <c r="W964" i="2"/>
  <c r="X963" i="2"/>
  <c r="W963" i="2"/>
  <c r="X962" i="2"/>
  <c r="W962" i="2"/>
  <c r="X961" i="2"/>
  <c r="W961" i="2"/>
  <c r="X960" i="2"/>
  <c r="W960" i="2"/>
  <c r="X959" i="2"/>
  <c r="W959" i="2"/>
  <c r="X958" i="2"/>
  <c r="W958" i="2"/>
  <c r="X957" i="2"/>
  <c r="W957" i="2"/>
  <c r="X956" i="2"/>
  <c r="W956" i="2"/>
  <c r="X955" i="2"/>
  <c r="W955" i="2"/>
  <c r="X954" i="2"/>
  <c r="W954" i="2"/>
  <c r="X953" i="2"/>
  <c r="W953" i="2"/>
  <c r="X952" i="2"/>
  <c r="W952" i="2"/>
  <c r="X951" i="2"/>
  <c r="W951" i="2"/>
  <c r="X950" i="2"/>
  <c r="W950" i="2"/>
  <c r="X949" i="2"/>
  <c r="W949" i="2"/>
  <c r="X948" i="2"/>
  <c r="W948" i="2"/>
  <c r="X947" i="2"/>
  <c r="W947" i="2"/>
  <c r="X946" i="2"/>
  <c r="W946" i="2"/>
  <c r="X945" i="2"/>
  <c r="W945" i="2"/>
  <c r="X944" i="2"/>
  <c r="W944" i="2"/>
  <c r="X943" i="2"/>
  <c r="W943" i="2"/>
  <c r="X942" i="2"/>
  <c r="W942" i="2"/>
  <c r="X941" i="2"/>
  <c r="W941" i="2"/>
  <c r="X940" i="2"/>
  <c r="W940" i="2"/>
  <c r="X939" i="2"/>
  <c r="W939" i="2"/>
  <c r="X938" i="2"/>
  <c r="W938" i="2"/>
  <c r="X937" i="2"/>
  <c r="W937" i="2"/>
  <c r="X936" i="2"/>
  <c r="W936" i="2"/>
  <c r="X935" i="2"/>
  <c r="W935" i="2"/>
  <c r="X934" i="2"/>
  <c r="W934" i="2"/>
  <c r="X933" i="2"/>
  <c r="W933" i="2"/>
  <c r="X932" i="2"/>
  <c r="W932" i="2"/>
  <c r="X931" i="2"/>
  <c r="W931" i="2"/>
  <c r="X930" i="2"/>
  <c r="W930" i="2"/>
  <c r="X929" i="2"/>
  <c r="W929" i="2"/>
  <c r="X928" i="2"/>
  <c r="W928" i="2"/>
  <c r="X927" i="2"/>
  <c r="W927" i="2"/>
  <c r="X926" i="2"/>
  <c r="W926" i="2"/>
  <c r="X925" i="2"/>
  <c r="W925" i="2"/>
  <c r="X924" i="2"/>
  <c r="W924" i="2"/>
  <c r="X923" i="2"/>
  <c r="W923" i="2"/>
  <c r="X922" i="2"/>
  <c r="W922" i="2"/>
  <c r="X921" i="2"/>
  <c r="W921" i="2"/>
  <c r="X920" i="2"/>
  <c r="W920" i="2"/>
  <c r="X919" i="2"/>
  <c r="W919" i="2"/>
  <c r="X918" i="2"/>
  <c r="W918" i="2"/>
  <c r="X917" i="2"/>
  <c r="W917" i="2"/>
  <c r="X916" i="2"/>
  <c r="W916" i="2"/>
  <c r="X915" i="2"/>
  <c r="W915" i="2"/>
  <c r="X914" i="2"/>
  <c r="W914" i="2"/>
  <c r="X913" i="2"/>
  <c r="W913" i="2"/>
  <c r="X912" i="2"/>
  <c r="W912" i="2"/>
  <c r="X911" i="2"/>
  <c r="W911" i="2"/>
  <c r="X910" i="2"/>
  <c r="W910" i="2"/>
  <c r="X909" i="2"/>
  <c r="W909" i="2"/>
  <c r="X908" i="2"/>
  <c r="W908" i="2"/>
  <c r="X907" i="2"/>
  <c r="W907" i="2"/>
  <c r="X906" i="2"/>
  <c r="W906" i="2"/>
  <c r="X905" i="2"/>
  <c r="W905" i="2"/>
  <c r="X904" i="2"/>
  <c r="W904" i="2"/>
  <c r="X903" i="2"/>
  <c r="W903" i="2"/>
  <c r="X902" i="2"/>
  <c r="W902" i="2"/>
  <c r="X901" i="2"/>
  <c r="W901" i="2"/>
  <c r="X900" i="2"/>
  <c r="W900" i="2"/>
  <c r="X899" i="2"/>
  <c r="W899" i="2"/>
  <c r="X898" i="2"/>
  <c r="W898" i="2"/>
  <c r="X897" i="2"/>
  <c r="W897" i="2"/>
  <c r="X896" i="2"/>
  <c r="W896" i="2"/>
  <c r="X895" i="2"/>
  <c r="W895" i="2"/>
  <c r="X894" i="2"/>
  <c r="W894" i="2"/>
  <c r="X893" i="2"/>
  <c r="W893" i="2"/>
  <c r="X892" i="2"/>
  <c r="W892" i="2"/>
  <c r="X891" i="2"/>
  <c r="W891" i="2"/>
  <c r="X890" i="2"/>
  <c r="W890" i="2"/>
  <c r="X889" i="2"/>
  <c r="W889" i="2"/>
  <c r="X888" i="2"/>
  <c r="W888" i="2"/>
  <c r="X887" i="2"/>
  <c r="W887" i="2"/>
  <c r="X886" i="2"/>
  <c r="W886" i="2"/>
  <c r="X885" i="2"/>
  <c r="W885" i="2"/>
  <c r="X884" i="2"/>
  <c r="W884" i="2"/>
  <c r="X883" i="2"/>
  <c r="W883" i="2"/>
  <c r="X882" i="2"/>
  <c r="W882" i="2"/>
  <c r="X881" i="2"/>
  <c r="W881" i="2"/>
  <c r="X880" i="2"/>
  <c r="W880" i="2"/>
  <c r="X879" i="2"/>
  <c r="W879" i="2"/>
  <c r="X878" i="2"/>
  <c r="W878" i="2"/>
  <c r="X877" i="2"/>
  <c r="W877" i="2"/>
  <c r="X876" i="2"/>
  <c r="W876" i="2"/>
  <c r="X875" i="2"/>
  <c r="W875" i="2"/>
  <c r="X874" i="2"/>
  <c r="W874" i="2"/>
  <c r="X873" i="2"/>
  <c r="W873" i="2"/>
  <c r="X872" i="2"/>
  <c r="W872" i="2"/>
  <c r="X871" i="2"/>
  <c r="W871" i="2"/>
  <c r="X870" i="2"/>
  <c r="W870" i="2"/>
  <c r="X869" i="2"/>
  <c r="W869" i="2"/>
  <c r="X868" i="2"/>
  <c r="W868" i="2"/>
  <c r="X867" i="2"/>
  <c r="W867" i="2"/>
  <c r="X866" i="2"/>
  <c r="W866" i="2"/>
  <c r="X865" i="2"/>
  <c r="W865" i="2"/>
  <c r="X864" i="2"/>
  <c r="W864" i="2"/>
  <c r="X863" i="2"/>
  <c r="W863" i="2"/>
  <c r="X862" i="2"/>
  <c r="W862" i="2"/>
  <c r="X861" i="2"/>
  <c r="W861" i="2"/>
  <c r="X860" i="2"/>
  <c r="W860" i="2"/>
  <c r="X859" i="2"/>
  <c r="W859" i="2"/>
  <c r="X858" i="2"/>
  <c r="W858" i="2"/>
  <c r="X857" i="2"/>
  <c r="W857" i="2"/>
  <c r="X856" i="2"/>
  <c r="W856" i="2"/>
  <c r="X855" i="2"/>
  <c r="W855" i="2"/>
  <c r="X854" i="2"/>
  <c r="W854" i="2"/>
  <c r="X853" i="2"/>
  <c r="W853" i="2"/>
  <c r="X852" i="2"/>
  <c r="W852" i="2"/>
  <c r="X851" i="2"/>
  <c r="W851" i="2"/>
  <c r="X850" i="2"/>
  <c r="W850" i="2"/>
  <c r="X849" i="2"/>
  <c r="W849" i="2"/>
  <c r="X848" i="2"/>
  <c r="W848" i="2"/>
  <c r="X847" i="2"/>
  <c r="W847" i="2"/>
  <c r="X846" i="2"/>
  <c r="W846" i="2"/>
  <c r="X845" i="2"/>
  <c r="W845" i="2"/>
  <c r="X844" i="2"/>
  <c r="W844" i="2"/>
  <c r="X843" i="2"/>
  <c r="W843" i="2"/>
  <c r="X842" i="2"/>
  <c r="W842" i="2"/>
  <c r="X841" i="2"/>
  <c r="W841" i="2"/>
  <c r="X840" i="2"/>
  <c r="W840" i="2"/>
  <c r="X839" i="2"/>
  <c r="W839" i="2"/>
  <c r="X838" i="2"/>
  <c r="W838" i="2"/>
  <c r="X837" i="2"/>
  <c r="W837" i="2"/>
  <c r="X836" i="2"/>
  <c r="W836" i="2"/>
  <c r="X835" i="2"/>
  <c r="W835" i="2"/>
  <c r="X834" i="2"/>
  <c r="W834" i="2"/>
  <c r="X833" i="2"/>
  <c r="W833" i="2"/>
  <c r="X832" i="2"/>
  <c r="W832" i="2"/>
  <c r="X831" i="2"/>
  <c r="W831" i="2"/>
  <c r="X830" i="2"/>
  <c r="W830" i="2"/>
  <c r="X829" i="2"/>
  <c r="W829" i="2"/>
  <c r="X828" i="2"/>
  <c r="W828" i="2"/>
  <c r="X827" i="2"/>
  <c r="W827" i="2"/>
  <c r="X826" i="2"/>
  <c r="W826" i="2"/>
  <c r="X825" i="2"/>
  <c r="W825" i="2"/>
  <c r="X824" i="2"/>
  <c r="W824" i="2"/>
  <c r="X823" i="2"/>
  <c r="W823" i="2"/>
  <c r="X822" i="2"/>
  <c r="W822" i="2"/>
  <c r="X821" i="2"/>
  <c r="W821" i="2"/>
  <c r="X820" i="2"/>
  <c r="W820" i="2"/>
  <c r="X819" i="2"/>
  <c r="W819" i="2"/>
  <c r="X818" i="2"/>
  <c r="W818" i="2"/>
  <c r="X817" i="2"/>
  <c r="W817" i="2"/>
  <c r="X816" i="2"/>
  <c r="W816" i="2"/>
  <c r="X815" i="2"/>
  <c r="W815" i="2"/>
  <c r="X814" i="2"/>
  <c r="W814" i="2"/>
  <c r="X813" i="2"/>
  <c r="W813" i="2"/>
  <c r="X812" i="2"/>
  <c r="W812" i="2"/>
  <c r="X811" i="2"/>
  <c r="W811" i="2"/>
  <c r="X810" i="2"/>
  <c r="W810" i="2"/>
  <c r="X809" i="2"/>
  <c r="W809" i="2"/>
  <c r="X808" i="2"/>
  <c r="W808" i="2"/>
  <c r="X807" i="2"/>
  <c r="W807" i="2"/>
  <c r="X806" i="2"/>
  <c r="W806" i="2"/>
  <c r="X805" i="2"/>
  <c r="W805" i="2"/>
  <c r="X804" i="2"/>
  <c r="W804" i="2"/>
  <c r="X803" i="2"/>
  <c r="W803" i="2"/>
  <c r="X802" i="2"/>
  <c r="W802" i="2"/>
  <c r="X801" i="2"/>
  <c r="W801" i="2"/>
  <c r="X800" i="2"/>
  <c r="W800" i="2"/>
  <c r="X799" i="2"/>
  <c r="W799" i="2"/>
  <c r="X798" i="2"/>
  <c r="W798" i="2"/>
  <c r="X797" i="2"/>
  <c r="W797" i="2"/>
  <c r="X796" i="2"/>
  <c r="W796" i="2"/>
  <c r="X795" i="2"/>
  <c r="W795" i="2"/>
  <c r="X794" i="2"/>
  <c r="W794" i="2"/>
  <c r="X793" i="2"/>
  <c r="W793" i="2"/>
  <c r="X792" i="2"/>
  <c r="W792" i="2"/>
  <c r="X791" i="2"/>
  <c r="W791" i="2"/>
  <c r="X790" i="2"/>
  <c r="W790" i="2"/>
  <c r="X789" i="2"/>
  <c r="W789" i="2"/>
  <c r="X788" i="2"/>
  <c r="W788" i="2"/>
  <c r="X787" i="2"/>
  <c r="W787" i="2"/>
  <c r="X786" i="2"/>
  <c r="W786" i="2"/>
  <c r="X785" i="2"/>
  <c r="W785" i="2"/>
  <c r="X784" i="2"/>
  <c r="W784" i="2"/>
  <c r="X783" i="2"/>
  <c r="W783" i="2"/>
  <c r="X782" i="2"/>
  <c r="W782" i="2"/>
  <c r="X781" i="2"/>
  <c r="W781" i="2"/>
  <c r="X780" i="2"/>
  <c r="W780" i="2"/>
  <c r="X779" i="2"/>
  <c r="W779" i="2"/>
  <c r="X778" i="2"/>
  <c r="W778" i="2"/>
  <c r="X777" i="2"/>
  <c r="W777" i="2"/>
  <c r="X776" i="2"/>
  <c r="W776" i="2"/>
  <c r="X775" i="2"/>
  <c r="W775" i="2"/>
  <c r="X774" i="2"/>
  <c r="W774" i="2"/>
  <c r="X773" i="2"/>
  <c r="W773" i="2"/>
  <c r="X772" i="2"/>
  <c r="W772" i="2"/>
  <c r="X771" i="2"/>
  <c r="W771" i="2"/>
  <c r="X770" i="2"/>
  <c r="W770" i="2"/>
  <c r="X769" i="2"/>
  <c r="W769" i="2"/>
  <c r="X768" i="2"/>
  <c r="W768" i="2"/>
  <c r="X767" i="2"/>
  <c r="W767" i="2"/>
  <c r="X766" i="2"/>
  <c r="W766" i="2"/>
  <c r="X765" i="2"/>
  <c r="W765" i="2"/>
  <c r="X764" i="2"/>
  <c r="W764" i="2"/>
  <c r="X763" i="2"/>
  <c r="W763" i="2"/>
  <c r="X762" i="2"/>
  <c r="W762" i="2"/>
  <c r="X761" i="2"/>
  <c r="W761" i="2"/>
  <c r="X760" i="2"/>
  <c r="W760" i="2"/>
  <c r="X759" i="2"/>
  <c r="W759" i="2"/>
  <c r="X758" i="2"/>
  <c r="W758" i="2"/>
  <c r="X757" i="2"/>
  <c r="W757" i="2"/>
  <c r="X756" i="2"/>
  <c r="W756" i="2"/>
  <c r="X755" i="2"/>
  <c r="W755" i="2"/>
  <c r="X754" i="2"/>
  <c r="W754" i="2"/>
  <c r="X753" i="2"/>
  <c r="W753" i="2"/>
  <c r="X752" i="2"/>
  <c r="W752" i="2"/>
  <c r="X751" i="2"/>
  <c r="W751" i="2"/>
  <c r="X750" i="2"/>
  <c r="W750" i="2"/>
  <c r="X749" i="2"/>
  <c r="W749" i="2"/>
  <c r="X748" i="2"/>
  <c r="W748" i="2"/>
  <c r="X747" i="2"/>
  <c r="W747" i="2"/>
  <c r="X746" i="2"/>
  <c r="W746" i="2"/>
  <c r="X745" i="2"/>
  <c r="W745" i="2"/>
  <c r="X744" i="2"/>
  <c r="W744" i="2"/>
  <c r="X743" i="2"/>
  <c r="W743" i="2"/>
  <c r="X742" i="2"/>
  <c r="W742" i="2"/>
  <c r="X741" i="2"/>
  <c r="W741" i="2"/>
  <c r="X740" i="2"/>
  <c r="W740" i="2"/>
  <c r="X739" i="2"/>
  <c r="W739" i="2"/>
  <c r="X738" i="2"/>
  <c r="W738" i="2"/>
  <c r="X737" i="2"/>
  <c r="W737" i="2"/>
  <c r="X736" i="2"/>
  <c r="W736" i="2"/>
  <c r="X735" i="2"/>
  <c r="W735" i="2"/>
  <c r="X734" i="2"/>
  <c r="W734" i="2"/>
  <c r="X733" i="2"/>
  <c r="W733" i="2"/>
  <c r="X732" i="2"/>
  <c r="W732" i="2"/>
  <c r="X731" i="2"/>
  <c r="W731" i="2"/>
  <c r="X730" i="2"/>
  <c r="W730" i="2"/>
  <c r="X729" i="2"/>
  <c r="W729" i="2"/>
  <c r="X728" i="2"/>
  <c r="W728" i="2"/>
  <c r="X727" i="2"/>
  <c r="W727" i="2"/>
  <c r="X726" i="2"/>
  <c r="W726" i="2"/>
  <c r="X725" i="2"/>
  <c r="W725" i="2"/>
  <c r="X724" i="2"/>
  <c r="W724" i="2"/>
  <c r="X723" i="2"/>
  <c r="W723" i="2"/>
  <c r="X722" i="2"/>
  <c r="W722" i="2"/>
  <c r="X721" i="2"/>
  <c r="W721" i="2"/>
  <c r="X720" i="2"/>
  <c r="W720" i="2"/>
  <c r="X719" i="2"/>
  <c r="W719" i="2"/>
  <c r="X718" i="2"/>
  <c r="W718" i="2"/>
  <c r="X717" i="2"/>
  <c r="W717" i="2"/>
  <c r="X716" i="2"/>
  <c r="W716" i="2"/>
  <c r="X715" i="2"/>
  <c r="W715" i="2"/>
  <c r="X714" i="2"/>
  <c r="W714" i="2"/>
  <c r="X713" i="2"/>
  <c r="W713" i="2"/>
  <c r="X712" i="2"/>
  <c r="W712" i="2"/>
  <c r="X711" i="2"/>
  <c r="W711" i="2"/>
  <c r="X710" i="2"/>
  <c r="W710" i="2"/>
  <c r="X709" i="2"/>
  <c r="W709" i="2"/>
  <c r="X708" i="2"/>
  <c r="W708" i="2"/>
  <c r="X707" i="2"/>
  <c r="W707" i="2"/>
  <c r="X706" i="2"/>
  <c r="W706" i="2"/>
  <c r="X705" i="2"/>
  <c r="W705" i="2"/>
  <c r="X704" i="2"/>
  <c r="W704" i="2"/>
  <c r="X703" i="2"/>
  <c r="W703" i="2"/>
  <c r="X702" i="2"/>
  <c r="W702" i="2"/>
  <c r="X701" i="2"/>
  <c r="W701" i="2"/>
  <c r="X700" i="2"/>
  <c r="W700" i="2"/>
  <c r="X699" i="2"/>
  <c r="W699" i="2"/>
  <c r="X698" i="2"/>
  <c r="W698" i="2"/>
  <c r="X697" i="2"/>
  <c r="W697" i="2"/>
  <c r="X696" i="2"/>
  <c r="W696" i="2"/>
  <c r="X695" i="2"/>
  <c r="W695" i="2"/>
  <c r="X694" i="2"/>
  <c r="W694" i="2"/>
  <c r="X693" i="2"/>
  <c r="W693" i="2"/>
  <c r="X692" i="2"/>
  <c r="W692" i="2"/>
  <c r="X691" i="2"/>
  <c r="W691" i="2"/>
  <c r="X690" i="2"/>
  <c r="W690" i="2"/>
  <c r="X689" i="2"/>
  <c r="W689" i="2"/>
  <c r="X688" i="2"/>
  <c r="W688" i="2"/>
  <c r="X687" i="2"/>
  <c r="W687" i="2"/>
  <c r="X686" i="2"/>
  <c r="W686" i="2"/>
  <c r="X685" i="2"/>
  <c r="W685" i="2"/>
  <c r="X684" i="2"/>
  <c r="W684" i="2"/>
  <c r="X683" i="2"/>
  <c r="W683" i="2"/>
  <c r="X682" i="2"/>
  <c r="W682" i="2"/>
  <c r="X681" i="2"/>
  <c r="W681" i="2"/>
  <c r="X680" i="2"/>
  <c r="W680" i="2"/>
  <c r="X679" i="2"/>
  <c r="W679" i="2"/>
  <c r="X678" i="2"/>
  <c r="W678" i="2"/>
  <c r="X677" i="2"/>
  <c r="W677" i="2"/>
  <c r="X676" i="2"/>
  <c r="W676" i="2"/>
  <c r="X675" i="2"/>
  <c r="W675" i="2"/>
  <c r="X674" i="2"/>
  <c r="W674" i="2"/>
  <c r="X673" i="2"/>
  <c r="W673" i="2"/>
  <c r="X672" i="2"/>
  <c r="W672" i="2"/>
  <c r="X671" i="2"/>
  <c r="W671" i="2"/>
  <c r="X670" i="2"/>
  <c r="W670" i="2"/>
  <c r="X669" i="2"/>
  <c r="W669" i="2"/>
  <c r="X668" i="2"/>
  <c r="W668" i="2"/>
  <c r="X667" i="2"/>
  <c r="W667" i="2"/>
  <c r="X666" i="2"/>
  <c r="W666" i="2"/>
  <c r="X665" i="2"/>
  <c r="W665" i="2"/>
  <c r="X664" i="2"/>
  <c r="W664" i="2"/>
  <c r="X663" i="2"/>
  <c r="W663" i="2"/>
  <c r="X662" i="2"/>
  <c r="W662" i="2"/>
  <c r="X661" i="2"/>
  <c r="W661" i="2"/>
  <c r="X660" i="2"/>
  <c r="W660" i="2"/>
  <c r="X659" i="2"/>
  <c r="W659" i="2"/>
  <c r="X658" i="2"/>
  <c r="W658" i="2"/>
  <c r="X657" i="2"/>
  <c r="W657" i="2"/>
  <c r="X656" i="2"/>
  <c r="W656" i="2"/>
  <c r="X655" i="2"/>
  <c r="W655" i="2"/>
  <c r="X654" i="2"/>
  <c r="W654" i="2"/>
  <c r="X653" i="2"/>
  <c r="W653" i="2"/>
  <c r="X652" i="2"/>
  <c r="W652" i="2"/>
  <c r="X651" i="2"/>
  <c r="W651" i="2"/>
  <c r="X650" i="2"/>
  <c r="W650" i="2"/>
  <c r="X649" i="2"/>
  <c r="W649" i="2"/>
  <c r="X648" i="2"/>
  <c r="W648" i="2"/>
  <c r="X647" i="2"/>
  <c r="W647" i="2"/>
  <c r="X646" i="2"/>
  <c r="W646" i="2"/>
  <c r="X645" i="2"/>
  <c r="W645" i="2"/>
  <c r="X644" i="2"/>
  <c r="W644" i="2"/>
  <c r="X643" i="2"/>
  <c r="W643" i="2"/>
  <c r="X642" i="2"/>
  <c r="W642" i="2"/>
  <c r="X641" i="2"/>
  <c r="W641" i="2"/>
  <c r="X640" i="2"/>
  <c r="W640" i="2"/>
  <c r="X639" i="2"/>
  <c r="W639" i="2"/>
  <c r="X638" i="2"/>
  <c r="W638" i="2"/>
  <c r="X637" i="2"/>
  <c r="W637" i="2"/>
  <c r="X636" i="2"/>
  <c r="W636" i="2"/>
  <c r="X635" i="2"/>
  <c r="W635" i="2"/>
  <c r="X634" i="2"/>
  <c r="W634" i="2"/>
  <c r="X633" i="2"/>
  <c r="W633" i="2"/>
  <c r="X632" i="2"/>
  <c r="W632" i="2"/>
  <c r="X631" i="2"/>
  <c r="W631" i="2"/>
  <c r="X630" i="2"/>
  <c r="W630" i="2"/>
  <c r="X629" i="2"/>
  <c r="W629" i="2"/>
  <c r="X628" i="2"/>
  <c r="W628" i="2"/>
  <c r="X627" i="2"/>
  <c r="W627" i="2"/>
  <c r="X626" i="2"/>
  <c r="W626" i="2"/>
  <c r="X625" i="2"/>
  <c r="W625" i="2"/>
  <c r="X624" i="2"/>
  <c r="W624" i="2"/>
  <c r="X623" i="2"/>
  <c r="W623" i="2"/>
  <c r="X622" i="2"/>
  <c r="W622" i="2"/>
  <c r="X621" i="2"/>
  <c r="W621" i="2"/>
  <c r="X620" i="2"/>
  <c r="W620" i="2"/>
  <c r="X619" i="2"/>
  <c r="W619" i="2"/>
  <c r="X618" i="2"/>
  <c r="W618" i="2"/>
  <c r="X617" i="2"/>
  <c r="W617" i="2"/>
  <c r="X616" i="2"/>
  <c r="W616" i="2"/>
  <c r="X615" i="2"/>
  <c r="W615" i="2"/>
  <c r="X614" i="2"/>
  <c r="W614" i="2"/>
  <c r="X613" i="2"/>
  <c r="W613" i="2"/>
  <c r="X612" i="2"/>
  <c r="W612" i="2"/>
  <c r="X611" i="2"/>
  <c r="W611" i="2"/>
  <c r="X610" i="2"/>
  <c r="W610" i="2"/>
  <c r="X609" i="2"/>
  <c r="W609" i="2"/>
  <c r="X608" i="2"/>
  <c r="W608" i="2"/>
  <c r="X607" i="2"/>
  <c r="W607" i="2"/>
  <c r="X606" i="2"/>
  <c r="W606" i="2"/>
  <c r="X605" i="2"/>
  <c r="W605" i="2"/>
  <c r="X604" i="2"/>
  <c r="W604" i="2"/>
  <c r="X603" i="2"/>
  <c r="W603" i="2"/>
  <c r="X602" i="2"/>
  <c r="W602" i="2"/>
  <c r="X601" i="2"/>
  <c r="W601" i="2"/>
  <c r="X600" i="2"/>
  <c r="W600" i="2"/>
  <c r="X599" i="2"/>
  <c r="W599" i="2"/>
  <c r="X598" i="2"/>
  <c r="W598" i="2"/>
  <c r="X597" i="2"/>
  <c r="W597" i="2"/>
  <c r="X596" i="2"/>
  <c r="W596" i="2"/>
  <c r="X595" i="2"/>
  <c r="W595" i="2"/>
  <c r="X594" i="2"/>
  <c r="W594" i="2"/>
  <c r="X593" i="2"/>
  <c r="W593" i="2"/>
  <c r="X592" i="2"/>
  <c r="W592" i="2"/>
  <c r="X591" i="2"/>
  <c r="W591" i="2"/>
  <c r="X590" i="2"/>
  <c r="W590" i="2"/>
  <c r="X589" i="2"/>
  <c r="W589" i="2"/>
  <c r="X588" i="2"/>
  <c r="W588" i="2"/>
  <c r="X587" i="2"/>
  <c r="W587" i="2"/>
  <c r="X586" i="2"/>
  <c r="W586" i="2"/>
  <c r="X585" i="2"/>
  <c r="W585" i="2"/>
  <c r="X584" i="2"/>
  <c r="W584" i="2"/>
  <c r="X583" i="2"/>
  <c r="W583" i="2"/>
  <c r="X582" i="2"/>
  <c r="W582" i="2"/>
  <c r="X581" i="2"/>
  <c r="W581" i="2"/>
  <c r="X580" i="2"/>
  <c r="W580" i="2"/>
  <c r="X579" i="2"/>
  <c r="W579" i="2"/>
  <c r="X578" i="2"/>
  <c r="W578" i="2"/>
  <c r="X577" i="2"/>
  <c r="W577" i="2"/>
  <c r="X576" i="2"/>
  <c r="W576" i="2"/>
  <c r="X575" i="2"/>
  <c r="W575" i="2"/>
  <c r="X574" i="2"/>
  <c r="W574" i="2"/>
  <c r="X573" i="2"/>
  <c r="W573" i="2"/>
  <c r="X572" i="2"/>
  <c r="W572" i="2"/>
  <c r="X571" i="2"/>
  <c r="W571" i="2"/>
  <c r="X570" i="2"/>
  <c r="W570" i="2"/>
  <c r="X569" i="2"/>
  <c r="W569" i="2"/>
  <c r="X568" i="2"/>
  <c r="W568" i="2"/>
  <c r="X567" i="2"/>
  <c r="W567" i="2"/>
  <c r="X566" i="2"/>
  <c r="W566" i="2"/>
  <c r="X565" i="2"/>
  <c r="W565" i="2"/>
  <c r="X564" i="2"/>
  <c r="W564" i="2"/>
  <c r="X563" i="2"/>
  <c r="W563" i="2"/>
  <c r="X562" i="2"/>
  <c r="W562" i="2"/>
  <c r="X561" i="2"/>
  <c r="W561" i="2"/>
  <c r="X560" i="2"/>
  <c r="W560" i="2"/>
  <c r="X559" i="2"/>
  <c r="W559" i="2"/>
  <c r="X558" i="2"/>
  <c r="W558" i="2"/>
  <c r="X557" i="2"/>
  <c r="W557" i="2"/>
  <c r="X556" i="2"/>
  <c r="W556" i="2"/>
  <c r="X555" i="2"/>
  <c r="W555" i="2"/>
  <c r="X554" i="2"/>
  <c r="W554" i="2"/>
  <c r="X553" i="2"/>
  <c r="W553" i="2"/>
  <c r="X552" i="2"/>
  <c r="W552" i="2"/>
  <c r="X551" i="2"/>
  <c r="W551" i="2"/>
  <c r="X550" i="2"/>
  <c r="W550" i="2"/>
  <c r="X549" i="2"/>
  <c r="W549" i="2"/>
  <c r="X548" i="2"/>
  <c r="W548" i="2"/>
  <c r="X547" i="2"/>
  <c r="W547" i="2"/>
  <c r="X546" i="2"/>
  <c r="W546" i="2"/>
  <c r="X545" i="2"/>
  <c r="W545" i="2"/>
  <c r="X544" i="2"/>
  <c r="W544" i="2"/>
  <c r="X543" i="2"/>
  <c r="W543" i="2"/>
  <c r="X542" i="2"/>
  <c r="W542" i="2"/>
  <c r="X541" i="2"/>
  <c r="W541" i="2"/>
  <c r="X540" i="2"/>
  <c r="W540" i="2"/>
  <c r="X539" i="2"/>
  <c r="W539" i="2"/>
  <c r="X538" i="2"/>
  <c r="W538" i="2"/>
  <c r="X537" i="2"/>
  <c r="W537" i="2"/>
  <c r="X536" i="2"/>
  <c r="W536" i="2"/>
  <c r="X535" i="2"/>
  <c r="W535" i="2"/>
  <c r="X534" i="2"/>
  <c r="W534" i="2"/>
  <c r="X533" i="2"/>
  <c r="W533" i="2"/>
  <c r="X532" i="2"/>
  <c r="W532" i="2"/>
  <c r="X531" i="2"/>
  <c r="W531" i="2"/>
  <c r="X530" i="2"/>
  <c r="W530" i="2"/>
  <c r="X529" i="2"/>
  <c r="W529" i="2"/>
  <c r="X528" i="2"/>
  <c r="W528" i="2"/>
  <c r="X527" i="2"/>
  <c r="W527" i="2"/>
  <c r="X526" i="2"/>
  <c r="W526" i="2"/>
  <c r="X525" i="2"/>
  <c r="W525" i="2"/>
  <c r="X524" i="2"/>
  <c r="W524" i="2"/>
  <c r="X523" i="2"/>
  <c r="W523" i="2"/>
  <c r="X522" i="2"/>
  <c r="W522" i="2"/>
  <c r="X521" i="2"/>
  <c r="W521" i="2"/>
  <c r="X520" i="2"/>
  <c r="W520" i="2"/>
  <c r="X519" i="2"/>
  <c r="W519" i="2"/>
  <c r="X518" i="2"/>
  <c r="W518" i="2"/>
  <c r="X517" i="2"/>
  <c r="W517" i="2"/>
  <c r="X516" i="2"/>
  <c r="W516" i="2"/>
  <c r="X515" i="2"/>
  <c r="W515" i="2"/>
  <c r="X514" i="2"/>
  <c r="W514" i="2"/>
  <c r="X513" i="2"/>
  <c r="W513" i="2"/>
  <c r="X512" i="2"/>
  <c r="W512" i="2"/>
  <c r="X511" i="2"/>
  <c r="W511" i="2"/>
  <c r="X510" i="2"/>
  <c r="W510" i="2"/>
  <c r="X509" i="2"/>
  <c r="W509" i="2"/>
  <c r="X508" i="2"/>
  <c r="W508" i="2"/>
  <c r="X507" i="2"/>
  <c r="W507" i="2"/>
  <c r="X506" i="2"/>
  <c r="W506" i="2"/>
  <c r="X505" i="2"/>
  <c r="W505" i="2"/>
  <c r="X504" i="2"/>
  <c r="W504" i="2"/>
  <c r="X503" i="2"/>
  <c r="W503" i="2"/>
  <c r="X502" i="2"/>
  <c r="W502" i="2"/>
  <c r="X501" i="2"/>
  <c r="W501" i="2"/>
  <c r="X500" i="2"/>
  <c r="W500" i="2"/>
  <c r="X499" i="2"/>
  <c r="W499" i="2"/>
  <c r="X498" i="2"/>
  <c r="W498" i="2"/>
  <c r="X497" i="2"/>
  <c r="W497" i="2"/>
  <c r="X496" i="2"/>
  <c r="W496" i="2"/>
  <c r="X495" i="2"/>
  <c r="W495" i="2"/>
  <c r="X494" i="2"/>
  <c r="W494" i="2"/>
  <c r="X493" i="2"/>
  <c r="W493" i="2"/>
  <c r="X492" i="2"/>
  <c r="W492" i="2"/>
  <c r="X491" i="2"/>
  <c r="W491" i="2"/>
  <c r="X490" i="2"/>
  <c r="W490" i="2"/>
  <c r="X489" i="2"/>
  <c r="W489" i="2"/>
  <c r="X488" i="2"/>
  <c r="W488" i="2"/>
  <c r="X487" i="2"/>
  <c r="W487" i="2"/>
  <c r="X486" i="2"/>
  <c r="W486" i="2"/>
  <c r="X485" i="2"/>
  <c r="W485" i="2"/>
  <c r="X484" i="2"/>
  <c r="W484" i="2"/>
  <c r="X483" i="2"/>
  <c r="W483" i="2"/>
  <c r="X482" i="2"/>
  <c r="W482" i="2"/>
  <c r="X481" i="2"/>
  <c r="W481" i="2"/>
  <c r="X480" i="2"/>
  <c r="W480" i="2"/>
  <c r="X479" i="2"/>
  <c r="W479" i="2"/>
  <c r="X478" i="2"/>
  <c r="W478" i="2"/>
  <c r="X477" i="2"/>
  <c r="W477" i="2"/>
  <c r="X476" i="2"/>
  <c r="W476" i="2"/>
  <c r="X475" i="2"/>
  <c r="W475" i="2"/>
  <c r="X474" i="2"/>
  <c r="W474" i="2"/>
  <c r="X473" i="2"/>
  <c r="W473" i="2"/>
  <c r="X472" i="2"/>
  <c r="W472" i="2"/>
  <c r="X471" i="2"/>
  <c r="W471" i="2"/>
  <c r="X470" i="2"/>
  <c r="W470" i="2"/>
  <c r="X469" i="2"/>
  <c r="W469" i="2"/>
  <c r="X468" i="2"/>
  <c r="W468" i="2"/>
  <c r="X467" i="2"/>
  <c r="W467" i="2"/>
  <c r="X466" i="2"/>
  <c r="W466" i="2"/>
  <c r="X465" i="2"/>
  <c r="W465" i="2"/>
  <c r="X464" i="2"/>
  <c r="W464" i="2"/>
  <c r="X463" i="2"/>
  <c r="W463" i="2"/>
  <c r="X462" i="2"/>
  <c r="W462" i="2"/>
  <c r="X461" i="2"/>
  <c r="W461" i="2"/>
  <c r="X460" i="2"/>
  <c r="W460" i="2"/>
  <c r="X459" i="2"/>
  <c r="W459" i="2"/>
  <c r="X458" i="2"/>
  <c r="W458" i="2"/>
  <c r="X457" i="2"/>
  <c r="W457" i="2"/>
  <c r="X456" i="2"/>
  <c r="W456" i="2"/>
  <c r="X455" i="2"/>
  <c r="W455" i="2"/>
  <c r="X454" i="2"/>
  <c r="W454" i="2"/>
  <c r="X453" i="2"/>
  <c r="W453" i="2"/>
  <c r="X452" i="2"/>
  <c r="W452" i="2"/>
  <c r="X451" i="2"/>
  <c r="W451" i="2"/>
  <c r="X450" i="2"/>
  <c r="W450" i="2"/>
  <c r="X449" i="2"/>
  <c r="W449" i="2"/>
  <c r="X448" i="2"/>
  <c r="W448" i="2"/>
  <c r="X447" i="2"/>
  <c r="W447" i="2"/>
  <c r="X446" i="2"/>
  <c r="W446" i="2"/>
  <c r="X445" i="2"/>
  <c r="W445" i="2"/>
  <c r="X444" i="2"/>
  <c r="W444" i="2"/>
  <c r="X443" i="2"/>
  <c r="W443" i="2"/>
  <c r="X442" i="2"/>
  <c r="W442" i="2"/>
  <c r="X441" i="2"/>
  <c r="W441" i="2"/>
  <c r="X440" i="2"/>
  <c r="W440" i="2"/>
  <c r="X439" i="2"/>
  <c r="W439" i="2"/>
  <c r="X438" i="2"/>
  <c r="W438" i="2"/>
  <c r="X437" i="2"/>
  <c r="W437" i="2"/>
  <c r="X436" i="2"/>
  <c r="W436" i="2"/>
  <c r="X435" i="2"/>
  <c r="W435" i="2"/>
  <c r="X434" i="2"/>
  <c r="W434" i="2"/>
  <c r="X433" i="2"/>
  <c r="W433" i="2"/>
  <c r="X432" i="2"/>
  <c r="W432" i="2"/>
  <c r="X431" i="2"/>
  <c r="W431" i="2"/>
  <c r="X430" i="2"/>
  <c r="W430" i="2"/>
  <c r="X429" i="2"/>
  <c r="W429" i="2"/>
  <c r="X428" i="2"/>
  <c r="W428" i="2"/>
  <c r="X427" i="2"/>
  <c r="W427" i="2"/>
  <c r="X426" i="2"/>
  <c r="W426" i="2"/>
  <c r="X425" i="2"/>
  <c r="W425" i="2"/>
  <c r="X424" i="2"/>
  <c r="W424" i="2"/>
  <c r="X423" i="2"/>
  <c r="W423" i="2"/>
  <c r="X422" i="2"/>
  <c r="W422" i="2"/>
  <c r="X421" i="2"/>
  <c r="W421" i="2"/>
  <c r="X420" i="2"/>
  <c r="W420" i="2"/>
  <c r="X419" i="2"/>
  <c r="W419" i="2"/>
  <c r="X418" i="2"/>
  <c r="W418" i="2"/>
  <c r="X417" i="2"/>
  <c r="W417" i="2"/>
  <c r="X416" i="2"/>
  <c r="W416" i="2"/>
  <c r="X415" i="2"/>
  <c r="W415" i="2"/>
  <c r="X414" i="2"/>
  <c r="W414" i="2"/>
  <c r="X413" i="2"/>
  <c r="W413" i="2"/>
  <c r="X412" i="2"/>
  <c r="W412" i="2"/>
  <c r="X411" i="2"/>
  <c r="W411" i="2"/>
  <c r="X410" i="2"/>
  <c r="W410" i="2"/>
  <c r="X409" i="2"/>
  <c r="W409" i="2"/>
  <c r="X408" i="2"/>
  <c r="W408" i="2"/>
  <c r="X407" i="2"/>
  <c r="W407" i="2"/>
  <c r="X406" i="2"/>
  <c r="W406" i="2"/>
  <c r="X405" i="2"/>
  <c r="W405" i="2"/>
  <c r="X404" i="2"/>
  <c r="W404" i="2"/>
  <c r="X403" i="2"/>
  <c r="W403" i="2"/>
  <c r="X402" i="2"/>
  <c r="W402" i="2"/>
  <c r="X401" i="2"/>
  <c r="W401" i="2"/>
  <c r="X400" i="2"/>
  <c r="W400" i="2"/>
  <c r="X399" i="2"/>
  <c r="W399" i="2"/>
  <c r="X398" i="2"/>
  <c r="W398" i="2"/>
  <c r="X397" i="2"/>
  <c r="W397" i="2"/>
  <c r="X396" i="2"/>
  <c r="W396" i="2"/>
  <c r="X395" i="2"/>
  <c r="W395" i="2"/>
  <c r="X394" i="2"/>
  <c r="W394" i="2"/>
  <c r="X393" i="2"/>
  <c r="W393" i="2"/>
  <c r="X392" i="2"/>
  <c r="W392" i="2"/>
  <c r="X391" i="2"/>
  <c r="W391" i="2"/>
  <c r="X390" i="2"/>
  <c r="W390" i="2"/>
  <c r="X389" i="2"/>
  <c r="W389" i="2"/>
  <c r="X388" i="2"/>
  <c r="W388" i="2"/>
  <c r="X387" i="2"/>
  <c r="W387" i="2"/>
  <c r="X386" i="2"/>
  <c r="W386" i="2"/>
  <c r="X385" i="2"/>
  <c r="W385" i="2"/>
  <c r="X384" i="2"/>
  <c r="W384" i="2"/>
  <c r="X383" i="2"/>
  <c r="W383" i="2"/>
  <c r="X382" i="2"/>
  <c r="W382" i="2"/>
  <c r="X381" i="2"/>
  <c r="W381" i="2"/>
  <c r="X380" i="2"/>
  <c r="W380" i="2"/>
  <c r="X379" i="2"/>
  <c r="W379" i="2"/>
  <c r="X378" i="2"/>
  <c r="W378" i="2"/>
  <c r="X377" i="2"/>
  <c r="W377" i="2"/>
  <c r="X376" i="2"/>
  <c r="W376" i="2"/>
  <c r="X375" i="2"/>
  <c r="W375" i="2"/>
  <c r="X374" i="2"/>
  <c r="W374" i="2"/>
  <c r="X373" i="2"/>
  <c r="W373" i="2"/>
  <c r="X372" i="2"/>
  <c r="W372" i="2"/>
  <c r="X371" i="2"/>
  <c r="W371" i="2"/>
  <c r="X370" i="2"/>
  <c r="W370" i="2"/>
  <c r="X369" i="2"/>
  <c r="W369" i="2"/>
  <c r="X368" i="2"/>
  <c r="W368" i="2"/>
  <c r="X367" i="2"/>
  <c r="W367" i="2"/>
  <c r="X366" i="2"/>
  <c r="W366" i="2"/>
  <c r="X365" i="2"/>
  <c r="W365" i="2"/>
  <c r="X364" i="2"/>
  <c r="W364" i="2"/>
  <c r="X363" i="2"/>
  <c r="W363" i="2"/>
  <c r="X362" i="2"/>
  <c r="W362" i="2"/>
  <c r="X361" i="2"/>
  <c r="W361" i="2"/>
  <c r="X360" i="2"/>
  <c r="W360" i="2"/>
  <c r="X359" i="2"/>
  <c r="W359" i="2"/>
  <c r="X358" i="2"/>
  <c r="W358" i="2"/>
  <c r="X357" i="2"/>
  <c r="W357" i="2"/>
  <c r="X356" i="2"/>
  <c r="W356" i="2"/>
  <c r="X355" i="2"/>
  <c r="W355" i="2"/>
  <c r="X354" i="2"/>
  <c r="W354" i="2"/>
  <c r="X353" i="2"/>
  <c r="W353" i="2"/>
  <c r="X352" i="2"/>
  <c r="W352" i="2"/>
  <c r="X351" i="2"/>
  <c r="W351" i="2"/>
  <c r="X350" i="2"/>
  <c r="W350" i="2"/>
  <c r="X349" i="2"/>
  <c r="W349" i="2"/>
  <c r="X348" i="2"/>
  <c r="W348" i="2"/>
  <c r="X347" i="2"/>
  <c r="W347" i="2"/>
  <c r="X346" i="2"/>
  <c r="W346" i="2"/>
  <c r="X345" i="2"/>
  <c r="W345" i="2"/>
  <c r="X344" i="2"/>
  <c r="W344" i="2"/>
  <c r="X343" i="2"/>
  <c r="W343" i="2"/>
  <c r="X342" i="2"/>
  <c r="W342" i="2"/>
  <c r="X341" i="2"/>
  <c r="W341" i="2"/>
  <c r="X340" i="2"/>
  <c r="W340" i="2"/>
  <c r="X339" i="2"/>
  <c r="W339" i="2"/>
  <c r="X338" i="2"/>
  <c r="W338" i="2"/>
  <c r="X337" i="2"/>
  <c r="W337" i="2"/>
  <c r="X336" i="2"/>
  <c r="W336" i="2"/>
  <c r="X335" i="2"/>
  <c r="W335" i="2"/>
  <c r="X334" i="2"/>
  <c r="W334" i="2"/>
  <c r="X333" i="2"/>
  <c r="W333" i="2"/>
  <c r="X332" i="2"/>
  <c r="W332" i="2"/>
  <c r="X331" i="2"/>
  <c r="W331" i="2"/>
  <c r="X330" i="2"/>
  <c r="W330" i="2"/>
  <c r="X329" i="2"/>
  <c r="W329" i="2"/>
  <c r="X328" i="2"/>
  <c r="W328" i="2"/>
  <c r="X327" i="2"/>
  <c r="W327" i="2"/>
  <c r="X326" i="2"/>
  <c r="W326" i="2"/>
  <c r="X325" i="2"/>
  <c r="W325" i="2"/>
  <c r="X324" i="2"/>
  <c r="W324" i="2"/>
  <c r="X323" i="2"/>
  <c r="W323" i="2"/>
  <c r="X322" i="2"/>
  <c r="W322" i="2"/>
  <c r="X321" i="2"/>
  <c r="W321" i="2"/>
  <c r="X320" i="2"/>
  <c r="W320" i="2"/>
  <c r="X319" i="2"/>
  <c r="W319" i="2"/>
  <c r="X318" i="2"/>
  <c r="W318" i="2"/>
  <c r="X317" i="2"/>
  <c r="W317" i="2"/>
  <c r="X316" i="2"/>
  <c r="W316" i="2"/>
  <c r="X315" i="2"/>
  <c r="W315" i="2"/>
  <c r="X314" i="2"/>
  <c r="W314" i="2"/>
  <c r="X313" i="2"/>
  <c r="W313" i="2"/>
  <c r="X312" i="2"/>
  <c r="W312" i="2"/>
  <c r="X311" i="2"/>
  <c r="W311" i="2"/>
  <c r="X310" i="2"/>
  <c r="W310" i="2"/>
  <c r="X309" i="2"/>
  <c r="W309" i="2"/>
  <c r="X308" i="2"/>
  <c r="W308" i="2"/>
  <c r="X307" i="2"/>
  <c r="W307" i="2"/>
  <c r="X306" i="2"/>
  <c r="W306" i="2"/>
  <c r="X305" i="2"/>
  <c r="W305" i="2"/>
  <c r="X304" i="2"/>
  <c r="W304" i="2"/>
  <c r="X303" i="2"/>
  <c r="W303" i="2"/>
  <c r="X302" i="2"/>
  <c r="W302" i="2"/>
  <c r="X301" i="2"/>
  <c r="W301" i="2"/>
  <c r="X300" i="2"/>
  <c r="W300" i="2"/>
  <c r="X299" i="2"/>
  <c r="W299" i="2"/>
  <c r="X298" i="2"/>
  <c r="W298" i="2"/>
  <c r="X297" i="2"/>
  <c r="W297" i="2"/>
  <c r="X296" i="2"/>
  <c r="W296" i="2"/>
  <c r="X295" i="2"/>
  <c r="W295" i="2"/>
  <c r="X294" i="2"/>
  <c r="W294" i="2"/>
  <c r="X293" i="2"/>
  <c r="W293" i="2"/>
  <c r="X292" i="2"/>
  <c r="W292" i="2"/>
  <c r="X291" i="2"/>
  <c r="W291" i="2"/>
  <c r="X290" i="2"/>
  <c r="W290" i="2"/>
  <c r="X289" i="2"/>
  <c r="W289" i="2"/>
  <c r="X288" i="2"/>
  <c r="W288" i="2"/>
  <c r="X287" i="2"/>
  <c r="W287" i="2"/>
  <c r="X286" i="2"/>
  <c r="W286" i="2"/>
  <c r="X285" i="2"/>
  <c r="W285" i="2"/>
  <c r="X284" i="2"/>
  <c r="W284" i="2"/>
  <c r="X283" i="2"/>
  <c r="W283" i="2"/>
  <c r="X282" i="2"/>
  <c r="W282" i="2"/>
  <c r="X281" i="2"/>
  <c r="W281" i="2"/>
  <c r="X280" i="2"/>
  <c r="W280" i="2"/>
  <c r="X279" i="2"/>
  <c r="W279" i="2"/>
  <c r="X278" i="2"/>
  <c r="W278" i="2"/>
  <c r="X277" i="2"/>
  <c r="W277" i="2"/>
  <c r="X276" i="2"/>
  <c r="W276" i="2"/>
  <c r="X275" i="2"/>
  <c r="W275" i="2"/>
  <c r="X274" i="2"/>
  <c r="W274" i="2"/>
  <c r="X273" i="2"/>
  <c r="W273" i="2"/>
  <c r="X272" i="2"/>
  <c r="W272" i="2"/>
  <c r="X271" i="2"/>
  <c r="W271" i="2"/>
  <c r="X270" i="2"/>
  <c r="W270" i="2"/>
  <c r="X269" i="2"/>
  <c r="W269" i="2"/>
  <c r="X268" i="2"/>
  <c r="W268" i="2"/>
  <c r="X267" i="2"/>
  <c r="W267" i="2"/>
  <c r="X266" i="2"/>
  <c r="W266" i="2"/>
  <c r="X265" i="2"/>
  <c r="W265" i="2"/>
  <c r="X264" i="2"/>
  <c r="W264" i="2"/>
  <c r="X263" i="2"/>
  <c r="W263" i="2"/>
  <c r="X262" i="2"/>
  <c r="W262" i="2"/>
  <c r="X261" i="2"/>
  <c r="W261" i="2"/>
  <c r="X260" i="2"/>
  <c r="W260" i="2"/>
  <c r="X259" i="2"/>
  <c r="W259" i="2"/>
  <c r="X258" i="2"/>
  <c r="W258" i="2"/>
  <c r="X257" i="2"/>
  <c r="W257" i="2"/>
  <c r="X256" i="2"/>
  <c r="W256" i="2"/>
  <c r="X255" i="2"/>
  <c r="W255" i="2"/>
  <c r="X254" i="2"/>
  <c r="W254" i="2"/>
  <c r="X253" i="2"/>
  <c r="W253" i="2"/>
  <c r="X252" i="2"/>
  <c r="W252" i="2"/>
  <c r="X251" i="2"/>
  <c r="W251" i="2"/>
  <c r="X250" i="2"/>
  <c r="W250" i="2"/>
  <c r="X249" i="2"/>
  <c r="W249" i="2"/>
  <c r="X248" i="2"/>
  <c r="W248" i="2"/>
  <c r="X247" i="2"/>
  <c r="W247" i="2"/>
  <c r="X246" i="2"/>
  <c r="W246" i="2"/>
  <c r="X245" i="2"/>
  <c r="W245" i="2"/>
  <c r="X244" i="2"/>
  <c r="W244" i="2"/>
  <c r="X243" i="2"/>
  <c r="W243" i="2"/>
  <c r="X242" i="2"/>
  <c r="W242" i="2"/>
  <c r="X241" i="2"/>
  <c r="W241" i="2"/>
  <c r="X240" i="2"/>
  <c r="W240" i="2"/>
  <c r="X239" i="2"/>
  <c r="W239" i="2"/>
  <c r="X238" i="2"/>
  <c r="W238" i="2"/>
  <c r="X237" i="2"/>
  <c r="W237" i="2"/>
  <c r="X236" i="2"/>
  <c r="W236" i="2"/>
  <c r="X235" i="2"/>
  <c r="W235" i="2"/>
  <c r="X234" i="2"/>
  <c r="W234" i="2"/>
  <c r="X233" i="2"/>
  <c r="W233" i="2"/>
  <c r="X232" i="2"/>
  <c r="W232" i="2"/>
  <c r="X231" i="2"/>
  <c r="W231" i="2"/>
  <c r="X230" i="2"/>
  <c r="W230" i="2"/>
  <c r="X229" i="2"/>
  <c r="W229" i="2"/>
  <c r="X228" i="2"/>
  <c r="W228" i="2"/>
  <c r="X227" i="2"/>
  <c r="W227" i="2"/>
  <c r="X226" i="2"/>
  <c r="W226" i="2"/>
  <c r="X225" i="2"/>
  <c r="W225" i="2"/>
  <c r="X224" i="2"/>
  <c r="W224" i="2"/>
  <c r="X223" i="2"/>
  <c r="W223" i="2"/>
  <c r="X222" i="2"/>
  <c r="W222" i="2"/>
  <c r="X221" i="2"/>
  <c r="W221" i="2"/>
  <c r="X220" i="2"/>
  <c r="W220" i="2"/>
  <c r="X219" i="2"/>
  <c r="W219" i="2"/>
  <c r="X218" i="2"/>
  <c r="W218" i="2"/>
  <c r="X217" i="2"/>
  <c r="W217" i="2"/>
  <c r="X216" i="2"/>
  <c r="W216" i="2"/>
  <c r="X215" i="2"/>
  <c r="W215" i="2"/>
  <c r="X214" i="2"/>
  <c r="W214" i="2"/>
  <c r="X213" i="2"/>
  <c r="W213" i="2"/>
  <c r="X212" i="2"/>
  <c r="W212" i="2"/>
  <c r="X211" i="2"/>
  <c r="W211" i="2"/>
  <c r="X210" i="2"/>
  <c r="W210" i="2"/>
  <c r="X209" i="2"/>
  <c r="W209" i="2"/>
  <c r="X208" i="2"/>
  <c r="W208" i="2"/>
  <c r="X207" i="2"/>
  <c r="W207" i="2"/>
  <c r="X206" i="2"/>
  <c r="W206" i="2"/>
  <c r="X205" i="2"/>
  <c r="W205" i="2"/>
  <c r="X204" i="2"/>
  <c r="W204" i="2"/>
  <c r="X203" i="2"/>
  <c r="W203" i="2"/>
  <c r="X202" i="2"/>
  <c r="W202" i="2"/>
  <c r="X201" i="2"/>
  <c r="W201" i="2"/>
  <c r="X200" i="2"/>
  <c r="W200" i="2"/>
  <c r="X199" i="2"/>
  <c r="W199" i="2"/>
  <c r="X198" i="2"/>
  <c r="W198" i="2"/>
  <c r="X197" i="2"/>
  <c r="W197" i="2"/>
  <c r="X196" i="2"/>
  <c r="W196" i="2"/>
  <c r="X195" i="2"/>
  <c r="W195" i="2"/>
  <c r="X194" i="2"/>
  <c r="W194" i="2"/>
  <c r="X193" i="2"/>
  <c r="W193" i="2"/>
  <c r="X192" i="2"/>
  <c r="W192" i="2"/>
  <c r="X191" i="2"/>
  <c r="W191" i="2"/>
  <c r="X190" i="2"/>
  <c r="W190" i="2"/>
  <c r="X189" i="2"/>
  <c r="W189" i="2"/>
  <c r="X188" i="2"/>
  <c r="W188" i="2"/>
  <c r="X187" i="2"/>
  <c r="W187" i="2"/>
  <c r="X186" i="2"/>
  <c r="W186" i="2"/>
  <c r="X185" i="2"/>
  <c r="W185" i="2"/>
  <c r="X184" i="2"/>
  <c r="W184" i="2"/>
  <c r="X183" i="2"/>
  <c r="W183" i="2"/>
  <c r="X182" i="2"/>
  <c r="W182" i="2"/>
  <c r="X181" i="2"/>
  <c r="W181" i="2"/>
  <c r="X180" i="2"/>
  <c r="W180" i="2"/>
  <c r="X179" i="2"/>
  <c r="W179" i="2"/>
  <c r="X178" i="2"/>
  <c r="W178" i="2"/>
  <c r="X177" i="2"/>
  <c r="W177" i="2"/>
  <c r="X176" i="2"/>
  <c r="W176" i="2"/>
  <c r="X175" i="2"/>
  <c r="W175" i="2"/>
  <c r="X174" i="2"/>
  <c r="W174" i="2"/>
  <c r="X173" i="2"/>
  <c r="W173" i="2"/>
  <c r="X172" i="2"/>
  <c r="W172" i="2"/>
  <c r="X171" i="2"/>
  <c r="W171" i="2"/>
  <c r="X170" i="2"/>
  <c r="W170" i="2"/>
  <c r="X169" i="2"/>
  <c r="W169" i="2"/>
  <c r="X168" i="2"/>
  <c r="W168" i="2"/>
  <c r="X167" i="2"/>
  <c r="W167" i="2"/>
  <c r="X166" i="2"/>
  <c r="W166" i="2"/>
  <c r="X165" i="2"/>
  <c r="W165" i="2"/>
  <c r="X164" i="2"/>
  <c r="W164" i="2"/>
  <c r="X163" i="2"/>
  <c r="W163" i="2"/>
  <c r="X162" i="2"/>
  <c r="W162" i="2"/>
  <c r="X161" i="2"/>
  <c r="W161" i="2"/>
  <c r="X160" i="2"/>
  <c r="W160" i="2"/>
  <c r="X159" i="2"/>
  <c r="W159" i="2"/>
  <c r="X158" i="2"/>
  <c r="W158" i="2"/>
  <c r="X157" i="2"/>
  <c r="W157" i="2"/>
  <c r="X156" i="2"/>
  <c r="W156" i="2"/>
  <c r="X155" i="2"/>
  <c r="W155" i="2"/>
  <c r="X154" i="2"/>
  <c r="W154" i="2"/>
  <c r="X153" i="2"/>
  <c r="W153" i="2"/>
  <c r="X152" i="2"/>
  <c r="W152" i="2"/>
  <c r="X151" i="2"/>
  <c r="W151" i="2"/>
  <c r="X150" i="2"/>
  <c r="W150" i="2"/>
  <c r="X149" i="2"/>
  <c r="W149" i="2"/>
  <c r="X148" i="2"/>
  <c r="W148" i="2"/>
  <c r="X147" i="2"/>
  <c r="W147" i="2"/>
  <c r="X146" i="2"/>
  <c r="W146" i="2"/>
  <c r="X145" i="2"/>
  <c r="W145" i="2"/>
  <c r="X144" i="2"/>
  <c r="W144" i="2"/>
  <c r="X143" i="2"/>
  <c r="W143" i="2"/>
  <c r="X142" i="2"/>
  <c r="W142" i="2"/>
  <c r="X141" i="2"/>
  <c r="W141" i="2"/>
  <c r="X140" i="2"/>
  <c r="W140" i="2"/>
  <c r="X139" i="2"/>
  <c r="W139" i="2"/>
  <c r="X138" i="2"/>
  <c r="W138" i="2"/>
  <c r="X137" i="2"/>
  <c r="W137" i="2"/>
  <c r="X136" i="2"/>
  <c r="W136" i="2"/>
  <c r="X135" i="2"/>
  <c r="W135" i="2"/>
  <c r="X134" i="2"/>
  <c r="W134" i="2"/>
  <c r="X133" i="2"/>
  <c r="W133" i="2"/>
  <c r="X132" i="2"/>
  <c r="W132" i="2"/>
  <c r="X131" i="2"/>
  <c r="W131" i="2"/>
  <c r="X130" i="2"/>
  <c r="W130" i="2"/>
  <c r="X129" i="2"/>
  <c r="W129" i="2"/>
  <c r="X128" i="2"/>
  <c r="W128" i="2"/>
  <c r="X127" i="2"/>
  <c r="W127" i="2"/>
  <c r="X126" i="2"/>
  <c r="W126" i="2"/>
  <c r="X125" i="2"/>
  <c r="W125" i="2"/>
  <c r="X124" i="2"/>
  <c r="W124" i="2"/>
  <c r="X123" i="2"/>
  <c r="W123" i="2"/>
  <c r="X122" i="2"/>
  <c r="W122" i="2"/>
  <c r="X121" i="2"/>
  <c r="W121" i="2"/>
  <c r="X120" i="2"/>
  <c r="W120" i="2"/>
  <c r="X119" i="2"/>
  <c r="W119" i="2"/>
  <c r="X118" i="2"/>
  <c r="W118" i="2"/>
  <c r="X117" i="2"/>
  <c r="W117" i="2"/>
  <c r="X116" i="2"/>
  <c r="W116" i="2"/>
  <c r="X115" i="2"/>
  <c r="W115" i="2"/>
  <c r="X114" i="2"/>
  <c r="W114" i="2"/>
  <c r="X113" i="2"/>
  <c r="W113" i="2"/>
  <c r="X112" i="2"/>
  <c r="W112" i="2"/>
  <c r="X111" i="2"/>
  <c r="W111" i="2"/>
  <c r="X110" i="2"/>
  <c r="W110" i="2"/>
  <c r="X109" i="2"/>
  <c r="W109" i="2"/>
  <c r="X108" i="2"/>
  <c r="W108" i="2"/>
  <c r="X107" i="2"/>
  <c r="W107" i="2"/>
  <c r="X106" i="2"/>
  <c r="W106" i="2"/>
  <c r="X105" i="2"/>
  <c r="W105" i="2"/>
  <c r="X104" i="2"/>
  <c r="W104" i="2"/>
  <c r="X103" i="2"/>
  <c r="W103" i="2"/>
  <c r="X102" i="2"/>
  <c r="W102" i="2"/>
  <c r="X101" i="2"/>
  <c r="W101" i="2"/>
  <c r="X100" i="2"/>
  <c r="W100" i="2"/>
  <c r="X99" i="2"/>
  <c r="W99" i="2"/>
  <c r="X98" i="2"/>
  <c r="W98" i="2"/>
  <c r="X97" i="2"/>
  <c r="W97" i="2"/>
  <c r="X96" i="2"/>
  <c r="W96" i="2"/>
  <c r="X95" i="2"/>
  <c r="W95" i="2"/>
  <c r="X94" i="2"/>
  <c r="W94" i="2"/>
  <c r="X93" i="2"/>
  <c r="W93" i="2"/>
  <c r="X92" i="2"/>
  <c r="W92" i="2"/>
  <c r="X91" i="2"/>
  <c r="W91" i="2"/>
  <c r="X90" i="2"/>
  <c r="W90" i="2"/>
  <c r="X89" i="2"/>
  <c r="W89" i="2"/>
  <c r="X88" i="2"/>
  <c r="W88" i="2"/>
  <c r="X87" i="2"/>
  <c r="W87" i="2"/>
  <c r="X86" i="2"/>
  <c r="W86" i="2"/>
  <c r="X85" i="2"/>
  <c r="W85" i="2"/>
  <c r="X84" i="2"/>
  <c r="W84" i="2"/>
  <c r="X83" i="2"/>
  <c r="W83" i="2"/>
  <c r="X82" i="2"/>
  <c r="W82" i="2"/>
  <c r="X81" i="2"/>
  <c r="W81" i="2"/>
  <c r="X80" i="2"/>
  <c r="W80" i="2"/>
  <c r="X79" i="2"/>
  <c r="W79" i="2"/>
  <c r="X78" i="2"/>
  <c r="W78" i="2"/>
  <c r="X77" i="2"/>
  <c r="W77" i="2"/>
  <c r="X76" i="2"/>
  <c r="W76" i="2"/>
  <c r="X75" i="2"/>
  <c r="W75" i="2"/>
  <c r="X74" i="2"/>
  <c r="W74" i="2"/>
  <c r="X73" i="2"/>
  <c r="W73" i="2"/>
  <c r="X72" i="2"/>
  <c r="W72" i="2"/>
  <c r="X71" i="2"/>
  <c r="W71" i="2"/>
  <c r="X70" i="2"/>
  <c r="W70" i="2"/>
  <c r="X69" i="2"/>
  <c r="W69" i="2"/>
  <c r="X68" i="2"/>
  <c r="W68" i="2"/>
  <c r="X67" i="2"/>
  <c r="W67" i="2"/>
  <c r="X66" i="2"/>
  <c r="W66" i="2"/>
  <c r="X65" i="2"/>
  <c r="W65" i="2"/>
  <c r="X64" i="2"/>
  <c r="W64" i="2"/>
  <c r="X63" i="2"/>
  <c r="W63" i="2"/>
  <c r="X62" i="2"/>
  <c r="W62" i="2"/>
  <c r="X61" i="2"/>
  <c r="W61" i="2"/>
  <c r="X60" i="2"/>
  <c r="W60" i="2"/>
  <c r="X59" i="2"/>
  <c r="W59" i="2"/>
  <c r="X58" i="2"/>
  <c r="W58" i="2"/>
  <c r="X57" i="2"/>
  <c r="W57" i="2"/>
  <c r="X56" i="2"/>
  <c r="W56" i="2"/>
  <c r="X55" i="2"/>
  <c r="W55" i="2"/>
  <c r="X54" i="2"/>
  <c r="W54" i="2"/>
  <c r="X53" i="2"/>
  <c r="W53" i="2"/>
  <c r="X52" i="2"/>
  <c r="W52" i="2"/>
  <c r="X51" i="2"/>
  <c r="W51" i="2"/>
  <c r="X50" i="2"/>
  <c r="W50" i="2"/>
  <c r="X49" i="2"/>
  <c r="W49" i="2"/>
  <c r="X48" i="2"/>
  <c r="W48" i="2"/>
  <c r="X47" i="2"/>
  <c r="W47" i="2"/>
  <c r="X46" i="2"/>
  <c r="W46" i="2"/>
  <c r="X45" i="2"/>
  <c r="W45" i="2"/>
  <c r="X44" i="2"/>
  <c r="W44" i="2"/>
  <c r="X43" i="2"/>
  <c r="W43" i="2"/>
  <c r="X42" i="2"/>
  <c r="W42" i="2"/>
  <c r="X41" i="2"/>
  <c r="W41" i="2"/>
  <c r="X40" i="2"/>
  <c r="W40" i="2"/>
  <c r="X39" i="2"/>
  <c r="W39" i="2"/>
  <c r="X38" i="2"/>
  <c r="W38" i="2"/>
  <c r="X37" i="2"/>
  <c r="W37" i="2"/>
  <c r="X36" i="2"/>
  <c r="W36" i="2"/>
  <c r="X35" i="2"/>
  <c r="W35" i="2"/>
  <c r="X34" i="2"/>
  <c r="W34" i="2"/>
  <c r="X33" i="2"/>
  <c r="W33" i="2"/>
  <c r="X32" i="2"/>
  <c r="W32" i="2"/>
  <c r="X31" i="2"/>
  <c r="W31" i="2"/>
  <c r="X30" i="2"/>
  <c r="W30" i="2"/>
  <c r="X29" i="2"/>
  <c r="W29" i="2"/>
  <c r="X28" i="2"/>
  <c r="W28" i="2"/>
  <c r="X27" i="2"/>
  <c r="W27" i="2"/>
  <c r="X26" i="2"/>
  <c r="W26" i="2"/>
  <c r="X25" i="2"/>
  <c r="W25" i="2"/>
  <c r="X24" i="2"/>
  <c r="W24" i="2"/>
  <c r="X23" i="2"/>
  <c r="W23" i="2"/>
  <c r="X22" i="2"/>
  <c r="W22" i="2"/>
  <c r="X21" i="2"/>
  <c r="W21" i="2"/>
  <c r="X20" i="2"/>
  <c r="W20" i="2"/>
  <c r="X19" i="2"/>
  <c r="W19" i="2"/>
  <c r="X18" i="2"/>
  <c r="W18" i="2"/>
  <c r="X17" i="2"/>
  <c r="W17" i="2"/>
  <c r="X16" i="2"/>
  <c r="W16" i="2"/>
  <c r="X15" i="2"/>
  <c r="W15" i="2"/>
  <c r="X14" i="2"/>
  <c r="W14" i="2"/>
  <c r="X13" i="2"/>
  <c r="W13" i="2"/>
  <c r="X12" i="2"/>
  <c r="W12" i="2"/>
  <c r="X11" i="2"/>
  <c r="W11" i="2"/>
  <c r="X10" i="2"/>
  <c r="W10" i="2"/>
  <c r="X9" i="2"/>
  <c r="W9" i="2"/>
  <c r="X8" i="2"/>
  <c r="W8" i="2"/>
  <c r="X7" i="2"/>
  <c r="W7" i="2"/>
  <c r="X6" i="2"/>
  <c r="W6" i="2"/>
  <c r="X5" i="2"/>
  <c r="W5" i="2"/>
  <c r="X4" i="2"/>
  <c r="T55" i="2"/>
  <c r="T54" i="2"/>
  <c r="T53" i="2"/>
  <c r="T52" i="2"/>
  <c r="T51" i="2"/>
  <c r="T50" i="2"/>
  <c r="T49" i="2"/>
  <c r="T48" i="2"/>
  <c r="T47" i="2"/>
  <c r="T46" i="2"/>
  <c r="T45" i="2"/>
  <c r="T44" i="2"/>
  <c r="T43" i="2"/>
  <c r="T42" i="2"/>
  <c r="T41" i="2"/>
  <c r="T40" i="2"/>
  <c r="T39" i="2"/>
  <c r="T38" i="2"/>
  <c r="T37" i="2"/>
  <c r="T36" i="2"/>
  <c r="T35" i="2"/>
  <c r="T34" i="2"/>
  <c r="T33" i="2"/>
  <c r="T32" i="2"/>
  <c r="T31" i="2"/>
  <c r="T30" i="2"/>
  <c r="T29" i="2"/>
  <c r="T28" i="2"/>
  <c r="T27" i="2"/>
  <c r="T26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T7" i="2"/>
  <c r="T6" i="2"/>
  <c r="T5" i="2"/>
  <c r="T4" i="2"/>
  <c r="T3" i="2"/>
  <c r="AL61" i="2"/>
  <c r="AL60" i="2"/>
  <c r="AL59" i="2"/>
  <c r="AL58" i="2"/>
  <c r="AL57" i="2"/>
  <c r="AL56" i="2"/>
  <c r="AL55" i="2"/>
  <c r="AL54" i="2"/>
  <c r="AL53" i="2"/>
  <c r="AL52" i="2"/>
  <c r="AL51" i="2"/>
  <c r="AL50" i="2"/>
  <c r="AL49" i="2"/>
  <c r="AL48" i="2"/>
  <c r="AL47" i="2"/>
  <c r="AL46" i="2"/>
  <c r="AL45" i="2"/>
  <c r="AL44" i="2"/>
  <c r="AL43" i="2"/>
  <c r="AL42" i="2"/>
  <c r="AL41" i="2"/>
  <c r="AL40" i="2"/>
  <c r="AL39" i="2"/>
  <c r="AL38" i="2"/>
  <c r="AL37" i="2"/>
  <c r="AL36" i="2"/>
  <c r="AL35" i="2"/>
  <c r="AL34" i="2"/>
  <c r="AL33" i="2"/>
  <c r="AL32" i="2"/>
  <c r="AL31" i="2"/>
  <c r="AL30" i="2"/>
  <c r="AL29" i="2"/>
  <c r="AL28" i="2"/>
  <c r="AL27" i="2"/>
  <c r="AL26" i="2"/>
  <c r="AL25" i="2"/>
  <c r="AL24" i="2"/>
  <c r="AL23" i="2"/>
  <c r="AL22" i="2"/>
  <c r="AL21" i="2"/>
  <c r="AL20" i="2"/>
  <c r="AL19" i="2"/>
  <c r="AL18" i="2"/>
  <c r="AL17" i="2"/>
  <c r="AL16" i="2"/>
  <c r="AL15" i="2"/>
  <c r="AL14" i="2"/>
  <c r="AL13" i="2"/>
  <c r="AL12" i="2"/>
  <c r="AL11" i="2"/>
  <c r="AL10" i="2"/>
  <c r="AL9" i="2"/>
  <c r="AL8" i="2"/>
  <c r="AL7" i="2"/>
  <c r="AL6" i="2"/>
  <c r="AL5" i="2"/>
  <c r="AL4" i="2"/>
  <c r="AL3" i="2"/>
  <c r="AL2" i="2"/>
  <c r="T3282" i="1"/>
  <c r="T3281" i="1"/>
  <c r="T3280" i="1"/>
  <c r="T3279" i="1"/>
  <c r="T3278" i="1"/>
  <c r="T3277" i="1"/>
  <c r="T3276" i="1"/>
  <c r="T3275" i="1"/>
  <c r="T3274" i="1"/>
  <c r="T3273" i="1"/>
  <c r="T3272" i="1"/>
  <c r="T3271" i="1"/>
  <c r="T3270" i="1"/>
  <c r="T3269" i="1"/>
  <c r="T3268" i="1"/>
  <c r="T3267" i="1"/>
  <c r="T3266" i="1"/>
  <c r="T3265" i="1"/>
  <c r="T3264" i="1"/>
  <c r="T3263" i="1"/>
  <c r="T3262" i="1"/>
  <c r="T3261" i="1"/>
  <c r="T3260" i="1"/>
  <c r="T3259" i="1"/>
  <c r="T3258" i="1"/>
  <c r="T3257" i="1"/>
  <c r="T3256" i="1"/>
  <c r="T3255" i="1"/>
  <c r="T3254" i="1"/>
  <c r="T3253" i="1"/>
  <c r="T3252" i="1"/>
  <c r="T3251" i="1"/>
  <c r="T3250" i="1"/>
  <c r="T3249" i="1"/>
  <c r="T3248" i="1"/>
  <c r="T3247" i="1"/>
  <c r="T3246" i="1"/>
  <c r="T3245" i="1"/>
  <c r="T3244" i="1"/>
  <c r="T3243" i="1"/>
  <c r="T3242" i="1"/>
  <c r="T3241" i="1"/>
  <c r="T3240" i="1"/>
  <c r="T3239" i="1"/>
  <c r="T3238" i="1"/>
  <c r="T3237" i="1"/>
  <c r="T3236" i="1"/>
  <c r="T3235" i="1"/>
  <c r="T3234" i="1"/>
  <c r="T3233" i="1"/>
  <c r="T3232" i="1"/>
  <c r="T3231" i="1"/>
  <c r="T3230" i="1"/>
  <c r="T3229" i="1"/>
  <c r="T3228" i="1"/>
  <c r="T3227" i="1"/>
  <c r="T3226" i="1"/>
  <c r="T3225" i="1"/>
  <c r="T3224" i="1"/>
  <c r="T3223" i="1"/>
  <c r="T3222" i="1"/>
  <c r="T3221" i="1"/>
  <c r="T3220" i="1"/>
  <c r="T3219" i="1"/>
  <c r="T3218" i="1"/>
  <c r="T3217" i="1"/>
  <c r="T3216" i="1"/>
  <c r="T3215" i="1"/>
  <c r="T3214" i="1"/>
  <c r="T3213" i="1"/>
  <c r="T3212" i="1"/>
  <c r="T3211" i="1"/>
  <c r="T3210" i="1"/>
  <c r="T3209" i="1"/>
  <c r="T3208" i="1"/>
  <c r="T3207" i="1"/>
  <c r="T3206" i="1"/>
  <c r="T3205" i="1"/>
  <c r="T3204" i="1"/>
  <c r="T3203" i="1"/>
  <c r="T3202" i="1"/>
  <c r="T3201" i="1"/>
  <c r="T3200" i="1"/>
  <c r="T3199" i="1"/>
  <c r="T3198" i="1"/>
  <c r="T3197" i="1"/>
  <c r="T3196" i="1"/>
  <c r="T3195" i="1"/>
  <c r="T3194" i="1"/>
  <c r="T3193" i="1"/>
  <c r="T3192" i="1"/>
  <c r="T3191" i="1"/>
  <c r="T3190" i="1"/>
  <c r="T3189" i="1"/>
  <c r="T3188" i="1"/>
  <c r="T3187" i="1"/>
  <c r="T3186" i="1"/>
  <c r="T3185" i="1"/>
  <c r="T3184" i="1"/>
  <c r="T3183" i="1"/>
  <c r="T3182" i="1"/>
  <c r="T3181" i="1"/>
  <c r="T3180" i="1"/>
  <c r="T3179" i="1"/>
  <c r="T3178" i="1"/>
  <c r="T3177" i="1"/>
  <c r="T3176" i="1"/>
  <c r="T3175" i="1"/>
  <c r="T3174" i="1"/>
  <c r="T3173" i="1"/>
  <c r="T3172" i="1"/>
  <c r="T3171" i="1"/>
  <c r="T3170" i="1"/>
  <c r="T3169" i="1"/>
  <c r="T3168" i="1"/>
  <c r="T3167" i="1"/>
  <c r="T3166" i="1"/>
  <c r="T3165" i="1"/>
  <c r="T3164" i="1"/>
  <c r="T3163" i="1"/>
  <c r="T3162" i="1"/>
  <c r="T3161" i="1"/>
  <c r="T3160" i="1"/>
  <c r="T3159" i="1"/>
  <c r="T3158" i="1"/>
  <c r="T3157" i="1"/>
  <c r="T3156" i="1"/>
  <c r="T3155" i="1"/>
  <c r="T3154" i="1"/>
  <c r="T3153" i="1"/>
  <c r="T3152" i="1"/>
  <c r="T3151" i="1"/>
  <c r="T3150" i="1"/>
  <c r="T3149" i="1"/>
  <c r="T3148" i="1"/>
  <c r="T3147" i="1"/>
  <c r="T3146" i="1"/>
  <c r="T3145" i="1"/>
  <c r="T3144" i="1"/>
  <c r="T3143" i="1"/>
  <c r="T3142" i="1"/>
  <c r="T3141" i="1"/>
  <c r="T3140" i="1"/>
  <c r="T3139" i="1"/>
  <c r="T3138" i="1"/>
  <c r="T3137" i="1"/>
  <c r="T3136" i="1"/>
  <c r="T3135" i="1"/>
  <c r="T3134" i="1"/>
  <c r="T3133" i="1"/>
  <c r="T3132" i="1"/>
  <c r="T3131" i="1"/>
  <c r="T3130" i="1"/>
  <c r="T3129" i="1"/>
  <c r="T3128" i="1"/>
  <c r="T3127" i="1"/>
  <c r="T3126" i="1"/>
  <c r="T3125" i="1"/>
  <c r="T3124" i="1"/>
  <c r="T3123" i="1"/>
  <c r="T3122" i="1"/>
  <c r="T3121" i="1"/>
  <c r="T3120" i="1"/>
  <c r="T3119" i="1"/>
  <c r="T3118" i="1"/>
  <c r="T3117" i="1"/>
  <c r="T3116" i="1"/>
  <c r="T3115" i="1"/>
  <c r="T3114" i="1"/>
  <c r="T3113" i="1"/>
  <c r="T3112" i="1"/>
  <c r="T3111" i="1"/>
  <c r="T3110" i="1"/>
  <c r="T3109" i="1"/>
  <c r="T3108" i="1"/>
  <c r="T3107" i="1"/>
  <c r="T3106" i="1"/>
  <c r="T3105" i="1"/>
  <c r="T3104" i="1"/>
  <c r="T3103" i="1"/>
  <c r="T3102" i="1"/>
  <c r="T3101" i="1"/>
  <c r="T3100" i="1"/>
  <c r="T3099" i="1"/>
  <c r="T3098" i="1"/>
  <c r="T3097" i="1"/>
  <c r="T3096" i="1"/>
  <c r="T3095" i="1"/>
  <c r="T3094" i="1"/>
  <c r="T3093" i="1"/>
  <c r="T3092" i="1"/>
  <c r="T3091" i="1"/>
  <c r="T3090" i="1"/>
  <c r="T3089" i="1"/>
  <c r="T3088" i="1"/>
  <c r="T3087" i="1"/>
  <c r="T3086" i="1"/>
  <c r="T3085" i="1"/>
  <c r="T3084" i="1"/>
  <c r="T3083" i="1"/>
  <c r="T3082" i="1"/>
  <c r="T3081" i="1"/>
  <c r="T3080" i="1"/>
  <c r="T3079" i="1"/>
  <c r="T3078" i="1"/>
  <c r="T3077" i="1"/>
  <c r="T3076" i="1"/>
  <c r="T3075" i="1"/>
  <c r="T3074" i="1"/>
  <c r="T3073" i="1"/>
  <c r="T3072" i="1"/>
  <c r="T3071" i="1"/>
  <c r="T3070" i="1"/>
  <c r="T3069" i="1"/>
  <c r="T3068" i="1"/>
  <c r="T3067" i="1"/>
  <c r="T3066" i="1"/>
  <c r="T3065" i="1"/>
  <c r="T3064" i="1"/>
  <c r="T3063" i="1"/>
  <c r="T3062" i="1"/>
  <c r="T3061" i="1"/>
  <c r="T3060" i="1"/>
  <c r="T3059" i="1"/>
  <c r="T3058" i="1"/>
  <c r="T3057" i="1"/>
  <c r="T3056" i="1"/>
  <c r="T3055" i="1"/>
  <c r="T3054" i="1"/>
  <c r="T3053" i="1"/>
  <c r="T3052" i="1"/>
  <c r="T3051" i="1"/>
  <c r="T3050" i="1"/>
  <c r="T3049" i="1"/>
  <c r="T3048" i="1"/>
  <c r="T3047" i="1"/>
  <c r="T3046" i="1"/>
  <c r="T3045" i="1"/>
  <c r="T3044" i="1"/>
  <c r="T3043" i="1"/>
  <c r="T3042" i="1"/>
  <c r="T3041" i="1"/>
  <c r="T3040" i="1"/>
  <c r="T3039" i="1"/>
  <c r="T3038" i="1"/>
  <c r="T3037" i="1"/>
  <c r="T3036" i="1"/>
  <c r="T3035" i="1"/>
  <c r="T3034" i="1"/>
  <c r="T3033" i="1"/>
  <c r="T3032" i="1"/>
  <c r="T3031" i="1"/>
  <c r="T3030" i="1"/>
  <c r="T3029" i="1"/>
  <c r="T3028" i="1"/>
  <c r="T3027" i="1"/>
  <c r="T3026" i="1"/>
  <c r="T3025" i="1"/>
  <c r="T3024" i="1"/>
  <c r="T3023" i="1"/>
  <c r="T3022" i="1"/>
  <c r="T3021" i="1"/>
  <c r="T3020" i="1"/>
  <c r="T3019" i="1"/>
  <c r="T3018" i="1"/>
  <c r="T3017" i="1"/>
  <c r="T3016" i="1"/>
  <c r="T3015" i="1"/>
  <c r="T3014" i="1"/>
  <c r="T3013" i="1"/>
  <c r="T3012" i="1"/>
  <c r="T3011" i="1"/>
  <c r="T3010" i="1"/>
  <c r="T3009" i="1"/>
  <c r="T3008" i="1"/>
  <c r="T3007" i="1"/>
  <c r="T3006" i="1"/>
  <c r="T3005" i="1"/>
  <c r="T3004" i="1"/>
  <c r="T3003" i="1"/>
  <c r="T3002" i="1"/>
  <c r="T3001" i="1"/>
  <c r="T3000" i="1"/>
  <c r="T2999" i="1"/>
  <c r="T2998" i="1"/>
  <c r="T2997" i="1"/>
  <c r="T2996" i="1"/>
  <c r="T2995" i="1"/>
  <c r="T2994" i="1"/>
  <c r="T2993" i="1"/>
  <c r="T2992" i="1"/>
  <c r="T2991" i="1"/>
  <c r="T2990" i="1"/>
  <c r="T2989" i="1"/>
  <c r="T2988" i="1"/>
  <c r="T2987" i="1"/>
  <c r="T2986" i="1"/>
  <c r="T2985" i="1"/>
  <c r="T2984" i="1"/>
  <c r="T2983" i="1"/>
  <c r="T2982" i="1"/>
  <c r="T2981" i="1"/>
  <c r="T2980" i="1"/>
  <c r="T2979" i="1"/>
  <c r="T2978" i="1"/>
  <c r="T2977" i="1"/>
  <c r="T2976" i="1"/>
  <c r="T2975" i="1"/>
  <c r="T2974" i="1"/>
  <c r="T2973" i="1"/>
  <c r="T2972" i="1"/>
  <c r="T2971" i="1"/>
  <c r="T2970" i="1"/>
  <c r="T2969" i="1"/>
  <c r="T2968" i="1"/>
  <c r="T2967" i="1"/>
  <c r="T2966" i="1"/>
  <c r="T2965" i="1"/>
  <c r="T2964" i="1"/>
  <c r="T2963" i="1"/>
  <c r="T2962" i="1"/>
  <c r="T2961" i="1"/>
  <c r="T2960" i="1"/>
  <c r="T2959" i="1"/>
  <c r="T2958" i="1"/>
  <c r="T2957" i="1"/>
  <c r="T2956" i="1"/>
  <c r="T2955" i="1"/>
  <c r="T2954" i="1"/>
  <c r="T2953" i="1"/>
  <c r="T2952" i="1"/>
  <c r="T2951" i="1"/>
  <c r="T2950" i="1"/>
  <c r="T2949" i="1"/>
  <c r="T2948" i="1"/>
  <c r="T2947" i="1"/>
  <c r="T2946" i="1"/>
  <c r="T2945" i="1"/>
  <c r="T2944" i="1"/>
  <c r="T2943" i="1"/>
  <c r="T2942" i="1"/>
  <c r="T2941" i="1"/>
  <c r="T2940" i="1"/>
  <c r="T2939" i="1"/>
  <c r="T2938" i="1"/>
  <c r="T2937" i="1"/>
  <c r="T2936" i="1"/>
  <c r="T2935" i="1"/>
  <c r="T2934" i="1"/>
  <c r="T2933" i="1"/>
  <c r="T2932" i="1"/>
  <c r="T2931" i="1"/>
  <c r="T2930" i="1"/>
  <c r="T2929" i="1"/>
  <c r="T2928" i="1"/>
  <c r="T2927" i="1"/>
  <c r="T2926" i="1"/>
  <c r="T2925" i="1"/>
  <c r="T2924" i="1"/>
  <c r="T2923" i="1"/>
  <c r="T2922" i="1"/>
  <c r="T2921" i="1"/>
  <c r="T2920" i="1"/>
  <c r="T2919" i="1"/>
  <c r="T2918" i="1"/>
  <c r="T2917" i="1"/>
  <c r="T2916" i="1"/>
  <c r="T2915" i="1"/>
  <c r="T2914" i="1"/>
  <c r="T2913" i="1"/>
  <c r="T2912" i="1"/>
  <c r="T2911" i="1"/>
  <c r="T2910" i="1"/>
  <c r="T2909" i="1"/>
  <c r="T2908" i="1"/>
  <c r="T2907" i="1"/>
  <c r="T2906" i="1"/>
  <c r="T2905" i="1"/>
  <c r="T2904" i="1"/>
  <c r="T2903" i="1"/>
  <c r="T2902" i="1"/>
  <c r="T2901" i="1"/>
  <c r="T2900" i="1"/>
  <c r="T2899" i="1"/>
  <c r="T2898" i="1"/>
  <c r="T2897" i="1"/>
  <c r="T2896" i="1"/>
  <c r="T2895" i="1"/>
  <c r="T2894" i="1"/>
  <c r="T2893" i="1"/>
  <c r="T2892" i="1"/>
  <c r="T2891" i="1"/>
  <c r="T2890" i="1"/>
  <c r="T2889" i="1"/>
  <c r="T2888" i="1"/>
  <c r="T2887" i="1"/>
  <c r="T2886" i="1"/>
  <c r="T2885" i="1"/>
  <c r="T2884" i="1"/>
  <c r="T2883" i="1"/>
  <c r="T2882" i="1"/>
  <c r="T2881" i="1"/>
  <c r="T2880" i="1"/>
  <c r="T2879" i="1"/>
  <c r="T2878" i="1"/>
  <c r="T2877" i="1"/>
  <c r="T2876" i="1"/>
  <c r="T2875" i="1"/>
  <c r="T2874" i="1"/>
  <c r="T2873" i="1"/>
  <c r="T2872" i="1"/>
  <c r="T2871" i="1"/>
  <c r="T2870" i="1"/>
  <c r="T2869" i="1"/>
  <c r="T2868" i="1"/>
  <c r="T2867" i="1"/>
  <c r="T2866" i="1"/>
  <c r="T2865" i="1"/>
  <c r="T2864" i="1"/>
  <c r="T2863" i="1"/>
  <c r="T2862" i="1"/>
  <c r="T2861" i="1"/>
  <c r="T2860" i="1"/>
  <c r="T2859" i="1"/>
  <c r="T2858" i="1"/>
  <c r="T2857" i="1"/>
  <c r="T2856" i="1"/>
  <c r="T2855" i="1"/>
  <c r="T2854" i="1"/>
  <c r="T2853" i="1"/>
  <c r="T2852" i="1"/>
  <c r="T2851" i="1"/>
  <c r="T2850" i="1"/>
  <c r="T2849" i="1"/>
  <c r="T2848" i="1"/>
  <c r="T2847" i="1"/>
  <c r="T2846" i="1"/>
  <c r="T2845" i="1"/>
  <c r="T2844" i="1"/>
  <c r="T2843" i="1"/>
  <c r="T2842" i="1"/>
  <c r="T2841" i="1"/>
  <c r="T2840" i="1"/>
  <c r="T2839" i="1"/>
  <c r="T2838" i="1"/>
  <c r="T2837" i="1"/>
  <c r="T2836" i="1"/>
  <c r="T2835" i="1"/>
  <c r="T2834" i="1"/>
  <c r="T2833" i="1"/>
  <c r="T2832" i="1"/>
  <c r="T2831" i="1"/>
  <c r="T2830" i="1"/>
  <c r="T2829" i="1"/>
  <c r="T2828" i="1"/>
  <c r="T2827" i="1"/>
  <c r="T2826" i="1"/>
  <c r="T2825" i="1"/>
  <c r="T2824" i="1"/>
  <c r="T2823" i="1"/>
  <c r="T2822" i="1"/>
  <c r="T2821" i="1"/>
  <c r="T2820" i="1"/>
  <c r="T2819" i="1"/>
  <c r="T2818" i="1"/>
  <c r="T2817" i="1"/>
  <c r="T2816" i="1"/>
  <c r="T2815" i="1"/>
  <c r="T2814" i="1"/>
  <c r="T2813" i="1"/>
  <c r="T2812" i="1"/>
  <c r="T2811" i="1"/>
  <c r="T2810" i="1"/>
  <c r="T2809" i="1"/>
  <c r="T2808" i="1"/>
  <c r="T2807" i="1"/>
  <c r="T2806" i="1"/>
  <c r="T2805" i="1"/>
  <c r="T2804" i="1"/>
  <c r="T2803" i="1"/>
  <c r="T2802" i="1"/>
  <c r="T2801" i="1"/>
  <c r="T2800" i="1"/>
  <c r="T2799" i="1"/>
  <c r="T2798" i="1"/>
  <c r="T2797" i="1"/>
  <c r="T2796" i="1"/>
  <c r="T2795" i="1"/>
  <c r="T2794" i="1"/>
  <c r="T2793" i="1"/>
  <c r="T2792" i="1"/>
  <c r="T2791" i="1"/>
  <c r="T2790" i="1"/>
  <c r="T2789" i="1"/>
  <c r="T2788" i="1"/>
  <c r="T2787" i="1"/>
  <c r="T2786" i="1"/>
  <c r="T2785" i="1"/>
  <c r="T2784" i="1"/>
  <c r="T2783" i="1"/>
  <c r="T2782" i="1"/>
  <c r="T2781" i="1"/>
  <c r="T2780" i="1"/>
  <c r="T2779" i="1"/>
  <c r="T2778" i="1"/>
  <c r="T2777" i="1"/>
  <c r="T2776" i="1"/>
  <c r="T2775" i="1"/>
  <c r="T2774" i="1"/>
  <c r="T2773" i="1"/>
  <c r="T2772" i="1"/>
  <c r="T2771" i="1"/>
  <c r="T2770" i="1"/>
  <c r="T2769" i="1"/>
  <c r="T2768" i="1"/>
  <c r="T2767" i="1"/>
  <c r="T2766" i="1"/>
  <c r="T2765" i="1"/>
  <c r="T2764" i="1"/>
  <c r="T2763" i="1"/>
  <c r="T2762" i="1"/>
  <c r="T2761" i="1"/>
  <c r="T2760" i="1"/>
  <c r="T2759" i="1"/>
  <c r="T2758" i="1"/>
  <c r="T2757" i="1"/>
  <c r="T2756" i="1"/>
  <c r="T2755" i="1"/>
  <c r="T2754" i="1"/>
  <c r="T2753" i="1"/>
  <c r="T2752" i="1"/>
  <c r="T2751" i="1"/>
  <c r="T2750" i="1"/>
  <c r="T2749" i="1"/>
  <c r="T2748" i="1"/>
  <c r="T2747" i="1"/>
  <c r="T2746" i="1"/>
  <c r="T2745" i="1"/>
  <c r="T2744" i="1"/>
  <c r="T2743" i="1"/>
  <c r="T2742" i="1"/>
  <c r="T2741" i="1"/>
  <c r="T2740" i="1"/>
  <c r="T2739" i="1"/>
  <c r="T2738" i="1"/>
  <c r="T2737" i="1"/>
  <c r="T2736" i="1"/>
  <c r="T2735" i="1"/>
  <c r="T2734" i="1"/>
  <c r="T2733" i="1"/>
  <c r="T2732" i="1"/>
  <c r="T2731" i="1"/>
  <c r="T2730" i="1"/>
  <c r="T2729" i="1"/>
  <c r="T2728" i="1"/>
  <c r="T2727" i="1"/>
  <c r="T2726" i="1"/>
  <c r="T2725" i="1"/>
  <c r="T2724" i="1"/>
  <c r="T2723" i="1"/>
  <c r="T2722" i="1"/>
  <c r="T2721" i="1"/>
  <c r="T2720" i="1"/>
  <c r="T2719" i="1"/>
  <c r="T2718" i="1"/>
  <c r="T2717" i="1"/>
  <c r="T2716" i="1"/>
  <c r="T2715" i="1"/>
  <c r="T2714" i="1"/>
  <c r="T2713" i="1"/>
  <c r="T2712" i="1"/>
  <c r="T2711" i="1"/>
  <c r="T2710" i="1"/>
  <c r="T2709" i="1"/>
  <c r="T2708" i="1"/>
  <c r="T2707" i="1"/>
  <c r="T2706" i="1"/>
  <c r="T2705" i="1"/>
  <c r="T2704" i="1"/>
  <c r="T2703" i="1"/>
  <c r="T2702" i="1"/>
  <c r="T2701" i="1"/>
  <c r="T2700" i="1"/>
  <c r="T2699" i="1"/>
  <c r="T2698" i="1"/>
  <c r="T2697" i="1"/>
  <c r="T2696" i="1"/>
  <c r="T2695" i="1"/>
  <c r="T2694" i="1"/>
  <c r="T2693" i="1"/>
  <c r="T2692" i="1"/>
  <c r="T2691" i="1"/>
  <c r="T2690" i="1"/>
  <c r="T2689" i="1"/>
  <c r="T2688" i="1"/>
  <c r="T2687" i="1"/>
  <c r="T2686" i="1"/>
  <c r="T2685" i="1"/>
  <c r="T2684" i="1"/>
  <c r="T2683" i="1"/>
  <c r="T2682" i="1"/>
  <c r="T2681" i="1"/>
  <c r="T2680" i="1"/>
  <c r="T2679" i="1"/>
  <c r="T2678" i="1"/>
  <c r="T2677" i="1"/>
  <c r="T2676" i="1"/>
  <c r="T2675" i="1"/>
  <c r="T2674" i="1"/>
  <c r="T2673" i="1"/>
  <c r="T2672" i="1"/>
  <c r="T2671" i="1"/>
  <c r="T2670" i="1"/>
  <c r="T2669" i="1"/>
  <c r="T2668" i="1"/>
  <c r="T2667" i="1"/>
  <c r="T2666" i="1"/>
  <c r="T2665" i="1"/>
  <c r="T2664" i="1"/>
  <c r="T2663" i="1"/>
  <c r="T2662" i="1"/>
  <c r="T2661" i="1"/>
  <c r="T2660" i="1"/>
  <c r="T2659" i="1"/>
  <c r="T2658" i="1"/>
  <c r="T2657" i="1"/>
  <c r="T2656" i="1"/>
  <c r="T2655" i="1"/>
  <c r="T2654" i="1"/>
  <c r="T2653" i="1"/>
  <c r="T2652" i="1"/>
  <c r="T2651" i="1"/>
  <c r="T2650" i="1"/>
  <c r="T2649" i="1"/>
  <c r="T2648" i="1"/>
  <c r="T2647" i="1"/>
  <c r="T2646" i="1"/>
  <c r="T2645" i="1"/>
  <c r="T2644" i="1"/>
  <c r="T2643" i="1"/>
  <c r="T2642" i="1"/>
  <c r="T2641" i="1"/>
  <c r="T2640" i="1"/>
  <c r="T2639" i="1"/>
  <c r="T2638" i="1"/>
  <c r="T2637" i="1"/>
  <c r="T2636" i="1"/>
  <c r="T2635" i="1"/>
  <c r="T2634" i="1"/>
  <c r="T2633" i="1"/>
  <c r="T2632" i="1"/>
  <c r="T2631" i="1"/>
  <c r="T2630" i="1"/>
  <c r="T2629" i="1"/>
  <c r="T2628" i="1"/>
  <c r="T2627" i="1"/>
  <c r="T2626" i="1"/>
  <c r="T2625" i="1"/>
  <c r="T2624" i="1"/>
  <c r="T2623" i="1"/>
  <c r="T2622" i="1"/>
  <c r="T2621" i="1"/>
  <c r="T2620" i="1"/>
  <c r="T2619" i="1"/>
  <c r="T2618" i="1"/>
  <c r="T2617" i="1"/>
  <c r="T2616" i="1"/>
  <c r="T2615" i="1"/>
  <c r="T2614" i="1"/>
  <c r="T2613" i="1"/>
  <c r="T2612" i="1"/>
  <c r="T2611" i="1"/>
  <c r="T2610" i="1"/>
  <c r="T2609" i="1"/>
  <c r="T2608" i="1"/>
  <c r="T2607" i="1"/>
  <c r="T2606" i="1"/>
  <c r="T2605" i="1"/>
  <c r="T2604" i="1"/>
  <c r="T2603" i="1"/>
  <c r="T2602" i="1"/>
  <c r="T2601" i="1"/>
  <c r="T2600" i="1"/>
  <c r="T2599" i="1"/>
  <c r="T2598" i="1"/>
  <c r="T2597" i="1"/>
  <c r="T2596" i="1"/>
  <c r="T2595" i="1"/>
  <c r="T2594" i="1"/>
  <c r="T2593" i="1"/>
  <c r="T2592" i="1"/>
  <c r="T2591" i="1"/>
  <c r="T2590" i="1"/>
  <c r="T2589" i="1"/>
  <c r="T2588" i="1"/>
  <c r="T2587" i="1"/>
  <c r="T2586" i="1"/>
  <c r="T2585" i="1"/>
  <c r="T2584" i="1"/>
  <c r="T2583" i="1"/>
  <c r="T2582" i="1"/>
  <c r="T2581" i="1"/>
  <c r="T2580" i="1"/>
  <c r="T2579" i="1"/>
  <c r="T2578" i="1"/>
  <c r="T2577" i="1"/>
  <c r="T2576" i="1"/>
  <c r="T2575" i="1"/>
  <c r="T2574" i="1"/>
  <c r="T2573" i="1"/>
  <c r="T2572" i="1"/>
  <c r="T2571" i="1"/>
  <c r="T2570" i="1"/>
  <c r="T2569" i="1"/>
  <c r="T2568" i="1"/>
  <c r="T2567" i="1"/>
  <c r="T2566" i="1"/>
  <c r="T2565" i="1"/>
  <c r="T2564" i="1"/>
  <c r="T2563" i="1"/>
  <c r="T2562" i="1"/>
  <c r="T2561" i="1"/>
  <c r="T2560" i="1"/>
  <c r="T2559" i="1"/>
  <c r="T2558" i="1"/>
  <c r="T2557" i="1"/>
  <c r="T2556" i="1"/>
  <c r="T2555" i="1"/>
  <c r="T2554" i="1"/>
  <c r="T2553" i="1"/>
  <c r="T2552" i="1"/>
  <c r="T2551" i="1"/>
  <c r="T2550" i="1"/>
  <c r="T2549" i="1"/>
  <c r="T2548" i="1"/>
  <c r="T2547" i="1"/>
  <c r="T2546" i="1"/>
  <c r="T2545" i="1"/>
  <c r="T2544" i="1"/>
  <c r="T2543" i="1"/>
  <c r="T2542" i="1"/>
  <c r="T2541" i="1"/>
  <c r="T2540" i="1"/>
  <c r="T2539" i="1"/>
  <c r="T2538" i="1"/>
  <c r="T2537" i="1"/>
  <c r="T2536" i="1"/>
  <c r="T2535" i="1"/>
  <c r="T2534" i="1"/>
  <c r="T2533" i="1"/>
  <c r="T2532" i="1"/>
  <c r="T2531" i="1"/>
  <c r="T2530" i="1"/>
  <c r="T2529" i="1"/>
  <c r="T2528" i="1"/>
  <c r="T2527" i="1"/>
  <c r="T2526" i="1"/>
  <c r="T2525" i="1"/>
  <c r="T2524" i="1"/>
  <c r="T2523" i="1"/>
  <c r="T2522" i="1"/>
  <c r="T2521" i="1"/>
  <c r="T2520" i="1"/>
  <c r="T2519" i="1"/>
  <c r="T2518" i="1"/>
  <c r="T2517" i="1"/>
  <c r="T2516" i="1"/>
  <c r="T2515" i="1"/>
  <c r="T2514" i="1"/>
  <c r="T2513" i="1"/>
  <c r="T2512" i="1"/>
  <c r="T2511" i="1"/>
  <c r="T2510" i="1"/>
  <c r="T2509" i="1"/>
  <c r="T2508" i="1"/>
  <c r="T2507" i="1"/>
  <c r="T2506" i="1"/>
  <c r="T2505" i="1"/>
  <c r="T2504" i="1"/>
  <c r="T2503" i="1"/>
  <c r="T2502" i="1"/>
  <c r="T2501" i="1"/>
  <c r="T2500" i="1"/>
  <c r="T2499" i="1"/>
  <c r="T2498" i="1"/>
  <c r="T2497" i="1"/>
  <c r="T2496" i="1"/>
  <c r="T2495" i="1"/>
  <c r="T2494" i="1"/>
  <c r="T2493" i="1"/>
  <c r="T2492" i="1"/>
  <c r="T2491" i="1"/>
  <c r="T2490" i="1"/>
  <c r="T2489" i="1"/>
  <c r="T2488" i="1"/>
  <c r="T2487" i="1"/>
  <c r="T2486" i="1"/>
  <c r="T2485" i="1"/>
  <c r="T2484" i="1"/>
  <c r="T2483" i="1"/>
  <c r="T2482" i="1"/>
  <c r="T2481" i="1"/>
  <c r="T2480" i="1"/>
  <c r="T2479" i="1"/>
  <c r="T2478" i="1"/>
  <c r="T2477" i="1"/>
  <c r="T2476" i="1"/>
  <c r="T2475" i="1"/>
  <c r="T2474" i="1"/>
  <c r="T2473" i="1"/>
  <c r="T2472" i="1"/>
  <c r="T2471" i="1"/>
  <c r="T2470" i="1"/>
  <c r="T2469" i="1"/>
  <c r="T2468" i="1"/>
  <c r="T2467" i="1"/>
  <c r="T2466" i="1"/>
  <c r="T2465" i="1"/>
  <c r="T2464" i="1"/>
  <c r="T2463" i="1"/>
  <c r="T2462" i="1"/>
  <c r="T2461" i="1"/>
  <c r="T2460" i="1"/>
  <c r="T2459" i="1"/>
  <c r="T2458" i="1"/>
  <c r="T2457" i="1"/>
  <c r="T2456" i="1"/>
  <c r="T2455" i="1"/>
  <c r="T2454" i="1"/>
  <c r="T2453" i="1"/>
  <c r="T2452" i="1"/>
  <c r="T2451" i="1"/>
  <c r="T2450" i="1"/>
  <c r="T2449" i="1"/>
  <c r="T2448" i="1"/>
  <c r="T2447" i="1"/>
  <c r="T2446" i="1"/>
  <c r="T2445" i="1"/>
  <c r="T2444" i="1"/>
  <c r="T2443" i="1"/>
  <c r="T2442" i="1"/>
  <c r="T2441" i="1"/>
  <c r="T2440" i="1"/>
  <c r="T2439" i="1"/>
  <c r="T2438" i="1"/>
  <c r="T2437" i="1"/>
  <c r="T2436" i="1"/>
  <c r="T2435" i="1"/>
  <c r="T2434" i="1"/>
  <c r="T2433" i="1"/>
  <c r="T2432" i="1"/>
  <c r="T2431" i="1"/>
  <c r="T2430" i="1"/>
  <c r="T2429" i="1"/>
  <c r="T2428" i="1"/>
  <c r="T2427" i="1"/>
  <c r="T2426" i="1"/>
  <c r="T2425" i="1"/>
  <c r="T2424" i="1"/>
  <c r="T2423" i="1"/>
  <c r="T2422" i="1"/>
  <c r="T2421" i="1"/>
  <c r="T2420" i="1"/>
  <c r="T2419" i="1"/>
  <c r="T2418" i="1"/>
  <c r="T2417" i="1"/>
  <c r="T2416" i="1"/>
  <c r="T2415" i="1"/>
  <c r="T2414" i="1"/>
  <c r="T2413" i="1"/>
  <c r="T2412" i="1"/>
  <c r="T2411" i="1"/>
  <c r="T2410" i="1"/>
  <c r="T2409" i="1"/>
  <c r="T2408" i="1"/>
  <c r="T2407" i="1"/>
  <c r="T2406" i="1"/>
  <c r="T2405" i="1"/>
  <c r="T2404" i="1"/>
  <c r="T2403" i="1"/>
  <c r="T2402" i="1"/>
  <c r="T2401" i="1"/>
  <c r="T2400" i="1"/>
  <c r="T2399" i="1"/>
  <c r="T2398" i="1"/>
  <c r="T2397" i="1"/>
  <c r="T2396" i="1"/>
  <c r="T2395" i="1"/>
  <c r="T2394" i="1"/>
  <c r="T2393" i="1"/>
  <c r="T2392" i="1"/>
  <c r="T2391" i="1"/>
  <c r="T2390" i="1"/>
  <c r="T2389" i="1"/>
  <c r="T2388" i="1"/>
  <c r="T2387" i="1"/>
  <c r="T2386" i="1"/>
  <c r="T2385" i="1"/>
  <c r="T2384" i="1"/>
  <c r="T2383" i="1"/>
  <c r="T2382" i="1"/>
  <c r="T2381" i="1"/>
  <c r="T2380" i="1"/>
  <c r="T2379" i="1"/>
  <c r="T2378" i="1"/>
  <c r="T2377" i="1"/>
  <c r="T2376" i="1"/>
  <c r="T2375" i="1"/>
  <c r="T2374" i="1"/>
  <c r="T2373" i="1"/>
  <c r="T2372" i="1"/>
  <c r="T2371" i="1"/>
  <c r="T2370" i="1"/>
  <c r="T2369" i="1"/>
  <c r="T2368" i="1"/>
  <c r="T2367" i="1"/>
  <c r="T2366" i="1"/>
  <c r="T2365" i="1"/>
  <c r="T2364" i="1"/>
  <c r="T2363" i="1"/>
  <c r="T2362" i="1"/>
  <c r="T2361" i="1"/>
  <c r="T2360" i="1"/>
  <c r="T2359" i="1"/>
  <c r="T2358" i="1"/>
  <c r="T2357" i="1"/>
  <c r="T2356" i="1"/>
  <c r="T2355" i="1"/>
  <c r="T2354" i="1"/>
  <c r="T2353" i="1"/>
  <c r="T2352" i="1"/>
  <c r="T2351" i="1"/>
  <c r="T2350" i="1"/>
  <c r="T2349" i="1"/>
  <c r="T2348" i="1"/>
  <c r="T2347" i="1"/>
  <c r="T2346" i="1"/>
  <c r="T2345" i="1"/>
  <c r="T2344" i="1"/>
  <c r="T2343" i="1"/>
  <c r="T2342" i="1"/>
  <c r="T2341" i="1"/>
  <c r="T2340" i="1"/>
  <c r="T2339" i="1"/>
  <c r="T2338" i="1"/>
  <c r="T2337" i="1"/>
  <c r="T2336" i="1"/>
  <c r="T2335" i="1"/>
  <c r="T2334" i="1"/>
  <c r="T2333" i="1"/>
  <c r="T2332" i="1"/>
  <c r="T2331" i="1"/>
  <c r="T2330" i="1"/>
  <c r="T2329" i="1"/>
  <c r="T2328" i="1"/>
  <c r="T2327" i="1"/>
  <c r="T2326" i="1"/>
  <c r="T2325" i="1"/>
  <c r="T2324" i="1"/>
  <c r="T2323" i="1"/>
  <c r="T2322" i="1"/>
  <c r="T2321" i="1"/>
  <c r="T2320" i="1"/>
  <c r="T2319" i="1"/>
  <c r="T2318" i="1"/>
  <c r="T2317" i="1"/>
  <c r="T2316" i="1"/>
  <c r="T2315" i="1"/>
  <c r="T2314" i="1"/>
  <c r="T2313" i="1"/>
  <c r="T2312" i="1"/>
  <c r="T2311" i="1"/>
  <c r="T2310" i="1"/>
  <c r="T2309" i="1"/>
  <c r="T2308" i="1"/>
  <c r="T2307" i="1"/>
  <c r="T2306" i="1"/>
  <c r="T2305" i="1"/>
  <c r="T2304" i="1"/>
  <c r="T2303" i="1"/>
  <c r="T2302" i="1"/>
  <c r="T2301" i="1"/>
  <c r="T2300" i="1"/>
  <c r="T2299" i="1"/>
  <c r="T2298" i="1"/>
  <c r="T2297" i="1"/>
  <c r="T2296" i="1"/>
  <c r="T2295" i="1"/>
  <c r="T2294" i="1"/>
  <c r="T2293" i="1"/>
  <c r="T2292" i="1"/>
  <c r="T2291" i="1"/>
  <c r="T2290" i="1"/>
  <c r="T2289" i="1"/>
  <c r="T2288" i="1"/>
  <c r="T2287" i="1"/>
  <c r="T2286" i="1"/>
  <c r="T2285" i="1"/>
  <c r="T2284" i="1"/>
  <c r="T2283" i="1"/>
  <c r="T2282" i="1"/>
  <c r="T2281" i="1"/>
  <c r="T2280" i="1"/>
  <c r="T2279" i="1"/>
  <c r="T2278" i="1"/>
  <c r="T2277" i="1"/>
  <c r="T2276" i="1"/>
  <c r="T2275" i="1"/>
  <c r="T2274" i="1"/>
  <c r="T2273" i="1"/>
  <c r="T2272" i="1"/>
  <c r="T2271" i="1"/>
  <c r="T2270" i="1"/>
  <c r="T2269" i="1"/>
  <c r="T2268" i="1"/>
  <c r="T2267" i="1"/>
  <c r="T2266" i="1"/>
  <c r="T2265" i="1"/>
  <c r="T2264" i="1"/>
  <c r="T2263" i="1"/>
  <c r="T2262" i="1"/>
  <c r="T2261" i="1"/>
  <c r="T2260" i="1"/>
  <c r="T2259" i="1"/>
  <c r="T2258" i="1"/>
  <c r="T2257" i="1"/>
  <c r="T2256" i="1"/>
  <c r="T2255" i="1"/>
  <c r="T2254" i="1"/>
  <c r="T2253" i="1"/>
  <c r="T2252" i="1"/>
  <c r="T2251" i="1"/>
  <c r="T2250" i="1"/>
  <c r="T2249" i="1"/>
  <c r="T2248" i="1"/>
  <c r="T2247" i="1"/>
  <c r="T2246" i="1"/>
  <c r="T2245" i="1"/>
  <c r="T2244" i="1"/>
  <c r="T2243" i="1"/>
  <c r="T2242" i="1"/>
  <c r="T2241" i="1"/>
  <c r="T2240" i="1"/>
  <c r="T2239" i="1"/>
  <c r="T2238" i="1"/>
  <c r="T2237" i="1"/>
  <c r="T2236" i="1"/>
  <c r="T2235" i="1"/>
  <c r="T2234" i="1"/>
  <c r="T2233" i="1"/>
  <c r="T2232" i="1"/>
  <c r="T2231" i="1"/>
  <c r="T2230" i="1"/>
  <c r="T2229" i="1"/>
  <c r="T2228" i="1"/>
  <c r="T2227" i="1"/>
  <c r="T2226" i="1"/>
  <c r="T2225" i="1"/>
  <c r="T2224" i="1"/>
  <c r="T2223" i="1"/>
  <c r="T2222" i="1"/>
  <c r="T2221" i="1"/>
  <c r="T2220" i="1"/>
  <c r="T2219" i="1"/>
  <c r="T2218" i="1"/>
  <c r="T2217" i="1"/>
  <c r="T2216" i="1"/>
  <c r="T2215" i="1"/>
  <c r="T2214" i="1"/>
  <c r="T2213" i="1"/>
  <c r="T2212" i="1"/>
  <c r="T2211" i="1"/>
  <c r="T2210" i="1"/>
  <c r="T2209" i="1"/>
  <c r="T2208" i="1"/>
  <c r="T2207" i="1"/>
  <c r="T2206" i="1"/>
  <c r="T2205" i="1"/>
  <c r="T2204" i="1"/>
  <c r="T2203" i="1"/>
  <c r="T2202" i="1"/>
  <c r="T2201" i="1"/>
  <c r="T2200" i="1"/>
  <c r="T2199" i="1"/>
  <c r="T2198" i="1"/>
  <c r="T2197" i="1"/>
  <c r="T2196" i="1"/>
  <c r="T2195" i="1"/>
  <c r="T2194" i="1"/>
  <c r="T2193" i="1"/>
  <c r="T2192" i="1"/>
  <c r="T2191" i="1"/>
  <c r="T2190" i="1"/>
  <c r="T2189" i="1"/>
  <c r="T2188" i="1"/>
  <c r="T2187" i="1"/>
  <c r="T2186" i="1"/>
  <c r="T2185" i="1"/>
  <c r="T2184" i="1"/>
  <c r="T2183" i="1"/>
  <c r="T2182" i="1"/>
  <c r="T2181" i="1"/>
  <c r="T2180" i="1"/>
  <c r="T2179" i="1"/>
  <c r="T2178" i="1"/>
  <c r="T2177" i="1"/>
  <c r="T2176" i="1"/>
  <c r="T2175" i="1"/>
  <c r="T2174" i="1"/>
  <c r="T2173" i="1"/>
  <c r="T2172" i="1"/>
  <c r="T2171" i="1"/>
  <c r="T2170" i="1"/>
  <c r="T2169" i="1"/>
  <c r="T2168" i="1"/>
  <c r="T2167" i="1"/>
  <c r="T2166" i="1"/>
  <c r="T2165" i="1"/>
  <c r="T2164" i="1"/>
  <c r="T2163" i="1"/>
  <c r="T2162" i="1"/>
  <c r="T2161" i="1"/>
  <c r="T2160" i="1"/>
  <c r="T2159" i="1"/>
  <c r="T2158" i="1"/>
  <c r="T2157" i="1"/>
  <c r="T2156" i="1"/>
  <c r="T2155" i="1"/>
  <c r="T2154" i="1"/>
  <c r="T2153" i="1"/>
  <c r="T2152" i="1"/>
  <c r="T2151" i="1"/>
  <c r="T2150" i="1"/>
  <c r="T2149" i="1"/>
  <c r="T2148" i="1"/>
  <c r="T2147" i="1"/>
  <c r="T2146" i="1"/>
  <c r="T2145" i="1"/>
  <c r="T2144" i="1"/>
  <c r="T2143" i="1"/>
  <c r="T2142" i="1"/>
  <c r="T2141" i="1"/>
  <c r="T2140" i="1"/>
  <c r="T2139" i="1"/>
  <c r="T2138" i="1"/>
  <c r="T2137" i="1"/>
  <c r="T2136" i="1"/>
  <c r="T2135" i="1"/>
  <c r="T2134" i="1"/>
  <c r="T2133" i="1"/>
  <c r="T2132" i="1"/>
  <c r="T2131" i="1"/>
  <c r="T2130" i="1"/>
  <c r="T2129" i="1"/>
  <c r="T2128" i="1"/>
  <c r="T2127" i="1"/>
  <c r="T2126" i="1"/>
  <c r="T2125" i="1"/>
  <c r="T2124" i="1"/>
  <c r="T2123" i="1"/>
  <c r="T2122" i="1"/>
  <c r="T2121" i="1"/>
  <c r="T2120" i="1"/>
  <c r="T2119" i="1"/>
  <c r="T2118" i="1"/>
  <c r="T2117" i="1"/>
  <c r="T2116" i="1"/>
  <c r="T2115" i="1"/>
  <c r="T2114" i="1"/>
  <c r="T2113" i="1"/>
  <c r="T2112" i="1"/>
  <c r="T2111" i="1"/>
  <c r="T2110" i="1"/>
  <c r="T2109" i="1"/>
  <c r="T2108" i="1"/>
  <c r="T2107" i="1"/>
  <c r="T2106" i="1"/>
  <c r="T2105" i="1"/>
  <c r="T2104" i="1"/>
  <c r="T2103" i="1"/>
  <c r="T2102" i="1"/>
  <c r="T2101" i="1"/>
  <c r="T2100" i="1"/>
  <c r="T2099" i="1"/>
  <c r="T2098" i="1"/>
  <c r="T2097" i="1"/>
  <c r="T2096" i="1"/>
  <c r="T2095" i="1"/>
  <c r="T2094" i="1"/>
  <c r="T2093" i="1"/>
  <c r="T2092" i="1"/>
  <c r="T2091" i="1"/>
  <c r="T2090" i="1"/>
  <c r="T2089" i="1"/>
  <c r="T2088" i="1"/>
  <c r="T2087" i="1"/>
  <c r="T2086" i="1"/>
  <c r="T2085" i="1"/>
  <c r="T2084" i="1"/>
  <c r="T2083" i="1"/>
  <c r="T2082" i="1"/>
  <c r="T2081" i="1"/>
  <c r="T2080" i="1"/>
  <c r="T2079" i="1"/>
  <c r="T2078" i="1"/>
  <c r="T2077" i="1"/>
  <c r="T2076" i="1"/>
  <c r="T2075" i="1"/>
  <c r="T2074" i="1"/>
  <c r="T2073" i="1"/>
  <c r="T2072" i="1"/>
  <c r="T2071" i="1"/>
  <c r="T2070" i="1"/>
  <c r="T2069" i="1"/>
  <c r="T2068" i="1"/>
  <c r="T2067" i="1"/>
  <c r="T2066" i="1"/>
  <c r="T2065" i="1"/>
  <c r="T2064" i="1"/>
  <c r="T2063" i="1"/>
  <c r="T2062" i="1"/>
  <c r="T2061" i="1"/>
  <c r="T2060" i="1"/>
  <c r="T2059" i="1"/>
  <c r="T2058" i="1"/>
  <c r="T2057" i="1"/>
  <c r="T2056" i="1"/>
  <c r="T2055" i="1"/>
  <c r="T2054" i="1"/>
  <c r="T2053" i="1"/>
  <c r="T2052" i="1"/>
  <c r="T2051" i="1"/>
  <c r="T2050" i="1"/>
  <c r="T2049" i="1"/>
  <c r="T2048" i="1"/>
  <c r="T2047" i="1"/>
  <c r="T2046" i="1"/>
  <c r="T2045" i="1"/>
  <c r="T2044" i="1"/>
  <c r="T2043" i="1"/>
  <c r="T2042" i="1"/>
  <c r="T2041" i="1"/>
  <c r="T2040" i="1"/>
  <c r="T2039" i="1"/>
  <c r="T2038" i="1"/>
  <c r="T2037" i="1"/>
  <c r="T2036" i="1"/>
  <c r="T2035" i="1"/>
  <c r="T2034" i="1"/>
  <c r="T2033" i="1"/>
  <c r="T2032" i="1"/>
  <c r="T2031" i="1"/>
  <c r="T2030" i="1"/>
  <c r="T2029" i="1"/>
  <c r="T2028" i="1"/>
  <c r="T2027" i="1"/>
  <c r="T2026" i="1"/>
  <c r="T2025" i="1"/>
  <c r="T2024" i="1"/>
  <c r="T2023" i="1"/>
  <c r="T2022" i="1"/>
  <c r="T2021" i="1"/>
  <c r="T2020" i="1"/>
  <c r="T2019" i="1"/>
  <c r="T2018" i="1"/>
  <c r="T2017" i="1"/>
  <c r="T2016" i="1"/>
  <c r="T2015" i="1"/>
  <c r="T2014" i="1"/>
  <c r="T2013" i="1"/>
  <c r="T2012" i="1"/>
  <c r="T2011" i="1"/>
  <c r="T2010" i="1"/>
  <c r="T2009" i="1"/>
  <c r="T2008" i="1"/>
  <c r="T2007" i="1"/>
  <c r="T2006" i="1"/>
  <c r="T2005" i="1"/>
  <c r="T2004" i="1"/>
  <c r="T2003" i="1"/>
  <c r="T2002" i="1"/>
  <c r="T2001" i="1"/>
  <c r="T2000" i="1"/>
  <c r="T1999" i="1"/>
  <c r="T1998" i="1"/>
  <c r="T1997" i="1"/>
  <c r="T1996" i="1"/>
  <c r="T1995" i="1"/>
  <c r="T1994" i="1"/>
  <c r="T1993" i="1"/>
  <c r="T1992" i="1"/>
  <c r="T1991" i="1"/>
  <c r="T1990" i="1"/>
  <c r="T1989" i="1"/>
  <c r="T1988" i="1"/>
  <c r="T1987" i="1"/>
  <c r="T1986" i="1"/>
  <c r="T1985" i="1"/>
  <c r="T1984" i="1"/>
  <c r="T1983" i="1"/>
  <c r="T1982" i="1"/>
  <c r="T1981" i="1"/>
  <c r="T1980" i="1"/>
  <c r="T1979" i="1"/>
  <c r="T1978" i="1"/>
  <c r="T1977" i="1"/>
  <c r="T1976" i="1"/>
  <c r="T1975" i="1"/>
  <c r="T1974" i="1"/>
  <c r="T1973" i="1"/>
  <c r="T1972" i="1"/>
  <c r="T1971" i="1"/>
  <c r="T1970" i="1"/>
  <c r="T1969" i="1"/>
  <c r="T1968" i="1"/>
  <c r="T1967" i="1"/>
  <c r="T1966" i="1"/>
  <c r="T1965" i="1"/>
  <c r="T1964" i="1"/>
  <c r="T1963" i="1"/>
  <c r="T1962" i="1"/>
  <c r="T1961" i="1"/>
  <c r="T1960" i="1"/>
  <c r="T1959" i="1"/>
  <c r="T1958" i="1"/>
  <c r="T1957" i="1"/>
  <c r="T1956" i="1"/>
  <c r="T1955" i="1"/>
  <c r="T1954" i="1"/>
  <c r="T1953" i="1"/>
  <c r="T1952" i="1"/>
  <c r="T1951" i="1"/>
  <c r="T1950" i="1"/>
  <c r="T1949" i="1"/>
  <c r="T1948" i="1"/>
  <c r="T1947" i="1"/>
  <c r="T1946" i="1"/>
  <c r="T1945" i="1"/>
  <c r="T1944" i="1"/>
  <c r="T1943" i="1"/>
  <c r="T1942" i="1"/>
  <c r="T1941" i="1"/>
  <c r="T1940" i="1"/>
  <c r="T1939" i="1"/>
  <c r="T1938" i="1"/>
  <c r="T1937" i="1"/>
  <c r="T1936" i="1"/>
  <c r="T1935" i="1"/>
  <c r="T1934" i="1"/>
  <c r="T1933" i="1"/>
  <c r="T1932" i="1"/>
  <c r="T1931" i="1"/>
  <c r="T1930" i="1"/>
  <c r="T1929" i="1"/>
  <c r="T1928" i="1"/>
  <c r="T1927" i="1"/>
  <c r="T1926" i="1"/>
  <c r="T1925" i="1"/>
  <c r="T1924" i="1"/>
  <c r="T1923" i="1"/>
  <c r="T1922" i="1"/>
  <c r="T1921" i="1"/>
  <c r="T1920" i="1"/>
  <c r="T1919" i="1"/>
  <c r="T1918" i="1"/>
  <c r="T1917" i="1"/>
  <c r="T1916" i="1"/>
  <c r="T1915" i="1"/>
  <c r="T1914" i="1"/>
  <c r="T1913" i="1"/>
  <c r="T1912" i="1"/>
  <c r="T1911" i="1"/>
  <c r="T1910" i="1"/>
  <c r="T1909" i="1"/>
  <c r="T1908" i="1"/>
  <c r="T1907" i="1"/>
  <c r="T1906" i="1"/>
  <c r="T1905" i="1"/>
  <c r="T1904" i="1"/>
  <c r="T1903" i="1"/>
  <c r="T1902" i="1"/>
  <c r="T1901" i="1"/>
  <c r="T1900" i="1"/>
  <c r="T1899" i="1"/>
  <c r="T1898" i="1"/>
  <c r="T1897" i="1"/>
  <c r="T1896" i="1"/>
  <c r="T1895" i="1"/>
  <c r="T1894" i="1"/>
  <c r="T1893" i="1"/>
  <c r="T1892" i="1"/>
  <c r="T1891" i="1"/>
  <c r="T1890" i="1"/>
  <c r="T1889" i="1"/>
  <c r="T1888" i="1"/>
  <c r="T1887" i="1"/>
  <c r="T1886" i="1"/>
  <c r="T1885" i="1"/>
  <c r="T1884" i="1"/>
  <c r="T1883" i="1"/>
  <c r="T1882" i="1"/>
  <c r="T1881" i="1"/>
  <c r="T1880" i="1"/>
  <c r="T1879" i="1"/>
  <c r="T1878" i="1"/>
  <c r="T1877" i="1"/>
  <c r="T1876" i="1"/>
  <c r="T1875" i="1"/>
  <c r="T1874" i="1"/>
  <c r="T1873" i="1"/>
  <c r="T1872" i="1"/>
  <c r="T1871" i="1"/>
  <c r="T1870" i="1"/>
  <c r="T1869" i="1"/>
  <c r="T1868" i="1"/>
  <c r="T1867" i="1"/>
  <c r="T1866" i="1"/>
  <c r="T1865" i="1"/>
  <c r="T1864" i="1"/>
  <c r="T1863" i="1"/>
  <c r="T1862" i="1"/>
  <c r="T1861" i="1"/>
  <c r="T1860" i="1"/>
  <c r="T1859" i="1"/>
  <c r="T1858" i="1"/>
  <c r="T1857" i="1"/>
  <c r="T1856" i="1"/>
  <c r="T1855" i="1"/>
  <c r="T1854" i="1"/>
  <c r="T1853" i="1"/>
  <c r="T1852" i="1"/>
  <c r="T1851" i="1"/>
  <c r="T1850" i="1"/>
  <c r="T1849" i="1"/>
  <c r="T1848" i="1"/>
  <c r="T1847" i="1"/>
  <c r="T1846" i="1"/>
  <c r="T1845" i="1"/>
  <c r="T1844" i="1"/>
  <c r="T1843" i="1"/>
  <c r="T1842" i="1"/>
  <c r="T1841" i="1"/>
  <c r="T1840" i="1"/>
  <c r="T1839" i="1"/>
  <c r="T1838" i="1"/>
  <c r="T1837" i="1"/>
  <c r="T1836" i="1"/>
  <c r="T1835" i="1"/>
  <c r="T1834" i="1"/>
  <c r="T1833" i="1"/>
  <c r="T1832" i="1"/>
  <c r="T1831" i="1"/>
  <c r="T1830" i="1"/>
  <c r="T1829" i="1"/>
  <c r="T1828" i="1"/>
  <c r="T1827" i="1"/>
  <c r="T1826" i="1"/>
  <c r="T1825" i="1"/>
  <c r="T1824" i="1"/>
  <c r="T1823" i="1"/>
  <c r="T1822" i="1"/>
  <c r="T1821" i="1"/>
  <c r="T1820" i="1"/>
  <c r="T1819" i="1"/>
  <c r="T1818" i="1"/>
  <c r="T1817" i="1"/>
  <c r="T1816" i="1"/>
  <c r="T1815" i="1"/>
  <c r="T1814" i="1"/>
  <c r="T1813" i="1"/>
  <c r="T1812" i="1"/>
  <c r="T1811" i="1"/>
  <c r="T1810" i="1"/>
  <c r="T1809" i="1"/>
  <c r="T1808" i="1"/>
  <c r="T1807" i="1"/>
  <c r="T1806" i="1"/>
  <c r="T1805" i="1"/>
  <c r="T1804" i="1"/>
  <c r="T1803" i="1"/>
  <c r="T1802" i="1"/>
  <c r="T1801" i="1"/>
  <c r="T1800" i="1"/>
  <c r="T1799" i="1"/>
  <c r="T1798" i="1"/>
  <c r="T1797" i="1"/>
  <c r="T1796" i="1"/>
  <c r="T1795" i="1"/>
  <c r="T1794" i="1"/>
  <c r="T1793" i="1"/>
  <c r="T1792" i="1"/>
  <c r="T1791" i="1"/>
  <c r="T1790" i="1"/>
  <c r="T1789" i="1"/>
  <c r="T1788" i="1"/>
  <c r="T1787" i="1"/>
  <c r="T1786" i="1"/>
  <c r="T1785" i="1"/>
  <c r="T1784" i="1"/>
  <c r="T1783" i="1"/>
  <c r="T1782" i="1"/>
  <c r="T1781" i="1"/>
  <c r="T1780" i="1"/>
  <c r="T1779" i="1"/>
  <c r="T1778" i="1"/>
  <c r="T1777" i="1"/>
  <c r="T1776" i="1"/>
  <c r="T1775" i="1"/>
  <c r="T1774" i="1"/>
  <c r="T1773" i="1"/>
  <c r="T1772" i="1"/>
  <c r="T1771" i="1"/>
  <c r="T1770" i="1"/>
  <c r="T1769" i="1"/>
  <c r="T1768" i="1"/>
  <c r="T1767" i="1"/>
  <c r="T1766" i="1"/>
  <c r="T1765" i="1"/>
  <c r="T1764" i="1"/>
  <c r="T1763" i="1"/>
  <c r="T1762" i="1"/>
  <c r="T1761" i="1"/>
  <c r="T1760" i="1"/>
  <c r="T1759" i="1"/>
  <c r="T1758" i="1"/>
  <c r="T1757" i="1"/>
  <c r="T1756" i="1"/>
  <c r="T1755" i="1"/>
  <c r="T1754" i="1"/>
  <c r="T1753" i="1"/>
  <c r="T1752" i="1"/>
  <c r="T1751" i="1"/>
  <c r="T1750" i="1"/>
  <c r="T1749" i="1"/>
  <c r="T1748" i="1"/>
  <c r="T1747" i="1"/>
  <c r="T1746" i="1"/>
  <c r="T1745" i="1"/>
  <c r="T1744" i="1"/>
  <c r="T1743" i="1"/>
  <c r="T1742" i="1"/>
  <c r="T1741" i="1"/>
  <c r="T1740" i="1"/>
  <c r="T1739" i="1"/>
  <c r="T1738" i="1"/>
  <c r="T1737" i="1"/>
  <c r="T1736" i="1"/>
  <c r="T1735" i="1"/>
  <c r="T1734" i="1"/>
  <c r="T1733" i="1"/>
  <c r="T1732" i="1"/>
  <c r="T1731" i="1"/>
  <c r="T1730" i="1"/>
  <c r="T1729" i="1"/>
  <c r="T1728" i="1"/>
  <c r="T1727" i="1"/>
  <c r="T1726" i="1"/>
  <c r="T1725" i="1"/>
  <c r="T1724" i="1"/>
  <c r="T1723" i="1"/>
  <c r="T1722" i="1"/>
  <c r="T1721" i="1"/>
  <c r="T1720" i="1"/>
  <c r="T1719" i="1"/>
  <c r="T1718" i="1"/>
  <c r="T1717" i="1"/>
  <c r="T1716" i="1"/>
  <c r="T1715" i="1"/>
  <c r="T1714" i="1"/>
  <c r="T1713" i="1"/>
  <c r="T1712" i="1"/>
  <c r="T1711" i="1"/>
  <c r="T1710" i="1"/>
  <c r="T1709" i="1"/>
  <c r="T1708" i="1"/>
  <c r="T1707" i="1"/>
  <c r="T1706" i="1"/>
  <c r="T1705" i="1"/>
  <c r="T1704" i="1"/>
  <c r="T1703" i="1"/>
  <c r="T1702" i="1"/>
  <c r="T1701" i="1"/>
  <c r="T1700" i="1"/>
  <c r="T1699" i="1"/>
  <c r="T1698" i="1"/>
  <c r="T1697" i="1"/>
  <c r="T1696" i="1"/>
  <c r="T1695" i="1"/>
  <c r="T1694" i="1"/>
  <c r="T1693" i="1"/>
  <c r="T1692" i="1"/>
  <c r="T1691" i="1"/>
  <c r="T1690" i="1"/>
  <c r="T1689" i="1"/>
  <c r="T1688" i="1"/>
  <c r="T1687" i="1"/>
  <c r="T1686" i="1"/>
  <c r="T1685" i="1"/>
  <c r="T1684" i="1"/>
  <c r="T1683" i="1"/>
  <c r="T1682" i="1"/>
  <c r="T1681" i="1"/>
  <c r="T1680" i="1"/>
  <c r="T1679" i="1"/>
  <c r="T1678" i="1"/>
  <c r="T1677" i="1"/>
  <c r="T1676" i="1"/>
  <c r="T1675" i="1"/>
  <c r="T1674" i="1"/>
  <c r="T1673" i="1"/>
  <c r="T1672" i="1"/>
  <c r="T1671" i="1"/>
  <c r="T1670" i="1"/>
  <c r="T1669" i="1"/>
  <c r="T1668" i="1"/>
  <c r="T1667" i="1"/>
  <c r="T1666" i="1"/>
  <c r="T1665" i="1"/>
  <c r="T1664" i="1"/>
  <c r="T1663" i="1"/>
  <c r="T1662" i="1"/>
  <c r="T1661" i="1"/>
  <c r="T1660" i="1"/>
  <c r="T1659" i="1"/>
  <c r="T1658" i="1"/>
  <c r="T1657" i="1"/>
  <c r="T1656" i="1"/>
  <c r="T1655" i="1"/>
  <c r="T1654" i="1"/>
  <c r="T1653" i="1"/>
  <c r="T1652" i="1"/>
  <c r="T1651" i="1"/>
  <c r="T1650" i="1"/>
  <c r="T1649" i="1"/>
  <c r="T1648" i="1"/>
  <c r="T1647" i="1"/>
  <c r="T1646" i="1"/>
  <c r="T1645" i="1"/>
  <c r="T1644" i="1"/>
  <c r="T1643" i="1"/>
  <c r="T1642" i="1"/>
  <c r="T1641" i="1"/>
  <c r="T1640" i="1"/>
  <c r="T1639" i="1"/>
  <c r="T1638" i="1"/>
  <c r="T1637" i="1"/>
  <c r="T1636" i="1"/>
  <c r="T1635" i="1"/>
  <c r="T1634" i="1"/>
  <c r="T1633" i="1"/>
  <c r="T1632" i="1"/>
  <c r="T1631" i="1"/>
  <c r="T1630" i="1"/>
  <c r="T1629" i="1"/>
  <c r="T1628" i="1"/>
  <c r="T1627" i="1"/>
  <c r="T1626" i="1"/>
  <c r="T1625" i="1"/>
  <c r="T1624" i="1"/>
  <c r="T1623" i="1"/>
  <c r="T1622" i="1"/>
  <c r="T1621" i="1"/>
  <c r="T1620" i="1"/>
  <c r="T1619" i="1"/>
  <c r="T1618" i="1"/>
  <c r="T1617" i="1"/>
  <c r="T1616" i="1"/>
  <c r="T1615" i="1"/>
  <c r="T1614" i="1"/>
  <c r="T1613" i="1"/>
  <c r="T1612" i="1"/>
  <c r="T1611" i="1"/>
  <c r="T1610" i="1"/>
  <c r="T1609" i="1"/>
  <c r="T1608" i="1"/>
  <c r="T1607" i="1"/>
  <c r="T1606" i="1"/>
  <c r="T1605" i="1"/>
  <c r="T1604" i="1"/>
  <c r="T1603" i="1"/>
  <c r="T1602" i="1"/>
  <c r="T1601" i="1"/>
  <c r="T1600" i="1"/>
  <c r="T1599" i="1"/>
  <c r="T1598" i="1"/>
  <c r="T1597" i="1"/>
  <c r="T1596" i="1"/>
  <c r="T1595" i="1"/>
  <c r="T1594" i="1"/>
  <c r="T1593" i="1"/>
  <c r="T1592" i="1"/>
  <c r="T1591" i="1"/>
  <c r="T1590" i="1"/>
  <c r="T1589" i="1"/>
  <c r="T1588" i="1"/>
  <c r="T1587" i="1"/>
  <c r="T1586" i="1"/>
  <c r="T1585" i="1"/>
  <c r="T1584" i="1"/>
  <c r="T1583" i="1"/>
  <c r="T1582" i="1"/>
  <c r="T1581" i="1"/>
  <c r="T1580" i="1"/>
  <c r="T1579" i="1"/>
  <c r="T1578" i="1"/>
  <c r="T1577" i="1"/>
  <c r="T1576" i="1"/>
  <c r="T1575" i="1"/>
  <c r="T1574" i="1"/>
  <c r="T1573" i="1"/>
  <c r="T1572" i="1"/>
  <c r="T1571" i="1"/>
  <c r="T1570" i="1"/>
  <c r="T1569" i="1"/>
  <c r="T1568" i="1"/>
  <c r="T1567" i="1"/>
  <c r="T1566" i="1"/>
  <c r="T1565" i="1"/>
  <c r="T1564" i="1"/>
  <c r="T1563" i="1"/>
  <c r="T1562" i="1"/>
  <c r="T1561" i="1"/>
  <c r="T1560" i="1"/>
  <c r="T1559" i="1"/>
  <c r="T1558" i="1"/>
  <c r="T1557" i="1"/>
  <c r="T1556" i="1"/>
  <c r="T1555" i="1"/>
  <c r="T1554" i="1"/>
  <c r="T1553" i="1"/>
  <c r="T1552" i="1"/>
  <c r="T1551" i="1"/>
  <c r="T1550" i="1"/>
  <c r="T1549" i="1"/>
  <c r="T1548" i="1"/>
  <c r="T1547" i="1"/>
  <c r="T1546" i="1"/>
  <c r="T1545" i="1"/>
  <c r="T1544" i="1"/>
  <c r="T1543" i="1"/>
  <c r="T1542" i="1"/>
  <c r="T1541" i="1"/>
  <c r="T1540" i="1"/>
  <c r="T1539" i="1"/>
  <c r="T1538" i="1"/>
  <c r="T1537" i="1"/>
  <c r="T1536" i="1"/>
  <c r="T1535" i="1"/>
  <c r="T1534" i="1"/>
  <c r="T1533" i="1"/>
  <c r="T1532" i="1"/>
  <c r="T1531" i="1"/>
  <c r="T1530" i="1"/>
  <c r="T1529" i="1"/>
  <c r="T1528" i="1"/>
  <c r="T1527" i="1"/>
  <c r="T1526" i="1"/>
  <c r="T1525" i="1"/>
  <c r="T1524" i="1"/>
  <c r="T1523" i="1"/>
  <c r="T1522" i="1"/>
  <c r="T1521" i="1"/>
  <c r="T1520" i="1"/>
  <c r="T1519" i="1"/>
  <c r="T1518" i="1"/>
  <c r="T1517" i="1"/>
  <c r="T1516" i="1"/>
  <c r="T1515" i="1"/>
  <c r="T1514" i="1"/>
  <c r="T1513" i="1"/>
  <c r="T1512" i="1"/>
  <c r="T1511" i="1"/>
  <c r="T1510" i="1"/>
  <c r="T1509" i="1"/>
  <c r="T1508" i="1"/>
  <c r="T1507" i="1"/>
  <c r="T1506" i="1"/>
  <c r="T1505" i="1"/>
  <c r="T1504" i="1"/>
  <c r="T1503" i="1"/>
  <c r="T1502" i="1"/>
  <c r="T1501" i="1"/>
  <c r="T1500" i="1"/>
  <c r="T1499" i="1"/>
  <c r="T1498" i="1"/>
  <c r="T1497" i="1"/>
  <c r="T1496" i="1"/>
  <c r="T1495" i="1"/>
  <c r="T1494" i="1"/>
  <c r="T1493" i="1"/>
  <c r="T1492" i="1"/>
  <c r="T1491" i="1"/>
  <c r="T1490" i="1"/>
  <c r="T1489" i="1"/>
  <c r="T1488" i="1"/>
  <c r="T1487" i="1"/>
  <c r="T1486" i="1"/>
  <c r="T1485" i="1"/>
  <c r="T1484" i="1"/>
  <c r="T1483" i="1"/>
  <c r="T1482" i="1"/>
  <c r="T1481" i="1"/>
  <c r="T1480" i="1"/>
  <c r="T1479" i="1"/>
  <c r="T1478" i="1"/>
  <c r="T1477" i="1"/>
  <c r="T1476" i="1"/>
  <c r="T1475" i="1"/>
  <c r="T1474" i="1"/>
  <c r="T1473" i="1"/>
  <c r="T1472" i="1"/>
  <c r="T1471" i="1"/>
  <c r="T1470" i="1"/>
  <c r="T1469" i="1"/>
  <c r="T1468" i="1"/>
  <c r="T1467" i="1"/>
  <c r="T1466" i="1"/>
  <c r="T1465" i="1"/>
  <c r="T1464" i="1"/>
  <c r="T1463" i="1"/>
  <c r="T1462" i="1"/>
  <c r="T1461" i="1"/>
  <c r="T1460" i="1"/>
  <c r="T1459" i="1"/>
  <c r="T1458" i="1"/>
  <c r="T1457" i="1"/>
  <c r="T1456" i="1"/>
  <c r="T1455" i="1"/>
  <c r="T1454" i="1"/>
  <c r="T1453" i="1"/>
  <c r="T1452" i="1"/>
  <c r="T1451" i="1"/>
  <c r="T1450" i="1"/>
  <c r="T1449" i="1"/>
  <c r="T1448" i="1"/>
  <c r="T1447" i="1"/>
  <c r="T1446" i="1"/>
  <c r="T1445" i="1"/>
  <c r="T1444" i="1"/>
  <c r="T1443" i="1"/>
  <c r="T1442" i="1"/>
  <c r="T1441" i="1"/>
  <c r="T1440" i="1"/>
  <c r="T1439" i="1"/>
  <c r="T1438" i="1"/>
  <c r="T1437" i="1"/>
  <c r="T1436" i="1"/>
  <c r="T1435" i="1"/>
  <c r="T1434" i="1"/>
  <c r="T1433" i="1"/>
  <c r="T1432" i="1"/>
  <c r="T1431" i="1"/>
  <c r="T1430" i="1"/>
  <c r="T1429" i="1"/>
  <c r="T1428" i="1"/>
  <c r="T1427" i="1"/>
  <c r="T1426" i="1"/>
  <c r="T1425" i="1"/>
  <c r="T1424" i="1"/>
  <c r="T1423" i="1"/>
  <c r="T1422" i="1"/>
  <c r="T1421" i="1"/>
  <c r="T1420" i="1"/>
  <c r="T1419" i="1"/>
  <c r="T1418" i="1"/>
  <c r="T1417" i="1"/>
  <c r="T1416" i="1"/>
  <c r="T1415" i="1"/>
  <c r="T1414" i="1"/>
  <c r="T1413" i="1"/>
  <c r="T1412" i="1"/>
  <c r="T1411" i="1"/>
  <c r="T1410" i="1"/>
  <c r="T1409" i="1"/>
  <c r="T1408" i="1"/>
  <c r="T1407" i="1"/>
  <c r="T1406" i="1"/>
  <c r="T1405" i="1"/>
  <c r="T1404" i="1"/>
  <c r="T1403" i="1"/>
  <c r="T1402" i="1"/>
  <c r="T1401" i="1"/>
  <c r="T1400" i="1"/>
  <c r="T1399" i="1"/>
  <c r="T1398" i="1"/>
  <c r="T1397" i="1"/>
  <c r="T1396" i="1"/>
  <c r="T1395" i="1"/>
  <c r="T1394" i="1"/>
  <c r="T1393" i="1"/>
  <c r="T1392" i="1"/>
  <c r="T1391" i="1"/>
  <c r="T1390" i="1"/>
  <c r="T1389" i="1"/>
  <c r="T1388" i="1"/>
  <c r="T1387" i="1"/>
  <c r="T1386" i="1"/>
  <c r="T1385" i="1"/>
  <c r="T1384" i="1"/>
  <c r="T1383" i="1"/>
  <c r="T1382" i="1"/>
  <c r="T1381" i="1"/>
  <c r="T1380" i="1"/>
  <c r="T1379" i="1"/>
  <c r="T1378" i="1"/>
  <c r="T1377" i="1"/>
  <c r="T1376" i="1"/>
  <c r="T1375" i="1"/>
  <c r="T1374" i="1"/>
  <c r="T1373" i="1"/>
  <c r="T1372" i="1"/>
  <c r="T1371" i="1"/>
  <c r="T1370" i="1"/>
  <c r="T1369" i="1"/>
  <c r="T1368" i="1"/>
  <c r="T1367" i="1"/>
  <c r="T1366" i="1"/>
  <c r="T1365" i="1"/>
  <c r="T1364" i="1"/>
  <c r="T1363" i="1"/>
  <c r="T1362" i="1"/>
  <c r="T1361" i="1"/>
  <c r="T1360" i="1"/>
  <c r="T1359" i="1"/>
  <c r="T1358" i="1"/>
  <c r="T1357" i="1"/>
  <c r="T1356" i="1"/>
  <c r="T1355" i="1"/>
  <c r="T1354" i="1"/>
  <c r="T1353" i="1"/>
  <c r="T1352" i="1"/>
  <c r="T1351" i="1"/>
  <c r="T1350" i="1"/>
  <c r="T1349" i="1"/>
  <c r="T1348" i="1"/>
  <c r="T1347" i="1"/>
  <c r="T1346" i="1"/>
  <c r="T1345" i="1"/>
  <c r="T1344" i="1"/>
  <c r="T1343" i="1"/>
  <c r="T1342" i="1"/>
  <c r="T1341" i="1"/>
  <c r="T1340" i="1"/>
  <c r="T1339" i="1"/>
  <c r="T1338" i="1"/>
  <c r="T1337" i="1"/>
  <c r="T1336" i="1"/>
  <c r="T1335" i="1"/>
  <c r="T1334" i="1"/>
  <c r="T1333" i="1"/>
  <c r="T1332" i="1"/>
  <c r="T1331" i="1"/>
  <c r="T1330" i="1"/>
  <c r="T1329" i="1"/>
  <c r="T1328" i="1"/>
  <c r="T1327" i="1"/>
  <c r="T1326" i="1"/>
  <c r="T1325" i="1"/>
  <c r="T1324" i="1"/>
  <c r="T1323" i="1"/>
  <c r="T1322" i="1"/>
  <c r="T1321" i="1"/>
  <c r="T1320" i="1"/>
  <c r="T1319" i="1"/>
  <c r="T1318" i="1"/>
  <c r="T1317" i="1"/>
  <c r="T1316" i="1"/>
  <c r="T1315" i="1"/>
  <c r="T1314" i="1"/>
  <c r="T1313" i="1"/>
  <c r="T1312" i="1"/>
  <c r="T1311" i="1"/>
  <c r="T1310" i="1"/>
  <c r="T1309" i="1"/>
  <c r="T1308" i="1"/>
  <c r="T1307" i="1"/>
  <c r="T1306" i="1"/>
  <c r="T1305" i="1"/>
  <c r="T1304" i="1"/>
  <c r="T1303" i="1"/>
  <c r="T1302" i="1"/>
  <c r="T1301" i="1"/>
  <c r="T1300" i="1"/>
  <c r="T1299" i="1"/>
  <c r="T1298" i="1"/>
  <c r="T1297" i="1"/>
  <c r="T1296" i="1"/>
  <c r="T1295" i="1"/>
  <c r="T1294" i="1"/>
  <c r="T1293" i="1"/>
  <c r="T1292" i="1"/>
  <c r="T1291" i="1"/>
  <c r="T1290" i="1"/>
  <c r="T1289" i="1"/>
  <c r="T1288" i="1"/>
  <c r="T1287" i="1"/>
  <c r="T1286" i="1"/>
  <c r="T1285" i="1"/>
  <c r="T1284" i="1"/>
  <c r="T1283" i="1"/>
  <c r="T1282" i="1"/>
  <c r="T1281" i="1"/>
  <c r="T1280" i="1"/>
  <c r="T1279" i="1"/>
  <c r="T1278" i="1"/>
  <c r="T1277" i="1"/>
  <c r="T1276" i="1"/>
  <c r="T1275" i="1"/>
  <c r="T1274" i="1"/>
  <c r="T1273" i="1"/>
  <c r="T1272" i="1"/>
  <c r="T1271" i="1"/>
  <c r="T1270" i="1"/>
  <c r="T1269" i="1"/>
  <c r="T1268" i="1"/>
  <c r="T1267" i="1"/>
  <c r="T1266" i="1"/>
  <c r="T1265" i="1"/>
  <c r="T1264" i="1"/>
  <c r="T1263" i="1"/>
  <c r="T1262" i="1"/>
  <c r="T1261" i="1"/>
  <c r="T1260" i="1"/>
  <c r="T1259" i="1"/>
  <c r="T1258" i="1"/>
  <c r="T1257" i="1"/>
  <c r="T1256" i="1"/>
  <c r="T1255" i="1"/>
  <c r="T1254" i="1"/>
  <c r="T1253" i="1"/>
  <c r="T1252" i="1"/>
  <c r="T1251" i="1"/>
  <c r="T1250" i="1"/>
  <c r="T1249" i="1"/>
  <c r="T1248" i="1"/>
  <c r="T1247" i="1"/>
  <c r="T1246" i="1"/>
  <c r="T1245" i="1"/>
  <c r="T1244" i="1"/>
  <c r="T1243" i="1"/>
  <c r="T1242" i="1"/>
  <c r="T1241" i="1"/>
  <c r="T1240" i="1"/>
  <c r="T1239" i="1"/>
  <c r="T1238" i="1"/>
  <c r="T1237" i="1"/>
  <c r="T1236" i="1"/>
  <c r="T1235" i="1"/>
  <c r="T1234" i="1"/>
  <c r="T1233" i="1"/>
  <c r="T1232" i="1"/>
  <c r="T1231" i="1"/>
  <c r="T1230" i="1"/>
  <c r="T1229" i="1"/>
  <c r="T1228" i="1"/>
  <c r="T1227" i="1"/>
  <c r="T1226" i="1"/>
  <c r="T1225" i="1"/>
  <c r="T1224" i="1"/>
  <c r="T1223" i="1"/>
  <c r="T1222" i="1"/>
  <c r="T1221" i="1"/>
  <c r="T1220" i="1"/>
  <c r="T1219" i="1"/>
  <c r="T1218" i="1"/>
  <c r="T1217" i="1"/>
  <c r="T1216" i="1"/>
  <c r="T1215" i="1"/>
  <c r="T1214" i="1"/>
  <c r="T1213" i="1"/>
  <c r="T1212" i="1"/>
  <c r="T1211" i="1"/>
  <c r="T1210" i="1"/>
  <c r="T1209" i="1"/>
  <c r="T1208" i="1"/>
  <c r="T1207" i="1"/>
  <c r="T1206" i="1"/>
  <c r="T1205" i="1"/>
  <c r="T1204" i="1"/>
  <c r="T1203" i="1"/>
  <c r="T1202" i="1"/>
  <c r="T1201" i="1"/>
  <c r="T1200" i="1"/>
  <c r="T1199" i="1"/>
  <c r="T1198" i="1"/>
  <c r="T1197" i="1"/>
  <c r="T1196" i="1"/>
  <c r="T1195" i="1"/>
  <c r="T1194" i="1"/>
  <c r="T1193" i="1"/>
  <c r="T1192" i="1"/>
  <c r="T1191" i="1"/>
  <c r="T1190" i="1"/>
  <c r="T1189" i="1"/>
  <c r="T1188" i="1"/>
  <c r="T1187" i="1"/>
  <c r="T1186" i="1"/>
  <c r="T1185" i="1"/>
  <c r="T1184" i="1"/>
  <c r="T1183" i="1"/>
  <c r="T1182" i="1"/>
  <c r="T1181" i="1"/>
  <c r="T1180" i="1"/>
  <c r="T1179" i="1"/>
  <c r="T1178" i="1"/>
  <c r="T1177" i="1"/>
  <c r="T1176" i="1"/>
  <c r="T1175" i="1"/>
  <c r="T1174" i="1"/>
  <c r="T1173" i="1"/>
  <c r="T1172" i="1"/>
  <c r="T1171" i="1"/>
  <c r="T1170" i="1"/>
  <c r="T1169" i="1"/>
  <c r="T1168" i="1"/>
  <c r="T1167" i="1"/>
  <c r="T1166" i="1"/>
  <c r="T1165" i="1"/>
  <c r="T1164" i="1"/>
  <c r="T1163" i="1"/>
  <c r="T1162" i="1"/>
  <c r="T1161" i="1"/>
  <c r="T1160" i="1"/>
  <c r="T1159" i="1"/>
  <c r="T1158" i="1"/>
  <c r="T1157" i="1"/>
  <c r="T1156" i="1"/>
  <c r="T1155" i="1"/>
  <c r="T1154" i="1"/>
  <c r="T1153" i="1"/>
  <c r="T1152" i="1"/>
  <c r="T1151" i="1"/>
  <c r="T1150" i="1"/>
  <c r="T1149" i="1"/>
  <c r="T1148" i="1"/>
  <c r="T1147" i="1"/>
  <c r="T1146" i="1"/>
  <c r="T1145" i="1"/>
  <c r="T1144" i="1"/>
  <c r="T1143" i="1"/>
  <c r="T1142" i="1"/>
  <c r="T1141" i="1"/>
  <c r="T1140" i="1"/>
  <c r="T1139" i="1"/>
  <c r="T1138" i="1"/>
  <c r="T1137" i="1"/>
  <c r="T1136" i="1"/>
  <c r="T1135" i="1"/>
  <c r="T1134" i="1"/>
  <c r="T1133" i="1"/>
  <c r="T1132" i="1"/>
  <c r="T1131" i="1"/>
  <c r="T1130" i="1"/>
  <c r="T1129" i="1"/>
  <c r="T1128" i="1"/>
  <c r="T1127" i="1"/>
  <c r="T1126" i="1"/>
  <c r="T1125" i="1"/>
  <c r="T1124" i="1"/>
  <c r="T1123" i="1"/>
  <c r="T1122" i="1"/>
  <c r="T1121" i="1"/>
  <c r="T1120" i="1"/>
  <c r="T1119" i="1"/>
  <c r="T1118" i="1"/>
  <c r="T1117" i="1"/>
  <c r="T1116" i="1"/>
  <c r="T1115" i="1"/>
  <c r="T1114" i="1"/>
  <c r="T1113" i="1"/>
  <c r="T1112" i="1"/>
  <c r="T1111" i="1"/>
  <c r="T1110" i="1"/>
  <c r="T1109" i="1"/>
  <c r="T1108" i="1"/>
  <c r="T1107" i="1"/>
  <c r="T1106" i="1"/>
  <c r="T1105" i="1"/>
  <c r="T1104" i="1"/>
  <c r="T1103" i="1"/>
  <c r="T1102" i="1"/>
  <c r="T1101" i="1"/>
  <c r="T1100" i="1"/>
  <c r="T1099" i="1"/>
  <c r="T1098" i="1"/>
  <c r="T1097" i="1"/>
  <c r="T1096" i="1"/>
  <c r="T1095" i="1"/>
  <c r="T1094" i="1"/>
  <c r="T1093" i="1"/>
  <c r="T1092" i="1"/>
  <c r="T1091" i="1"/>
  <c r="T1090" i="1"/>
  <c r="T1089" i="1"/>
  <c r="T1088" i="1"/>
  <c r="T1087" i="1"/>
  <c r="T1086" i="1"/>
  <c r="T1085" i="1"/>
  <c r="T1084" i="1"/>
  <c r="T1083" i="1"/>
  <c r="T1082" i="1"/>
  <c r="T1081" i="1"/>
  <c r="T1080" i="1"/>
  <c r="T1079" i="1"/>
  <c r="T1078" i="1"/>
  <c r="T1077" i="1"/>
  <c r="T1076" i="1"/>
  <c r="T1075" i="1"/>
  <c r="T1074" i="1"/>
  <c r="T1073" i="1"/>
  <c r="T1072" i="1"/>
  <c r="T1071" i="1"/>
  <c r="T1070" i="1"/>
  <c r="T1069" i="1"/>
  <c r="T1068" i="1"/>
  <c r="T1067" i="1"/>
  <c r="T1066" i="1"/>
  <c r="T1065" i="1"/>
  <c r="T1064" i="1"/>
  <c r="T1063" i="1"/>
  <c r="T1062" i="1"/>
  <c r="T1061" i="1"/>
  <c r="T1060" i="1"/>
  <c r="T1059" i="1"/>
  <c r="T1058" i="1"/>
  <c r="T1057" i="1"/>
  <c r="T1056" i="1"/>
  <c r="T1055" i="1"/>
  <c r="T1054" i="1"/>
  <c r="T1053" i="1"/>
  <c r="T1052" i="1"/>
  <c r="T1051" i="1"/>
  <c r="T1050" i="1"/>
  <c r="T1049" i="1"/>
  <c r="T1048" i="1"/>
  <c r="T1047" i="1"/>
  <c r="T1046" i="1"/>
  <c r="T1045" i="1"/>
  <c r="T1044" i="1"/>
  <c r="T1043" i="1"/>
  <c r="T1042" i="1"/>
  <c r="T1041" i="1"/>
  <c r="T1040" i="1"/>
  <c r="T1039" i="1"/>
  <c r="T1038" i="1"/>
  <c r="T1037" i="1"/>
  <c r="T1036" i="1"/>
  <c r="T1035" i="1"/>
  <c r="T1034" i="1"/>
  <c r="T1033" i="1"/>
  <c r="T1032" i="1"/>
  <c r="T1031" i="1"/>
  <c r="T1030" i="1"/>
  <c r="T1029" i="1"/>
  <c r="T1028" i="1"/>
  <c r="T1027" i="1"/>
  <c r="T1026" i="1"/>
  <c r="T1025" i="1"/>
  <c r="T1024" i="1"/>
  <c r="T1023" i="1"/>
  <c r="T1022" i="1"/>
  <c r="T1021" i="1"/>
  <c r="T1020" i="1"/>
  <c r="T1019" i="1"/>
  <c r="T1018" i="1"/>
  <c r="T1017" i="1"/>
  <c r="T1016" i="1"/>
  <c r="T1015" i="1"/>
  <c r="T1014" i="1"/>
  <c r="T1013" i="1"/>
  <c r="T1012" i="1"/>
  <c r="T1011" i="1"/>
  <c r="T1010" i="1"/>
  <c r="T1009" i="1"/>
  <c r="T1008" i="1"/>
  <c r="T1007" i="1"/>
  <c r="T1006" i="1"/>
  <c r="T1005" i="1"/>
  <c r="T1004" i="1"/>
  <c r="T1003" i="1"/>
  <c r="T1002" i="1"/>
  <c r="T1001" i="1"/>
  <c r="T1000" i="1"/>
  <c r="T999" i="1"/>
  <c r="T998" i="1"/>
  <c r="T997" i="1"/>
  <c r="T996" i="1"/>
  <c r="T995" i="1"/>
  <c r="T994" i="1"/>
  <c r="T993" i="1"/>
  <c r="T992" i="1"/>
  <c r="T991" i="1"/>
  <c r="T990" i="1"/>
  <c r="T989" i="1"/>
  <c r="T988" i="1"/>
  <c r="T987" i="1"/>
  <c r="T986" i="1"/>
  <c r="T985" i="1"/>
  <c r="T984" i="1"/>
  <c r="T983" i="1"/>
  <c r="T982" i="1"/>
  <c r="T981" i="1"/>
  <c r="T980" i="1"/>
  <c r="T979" i="1"/>
  <c r="T978" i="1"/>
  <c r="T977" i="1"/>
  <c r="T976" i="1"/>
  <c r="T975" i="1"/>
  <c r="T974" i="1"/>
  <c r="T973" i="1"/>
  <c r="T972" i="1"/>
  <c r="T971" i="1"/>
  <c r="T970" i="1"/>
  <c r="T969" i="1"/>
  <c r="T968" i="1"/>
  <c r="T967" i="1"/>
  <c r="T966" i="1"/>
  <c r="T965" i="1"/>
  <c r="T964" i="1"/>
  <c r="T963" i="1"/>
  <c r="T962" i="1"/>
  <c r="T961" i="1"/>
  <c r="T960" i="1"/>
  <c r="T959" i="1"/>
  <c r="T958" i="1"/>
  <c r="T957" i="1"/>
  <c r="T956" i="1"/>
  <c r="T955" i="1"/>
  <c r="T954" i="1"/>
  <c r="T953" i="1"/>
  <c r="T952" i="1"/>
  <c r="T951" i="1"/>
  <c r="T950" i="1"/>
  <c r="T949" i="1"/>
  <c r="T948" i="1"/>
  <c r="T947" i="1"/>
  <c r="T946" i="1"/>
  <c r="T945" i="1"/>
  <c r="T944" i="1"/>
  <c r="T943" i="1"/>
  <c r="T942" i="1"/>
  <c r="T941" i="1"/>
  <c r="T940" i="1"/>
  <c r="T939" i="1"/>
  <c r="T938" i="1"/>
  <c r="T937" i="1"/>
  <c r="T936" i="1"/>
  <c r="T935" i="1"/>
  <c r="T934" i="1"/>
  <c r="T933" i="1"/>
  <c r="T932" i="1"/>
  <c r="T931" i="1"/>
  <c r="T930" i="1"/>
  <c r="T929" i="1"/>
  <c r="T928" i="1"/>
  <c r="T927" i="1"/>
  <c r="T926" i="1"/>
  <c r="T925" i="1"/>
  <c r="T924" i="1"/>
  <c r="T923" i="1"/>
  <c r="T922" i="1"/>
  <c r="T921" i="1"/>
  <c r="T920" i="1"/>
  <c r="T919" i="1"/>
  <c r="T918" i="1"/>
  <c r="T917" i="1"/>
  <c r="T916" i="1"/>
  <c r="T915" i="1"/>
  <c r="T914" i="1"/>
  <c r="T913" i="1"/>
  <c r="T912" i="1"/>
  <c r="T911" i="1"/>
  <c r="T910" i="1"/>
  <c r="T909" i="1"/>
  <c r="T908" i="1"/>
  <c r="T907" i="1"/>
  <c r="T906" i="1"/>
  <c r="T905" i="1"/>
  <c r="T904" i="1"/>
  <c r="T903" i="1"/>
  <c r="T902" i="1"/>
  <c r="T901" i="1"/>
  <c r="T900" i="1"/>
  <c r="T899" i="1"/>
  <c r="T898" i="1"/>
  <c r="T897" i="1"/>
  <c r="T896" i="1"/>
  <c r="T895" i="1"/>
  <c r="T894" i="1"/>
  <c r="T893" i="1"/>
  <c r="T892" i="1"/>
  <c r="T891" i="1"/>
  <c r="T890" i="1"/>
  <c r="T889" i="1"/>
  <c r="T888" i="1"/>
  <c r="T887" i="1"/>
  <c r="T886" i="1"/>
  <c r="T885" i="1"/>
  <c r="T884" i="1"/>
  <c r="T883" i="1"/>
  <c r="T882" i="1"/>
  <c r="T881" i="1"/>
  <c r="T880" i="1"/>
  <c r="T879" i="1"/>
  <c r="T878" i="1"/>
  <c r="T877" i="1"/>
  <c r="T876" i="1"/>
  <c r="T875" i="1"/>
  <c r="T874" i="1"/>
  <c r="T873" i="1"/>
  <c r="T872" i="1"/>
  <c r="T871" i="1"/>
  <c r="T870" i="1"/>
  <c r="T869" i="1"/>
  <c r="T868" i="1"/>
  <c r="T867" i="1"/>
  <c r="T866" i="1"/>
  <c r="T865" i="1"/>
  <c r="T864" i="1"/>
  <c r="T863" i="1"/>
  <c r="T862" i="1"/>
  <c r="T861" i="1"/>
  <c r="T860" i="1"/>
  <c r="T859" i="1"/>
  <c r="T858" i="1"/>
  <c r="T857" i="1"/>
  <c r="T856" i="1"/>
  <c r="T855" i="1"/>
  <c r="T854" i="1"/>
  <c r="T853" i="1"/>
  <c r="T852" i="1"/>
  <c r="T851" i="1"/>
  <c r="T850" i="1"/>
  <c r="T849" i="1"/>
  <c r="T848" i="1"/>
  <c r="T847" i="1"/>
  <c r="T846" i="1"/>
  <c r="T845" i="1"/>
  <c r="T844" i="1"/>
  <c r="T843" i="1"/>
  <c r="T842" i="1"/>
  <c r="T841" i="1"/>
  <c r="T840" i="1"/>
  <c r="T839" i="1"/>
  <c r="T838" i="1"/>
  <c r="T837" i="1"/>
  <c r="T836" i="1"/>
  <c r="T835" i="1"/>
  <c r="T834" i="1"/>
  <c r="T833" i="1"/>
  <c r="T832" i="1"/>
  <c r="T831" i="1"/>
  <c r="T830" i="1"/>
  <c r="T829" i="1"/>
  <c r="T828" i="1"/>
  <c r="T827" i="1"/>
  <c r="T826" i="1"/>
  <c r="T825" i="1"/>
  <c r="T824" i="1"/>
  <c r="T823" i="1"/>
  <c r="T822" i="1"/>
  <c r="T821" i="1"/>
  <c r="T820" i="1"/>
  <c r="T819" i="1"/>
  <c r="T818" i="1"/>
  <c r="T817" i="1"/>
  <c r="T816" i="1"/>
  <c r="T815" i="1"/>
  <c r="T814" i="1"/>
  <c r="T813" i="1"/>
  <c r="T812" i="1"/>
  <c r="T811" i="1"/>
  <c r="T810" i="1"/>
  <c r="T809" i="1"/>
  <c r="T808" i="1"/>
  <c r="T807" i="1"/>
  <c r="T806" i="1"/>
  <c r="T805" i="1"/>
  <c r="T804" i="1"/>
  <c r="T803" i="1"/>
  <c r="T802" i="1"/>
  <c r="T801" i="1"/>
  <c r="T800" i="1"/>
  <c r="T799" i="1"/>
  <c r="T798" i="1"/>
  <c r="T797" i="1"/>
  <c r="T796" i="1"/>
  <c r="T795" i="1"/>
  <c r="T794" i="1"/>
  <c r="T793" i="1"/>
  <c r="T792" i="1"/>
  <c r="T791" i="1"/>
  <c r="T790" i="1"/>
  <c r="T789" i="1"/>
  <c r="T788" i="1"/>
  <c r="T787" i="1"/>
  <c r="T786" i="1"/>
  <c r="T785" i="1"/>
  <c r="T784" i="1"/>
  <c r="T783" i="1"/>
  <c r="T782" i="1"/>
  <c r="T781" i="1"/>
  <c r="T780" i="1"/>
  <c r="T779" i="1"/>
  <c r="T778" i="1"/>
  <c r="T777" i="1"/>
  <c r="T776" i="1"/>
  <c r="T775" i="1"/>
  <c r="T774" i="1"/>
  <c r="T773" i="1"/>
  <c r="T772" i="1"/>
  <c r="T771" i="1"/>
  <c r="T770" i="1"/>
  <c r="T769" i="1"/>
  <c r="T768" i="1"/>
  <c r="T767" i="1"/>
  <c r="T766" i="1"/>
  <c r="T765" i="1"/>
  <c r="T764" i="1"/>
  <c r="T763" i="1"/>
  <c r="T762" i="1"/>
  <c r="T761" i="1"/>
  <c r="T760" i="1"/>
  <c r="T759" i="1"/>
  <c r="T758" i="1"/>
  <c r="T757" i="1"/>
  <c r="T756" i="1"/>
  <c r="T755" i="1"/>
  <c r="T754" i="1"/>
  <c r="T753" i="1"/>
  <c r="T752" i="1"/>
  <c r="T751" i="1"/>
  <c r="T750" i="1"/>
  <c r="T749" i="1"/>
  <c r="T748" i="1"/>
  <c r="T747" i="1"/>
  <c r="T746" i="1"/>
  <c r="T745" i="1"/>
  <c r="T744" i="1"/>
  <c r="T743" i="1"/>
  <c r="T742" i="1"/>
  <c r="T741" i="1"/>
  <c r="T740" i="1"/>
  <c r="T739" i="1"/>
  <c r="T738" i="1"/>
  <c r="T737" i="1"/>
  <c r="T736" i="1"/>
  <c r="T735" i="1"/>
  <c r="T734" i="1"/>
  <c r="T733" i="1"/>
  <c r="T732" i="1"/>
  <c r="T731" i="1"/>
  <c r="T730" i="1"/>
  <c r="T729" i="1"/>
  <c r="T728" i="1"/>
  <c r="T727" i="1"/>
  <c r="T726" i="1"/>
  <c r="T725" i="1"/>
  <c r="T724" i="1"/>
  <c r="T723" i="1"/>
  <c r="T722" i="1"/>
  <c r="T721" i="1"/>
  <c r="T720" i="1"/>
  <c r="T719" i="1"/>
  <c r="T718" i="1"/>
  <c r="T717" i="1"/>
  <c r="T716" i="1"/>
  <c r="T715" i="1"/>
  <c r="T714" i="1"/>
  <c r="T713" i="1"/>
  <c r="T712" i="1"/>
  <c r="T711" i="1"/>
  <c r="T710" i="1"/>
  <c r="T709" i="1"/>
  <c r="T708" i="1"/>
  <c r="T707" i="1"/>
  <c r="T706" i="1"/>
  <c r="T705" i="1"/>
  <c r="T704" i="1"/>
  <c r="T703" i="1"/>
  <c r="T702" i="1"/>
  <c r="T701" i="1"/>
  <c r="T700" i="1"/>
  <c r="T699" i="1"/>
  <c r="T698" i="1"/>
  <c r="T697" i="1"/>
  <c r="T696" i="1"/>
  <c r="T695" i="1"/>
  <c r="T694" i="1"/>
  <c r="T693" i="1"/>
  <c r="T692" i="1"/>
  <c r="T691" i="1"/>
  <c r="T690" i="1"/>
  <c r="T689" i="1"/>
  <c r="T688" i="1"/>
  <c r="T687" i="1"/>
  <c r="T686" i="1"/>
  <c r="T685" i="1"/>
  <c r="T684" i="1"/>
  <c r="T683" i="1"/>
  <c r="T682" i="1"/>
  <c r="T681" i="1"/>
  <c r="T680" i="1"/>
  <c r="T679" i="1"/>
  <c r="T678" i="1"/>
  <c r="T677" i="1"/>
  <c r="T676" i="1"/>
  <c r="T675" i="1"/>
  <c r="T674" i="1"/>
  <c r="T673" i="1"/>
  <c r="T672" i="1"/>
  <c r="T671" i="1"/>
  <c r="T670" i="1"/>
  <c r="T669" i="1"/>
  <c r="T668" i="1"/>
  <c r="T667" i="1"/>
  <c r="T666" i="1"/>
  <c r="T665" i="1"/>
  <c r="T664" i="1"/>
  <c r="T663" i="1"/>
  <c r="T662" i="1"/>
  <c r="T661" i="1"/>
  <c r="T660" i="1"/>
  <c r="T659" i="1"/>
  <c r="T658" i="1"/>
  <c r="T657" i="1"/>
  <c r="T656" i="1"/>
  <c r="T655" i="1"/>
  <c r="T654" i="1"/>
  <c r="T653" i="1"/>
  <c r="T652" i="1"/>
  <c r="T651" i="1"/>
  <c r="T650" i="1"/>
  <c r="T649" i="1"/>
  <c r="T648" i="1"/>
  <c r="T647" i="1"/>
  <c r="T646" i="1"/>
  <c r="T645" i="1"/>
  <c r="T644" i="1"/>
  <c r="T643" i="1"/>
  <c r="T642" i="1"/>
  <c r="T641" i="1"/>
  <c r="T640" i="1"/>
  <c r="T639" i="1"/>
  <c r="T638" i="1"/>
  <c r="T637" i="1"/>
  <c r="T636" i="1"/>
  <c r="T635" i="1"/>
  <c r="T634" i="1"/>
  <c r="T633" i="1"/>
  <c r="T632" i="1"/>
  <c r="T631" i="1"/>
  <c r="T630" i="1"/>
  <c r="T629" i="1"/>
  <c r="T628" i="1"/>
  <c r="T627" i="1"/>
  <c r="T626" i="1"/>
  <c r="T625" i="1"/>
  <c r="T624" i="1"/>
  <c r="T623" i="1"/>
  <c r="T622" i="1"/>
  <c r="T621" i="1"/>
  <c r="T620" i="1"/>
  <c r="T619" i="1"/>
  <c r="T618" i="1"/>
  <c r="T617" i="1"/>
  <c r="T616" i="1"/>
  <c r="T615" i="1"/>
  <c r="T614" i="1"/>
  <c r="T613" i="1"/>
  <c r="T612" i="1"/>
  <c r="T611" i="1"/>
  <c r="T610" i="1"/>
  <c r="T609" i="1"/>
  <c r="T608" i="1"/>
  <c r="T607" i="1"/>
  <c r="T606" i="1"/>
  <c r="T605" i="1"/>
  <c r="T604" i="1"/>
  <c r="T603" i="1"/>
  <c r="T602" i="1"/>
  <c r="T601" i="1"/>
  <c r="T600" i="1"/>
  <c r="T599" i="1"/>
  <c r="T598" i="1"/>
  <c r="T597" i="1"/>
  <c r="T596" i="1"/>
  <c r="T595" i="1"/>
  <c r="T594" i="1"/>
  <c r="T593" i="1"/>
  <c r="T592" i="1"/>
  <c r="T591" i="1"/>
  <c r="T590" i="1"/>
  <c r="T589" i="1"/>
  <c r="T588" i="1"/>
  <c r="T587" i="1"/>
  <c r="T586" i="1"/>
  <c r="T585" i="1"/>
  <c r="T584" i="1"/>
  <c r="T583" i="1"/>
  <c r="T582" i="1"/>
  <c r="T581" i="1"/>
  <c r="T580" i="1"/>
  <c r="T579" i="1"/>
  <c r="T578" i="1"/>
  <c r="T577" i="1"/>
  <c r="T576" i="1"/>
  <c r="T575" i="1"/>
  <c r="T574" i="1"/>
  <c r="T573" i="1"/>
  <c r="T572" i="1"/>
  <c r="T571" i="1"/>
  <c r="T570" i="1"/>
  <c r="T569" i="1"/>
  <c r="T568" i="1"/>
  <c r="T567" i="1"/>
  <c r="T566" i="1"/>
  <c r="T565" i="1"/>
  <c r="T564" i="1"/>
  <c r="T563" i="1"/>
  <c r="T562" i="1"/>
  <c r="T561" i="1"/>
  <c r="T560" i="1"/>
  <c r="T559" i="1"/>
  <c r="T558" i="1"/>
  <c r="T557" i="1"/>
  <c r="T556" i="1"/>
  <c r="T555" i="1"/>
  <c r="T554" i="1"/>
  <c r="T553" i="1"/>
  <c r="T552" i="1"/>
  <c r="T551" i="1"/>
  <c r="T550" i="1"/>
  <c r="T549" i="1"/>
  <c r="T548" i="1"/>
  <c r="T547" i="1"/>
  <c r="T546" i="1"/>
  <c r="T545" i="1"/>
  <c r="T544" i="1"/>
  <c r="T543" i="1"/>
  <c r="T542" i="1"/>
  <c r="T541" i="1"/>
  <c r="T540" i="1"/>
  <c r="T539" i="1"/>
  <c r="T538" i="1"/>
  <c r="T537" i="1"/>
  <c r="T536" i="1"/>
  <c r="T535" i="1"/>
  <c r="T534" i="1"/>
  <c r="T533" i="1"/>
  <c r="T532" i="1"/>
  <c r="T531" i="1"/>
  <c r="T530" i="1"/>
  <c r="T529" i="1"/>
  <c r="T528" i="1"/>
  <c r="T527" i="1"/>
  <c r="T526" i="1"/>
  <c r="T525" i="1"/>
  <c r="T524" i="1"/>
  <c r="T523" i="1"/>
  <c r="T522" i="1"/>
  <c r="T521" i="1"/>
  <c r="T520" i="1"/>
  <c r="T519" i="1"/>
  <c r="T518" i="1"/>
  <c r="T517" i="1"/>
  <c r="T516" i="1"/>
  <c r="T515" i="1"/>
  <c r="T514" i="1"/>
  <c r="T513" i="1"/>
  <c r="T512" i="1"/>
  <c r="T511" i="1"/>
  <c r="T510" i="1"/>
  <c r="T509" i="1"/>
  <c r="T508" i="1"/>
  <c r="T507" i="1"/>
  <c r="T506" i="1"/>
  <c r="T505" i="1"/>
  <c r="T504" i="1"/>
  <c r="T503" i="1"/>
  <c r="T502" i="1"/>
  <c r="T501" i="1"/>
  <c r="T500" i="1"/>
  <c r="T499" i="1"/>
  <c r="T498" i="1"/>
  <c r="T497" i="1"/>
  <c r="T496" i="1"/>
  <c r="T495" i="1"/>
  <c r="T494" i="1"/>
  <c r="T493" i="1"/>
  <c r="T492" i="1"/>
  <c r="T491" i="1"/>
  <c r="T490" i="1"/>
  <c r="T489" i="1"/>
  <c r="T488" i="1"/>
  <c r="T487" i="1"/>
  <c r="T486" i="1"/>
  <c r="T485" i="1"/>
  <c r="T484" i="1"/>
  <c r="T483" i="1"/>
  <c r="T482" i="1"/>
  <c r="T481" i="1"/>
  <c r="T480" i="1"/>
  <c r="T479" i="1"/>
  <c r="T478" i="1"/>
  <c r="T477" i="1"/>
  <c r="T476" i="1"/>
  <c r="T475" i="1"/>
  <c r="T474" i="1"/>
  <c r="T473" i="1"/>
  <c r="T472" i="1"/>
  <c r="T471" i="1"/>
  <c r="T470" i="1"/>
  <c r="T469" i="1"/>
  <c r="T468" i="1"/>
  <c r="T467" i="1"/>
  <c r="T466" i="1"/>
  <c r="T465" i="1"/>
  <c r="T464" i="1"/>
  <c r="T463" i="1"/>
  <c r="T462" i="1"/>
  <c r="T461" i="1"/>
  <c r="T460" i="1"/>
  <c r="T459" i="1"/>
  <c r="T458" i="1"/>
  <c r="T457" i="1"/>
  <c r="T456" i="1"/>
  <c r="T455" i="1"/>
  <c r="T454" i="1"/>
  <c r="T453" i="1"/>
  <c r="T452" i="1"/>
  <c r="T451" i="1"/>
  <c r="T450" i="1"/>
  <c r="T449" i="1"/>
  <c r="T448" i="1"/>
  <c r="T447" i="1"/>
  <c r="T446" i="1"/>
  <c r="T445" i="1"/>
  <c r="T444" i="1"/>
  <c r="T443" i="1"/>
  <c r="T442" i="1"/>
  <c r="T441" i="1"/>
  <c r="T440" i="1"/>
  <c r="T439" i="1"/>
  <c r="T438" i="1"/>
  <c r="T437" i="1"/>
  <c r="T436" i="1"/>
  <c r="T435" i="1"/>
  <c r="T434" i="1"/>
  <c r="T433" i="1"/>
  <c r="T432" i="1"/>
  <c r="T431" i="1"/>
  <c r="T430" i="1"/>
  <c r="T429" i="1"/>
  <c r="T428" i="1"/>
  <c r="T427" i="1"/>
  <c r="T426" i="1"/>
  <c r="T425" i="1"/>
  <c r="T424" i="1"/>
  <c r="T423" i="1"/>
  <c r="T422" i="1"/>
  <c r="T421" i="1"/>
  <c r="T420" i="1"/>
  <c r="T419" i="1"/>
  <c r="T418" i="1"/>
  <c r="T417" i="1"/>
  <c r="T416" i="1"/>
  <c r="T415" i="1"/>
  <c r="T414" i="1"/>
  <c r="T413" i="1"/>
  <c r="T412" i="1"/>
  <c r="T411" i="1"/>
  <c r="T410" i="1"/>
  <c r="T409" i="1"/>
  <c r="T408" i="1"/>
  <c r="T407" i="1"/>
  <c r="T406" i="1"/>
  <c r="T405" i="1"/>
  <c r="T404" i="1"/>
  <c r="T403" i="1"/>
  <c r="T402" i="1"/>
  <c r="T401" i="1"/>
  <c r="T400" i="1"/>
  <c r="T399" i="1"/>
  <c r="T398" i="1"/>
  <c r="T397" i="1"/>
  <c r="T396" i="1"/>
  <c r="T395" i="1"/>
  <c r="T394" i="1"/>
  <c r="T393" i="1"/>
  <c r="T392" i="1"/>
  <c r="T391" i="1"/>
  <c r="T390" i="1"/>
  <c r="T389" i="1"/>
  <c r="T388" i="1"/>
  <c r="T387" i="1"/>
  <c r="T386" i="1"/>
  <c r="T385" i="1"/>
  <c r="T384" i="1"/>
  <c r="T383" i="1"/>
  <c r="T382" i="1"/>
  <c r="T381" i="1"/>
  <c r="T380" i="1"/>
  <c r="T379" i="1"/>
  <c r="T378" i="1"/>
  <c r="T377" i="1"/>
  <c r="T376" i="1"/>
  <c r="T375" i="1"/>
  <c r="T374" i="1"/>
  <c r="T373" i="1"/>
  <c r="T372" i="1"/>
  <c r="T371" i="1"/>
  <c r="T370" i="1"/>
  <c r="T369" i="1"/>
  <c r="T368" i="1"/>
  <c r="T367" i="1"/>
  <c r="T366" i="1"/>
  <c r="T365" i="1"/>
  <c r="T364" i="1"/>
  <c r="T363" i="1"/>
  <c r="T362" i="1"/>
  <c r="T361" i="1"/>
  <c r="T360" i="1"/>
  <c r="T359" i="1"/>
  <c r="T358" i="1"/>
  <c r="T357" i="1"/>
  <c r="T356" i="1"/>
  <c r="T355" i="1"/>
  <c r="T354" i="1"/>
  <c r="T353" i="1"/>
  <c r="T352" i="1"/>
  <c r="T351" i="1"/>
  <c r="T350" i="1"/>
  <c r="T349" i="1"/>
  <c r="T348" i="1"/>
  <c r="T347" i="1"/>
  <c r="T346" i="1"/>
  <c r="T345" i="1"/>
  <c r="T344" i="1"/>
  <c r="T343" i="1"/>
  <c r="T342" i="1"/>
  <c r="T341" i="1"/>
  <c r="T340" i="1"/>
  <c r="T339" i="1"/>
  <c r="T338" i="1"/>
  <c r="T337" i="1"/>
  <c r="T336" i="1"/>
  <c r="T335" i="1"/>
  <c r="T334" i="1"/>
  <c r="T333" i="1"/>
  <c r="T332" i="1"/>
  <c r="T331" i="1"/>
  <c r="T330" i="1"/>
  <c r="T329" i="1"/>
  <c r="T328" i="1"/>
  <c r="T327" i="1"/>
  <c r="T326" i="1"/>
  <c r="T325" i="1"/>
  <c r="T324" i="1"/>
  <c r="T323" i="1"/>
  <c r="T322" i="1"/>
  <c r="T321" i="1"/>
  <c r="T320" i="1"/>
  <c r="T319" i="1"/>
  <c r="T318" i="1"/>
  <c r="T317" i="1"/>
  <c r="T316" i="1"/>
  <c r="T315" i="1"/>
  <c r="T314" i="1"/>
  <c r="T313" i="1"/>
  <c r="T312" i="1"/>
  <c r="T311" i="1"/>
  <c r="T310" i="1"/>
  <c r="T309" i="1"/>
  <c r="T308" i="1"/>
  <c r="T307" i="1"/>
  <c r="T306" i="1"/>
  <c r="T305" i="1"/>
  <c r="T304" i="1"/>
  <c r="T303" i="1"/>
  <c r="T302" i="1"/>
  <c r="T301" i="1"/>
  <c r="T300" i="1"/>
  <c r="T299" i="1"/>
  <c r="T298" i="1"/>
  <c r="T297" i="1"/>
  <c r="T296" i="1"/>
  <c r="T295" i="1"/>
  <c r="T294" i="1"/>
  <c r="T293" i="1"/>
  <c r="T292" i="1"/>
  <c r="T291" i="1"/>
  <c r="T290" i="1"/>
  <c r="T289" i="1"/>
  <c r="T288" i="1"/>
  <c r="T287" i="1"/>
  <c r="T286" i="1"/>
  <c r="T285" i="1"/>
  <c r="T284" i="1"/>
  <c r="T283" i="1"/>
  <c r="T282" i="1"/>
  <c r="T281" i="1"/>
  <c r="T280" i="1"/>
  <c r="T279" i="1"/>
  <c r="T278" i="1"/>
  <c r="T277" i="1"/>
  <c r="T276" i="1"/>
  <c r="T275" i="1"/>
  <c r="T274" i="1"/>
  <c r="T273" i="1"/>
  <c r="T272" i="1"/>
  <c r="T271" i="1"/>
  <c r="T270" i="1"/>
  <c r="T269" i="1"/>
  <c r="T268" i="1"/>
  <c r="T267" i="1"/>
  <c r="T266" i="1"/>
  <c r="T265" i="1"/>
  <c r="T264" i="1"/>
  <c r="T263" i="1"/>
  <c r="T262" i="1"/>
  <c r="T261" i="1"/>
  <c r="T260" i="1"/>
  <c r="T259" i="1"/>
  <c r="T258" i="1"/>
  <c r="T257" i="1"/>
  <c r="T256" i="1"/>
  <c r="T255" i="1"/>
  <c r="T254" i="1"/>
  <c r="T253" i="1"/>
  <c r="T252" i="1"/>
  <c r="T251" i="1"/>
  <c r="T250" i="1"/>
  <c r="T249" i="1"/>
  <c r="T248" i="1"/>
  <c r="T247" i="1"/>
  <c r="T246" i="1"/>
  <c r="T245" i="1"/>
  <c r="T244" i="1"/>
  <c r="T243" i="1"/>
  <c r="T242" i="1"/>
  <c r="T241" i="1"/>
  <c r="T240" i="1"/>
  <c r="T239" i="1"/>
  <c r="T238" i="1"/>
  <c r="T237" i="1"/>
  <c r="T236" i="1"/>
  <c r="T235" i="1"/>
  <c r="T234" i="1"/>
  <c r="T233" i="1"/>
  <c r="T232" i="1"/>
  <c r="T231" i="1"/>
  <c r="T230" i="1"/>
  <c r="T229" i="1"/>
  <c r="T228" i="1"/>
  <c r="T227" i="1"/>
  <c r="T226" i="1"/>
  <c r="T225" i="1"/>
  <c r="T224" i="1"/>
  <c r="T223" i="1"/>
  <c r="T222" i="1"/>
  <c r="T221" i="1"/>
  <c r="T220" i="1"/>
  <c r="T219" i="1"/>
  <c r="T218" i="1"/>
  <c r="T217" i="1"/>
  <c r="T216" i="1"/>
  <c r="T215" i="1"/>
  <c r="T214" i="1"/>
  <c r="T213" i="1"/>
  <c r="T212" i="1"/>
  <c r="T211" i="1"/>
  <c r="T210" i="1"/>
  <c r="T209" i="1"/>
  <c r="T208" i="1"/>
  <c r="T207" i="1"/>
  <c r="T206" i="1"/>
  <c r="T205" i="1"/>
  <c r="T204" i="1"/>
  <c r="T203" i="1"/>
  <c r="T202" i="1"/>
  <c r="T201" i="1"/>
  <c r="T200" i="1"/>
  <c r="T199" i="1"/>
  <c r="T198" i="1"/>
  <c r="T197" i="1"/>
  <c r="T196" i="1"/>
  <c r="T195" i="1"/>
  <c r="T194" i="1"/>
  <c r="T193" i="1"/>
  <c r="T192" i="1"/>
  <c r="T191" i="1"/>
  <c r="T190" i="1"/>
  <c r="T189" i="1"/>
  <c r="T188" i="1"/>
  <c r="T187" i="1"/>
  <c r="T186" i="1"/>
  <c r="T185" i="1"/>
  <c r="T184" i="1"/>
  <c r="T183" i="1"/>
  <c r="T182" i="1"/>
  <c r="T181" i="1"/>
  <c r="T180" i="1"/>
  <c r="T179" i="1"/>
  <c r="T178" i="1"/>
  <c r="T177" i="1"/>
  <c r="T176" i="1"/>
  <c r="T175" i="1"/>
  <c r="T174" i="1"/>
  <c r="T173" i="1"/>
  <c r="T172" i="1"/>
  <c r="T171" i="1"/>
  <c r="T170" i="1"/>
  <c r="T169" i="1"/>
  <c r="T168" i="1"/>
  <c r="T167" i="1"/>
  <c r="T166" i="1"/>
  <c r="T165" i="1"/>
  <c r="T164" i="1"/>
  <c r="T163" i="1"/>
  <c r="T162" i="1"/>
  <c r="T161" i="1"/>
  <c r="T160" i="1"/>
  <c r="T159" i="1"/>
  <c r="T158" i="1"/>
  <c r="T157" i="1"/>
  <c r="T156" i="1"/>
  <c r="T155" i="1"/>
  <c r="T154" i="1"/>
  <c r="T153" i="1"/>
  <c r="T152" i="1"/>
  <c r="T151" i="1"/>
  <c r="T150" i="1"/>
  <c r="T149" i="1"/>
  <c r="T148" i="1"/>
  <c r="T147" i="1"/>
  <c r="T146" i="1"/>
  <c r="T145" i="1"/>
  <c r="T144" i="1"/>
  <c r="T143" i="1"/>
  <c r="T142" i="1"/>
  <c r="T141" i="1"/>
  <c r="T140" i="1"/>
  <c r="T139" i="1"/>
  <c r="T138" i="1"/>
  <c r="T137" i="1"/>
  <c r="T136" i="1"/>
  <c r="T135" i="1"/>
  <c r="T134" i="1"/>
  <c r="T133" i="1"/>
  <c r="T132" i="1"/>
  <c r="T131" i="1"/>
  <c r="T130" i="1"/>
  <c r="T129" i="1"/>
  <c r="T128" i="1"/>
  <c r="T127" i="1"/>
  <c r="T126" i="1"/>
  <c r="T125" i="1"/>
  <c r="T124" i="1"/>
  <c r="T123" i="1"/>
  <c r="T122" i="1"/>
  <c r="T121" i="1"/>
  <c r="T120" i="1"/>
  <c r="T119" i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Rahmatdin</author>
  </authors>
  <commentList>
    <comment ref="G9" authorId="0" shapeId="0" xr:uid="{AC176D70-C583-41CE-B8C3-D051FA1CE4A5}">
      <text>
        <r>
          <rPr>
            <b/>
            <sz val="9"/>
            <color indexed="81"/>
            <rFont val="Tahoma"/>
            <family val="2"/>
          </rPr>
          <t>Asumsi BW 3hari yg lalu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<sst xmlns="http://schemas.openxmlformats.org/spreadsheetml/2006/main" count="457" uniqueCount="276">
  <si>
    <t>#</t>
  </si>
  <si>
    <t>Age</t>
  </si>
  <si>
    <t>Average Body Weight (KG)</t>
  </si>
  <si>
    <t>Mortality (%)</t>
  </si>
  <si>
    <t>Vitality (%)</t>
  </si>
  <si>
    <t>Feed Convertion Ratio</t>
  </si>
  <si>
    <t>EEF / IP</t>
  </si>
  <si>
    <t>Feed Cons Daily</t>
  </si>
  <si>
    <t>Feed Cons Cumulative</t>
  </si>
  <si>
    <t>Weight</t>
  </si>
  <si>
    <t>Daily</t>
  </si>
  <si>
    <t>Average</t>
  </si>
  <si>
    <t>Cumulative Feed</t>
  </si>
  <si>
    <t>Daily Feed</t>
  </si>
  <si>
    <t>days</t>
  </si>
  <si>
    <t>for Age (g)</t>
  </si>
  <si>
    <t>Gain (g)</t>
  </si>
  <si>
    <t>Daily Gain (g)</t>
  </si>
  <si>
    <t>Conversion</t>
  </si>
  <si>
    <t>Consumption (g)</t>
  </si>
  <si>
    <t>STD 2015</t>
  </si>
  <si>
    <t>STD 2018</t>
  </si>
  <si>
    <t>Kebutuhan pakan</t>
  </si>
  <si>
    <t>BW</t>
  </si>
  <si>
    <t>STD SAP 2012/AHP</t>
  </si>
  <si>
    <t>STD SAP 2015</t>
  </si>
  <si>
    <t>A</t>
  </si>
  <si>
    <t>B</t>
  </si>
  <si>
    <t>C</t>
  </si>
  <si>
    <t>CUM FI STD Total</t>
  </si>
  <si>
    <t>D</t>
  </si>
  <si>
    <t>E</t>
  </si>
  <si>
    <t>F</t>
  </si>
  <si>
    <t>Usia Habis Pakan</t>
  </si>
  <si>
    <t>G</t>
  </si>
  <si>
    <t>KG Pakan</t>
  </si>
  <si>
    <t>Usia Kunjungan</t>
  </si>
  <si>
    <t>BW Kunjungan</t>
  </si>
  <si>
    <t>Mort Kunjungan</t>
  </si>
  <si>
    <t>Last Stok kunjungan</t>
  </si>
  <si>
    <t>Pakan Terkirim</t>
  </si>
  <si>
    <t>Pakan Terpakai</t>
  </si>
  <si>
    <t>Pakan Tersisa</t>
  </si>
  <si>
    <t>Ket</t>
  </si>
  <si>
    <t>Target BW</t>
  </si>
  <si>
    <t>Kondisi sekarang</t>
  </si>
  <si>
    <t>Perkiraan sekarang</t>
  </si>
  <si>
    <t>Target</t>
  </si>
  <si>
    <t>H</t>
  </si>
  <si>
    <t>J</t>
  </si>
  <si>
    <t>Kekurangan Pakan</t>
  </si>
  <si>
    <t>K</t>
  </si>
  <si>
    <t>L</t>
  </si>
  <si>
    <t>M</t>
  </si>
  <si>
    <t>Order Pakan</t>
  </si>
  <si>
    <t>CUM FI ACT</t>
  </si>
  <si>
    <t>Total Pakan Tersisa</t>
  </si>
  <si>
    <t>N</t>
  </si>
  <si>
    <t>O</t>
  </si>
  <si>
    <t>P</t>
  </si>
  <si>
    <t>S</t>
  </si>
  <si>
    <t>Q</t>
  </si>
  <si>
    <t>R</t>
  </si>
  <si>
    <t>T</t>
  </si>
  <si>
    <t>U</t>
  </si>
  <si>
    <t>V</t>
  </si>
  <si>
    <t>W</t>
  </si>
  <si>
    <t>X</t>
  </si>
  <si>
    <t>Y</t>
  </si>
  <si>
    <t>Z</t>
  </si>
  <si>
    <t>AA</t>
  </si>
  <si>
    <t>Perkiraan Kedepan</t>
  </si>
  <si>
    <t>Manual 2015</t>
  </si>
  <si>
    <t>Populasi</t>
  </si>
  <si>
    <t>Menu</t>
  </si>
  <si>
    <t>Tanggal CI</t>
  </si>
  <si>
    <t>AB</t>
  </si>
  <si>
    <t>Tanggal Habis Pakan</t>
  </si>
  <si>
    <t>AC</t>
  </si>
  <si>
    <t>AD</t>
  </si>
  <si>
    <t>CUM FI Sisa Pakan</t>
  </si>
  <si>
    <r>
      <rPr>
        <sz val="12"/>
        <color rgb="FF5762AA"/>
        <rFont val="Arial"/>
        <family val="2"/>
      </rPr>
      <t>STANDARD FCR  EEF &amp; COST OF BROILER</t>
    </r>
  </si>
  <si>
    <t>AGE (Days)</t>
  </si>
  <si>
    <t>ABW</t>
  </si>
  <si>
    <t>Mort (%)</t>
  </si>
  <si>
    <t>FCR</t>
  </si>
  <si>
    <t>Cum FI</t>
  </si>
  <si>
    <t>EEF</t>
  </si>
  <si>
    <t>ADG</t>
  </si>
  <si>
    <t>2015 REV</t>
  </si>
  <si>
    <t>AHP 2012 REV</t>
  </si>
  <si>
    <t>CUM FI</t>
  </si>
  <si>
    <t>D FI</t>
  </si>
  <si>
    <t>DIFF</t>
  </si>
  <si>
    <t>Input simulasi</t>
  </si>
  <si>
    <t>AHP 2012 Lama</t>
  </si>
  <si>
    <t>Rumus</t>
  </si>
  <si>
    <t>Input Manual Ambil dari Plan</t>
  </si>
  <si>
    <t>Initial Stock Plan x 1.01</t>
  </si>
  <si>
    <t>Stardate Plan</t>
  </si>
  <si>
    <t>Tanggal Kunjungan</t>
  </si>
  <si>
    <t>AE</t>
  </si>
  <si>
    <t>Last Date dari GI Pakan</t>
  </si>
  <si>
    <t>Input Manual</t>
  </si>
  <si>
    <t>Populasi + Bonus</t>
  </si>
  <si>
    <t>IBOCS</t>
  </si>
  <si>
    <t>Diff Hari</t>
  </si>
  <si>
    <t>Tanggal Order</t>
  </si>
  <si>
    <t>AF</t>
  </si>
  <si>
    <t>AG</t>
  </si>
  <si>
    <t>Last Posting Date</t>
  </si>
  <si>
    <t>Mort</t>
  </si>
  <si>
    <t>Last Populasi</t>
  </si>
  <si>
    <t>FI Act</t>
  </si>
  <si>
    <t>GRPO/IT/PO/ITR</t>
  </si>
  <si>
    <t>Last Stock</t>
  </si>
  <si>
    <t>Date Pakan Habis</t>
  </si>
  <si>
    <t>Age Pakan Habis</t>
  </si>
  <si>
    <t>Diff Pakan Habis</t>
  </si>
  <si>
    <t>BW Panen</t>
  </si>
  <si>
    <t>Sisa Kebutuhan</t>
  </si>
  <si>
    <t>Total Jumlah Order</t>
  </si>
  <si>
    <t>Date Estimasi Pakan Habis</t>
  </si>
  <si>
    <t>Age Estimasi Pakan Habis</t>
  </si>
  <si>
    <t>Diff Estimasi Pakan Habis</t>
  </si>
  <si>
    <t>Tanggal Order Pakan</t>
  </si>
  <si>
    <t>STD SAP 2015 SHARE TNP BW</t>
  </si>
  <si>
    <t>Usia Sekarang</t>
  </si>
  <si>
    <t>Panen Tambahan</t>
  </si>
  <si>
    <t>Stock Akhir</t>
  </si>
  <si>
    <t>Tanggal Akhir</t>
  </si>
  <si>
    <t>Usia Akhir</t>
  </si>
  <si>
    <t>Age Now</t>
  </si>
  <si>
    <t>AH</t>
  </si>
  <si>
    <t>AI</t>
  </si>
  <si>
    <t>AJ</t>
  </si>
  <si>
    <t>AK</t>
  </si>
  <si>
    <t>AL</t>
  </si>
  <si>
    <t>AM</t>
  </si>
  <si>
    <t>AN</t>
  </si>
  <si>
    <t>ZAK</t>
  </si>
  <si>
    <t>Usia CUM FI STD 1</t>
  </si>
  <si>
    <t>Usia CUM FI STD 2</t>
  </si>
  <si>
    <t>Usia CUM FI STD 3</t>
  </si>
  <si>
    <t>Tambahan IBOCS</t>
  </si>
  <si>
    <t>AO</t>
  </si>
  <si>
    <t>No</t>
  </si>
  <si>
    <t>No Plan</t>
  </si>
  <si>
    <t>Plan Desc</t>
  </si>
  <si>
    <t>Status Last Posting</t>
  </si>
  <si>
    <t>Pakan Habis</t>
  </si>
  <si>
    <t>BW PANEN</t>
  </si>
  <si>
    <t>Kebutuhan Minggu Depan</t>
  </si>
  <si>
    <t>ORDER</t>
  </si>
  <si>
    <t>Estimate Habis Kapan</t>
  </si>
  <si>
    <t>LOKASI</t>
  </si>
  <si>
    <t>FI Cum Pakan Terima</t>
  </si>
  <si>
    <t>GRPO/IT</t>
  </si>
  <si>
    <t>PO/ITR</t>
  </si>
  <si>
    <t>Last Stok</t>
  </si>
  <si>
    <t>Date</t>
  </si>
  <si>
    <t>Jenis Pakan 1</t>
  </si>
  <si>
    <t>Jumlah</t>
  </si>
  <si>
    <t>Jenis Pakan 2</t>
  </si>
  <si>
    <t>Jenis Pakan 3</t>
  </si>
  <si>
    <t>Jenis Pakan 4</t>
  </si>
  <si>
    <t>Tanggal</t>
  </si>
  <si>
    <t>TOTAL</t>
  </si>
  <si>
    <t>Diff</t>
  </si>
  <si>
    <t>12-13</t>
  </si>
  <si>
    <t>Ekor</t>
  </si>
  <si>
    <t>Pakan Pakai Sampai Panen</t>
  </si>
  <si>
    <t>CUM FI Sampai panen</t>
  </si>
  <si>
    <t>Usia Last date dari GI Pakan</t>
  </si>
  <si>
    <t>Total Pakan dr GRPO+IT+PO+ITR yang sudah dibuat</t>
  </si>
  <si>
    <t>Input Manual perkiraan Harvest yang telah diinfokan</t>
  </si>
  <si>
    <t>Input Manual Info Tanggal Terakhir Panen</t>
  </si>
  <si>
    <t>No Documen Plan</t>
  </si>
  <si>
    <t>Plan Description</t>
  </si>
  <si>
    <t>TOTAL GRPO dan IT</t>
  </si>
  <si>
    <t>TOTAL PO dan ITR</t>
  </si>
  <si>
    <t>Jumlah Total dari masing2 jenis Pakan yang diinput manual</t>
  </si>
  <si>
    <t>Total Kematian hingga Tanggal Kunjungan</t>
  </si>
  <si>
    <t>Input Manual Berdasarkan Info Tanggal Terakhir Panen</t>
  </si>
  <si>
    <t>GI</t>
  </si>
  <si>
    <t>Total GI</t>
  </si>
  <si>
    <t>Kebutuhan Pakan</t>
  </si>
  <si>
    <t>I</t>
  </si>
  <si>
    <t>Huruf</t>
  </si>
  <si>
    <t>Angka</t>
  </si>
  <si>
    <t>Layout IBOCS</t>
  </si>
  <si>
    <t>Kolom Bantu</t>
  </si>
  <si>
    <t>Last update input Statistic BW, diupayakan sama dengan Tanggal Kunjungan</t>
  </si>
  <si>
    <t>Input Manual perkiraan Ekoran Harvest yang telah diinfokan</t>
  </si>
  <si>
    <t>Stok setelah Panen</t>
  </si>
  <si>
    <t>Usia smp Panen</t>
  </si>
  <si>
    <t>oke</t>
  </si>
  <si>
    <t>FI CUM Panen</t>
  </si>
  <si>
    <t>FI Cum Pakan</t>
  </si>
  <si>
    <t>FI CUM Kiriman Pakan</t>
  </si>
  <si>
    <t>FI CUM Terima Pakan</t>
  </si>
  <si>
    <t>CUM FI Terima Pakan</t>
  </si>
  <si>
    <t>Pakan Sampai Panen</t>
  </si>
  <si>
    <t>FI CUM Sisa Pakan</t>
  </si>
  <si>
    <t>FI CUM TOTAL</t>
  </si>
  <si>
    <t>USIA FI CUM PANEN</t>
  </si>
  <si>
    <t>USIA FI CUM TOTAL</t>
  </si>
  <si>
    <r>
      <t xml:space="preserve">= </t>
    </r>
    <r>
      <rPr>
        <b/>
        <sz val="14"/>
        <color theme="1"/>
        <rFont val="Aptos Narrow"/>
        <family val="2"/>
        <scheme val="minor"/>
      </rPr>
      <t>3</t>
    </r>
    <r>
      <rPr>
        <sz val="14"/>
        <color theme="1"/>
        <rFont val="Aptos Narrow"/>
        <family val="2"/>
        <scheme val="minor"/>
      </rPr>
      <t xml:space="preserve"> : </t>
    </r>
    <r>
      <rPr>
        <b/>
        <sz val="14"/>
        <color theme="1"/>
        <rFont val="Aptos Narrow"/>
        <family val="2"/>
        <scheme val="minor"/>
      </rPr>
      <t xml:space="preserve">C , </t>
    </r>
    <r>
      <rPr>
        <sz val="14"/>
        <color theme="1"/>
        <rFont val="Aptos Narrow"/>
        <family val="2"/>
        <scheme val="minor"/>
      </rPr>
      <t>pembulatan</t>
    </r>
    <r>
      <rPr>
        <b/>
        <sz val="14"/>
        <color theme="1"/>
        <rFont val="Aptos Narrow"/>
        <family val="2"/>
        <scheme val="minor"/>
      </rPr>
      <t xml:space="preserve"> </t>
    </r>
    <r>
      <rPr>
        <sz val="14"/>
        <color theme="1"/>
        <rFont val="Aptos Narrow"/>
        <family val="2"/>
        <scheme val="minor"/>
      </rPr>
      <t>3 angka dibelakang koma</t>
    </r>
  </si>
  <si>
    <r>
      <rPr>
        <b/>
        <sz val="14"/>
        <color theme="1"/>
        <rFont val="Aptos Narrow"/>
        <family val="2"/>
        <scheme val="minor"/>
      </rPr>
      <t>= 3</t>
    </r>
    <r>
      <rPr>
        <sz val="14"/>
        <color theme="1"/>
        <rFont val="Aptos Narrow"/>
        <family val="2"/>
        <scheme val="minor"/>
      </rPr>
      <t xml:space="preserve"> : (</t>
    </r>
    <r>
      <rPr>
        <b/>
        <sz val="14"/>
        <color theme="1"/>
        <rFont val="Aptos Narrow"/>
        <family val="2"/>
        <scheme val="minor"/>
      </rPr>
      <t>G</t>
    </r>
    <r>
      <rPr>
        <sz val="14"/>
        <color theme="1"/>
        <rFont val="Aptos Narrow"/>
        <family val="2"/>
        <scheme val="minor"/>
      </rPr>
      <t xml:space="preserve"> x </t>
    </r>
    <r>
      <rPr>
        <b/>
        <sz val="14"/>
        <color theme="1"/>
        <rFont val="Aptos Narrow"/>
        <family val="2"/>
        <scheme val="minor"/>
      </rPr>
      <t>H</t>
    </r>
    <r>
      <rPr>
        <sz val="14"/>
        <color theme="1"/>
        <rFont val="Aptos Narrow"/>
        <family val="2"/>
        <scheme val="minor"/>
      </rPr>
      <t>) , pembulatan 3 angka dibelakang koma</t>
    </r>
  </si>
  <si>
    <r>
      <t xml:space="preserve"> = (</t>
    </r>
    <r>
      <rPr>
        <b/>
        <sz val="14"/>
        <color theme="1"/>
        <rFont val="Aptos Narrow"/>
        <family val="2"/>
        <scheme val="minor"/>
      </rPr>
      <t>L</t>
    </r>
    <r>
      <rPr>
        <sz val="14"/>
        <color theme="1"/>
        <rFont val="Aptos Narrow"/>
        <family val="2"/>
        <scheme val="minor"/>
      </rPr>
      <t xml:space="preserve"> + </t>
    </r>
    <r>
      <rPr>
        <b/>
        <sz val="14"/>
        <color theme="1"/>
        <rFont val="Aptos Narrow"/>
        <family val="2"/>
        <scheme val="minor"/>
      </rPr>
      <t>M</t>
    </r>
    <r>
      <rPr>
        <sz val="14"/>
        <color theme="1"/>
        <rFont val="Aptos Narrow"/>
        <family val="2"/>
        <scheme val="minor"/>
      </rPr>
      <t xml:space="preserve">) : </t>
    </r>
    <r>
      <rPr>
        <b/>
        <sz val="14"/>
        <color theme="1"/>
        <rFont val="Aptos Narrow"/>
        <family val="2"/>
        <scheme val="minor"/>
      </rPr>
      <t xml:space="preserve">C , </t>
    </r>
    <r>
      <rPr>
        <sz val="14"/>
        <color theme="1"/>
        <rFont val="Aptos Narrow"/>
        <family val="2"/>
        <scheme val="minor"/>
      </rPr>
      <t>pembulatan 3 angka dibelakang koma</t>
    </r>
  </si>
  <si>
    <r>
      <t xml:space="preserve">=IF (or( </t>
    </r>
    <r>
      <rPr>
        <b/>
        <sz val="14"/>
        <color theme="1"/>
        <rFont val="Aptos Narrow"/>
        <family val="2"/>
        <scheme val="minor"/>
      </rPr>
      <t xml:space="preserve">P </t>
    </r>
    <r>
      <rPr>
        <sz val="14"/>
        <color theme="1"/>
        <rFont val="Aptos Narrow"/>
        <family val="2"/>
        <scheme val="minor"/>
      </rPr>
      <t xml:space="preserve">="" ; </t>
    </r>
    <r>
      <rPr>
        <b/>
        <sz val="14"/>
        <color theme="1"/>
        <rFont val="Aptos Narrow"/>
        <family val="2"/>
        <scheme val="minor"/>
      </rPr>
      <t xml:space="preserve">P </t>
    </r>
    <r>
      <rPr>
        <sz val="14"/>
        <color theme="1"/>
        <rFont val="Aptos Narrow"/>
        <family val="2"/>
        <scheme val="minor"/>
      </rPr>
      <t xml:space="preserve">&lt;= </t>
    </r>
    <r>
      <rPr>
        <b/>
        <sz val="14"/>
        <color theme="1"/>
        <rFont val="Aptos Narrow"/>
        <family val="2"/>
        <scheme val="minor"/>
      </rPr>
      <t>D</t>
    </r>
    <r>
      <rPr>
        <sz val="14"/>
        <color theme="1"/>
        <rFont val="Aptos Narrow"/>
        <family val="2"/>
        <scheme val="minor"/>
      </rPr>
      <t xml:space="preserve">); jiak terpenuhi maka </t>
    </r>
    <r>
      <rPr>
        <b/>
        <sz val="14"/>
        <color theme="1"/>
        <rFont val="Aptos Narrow"/>
        <family val="2"/>
        <scheme val="minor"/>
      </rPr>
      <t xml:space="preserve">J </t>
    </r>
    <r>
      <rPr>
        <sz val="14"/>
        <color theme="1"/>
        <rFont val="Aptos Narrow"/>
        <family val="2"/>
        <scheme val="minor"/>
      </rPr>
      <t xml:space="preserve">; jika tidak maka FI CUM minimal dari usia </t>
    </r>
    <r>
      <rPr>
        <b/>
        <sz val="14"/>
        <color theme="1"/>
        <rFont val="Aptos Narrow"/>
        <family val="2"/>
        <scheme val="minor"/>
      </rPr>
      <t>5</t>
    </r>
    <r>
      <rPr>
        <sz val="14"/>
        <color theme="1"/>
        <rFont val="Aptos Narrow"/>
        <family val="2"/>
        <scheme val="minor"/>
      </rPr>
      <t xml:space="preserve"> -</t>
    </r>
    <r>
      <rPr>
        <b/>
        <sz val="14"/>
        <color theme="1"/>
        <rFont val="Aptos Narrow"/>
        <family val="2"/>
        <scheme val="minor"/>
      </rPr>
      <t xml:space="preserve"> E</t>
    </r>
    <r>
      <rPr>
        <sz val="14"/>
        <color theme="1"/>
        <rFont val="Aptos Narrow"/>
        <family val="2"/>
        <scheme val="minor"/>
      </rPr>
      <t xml:space="preserve"> + Usia Standar dari </t>
    </r>
    <r>
      <rPr>
        <b/>
        <sz val="14"/>
        <color theme="1"/>
        <rFont val="Aptos Narrow"/>
        <family val="2"/>
        <scheme val="minor"/>
      </rPr>
      <t>J</t>
    </r>
  </si>
  <si>
    <r>
      <t xml:space="preserve">= </t>
    </r>
    <r>
      <rPr>
        <b/>
        <sz val="14"/>
        <color theme="1"/>
        <rFont val="Aptos Narrow"/>
        <family val="2"/>
        <scheme val="minor"/>
      </rPr>
      <t>4</t>
    </r>
    <r>
      <rPr>
        <sz val="14"/>
        <color theme="1"/>
        <rFont val="Aptos Narrow"/>
        <family val="2"/>
        <scheme val="minor"/>
      </rPr>
      <t xml:space="preserve"> x ( </t>
    </r>
    <r>
      <rPr>
        <b/>
        <sz val="14"/>
        <color theme="1"/>
        <rFont val="Aptos Narrow"/>
        <family val="2"/>
        <scheme val="minor"/>
      </rPr>
      <t>6</t>
    </r>
    <r>
      <rPr>
        <sz val="14"/>
        <color theme="1"/>
        <rFont val="Aptos Narrow"/>
        <family val="2"/>
        <scheme val="minor"/>
      </rPr>
      <t xml:space="preserve"> -</t>
    </r>
    <r>
      <rPr>
        <b/>
        <sz val="14"/>
        <color theme="1"/>
        <rFont val="Aptos Narrow"/>
        <family val="2"/>
        <scheme val="minor"/>
      </rPr>
      <t xml:space="preserve"> J </t>
    </r>
    <r>
      <rPr>
        <sz val="14"/>
        <color theme="1"/>
        <rFont val="Aptos Narrow"/>
        <family val="2"/>
        <scheme val="minor"/>
      </rPr>
      <t xml:space="preserve">) , dengan kelipatan 50, hasil maksimal </t>
    </r>
    <r>
      <rPr>
        <b/>
        <sz val="14"/>
        <color theme="1"/>
        <rFont val="Aptos Narrow"/>
        <family val="2"/>
        <scheme val="minor"/>
      </rPr>
      <t>N</t>
    </r>
  </si>
  <si>
    <r>
      <t xml:space="preserve">= ( </t>
    </r>
    <r>
      <rPr>
        <b/>
        <sz val="14"/>
        <color theme="1"/>
        <rFont val="Aptos Narrow"/>
        <family val="2"/>
        <scheme val="minor"/>
      </rPr>
      <t>N</t>
    </r>
    <r>
      <rPr>
        <sz val="14"/>
        <color theme="1"/>
        <rFont val="Aptos Narrow"/>
        <family val="2"/>
        <scheme val="minor"/>
      </rPr>
      <t xml:space="preserve"> - </t>
    </r>
    <r>
      <rPr>
        <b/>
        <sz val="14"/>
        <color theme="1"/>
        <rFont val="Aptos Narrow"/>
        <family val="2"/>
        <scheme val="minor"/>
      </rPr>
      <t>7</t>
    </r>
    <r>
      <rPr>
        <sz val="14"/>
        <color theme="1"/>
        <rFont val="Aptos Narrow"/>
        <family val="2"/>
        <scheme val="minor"/>
      </rPr>
      <t xml:space="preserve"> ) / </t>
    </r>
    <r>
      <rPr>
        <b/>
        <sz val="14"/>
        <color theme="1"/>
        <rFont val="Aptos Narrow"/>
        <family val="2"/>
        <scheme val="minor"/>
      </rPr>
      <t xml:space="preserve">4, </t>
    </r>
    <r>
      <rPr>
        <sz val="14"/>
        <color theme="1"/>
        <rFont val="Aptos Narrow"/>
        <family val="2"/>
        <scheme val="minor"/>
      </rPr>
      <t>pembulatan 3 angka dibelakang koma</t>
    </r>
  </si>
  <si>
    <r>
      <t xml:space="preserve">= </t>
    </r>
    <r>
      <rPr>
        <b/>
        <sz val="14"/>
        <color theme="1"/>
        <rFont val="Aptos Narrow"/>
        <family val="2"/>
        <scheme val="minor"/>
      </rPr>
      <t>6</t>
    </r>
    <r>
      <rPr>
        <sz val="14"/>
        <color theme="1"/>
        <rFont val="Aptos Narrow"/>
        <family val="2"/>
        <scheme val="minor"/>
      </rPr>
      <t xml:space="preserve"> + </t>
    </r>
    <r>
      <rPr>
        <b/>
        <sz val="14"/>
        <color theme="1"/>
        <rFont val="Aptos Narrow"/>
        <family val="2"/>
        <scheme val="minor"/>
      </rPr>
      <t>8</t>
    </r>
  </si>
  <si>
    <r>
      <t xml:space="preserve">Usia Standar dari </t>
    </r>
    <r>
      <rPr>
        <b/>
        <sz val="14"/>
        <color theme="1"/>
        <rFont val="Aptos Narrow"/>
        <family val="2"/>
        <scheme val="minor"/>
      </rPr>
      <t>6</t>
    </r>
  </si>
  <si>
    <r>
      <t xml:space="preserve">Usia Standar dari </t>
    </r>
    <r>
      <rPr>
        <b/>
        <sz val="14"/>
        <color theme="1"/>
        <rFont val="Aptos Narrow"/>
        <family val="2"/>
        <scheme val="minor"/>
      </rPr>
      <t>9</t>
    </r>
  </si>
  <si>
    <r>
      <t xml:space="preserve">= IF ( </t>
    </r>
    <r>
      <rPr>
        <b/>
        <sz val="14"/>
        <color theme="1"/>
        <rFont val="Aptos Narrow"/>
        <family val="2"/>
        <scheme val="minor"/>
      </rPr>
      <t>9</t>
    </r>
    <r>
      <rPr>
        <sz val="14"/>
        <color theme="1"/>
        <rFont val="Aptos Narrow"/>
        <family val="2"/>
        <scheme val="minor"/>
      </rPr>
      <t xml:space="preserve"> &lt;=</t>
    </r>
    <r>
      <rPr>
        <b/>
        <sz val="14"/>
        <color theme="1"/>
        <rFont val="Aptos Narrow"/>
        <family val="2"/>
        <scheme val="minor"/>
      </rPr>
      <t xml:space="preserve"> 6</t>
    </r>
    <r>
      <rPr>
        <sz val="14"/>
        <color theme="1"/>
        <rFont val="Aptos Narrow"/>
        <family val="2"/>
        <scheme val="minor"/>
      </rPr>
      <t xml:space="preserve"> ; Jika terpenuhi </t>
    </r>
    <r>
      <rPr>
        <b/>
        <sz val="14"/>
        <color theme="1"/>
        <rFont val="Aptos Narrow"/>
        <family val="2"/>
        <scheme val="minor"/>
      </rPr>
      <t>5</t>
    </r>
    <r>
      <rPr>
        <sz val="14"/>
        <color theme="1"/>
        <rFont val="Aptos Narrow"/>
        <family val="2"/>
        <scheme val="minor"/>
      </rPr>
      <t xml:space="preserve"> , jika tidak maka </t>
    </r>
    <r>
      <rPr>
        <b/>
        <sz val="14"/>
        <color theme="1"/>
        <rFont val="Aptos Narrow"/>
        <family val="2"/>
        <scheme val="minor"/>
      </rPr>
      <t>11</t>
    </r>
    <r>
      <rPr>
        <sz val="14"/>
        <color theme="1"/>
        <rFont val="Aptos Narrow"/>
        <family val="2"/>
        <scheme val="minor"/>
      </rPr>
      <t xml:space="preserve"> - </t>
    </r>
    <r>
      <rPr>
        <b/>
        <sz val="14"/>
        <color theme="1"/>
        <rFont val="Aptos Narrow"/>
        <family val="2"/>
        <scheme val="minor"/>
      </rPr>
      <t>10</t>
    </r>
    <r>
      <rPr>
        <sz val="14"/>
        <color theme="1"/>
        <rFont val="Aptos Narrow"/>
        <family val="2"/>
        <scheme val="minor"/>
      </rPr>
      <t xml:space="preserve"> + </t>
    </r>
    <r>
      <rPr>
        <b/>
        <sz val="14"/>
        <color theme="1"/>
        <rFont val="Aptos Narrow"/>
        <family val="2"/>
        <scheme val="minor"/>
      </rPr>
      <t>5</t>
    </r>
    <r>
      <rPr>
        <sz val="14"/>
        <color theme="1"/>
        <rFont val="Aptos Narrow"/>
        <family val="2"/>
        <scheme val="minor"/>
      </rPr>
      <t>)</t>
    </r>
  </si>
  <si>
    <r>
      <rPr>
        <b/>
        <sz val="14"/>
        <color theme="1"/>
        <rFont val="Aptos Narrow"/>
        <family val="2"/>
        <scheme val="minor"/>
      </rPr>
      <t>= L</t>
    </r>
    <r>
      <rPr>
        <sz val="14"/>
        <color theme="1"/>
        <rFont val="Aptos Narrow"/>
        <family val="2"/>
        <scheme val="minor"/>
      </rPr>
      <t xml:space="preserve"> + </t>
    </r>
    <r>
      <rPr>
        <b/>
        <sz val="14"/>
        <color theme="1"/>
        <rFont val="Aptos Narrow"/>
        <family val="2"/>
        <scheme val="minor"/>
      </rPr>
      <t>M</t>
    </r>
    <r>
      <rPr>
        <sz val="14"/>
        <color theme="1"/>
        <rFont val="Aptos Narrow"/>
        <family val="2"/>
        <scheme val="minor"/>
      </rPr>
      <t xml:space="preserve"> - </t>
    </r>
    <r>
      <rPr>
        <b/>
        <sz val="14"/>
        <color theme="1"/>
        <rFont val="Aptos Narrow"/>
        <family val="2"/>
        <scheme val="minor"/>
      </rPr>
      <t>3</t>
    </r>
  </si>
  <si>
    <t>= Initial Stock Plan x 1.01</t>
  </si>
  <si>
    <r>
      <t xml:space="preserve">= </t>
    </r>
    <r>
      <rPr>
        <b/>
        <sz val="14"/>
        <color theme="1"/>
        <rFont val="Aptos Narrow"/>
        <family val="2"/>
        <scheme val="minor"/>
      </rPr>
      <t xml:space="preserve">R </t>
    </r>
    <r>
      <rPr>
        <sz val="14"/>
        <color theme="1"/>
        <rFont val="Aptos Narrow"/>
        <family val="2"/>
        <scheme val="minor"/>
      </rPr>
      <t>- Today()</t>
    </r>
  </si>
  <si>
    <t>Input Manual di Plan</t>
  </si>
  <si>
    <r>
      <rPr>
        <sz val="14"/>
        <color theme="1"/>
        <rFont val="Aptos Narrow"/>
        <family val="2"/>
        <scheme val="minor"/>
      </rPr>
      <t xml:space="preserve">= STD FI CUM dari </t>
    </r>
    <r>
      <rPr>
        <b/>
        <sz val="14"/>
        <color theme="1"/>
        <rFont val="Aptos Narrow"/>
        <family val="2"/>
        <scheme val="minor"/>
      </rPr>
      <t>U</t>
    </r>
    <r>
      <rPr>
        <sz val="14"/>
        <color theme="1"/>
        <rFont val="Aptos Narrow"/>
        <family val="2"/>
        <scheme val="minor"/>
      </rPr>
      <t xml:space="preserve"> x </t>
    </r>
    <r>
      <rPr>
        <b/>
        <sz val="14"/>
        <color theme="1"/>
        <rFont val="Aptos Narrow"/>
        <family val="2"/>
        <scheme val="minor"/>
      </rPr>
      <t xml:space="preserve">C, </t>
    </r>
    <r>
      <rPr>
        <sz val="14"/>
        <color theme="1"/>
        <rFont val="Aptos Narrow"/>
        <family val="2"/>
        <scheme val="minor"/>
      </rPr>
      <t>pembulatan kelipatan 50</t>
    </r>
  </si>
  <si>
    <r>
      <t xml:space="preserve">= </t>
    </r>
    <r>
      <rPr>
        <b/>
        <sz val="14"/>
        <color theme="1"/>
        <rFont val="Aptos Narrow"/>
        <family val="2"/>
        <scheme val="minor"/>
      </rPr>
      <t>2</t>
    </r>
    <r>
      <rPr>
        <sz val="14"/>
        <color theme="1"/>
        <rFont val="Aptos Narrow"/>
        <family val="2"/>
        <scheme val="minor"/>
      </rPr>
      <t xml:space="preserve"> - </t>
    </r>
    <r>
      <rPr>
        <b/>
        <sz val="14"/>
        <color theme="1"/>
        <rFont val="Aptos Narrow"/>
        <family val="2"/>
        <scheme val="minor"/>
      </rPr>
      <t xml:space="preserve">L </t>
    </r>
    <r>
      <rPr>
        <sz val="14"/>
        <color theme="1"/>
        <rFont val="Aptos Narrow"/>
        <family val="2"/>
        <scheme val="minor"/>
      </rPr>
      <t xml:space="preserve">- </t>
    </r>
    <r>
      <rPr>
        <b/>
        <sz val="14"/>
        <color theme="1"/>
        <rFont val="Aptos Narrow"/>
        <family val="2"/>
        <scheme val="minor"/>
      </rPr>
      <t>M</t>
    </r>
  </si>
  <si>
    <t>Input manual sesuai kapan akan order</t>
  </si>
  <si>
    <t>Input Manual dari dropbox jenis pakan</t>
  </si>
  <si>
    <t>Input Manual dari dropbox jumlah pakan</t>
  </si>
  <si>
    <t>Input manual dari Lokasi shipping type SIC</t>
  </si>
  <si>
    <r>
      <t xml:space="preserve">= </t>
    </r>
    <r>
      <rPr>
        <b/>
        <sz val="14"/>
        <color theme="1"/>
        <rFont val="Aptos Narrow"/>
        <family val="2"/>
        <scheme val="minor"/>
      </rPr>
      <t xml:space="preserve">AH </t>
    </r>
    <r>
      <rPr>
        <sz val="14"/>
        <color theme="1"/>
        <rFont val="Aptos Narrow"/>
        <family val="2"/>
        <scheme val="minor"/>
      </rPr>
      <t>- Today()</t>
    </r>
  </si>
  <si>
    <r>
      <t xml:space="preserve">= </t>
    </r>
    <r>
      <rPr>
        <b/>
        <sz val="14"/>
        <color theme="1"/>
        <rFont val="Aptos Narrow"/>
        <family val="2"/>
        <scheme val="minor"/>
      </rPr>
      <t>1</t>
    </r>
    <r>
      <rPr>
        <sz val="14"/>
        <color theme="1"/>
        <rFont val="Aptos Narrow"/>
        <family val="2"/>
        <scheme val="minor"/>
      </rPr>
      <t xml:space="preserve"> + </t>
    </r>
    <r>
      <rPr>
        <b/>
        <sz val="14"/>
        <color theme="1"/>
        <rFont val="Aptos Narrow"/>
        <family val="2"/>
        <scheme val="minor"/>
      </rPr>
      <t>AI</t>
    </r>
  </si>
  <si>
    <r>
      <t xml:space="preserve">= </t>
    </r>
    <r>
      <rPr>
        <b/>
        <sz val="14"/>
        <color theme="1"/>
        <rFont val="Aptos Narrow"/>
        <family val="2"/>
        <scheme val="minor"/>
      </rPr>
      <t>Z</t>
    </r>
    <r>
      <rPr>
        <sz val="14"/>
        <color theme="1"/>
        <rFont val="Aptos Narrow"/>
        <family val="2"/>
        <scheme val="minor"/>
      </rPr>
      <t xml:space="preserve"> + </t>
    </r>
    <r>
      <rPr>
        <b/>
        <sz val="14"/>
        <color theme="1"/>
        <rFont val="Aptos Narrow"/>
        <family val="2"/>
        <scheme val="minor"/>
      </rPr>
      <t>AB</t>
    </r>
    <r>
      <rPr>
        <sz val="14"/>
        <color theme="1"/>
        <rFont val="Aptos Narrow"/>
        <family val="2"/>
        <scheme val="minor"/>
      </rPr>
      <t xml:space="preserve"> + </t>
    </r>
    <r>
      <rPr>
        <b/>
        <sz val="14"/>
        <color theme="1"/>
        <rFont val="Aptos Narrow"/>
        <family val="2"/>
        <scheme val="minor"/>
      </rPr>
      <t>AD</t>
    </r>
    <r>
      <rPr>
        <sz val="14"/>
        <color theme="1"/>
        <rFont val="Aptos Narrow"/>
        <family val="2"/>
        <scheme val="minor"/>
      </rPr>
      <t xml:space="preserve"> +</t>
    </r>
    <r>
      <rPr>
        <b/>
        <sz val="14"/>
        <color theme="1"/>
        <rFont val="Aptos Narrow"/>
        <family val="2"/>
        <scheme val="minor"/>
      </rPr>
      <t>AF</t>
    </r>
  </si>
  <si>
    <t>Total Pakan Sisa</t>
  </si>
  <si>
    <t>FI Cum Sisa Pakan</t>
  </si>
  <si>
    <t>FI CUM Total</t>
  </si>
  <si>
    <t>Usia FI CUM Total</t>
  </si>
  <si>
    <r>
      <t xml:space="preserve">= </t>
    </r>
    <r>
      <rPr>
        <b/>
        <sz val="14"/>
        <color theme="1"/>
        <rFont val="Aptos Narrow"/>
        <family val="2"/>
        <scheme val="minor"/>
      </rPr>
      <t>N</t>
    </r>
    <r>
      <rPr>
        <sz val="14"/>
        <color theme="1"/>
        <rFont val="Aptos Narrow"/>
        <family val="2"/>
        <scheme val="minor"/>
      </rPr>
      <t xml:space="preserve"> +</t>
    </r>
    <r>
      <rPr>
        <b/>
        <sz val="14"/>
        <color theme="1"/>
        <rFont val="Aptos Narrow"/>
        <family val="2"/>
        <scheme val="minor"/>
      </rPr>
      <t xml:space="preserve"> AG</t>
    </r>
    <r>
      <rPr>
        <sz val="14"/>
        <color theme="1"/>
        <rFont val="Aptos Narrow"/>
        <family val="2"/>
        <scheme val="minor"/>
      </rPr>
      <t xml:space="preserve"> - </t>
    </r>
    <r>
      <rPr>
        <b/>
        <sz val="14"/>
        <color theme="1"/>
        <rFont val="Aptos Narrow"/>
        <family val="2"/>
        <scheme val="minor"/>
      </rPr>
      <t>7</t>
    </r>
  </si>
  <si>
    <r>
      <t xml:space="preserve">= </t>
    </r>
    <r>
      <rPr>
        <b/>
        <sz val="14"/>
        <color theme="1"/>
        <rFont val="Aptos Narrow"/>
        <family val="2"/>
        <scheme val="minor"/>
      </rPr>
      <t>12</t>
    </r>
    <r>
      <rPr>
        <sz val="14"/>
        <color theme="1"/>
        <rFont val="Aptos Narrow"/>
        <family val="2"/>
        <scheme val="minor"/>
      </rPr>
      <t xml:space="preserve"> / </t>
    </r>
    <r>
      <rPr>
        <b/>
        <sz val="14"/>
        <color theme="1"/>
        <rFont val="Aptos Narrow"/>
        <family val="2"/>
        <scheme val="minor"/>
      </rPr>
      <t>4</t>
    </r>
    <r>
      <rPr>
        <sz val="14"/>
        <color theme="1"/>
        <rFont val="Aptos Narrow"/>
        <family val="2"/>
        <scheme val="minor"/>
      </rPr>
      <t xml:space="preserve"> , pembulatan 3 angka dibelakang koma</t>
    </r>
  </si>
  <si>
    <r>
      <t xml:space="preserve">= </t>
    </r>
    <r>
      <rPr>
        <b/>
        <sz val="14"/>
        <color theme="1"/>
        <rFont val="Aptos Narrow"/>
        <family val="2"/>
        <scheme val="minor"/>
      </rPr>
      <t>6</t>
    </r>
    <r>
      <rPr>
        <sz val="14"/>
        <color theme="1"/>
        <rFont val="Aptos Narrow"/>
        <family val="2"/>
        <scheme val="minor"/>
      </rPr>
      <t xml:space="preserve"> + </t>
    </r>
    <r>
      <rPr>
        <b/>
        <sz val="14"/>
        <color theme="1"/>
        <rFont val="Aptos Narrow"/>
        <family val="2"/>
        <scheme val="minor"/>
      </rPr>
      <t>13</t>
    </r>
  </si>
  <si>
    <r>
      <t xml:space="preserve">Usia Standar dari </t>
    </r>
    <r>
      <rPr>
        <b/>
        <sz val="14"/>
        <color theme="1"/>
        <rFont val="Aptos Narrow"/>
        <family val="2"/>
        <scheme val="minor"/>
      </rPr>
      <t>14</t>
    </r>
  </si>
  <si>
    <t>Mort ekor</t>
  </si>
  <si>
    <t>Diff FCR</t>
  </si>
  <si>
    <r>
      <t xml:space="preserve">= </t>
    </r>
    <r>
      <rPr>
        <b/>
        <sz val="14"/>
        <color theme="1"/>
        <rFont val="Aptos Narrow"/>
        <family val="2"/>
        <scheme val="minor"/>
      </rPr>
      <t>L</t>
    </r>
    <r>
      <rPr>
        <sz val="14"/>
        <color theme="1"/>
        <rFont val="Aptos Narrow"/>
        <family val="2"/>
        <scheme val="minor"/>
      </rPr>
      <t xml:space="preserve"> - FCR Standar dari </t>
    </r>
    <r>
      <rPr>
        <b/>
        <sz val="14"/>
        <color theme="1"/>
        <rFont val="Aptos Narrow"/>
        <family val="2"/>
        <scheme val="minor"/>
      </rPr>
      <t>H</t>
    </r>
  </si>
  <si>
    <r>
      <t xml:space="preserve">= Today() - </t>
    </r>
    <r>
      <rPr>
        <b/>
        <sz val="14"/>
        <color theme="1"/>
        <rFont val="Aptos Narrow"/>
        <family val="2"/>
        <scheme val="minor"/>
      </rPr>
      <t>1</t>
    </r>
  </si>
  <si>
    <r>
      <rPr>
        <b/>
        <sz val="14"/>
        <color theme="1"/>
        <rFont val="Aptos Narrow"/>
        <family val="2"/>
        <scheme val="minor"/>
      </rPr>
      <t>= 1</t>
    </r>
    <r>
      <rPr>
        <sz val="14"/>
        <color theme="1"/>
        <rFont val="Aptos Narrow"/>
        <family val="2"/>
        <scheme val="minor"/>
      </rPr>
      <t xml:space="preserve"> + </t>
    </r>
    <r>
      <rPr>
        <b/>
        <sz val="14"/>
        <color theme="1"/>
        <rFont val="Aptos Narrow"/>
        <family val="2"/>
        <scheme val="minor"/>
      </rPr>
      <t>S</t>
    </r>
  </si>
  <si>
    <t>GF 511 SUPER</t>
  </si>
  <si>
    <t>SIDOARJO</t>
  </si>
  <si>
    <t>SEMARANG</t>
  </si>
  <si>
    <t>SRAGEN</t>
  </si>
  <si>
    <t>CIREBON</t>
  </si>
  <si>
    <t>MAGELANG</t>
  </si>
  <si>
    <t>TULUNGAGUNG</t>
  </si>
  <si>
    <r>
      <t xml:space="preserve">= IF ( </t>
    </r>
    <r>
      <rPr>
        <b/>
        <sz val="14"/>
        <color theme="1"/>
        <rFont val="Aptos Narrow"/>
        <family val="2"/>
        <scheme val="minor"/>
      </rPr>
      <t>14</t>
    </r>
    <r>
      <rPr>
        <sz val="14"/>
        <color theme="1"/>
        <rFont val="Aptos Narrow"/>
        <family val="2"/>
        <scheme val="minor"/>
      </rPr>
      <t xml:space="preserve"> &lt;= </t>
    </r>
    <r>
      <rPr>
        <b/>
        <sz val="14"/>
        <color theme="1"/>
        <rFont val="Aptos Narrow"/>
        <family val="2"/>
        <scheme val="minor"/>
      </rPr>
      <t>9</t>
    </r>
    <r>
      <rPr>
        <sz val="14"/>
        <color theme="1"/>
        <rFont val="Aptos Narrow"/>
        <family val="2"/>
        <scheme val="minor"/>
      </rPr>
      <t xml:space="preserve"> ; Jika terpenuhi maka </t>
    </r>
    <r>
      <rPr>
        <b/>
        <sz val="14"/>
        <color theme="1"/>
        <rFont val="Aptos Narrow"/>
        <family val="2"/>
        <scheme val="minor"/>
      </rPr>
      <t>S</t>
    </r>
    <r>
      <rPr>
        <sz val="14"/>
        <color theme="1"/>
        <rFont val="Aptos Narrow"/>
        <family val="2"/>
        <scheme val="minor"/>
      </rPr>
      <t xml:space="preserve">, Jika tidak maka </t>
    </r>
    <r>
      <rPr>
        <b/>
        <sz val="14"/>
        <color theme="1"/>
        <rFont val="Aptos Narrow"/>
        <family val="2"/>
        <scheme val="minor"/>
      </rPr>
      <t>15</t>
    </r>
    <r>
      <rPr>
        <sz val="14"/>
        <color theme="1"/>
        <rFont val="Aptos Narrow"/>
        <family val="2"/>
        <scheme val="minor"/>
      </rPr>
      <t xml:space="preserve"> + S - </t>
    </r>
    <r>
      <rPr>
        <b/>
        <sz val="14"/>
        <color theme="1"/>
        <rFont val="Aptos Narrow"/>
        <family val="2"/>
        <scheme val="minor"/>
      </rPr>
      <t>10</t>
    </r>
  </si>
  <si>
    <t>JG02-Jeane 1 S.2 (Update KHK, Tanpa Panen, Seting Pakan)</t>
  </si>
  <si>
    <t>JG03-Anto 1 S.2 (Update KHK, Tanpa Panen, Tanpa Seting Pakan)</t>
  </si>
  <si>
    <t>JG01-Silvy 1 S.3 (RCI, Terima Pakan, Seting Pakan)</t>
  </si>
  <si>
    <t>JG02-Jeane 1 S.3 (RCI, Terima Pakan, Tanpa Seting Pakan)</t>
  </si>
  <si>
    <t>JG03-Anto 1 S.3 (RCI, Belum Terima Pakan, Seting Pakan)</t>
  </si>
  <si>
    <t>JG01-Silvy 1 S.4 (RCI, Belum Seting Pakan)</t>
  </si>
  <si>
    <t>JG01-Silvy 1 S.1 (Update KHK, Panen Setelah Share, Seting Pakan)</t>
  </si>
  <si>
    <t>JG02-Jeane 1 S.1 (Update KHK, Panen Setelah Share, Tanpa Seting Pakan)</t>
  </si>
  <si>
    <t>JG03-Anto 1 S.1 (Update KHK, Panen Sebelum/Pas Share , Seting Pakan)</t>
  </si>
  <si>
    <t>JG01-Silvy 1 S.2 (Update KHK, Panen Sebelum/Pas Share, Tanpa Seting Pakan)</t>
  </si>
  <si>
    <t>XI</t>
  </si>
  <si>
    <t>X......</t>
  </si>
  <si>
    <t>Tambahan Kolom</t>
  </si>
  <si>
    <t>Date SAP</t>
  </si>
  <si>
    <t>Ekor SAP</t>
  </si>
  <si>
    <t>Panen Parsial</t>
  </si>
  <si>
    <t xml:space="preserve">Date terakhir dari Harvest </t>
  </si>
  <si>
    <t>Jumlah Ekoran sampai Harvest Terakhir</t>
  </si>
  <si>
    <r>
      <rPr>
        <b/>
        <sz val="14"/>
        <color theme="1"/>
        <rFont val="Aptos Narrow"/>
        <family val="2"/>
        <scheme val="minor"/>
      </rPr>
      <t>= G</t>
    </r>
    <r>
      <rPr>
        <sz val="14"/>
        <color theme="1"/>
        <rFont val="Aptos Narrow"/>
        <family val="2"/>
        <scheme val="minor"/>
      </rPr>
      <t xml:space="preserve"> - </t>
    </r>
    <r>
      <rPr>
        <b/>
        <sz val="14"/>
        <color theme="1"/>
        <rFont val="Aptos Narrow"/>
        <family val="2"/>
        <scheme val="minor"/>
      </rPr>
      <t>Q</t>
    </r>
    <r>
      <rPr>
        <sz val="14"/>
        <color theme="1"/>
        <rFont val="Aptos Narrow"/>
        <family val="2"/>
        <scheme val="minor"/>
      </rPr>
      <t xml:space="preserve"> - </t>
    </r>
    <r>
      <rPr>
        <b/>
        <sz val="14"/>
        <color theme="1"/>
        <rFont val="Aptos Narrow"/>
        <family val="2"/>
        <scheme val="minor"/>
      </rPr>
      <t>17</t>
    </r>
  </si>
  <si>
    <r>
      <rPr>
        <b/>
        <sz val="14"/>
        <color theme="1"/>
        <rFont val="Aptos Narrow"/>
        <family val="2"/>
        <scheme val="minor"/>
      </rPr>
      <t>= C</t>
    </r>
    <r>
      <rPr>
        <sz val="14"/>
        <color theme="1"/>
        <rFont val="Aptos Narrow"/>
        <family val="2"/>
        <scheme val="minor"/>
      </rPr>
      <t xml:space="preserve"> - </t>
    </r>
    <r>
      <rPr>
        <b/>
        <sz val="14"/>
        <color theme="1"/>
        <rFont val="Aptos Narrow"/>
        <family val="2"/>
        <scheme val="minor"/>
      </rPr>
      <t>F</t>
    </r>
  </si>
  <si>
    <r>
      <t>=IF ((</t>
    </r>
    <r>
      <rPr>
        <b/>
        <sz val="14"/>
        <color theme="1"/>
        <rFont val="Aptos Narrow"/>
        <family val="2"/>
        <scheme val="minor"/>
      </rPr>
      <t>P</t>
    </r>
    <r>
      <rPr>
        <sz val="14"/>
        <color theme="1"/>
        <rFont val="Aptos Narrow"/>
        <family val="2"/>
        <scheme val="minor"/>
      </rPr>
      <t xml:space="preserve"> atau </t>
    </r>
    <r>
      <rPr>
        <b/>
        <sz val="14"/>
        <color theme="1"/>
        <rFont val="Aptos Narrow"/>
        <family val="2"/>
        <scheme val="minor"/>
      </rPr>
      <t>16</t>
    </r>
    <r>
      <rPr>
        <sz val="14"/>
        <color theme="1"/>
        <rFont val="Aptos Narrow"/>
        <family val="2"/>
        <scheme val="minor"/>
      </rPr>
      <t xml:space="preserve"> &lt; </t>
    </r>
    <r>
      <rPr>
        <b/>
        <sz val="14"/>
        <color theme="1"/>
        <rFont val="Aptos Narrow"/>
        <family val="2"/>
        <scheme val="minor"/>
      </rPr>
      <t>D)</t>
    </r>
    <r>
      <rPr>
        <sz val="14"/>
        <color theme="1"/>
        <rFont val="Aptos Narrow"/>
        <family val="2"/>
        <scheme val="minor"/>
      </rPr>
      <t xml:space="preserve"> atau (</t>
    </r>
    <r>
      <rPr>
        <b/>
        <sz val="14"/>
        <color theme="1"/>
        <rFont val="Aptos Narrow"/>
        <family val="2"/>
        <scheme val="minor"/>
      </rPr>
      <t>P</t>
    </r>
    <r>
      <rPr>
        <sz val="14"/>
        <color theme="1"/>
        <rFont val="Aptos Narrow"/>
        <family val="2"/>
        <scheme val="minor"/>
      </rPr>
      <t xml:space="preserve"> atau </t>
    </r>
    <r>
      <rPr>
        <b/>
        <sz val="14"/>
        <color theme="1"/>
        <rFont val="Aptos Narrow"/>
        <family val="2"/>
        <scheme val="minor"/>
      </rPr>
      <t>16</t>
    </r>
    <r>
      <rPr>
        <sz val="14"/>
        <color theme="1"/>
        <rFont val="Aptos Narrow"/>
        <family val="2"/>
        <scheme val="minor"/>
      </rPr>
      <t xml:space="preserve"> adalah kosong) ; Jika terpenuhi maka </t>
    </r>
    <r>
      <rPr>
        <b/>
        <sz val="14"/>
        <color theme="1"/>
        <rFont val="Aptos Narrow"/>
        <family val="2"/>
        <scheme val="minor"/>
      </rPr>
      <t>E</t>
    </r>
    <r>
      <rPr>
        <sz val="14"/>
        <color theme="1"/>
        <rFont val="Aptos Narrow"/>
        <family val="2"/>
        <scheme val="minor"/>
      </rPr>
      <t>, Jika Tidak maka Tanggal terbaru dari (</t>
    </r>
    <r>
      <rPr>
        <b/>
        <sz val="14"/>
        <color theme="1"/>
        <rFont val="Aptos Narrow"/>
        <family val="2"/>
        <scheme val="minor"/>
      </rPr>
      <t xml:space="preserve">P atau 16) </t>
    </r>
    <r>
      <rPr>
        <sz val="14"/>
        <color theme="1"/>
        <rFont val="Aptos Narrow"/>
        <family val="2"/>
        <scheme val="minor"/>
      </rPr>
      <t xml:space="preserve"> - </t>
    </r>
    <r>
      <rPr>
        <b/>
        <sz val="14"/>
        <color theme="1"/>
        <rFont val="Aptos Narrow"/>
        <family val="2"/>
        <scheme val="minor"/>
      </rPr>
      <t>1</t>
    </r>
    <r>
      <rPr>
        <sz val="14"/>
        <color theme="1"/>
        <rFont val="Aptos Narrow"/>
        <family val="2"/>
        <scheme val="minor"/>
      </rPr>
      <t xml:space="preserve"> )</t>
    </r>
  </si>
  <si>
    <t>JG01-Jeane 1 S.4 (Update KHK, Panen Setelah Share &amp; Input Harvest, Seting Pakan)</t>
  </si>
  <si>
    <t>JG03-Anto 1 S.3 (Update KHK, Panen Setelah Share &amp; Input Harvest, Tanpa Seting Pakan)</t>
  </si>
  <si>
    <t>Input Manual di IBOCS</t>
  </si>
  <si>
    <t>Kebutuhan pihak CTU &amp; BMAX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</si>
</sst>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.000_);_(* \(#,##0.000\);_(* &quot;-&quot;??_);_(@_)"/>
    <numFmt numFmtId="165" formatCode="[$-409]dd/mmm/yy;@"/>
    <numFmt numFmtId="166" formatCode="_(* #,##0_);_(* \(#,##0\);_(* &quot;-&quot;??_);_(@_)"/>
    <numFmt numFmtId="167" formatCode="0.0000"/>
    <numFmt numFmtId="168" formatCode="0.000"/>
    <numFmt numFmtId="169" formatCode="[$-409]dd\-mmm\-yy;@"/>
  </numFmts>
  <fonts count="12">
    <font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name val="Arial"/>
      <family val="2"/>
    </font>
    <font>
      <sz val="12"/>
      <color rgb="FF5762AA"/>
      <name val="Arial"/>
      <family val="2"/>
    </font>
    <font>
      <sz val="10"/>
      <color rgb="FF00000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112">
    <xf numFmtId="0" fontId="0" fillId="0" borderId="0" xfId="0"/>
    <xf numFmtId="0" fontId="4" fillId="0" borderId="1" xfId="2" applyFont="1" applyBorder="1"/>
    <xf numFmtId="0" fontId="4" fillId="0" borderId="2" xfId="2" applyFont="1" applyBorder="1"/>
    <xf numFmtId="0" fontId="3" fillId="0" borderId="0" xfId="2"/>
    <xf numFmtId="0" fontId="4" fillId="0" borderId="1" xfId="2" applyFont="1" applyBorder="1" applyAlignment="1">
      <alignment horizontal="right"/>
    </xf>
    <xf numFmtId="0" fontId="3" fillId="0" borderId="1" xfId="2" applyBorder="1"/>
    <xf numFmtId="0" fontId="4" fillId="2" borderId="1" xfId="2" applyFont="1" applyFill="1" applyBorder="1" applyAlignment="1">
      <alignment horizontal="right"/>
    </xf>
    <xf numFmtId="43" fontId="3" fillId="0" borderId="0" xfId="1" applyFont="1"/>
    <xf numFmtId="0" fontId="3" fillId="0" borderId="0" xfId="2" applyAlignment="1">
      <alignment horizontal="right"/>
    </xf>
    <xf numFmtId="0" fontId="3" fillId="0" borderId="0" xfId="2" applyAlignment="1">
      <alignment horizontal="center" vertical="center" wrapText="1"/>
    </xf>
    <xf numFmtId="0" fontId="5" fillId="0" borderId="0" xfId="2" applyFont="1" applyAlignment="1">
      <alignment horizontal="right"/>
    </xf>
    <xf numFmtId="0" fontId="5" fillId="0" borderId="0" xfId="2" applyFont="1"/>
    <xf numFmtId="43" fontId="5" fillId="0" borderId="0" xfId="1" applyFont="1"/>
    <xf numFmtId="0" fontId="5" fillId="0" borderId="0" xfId="2" applyFont="1" applyAlignment="1">
      <alignment horizontal="center" vertical="center" wrapText="1"/>
    </xf>
    <xf numFmtId="0" fontId="2" fillId="0" borderId="0" xfId="0" applyFont="1"/>
    <xf numFmtId="0" fontId="5" fillId="0" borderId="3" xfId="2" applyFont="1" applyBorder="1" applyAlignment="1">
      <alignment horizontal="right"/>
    </xf>
    <xf numFmtId="43" fontId="5" fillId="0" borderId="3" xfId="1" applyFont="1" applyBorder="1"/>
    <xf numFmtId="0" fontId="5" fillId="0" borderId="3" xfId="2" applyFont="1" applyBorder="1" applyAlignment="1">
      <alignment horizontal="center" vertical="center" wrapText="1"/>
    </xf>
    <xf numFmtId="43" fontId="5" fillId="0" borderId="3" xfId="2" applyNumberFormat="1" applyFont="1" applyBorder="1"/>
    <xf numFmtId="164" fontId="5" fillId="0" borderId="3" xfId="1" applyNumberFormat="1" applyFont="1" applyBorder="1"/>
    <xf numFmtId="165" fontId="5" fillId="2" borderId="3" xfId="1" applyNumberFormat="1" applyFont="1" applyFill="1" applyBorder="1"/>
    <xf numFmtId="165" fontId="5" fillId="0" borderId="3" xfId="2" applyNumberFormat="1" applyFont="1" applyBorder="1"/>
    <xf numFmtId="165" fontId="5" fillId="0" borderId="3" xfId="1" applyNumberFormat="1" applyFont="1" applyBorder="1"/>
    <xf numFmtId="166" fontId="5" fillId="0" borderId="3" xfId="1" applyNumberFormat="1" applyFont="1" applyBorder="1"/>
    <xf numFmtId="166" fontId="5" fillId="0" borderId="3" xfId="2" applyNumberFormat="1" applyFont="1" applyBorder="1"/>
    <xf numFmtId="166" fontId="5" fillId="2" borderId="3" xfId="1" applyNumberFormat="1" applyFont="1" applyFill="1" applyBorder="1"/>
    <xf numFmtId="166" fontId="5" fillId="0" borderId="3" xfId="1" applyNumberFormat="1" applyFont="1" applyFill="1" applyBorder="1"/>
    <xf numFmtId="0" fontId="2" fillId="0" borderId="0" xfId="0" applyFont="1" applyAlignment="1">
      <alignment wrapText="1"/>
    </xf>
    <xf numFmtId="43" fontId="5" fillId="0" borderId="3" xfId="1" applyFont="1" applyBorder="1" applyAlignment="1">
      <alignment horizontal="center" vertical="center" wrapText="1"/>
    </xf>
    <xf numFmtId="166" fontId="3" fillId="0" borderId="0" xfId="1" applyNumberFormat="1" applyFont="1"/>
    <xf numFmtId="164" fontId="3" fillId="0" borderId="0" xfId="1" applyNumberFormat="1" applyFont="1"/>
    <xf numFmtId="167" fontId="0" fillId="0" borderId="0" xfId="0" applyNumberFormat="1"/>
    <xf numFmtId="168" fontId="0" fillId="0" borderId="0" xfId="0" applyNumberFormat="1"/>
    <xf numFmtId="164" fontId="3" fillId="0" borderId="0" xfId="1" applyNumberFormat="1" applyFont="1" applyAlignment="1">
      <alignment horizontal="center" vertical="center" wrapText="1"/>
    </xf>
    <xf numFmtId="168" fontId="0" fillId="0" borderId="0" xfId="1" applyNumberFormat="1" applyFont="1"/>
    <xf numFmtId="0" fontId="6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8" fillId="0" borderId="0" xfId="0" applyFont="1" applyAlignment="1">
      <alignment horizontal="left" vertical="top"/>
    </xf>
    <xf numFmtId="43" fontId="0" fillId="0" borderId="0" xfId="1" applyFont="1" applyAlignment="1">
      <alignment horizontal="left" vertical="top"/>
    </xf>
    <xf numFmtId="164" fontId="0" fillId="0" borderId="0" xfId="1" applyNumberFormat="1" applyFont="1" applyAlignment="1">
      <alignment horizontal="left" vertical="top"/>
    </xf>
    <xf numFmtId="168" fontId="0" fillId="0" borderId="0" xfId="0" applyNumberFormat="1" applyAlignment="1">
      <alignment horizontal="left" vertical="top"/>
    </xf>
    <xf numFmtId="168" fontId="0" fillId="2" borderId="0" xfId="0" applyNumberFormat="1" applyFill="1" applyAlignment="1">
      <alignment horizontal="left" vertical="top"/>
    </xf>
    <xf numFmtId="43" fontId="0" fillId="2" borderId="0" xfId="1" applyFont="1" applyFill="1" applyAlignment="1">
      <alignment horizontal="left" vertical="top"/>
    </xf>
    <xf numFmtId="164" fontId="0" fillId="2" borderId="0" xfId="1" applyNumberFormat="1" applyFont="1" applyFill="1" applyAlignment="1">
      <alignment horizontal="left" vertical="top"/>
    </xf>
    <xf numFmtId="168" fontId="3" fillId="0" borderId="0" xfId="2" applyNumberFormat="1"/>
    <xf numFmtId="168" fontId="0" fillId="0" borderId="0" xfId="1" applyNumberFormat="1" applyFont="1" applyAlignment="1">
      <alignment horizontal="right" vertical="top"/>
    </xf>
    <xf numFmtId="164" fontId="3" fillId="0" borderId="0" xfId="2" applyNumberFormat="1"/>
    <xf numFmtId="168" fontId="0" fillId="2" borderId="0" xfId="0" applyNumberFormat="1" applyFill="1"/>
    <xf numFmtId="167" fontId="0" fillId="0" borderId="0" xfId="0" applyNumberFormat="1" applyAlignment="1">
      <alignment horizontal="center"/>
    </xf>
    <xf numFmtId="0" fontId="2" fillId="2" borderId="0" xfId="0" applyFont="1" applyFill="1"/>
    <xf numFmtId="0" fontId="0" fillId="0" borderId="0" xfId="0" applyAlignment="1">
      <alignment wrapText="1"/>
    </xf>
    <xf numFmtId="167" fontId="0" fillId="0" borderId="0" xfId="0" applyNumberFormat="1" applyAlignment="1">
      <alignment wrapText="1"/>
    </xf>
    <xf numFmtId="168" fontId="0" fillId="0" borderId="0" xfId="1" applyNumberFormat="1" applyFont="1" applyAlignment="1">
      <alignment wrapText="1"/>
    </xf>
    <xf numFmtId="168" fontId="0" fillId="0" borderId="0" xfId="0" applyNumberFormat="1" applyAlignment="1">
      <alignment wrapText="1"/>
    </xf>
    <xf numFmtId="0" fontId="5" fillId="0" borderId="0" xfId="0" applyFont="1"/>
    <xf numFmtId="0" fontId="5" fillId="0" borderId="3" xfId="0" applyFont="1" applyBorder="1"/>
    <xf numFmtId="165" fontId="5" fillId="0" borderId="3" xfId="1" applyNumberFormat="1" applyFont="1" applyFill="1" applyBorder="1"/>
    <xf numFmtId="0" fontId="5" fillId="3" borderId="3" xfId="0" applyFont="1" applyFill="1" applyBorder="1"/>
    <xf numFmtId="164" fontId="5" fillId="2" borderId="3" xfId="1" applyNumberFormat="1" applyFont="1" applyFill="1" applyBorder="1"/>
    <xf numFmtId="0" fontId="5" fillId="0" borderId="3" xfId="2" applyFont="1" applyBorder="1"/>
    <xf numFmtId="0" fontId="0" fillId="0" borderId="7" xfId="0" applyBorder="1"/>
    <xf numFmtId="0" fontId="0" fillId="0" borderId="7" xfId="0" applyBorder="1" applyAlignment="1">
      <alignment horizontal="centerContinuous"/>
    </xf>
    <xf numFmtId="0" fontId="2" fillId="3" borderId="0" xfId="0" applyFont="1" applyFill="1"/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2" fillId="0" borderId="3" xfId="0" applyFont="1" applyBorder="1"/>
    <xf numFmtId="49" fontId="2" fillId="0" borderId="3" xfId="0" applyNumberFormat="1" applyFont="1" applyBorder="1" applyAlignment="1">
      <alignment horizontal="right"/>
    </xf>
    <xf numFmtId="0" fontId="2" fillId="3" borderId="3" xfId="0" applyFont="1" applyFill="1" applyBorder="1"/>
    <xf numFmtId="169" fontId="5" fillId="0" borderId="3" xfId="1" applyNumberFormat="1" applyFont="1" applyBorder="1"/>
    <xf numFmtId="164" fontId="5" fillId="4" borderId="3" xfId="1" applyNumberFormat="1" applyFont="1" applyFill="1" applyBorder="1"/>
    <xf numFmtId="0" fontId="0" fillId="5" borderId="0" xfId="0" applyFill="1"/>
    <xf numFmtId="0" fontId="0" fillId="5" borderId="8" xfId="0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quotePrefix="1" applyAlignment="1">
      <alignment horizontal="left" vertical="top"/>
    </xf>
    <xf numFmtId="0" fontId="0" fillId="0" borderId="0" xfId="0" applyAlignment="1">
      <alignment horizontal="center"/>
    </xf>
    <xf numFmtId="0" fontId="0" fillId="5" borderId="9" xfId="0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center" wrapText="1"/>
    </xf>
    <xf numFmtId="0" fontId="0" fillId="0" borderId="8" xfId="0" applyBorder="1" applyAlignment="1">
      <alignment horizontal="centerContinuous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5" borderId="0" xfId="0" quotePrefix="1" applyFont="1" applyFill="1" applyAlignment="1">
      <alignment horizontal="left" vertical="top"/>
    </xf>
    <xf numFmtId="0" fontId="0" fillId="5" borderId="0" xfId="0" quotePrefix="1" applyFill="1" applyAlignment="1">
      <alignment horizontal="left" vertical="top"/>
    </xf>
    <xf numFmtId="0" fontId="0" fillId="0" borderId="7" xfId="0" applyBorder="1" applyAlignment="1">
      <alignment horizontal="center"/>
    </xf>
    <xf numFmtId="0" fontId="2" fillId="0" borderId="0" xfId="0" applyFont="1" applyAlignment="1">
      <alignment horizontal="center"/>
    </xf>
    <xf numFmtId="0" fontId="0" fillId="5" borderId="0" xfId="0" quotePrefix="1" applyFill="1"/>
    <xf numFmtId="166" fontId="0" fillId="0" borderId="7" xfId="1" applyNumberFormat="1" applyFont="1" applyBorder="1"/>
    <xf numFmtId="165" fontId="0" fillId="0" borderId="7" xfId="0" applyNumberFormat="1" applyBorder="1"/>
    <xf numFmtId="0" fontId="0" fillId="2" borderId="0" xfId="0" applyFill="1" applyAlignment="1">
      <alignment horizontal="centerContinuous"/>
    </xf>
    <xf numFmtId="164" fontId="0" fillId="0" borderId="7" xfId="1" applyNumberFormat="1" applyFont="1" applyBorder="1"/>
    <xf numFmtId="166" fontId="0" fillId="0" borderId="7" xfId="0" applyNumberFormat="1" applyBorder="1"/>
    <xf numFmtId="43" fontId="0" fillId="0" borderId="7" xfId="0" applyNumberFormat="1" applyBorder="1"/>
    <xf numFmtId="165" fontId="0" fillId="0" borderId="0" xfId="0" applyNumberFormat="1"/>
    <xf numFmtId="0" fontId="0" fillId="6" borderId="7" xfId="0" applyFill="1" applyBorder="1" applyAlignment="1">
      <alignment horizontal="center" vertical="center" wrapText="1"/>
    </xf>
    <xf numFmtId="0" fontId="0" fillId="6" borderId="0" xfId="0" applyFill="1"/>
    <xf numFmtId="165" fontId="0" fillId="0" borderId="7" xfId="1" applyNumberFormat="1" applyFont="1" applyBorder="1"/>
    <xf numFmtId="0" fontId="0" fillId="2" borderId="0" xfId="0" applyFill="1"/>
    <xf numFmtId="0" fontId="0" fillId="2" borderId="7" xfId="0" applyFill="1" applyBorder="1" applyAlignment="1">
      <alignment horizontal="center" vertical="center" wrapText="1"/>
    </xf>
    <xf numFmtId="0" fontId="0" fillId="2" borderId="0" xfId="0" applyFill="1" applyAlignment="1">
      <alignment horizontal="left" vertical="top"/>
    </xf>
    <xf numFmtId="43" fontId="0" fillId="0" borderId="0" xfId="1" applyFont="1" applyAlignment="1">
      <alignment wrapText="1"/>
    </xf>
    <xf numFmtId="0" fontId="0" fillId="0" borderId="0" xfId="0" quotePrefix="1"/>
    <xf numFmtId="0" fontId="0" fillId="0" borderId="0" xfId="0" applyAlignment="1">
      <alignment horizontal="center"/>
    </xf>
    <xf numFmtId="0" fontId="3" fillId="0" borderId="0" xfId="2" applyAlignment="1">
      <alignment horizontal="center"/>
    </xf>
    <xf numFmtId="0" fontId="5" fillId="0" borderId="3" xfId="2" applyFont="1" applyBorder="1" applyAlignment="1">
      <alignment horizontal="center" vertical="center" wrapText="1"/>
    </xf>
    <xf numFmtId="0" fontId="5" fillId="0" borderId="4" xfId="2" applyFont="1" applyBorder="1" applyAlignment="1">
      <alignment horizontal="center" vertical="center" wrapText="1"/>
    </xf>
    <xf numFmtId="0" fontId="5" fillId="0" borderId="5" xfId="2" applyFont="1" applyBorder="1" applyAlignment="1">
      <alignment horizontal="center" vertical="center" wrapText="1"/>
    </xf>
    <xf numFmtId="0" fontId="5" fillId="0" borderId="6" xfId="2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3">
    <cellStyle name="Comma" xfId="1" builtinId="3"/>
    <cellStyle name="Normal" xfId="0" builtinId="0"/>
    <cellStyle name="Normal 2" xfId="2" xr:uid="{EAB5842C-F2E2-43F1-8565-E08FA1A6DAC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76517-6D3B-43FA-B14B-22BEE1DAC7CF}">
  <sheetPr codeName="Sheet1"/>
  <dimension ref="A1:AD3733"/>
  <sheetViews>
    <sheetView topLeftCell="M1" workbookViewId="0">
      <selection activeCell="AD2161" sqref="AD2161"/>
    </sheetView>
  </sheetViews>
  <sheetFormatPr defaultColWidth="6.453125" defaultRowHeight="18"/>
  <cols>
    <col min="20" max="20" width="6.81640625" style="31" customWidth="1"/>
    <col min="29" max="29" width="6.453125" style="34"/>
    <col min="30" max="30" width="6.453125" style="32"/>
  </cols>
  <sheetData>
    <row r="1" spans="1:30">
      <c r="A1" s="100" t="s">
        <v>95</v>
      </c>
      <c r="B1" s="100"/>
      <c r="C1" s="100"/>
      <c r="D1" s="100"/>
      <c r="E1" s="100"/>
      <c r="F1" s="100"/>
      <c r="G1" s="100"/>
      <c r="H1" s="100"/>
      <c r="I1" s="100"/>
      <c r="K1" s="100" t="s">
        <v>90</v>
      </c>
      <c r="L1" s="100"/>
      <c r="M1" s="100"/>
      <c r="N1" s="100"/>
      <c r="O1" s="100"/>
      <c r="P1" s="100"/>
      <c r="Q1" s="100"/>
      <c r="R1" s="100"/>
      <c r="S1" s="100"/>
      <c r="T1" s="48"/>
      <c r="V1" s="87" t="s">
        <v>89</v>
      </c>
      <c r="W1" s="87"/>
      <c r="X1" s="87"/>
      <c r="Y1" s="87"/>
      <c r="Z1" s="87"/>
      <c r="AA1" s="87"/>
      <c r="AB1" s="87"/>
      <c r="AC1" s="87"/>
      <c r="AD1" s="87"/>
    </row>
    <row r="2" spans="1:30" s="50" customFormat="1" ht="36.75" customHeight="1">
      <c r="A2" s="50" t="s">
        <v>0</v>
      </c>
      <c r="B2" s="50" t="s">
        <v>1</v>
      </c>
      <c r="C2" s="50" t="s">
        <v>2</v>
      </c>
      <c r="D2" s="50" t="s">
        <v>3</v>
      </c>
      <c r="E2" s="50" t="s">
        <v>4</v>
      </c>
      <c r="F2" s="50" t="s">
        <v>5</v>
      </c>
      <c r="G2" s="50" t="s">
        <v>6</v>
      </c>
      <c r="H2" s="50" t="s">
        <v>7</v>
      </c>
      <c r="I2" s="50" t="s">
        <v>8</v>
      </c>
      <c r="K2" s="50" t="s">
        <v>0</v>
      </c>
      <c r="L2" s="50" t="s">
        <v>1</v>
      </c>
      <c r="M2" s="50" t="s">
        <v>2</v>
      </c>
      <c r="N2" s="50" t="s">
        <v>3</v>
      </c>
      <c r="O2" s="50" t="s">
        <v>4</v>
      </c>
      <c r="P2" s="50" t="s">
        <v>5</v>
      </c>
      <c r="Q2" s="50" t="s">
        <v>6</v>
      </c>
      <c r="R2" s="50" t="s">
        <v>7</v>
      </c>
      <c r="S2" s="50" t="s">
        <v>8</v>
      </c>
      <c r="T2" s="51" t="s">
        <v>93</v>
      </c>
      <c r="V2" s="50" t="s">
        <v>0</v>
      </c>
      <c r="W2" s="50" t="s">
        <v>1</v>
      </c>
      <c r="X2" s="50" t="s">
        <v>2</v>
      </c>
      <c r="Y2" s="50" t="s">
        <v>3</v>
      </c>
      <c r="Z2" s="50" t="s">
        <v>4</v>
      </c>
      <c r="AA2" s="50" t="s">
        <v>5</v>
      </c>
      <c r="AB2" s="50" t="s">
        <v>6</v>
      </c>
      <c r="AC2" s="52" t="s">
        <v>7</v>
      </c>
      <c r="AD2" s="53" t="s">
        <v>8</v>
      </c>
    </row>
    <row r="3" spans="1:30">
      <c r="A3">
        <v>1</v>
      </c>
      <c r="B3">
        <v>0</v>
      </c>
      <c r="C3">
        <v>0.03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K3">
        <v>1</v>
      </c>
      <c r="L3">
        <v>0</v>
      </c>
      <c r="M3" s="32">
        <v>0.03</v>
      </c>
      <c r="N3" s="32">
        <v>0</v>
      </c>
      <c r="P3" s="32">
        <v>0</v>
      </c>
      <c r="Q3" s="32"/>
      <c r="R3" s="32">
        <v>0</v>
      </c>
      <c r="S3" s="32">
        <v>0</v>
      </c>
      <c r="T3" s="31" cm="1">
        <f t="array" ref="T3:T3282">_xlfn._xlws.FILTER(B3:B5000-L3:L5000,K3:K5000&lt;&gt;"")</f>
        <v>0</v>
      </c>
      <c r="V3">
        <v>1</v>
      </c>
      <c r="W3">
        <v>0</v>
      </c>
      <c r="X3">
        <v>4.2000000000000003E-2</v>
      </c>
      <c r="Y3" s="32">
        <v>9.2999999999999999E-2</v>
      </c>
      <c r="Z3">
        <v>0</v>
      </c>
      <c r="AA3" s="32">
        <v>0</v>
      </c>
      <c r="AB3">
        <v>0</v>
      </c>
      <c r="AC3" s="34">
        <v>0</v>
      </c>
      <c r="AD3" s="32">
        <v>0</v>
      </c>
    </row>
    <row r="4" spans="1:30">
      <c r="A4">
        <v>2</v>
      </c>
      <c r="B4">
        <v>0</v>
      </c>
      <c r="C4">
        <v>3.1E-2</v>
      </c>
      <c r="D4">
        <v>0.01</v>
      </c>
      <c r="E4">
        <v>0</v>
      </c>
      <c r="F4">
        <v>1.2E-2</v>
      </c>
      <c r="G4">
        <v>0</v>
      </c>
      <c r="H4">
        <v>0</v>
      </c>
      <c r="I4">
        <v>1E-3</v>
      </c>
      <c r="K4">
        <v>2</v>
      </c>
      <c r="L4">
        <v>0</v>
      </c>
      <c r="M4" s="32">
        <v>3.1E-2</v>
      </c>
      <c r="N4" s="47">
        <v>8.0000000000000002E-3</v>
      </c>
      <c r="P4" s="32">
        <v>1.2E-2</v>
      </c>
      <c r="R4" s="47">
        <v>1E-3</v>
      </c>
      <c r="S4" s="32">
        <v>1E-3</v>
      </c>
      <c r="T4" s="31">
        <v>0</v>
      </c>
      <c r="V4">
        <v>2</v>
      </c>
      <c r="W4">
        <v>0</v>
      </c>
      <c r="X4">
        <v>4.2999999999999997E-2</v>
      </c>
      <c r="Y4" s="32">
        <v>0.10100000000000001</v>
      </c>
      <c r="Z4">
        <v>0</v>
      </c>
      <c r="AA4" s="32">
        <v>1.7000000000000001E-2</v>
      </c>
      <c r="AB4">
        <v>0</v>
      </c>
      <c r="AC4" s="34">
        <v>1E-3</v>
      </c>
      <c r="AD4" s="32">
        <v>1E-3</v>
      </c>
    </row>
    <row r="5" spans="1:30">
      <c r="A5">
        <v>3</v>
      </c>
      <c r="B5">
        <v>0</v>
      </c>
      <c r="C5">
        <v>3.2000000000000001E-2</v>
      </c>
      <c r="D5">
        <v>0.02</v>
      </c>
      <c r="E5">
        <v>0</v>
      </c>
      <c r="F5">
        <v>2.4E-2</v>
      </c>
      <c r="G5">
        <v>0</v>
      </c>
      <c r="H5">
        <v>0</v>
      </c>
      <c r="I5">
        <v>2E-3</v>
      </c>
      <c r="K5">
        <v>3</v>
      </c>
      <c r="L5">
        <v>0</v>
      </c>
      <c r="M5" s="32">
        <v>3.2000000000000001E-2</v>
      </c>
      <c r="N5" s="47">
        <v>1.6E-2</v>
      </c>
      <c r="P5" s="32">
        <v>2.4E-2</v>
      </c>
      <c r="R5" s="47">
        <v>1E-3</v>
      </c>
      <c r="S5" s="47">
        <v>1E-3</v>
      </c>
      <c r="T5" s="31">
        <v>0</v>
      </c>
      <c r="V5">
        <v>3</v>
      </c>
      <c r="W5">
        <v>0</v>
      </c>
      <c r="X5">
        <v>4.3999999999999997E-2</v>
      </c>
      <c r="Y5" s="32">
        <v>0.109</v>
      </c>
      <c r="Z5">
        <v>0</v>
      </c>
      <c r="AA5" s="32">
        <v>3.3000000000000002E-2</v>
      </c>
      <c r="AB5">
        <v>0</v>
      </c>
      <c r="AC5" s="34">
        <v>2E-3</v>
      </c>
      <c r="AD5" s="32">
        <v>2E-3</v>
      </c>
    </row>
    <row r="6" spans="1:30">
      <c r="A6">
        <v>4</v>
      </c>
      <c r="B6">
        <v>0</v>
      </c>
      <c r="C6">
        <v>3.3000000000000002E-2</v>
      </c>
      <c r="D6">
        <v>0.02</v>
      </c>
      <c r="E6">
        <v>0</v>
      </c>
      <c r="F6">
        <v>3.6999999999999998E-2</v>
      </c>
      <c r="G6">
        <v>0</v>
      </c>
      <c r="H6">
        <v>0</v>
      </c>
      <c r="I6">
        <v>2E-3</v>
      </c>
      <c r="K6">
        <v>4</v>
      </c>
      <c r="L6">
        <v>0</v>
      </c>
      <c r="M6" s="32">
        <v>3.3000000000000002E-2</v>
      </c>
      <c r="N6" s="47">
        <v>2.3E-2</v>
      </c>
      <c r="P6" s="32">
        <v>3.6999999999999998E-2</v>
      </c>
      <c r="R6" s="47">
        <v>2E-3</v>
      </c>
      <c r="S6" s="32">
        <v>2E-3</v>
      </c>
      <c r="T6" s="31">
        <v>0</v>
      </c>
      <c r="V6">
        <v>4</v>
      </c>
      <c r="W6">
        <v>0</v>
      </c>
      <c r="X6">
        <v>4.4999999999999998E-2</v>
      </c>
      <c r="Y6" s="32">
        <v>0.11700000000000001</v>
      </c>
      <c r="Z6">
        <v>0</v>
      </c>
      <c r="AA6" s="32">
        <v>0.05</v>
      </c>
      <c r="AB6">
        <v>0</v>
      </c>
      <c r="AC6" s="34">
        <v>3.0000000000000001E-3</v>
      </c>
      <c r="AD6" s="32">
        <v>3.0000000000000001E-3</v>
      </c>
    </row>
    <row r="7" spans="1:30">
      <c r="A7">
        <v>5</v>
      </c>
      <c r="B7">
        <v>0</v>
      </c>
      <c r="C7">
        <v>3.4000000000000002E-2</v>
      </c>
      <c r="D7">
        <v>0.03</v>
      </c>
      <c r="E7">
        <v>0</v>
      </c>
      <c r="F7">
        <v>4.9000000000000002E-2</v>
      </c>
      <c r="G7">
        <v>0</v>
      </c>
      <c r="H7">
        <v>0</v>
      </c>
      <c r="I7">
        <v>3.0000000000000001E-3</v>
      </c>
      <c r="K7">
        <v>5</v>
      </c>
      <c r="L7">
        <v>0</v>
      </c>
      <c r="M7" s="32">
        <v>3.4000000000000002E-2</v>
      </c>
      <c r="N7" s="47">
        <v>3.1E-2</v>
      </c>
      <c r="P7" s="32">
        <v>4.9000000000000002E-2</v>
      </c>
      <c r="R7" s="47">
        <v>2E-3</v>
      </c>
      <c r="S7" s="47">
        <v>2E-3</v>
      </c>
      <c r="T7" s="31">
        <v>0</v>
      </c>
      <c r="V7">
        <v>5</v>
      </c>
      <c r="W7">
        <v>0</v>
      </c>
      <c r="X7">
        <v>4.5999999999999999E-2</v>
      </c>
      <c r="Y7" s="32">
        <v>0.124</v>
      </c>
      <c r="Z7">
        <v>0</v>
      </c>
      <c r="AA7" s="32">
        <v>6.6000000000000003E-2</v>
      </c>
      <c r="AB7">
        <v>0</v>
      </c>
      <c r="AC7" s="34">
        <v>4.0000000000000001E-3</v>
      </c>
      <c r="AD7" s="32">
        <v>4.0000000000000001E-3</v>
      </c>
    </row>
    <row r="8" spans="1:30">
      <c r="A8">
        <v>6</v>
      </c>
      <c r="B8">
        <v>0</v>
      </c>
      <c r="C8">
        <v>3.5000000000000003E-2</v>
      </c>
      <c r="D8">
        <v>0.04</v>
      </c>
      <c r="E8">
        <v>0</v>
      </c>
      <c r="F8">
        <v>6.0999999999999999E-2</v>
      </c>
      <c r="G8">
        <v>0</v>
      </c>
      <c r="H8">
        <v>0</v>
      </c>
      <c r="I8">
        <v>4.0000000000000001E-3</v>
      </c>
      <c r="K8">
        <v>6</v>
      </c>
      <c r="L8">
        <v>0</v>
      </c>
      <c r="M8" s="32">
        <v>3.5000000000000003E-2</v>
      </c>
      <c r="N8" s="47">
        <v>3.9E-2</v>
      </c>
      <c r="P8" s="32">
        <v>6.0999999999999999E-2</v>
      </c>
      <c r="R8" s="47">
        <v>3.0000000000000001E-3</v>
      </c>
      <c r="S8" s="47">
        <v>3.0000000000000001E-3</v>
      </c>
      <c r="T8" s="31">
        <v>0</v>
      </c>
      <c r="V8">
        <v>6</v>
      </c>
      <c r="W8">
        <v>0</v>
      </c>
      <c r="X8">
        <v>4.7E-2</v>
      </c>
      <c r="Y8" s="32">
        <v>0.13200000000000001</v>
      </c>
      <c r="Z8">
        <v>0</v>
      </c>
      <c r="AA8" s="32">
        <v>8.3000000000000004E-2</v>
      </c>
      <c r="AB8">
        <v>0</v>
      </c>
      <c r="AC8" s="34">
        <v>5.0000000000000001E-3</v>
      </c>
      <c r="AD8" s="32">
        <v>5.0000000000000001E-3</v>
      </c>
    </row>
    <row r="9" spans="1:30">
      <c r="A9">
        <v>7</v>
      </c>
      <c r="B9">
        <v>0</v>
      </c>
      <c r="C9">
        <v>3.5999999999999997E-2</v>
      </c>
      <c r="D9">
        <v>0.05</v>
      </c>
      <c r="E9">
        <v>0</v>
      </c>
      <c r="F9">
        <v>7.2999999999999995E-2</v>
      </c>
      <c r="G9">
        <v>0</v>
      </c>
      <c r="H9">
        <v>0</v>
      </c>
      <c r="I9">
        <v>4.0000000000000001E-3</v>
      </c>
      <c r="K9">
        <v>7</v>
      </c>
      <c r="L9">
        <v>0</v>
      </c>
      <c r="M9" s="32">
        <v>3.5999999999999997E-2</v>
      </c>
      <c r="N9" s="47">
        <v>4.7E-2</v>
      </c>
      <c r="P9" s="32">
        <v>7.2999999999999995E-2</v>
      </c>
      <c r="R9" s="47">
        <v>4.0000000000000001E-3</v>
      </c>
      <c r="S9" s="32">
        <v>4.0000000000000001E-3</v>
      </c>
      <c r="T9" s="31">
        <v>0</v>
      </c>
      <c r="V9">
        <v>7</v>
      </c>
      <c r="W9">
        <v>0</v>
      </c>
      <c r="X9">
        <v>4.8000000000000001E-2</v>
      </c>
      <c r="Y9" s="32">
        <v>0.14000000000000001</v>
      </c>
      <c r="Z9">
        <v>0</v>
      </c>
      <c r="AA9" s="32">
        <v>9.9000000000000005E-2</v>
      </c>
      <c r="AB9">
        <v>0</v>
      </c>
      <c r="AC9" s="34">
        <v>6.0000000000000001E-3</v>
      </c>
      <c r="AD9" s="32">
        <v>6.0000000000000001E-3</v>
      </c>
    </row>
    <row r="10" spans="1:30">
      <c r="A10">
        <v>8</v>
      </c>
      <c r="B10">
        <v>0</v>
      </c>
      <c r="C10">
        <v>3.6999999999999998E-2</v>
      </c>
      <c r="D10">
        <v>0.05</v>
      </c>
      <c r="E10">
        <v>0</v>
      </c>
      <c r="F10">
        <v>8.5999999999999993E-2</v>
      </c>
      <c r="G10">
        <v>0</v>
      </c>
      <c r="H10">
        <v>0</v>
      </c>
      <c r="I10">
        <v>5.0000000000000001E-3</v>
      </c>
      <c r="K10">
        <v>8</v>
      </c>
      <c r="L10">
        <v>0</v>
      </c>
      <c r="M10" s="32">
        <v>3.6999999999999998E-2</v>
      </c>
      <c r="N10" s="47">
        <v>5.3999999999999999E-2</v>
      </c>
      <c r="P10" s="32">
        <v>8.5999999999999993E-2</v>
      </c>
      <c r="R10" s="47">
        <v>4.0000000000000001E-3</v>
      </c>
      <c r="S10" s="47">
        <v>4.0000000000000001E-3</v>
      </c>
      <c r="T10" s="31">
        <v>0</v>
      </c>
      <c r="V10">
        <v>8</v>
      </c>
      <c r="W10">
        <v>0</v>
      </c>
      <c r="X10">
        <v>4.9000000000000002E-2</v>
      </c>
      <c r="Y10" s="32">
        <v>0.15</v>
      </c>
      <c r="Z10">
        <v>0</v>
      </c>
      <c r="AA10" s="32">
        <v>0.11600000000000001</v>
      </c>
      <c r="AB10">
        <v>0</v>
      </c>
      <c r="AC10" s="34">
        <v>7.0000000000000001E-3</v>
      </c>
      <c r="AD10" s="32">
        <v>7.0000000000000001E-3</v>
      </c>
    </row>
    <row r="11" spans="1:30">
      <c r="A11">
        <v>9</v>
      </c>
      <c r="B11">
        <v>0</v>
      </c>
      <c r="C11">
        <v>3.7999999999999999E-2</v>
      </c>
      <c r="D11">
        <v>0.06</v>
      </c>
      <c r="E11">
        <v>0</v>
      </c>
      <c r="F11">
        <v>9.8000000000000004E-2</v>
      </c>
      <c r="G11">
        <v>0</v>
      </c>
      <c r="H11">
        <v>0</v>
      </c>
      <c r="I11">
        <v>5.0000000000000001E-3</v>
      </c>
      <c r="K11">
        <v>9</v>
      </c>
      <c r="L11">
        <v>0</v>
      </c>
      <c r="M11" s="32">
        <v>3.7999999999999999E-2</v>
      </c>
      <c r="N11" s="47">
        <v>6.2E-2</v>
      </c>
      <c r="P11" s="32">
        <v>9.8000000000000004E-2</v>
      </c>
      <c r="R11" s="47">
        <v>5.0000000000000001E-3</v>
      </c>
      <c r="S11" s="32">
        <v>5.0000000000000001E-3</v>
      </c>
      <c r="T11" s="31">
        <v>0</v>
      </c>
      <c r="V11">
        <v>9</v>
      </c>
      <c r="W11">
        <v>0</v>
      </c>
      <c r="X11">
        <v>0.05</v>
      </c>
      <c r="Y11" s="32">
        <v>0.16</v>
      </c>
      <c r="Z11">
        <v>0</v>
      </c>
      <c r="AA11" s="32">
        <v>0.13300000000000001</v>
      </c>
      <c r="AB11">
        <v>0</v>
      </c>
      <c r="AC11" s="34">
        <v>7.0000000000000001E-3</v>
      </c>
      <c r="AD11" s="32">
        <v>7.0000000000000001E-3</v>
      </c>
    </row>
    <row r="12" spans="1:30">
      <c r="A12">
        <v>10</v>
      </c>
      <c r="B12">
        <v>0</v>
      </c>
      <c r="C12">
        <v>3.9E-2</v>
      </c>
      <c r="D12">
        <v>7.0000000000000007E-2</v>
      </c>
      <c r="E12">
        <v>0</v>
      </c>
      <c r="F12">
        <v>0.11</v>
      </c>
      <c r="G12">
        <v>0</v>
      </c>
      <c r="H12">
        <v>0</v>
      </c>
      <c r="I12">
        <v>6.0000000000000001E-3</v>
      </c>
      <c r="K12">
        <v>10</v>
      </c>
      <c r="L12">
        <v>0</v>
      </c>
      <c r="M12" s="32">
        <v>3.9E-2</v>
      </c>
      <c r="N12" s="32">
        <v>7.0000000000000007E-2</v>
      </c>
      <c r="P12" s="32">
        <v>0.11</v>
      </c>
      <c r="R12" s="47">
        <v>5.0000000000000001E-3</v>
      </c>
      <c r="S12" s="47">
        <v>5.0000000000000001E-3</v>
      </c>
      <c r="T12" s="31">
        <v>0</v>
      </c>
      <c r="V12">
        <v>10</v>
      </c>
      <c r="W12">
        <v>0</v>
      </c>
      <c r="X12">
        <v>5.0999999999999997E-2</v>
      </c>
      <c r="Y12" s="32">
        <v>0.17</v>
      </c>
      <c r="Z12">
        <v>0</v>
      </c>
      <c r="AA12" s="32">
        <v>0.14899999999999999</v>
      </c>
      <c r="AB12">
        <v>0</v>
      </c>
      <c r="AC12" s="34">
        <v>8.0000000000000002E-3</v>
      </c>
      <c r="AD12" s="32">
        <v>8.0000000000000002E-3</v>
      </c>
    </row>
    <row r="13" spans="1:30">
      <c r="A13">
        <v>11</v>
      </c>
      <c r="B13">
        <v>0</v>
      </c>
      <c r="C13">
        <v>0.04</v>
      </c>
      <c r="D13">
        <v>0.08</v>
      </c>
      <c r="E13">
        <v>0</v>
      </c>
      <c r="F13">
        <v>0.122</v>
      </c>
      <c r="G13">
        <v>0</v>
      </c>
      <c r="H13">
        <v>0</v>
      </c>
      <c r="I13">
        <v>7.0000000000000001E-3</v>
      </c>
      <c r="K13">
        <v>11</v>
      </c>
      <c r="L13">
        <v>0</v>
      </c>
      <c r="M13" s="32">
        <v>0.04</v>
      </c>
      <c r="N13" s="47">
        <v>7.8E-2</v>
      </c>
      <c r="P13" s="32">
        <v>0.122</v>
      </c>
      <c r="R13" s="47">
        <v>6.0000000000000001E-3</v>
      </c>
      <c r="S13" s="47">
        <v>6.0000000000000001E-3</v>
      </c>
      <c r="T13" s="31">
        <v>0</v>
      </c>
      <c r="V13">
        <v>11</v>
      </c>
      <c r="W13">
        <v>0</v>
      </c>
      <c r="X13">
        <v>5.1999999999999998E-2</v>
      </c>
      <c r="Y13" s="32">
        <v>0.18</v>
      </c>
      <c r="Z13">
        <v>0</v>
      </c>
      <c r="AA13" s="32">
        <v>0.16600000000000001</v>
      </c>
      <c r="AB13">
        <v>0</v>
      </c>
      <c r="AC13" s="34">
        <v>8.9999999999999993E-3</v>
      </c>
      <c r="AD13" s="32">
        <v>8.9999999999999993E-3</v>
      </c>
    </row>
    <row r="14" spans="1:30">
      <c r="A14">
        <v>12</v>
      </c>
      <c r="B14">
        <v>0</v>
      </c>
      <c r="C14">
        <v>4.1000000000000002E-2</v>
      </c>
      <c r="D14">
        <v>0.09</v>
      </c>
      <c r="E14">
        <v>0</v>
      </c>
      <c r="F14">
        <v>0.13400000000000001</v>
      </c>
      <c r="G14">
        <v>0</v>
      </c>
      <c r="H14">
        <v>0</v>
      </c>
      <c r="I14">
        <v>7.0000000000000001E-3</v>
      </c>
      <c r="K14">
        <v>12</v>
      </c>
      <c r="L14">
        <v>0</v>
      </c>
      <c r="M14" s="32">
        <v>4.1000000000000002E-2</v>
      </c>
      <c r="N14" s="47">
        <v>8.5999999999999993E-2</v>
      </c>
      <c r="P14" s="32">
        <v>0.13400000000000001</v>
      </c>
      <c r="R14" s="47">
        <v>7.0000000000000001E-3</v>
      </c>
      <c r="S14" s="32">
        <v>7.0000000000000001E-3</v>
      </c>
      <c r="T14" s="31">
        <v>0</v>
      </c>
      <c r="V14">
        <v>12</v>
      </c>
      <c r="W14">
        <v>0</v>
      </c>
      <c r="X14">
        <v>5.2999999999999999E-2</v>
      </c>
      <c r="Y14" s="32">
        <v>0.19</v>
      </c>
      <c r="Z14">
        <v>0</v>
      </c>
      <c r="AA14" s="32">
        <v>0.182</v>
      </c>
      <c r="AB14">
        <v>0</v>
      </c>
      <c r="AC14" s="34">
        <v>0.01</v>
      </c>
      <c r="AD14" s="32">
        <v>0.01</v>
      </c>
    </row>
    <row r="15" spans="1:30">
      <c r="A15">
        <v>13</v>
      </c>
      <c r="B15">
        <v>0</v>
      </c>
      <c r="C15">
        <v>4.2000000000000003E-2</v>
      </c>
      <c r="D15">
        <v>0.09</v>
      </c>
      <c r="E15">
        <v>0</v>
      </c>
      <c r="F15">
        <v>0.14699999999999999</v>
      </c>
      <c r="G15">
        <v>0</v>
      </c>
      <c r="H15">
        <v>0</v>
      </c>
      <c r="I15">
        <v>8.0000000000000002E-3</v>
      </c>
      <c r="K15">
        <v>13</v>
      </c>
      <c r="L15">
        <v>0</v>
      </c>
      <c r="M15" s="32">
        <v>4.2000000000000003E-2</v>
      </c>
      <c r="N15" s="47">
        <v>9.2999999999999999E-2</v>
      </c>
      <c r="P15" s="32">
        <v>0.14699999999999999</v>
      </c>
      <c r="R15" s="47">
        <v>7.0000000000000001E-3</v>
      </c>
      <c r="S15" s="47">
        <v>7.0000000000000001E-3</v>
      </c>
      <c r="T15" s="31">
        <v>0</v>
      </c>
      <c r="V15">
        <v>13</v>
      </c>
      <c r="W15">
        <v>0</v>
      </c>
      <c r="X15">
        <v>5.3999999999999999E-2</v>
      </c>
      <c r="Y15" s="32">
        <v>0.2</v>
      </c>
      <c r="Z15">
        <v>0</v>
      </c>
      <c r="AA15" s="32">
        <v>0.19900000000000001</v>
      </c>
      <c r="AB15">
        <v>0</v>
      </c>
      <c r="AC15" s="34">
        <v>1.0999999999999999E-2</v>
      </c>
      <c r="AD15" s="32">
        <v>1.0999999999999999E-2</v>
      </c>
    </row>
    <row r="16" spans="1:30">
      <c r="A16">
        <v>14</v>
      </c>
      <c r="B16">
        <v>0</v>
      </c>
      <c r="C16">
        <v>4.2999999999999997E-2</v>
      </c>
      <c r="D16">
        <v>0.1</v>
      </c>
      <c r="E16">
        <v>0</v>
      </c>
      <c r="F16">
        <v>0.159</v>
      </c>
      <c r="G16">
        <v>0</v>
      </c>
      <c r="H16">
        <v>0</v>
      </c>
      <c r="I16">
        <v>8.0000000000000002E-3</v>
      </c>
      <c r="K16">
        <v>14</v>
      </c>
      <c r="L16">
        <v>0</v>
      </c>
      <c r="M16" s="32">
        <v>4.2999999999999997E-2</v>
      </c>
      <c r="N16" s="47">
        <v>0.10100000000000001</v>
      </c>
      <c r="P16" s="32">
        <v>0.159</v>
      </c>
      <c r="R16" s="47">
        <v>8.0000000000000002E-3</v>
      </c>
      <c r="S16" s="32">
        <v>8.0000000000000002E-3</v>
      </c>
      <c r="T16" s="31">
        <v>0</v>
      </c>
      <c r="V16">
        <v>14</v>
      </c>
      <c r="W16">
        <v>0</v>
      </c>
      <c r="X16">
        <v>5.5E-2</v>
      </c>
      <c r="Y16" s="32">
        <v>0.21</v>
      </c>
      <c r="Z16">
        <v>0</v>
      </c>
      <c r="AA16" s="32">
        <v>0.215</v>
      </c>
      <c r="AB16">
        <v>0</v>
      </c>
      <c r="AC16" s="34">
        <v>1.2E-2</v>
      </c>
      <c r="AD16" s="32">
        <v>1.2E-2</v>
      </c>
    </row>
    <row r="17" spans="1:30">
      <c r="A17">
        <v>15</v>
      </c>
      <c r="B17">
        <v>0</v>
      </c>
      <c r="C17">
        <v>4.3999999999999997E-2</v>
      </c>
      <c r="D17">
        <v>0.11</v>
      </c>
      <c r="E17">
        <v>0</v>
      </c>
      <c r="F17">
        <v>0.17100000000000001</v>
      </c>
      <c r="G17">
        <v>0</v>
      </c>
      <c r="H17">
        <v>0</v>
      </c>
      <c r="I17">
        <v>8.9999999999999993E-3</v>
      </c>
      <c r="K17">
        <v>15</v>
      </c>
      <c r="L17">
        <v>0</v>
      </c>
      <c r="M17" s="32">
        <v>4.3999999999999997E-2</v>
      </c>
      <c r="N17" s="47">
        <v>0.109</v>
      </c>
      <c r="P17" s="32">
        <v>0.17100000000000001</v>
      </c>
      <c r="R17" s="47">
        <v>8.0000000000000002E-3</v>
      </c>
      <c r="S17" s="47">
        <v>8.0000000000000002E-3</v>
      </c>
      <c r="T17" s="31">
        <v>0</v>
      </c>
      <c r="V17">
        <v>15</v>
      </c>
      <c r="W17">
        <v>1</v>
      </c>
      <c r="X17">
        <v>5.6000000000000001E-2</v>
      </c>
      <c r="Y17" s="32">
        <v>0.22</v>
      </c>
      <c r="Z17">
        <v>0</v>
      </c>
      <c r="AA17" s="32">
        <v>0.23200000000000001</v>
      </c>
      <c r="AB17">
        <v>0</v>
      </c>
      <c r="AC17" s="34">
        <v>1.2999999999999999E-2</v>
      </c>
      <c r="AD17" s="32">
        <v>1.2999999999999999E-2</v>
      </c>
    </row>
    <row r="18" spans="1:30">
      <c r="A18">
        <v>16</v>
      </c>
      <c r="B18">
        <v>0</v>
      </c>
      <c r="C18">
        <v>4.4999999999999998E-2</v>
      </c>
      <c r="D18">
        <v>0.12</v>
      </c>
      <c r="E18">
        <v>0</v>
      </c>
      <c r="F18">
        <v>0.183</v>
      </c>
      <c r="G18">
        <v>0</v>
      </c>
      <c r="H18">
        <v>0</v>
      </c>
      <c r="I18">
        <v>0.01</v>
      </c>
      <c r="K18">
        <v>16</v>
      </c>
      <c r="L18">
        <v>0</v>
      </c>
      <c r="M18" s="32">
        <v>4.4999999999999998E-2</v>
      </c>
      <c r="N18" s="47">
        <v>0.11700000000000001</v>
      </c>
      <c r="P18" s="32">
        <v>0.183</v>
      </c>
      <c r="R18" s="47">
        <v>8.9999999999999993E-3</v>
      </c>
      <c r="S18" s="47">
        <v>8.9999999999999993E-3</v>
      </c>
      <c r="T18" s="31">
        <v>0</v>
      </c>
      <c r="V18">
        <v>16</v>
      </c>
      <c r="W18">
        <v>1</v>
      </c>
      <c r="X18">
        <v>5.7000000000000002E-2</v>
      </c>
      <c r="Y18" s="32">
        <v>0.23</v>
      </c>
      <c r="Z18">
        <v>0</v>
      </c>
      <c r="AA18" s="32">
        <v>0.24399999999999999</v>
      </c>
      <c r="AB18">
        <v>0</v>
      </c>
      <c r="AC18" s="34">
        <v>1.2999999999999999E-2</v>
      </c>
      <c r="AD18" s="32">
        <v>1.4E-2</v>
      </c>
    </row>
    <row r="19" spans="1:30">
      <c r="A19">
        <v>17</v>
      </c>
      <c r="B19">
        <v>0</v>
      </c>
      <c r="C19">
        <v>4.5999999999999999E-2</v>
      </c>
      <c r="D19">
        <v>0.12</v>
      </c>
      <c r="E19">
        <v>0</v>
      </c>
      <c r="F19">
        <v>0.19600000000000001</v>
      </c>
      <c r="G19">
        <v>0</v>
      </c>
      <c r="H19">
        <v>0</v>
      </c>
      <c r="I19">
        <v>0.01</v>
      </c>
      <c r="K19">
        <v>17</v>
      </c>
      <c r="L19">
        <v>0</v>
      </c>
      <c r="M19" s="32">
        <v>4.5999999999999999E-2</v>
      </c>
      <c r="N19" s="47">
        <v>0.124</v>
      </c>
      <c r="P19" s="32">
        <v>0.19600000000000001</v>
      </c>
      <c r="R19" s="47">
        <v>0.01</v>
      </c>
      <c r="S19" s="32">
        <v>0.01</v>
      </c>
      <c r="T19" s="31">
        <v>0</v>
      </c>
      <c r="V19">
        <v>17</v>
      </c>
      <c r="W19">
        <v>1</v>
      </c>
      <c r="X19">
        <v>5.8000000000000003E-2</v>
      </c>
      <c r="Y19" s="32">
        <v>0.24</v>
      </c>
      <c r="Z19">
        <v>0</v>
      </c>
      <c r="AA19" s="32">
        <v>0.255</v>
      </c>
      <c r="AB19">
        <v>0</v>
      </c>
      <c r="AC19" s="34">
        <v>1.4E-2</v>
      </c>
      <c r="AD19" s="32">
        <v>1.4999999999999999E-2</v>
      </c>
    </row>
    <row r="20" spans="1:30">
      <c r="A20">
        <v>18</v>
      </c>
      <c r="B20">
        <v>0</v>
      </c>
      <c r="C20">
        <v>4.7E-2</v>
      </c>
      <c r="D20">
        <v>0.13</v>
      </c>
      <c r="E20">
        <v>0</v>
      </c>
      <c r="F20">
        <v>0.20799999999999999</v>
      </c>
      <c r="G20">
        <v>0</v>
      </c>
      <c r="H20">
        <v>0</v>
      </c>
      <c r="I20">
        <v>1.0999999999999999E-2</v>
      </c>
      <c r="K20">
        <v>18</v>
      </c>
      <c r="L20">
        <v>0</v>
      </c>
      <c r="M20" s="32">
        <v>4.7E-2</v>
      </c>
      <c r="N20" s="47">
        <v>0.13200000000000001</v>
      </c>
      <c r="P20" s="32">
        <v>0.20799999999999999</v>
      </c>
      <c r="R20" s="47">
        <v>0.01</v>
      </c>
      <c r="S20" s="47">
        <v>0.01</v>
      </c>
      <c r="T20" s="31">
        <v>0</v>
      </c>
      <c r="V20">
        <v>18</v>
      </c>
      <c r="W20">
        <v>1</v>
      </c>
      <c r="X20">
        <v>5.8999999999999997E-2</v>
      </c>
      <c r="Y20" s="32">
        <v>0.25</v>
      </c>
      <c r="Z20">
        <v>0</v>
      </c>
      <c r="AA20" s="32">
        <v>0.26700000000000002</v>
      </c>
      <c r="AB20">
        <v>0</v>
      </c>
      <c r="AC20" s="34">
        <v>1.4E-2</v>
      </c>
      <c r="AD20" s="32">
        <v>1.6E-2</v>
      </c>
    </row>
    <row r="21" spans="1:30">
      <c r="A21">
        <v>19</v>
      </c>
      <c r="B21">
        <v>1</v>
      </c>
      <c r="C21">
        <v>4.8000000000000001E-2</v>
      </c>
      <c r="D21">
        <v>0.14000000000000001</v>
      </c>
      <c r="E21">
        <v>0</v>
      </c>
      <c r="F21">
        <v>0.22</v>
      </c>
      <c r="G21">
        <v>0</v>
      </c>
      <c r="H21">
        <v>1.09E-2</v>
      </c>
      <c r="I21">
        <v>1.0999999999999999E-2</v>
      </c>
      <c r="K21">
        <v>19</v>
      </c>
      <c r="L21">
        <v>1</v>
      </c>
      <c r="M21" s="32">
        <v>4.8000000000000001E-2</v>
      </c>
      <c r="N21" s="32">
        <v>0.14000000000000001</v>
      </c>
      <c r="P21" s="32">
        <v>0.22</v>
      </c>
      <c r="R21" s="47">
        <v>1.0999999999999999E-2</v>
      </c>
      <c r="S21" s="32">
        <v>1.0999999999999999E-2</v>
      </c>
      <c r="T21" s="31">
        <v>0</v>
      </c>
      <c r="V21">
        <v>19</v>
      </c>
      <c r="W21">
        <v>1</v>
      </c>
      <c r="X21">
        <v>0.06</v>
      </c>
      <c r="Y21" s="32">
        <v>0.26</v>
      </c>
      <c r="Z21">
        <v>0</v>
      </c>
      <c r="AA21" s="32">
        <v>0.27800000000000002</v>
      </c>
      <c r="AB21">
        <v>0</v>
      </c>
      <c r="AC21" s="34">
        <v>1.4E-2</v>
      </c>
      <c r="AD21" s="32">
        <v>1.7000000000000001E-2</v>
      </c>
    </row>
    <row r="22" spans="1:30">
      <c r="A22">
        <v>20</v>
      </c>
      <c r="B22">
        <v>1</v>
      </c>
      <c r="C22">
        <v>4.9000000000000002E-2</v>
      </c>
      <c r="D22">
        <v>0.15</v>
      </c>
      <c r="E22">
        <v>0</v>
      </c>
      <c r="F22">
        <v>0.23300000000000001</v>
      </c>
      <c r="G22">
        <v>0</v>
      </c>
      <c r="H22">
        <v>1.09E-2</v>
      </c>
      <c r="I22">
        <v>1.2E-2</v>
      </c>
      <c r="K22">
        <v>20</v>
      </c>
      <c r="L22">
        <v>1</v>
      </c>
      <c r="M22" s="32">
        <v>4.9000000000000002E-2</v>
      </c>
      <c r="N22" s="32">
        <v>0.15</v>
      </c>
      <c r="P22" s="32">
        <v>0.23300000000000001</v>
      </c>
      <c r="R22" s="47">
        <v>1.0999999999999999E-2</v>
      </c>
      <c r="S22" s="32">
        <v>1.2E-2</v>
      </c>
      <c r="T22" s="31">
        <v>0</v>
      </c>
      <c r="V22">
        <v>20</v>
      </c>
      <c r="W22">
        <v>1</v>
      </c>
      <c r="X22">
        <v>6.0999999999999999E-2</v>
      </c>
      <c r="Y22" s="32">
        <v>0.27</v>
      </c>
      <c r="Z22">
        <v>0</v>
      </c>
      <c r="AA22" s="32">
        <v>0.28999999999999998</v>
      </c>
      <c r="AB22">
        <v>0</v>
      </c>
      <c r="AC22" s="34">
        <v>1.4E-2</v>
      </c>
      <c r="AD22" s="32">
        <v>1.7999999999999999E-2</v>
      </c>
    </row>
    <row r="23" spans="1:30">
      <c r="A23">
        <v>21</v>
      </c>
      <c r="B23">
        <v>1</v>
      </c>
      <c r="C23">
        <v>0.05</v>
      </c>
      <c r="D23">
        <v>0.16</v>
      </c>
      <c r="E23">
        <v>0</v>
      </c>
      <c r="F23">
        <v>0.246</v>
      </c>
      <c r="G23">
        <v>0</v>
      </c>
      <c r="H23">
        <v>1.09E-2</v>
      </c>
      <c r="I23">
        <v>1.2999999999999999E-2</v>
      </c>
      <c r="K23">
        <v>21</v>
      </c>
      <c r="L23">
        <v>1</v>
      </c>
      <c r="M23" s="32">
        <v>0.05</v>
      </c>
      <c r="N23" s="32">
        <v>0.16</v>
      </c>
      <c r="P23" s="32">
        <v>0.246</v>
      </c>
      <c r="R23" s="47">
        <v>1.0999999999999999E-2</v>
      </c>
      <c r="S23" s="32">
        <v>1.2999999999999999E-2</v>
      </c>
      <c r="T23" s="31">
        <v>0</v>
      </c>
      <c r="V23">
        <v>21</v>
      </c>
      <c r="W23">
        <v>1</v>
      </c>
      <c r="X23">
        <v>6.2E-2</v>
      </c>
      <c r="Y23" s="32">
        <v>0.28000000000000003</v>
      </c>
      <c r="Z23">
        <v>0</v>
      </c>
      <c r="AA23" s="32">
        <v>0.30099999999999999</v>
      </c>
      <c r="AB23">
        <v>0</v>
      </c>
      <c r="AC23" s="34">
        <v>1.4999999999999999E-2</v>
      </c>
      <c r="AD23" s="32">
        <v>1.9E-2</v>
      </c>
    </row>
    <row r="24" spans="1:30">
      <c r="A24">
        <v>22</v>
      </c>
      <c r="B24">
        <v>1</v>
      </c>
      <c r="C24">
        <v>5.0999999999999997E-2</v>
      </c>
      <c r="D24">
        <v>0.17</v>
      </c>
      <c r="E24">
        <v>0</v>
      </c>
      <c r="F24">
        <v>0.25900000000000001</v>
      </c>
      <c r="G24">
        <v>0</v>
      </c>
      <c r="H24">
        <v>1.09E-2</v>
      </c>
      <c r="I24">
        <v>1.4E-2</v>
      </c>
      <c r="K24">
        <v>22</v>
      </c>
      <c r="L24">
        <v>1</v>
      </c>
      <c r="M24" s="32">
        <v>5.0999999999999997E-2</v>
      </c>
      <c r="N24" s="32">
        <v>0.17</v>
      </c>
      <c r="P24" s="32">
        <v>0.25900000000000001</v>
      </c>
      <c r="R24" s="47">
        <v>1.2E-2</v>
      </c>
      <c r="S24" s="32">
        <v>1.4E-2</v>
      </c>
      <c r="T24" s="31">
        <v>0</v>
      </c>
      <c r="V24">
        <v>22</v>
      </c>
      <c r="W24">
        <v>1</v>
      </c>
      <c r="X24">
        <v>6.3E-2</v>
      </c>
      <c r="Y24" s="32">
        <v>0.28899999999999998</v>
      </c>
      <c r="Z24">
        <v>0</v>
      </c>
      <c r="AA24" s="32">
        <v>0.313</v>
      </c>
      <c r="AB24">
        <v>0</v>
      </c>
      <c r="AC24" s="34">
        <v>1.4999999999999999E-2</v>
      </c>
      <c r="AD24" s="32">
        <v>0.02</v>
      </c>
    </row>
    <row r="25" spans="1:30">
      <c r="A25">
        <v>23</v>
      </c>
      <c r="B25">
        <v>1</v>
      </c>
      <c r="C25">
        <v>5.1999999999999998E-2</v>
      </c>
      <c r="D25">
        <v>0.18</v>
      </c>
      <c r="E25">
        <v>0</v>
      </c>
      <c r="F25">
        <v>0.27100000000000002</v>
      </c>
      <c r="G25">
        <v>0</v>
      </c>
      <c r="H25">
        <v>1.09E-2</v>
      </c>
      <c r="I25">
        <v>1.4999999999999999E-2</v>
      </c>
      <c r="K25">
        <v>23</v>
      </c>
      <c r="L25">
        <v>1</v>
      </c>
      <c r="M25" s="32">
        <v>5.1999999999999998E-2</v>
      </c>
      <c r="N25" s="32">
        <v>0.18</v>
      </c>
      <c r="P25" s="32">
        <v>0.27100000000000002</v>
      </c>
      <c r="R25" s="47">
        <v>1.2E-2</v>
      </c>
      <c r="S25" s="32">
        <v>1.4999999999999999E-2</v>
      </c>
      <c r="T25" s="31">
        <v>0</v>
      </c>
      <c r="V25">
        <v>23</v>
      </c>
      <c r="W25">
        <v>1</v>
      </c>
      <c r="X25">
        <v>6.4000000000000001E-2</v>
      </c>
      <c r="Y25" s="32">
        <v>0.29899999999999999</v>
      </c>
      <c r="Z25">
        <v>0</v>
      </c>
      <c r="AA25" s="32">
        <v>0.32500000000000001</v>
      </c>
      <c r="AB25">
        <v>0</v>
      </c>
      <c r="AC25" s="34">
        <v>1.4999999999999999E-2</v>
      </c>
      <c r="AD25" s="32">
        <v>2.1999999999999999E-2</v>
      </c>
    </row>
    <row r="26" spans="1:30">
      <c r="A26">
        <v>24</v>
      </c>
      <c r="B26">
        <v>1</v>
      </c>
      <c r="C26">
        <v>5.2999999999999999E-2</v>
      </c>
      <c r="D26">
        <v>0.19</v>
      </c>
      <c r="E26">
        <v>0</v>
      </c>
      <c r="F26">
        <v>0.28399999999999997</v>
      </c>
      <c r="G26">
        <v>0</v>
      </c>
      <c r="H26">
        <v>1.09E-2</v>
      </c>
      <c r="I26">
        <v>1.6E-2</v>
      </c>
      <c r="K26">
        <v>24</v>
      </c>
      <c r="L26">
        <v>1</v>
      </c>
      <c r="M26" s="32">
        <v>5.2999999999999999E-2</v>
      </c>
      <c r="N26" s="32">
        <v>0.19</v>
      </c>
      <c r="P26" s="32">
        <v>0.28399999999999997</v>
      </c>
      <c r="R26" s="47">
        <v>1.2E-2</v>
      </c>
      <c r="S26" s="32">
        <v>1.6E-2</v>
      </c>
      <c r="T26" s="31">
        <v>0</v>
      </c>
      <c r="V26">
        <v>24</v>
      </c>
      <c r="W26">
        <v>1</v>
      </c>
      <c r="X26">
        <v>6.5000000000000002E-2</v>
      </c>
      <c r="Y26" s="32">
        <v>0.308</v>
      </c>
      <c r="Z26">
        <v>0</v>
      </c>
      <c r="AA26" s="32">
        <v>0.33600000000000002</v>
      </c>
      <c r="AB26">
        <v>0</v>
      </c>
      <c r="AC26" s="34">
        <v>1.4999999999999999E-2</v>
      </c>
      <c r="AD26" s="32">
        <v>2.3E-2</v>
      </c>
    </row>
    <row r="27" spans="1:30">
      <c r="A27">
        <v>25</v>
      </c>
      <c r="B27">
        <v>1</v>
      </c>
      <c r="C27">
        <v>5.3999999999999999E-2</v>
      </c>
      <c r="D27">
        <v>0.2</v>
      </c>
      <c r="E27">
        <v>0</v>
      </c>
      <c r="F27">
        <v>0.29699999999999999</v>
      </c>
      <c r="G27">
        <v>0</v>
      </c>
      <c r="H27">
        <v>1.09E-2</v>
      </c>
      <c r="I27">
        <v>1.7000000000000001E-2</v>
      </c>
      <c r="K27">
        <v>25</v>
      </c>
      <c r="L27">
        <v>1</v>
      </c>
      <c r="M27" s="32">
        <v>5.3999999999999999E-2</v>
      </c>
      <c r="N27" s="32">
        <v>0.2</v>
      </c>
      <c r="P27" s="32">
        <v>0.29699999999999999</v>
      </c>
      <c r="R27" s="47">
        <v>1.2E-2</v>
      </c>
      <c r="S27" s="32">
        <v>1.7000000000000001E-2</v>
      </c>
      <c r="T27" s="31">
        <v>0</v>
      </c>
      <c r="V27">
        <v>25</v>
      </c>
      <c r="W27">
        <v>1</v>
      </c>
      <c r="X27">
        <v>6.6000000000000003E-2</v>
      </c>
      <c r="Y27" s="32">
        <v>0.317</v>
      </c>
      <c r="Z27">
        <v>0</v>
      </c>
      <c r="AA27" s="32">
        <v>0.34799999999999998</v>
      </c>
      <c r="AB27">
        <v>0</v>
      </c>
      <c r="AC27" s="34">
        <v>1.6E-2</v>
      </c>
      <c r="AD27" s="32">
        <v>2.4E-2</v>
      </c>
    </row>
    <row r="28" spans="1:30">
      <c r="A28">
        <v>26</v>
      </c>
      <c r="B28">
        <v>1</v>
      </c>
      <c r="C28">
        <v>5.5E-2</v>
      </c>
      <c r="D28">
        <v>0.21</v>
      </c>
      <c r="E28">
        <v>0</v>
      </c>
      <c r="F28">
        <v>0.31</v>
      </c>
      <c r="G28">
        <v>0</v>
      </c>
      <c r="H28">
        <v>1.09E-2</v>
      </c>
      <c r="I28">
        <v>1.7999999999999999E-2</v>
      </c>
      <c r="K28">
        <v>26</v>
      </c>
      <c r="L28">
        <v>1</v>
      </c>
      <c r="M28" s="32">
        <v>5.5E-2</v>
      </c>
      <c r="N28" s="32">
        <v>0.21</v>
      </c>
      <c r="P28" s="32">
        <v>0.31</v>
      </c>
      <c r="R28" s="47">
        <v>1.2999999999999999E-2</v>
      </c>
      <c r="S28" s="32">
        <v>1.7999999999999999E-2</v>
      </c>
      <c r="T28" s="31">
        <v>0</v>
      </c>
      <c r="V28">
        <v>26</v>
      </c>
      <c r="W28">
        <v>1</v>
      </c>
      <c r="X28">
        <v>6.7000000000000004E-2</v>
      </c>
      <c r="Y28" s="32">
        <v>0.32700000000000001</v>
      </c>
      <c r="Z28">
        <v>0</v>
      </c>
      <c r="AA28" s="32">
        <v>0.35899999999999999</v>
      </c>
      <c r="AB28">
        <v>0</v>
      </c>
      <c r="AC28" s="34">
        <v>1.6E-2</v>
      </c>
      <c r="AD28" s="32">
        <v>2.5000000000000001E-2</v>
      </c>
    </row>
    <row r="29" spans="1:30">
      <c r="A29">
        <v>27</v>
      </c>
      <c r="B29">
        <v>1</v>
      </c>
      <c r="C29">
        <v>5.6000000000000001E-2</v>
      </c>
      <c r="D29">
        <v>0.22</v>
      </c>
      <c r="E29">
        <v>0</v>
      </c>
      <c r="F29">
        <v>0.32300000000000001</v>
      </c>
      <c r="G29">
        <v>0</v>
      </c>
      <c r="H29">
        <v>1.09E-2</v>
      </c>
      <c r="I29">
        <v>1.9E-2</v>
      </c>
      <c r="K29">
        <v>27</v>
      </c>
      <c r="L29">
        <v>1</v>
      </c>
      <c r="M29" s="32">
        <v>5.6000000000000001E-2</v>
      </c>
      <c r="N29" s="32">
        <v>0.22</v>
      </c>
      <c r="P29" s="32">
        <v>0.32300000000000001</v>
      </c>
      <c r="R29" s="47">
        <v>1.2999999999999999E-2</v>
      </c>
      <c r="S29" s="32">
        <v>1.9E-2</v>
      </c>
      <c r="T29" s="31">
        <v>0</v>
      </c>
      <c r="V29">
        <v>27</v>
      </c>
      <c r="W29">
        <v>1</v>
      </c>
      <c r="X29">
        <v>6.8000000000000005E-2</v>
      </c>
      <c r="Y29" s="32">
        <v>0.33600000000000002</v>
      </c>
      <c r="Z29">
        <v>0</v>
      </c>
      <c r="AA29" s="32">
        <v>0.371</v>
      </c>
      <c r="AB29">
        <v>0</v>
      </c>
      <c r="AC29" s="34">
        <v>1.6E-2</v>
      </c>
      <c r="AD29" s="32">
        <v>2.5999999999999999E-2</v>
      </c>
    </row>
    <row r="30" spans="1:30">
      <c r="A30">
        <v>28</v>
      </c>
      <c r="B30">
        <v>1</v>
      </c>
      <c r="C30">
        <v>5.7000000000000002E-2</v>
      </c>
      <c r="D30">
        <v>0.23</v>
      </c>
      <c r="E30">
        <v>0</v>
      </c>
      <c r="F30">
        <v>0.33600000000000002</v>
      </c>
      <c r="G30">
        <v>0</v>
      </c>
      <c r="H30">
        <v>1.09E-2</v>
      </c>
      <c r="I30">
        <v>0.02</v>
      </c>
      <c r="K30">
        <v>28</v>
      </c>
      <c r="L30">
        <v>1</v>
      </c>
      <c r="M30" s="32">
        <v>5.7000000000000002E-2</v>
      </c>
      <c r="N30" s="32">
        <v>0.23</v>
      </c>
      <c r="P30" s="32">
        <v>0.33600000000000002</v>
      </c>
      <c r="R30" s="47">
        <v>1.2999999999999999E-2</v>
      </c>
      <c r="S30" s="32">
        <v>0.02</v>
      </c>
      <c r="T30" s="31">
        <v>0</v>
      </c>
      <c r="V30">
        <v>28</v>
      </c>
      <c r="W30">
        <v>1</v>
      </c>
      <c r="X30">
        <v>6.9000000000000006E-2</v>
      </c>
      <c r="Y30" s="32">
        <v>0.34499999999999997</v>
      </c>
      <c r="Z30">
        <v>0</v>
      </c>
      <c r="AA30" s="32">
        <v>0.38200000000000001</v>
      </c>
      <c r="AB30">
        <v>0</v>
      </c>
      <c r="AC30" s="34">
        <v>1.6E-2</v>
      </c>
      <c r="AD30" s="32">
        <v>2.7E-2</v>
      </c>
    </row>
    <row r="31" spans="1:30">
      <c r="A31">
        <v>29</v>
      </c>
      <c r="B31">
        <v>1</v>
      </c>
      <c r="C31">
        <v>5.8000000000000003E-2</v>
      </c>
      <c r="D31">
        <v>0.24</v>
      </c>
      <c r="E31">
        <v>0</v>
      </c>
      <c r="F31">
        <v>0.34899999999999998</v>
      </c>
      <c r="G31">
        <v>0</v>
      </c>
      <c r="H31">
        <v>1.09E-2</v>
      </c>
      <c r="I31">
        <v>2.1000000000000001E-2</v>
      </c>
      <c r="K31">
        <v>29</v>
      </c>
      <c r="L31">
        <v>1</v>
      </c>
      <c r="M31" s="32">
        <v>5.8000000000000003E-2</v>
      </c>
      <c r="N31" s="32">
        <v>0.24</v>
      </c>
      <c r="P31" s="32">
        <v>0.34899999999999998</v>
      </c>
      <c r="R31" s="47">
        <v>1.2999999999999999E-2</v>
      </c>
      <c r="S31" s="32">
        <v>2.1000000000000001E-2</v>
      </c>
      <c r="T31" s="31">
        <v>0</v>
      </c>
      <c r="V31">
        <v>29</v>
      </c>
      <c r="W31">
        <v>1</v>
      </c>
      <c r="X31">
        <v>7.0000000000000007E-2</v>
      </c>
      <c r="Y31" s="32">
        <v>0.35499999999999998</v>
      </c>
      <c r="Z31">
        <v>0</v>
      </c>
      <c r="AA31" s="32">
        <v>0.39400000000000002</v>
      </c>
      <c r="AB31">
        <v>0</v>
      </c>
      <c r="AC31" s="34">
        <v>1.7000000000000001E-2</v>
      </c>
      <c r="AD31" s="32">
        <v>2.8000000000000001E-2</v>
      </c>
    </row>
    <row r="32" spans="1:30">
      <c r="A32">
        <v>30</v>
      </c>
      <c r="B32">
        <v>1</v>
      </c>
      <c r="C32">
        <v>5.8999999999999997E-2</v>
      </c>
      <c r="D32">
        <v>0.25</v>
      </c>
      <c r="E32">
        <v>0</v>
      </c>
      <c r="F32">
        <v>0.36099999999999999</v>
      </c>
      <c r="G32">
        <v>0</v>
      </c>
      <c r="H32">
        <v>1.09E-2</v>
      </c>
      <c r="I32">
        <v>2.1999999999999999E-2</v>
      </c>
      <c r="K32">
        <v>30</v>
      </c>
      <c r="L32">
        <v>1</v>
      </c>
      <c r="M32" s="32">
        <v>5.8999999999999997E-2</v>
      </c>
      <c r="N32" s="32">
        <v>0.25</v>
      </c>
      <c r="P32" s="32">
        <v>0.36099999999999999</v>
      </c>
      <c r="R32" s="47">
        <v>1.4E-2</v>
      </c>
      <c r="S32" s="32">
        <v>2.1999999999999999E-2</v>
      </c>
      <c r="T32" s="31">
        <v>0</v>
      </c>
      <c r="V32">
        <v>30</v>
      </c>
      <c r="W32">
        <v>1</v>
      </c>
      <c r="X32">
        <v>7.0999999999999994E-2</v>
      </c>
      <c r="Y32" s="32">
        <v>0.36399999999999999</v>
      </c>
      <c r="Z32">
        <v>0</v>
      </c>
      <c r="AA32" s="32">
        <v>0.40500000000000003</v>
      </c>
      <c r="AB32">
        <v>0</v>
      </c>
      <c r="AC32" s="34">
        <v>1.7000000000000001E-2</v>
      </c>
      <c r="AD32" s="32">
        <v>2.9000000000000001E-2</v>
      </c>
    </row>
    <row r="33" spans="1:30">
      <c r="A33">
        <v>31</v>
      </c>
      <c r="B33">
        <v>1</v>
      </c>
      <c r="C33">
        <v>0.06</v>
      </c>
      <c r="D33">
        <v>0.26</v>
      </c>
      <c r="E33">
        <v>0</v>
      </c>
      <c r="F33">
        <v>0.374</v>
      </c>
      <c r="G33">
        <v>0</v>
      </c>
      <c r="H33">
        <v>1.09E-2</v>
      </c>
      <c r="I33">
        <v>2.3E-2</v>
      </c>
      <c r="K33">
        <v>31</v>
      </c>
      <c r="L33">
        <v>1</v>
      </c>
      <c r="M33" s="32">
        <v>0.06</v>
      </c>
      <c r="N33" s="32">
        <v>0.26</v>
      </c>
      <c r="P33" s="32">
        <v>0.374</v>
      </c>
      <c r="R33" s="47">
        <v>1.4E-2</v>
      </c>
      <c r="S33" s="32">
        <v>2.3E-2</v>
      </c>
      <c r="T33" s="31">
        <v>0</v>
      </c>
      <c r="V33">
        <v>31</v>
      </c>
      <c r="W33">
        <v>2</v>
      </c>
      <c r="X33">
        <v>7.1999999999999995E-2</v>
      </c>
      <c r="Y33" s="32">
        <v>0.373</v>
      </c>
      <c r="Z33">
        <v>0</v>
      </c>
      <c r="AA33" s="32">
        <v>0.41699999999999998</v>
      </c>
      <c r="AB33">
        <v>0</v>
      </c>
      <c r="AC33" s="34">
        <v>1.7000000000000001E-2</v>
      </c>
      <c r="AD33" s="32">
        <v>0.03</v>
      </c>
    </row>
    <row r="34" spans="1:30">
      <c r="A34">
        <v>32</v>
      </c>
      <c r="B34">
        <v>1</v>
      </c>
      <c r="C34">
        <v>6.0999999999999999E-2</v>
      </c>
      <c r="D34">
        <v>0.27</v>
      </c>
      <c r="E34">
        <v>0</v>
      </c>
      <c r="F34">
        <v>0.38700000000000001</v>
      </c>
      <c r="G34">
        <v>0</v>
      </c>
      <c r="H34">
        <v>1.09E-2</v>
      </c>
      <c r="I34">
        <v>2.4E-2</v>
      </c>
      <c r="K34">
        <v>32</v>
      </c>
      <c r="L34">
        <v>1</v>
      </c>
      <c r="M34" s="32">
        <v>6.0999999999999999E-2</v>
      </c>
      <c r="N34" s="32">
        <v>0.27</v>
      </c>
      <c r="P34" s="32">
        <v>0.38700000000000001</v>
      </c>
      <c r="R34" s="47">
        <v>1.4E-2</v>
      </c>
      <c r="S34" s="32">
        <v>2.4E-2</v>
      </c>
      <c r="T34" s="31">
        <v>0</v>
      </c>
      <c r="V34">
        <v>32</v>
      </c>
      <c r="W34">
        <v>2</v>
      </c>
      <c r="X34">
        <v>7.2999999999999995E-2</v>
      </c>
      <c r="Y34" s="32">
        <v>0.38300000000000001</v>
      </c>
      <c r="Z34">
        <v>0</v>
      </c>
      <c r="AA34" s="32">
        <v>0.42599999999999999</v>
      </c>
      <c r="AB34">
        <v>0</v>
      </c>
      <c r="AC34" s="34">
        <v>1.7000000000000001E-2</v>
      </c>
      <c r="AD34" s="32">
        <v>3.1E-2</v>
      </c>
    </row>
    <row r="35" spans="1:30">
      <c r="A35">
        <v>33</v>
      </c>
      <c r="B35">
        <v>2</v>
      </c>
      <c r="C35">
        <v>6.2E-2</v>
      </c>
      <c r="D35">
        <v>0.28000000000000003</v>
      </c>
      <c r="E35">
        <v>0</v>
      </c>
      <c r="F35">
        <v>0.4</v>
      </c>
      <c r="G35">
        <v>0</v>
      </c>
      <c r="H35">
        <v>1.43E-2</v>
      </c>
      <c r="I35">
        <v>2.5000000000000001E-2</v>
      </c>
      <c r="K35">
        <v>33</v>
      </c>
      <c r="L35">
        <v>2</v>
      </c>
      <c r="M35" s="32">
        <v>6.2E-2</v>
      </c>
      <c r="N35" s="32">
        <v>0.28000000000000003</v>
      </c>
      <c r="P35" s="32">
        <v>0.4</v>
      </c>
      <c r="R35" s="47">
        <v>1.4E-2</v>
      </c>
      <c r="S35" s="32">
        <v>2.5000000000000001E-2</v>
      </c>
      <c r="T35" s="31">
        <v>0</v>
      </c>
      <c r="V35">
        <v>33</v>
      </c>
      <c r="W35">
        <v>2</v>
      </c>
      <c r="X35">
        <v>7.3999999999999996E-2</v>
      </c>
      <c r="Y35" s="32">
        <v>0.39200000000000002</v>
      </c>
      <c r="Z35">
        <v>0</v>
      </c>
      <c r="AA35" s="32">
        <v>0.435</v>
      </c>
      <c r="AB35">
        <v>0</v>
      </c>
      <c r="AC35" s="34">
        <v>1.7000000000000001E-2</v>
      </c>
      <c r="AD35" s="32">
        <v>3.2000000000000001E-2</v>
      </c>
    </row>
    <row r="36" spans="1:30">
      <c r="A36">
        <v>34</v>
      </c>
      <c r="B36">
        <v>2</v>
      </c>
      <c r="C36">
        <v>6.3E-2</v>
      </c>
      <c r="D36">
        <v>0.28999999999999998</v>
      </c>
      <c r="E36">
        <v>0</v>
      </c>
      <c r="F36">
        <v>0.40899999999999997</v>
      </c>
      <c r="G36">
        <v>0</v>
      </c>
      <c r="H36">
        <v>1.43E-2</v>
      </c>
      <c r="I36">
        <v>2.5999999999999999E-2</v>
      </c>
      <c r="K36">
        <v>34</v>
      </c>
      <c r="L36">
        <v>2</v>
      </c>
      <c r="M36" s="32">
        <v>6.3E-2</v>
      </c>
      <c r="N36" s="47">
        <v>0.28899999999999998</v>
      </c>
      <c r="P36" s="32">
        <v>0.40899999999999997</v>
      </c>
      <c r="R36" s="47">
        <v>1.4E-2</v>
      </c>
      <c r="S36" s="32">
        <v>2.5999999999999999E-2</v>
      </c>
      <c r="T36" s="31">
        <v>0</v>
      </c>
      <c r="V36">
        <v>34</v>
      </c>
      <c r="W36">
        <v>2</v>
      </c>
      <c r="X36">
        <v>7.4999999999999997E-2</v>
      </c>
      <c r="Y36" s="32">
        <v>0.40100000000000002</v>
      </c>
      <c r="Z36">
        <v>0</v>
      </c>
      <c r="AA36" s="32">
        <v>0.44500000000000001</v>
      </c>
      <c r="AB36">
        <v>0</v>
      </c>
      <c r="AC36" s="34">
        <v>1.7999999999999999E-2</v>
      </c>
      <c r="AD36" s="32">
        <v>3.4000000000000002E-2</v>
      </c>
    </row>
    <row r="37" spans="1:30">
      <c r="A37">
        <v>35</v>
      </c>
      <c r="B37">
        <v>2</v>
      </c>
      <c r="C37">
        <v>6.4000000000000001E-2</v>
      </c>
      <c r="D37">
        <v>0.3</v>
      </c>
      <c r="E37">
        <v>0</v>
      </c>
      <c r="F37">
        <v>0.41899999999999998</v>
      </c>
      <c r="G37">
        <v>0</v>
      </c>
      <c r="H37">
        <v>1.43E-2</v>
      </c>
      <c r="I37">
        <v>2.7E-2</v>
      </c>
      <c r="K37">
        <v>35</v>
      </c>
      <c r="L37">
        <v>2</v>
      </c>
      <c r="M37" s="32">
        <v>6.4000000000000001E-2</v>
      </c>
      <c r="N37" s="47">
        <v>0.29899999999999999</v>
      </c>
      <c r="P37" s="32">
        <v>0.41899999999999998</v>
      </c>
      <c r="R37" s="47">
        <v>1.4999999999999999E-2</v>
      </c>
      <c r="S37" s="32">
        <v>2.7E-2</v>
      </c>
      <c r="T37" s="31">
        <v>0</v>
      </c>
      <c r="V37">
        <v>35</v>
      </c>
      <c r="W37">
        <v>2</v>
      </c>
      <c r="X37">
        <v>7.5999999999999998E-2</v>
      </c>
      <c r="Y37" s="32">
        <v>0.41099999999999998</v>
      </c>
      <c r="Z37">
        <v>0</v>
      </c>
      <c r="AA37" s="32">
        <v>0.45400000000000001</v>
      </c>
      <c r="AB37">
        <v>0</v>
      </c>
      <c r="AC37" s="34">
        <v>1.7999999999999999E-2</v>
      </c>
      <c r="AD37" s="32">
        <v>3.5000000000000003E-2</v>
      </c>
    </row>
    <row r="38" spans="1:30">
      <c r="A38">
        <v>36</v>
      </c>
      <c r="B38">
        <v>2</v>
      </c>
      <c r="C38">
        <v>6.5000000000000002E-2</v>
      </c>
      <c r="D38">
        <v>0.31</v>
      </c>
      <c r="E38">
        <v>0</v>
      </c>
      <c r="F38">
        <v>0.42799999999999999</v>
      </c>
      <c r="G38">
        <v>0</v>
      </c>
      <c r="H38">
        <v>1.43E-2</v>
      </c>
      <c r="I38">
        <v>2.9000000000000001E-2</v>
      </c>
      <c r="K38">
        <v>36</v>
      </c>
      <c r="L38">
        <v>2</v>
      </c>
      <c r="M38" s="32">
        <v>6.5000000000000002E-2</v>
      </c>
      <c r="N38" s="47">
        <v>0.308</v>
      </c>
      <c r="P38" s="32">
        <v>0.42799999999999999</v>
      </c>
      <c r="R38" s="47">
        <v>1.4999999999999999E-2</v>
      </c>
      <c r="S38" s="32">
        <v>2.9000000000000001E-2</v>
      </c>
      <c r="T38" s="31">
        <v>0</v>
      </c>
      <c r="V38">
        <v>36</v>
      </c>
      <c r="W38">
        <v>2</v>
      </c>
      <c r="X38">
        <v>7.6999999999999999E-2</v>
      </c>
      <c r="Y38" s="32">
        <v>0.42</v>
      </c>
      <c r="Z38">
        <v>0</v>
      </c>
      <c r="AA38" s="32">
        <v>0.46300000000000002</v>
      </c>
      <c r="AB38">
        <v>0</v>
      </c>
      <c r="AC38" s="34">
        <v>1.7999999999999999E-2</v>
      </c>
      <c r="AD38" s="32">
        <v>3.5999999999999997E-2</v>
      </c>
    </row>
    <row r="39" spans="1:30">
      <c r="A39">
        <v>37</v>
      </c>
      <c r="B39">
        <v>2</v>
      </c>
      <c r="C39">
        <v>6.6000000000000003E-2</v>
      </c>
      <c r="D39">
        <v>0.32</v>
      </c>
      <c r="E39">
        <v>0</v>
      </c>
      <c r="F39">
        <v>0.437</v>
      </c>
      <c r="G39">
        <v>0</v>
      </c>
      <c r="H39">
        <v>1.43E-2</v>
      </c>
      <c r="I39">
        <v>0.03</v>
      </c>
      <c r="K39">
        <v>37</v>
      </c>
      <c r="L39">
        <v>2</v>
      </c>
      <c r="M39" s="32">
        <v>6.6000000000000003E-2</v>
      </c>
      <c r="N39" s="47">
        <v>0.317</v>
      </c>
      <c r="P39" s="32">
        <v>0.437</v>
      </c>
      <c r="R39" s="47">
        <v>1.4999999999999999E-2</v>
      </c>
      <c r="S39" s="32">
        <v>0.03</v>
      </c>
      <c r="T39" s="31">
        <v>0</v>
      </c>
      <c r="V39">
        <v>37</v>
      </c>
      <c r="W39">
        <v>2</v>
      </c>
      <c r="X39">
        <v>7.8E-2</v>
      </c>
      <c r="Y39" s="32">
        <v>0.42799999999999999</v>
      </c>
      <c r="Z39">
        <v>0</v>
      </c>
      <c r="AA39" s="32">
        <v>0.47199999999999998</v>
      </c>
      <c r="AB39">
        <v>0</v>
      </c>
      <c r="AC39" s="34">
        <v>1.7999999999999999E-2</v>
      </c>
      <c r="AD39" s="32">
        <v>3.6999999999999998E-2</v>
      </c>
    </row>
    <row r="40" spans="1:30">
      <c r="A40">
        <v>38</v>
      </c>
      <c r="B40">
        <v>2</v>
      </c>
      <c r="C40">
        <v>6.7000000000000004E-2</v>
      </c>
      <c r="D40">
        <v>0.33</v>
      </c>
      <c r="E40">
        <v>0</v>
      </c>
      <c r="F40">
        <v>0.44700000000000001</v>
      </c>
      <c r="G40">
        <v>0</v>
      </c>
      <c r="H40">
        <v>1.43E-2</v>
      </c>
      <c r="I40">
        <v>3.1E-2</v>
      </c>
      <c r="K40">
        <v>38</v>
      </c>
      <c r="L40">
        <v>2</v>
      </c>
      <c r="M40" s="32">
        <v>6.7000000000000004E-2</v>
      </c>
      <c r="N40" s="47">
        <v>0.32700000000000001</v>
      </c>
      <c r="P40" s="32">
        <v>0.44700000000000001</v>
      </c>
      <c r="R40" s="47">
        <v>1.4999999999999999E-2</v>
      </c>
      <c r="S40" s="32">
        <v>3.1E-2</v>
      </c>
      <c r="T40" s="31">
        <v>0</v>
      </c>
      <c r="V40">
        <v>38</v>
      </c>
      <c r="W40">
        <v>2</v>
      </c>
      <c r="X40">
        <v>7.9000000000000001E-2</v>
      </c>
      <c r="Y40" s="32">
        <v>0.436</v>
      </c>
      <c r="Z40">
        <v>0</v>
      </c>
      <c r="AA40" s="32">
        <v>0.48099999999999998</v>
      </c>
      <c r="AB40">
        <v>0</v>
      </c>
      <c r="AC40" s="34">
        <v>1.9E-2</v>
      </c>
      <c r="AD40" s="32">
        <v>3.9E-2</v>
      </c>
    </row>
    <row r="41" spans="1:30">
      <c r="A41">
        <v>39</v>
      </c>
      <c r="B41">
        <v>2</v>
      </c>
      <c r="C41">
        <v>6.8000000000000005E-2</v>
      </c>
      <c r="D41">
        <v>0.34</v>
      </c>
      <c r="E41">
        <v>0</v>
      </c>
      <c r="F41">
        <v>0.45600000000000002</v>
      </c>
      <c r="G41">
        <v>0</v>
      </c>
      <c r="H41">
        <v>1.43E-2</v>
      </c>
      <c r="I41">
        <v>3.2000000000000001E-2</v>
      </c>
      <c r="K41">
        <v>39</v>
      </c>
      <c r="L41">
        <v>2</v>
      </c>
      <c r="M41" s="32">
        <v>6.8000000000000005E-2</v>
      </c>
      <c r="N41" s="47">
        <v>0.33600000000000002</v>
      </c>
      <c r="P41" s="32">
        <v>0.45600000000000002</v>
      </c>
      <c r="R41" s="47">
        <v>1.6E-2</v>
      </c>
      <c r="S41" s="32">
        <v>3.2000000000000001E-2</v>
      </c>
      <c r="T41" s="31">
        <v>0</v>
      </c>
      <c r="V41">
        <v>39</v>
      </c>
      <c r="W41">
        <v>2</v>
      </c>
      <c r="X41">
        <v>0.08</v>
      </c>
      <c r="Y41" s="32">
        <v>0.44500000000000001</v>
      </c>
      <c r="Z41">
        <v>0</v>
      </c>
      <c r="AA41" s="32">
        <v>0.49</v>
      </c>
      <c r="AB41">
        <v>0</v>
      </c>
      <c r="AC41" s="34">
        <v>1.9E-2</v>
      </c>
      <c r="AD41" s="32">
        <v>0.04</v>
      </c>
    </row>
    <row r="42" spans="1:30">
      <c r="A42">
        <v>40</v>
      </c>
      <c r="B42">
        <v>2</v>
      </c>
      <c r="C42">
        <v>6.9000000000000006E-2</v>
      </c>
      <c r="D42">
        <v>0.35</v>
      </c>
      <c r="E42">
        <v>0</v>
      </c>
      <c r="F42">
        <v>0.46500000000000002</v>
      </c>
      <c r="G42">
        <v>0</v>
      </c>
      <c r="H42">
        <v>1.43E-2</v>
      </c>
      <c r="I42">
        <v>3.3000000000000002E-2</v>
      </c>
      <c r="K42">
        <v>40</v>
      </c>
      <c r="L42">
        <v>2</v>
      </c>
      <c r="M42" s="32">
        <v>6.9000000000000006E-2</v>
      </c>
      <c r="N42" s="47">
        <v>0.34499999999999997</v>
      </c>
      <c r="P42" s="32">
        <v>0.46500000000000002</v>
      </c>
      <c r="R42" s="47">
        <v>1.6E-2</v>
      </c>
      <c r="S42" s="32">
        <v>3.3000000000000002E-2</v>
      </c>
      <c r="T42" s="31">
        <v>0</v>
      </c>
      <c r="V42">
        <v>40</v>
      </c>
      <c r="W42">
        <v>2</v>
      </c>
      <c r="X42">
        <v>8.1000000000000003E-2</v>
      </c>
      <c r="Y42" s="32">
        <v>0.45300000000000001</v>
      </c>
      <c r="Z42">
        <v>0</v>
      </c>
      <c r="AA42" s="32">
        <v>0.5</v>
      </c>
      <c r="AB42">
        <v>0</v>
      </c>
      <c r="AC42" s="34">
        <v>1.9E-2</v>
      </c>
      <c r="AD42" s="32">
        <v>4.1000000000000002E-2</v>
      </c>
    </row>
    <row r="43" spans="1:30">
      <c r="A43">
        <v>41</v>
      </c>
      <c r="B43">
        <v>2</v>
      </c>
      <c r="C43">
        <v>7.0000000000000007E-2</v>
      </c>
      <c r="D43">
        <v>0.35</v>
      </c>
      <c r="E43">
        <v>0</v>
      </c>
      <c r="F43">
        <v>0.47499999999999998</v>
      </c>
      <c r="G43">
        <v>0</v>
      </c>
      <c r="H43">
        <v>1.43E-2</v>
      </c>
      <c r="I43">
        <v>3.5000000000000003E-2</v>
      </c>
      <c r="K43">
        <v>41</v>
      </c>
      <c r="L43">
        <v>2</v>
      </c>
      <c r="M43" s="32">
        <v>7.0000000000000007E-2</v>
      </c>
      <c r="N43" s="47">
        <v>0.35499999999999998</v>
      </c>
      <c r="P43" s="32">
        <v>0.47499999999999998</v>
      </c>
      <c r="R43" s="47">
        <v>1.6E-2</v>
      </c>
      <c r="S43" s="32">
        <v>3.5000000000000003E-2</v>
      </c>
      <c r="T43" s="31">
        <v>0</v>
      </c>
      <c r="V43">
        <v>41</v>
      </c>
      <c r="W43">
        <v>2</v>
      </c>
      <c r="X43">
        <v>8.2000000000000003E-2</v>
      </c>
      <c r="Y43" s="32">
        <v>0.46100000000000002</v>
      </c>
      <c r="Z43">
        <v>0</v>
      </c>
      <c r="AA43" s="32">
        <v>0.50900000000000001</v>
      </c>
      <c r="AB43">
        <v>0</v>
      </c>
      <c r="AC43" s="34">
        <v>1.9E-2</v>
      </c>
      <c r="AD43" s="32">
        <v>4.2000000000000003E-2</v>
      </c>
    </row>
    <row r="44" spans="1:30">
      <c r="A44">
        <v>42</v>
      </c>
      <c r="B44">
        <v>2</v>
      </c>
      <c r="C44">
        <v>7.0999999999999994E-2</v>
      </c>
      <c r="D44">
        <v>0.36</v>
      </c>
      <c r="E44">
        <v>0</v>
      </c>
      <c r="F44">
        <v>0.48399999999999999</v>
      </c>
      <c r="G44">
        <v>0</v>
      </c>
      <c r="H44">
        <v>1.43E-2</v>
      </c>
      <c r="I44">
        <v>3.5999999999999997E-2</v>
      </c>
      <c r="K44">
        <v>42</v>
      </c>
      <c r="L44">
        <v>2</v>
      </c>
      <c r="M44" s="32">
        <v>7.0999999999999994E-2</v>
      </c>
      <c r="N44" s="47">
        <v>0.36399999999999999</v>
      </c>
      <c r="P44" s="32">
        <v>0.48399999999999999</v>
      </c>
      <c r="R44" s="47">
        <v>1.6E-2</v>
      </c>
      <c r="S44" s="32">
        <v>3.5999999999999997E-2</v>
      </c>
      <c r="T44" s="31">
        <v>0</v>
      </c>
      <c r="V44">
        <v>42</v>
      </c>
      <c r="W44">
        <v>2</v>
      </c>
      <c r="X44">
        <v>8.3000000000000004E-2</v>
      </c>
      <c r="Y44" s="32">
        <v>0.46899999999999997</v>
      </c>
      <c r="Z44">
        <v>0</v>
      </c>
      <c r="AA44" s="32">
        <v>0.51800000000000002</v>
      </c>
      <c r="AB44">
        <v>0</v>
      </c>
      <c r="AC44" s="34">
        <v>0.02</v>
      </c>
      <c r="AD44" s="32">
        <v>4.3999999999999997E-2</v>
      </c>
    </row>
    <row r="45" spans="1:30">
      <c r="A45">
        <v>43</v>
      </c>
      <c r="B45">
        <v>2</v>
      </c>
      <c r="C45">
        <v>7.1999999999999995E-2</v>
      </c>
      <c r="D45">
        <v>0.37</v>
      </c>
      <c r="E45">
        <v>0</v>
      </c>
      <c r="F45">
        <v>0.49299999999999999</v>
      </c>
      <c r="G45">
        <v>0</v>
      </c>
      <c r="H45">
        <v>1.43E-2</v>
      </c>
      <c r="I45">
        <v>3.6999999999999998E-2</v>
      </c>
      <c r="K45">
        <v>43</v>
      </c>
      <c r="L45">
        <v>2</v>
      </c>
      <c r="M45" s="32">
        <v>7.1999999999999995E-2</v>
      </c>
      <c r="N45" s="47">
        <v>0.373</v>
      </c>
      <c r="P45" s="32">
        <v>0.49299999999999999</v>
      </c>
      <c r="R45" s="47">
        <v>1.6E-2</v>
      </c>
      <c r="S45" s="32">
        <v>3.6999999999999998E-2</v>
      </c>
      <c r="T45" s="31">
        <v>0</v>
      </c>
      <c r="V45">
        <v>43</v>
      </c>
      <c r="W45">
        <v>2</v>
      </c>
      <c r="X45">
        <v>8.4000000000000005E-2</v>
      </c>
      <c r="Y45" s="32">
        <v>0.47799999999999998</v>
      </c>
      <c r="Z45">
        <v>0</v>
      </c>
      <c r="AA45" s="32">
        <v>0.52700000000000002</v>
      </c>
      <c r="AB45">
        <v>0</v>
      </c>
      <c r="AC45" s="34">
        <v>0.02</v>
      </c>
      <c r="AD45" s="32">
        <v>4.4999999999999998E-2</v>
      </c>
    </row>
    <row r="46" spans="1:30">
      <c r="A46">
        <v>44</v>
      </c>
      <c r="B46">
        <v>2</v>
      </c>
      <c r="C46">
        <v>7.2999999999999995E-2</v>
      </c>
      <c r="D46">
        <v>0.38</v>
      </c>
      <c r="E46">
        <v>0</v>
      </c>
      <c r="F46">
        <v>0.503</v>
      </c>
      <c r="G46">
        <v>0</v>
      </c>
      <c r="H46">
        <v>1.43E-2</v>
      </c>
      <c r="I46">
        <v>3.7999999999999999E-2</v>
      </c>
      <c r="K46">
        <v>44</v>
      </c>
      <c r="L46">
        <v>2</v>
      </c>
      <c r="M46" s="32">
        <v>7.2999999999999995E-2</v>
      </c>
      <c r="N46" s="47">
        <v>0.38300000000000001</v>
      </c>
      <c r="P46" s="32">
        <v>0.503</v>
      </c>
      <c r="R46" s="47">
        <v>1.7000000000000001E-2</v>
      </c>
      <c r="S46" s="32">
        <v>3.7999999999999999E-2</v>
      </c>
      <c r="T46" s="31">
        <v>0</v>
      </c>
      <c r="V46">
        <v>44</v>
      </c>
      <c r="W46">
        <v>2</v>
      </c>
      <c r="X46">
        <v>8.5000000000000006E-2</v>
      </c>
      <c r="Y46" s="32">
        <v>0.48599999999999999</v>
      </c>
      <c r="Z46">
        <v>0</v>
      </c>
      <c r="AA46" s="32">
        <v>0.53600000000000003</v>
      </c>
      <c r="AB46">
        <v>0</v>
      </c>
      <c r="AC46" s="34">
        <v>0.02</v>
      </c>
      <c r="AD46" s="32">
        <v>4.5999999999999999E-2</v>
      </c>
    </row>
    <row r="47" spans="1:30">
      <c r="A47">
        <v>45</v>
      </c>
      <c r="B47">
        <v>2</v>
      </c>
      <c r="C47">
        <v>7.3999999999999996E-2</v>
      </c>
      <c r="D47">
        <v>0.39</v>
      </c>
      <c r="E47">
        <v>0</v>
      </c>
      <c r="F47">
        <v>0.51200000000000001</v>
      </c>
      <c r="G47">
        <v>0</v>
      </c>
      <c r="H47">
        <v>1.43E-2</v>
      </c>
      <c r="I47">
        <v>3.9E-2</v>
      </c>
      <c r="K47">
        <v>45</v>
      </c>
      <c r="L47">
        <v>2</v>
      </c>
      <c r="M47" s="32">
        <v>7.3999999999999996E-2</v>
      </c>
      <c r="N47" s="47">
        <v>0.39200000000000002</v>
      </c>
      <c r="P47" s="32">
        <v>0.51200000000000001</v>
      </c>
      <c r="R47" s="47">
        <v>1.7000000000000001E-2</v>
      </c>
      <c r="S47" s="32">
        <v>3.9E-2</v>
      </c>
      <c r="T47" s="31">
        <v>0</v>
      </c>
      <c r="V47">
        <v>45</v>
      </c>
      <c r="W47">
        <v>2</v>
      </c>
      <c r="X47">
        <v>8.5999999999999993E-2</v>
      </c>
      <c r="Y47" s="32">
        <v>0.49399999999999999</v>
      </c>
      <c r="Z47">
        <v>0</v>
      </c>
      <c r="AA47" s="32">
        <v>0.54500000000000004</v>
      </c>
      <c r="AB47">
        <v>0</v>
      </c>
      <c r="AC47" s="34">
        <v>0.02</v>
      </c>
      <c r="AD47" s="32">
        <v>4.7E-2</v>
      </c>
    </row>
    <row r="48" spans="1:30">
      <c r="A48">
        <v>46</v>
      </c>
      <c r="B48">
        <v>2</v>
      </c>
      <c r="C48">
        <v>7.4999999999999997E-2</v>
      </c>
      <c r="D48">
        <v>0.4</v>
      </c>
      <c r="E48">
        <v>0</v>
      </c>
      <c r="F48">
        <v>0.52100000000000002</v>
      </c>
      <c r="G48">
        <v>0</v>
      </c>
      <c r="H48">
        <v>1.43E-2</v>
      </c>
      <c r="I48">
        <v>0.04</v>
      </c>
      <c r="K48">
        <v>46</v>
      </c>
      <c r="L48">
        <v>2</v>
      </c>
      <c r="M48" s="32">
        <v>7.4999999999999997E-2</v>
      </c>
      <c r="N48" s="47">
        <v>0.40100000000000002</v>
      </c>
      <c r="P48" s="32">
        <v>0.52100000000000002</v>
      </c>
      <c r="R48" s="47">
        <v>1.7000000000000001E-2</v>
      </c>
      <c r="S48" s="32">
        <v>0.04</v>
      </c>
      <c r="T48" s="31">
        <v>0</v>
      </c>
      <c r="V48">
        <v>46</v>
      </c>
      <c r="W48">
        <v>2</v>
      </c>
      <c r="X48">
        <v>8.6999999999999994E-2</v>
      </c>
      <c r="Y48" s="32">
        <v>0.502</v>
      </c>
      <c r="Z48">
        <v>0</v>
      </c>
      <c r="AA48" s="32">
        <v>0.55500000000000005</v>
      </c>
      <c r="AB48">
        <v>0</v>
      </c>
      <c r="AC48" s="34">
        <v>2.1000000000000001E-2</v>
      </c>
      <c r="AD48" s="32">
        <v>4.9000000000000002E-2</v>
      </c>
    </row>
    <row r="49" spans="1:30">
      <c r="A49">
        <v>47</v>
      </c>
      <c r="B49">
        <v>2</v>
      </c>
      <c r="C49">
        <v>7.5999999999999998E-2</v>
      </c>
      <c r="D49">
        <v>0.41</v>
      </c>
      <c r="E49">
        <v>0</v>
      </c>
      <c r="F49">
        <v>0.53100000000000003</v>
      </c>
      <c r="G49">
        <v>0</v>
      </c>
      <c r="H49">
        <v>1.43E-2</v>
      </c>
      <c r="I49">
        <v>4.2000000000000003E-2</v>
      </c>
      <c r="K49">
        <v>47</v>
      </c>
      <c r="L49">
        <v>2</v>
      </c>
      <c r="M49" s="32">
        <v>7.5999999999999998E-2</v>
      </c>
      <c r="N49" s="47">
        <v>0.41099999999999998</v>
      </c>
      <c r="P49" s="32">
        <v>0.53100000000000003</v>
      </c>
      <c r="R49" s="47">
        <v>1.7000000000000001E-2</v>
      </c>
      <c r="S49" s="32">
        <v>4.2000000000000003E-2</v>
      </c>
      <c r="T49" s="31">
        <v>0</v>
      </c>
      <c r="V49">
        <v>47</v>
      </c>
      <c r="W49">
        <v>2</v>
      </c>
      <c r="X49">
        <v>8.7999999999999995E-2</v>
      </c>
      <c r="Y49" s="32">
        <v>0.51100000000000001</v>
      </c>
      <c r="Z49">
        <v>0</v>
      </c>
      <c r="AA49" s="32">
        <v>0.56399999999999995</v>
      </c>
      <c r="AB49">
        <v>0</v>
      </c>
      <c r="AC49" s="34">
        <v>2.1000000000000001E-2</v>
      </c>
      <c r="AD49" s="32">
        <v>0.05</v>
      </c>
    </row>
    <row r="50" spans="1:30">
      <c r="A50">
        <v>48</v>
      </c>
      <c r="B50">
        <v>3</v>
      </c>
      <c r="C50">
        <v>7.6999999999999999E-2</v>
      </c>
      <c r="D50">
        <v>0.42</v>
      </c>
      <c r="E50">
        <v>0</v>
      </c>
      <c r="F50">
        <v>0.54</v>
      </c>
      <c r="G50">
        <v>0</v>
      </c>
      <c r="H50">
        <v>1.7600000000000001E-2</v>
      </c>
      <c r="I50">
        <v>4.2999999999999997E-2</v>
      </c>
      <c r="K50">
        <v>48</v>
      </c>
      <c r="L50">
        <v>3</v>
      </c>
      <c r="M50" s="32">
        <v>7.6999999999999999E-2</v>
      </c>
      <c r="N50" s="32">
        <v>0.42</v>
      </c>
      <c r="P50" s="32">
        <v>0.54</v>
      </c>
      <c r="R50" s="47">
        <v>1.7999999999999999E-2</v>
      </c>
      <c r="S50" s="32">
        <v>4.2999999999999997E-2</v>
      </c>
      <c r="T50" s="31">
        <v>0</v>
      </c>
      <c r="V50">
        <v>48</v>
      </c>
      <c r="W50">
        <v>3</v>
      </c>
      <c r="X50">
        <v>8.8999999999999996E-2</v>
      </c>
      <c r="Y50" s="32">
        <v>0.51900000000000002</v>
      </c>
      <c r="Z50">
        <v>0</v>
      </c>
      <c r="AA50" s="32">
        <v>0.57299999999999995</v>
      </c>
      <c r="AB50">
        <v>0</v>
      </c>
      <c r="AC50" s="34">
        <v>2.1000000000000001E-2</v>
      </c>
      <c r="AD50" s="32">
        <v>5.0999999999999997E-2</v>
      </c>
    </row>
    <row r="51" spans="1:30">
      <c r="A51">
        <v>49</v>
      </c>
      <c r="B51">
        <v>3</v>
      </c>
      <c r="C51">
        <v>7.8E-2</v>
      </c>
      <c r="D51">
        <v>0.43</v>
      </c>
      <c r="E51">
        <v>0</v>
      </c>
      <c r="F51">
        <v>0.54600000000000004</v>
      </c>
      <c r="G51">
        <v>0</v>
      </c>
      <c r="H51">
        <v>1.7600000000000001E-2</v>
      </c>
      <c r="I51">
        <v>4.3999999999999997E-2</v>
      </c>
      <c r="K51">
        <v>49</v>
      </c>
      <c r="L51">
        <v>3</v>
      </c>
      <c r="M51" s="32">
        <v>7.8E-2</v>
      </c>
      <c r="N51" s="47">
        <v>0.42799999999999999</v>
      </c>
      <c r="P51" s="32">
        <v>0.54600000000000004</v>
      </c>
      <c r="R51" s="47">
        <v>1.7999999999999999E-2</v>
      </c>
      <c r="S51" s="32">
        <v>4.3999999999999997E-2</v>
      </c>
      <c r="T51" s="31">
        <v>0</v>
      </c>
      <c r="V51">
        <v>49</v>
      </c>
      <c r="W51">
        <v>3</v>
      </c>
      <c r="X51">
        <v>0.09</v>
      </c>
      <c r="Y51" s="32">
        <v>0.52700000000000002</v>
      </c>
      <c r="Z51">
        <v>0</v>
      </c>
      <c r="AA51" s="32">
        <v>0.57799999999999996</v>
      </c>
      <c r="AB51">
        <v>0</v>
      </c>
      <c r="AC51" s="34">
        <v>2.1000000000000001E-2</v>
      </c>
      <c r="AD51" s="32">
        <v>5.1999999999999998E-2</v>
      </c>
    </row>
    <row r="52" spans="1:30">
      <c r="A52">
        <v>50</v>
      </c>
      <c r="B52">
        <v>3</v>
      </c>
      <c r="C52">
        <v>7.9000000000000001E-2</v>
      </c>
      <c r="D52">
        <v>0.44</v>
      </c>
      <c r="E52">
        <v>0</v>
      </c>
      <c r="F52">
        <v>0.55200000000000005</v>
      </c>
      <c r="G52">
        <v>0</v>
      </c>
      <c r="H52">
        <v>1.7600000000000001E-2</v>
      </c>
      <c r="I52">
        <v>4.4999999999999998E-2</v>
      </c>
      <c r="K52">
        <v>50</v>
      </c>
      <c r="L52">
        <v>3</v>
      </c>
      <c r="M52" s="32">
        <v>7.9000000000000001E-2</v>
      </c>
      <c r="N52" s="47">
        <v>0.436</v>
      </c>
      <c r="P52" s="32">
        <v>0.55200000000000005</v>
      </c>
      <c r="R52" s="47">
        <v>1.7999999999999999E-2</v>
      </c>
      <c r="S52" s="32">
        <v>4.4999999999999998E-2</v>
      </c>
      <c r="T52" s="31">
        <v>0</v>
      </c>
      <c r="V52">
        <v>50</v>
      </c>
      <c r="W52">
        <v>3</v>
      </c>
      <c r="X52">
        <v>9.0999999999999998E-2</v>
      </c>
      <c r="Y52" s="32">
        <v>0.53500000000000003</v>
      </c>
      <c r="Z52">
        <v>0</v>
      </c>
      <c r="AA52" s="32">
        <v>0.58399999999999996</v>
      </c>
      <c r="AB52">
        <v>0</v>
      </c>
      <c r="AC52" s="34">
        <v>2.1000000000000001E-2</v>
      </c>
      <c r="AD52" s="32">
        <v>5.2999999999999999E-2</v>
      </c>
    </row>
    <row r="53" spans="1:30">
      <c r="A53">
        <v>51</v>
      </c>
      <c r="B53">
        <v>3</v>
      </c>
      <c r="C53">
        <v>0.08</v>
      </c>
      <c r="D53">
        <v>0.44</v>
      </c>
      <c r="E53">
        <v>0</v>
      </c>
      <c r="F53">
        <v>0.55800000000000005</v>
      </c>
      <c r="G53">
        <v>0</v>
      </c>
      <c r="H53">
        <v>1.7600000000000001E-2</v>
      </c>
      <c r="I53">
        <v>4.5999999999999999E-2</v>
      </c>
      <c r="K53">
        <v>51</v>
      </c>
      <c r="L53">
        <v>3</v>
      </c>
      <c r="M53" s="32">
        <v>0.08</v>
      </c>
      <c r="N53" s="47">
        <v>0.44500000000000001</v>
      </c>
      <c r="P53" s="32">
        <v>0.55800000000000005</v>
      </c>
      <c r="R53" s="47">
        <v>1.7999999999999999E-2</v>
      </c>
      <c r="S53" s="32">
        <v>4.5999999999999999E-2</v>
      </c>
      <c r="T53" s="31">
        <v>0</v>
      </c>
      <c r="V53">
        <v>51</v>
      </c>
      <c r="W53">
        <v>3</v>
      </c>
      <c r="X53">
        <v>9.1999999999999998E-2</v>
      </c>
      <c r="Y53" s="32">
        <v>0.54400000000000004</v>
      </c>
      <c r="Z53">
        <v>0</v>
      </c>
      <c r="AA53" s="32">
        <v>0.58899999999999997</v>
      </c>
      <c r="AB53">
        <v>0</v>
      </c>
      <c r="AC53" s="34">
        <v>2.1000000000000001E-2</v>
      </c>
      <c r="AD53" s="32">
        <v>5.3999999999999999E-2</v>
      </c>
    </row>
    <row r="54" spans="1:30">
      <c r="A54">
        <v>52</v>
      </c>
      <c r="B54">
        <v>3</v>
      </c>
      <c r="C54">
        <v>8.1000000000000003E-2</v>
      </c>
      <c r="D54">
        <v>0.45</v>
      </c>
      <c r="E54">
        <v>0</v>
      </c>
      <c r="F54">
        <v>0.56399999999999995</v>
      </c>
      <c r="G54">
        <v>0</v>
      </c>
      <c r="H54">
        <v>1.7600000000000001E-2</v>
      </c>
      <c r="I54">
        <v>4.7E-2</v>
      </c>
      <c r="K54">
        <v>52</v>
      </c>
      <c r="L54">
        <v>3</v>
      </c>
      <c r="M54" s="32">
        <v>8.1000000000000003E-2</v>
      </c>
      <c r="N54" s="47">
        <v>0.45300000000000001</v>
      </c>
      <c r="P54" s="32">
        <v>0.56399999999999995</v>
      </c>
      <c r="R54" s="47">
        <v>1.7999999999999999E-2</v>
      </c>
      <c r="S54" s="32">
        <v>4.7E-2</v>
      </c>
      <c r="T54" s="31">
        <v>0</v>
      </c>
      <c r="V54">
        <v>52</v>
      </c>
      <c r="W54">
        <v>3</v>
      </c>
      <c r="X54">
        <v>9.2999999999999999E-2</v>
      </c>
      <c r="Y54" s="32">
        <v>0.55200000000000005</v>
      </c>
      <c r="Z54">
        <v>0</v>
      </c>
      <c r="AA54" s="32">
        <v>0.59399999999999997</v>
      </c>
      <c r="AB54">
        <v>0</v>
      </c>
      <c r="AC54" s="34">
        <v>2.1000000000000001E-2</v>
      </c>
      <c r="AD54" s="32">
        <v>5.6000000000000001E-2</v>
      </c>
    </row>
    <row r="55" spans="1:30">
      <c r="A55">
        <v>53</v>
      </c>
      <c r="B55">
        <v>3</v>
      </c>
      <c r="C55">
        <v>8.2000000000000003E-2</v>
      </c>
      <c r="D55">
        <v>0.46</v>
      </c>
      <c r="E55">
        <v>0</v>
      </c>
      <c r="F55">
        <v>0.56899999999999995</v>
      </c>
      <c r="G55">
        <v>0</v>
      </c>
      <c r="H55">
        <v>1.7600000000000001E-2</v>
      </c>
      <c r="I55">
        <v>4.8000000000000001E-2</v>
      </c>
      <c r="K55">
        <v>53</v>
      </c>
      <c r="L55">
        <v>3</v>
      </c>
      <c r="M55" s="32">
        <v>8.2000000000000003E-2</v>
      </c>
      <c r="N55" s="47">
        <v>0.46100000000000002</v>
      </c>
      <c r="P55" s="32">
        <v>0.56899999999999995</v>
      </c>
      <c r="R55" s="47">
        <v>1.7999999999999999E-2</v>
      </c>
      <c r="S55" s="32">
        <v>4.8000000000000001E-2</v>
      </c>
      <c r="T55" s="31">
        <v>0</v>
      </c>
      <c r="V55">
        <v>53</v>
      </c>
      <c r="W55">
        <v>3</v>
      </c>
      <c r="X55">
        <v>9.4E-2</v>
      </c>
      <c r="Y55" s="32">
        <v>0.56000000000000005</v>
      </c>
      <c r="Z55">
        <v>0</v>
      </c>
      <c r="AA55" s="32">
        <v>0.6</v>
      </c>
      <c r="AB55">
        <v>0</v>
      </c>
      <c r="AC55" s="34">
        <v>2.1999999999999999E-2</v>
      </c>
      <c r="AD55" s="32">
        <v>5.7000000000000002E-2</v>
      </c>
    </row>
    <row r="56" spans="1:30">
      <c r="A56">
        <v>54</v>
      </c>
      <c r="B56">
        <v>3</v>
      </c>
      <c r="C56">
        <v>8.3000000000000004E-2</v>
      </c>
      <c r="D56">
        <v>0.47</v>
      </c>
      <c r="E56">
        <v>0</v>
      </c>
      <c r="F56">
        <v>0.57499999999999996</v>
      </c>
      <c r="G56">
        <v>0</v>
      </c>
      <c r="H56">
        <v>1.7600000000000001E-2</v>
      </c>
      <c r="I56">
        <v>0.05</v>
      </c>
      <c r="K56">
        <v>54</v>
      </c>
      <c r="L56">
        <v>3</v>
      </c>
      <c r="M56" s="32">
        <v>8.3000000000000004E-2</v>
      </c>
      <c r="N56" s="47">
        <v>0.46899999999999997</v>
      </c>
      <c r="P56" s="32">
        <v>0.57499999999999996</v>
      </c>
      <c r="R56" s="47">
        <v>1.7999999999999999E-2</v>
      </c>
      <c r="S56" s="32">
        <v>0.05</v>
      </c>
      <c r="T56" s="31">
        <v>0</v>
      </c>
      <c r="V56">
        <v>54</v>
      </c>
      <c r="W56">
        <v>3</v>
      </c>
      <c r="X56">
        <v>9.5000000000000001E-2</v>
      </c>
      <c r="Y56" s="32">
        <v>0.56699999999999995</v>
      </c>
      <c r="Z56">
        <v>0</v>
      </c>
      <c r="AA56" s="32">
        <v>0.60499999999999998</v>
      </c>
      <c r="AB56">
        <v>0</v>
      </c>
      <c r="AC56" s="34">
        <v>2.1999999999999999E-2</v>
      </c>
      <c r="AD56" s="32">
        <v>5.8000000000000003E-2</v>
      </c>
    </row>
    <row r="57" spans="1:30">
      <c r="A57">
        <v>55</v>
      </c>
      <c r="B57">
        <v>3</v>
      </c>
      <c r="C57">
        <v>8.4000000000000005E-2</v>
      </c>
      <c r="D57">
        <v>0.48</v>
      </c>
      <c r="E57">
        <v>0</v>
      </c>
      <c r="F57">
        <v>0.58099999999999996</v>
      </c>
      <c r="G57">
        <v>0</v>
      </c>
      <c r="H57">
        <v>1.7600000000000001E-2</v>
      </c>
      <c r="I57">
        <v>5.0999999999999997E-2</v>
      </c>
      <c r="K57">
        <v>55</v>
      </c>
      <c r="L57">
        <v>3</v>
      </c>
      <c r="M57" s="32">
        <v>8.4000000000000005E-2</v>
      </c>
      <c r="N57" s="47">
        <v>0.47799999999999998</v>
      </c>
      <c r="P57" s="32">
        <v>0.58099999999999996</v>
      </c>
      <c r="R57" s="47">
        <v>1.7999999999999999E-2</v>
      </c>
      <c r="S57" s="32">
        <v>5.0999999999999997E-2</v>
      </c>
      <c r="T57" s="31">
        <v>0</v>
      </c>
      <c r="V57">
        <v>55</v>
      </c>
      <c r="W57">
        <v>3</v>
      </c>
      <c r="X57">
        <v>9.6000000000000002E-2</v>
      </c>
      <c r="Y57" s="32">
        <v>0.57499999999999996</v>
      </c>
      <c r="Z57">
        <v>0</v>
      </c>
      <c r="AA57" s="32">
        <v>0.61</v>
      </c>
      <c r="AB57">
        <v>0</v>
      </c>
      <c r="AC57" s="34">
        <v>2.1999999999999999E-2</v>
      </c>
      <c r="AD57" s="32">
        <v>5.8999999999999997E-2</v>
      </c>
    </row>
    <row r="58" spans="1:30">
      <c r="A58">
        <v>56</v>
      </c>
      <c r="B58">
        <v>3</v>
      </c>
      <c r="C58">
        <v>8.5000000000000006E-2</v>
      </c>
      <c r="D58">
        <v>0.49</v>
      </c>
      <c r="E58">
        <v>0</v>
      </c>
      <c r="F58">
        <v>0.58699999999999997</v>
      </c>
      <c r="G58">
        <v>0</v>
      </c>
      <c r="H58">
        <v>1.7600000000000001E-2</v>
      </c>
      <c r="I58">
        <v>5.1999999999999998E-2</v>
      </c>
      <c r="K58">
        <v>56</v>
      </c>
      <c r="L58">
        <v>3</v>
      </c>
      <c r="M58" s="32">
        <v>8.5000000000000006E-2</v>
      </c>
      <c r="N58" s="47">
        <v>0.48599999999999999</v>
      </c>
      <c r="P58" s="32">
        <v>0.58699999999999997</v>
      </c>
      <c r="R58" s="47">
        <v>1.7999999999999999E-2</v>
      </c>
      <c r="S58" s="32">
        <v>5.1999999999999998E-2</v>
      </c>
      <c r="T58" s="31">
        <v>0</v>
      </c>
      <c r="V58">
        <v>56</v>
      </c>
      <c r="W58">
        <v>3</v>
      </c>
      <c r="X58">
        <v>9.7000000000000003E-2</v>
      </c>
      <c r="Y58" s="32">
        <v>0.58199999999999996</v>
      </c>
      <c r="Z58">
        <v>0</v>
      </c>
      <c r="AA58" s="32">
        <v>0.61499999999999999</v>
      </c>
      <c r="AB58">
        <v>0</v>
      </c>
      <c r="AC58" s="34">
        <v>2.1999999999999999E-2</v>
      </c>
      <c r="AD58" s="32">
        <v>0.06</v>
      </c>
    </row>
    <row r="59" spans="1:30">
      <c r="A59">
        <v>57</v>
      </c>
      <c r="B59">
        <v>3</v>
      </c>
      <c r="C59">
        <v>8.5999999999999993E-2</v>
      </c>
      <c r="D59">
        <v>0.49</v>
      </c>
      <c r="E59">
        <v>0</v>
      </c>
      <c r="F59">
        <v>0.59299999999999997</v>
      </c>
      <c r="G59">
        <v>0</v>
      </c>
      <c r="H59">
        <v>1.7600000000000001E-2</v>
      </c>
      <c r="I59">
        <v>5.2999999999999999E-2</v>
      </c>
      <c r="K59">
        <v>57</v>
      </c>
      <c r="L59">
        <v>3</v>
      </c>
      <c r="M59" s="32">
        <v>8.5999999999999993E-2</v>
      </c>
      <c r="N59" s="47">
        <v>0.49399999999999999</v>
      </c>
      <c r="P59" s="32">
        <v>0.59299999999999997</v>
      </c>
      <c r="R59" s="47">
        <v>1.7999999999999999E-2</v>
      </c>
      <c r="S59" s="32">
        <v>5.2999999999999999E-2</v>
      </c>
      <c r="T59" s="31">
        <v>0</v>
      </c>
      <c r="V59">
        <v>57</v>
      </c>
      <c r="W59">
        <v>3</v>
      </c>
      <c r="X59">
        <v>9.8000000000000004E-2</v>
      </c>
      <c r="Y59" s="32">
        <v>0.58899999999999997</v>
      </c>
      <c r="Z59">
        <v>0</v>
      </c>
      <c r="AA59" s="32">
        <v>0.621</v>
      </c>
      <c r="AB59">
        <v>0</v>
      </c>
      <c r="AC59" s="34">
        <v>2.1999999999999999E-2</v>
      </c>
      <c r="AD59" s="32">
        <v>6.0999999999999999E-2</v>
      </c>
    </row>
    <row r="60" spans="1:30">
      <c r="A60">
        <v>58</v>
      </c>
      <c r="B60">
        <v>3</v>
      </c>
      <c r="C60">
        <v>8.6999999999999994E-2</v>
      </c>
      <c r="D60">
        <v>0.5</v>
      </c>
      <c r="E60">
        <v>0</v>
      </c>
      <c r="F60">
        <v>0.59899999999999998</v>
      </c>
      <c r="G60">
        <v>0</v>
      </c>
      <c r="H60">
        <v>1.7600000000000001E-2</v>
      </c>
      <c r="I60">
        <v>5.3999999999999999E-2</v>
      </c>
      <c r="K60">
        <v>58</v>
      </c>
      <c r="L60">
        <v>3</v>
      </c>
      <c r="M60" s="32">
        <v>8.6999999999999994E-2</v>
      </c>
      <c r="N60" s="47">
        <v>0.502</v>
      </c>
      <c r="P60" s="32">
        <v>0.59899999999999998</v>
      </c>
      <c r="R60" s="47">
        <v>1.9E-2</v>
      </c>
      <c r="S60" s="32">
        <v>5.3999999999999999E-2</v>
      </c>
      <c r="T60" s="31">
        <v>0</v>
      </c>
      <c r="V60">
        <v>58</v>
      </c>
      <c r="W60">
        <v>3</v>
      </c>
      <c r="X60">
        <v>9.9000000000000005E-2</v>
      </c>
      <c r="Y60" s="32">
        <v>0.59699999999999998</v>
      </c>
      <c r="Z60">
        <v>0</v>
      </c>
      <c r="AA60" s="32">
        <v>0.626</v>
      </c>
      <c r="AB60">
        <v>0</v>
      </c>
      <c r="AC60" s="34">
        <v>2.1999999999999999E-2</v>
      </c>
      <c r="AD60" s="32">
        <v>6.3E-2</v>
      </c>
    </row>
    <row r="61" spans="1:30">
      <c r="A61">
        <v>59</v>
      </c>
      <c r="B61">
        <v>3</v>
      </c>
      <c r="C61">
        <v>8.7999999999999995E-2</v>
      </c>
      <c r="D61">
        <v>0.51</v>
      </c>
      <c r="E61">
        <v>0</v>
      </c>
      <c r="F61">
        <v>0.60499999999999998</v>
      </c>
      <c r="G61">
        <v>0</v>
      </c>
      <c r="H61">
        <v>1.7600000000000001E-2</v>
      </c>
      <c r="I61">
        <v>5.5E-2</v>
      </c>
      <c r="K61">
        <v>59</v>
      </c>
      <c r="L61">
        <v>3</v>
      </c>
      <c r="M61" s="32">
        <v>8.7999999999999995E-2</v>
      </c>
      <c r="N61" s="47">
        <v>0.51100000000000001</v>
      </c>
      <c r="P61" s="32">
        <v>0.60499999999999998</v>
      </c>
      <c r="R61" s="47">
        <v>1.9E-2</v>
      </c>
      <c r="S61" s="32">
        <v>5.5E-2</v>
      </c>
      <c r="T61" s="31">
        <v>0</v>
      </c>
      <c r="V61">
        <v>59</v>
      </c>
      <c r="W61">
        <v>3</v>
      </c>
      <c r="X61">
        <v>0.1</v>
      </c>
      <c r="Y61" s="32">
        <v>0.60399999999999998</v>
      </c>
      <c r="Z61">
        <v>0</v>
      </c>
      <c r="AA61" s="32">
        <v>0.63100000000000001</v>
      </c>
      <c r="AB61">
        <v>0</v>
      </c>
      <c r="AC61" s="34">
        <v>2.1999999999999999E-2</v>
      </c>
      <c r="AD61" s="32">
        <v>6.4000000000000001E-2</v>
      </c>
    </row>
    <row r="62" spans="1:30">
      <c r="A62">
        <v>60</v>
      </c>
      <c r="B62">
        <v>3</v>
      </c>
      <c r="C62">
        <v>8.8999999999999996E-2</v>
      </c>
      <c r="D62">
        <v>0.52</v>
      </c>
      <c r="E62">
        <v>0</v>
      </c>
      <c r="F62">
        <v>0.61099999999999999</v>
      </c>
      <c r="G62">
        <v>0</v>
      </c>
      <c r="H62">
        <v>1.7600000000000001E-2</v>
      </c>
      <c r="I62">
        <v>5.6000000000000001E-2</v>
      </c>
      <c r="K62">
        <v>60</v>
      </c>
      <c r="L62">
        <v>3</v>
      </c>
      <c r="M62" s="32">
        <v>8.8999999999999996E-2</v>
      </c>
      <c r="N62" s="47">
        <v>0.51900000000000002</v>
      </c>
      <c r="P62" s="32">
        <v>0.61099999999999999</v>
      </c>
      <c r="R62" s="47">
        <v>1.9E-2</v>
      </c>
      <c r="S62" s="32">
        <v>5.6000000000000001E-2</v>
      </c>
      <c r="T62" s="31">
        <v>0</v>
      </c>
      <c r="V62">
        <v>60</v>
      </c>
      <c r="W62">
        <v>3</v>
      </c>
      <c r="X62">
        <v>0.10100000000000001</v>
      </c>
      <c r="Y62" s="32">
        <v>0.61199999999999999</v>
      </c>
      <c r="Z62">
        <v>0</v>
      </c>
      <c r="AA62" s="32">
        <v>0.63700000000000001</v>
      </c>
      <c r="AB62">
        <v>0</v>
      </c>
      <c r="AC62" s="34">
        <v>2.1999999999999999E-2</v>
      </c>
      <c r="AD62" s="32">
        <v>6.5000000000000002E-2</v>
      </c>
    </row>
    <row r="63" spans="1:30">
      <c r="A63">
        <v>61</v>
      </c>
      <c r="B63">
        <v>3</v>
      </c>
      <c r="C63">
        <v>0.09</v>
      </c>
      <c r="D63">
        <v>0.53</v>
      </c>
      <c r="E63">
        <v>0</v>
      </c>
      <c r="F63">
        <v>0.61599999999999999</v>
      </c>
      <c r="G63">
        <v>0</v>
      </c>
      <c r="H63">
        <v>1.7600000000000001E-2</v>
      </c>
      <c r="I63">
        <v>5.8000000000000003E-2</v>
      </c>
      <c r="K63">
        <v>61</v>
      </c>
      <c r="L63">
        <v>3</v>
      </c>
      <c r="M63" s="32">
        <v>0.09</v>
      </c>
      <c r="N63" s="47">
        <v>0.52700000000000002</v>
      </c>
      <c r="P63" s="32">
        <v>0.61599999999999999</v>
      </c>
      <c r="R63" s="47">
        <v>1.9E-2</v>
      </c>
      <c r="S63" s="32">
        <v>5.8000000000000003E-2</v>
      </c>
      <c r="T63" s="31">
        <v>0</v>
      </c>
      <c r="V63">
        <v>61</v>
      </c>
      <c r="W63">
        <v>3</v>
      </c>
      <c r="X63">
        <v>0.10199999999999999</v>
      </c>
      <c r="Y63" s="32">
        <v>0.61899999999999999</v>
      </c>
      <c r="Z63">
        <v>0</v>
      </c>
      <c r="AA63" s="32">
        <v>0.64200000000000002</v>
      </c>
      <c r="AB63">
        <v>0</v>
      </c>
      <c r="AC63" s="34">
        <v>2.1999999999999999E-2</v>
      </c>
      <c r="AD63" s="32">
        <v>6.6000000000000003E-2</v>
      </c>
    </row>
    <row r="64" spans="1:30">
      <c r="A64">
        <v>62</v>
      </c>
      <c r="B64">
        <v>3</v>
      </c>
      <c r="C64">
        <v>9.0999999999999998E-2</v>
      </c>
      <c r="D64">
        <v>0.54</v>
      </c>
      <c r="E64">
        <v>0</v>
      </c>
      <c r="F64">
        <v>0.622</v>
      </c>
      <c r="G64">
        <v>0</v>
      </c>
      <c r="H64">
        <v>1.7600000000000001E-2</v>
      </c>
      <c r="I64">
        <v>5.8999999999999997E-2</v>
      </c>
      <c r="K64">
        <v>62</v>
      </c>
      <c r="L64">
        <v>3</v>
      </c>
      <c r="M64" s="32">
        <v>9.0999999999999998E-2</v>
      </c>
      <c r="N64" s="47">
        <v>0.53500000000000003</v>
      </c>
      <c r="P64" s="32">
        <v>0.622</v>
      </c>
      <c r="R64" s="47">
        <v>1.9E-2</v>
      </c>
      <c r="S64" s="32">
        <v>5.8999999999999997E-2</v>
      </c>
      <c r="T64" s="31">
        <v>0</v>
      </c>
      <c r="V64">
        <v>62</v>
      </c>
      <c r="W64">
        <v>3</v>
      </c>
      <c r="X64">
        <v>0.10299999999999999</v>
      </c>
      <c r="Y64" s="32">
        <v>0.626</v>
      </c>
      <c r="Z64">
        <v>0</v>
      </c>
      <c r="AA64" s="32">
        <v>0.64700000000000002</v>
      </c>
      <c r="AB64">
        <v>0</v>
      </c>
      <c r="AC64" s="34">
        <v>2.1999999999999999E-2</v>
      </c>
      <c r="AD64" s="32">
        <v>6.7000000000000004E-2</v>
      </c>
    </row>
    <row r="65" spans="1:30">
      <c r="A65">
        <v>63</v>
      </c>
      <c r="B65">
        <v>3</v>
      </c>
      <c r="C65">
        <v>9.1999999999999998E-2</v>
      </c>
      <c r="D65">
        <v>0.54</v>
      </c>
      <c r="E65">
        <v>0</v>
      </c>
      <c r="F65">
        <v>0.628</v>
      </c>
      <c r="G65">
        <v>0</v>
      </c>
      <c r="H65">
        <v>1.7600000000000001E-2</v>
      </c>
      <c r="I65">
        <v>0.06</v>
      </c>
      <c r="K65">
        <v>63</v>
      </c>
      <c r="L65">
        <v>3</v>
      </c>
      <c r="M65" s="32">
        <v>9.1999999999999998E-2</v>
      </c>
      <c r="N65" s="47">
        <v>0.54400000000000004</v>
      </c>
      <c r="P65" s="32">
        <v>0.628</v>
      </c>
      <c r="R65" s="47">
        <v>1.9E-2</v>
      </c>
      <c r="S65" s="32">
        <v>0.06</v>
      </c>
      <c r="T65" s="31">
        <v>0</v>
      </c>
      <c r="V65">
        <v>63</v>
      </c>
      <c r="W65">
        <v>3</v>
      </c>
      <c r="X65">
        <v>0.104</v>
      </c>
      <c r="Y65" s="32">
        <v>0.63400000000000001</v>
      </c>
      <c r="Z65">
        <v>0</v>
      </c>
      <c r="AA65" s="32">
        <v>0.65300000000000002</v>
      </c>
      <c r="AB65">
        <v>0</v>
      </c>
      <c r="AC65" s="34">
        <v>2.3E-2</v>
      </c>
      <c r="AD65" s="32">
        <v>6.8000000000000005E-2</v>
      </c>
    </row>
    <row r="66" spans="1:30">
      <c r="A66">
        <v>64</v>
      </c>
      <c r="B66">
        <v>3</v>
      </c>
      <c r="C66">
        <v>9.2999999999999999E-2</v>
      </c>
      <c r="D66">
        <v>0.55000000000000004</v>
      </c>
      <c r="E66">
        <v>0</v>
      </c>
      <c r="F66">
        <v>0.63400000000000001</v>
      </c>
      <c r="G66">
        <v>0</v>
      </c>
      <c r="H66">
        <v>1.7600000000000001E-2</v>
      </c>
      <c r="I66">
        <v>6.0999999999999999E-2</v>
      </c>
      <c r="K66">
        <v>64</v>
      </c>
      <c r="L66">
        <v>3</v>
      </c>
      <c r="M66" s="32">
        <v>9.2999999999999999E-2</v>
      </c>
      <c r="N66" s="47">
        <v>0.55200000000000005</v>
      </c>
      <c r="P66" s="32">
        <v>0.63400000000000001</v>
      </c>
      <c r="R66" s="47">
        <v>1.9E-2</v>
      </c>
      <c r="S66" s="32">
        <v>6.0999999999999999E-2</v>
      </c>
      <c r="T66" s="31">
        <v>0</v>
      </c>
      <c r="V66">
        <v>64</v>
      </c>
      <c r="W66">
        <v>3</v>
      </c>
      <c r="X66">
        <v>0.105</v>
      </c>
      <c r="Y66" s="32">
        <v>0.64100000000000001</v>
      </c>
      <c r="Z66">
        <v>0</v>
      </c>
      <c r="AA66" s="32">
        <v>0.65800000000000003</v>
      </c>
      <c r="AB66">
        <v>0</v>
      </c>
      <c r="AC66" s="34">
        <v>2.3E-2</v>
      </c>
      <c r="AD66" s="32">
        <v>6.9000000000000006E-2</v>
      </c>
    </row>
    <row r="67" spans="1:30">
      <c r="A67">
        <v>65</v>
      </c>
      <c r="B67">
        <v>4</v>
      </c>
      <c r="C67">
        <v>9.4E-2</v>
      </c>
      <c r="D67">
        <v>0.56000000000000005</v>
      </c>
      <c r="E67">
        <v>0</v>
      </c>
      <c r="F67">
        <v>0.64</v>
      </c>
      <c r="G67">
        <v>0</v>
      </c>
      <c r="H67">
        <v>1.9300000000000001E-2</v>
      </c>
      <c r="I67">
        <v>6.2E-2</v>
      </c>
      <c r="K67">
        <v>65</v>
      </c>
      <c r="L67">
        <v>4</v>
      </c>
      <c r="M67" s="32">
        <v>9.4E-2</v>
      </c>
      <c r="N67" s="32">
        <v>0.56000000000000005</v>
      </c>
      <c r="P67" s="32">
        <v>0.64</v>
      </c>
      <c r="R67" s="47">
        <v>1.9E-2</v>
      </c>
      <c r="S67" s="32">
        <v>6.2E-2</v>
      </c>
      <c r="T67" s="31">
        <v>0</v>
      </c>
      <c r="V67">
        <v>65</v>
      </c>
      <c r="W67">
        <v>3</v>
      </c>
      <c r="X67">
        <v>0.106</v>
      </c>
      <c r="Y67" s="32">
        <v>0.64800000000000002</v>
      </c>
      <c r="Z67">
        <v>0</v>
      </c>
      <c r="AA67" s="32">
        <v>0.66300000000000003</v>
      </c>
      <c r="AB67">
        <v>0</v>
      </c>
      <c r="AC67" s="34">
        <v>2.3E-2</v>
      </c>
      <c r="AD67" s="32">
        <v>7.0999999999999994E-2</v>
      </c>
    </row>
    <row r="68" spans="1:30">
      <c r="A68">
        <v>66</v>
      </c>
      <c r="B68">
        <v>4</v>
      </c>
      <c r="C68">
        <v>9.5000000000000001E-2</v>
      </c>
      <c r="D68">
        <v>0.56999999999999995</v>
      </c>
      <c r="E68">
        <v>0</v>
      </c>
      <c r="F68">
        <v>0.64500000000000002</v>
      </c>
      <c r="G68">
        <v>0</v>
      </c>
      <c r="H68">
        <v>1.9300000000000001E-2</v>
      </c>
      <c r="I68">
        <v>6.3E-2</v>
      </c>
      <c r="K68">
        <v>66</v>
      </c>
      <c r="L68">
        <v>4</v>
      </c>
      <c r="M68" s="32">
        <v>9.5000000000000001E-2</v>
      </c>
      <c r="N68" s="47">
        <v>0.56699999999999995</v>
      </c>
      <c r="P68" s="32">
        <v>0.64500000000000002</v>
      </c>
      <c r="R68" s="47">
        <v>1.9E-2</v>
      </c>
      <c r="S68" s="32">
        <v>6.3E-2</v>
      </c>
      <c r="T68" s="31">
        <v>0</v>
      </c>
      <c r="V68">
        <v>66</v>
      </c>
      <c r="W68">
        <v>3</v>
      </c>
      <c r="X68">
        <v>0.107</v>
      </c>
      <c r="Y68" s="32">
        <v>0.65600000000000003</v>
      </c>
      <c r="Z68">
        <v>0</v>
      </c>
      <c r="AA68" s="32">
        <v>0.66800000000000004</v>
      </c>
      <c r="AB68">
        <v>0</v>
      </c>
      <c r="AC68" s="34">
        <v>2.3E-2</v>
      </c>
      <c r="AD68" s="32">
        <v>7.1999999999999995E-2</v>
      </c>
    </row>
    <row r="69" spans="1:30">
      <c r="A69">
        <v>67</v>
      </c>
      <c r="B69">
        <v>4</v>
      </c>
      <c r="C69">
        <v>9.6000000000000002E-2</v>
      </c>
      <c r="D69">
        <v>0.56999999999999995</v>
      </c>
      <c r="E69">
        <v>0</v>
      </c>
      <c r="F69">
        <v>0.64900000000000002</v>
      </c>
      <c r="G69">
        <v>0</v>
      </c>
      <c r="H69">
        <v>1.9300000000000001E-2</v>
      </c>
      <c r="I69">
        <v>6.4000000000000001E-2</v>
      </c>
      <c r="K69">
        <v>67</v>
      </c>
      <c r="L69">
        <v>4</v>
      </c>
      <c r="M69" s="32">
        <v>9.6000000000000002E-2</v>
      </c>
      <c r="N69" s="47">
        <v>0.57499999999999996</v>
      </c>
      <c r="P69" s="32">
        <v>0.64900000000000002</v>
      </c>
      <c r="R69" s="47">
        <v>0.02</v>
      </c>
      <c r="S69" s="32">
        <v>6.4000000000000001E-2</v>
      </c>
      <c r="T69" s="31">
        <v>0</v>
      </c>
      <c r="V69">
        <v>67</v>
      </c>
      <c r="W69">
        <v>3</v>
      </c>
      <c r="X69">
        <v>0.108</v>
      </c>
      <c r="Y69" s="32">
        <v>0.66300000000000003</v>
      </c>
      <c r="Z69">
        <v>0</v>
      </c>
      <c r="AA69" s="32">
        <v>0.67400000000000004</v>
      </c>
      <c r="AB69">
        <v>0</v>
      </c>
      <c r="AC69" s="34">
        <v>2.3E-2</v>
      </c>
      <c r="AD69" s="32">
        <v>7.2999999999999995E-2</v>
      </c>
    </row>
    <row r="70" spans="1:30">
      <c r="A70">
        <v>68</v>
      </c>
      <c r="B70">
        <v>4</v>
      </c>
      <c r="C70">
        <v>9.7000000000000003E-2</v>
      </c>
      <c r="D70">
        <v>0.57999999999999996</v>
      </c>
      <c r="E70">
        <v>0</v>
      </c>
      <c r="F70">
        <v>0.65400000000000003</v>
      </c>
      <c r="G70">
        <v>0</v>
      </c>
      <c r="H70">
        <v>1.9300000000000001E-2</v>
      </c>
      <c r="I70">
        <v>6.6000000000000003E-2</v>
      </c>
      <c r="K70">
        <v>68</v>
      </c>
      <c r="L70">
        <v>4</v>
      </c>
      <c r="M70" s="32">
        <v>9.7000000000000003E-2</v>
      </c>
      <c r="N70" s="47">
        <v>0.58199999999999996</v>
      </c>
      <c r="P70" s="32">
        <v>0.65400000000000003</v>
      </c>
      <c r="R70" s="47">
        <v>0.02</v>
      </c>
      <c r="S70" s="32">
        <v>6.6000000000000003E-2</v>
      </c>
      <c r="T70" s="31">
        <v>0</v>
      </c>
      <c r="V70">
        <v>68</v>
      </c>
      <c r="W70">
        <v>4</v>
      </c>
      <c r="X70">
        <v>0.109</v>
      </c>
      <c r="Y70" s="32">
        <v>0.67100000000000004</v>
      </c>
      <c r="Z70">
        <v>0</v>
      </c>
      <c r="AA70" s="32">
        <v>0.67900000000000005</v>
      </c>
      <c r="AB70">
        <v>0</v>
      </c>
      <c r="AC70" s="34">
        <v>2.3E-2</v>
      </c>
      <c r="AD70" s="32">
        <v>7.3999999999999996E-2</v>
      </c>
    </row>
    <row r="71" spans="1:30">
      <c r="A71">
        <v>69</v>
      </c>
      <c r="B71">
        <v>4</v>
      </c>
      <c r="C71">
        <v>9.8000000000000004E-2</v>
      </c>
      <c r="D71">
        <v>0.59</v>
      </c>
      <c r="E71">
        <v>0</v>
      </c>
      <c r="F71">
        <v>0.65900000000000003</v>
      </c>
      <c r="G71">
        <v>0</v>
      </c>
      <c r="H71">
        <v>1.9300000000000001E-2</v>
      </c>
      <c r="I71">
        <v>6.7000000000000004E-2</v>
      </c>
      <c r="K71">
        <v>69</v>
      </c>
      <c r="L71">
        <v>4</v>
      </c>
      <c r="M71" s="32">
        <v>9.8000000000000004E-2</v>
      </c>
      <c r="N71" s="47">
        <v>0.58899999999999997</v>
      </c>
      <c r="P71" s="32">
        <v>0.65900000000000003</v>
      </c>
      <c r="R71" s="47">
        <v>0.02</v>
      </c>
      <c r="S71" s="32">
        <v>6.7000000000000004E-2</v>
      </c>
      <c r="T71" s="31">
        <v>0</v>
      </c>
      <c r="V71">
        <v>69</v>
      </c>
      <c r="W71">
        <v>4</v>
      </c>
      <c r="X71">
        <v>0.11</v>
      </c>
      <c r="Y71" s="32">
        <v>0.67800000000000005</v>
      </c>
      <c r="Z71">
        <v>0</v>
      </c>
      <c r="AA71" s="32">
        <v>0.68300000000000005</v>
      </c>
      <c r="AB71">
        <v>0</v>
      </c>
      <c r="AC71" s="34">
        <v>2.3E-2</v>
      </c>
      <c r="AD71" s="32">
        <v>7.4999999999999997E-2</v>
      </c>
    </row>
    <row r="72" spans="1:30">
      <c r="A72">
        <v>70</v>
      </c>
      <c r="B72">
        <v>4</v>
      </c>
      <c r="C72">
        <v>9.9000000000000005E-2</v>
      </c>
      <c r="D72">
        <v>0.6</v>
      </c>
      <c r="E72">
        <v>0</v>
      </c>
      <c r="F72">
        <v>0.66400000000000003</v>
      </c>
      <c r="G72">
        <v>0</v>
      </c>
      <c r="H72">
        <v>1.9300000000000001E-2</v>
      </c>
      <c r="I72">
        <v>6.8000000000000005E-2</v>
      </c>
      <c r="K72">
        <v>70</v>
      </c>
      <c r="L72">
        <v>4</v>
      </c>
      <c r="M72" s="32">
        <v>9.9000000000000005E-2</v>
      </c>
      <c r="N72" s="47">
        <v>0.59699999999999998</v>
      </c>
      <c r="P72" s="32">
        <v>0.66400000000000003</v>
      </c>
      <c r="R72" s="47">
        <v>0.02</v>
      </c>
      <c r="S72" s="32">
        <v>6.8000000000000005E-2</v>
      </c>
      <c r="T72" s="31">
        <v>0</v>
      </c>
      <c r="V72">
        <v>70</v>
      </c>
      <c r="W72">
        <v>4</v>
      </c>
      <c r="X72">
        <v>0.111</v>
      </c>
      <c r="Y72" s="32">
        <v>0.68500000000000005</v>
      </c>
      <c r="Z72">
        <v>0</v>
      </c>
      <c r="AA72" s="32">
        <v>0.68799999999999994</v>
      </c>
      <c r="AB72">
        <v>0</v>
      </c>
      <c r="AC72" s="34">
        <v>2.3E-2</v>
      </c>
      <c r="AD72" s="32">
        <v>7.5999999999999998E-2</v>
      </c>
    </row>
    <row r="73" spans="1:30">
      <c r="A73">
        <v>71</v>
      </c>
      <c r="B73">
        <v>4</v>
      </c>
      <c r="C73">
        <v>0.1</v>
      </c>
      <c r="D73">
        <v>0.6</v>
      </c>
      <c r="E73">
        <v>0</v>
      </c>
      <c r="F73">
        <v>0.66800000000000004</v>
      </c>
      <c r="G73">
        <v>0</v>
      </c>
      <c r="H73">
        <v>1.9300000000000001E-2</v>
      </c>
      <c r="I73">
        <v>6.9000000000000006E-2</v>
      </c>
      <c r="K73">
        <v>71</v>
      </c>
      <c r="L73">
        <v>4</v>
      </c>
      <c r="M73" s="32">
        <v>0.1</v>
      </c>
      <c r="N73" s="47">
        <v>0.60399999999999998</v>
      </c>
      <c r="P73" s="32">
        <v>0.66800000000000004</v>
      </c>
      <c r="R73" s="47">
        <v>0.02</v>
      </c>
      <c r="S73" s="32">
        <v>6.9000000000000006E-2</v>
      </c>
      <c r="T73" s="31">
        <v>0</v>
      </c>
      <c r="V73">
        <v>71</v>
      </c>
      <c r="W73">
        <v>4</v>
      </c>
      <c r="X73">
        <v>0.112</v>
      </c>
      <c r="Y73" s="32">
        <v>0.69299999999999995</v>
      </c>
      <c r="Z73">
        <v>0</v>
      </c>
      <c r="AA73" s="32">
        <v>0.69199999999999995</v>
      </c>
      <c r="AB73">
        <v>0</v>
      </c>
      <c r="AC73" s="34">
        <v>2.4E-2</v>
      </c>
      <c r="AD73" s="32">
        <v>7.8E-2</v>
      </c>
    </row>
    <row r="74" spans="1:30">
      <c r="A74">
        <v>72</v>
      </c>
      <c r="B74">
        <v>4</v>
      </c>
      <c r="C74">
        <v>0.10100000000000001</v>
      </c>
      <c r="D74">
        <v>0.61</v>
      </c>
      <c r="E74">
        <v>0</v>
      </c>
      <c r="F74">
        <v>0.67300000000000004</v>
      </c>
      <c r="G74">
        <v>0</v>
      </c>
      <c r="H74">
        <v>1.9300000000000001E-2</v>
      </c>
      <c r="I74">
        <v>7.0000000000000007E-2</v>
      </c>
      <c r="K74">
        <v>72</v>
      </c>
      <c r="L74">
        <v>4</v>
      </c>
      <c r="M74" s="32">
        <v>0.10100000000000001</v>
      </c>
      <c r="N74" s="47">
        <v>0.61199999999999999</v>
      </c>
      <c r="P74" s="32">
        <v>0.67300000000000004</v>
      </c>
      <c r="R74" s="47">
        <v>2.1000000000000001E-2</v>
      </c>
      <c r="S74" s="32">
        <v>7.0000000000000007E-2</v>
      </c>
      <c r="T74" s="31">
        <v>0</v>
      </c>
      <c r="V74">
        <v>72</v>
      </c>
      <c r="W74">
        <v>4</v>
      </c>
      <c r="X74">
        <v>0.113</v>
      </c>
      <c r="Y74" s="32">
        <v>0.7</v>
      </c>
      <c r="Z74">
        <v>0</v>
      </c>
      <c r="AA74" s="32">
        <v>0.69599999999999995</v>
      </c>
      <c r="AB74">
        <v>0</v>
      </c>
      <c r="AC74" s="34">
        <v>2.4E-2</v>
      </c>
      <c r="AD74" s="32">
        <v>7.9000000000000001E-2</v>
      </c>
    </row>
    <row r="75" spans="1:30">
      <c r="A75">
        <v>73</v>
      </c>
      <c r="B75">
        <v>4</v>
      </c>
      <c r="C75">
        <v>0.10199999999999999</v>
      </c>
      <c r="D75">
        <v>0.62</v>
      </c>
      <c r="E75">
        <v>0</v>
      </c>
      <c r="F75">
        <v>0.67800000000000005</v>
      </c>
      <c r="G75">
        <v>0</v>
      </c>
      <c r="H75">
        <v>1.9300000000000001E-2</v>
      </c>
      <c r="I75">
        <v>7.1999999999999995E-2</v>
      </c>
      <c r="K75">
        <v>73</v>
      </c>
      <c r="L75">
        <v>4</v>
      </c>
      <c r="M75" s="32">
        <v>0.10199999999999999</v>
      </c>
      <c r="N75" s="47">
        <v>0.61899999999999999</v>
      </c>
      <c r="P75" s="32">
        <v>0.67800000000000005</v>
      </c>
      <c r="R75" s="47">
        <v>2.1000000000000001E-2</v>
      </c>
      <c r="S75" s="32">
        <v>7.1999999999999995E-2</v>
      </c>
      <c r="T75" s="31">
        <v>0</v>
      </c>
      <c r="V75">
        <v>73</v>
      </c>
      <c r="W75">
        <v>4</v>
      </c>
      <c r="X75">
        <v>0.114</v>
      </c>
      <c r="Y75" s="32">
        <v>0.70599999999999996</v>
      </c>
      <c r="Z75">
        <v>0</v>
      </c>
      <c r="AA75" s="32">
        <v>0.7</v>
      </c>
      <c r="AB75">
        <v>0</v>
      </c>
      <c r="AC75" s="34">
        <v>2.4E-2</v>
      </c>
      <c r="AD75" s="32">
        <v>0.08</v>
      </c>
    </row>
    <row r="76" spans="1:30">
      <c r="A76">
        <v>74</v>
      </c>
      <c r="B76">
        <v>4</v>
      </c>
      <c r="C76">
        <v>0.10299999999999999</v>
      </c>
      <c r="D76">
        <v>0.63</v>
      </c>
      <c r="E76">
        <v>0</v>
      </c>
      <c r="F76">
        <v>0.68300000000000005</v>
      </c>
      <c r="G76">
        <v>0</v>
      </c>
      <c r="H76">
        <v>1.9300000000000001E-2</v>
      </c>
      <c r="I76">
        <v>7.2999999999999995E-2</v>
      </c>
      <c r="K76">
        <v>74</v>
      </c>
      <c r="L76">
        <v>4</v>
      </c>
      <c r="M76" s="32">
        <v>0.10299999999999999</v>
      </c>
      <c r="N76" s="47">
        <v>0.626</v>
      </c>
      <c r="P76" s="32">
        <v>0.68300000000000005</v>
      </c>
      <c r="R76" s="47">
        <v>2.1000000000000001E-2</v>
      </c>
      <c r="S76" s="32">
        <v>7.2999999999999995E-2</v>
      </c>
      <c r="T76" s="31">
        <v>0</v>
      </c>
      <c r="V76">
        <v>74</v>
      </c>
      <c r="W76">
        <v>4</v>
      </c>
      <c r="X76">
        <v>0.115</v>
      </c>
      <c r="Y76" s="32">
        <v>0.71199999999999997</v>
      </c>
      <c r="Z76">
        <v>0</v>
      </c>
      <c r="AA76" s="32">
        <v>0.70499999999999996</v>
      </c>
      <c r="AB76">
        <v>0</v>
      </c>
      <c r="AC76" s="34">
        <v>2.4E-2</v>
      </c>
      <c r="AD76" s="32">
        <v>8.1000000000000003E-2</v>
      </c>
    </row>
    <row r="77" spans="1:30">
      <c r="A77">
        <v>75</v>
      </c>
      <c r="B77">
        <v>4</v>
      </c>
      <c r="C77">
        <v>0.104</v>
      </c>
      <c r="D77">
        <v>0.63</v>
      </c>
      <c r="E77">
        <v>0</v>
      </c>
      <c r="F77">
        <v>0.68700000000000006</v>
      </c>
      <c r="G77">
        <v>0</v>
      </c>
      <c r="H77">
        <v>1.9300000000000001E-2</v>
      </c>
      <c r="I77">
        <v>7.3999999999999996E-2</v>
      </c>
      <c r="K77">
        <v>75</v>
      </c>
      <c r="L77">
        <v>4</v>
      </c>
      <c r="M77" s="32">
        <v>0.104</v>
      </c>
      <c r="N77" s="47">
        <v>0.63400000000000001</v>
      </c>
      <c r="P77" s="32">
        <v>0.68700000000000006</v>
      </c>
      <c r="R77" s="47">
        <v>2.1000000000000001E-2</v>
      </c>
      <c r="S77" s="32">
        <v>7.3999999999999996E-2</v>
      </c>
      <c r="T77" s="31">
        <v>0</v>
      </c>
      <c r="V77">
        <v>75</v>
      </c>
      <c r="W77">
        <v>4</v>
      </c>
      <c r="X77">
        <v>0.11600000000000001</v>
      </c>
      <c r="Y77" s="32">
        <v>0.71799999999999997</v>
      </c>
      <c r="Z77">
        <v>0</v>
      </c>
      <c r="AA77" s="32">
        <v>0.70899999999999996</v>
      </c>
      <c r="AB77">
        <v>0</v>
      </c>
      <c r="AC77" s="34">
        <v>2.4E-2</v>
      </c>
      <c r="AD77" s="32">
        <v>8.3000000000000004E-2</v>
      </c>
    </row>
    <row r="78" spans="1:30">
      <c r="A78">
        <v>76</v>
      </c>
      <c r="B78">
        <v>4</v>
      </c>
      <c r="C78">
        <v>0.105</v>
      </c>
      <c r="D78">
        <v>0.64</v>
      </c>
      <c r="E78">
        <v>0</v>
      </c>
      <c r="F78">
        <v>0.69199999999999995</v>
      </c>
      <c r="G78">
        <v>0</v>
      </c>
      <c r="H78">
        <v>1.9300000000000001E-2</v>
      </c>
      <c r="I78">
        <v>7.4999999999999997E-2</v>
      </c>
      <c r="K78">
        <v>76</v>
      </c>
      <c r="L78">
        <v>4</v>
      </c>
      <c r="M78" s="32">
        <v>0.105</v>
      </c>
      <c r="N78" s="47">
        <v>0.64100000000000001</v>
      </c>
      <c r="P78" s="32">
        <v>0.69199999999999995</v>
      </c>
      <c r="R78" s="47">
        <v>2.1000000000000001E-2</v>
      </c>
      <c r="S78" s="32">
        <v>7.4999999999999997E-2</v>
      </c>
      <c r="T78" s="31">
        <v>0</v>
      </c>
      <c r="V78">
        <v>76</v>
      </c>
      <c r="W78">
        <v>4</v>
      </c>
      <c r="X78">
        <v>0.11700000000000001</v>
      </c>
      <c r="Y78" s="32">
        <v>0.72399999999999998</v>
      </c>
      <c r="Z78">
        <v>0</v>
      </c>
      <c r="AA78" s="32">
        <v>0.71299999999999997</v>
      </c>
      <c r="AB78">
        <v>0</v>
      </c>
      <c r="AC78" s="34">
        <v>2.4E-2</v>
      </c>
      <c r="AD78" s="32">
        <v>8.4000000000000005E-2</v>
      </c>
    </row>
    <row r="79" spans="1:30">
      <c r="A79">
        <v>77</v>
      </c>
      <c r="B79">
        <v>4</v>
      </c>
      <c r="C79">
        <v>0.106</v>
      </c>
      <c r="D79">
        <v>0.65</v>
      </c>
      <c r="E79">
        <v>0</v>
      </c>
      <c r="F79">
        <v>0.69699999999999995</v>
      </c>
      <c r="G79">
        <v>0</v>
      </c>
      <c r="H79">
        <v>1.9300000000000001E-2</v>
      </c>
      <c r="I79">
        <v>7.5999999999999998E-2</v>
      </c>
      <c r="K79">
        <v>77</v>
      </c>
      <c r="L79">
        <v>4</v>
      </c>
      <c r="M79" s="32">
        <v>0.106</v>
      </c>
      <c r="N79" s="47">
        <v>0.64800000000000002</v>
      </c>
      <c r="P79" s="32">
        <v>0.69699999999999995</v>
      </c>
      <c r="R79" s="47">
        <v>2.1000000000000001E-2</v>
      </c>
      <c r="S79" s="32">
        <v>7.5999999999999998E-2</v>
      </c>
      <c r="T79" s="31">
        <v>0</v>
      </c>
      <c r="V79">
        <v>77</v>
      </c>
      <c r="W79">
        <v>4</v>
      </c>
      <c r="X79">
        <v>0.11799999999999999</v>
      </c>
      <c r="Y79" s="32">
        <v>0.73</v>
      </c>
      <c r="Z79">
        <v>0</v>
      </c>
      <c r="AA79" s="32">
        <v>0.71699999999999997</v>
      </c>
      <c r="AB79">
        <v>0</v>
      </c>
      <c r="AC79" s="34">
        <v>2.5000000000000001E-2</v>
      </c>
      <c r="AD79" s="32">
        <v>8.5000000000000006E-2</v>
      </c>
    </row>
    <row r="80" spans="1:30">
      <c r="A80">
        <v>78</v>
      </c>
      <c r="B80">
        <v>4</v>
      </c>
      <c r="C80">
        <v>0.107</v>
      </c>
      <c r="D80">
        <v>0.66</v>
      </c>
      <c r="E80">
        <v>0</v>
      </c>
      <c r="F80">
        <v>0.70199999999999996</v>
      </c>
      <c r="G80">
        <v>0</v>
      </c>
      <c r="H80">
        <v>1.9300000000000001E-2</v>
      </c>
      <c r="I80">
        <v>7.8E-2</v>
      </c>
      <c r="K80">
        <v>78</v>
      </c>
      <c r="L80">
        <v>4</v>
      </c>
      <c r="M80" s="32">
        <v>0.107</v>
      </c>
      <c r="N80" s="47">
        <v>0.65600000000000003</v>
      </c>
      <c r="P80" s="32">
        <v>0.70199999999999996</v>
      </c>
      <c r="R80" s="47">
        <v>2.1999999999999999E-2</v>
      </c>
      <c r="S80" s="32">
        <v>7.8E-2</v>
      </c>
      <c r="T80" s="31">
        <v>0</v>
      </c>
      <c r="V80">
        <v>78</v>
      </c>
      <c r="W80">
        <v>4</v>
      </c>
      <c r="X80">
        <v>0.11899999999999999</v>
      </c>
      <c r="Y80" s="32">
        <v>0.73699999999999999</v>
      </c>
      <c r="Z80">
        <v>0</v>
      </c>
      <c r="AA80" s="32">
        <v>0.72199999999999998</v>
      </c>
      <c r="AB80">
        <v>0</v>
      </c>
      <c r="AC80" s="34">
        <v>2.5000000000000001E-2</v>
      </c>
      <c r="AD80" s="32">
        <v>8.5999999999999993E-2</v>
      </c>
    </row>
    <row r="81" spans="1:30">
      <c r="A81">
        <v>79</v>
      </c>
      <c r="B81">
        <v>4</v>
      </c>
      <c r="C81">
        <v>0.108</v>
      </c>
      <c r="D81">
        <v>0.66</v>
      </c>
      <c r="E81">
        <v>0</v>
      </c>
      <c r="F81">
        <v>0.70599999999999996</v>
      </c>
      <c r="G81">
        <v>0</v>
      </c>
      <c r="H81">
        <v>1.9300000000000001E-2</v>
      </c>
      <c r="I81">
        <v>7.9000000000000001E-2</v>
      </c>
      <c r="K81">
        <v>79</v>
      </c>
      <c r="L81">
        <v>4</v>
      </c>
      <c r="M81" s="32">
        <v>0.108</v>
      </c>
      <c r="N81" s="47">
        <v>0.66300000000000003</v>
      </c>
      <c r="P81" s="32">
        <v>0.70599999999999996</v>
      </c>
      <c r="R81" s="47">
        <v>2.1999999999999999E-2</v>
      </c>
      <c r="S81" s="32">
        <v>7.9000000000000001E-2</v>
      </c>
      <c r="T81" s="31">
        <v>0</v>
      </c>
      <c r="V81">
        <v>79</v>
      </c>
      <c r="W81">
        <v>4</v>
      </c>
      <c r="X81">
        <v>0.12</v>
      </c>
      <c r="Y81" s="32">
        <v>0.74299999999999999</v>
      </c>
      <c r="Z81">
        <v>0</v>
      </c>
      <c r="AA81" s="32">
        <v>0.72599999999999998</v>
      </c>
      <c r="AB81">
        <v>0</v>
      </c>
      <c r="AC81" s="34">
        <v>2.5000000000000001E-2</v>
      </c>
      <c r="AD81" s="32">
        <v>8.7999999999999995E-2</v>
      </c>
    </row>
    <row r="82" spans="1:30">
      <c r="A82">
        <v>80</v>
      </c>
      <c r="B82">
        <v>4</v>
      </c>
      <c r="C82">
        <v>0.109</v>
      </c>
      <c r="D82">
        <v>0.67</v>
      </c>
      <c r="E82">
        <v>0</v>
      </c>
      <c r="F82">
        <v>0.71099999999999997</v>
      </c>
      <c r="G82">
        <v>0</v>
      </c>
      <c r="H82">
        <v>1.9300000000000001E-2</v>
      </c>
      <c r="I82">
        <v>0.08</v>
      </c>
      <c r="K82">
        <v>80</v>
      </c>
      <c r="L82">
        <v>4</v>
      </c>
      <c r="M82" s="32">
        <v>0.109</v>
      </c>
      <c r="N82" s="47">
        <v>0.67100000000000004</v>
      </c>
      <c r="P82" s="32">
        <v>0.71099999999999997</v>
      </c>
      <c r="R82" s="47">
        <v>2.1999999999999999E-2</v>
      </c>
      <c r="S82" s="32">
        <v>0.08</v>
      </c>
      <c r="T82" s="31">
        <v>0</v>
      </c>
      <c r="V82">
        <v>80</v>
      </c>
      <c r="W82">
        <v>4</v>
      </c>
      <c r="X82">
        <v>0.121</v>
      </c>
      <c r="Y82" s="32">
        <v>0.749</v>
      </c>
      <c r="Z82">
        <v>0</v>
      </c>
      <c r="AA82" s="32">
        <v>0.73</v>
      </c>
      <c r="AB82">
        <v>0</v>
      </c>
      <c r="AC82" s="34">
        <v>2.5000000000000001E-2</v>
      </c>
      <c r="AD82" s="32">
        <v>8.8999999999999996E-2</v>
      </c>
    </row>
    <row r="83" spans="1:30">
      <c r="A83">
        <v>81</v>
      </c>
      <c r="B83">
        <v>4</v>
      </c>
      <c r="C83">
        <v>0.11</v>
      </c>
      <c r="D83">
        <v>0.68</v>
      </c>
      <c r="E83">
        <v>0</v>
      </c>
      <c r="F83">
        <v>0.71599999999999997</v>
      </c>
      <c r="G83">
        <v>0</v>
      </c>
      <c r="H83">
        <v>1.9300000000000001E-2</v>
      </c>
      <c r="I83">
        <v>8.1000000000000003E-2</v>
      </c>
      <c r="K83">
        <v>81</v>
      </c>
      <c r="L83">
        <v>4</v>
      </c>
      <c r="M83" s="32">
        <v>0.11</v>
      </c>
      <c r="N83" s="47">
        <v>0.67800000000000005</v>
      </c>
      <c r="P83" s="32">
        <v>0.71599999999999997</v>
      </c>
      <c r="R83" s="47">
        <v>2.1999999999999999E-2</v>
      </c>
      <c r="S83" s="32">
        <v>8.1000000000000003E-2</v>
      </c>
      <c r="T83" s="31">
        <v>0</v>
      </c>
      <c r="V83">
        <v>81</v>
      </c>
      <c r="W83">
        <v>4</v>
      </c>
      <c r="X83">
        <v>0.122</v>
      </c>
      <c r="Y83" s="32">
        <v>0.755</v>
      </c>
      <c r="Z83">
        <v>0</v>
      </c>
      <c r="AA83" s="32">
        <v>0.73499999999999999</v>
      </c>
      <c r="AB83">
        <v>0</v>
      </c>
      <c r="AC83" s="34">
        <v>2.5000000000000001E-2</v>
      </c>
      <c r="AD83" s="32">
        <v>0.09</v>
      </c>
    </row>
    <row r="84" spans="1:30">
      <c r="A84">
        <v>82</v>
      </c>
      <c r="B84">
        <v>4</v>
      </c>
      <c r="C84">
        <v>0.111</v>
      </c>
      <c r="D84">
        <v>0.69</v>
      </c>
      <c r="E84">
        <v>0</v>
      </c>
      <c r="F84">
        <v>0.72099999999999997</v>
      </c>
      <c r="G84">
        <v>0</v>
      </c>
      <c r="H84">
        <v>1.9300000000000001E-2</v>
      </c>
      <c r="I84">
        <v>8.2000000000000003E-2</v>
      </c>
      <c r="K84">
        <v>82</v>
      </c>
      <c r="L84">
        <v>4</v>
      </c>
      <c r="M84" s="32">
        <v>0.111</v>
      </c>
      <c r="N84" s="47">
        <v>0.68500000000000005</v>
      </c>
      <c r="P84" s="32">
        <v>0.72099999999999997</v>
      </c>
      <c r="R84" s="47">
        <v>2.1999999999999999E-2</v>
      </c>
      <c r="S84" s="32">
        <v>8.2000000000000003E-2</v>
      </c>
      <c r="T84" s="31">
        <v>0</v>
      </c>
      <c r="V84">
        <v>82</v>
      </c>
      <c r="W84">
        <v>4</v>
      </c>
      <c r="X84">
        <v>0.123</v>
      </c>
      <c r="Y84" s="32">
        <v>0.76100000000000001</v>
      </c>
      <c r="Z84">
        <v>0</v>
      </c>
      <c r="AA84" s="32">
        <v>0.73899999999999999</v>
      </c>
      <c r="AB84">
        <v>0</v>
      </c>
      <c r="AC84" s="34">
        <v>2.5999999999999999E-2</v>
      </c>
      <c r="AD84" s="32">
        <v>9.0999999999999998E-2</v>
      </c>
    </row>
    <row r="85" spans="1:30">
      <c r="A85">
        <v>83</v>
      </c>
      <c r="B85">
        <v>4</v>
      </c>
      <c r="C85">
        <v>0.112</v>
      </c>
      <c r="D85">
        <v>0.69</v>
      </c>
      <c r="E85">
        <v>0</v>
      </c>
      <c r="F85">
        <v>0.72499999999999998</v>
      </c>
      <c r="G85">
        <v>0</v>
      </c>
      <c r="H85">
        <v>1.9300000000000001E-2</v>
      </c>
      <c r="I85">
        <v>8.3000000000000004E-2</v>
      </c>
      <c r="K85">
        <v>83</v>
      </c>
      <c r="L85">
        <v>4</v>
      </c>
      <c r="M85" s="32">
        <v>0.112</v>
      </c>
      <c r="N85" s="47">
        <v>0.69299999999999995</v>
      </c>
      <c r="P85" s="32">
        <v>0.72499999999999998</v>
      </c>
      <c r="R85" s="47">
        <v>2.1999999999999999E-2</v>
      </c>
      <c r="S85" s="32">
        <v>8.3000000000000004E-2</v>
      </c>
      <c r="T85" s="31">
        <v>0</v>
      </c>
      <c r="V85">
        <v>83</v>
      </c>
      <c r="W85">
        <v>4</v>
      </c>
      <c r="X85">
        <v>0.124</v>
      </c>
      <c r="Y85" s="32">
        <v>0.76700000000000002</v>
      </c>
      <c r="Z85">
        <v>0</v>
      </c>
      <c r="AA85" s="32">
        <v>0.74299999999999999</v>
      </c>
      <c r="AB85">
        <v>0</v>
      </c>
      <c r="AC85" s="34">
        <v>2.5999999999999999E-2</v>
      </c>
      <c r="AD85" s="32">
        <v>9.1999999999999998E-2</v>
      </c>
    </row>
    <row r="86" spans="1:30">
      <c r="A86">
        <v>84</v>
      </c>
      <c r="B86">
        <v>5</v>
      </c>
      <c r="C86">
        <v>0.113</v>
      </c>
      <c r="D86">
        <v>0.7</v>
      </c>
      <c r="E86">
        <v>0</v>
      </c>
      <c r="F86">
        <v>0.73</v>
      </c>
      <c r="G86">
        <v>0</v>
      </c>
      <c r="H86">
        <v>2.2599999999999999E-2</v>
      </c>
      <c r="I86">
        <v>8.5000000000000006E-2</v>
      </c>
      <c r="K86">
        <v>84</v>
      </c>
      <c r="L86">
        <v>5</v>
      </c>
      <c r="M86" s="32">
        <v>0.113</v>
      </c>
      <c r="N86" s="32">
        <v>0.7</v>
      </c>
      <c r="P86" s="32">
        <v>0.73</v>
      </c>
      <c r="R86" s="47">
        <v>2.3E-2</v>
      </c>
      <c r="S86" s="32">
        <v>8.5000000000000006E-2</v>
      </c>
      <c r="T86" s="31">
        <v>0</v>
      </c>
      <c r="V86">
        <v>84</v>
      </c>
      <c r="W86">
        <v>4</v>
      </c>
      <c r="X86">
        <v>0.125</v>
      </c>
      <c r="Y86" s="32">
        <v>0.77300000000000002</v>
      </c>
      <c r="Z86">
        <v>0</v>
      </c>
      <c r="AA86" s="32">
        <v>0.747</v>
      </c>
      <c r="AB86">
        <v>0</v>
      </c>
      <c r="AC86" s="34">
        <v>2.5999999999999999E-2</v>
      </c>
      <c r="AD86" s="32">
        <v>9.4E-2</v>
      </c>
    </row>
    <row r="87" spans="1:30">
      <c r="A87">
        <v>85</v>
      </c>
      <c r="B87">
        <v>5</v>
      </c>
      <c r="C87">
        <v>0.114</v>
      </c>
      <c r="D87">
        <v>0.71</v>
      </c>
      <c r="E87">
        <v>0</v>
      </c>
      <c r="F87">
        <v>0.73299999999999998</v>
      </c>
      <c r="G87">
        <v>0</v>
      </c>
      <c r="H87">
        <v>2.2599999999999999E-2</v>
      </c>
      <c r="I87">
        <v>8.5999999999999993E-2</v>
      </c>
      <c r="K87">
        <v>85</v>
      </c>
      <c r="L87">
        <v>5</v>
      </c>
      <c r="M87" s="32">
        <v>0.114</v>
      </c>
      <c r="N87" s="47">
        <v>0.70599999999999996</v>
      </c>
      <c r="P87" s="32">
        <v>0.73299999999999998</v>
      </c>
      <c r="R87" s="47">
        <v>2.3E-2</v>
      </c>
      <c r="S87" s="32">
        <v>8.5999999999999993E-2</v>
      </c>
      <c r="T87" s="31">
        <v>0</v>
      </c>
      <c r="V87">
        <v>85</v>
      </c>
      <c r="W87">
        <v>4</v>
      </c>
      <c r="X87">
        <v>0.126</v>
      </c>
      <c r="Y87" s="32">
        <v>0.77900000000000003</v>
      </c>
      <c r="Z87">
        <v>0</v>
      </c>
      <c r="AA87" s="32">
        <v>0.752</v>
      </c>
      <c r="AB87">
        <v>0</v>
      </c>
      <c r="AC87" s="34">
        <v>2.5999999999999999E-2</v>
      </c>
      <c r="AD87" s="32">
        <v>9.5000000000000001E-2</v>
      </c>
    </row>
    <row r="88" spans="1:30">
      <c r="A88">
        <v>86</v>
      </c>
      <c r="B88">
        <v>5</v>
      </c>
      <c r="C88">
        <v>0.115</v>
      </c>
      <c r="D88">
        <v>0.71</v>
      </c>
      <c r="E88">
        <v>0</v>
      </c>
      <c r="F88">
        <v>0.73599999999999999</v>
      </c>
      <c r="G88">
        <v>0</v>
      </c>
      <c r="H88">
        <v>2.2599999999999999E-2</v>
      </c>
      <c r="I88">
        <v>8.6999999999999994E-2</v>
      </c>
      <c r="K88">
        <v>86</v>
      </c>
      <c r="L88">
        <v>5</v>
      </c>
      <c r="M88" s="32">
        <v>0.115</v>
      </c>
      <c r="N88" s="47">
        <v>0.71199999999999997</v>
      </c>
      <c r="P88" s="32">
        <v>0.73599999999999999</v>
      </c>
      <c r="R88" s="47">
        <v>2.3E-2</v>
      </c>
      <c r="S88" s="32">
        <v>8.6999999999999994E-2</v>
      </c>
      <c r="T88" s="31">
        <v>0</v>
      </c>
      <c r="V88">
        <v>86</v>
      </c>
      <c r="W88">
        <v>4</v>
      </c>
      <c r="X88">
        <v>0.127</v>
      </c>
      <c r="Y88" s="32">
        <v>0.78500000000000003</v>
      </c>
      <c r="Z88">
        <v>0</v>
      </c>
      <c r="AA88" s="32">
        <v>0.75600000000000001</v>
      </c>
      <c r="AB88">
        <v>0</v>
      </c>
      <c r="AC88" s="34">
        <v>2.5999999999999999E-2</v>
      </c>
      <c r="AD88" s="32">
        <v>9.6000000000000002E-2</v>
      </c>
    </row>
    <row r="89" spans="1:30">
      <c r="A89">
        <v>87</v>
      </c>
      <c r="B89">
        <v>5</v>
      </c>
      <c r="C89">
        <v>0.11600000000000001</v>
      </c>
      <c r="D89">
        <v>0.72</v>
      </c>
      <c r="E89">
        <v>0</v>
      </c>
      <c r="F89">
        <v>0.73899999999999999</v>
      </c>
      <c r="G89">
        <v>0</v>
      </c>
      <c r="H89">
        <v>2.2599999999999999E-2</v>
      </c>
      <c r="I89">
        <v>8.7999999999999995E-2</v>
      </c>
      <c r="K89">
        <v>87</v>
      </c>
      <c r="L89">
        <v>5</v>
      </c>
      <c r="M89" s="32">
        <v>0.11600000000000001</v>
      </c>
      <c r="N89" s="47">
        <v>0.71799999999999997</v>
      </c>
      <c r="P89" s="32">
        <v>0.73899999999999999</v>
      </c>
      <c r="R89" s="47">
        <v>2.3E-2</v>
      </c>
      <c r="S89" s="32">
        <v>8.7999999999999995E-2</v>
      </c>
      <c r="T89" s="31">
        <v>0</v>
      </c>
      <c r="V89">
        <v>87</v>
      </c>
      <c r="W89">
        <v>4</v>
      </c>
      <c r="X89">
        <v>0.128</v>
      </c>
      <c r="Y89" s="32">
        <v>0.79100000000000004</v>
      </c>
      <c r="Z89">
        <v>0</v>
      </c>
      <c r="AA89" s="32">
        <v>0.76</v>
      </c>
      <c r="AB89">
        <v>0</v>
      </c>
      <c r="AC89" s="34">
        <v>2.5999999999999999E-2</v>
      </c>
      <c r="AD89" s="32">
        <v>9.7000000000000003E-2</v>
      </c>
    </row>
    <row r="90" spans="1:30">
      <c r="A90">
        <v>88</v>
      </c>
      <c r="B90">
        <v>5</v>
      </c>
      <c r="C90">
        <v>0.11700000000000001</v>
      </c>
      <c r="D90">
        <v>0.72</v>
      </c>
      <c r="E90">
        <v>0</v>
      </c>
      <c r="F90">
        <v>0.74199999999999999</v>
      </c>
      <c r="G90">
        <v>0</v>
      </c>
      <c r="H90">
        <v>2.2599999999999999E-2</v>
      </c>
      <c r="I90">
        <v>8.8999999999999996E-2</v>
      </c>
      <c r="K90">
        <v>88</v>
      </c>
      <c r="L90">
        <v>5</v>
      </c>
      <c r="M90" s="32">
        <v>0.11700000000000001</v>
      </c>
      <c r="N90" s="47">
        <v>0.72399999999999998</v>
      </c>
      <c r="P90" s="32">
        <v>0.74199999999999999</v>
      </c>
      <c r="R90" s="47">
        <v>2.3E-2</v>
      </c>
      <c r="S90" s="32">
        <v>8.8999999999999996E-2</v>
      </c>
      <c r="T90" s="31">
        <v>0</v>
      </c>
      <c r="V90">
        <v>88</v>
      </c>
      <c r="W90">
        <v>4</v>
      </c>
      <c r="X90">
        <v>0.129</v>
      </c>
      <c r="Y90" s="32">
        <v>0.79700000000000004</v>
      </c>
      <c r="Z90">
        <v>0</v>
      </c>
      <c r="AA90" s="32">
        <v>0.76400000000000001</v>
      </c>
      <c r="AB90">
        <v>0</v>
      </c>
      <c r="AC90" s="34">
        <v>2.7E-2</v>
      </c>
      <c r="AD90" s="32">
        <v>9.9000000000000005E-2</v>
      </c>
    </row>
    <row r="91" spans="1:30">
      <c r="A91">
        <v>89</v>
      </c>
      <c r="B91">
        <v>5</v>
      </c>
      <c r="C91">
        <v>0.11799999999999999</v>
      </c>
      <c r="D91">
        <v>0.73</v>
      </c>
      <c r="E91">
        <v>0</v>
      </c>
      <c r="F91">
        <v>0.745</v>
      </c>
      <c r="G91">
        <v>0</v>
      </c>
      <c r="H91">
        <v>2.2599999999999999E-2</v>
      </c>
      <c r="I91">
        <v>0.09</v>
      </c>
      <c r="K91">
        <v>89</v>
      </c>
      <c r="L91">
        <v>5</v>
      </c>
      <c r="M91" s="32">
        <v>0.11799999999999999</v>
      </c>
      <c r="N91" s="32">
        <v>0.73</v>
      </c>
      <c r="P91" s="32">
        <v>0.745</v>
      </c>
      <c r="R91" s="47">
        <v>2.3E-2</v>
      </c>
      <c r="S91" s="32">
        <v>0.09</v>
      </c>
      <c r="T91" s="31">
        <v>0</v>
      </c>
      <c r="V91">
        <v>89</v>
      </c>
      <c r="W91">
        <v>4</v>
      </c>
      <c r="X91">
        <v>0.13</v>
      </c>
      <c r="Y91" s="32">
        <v>0.80300000000000005</v>
      </c>
      <c r="Z91">
        <v>0</v>
      </c>
      <c r="AA91" s="32">
        <v>0.76900000000000002</v>
      </c>
      <c r="AB91">
        <v>0</v>
      </c>
      <c r="AC91" s="34">
        <v>2.7E-2</v>
      </c>
      <c r="AD91" s="32">
        <v>0.1</v>
      </c>
    </row>
    <row r="92" spans="1:30">
      <c r="A92">
        <v>90</v>
      </c>
      <c r="B92">
        <v>5</v>
      </c>
      <c r="C92">
        <v>0.11899999999999999</v>
      </c>
      <c r="D92">
        <v>0.74</v>
      </c>
      <c r="E92">
        <v>0</v>
      </c>
      <c r="F92">
        <v>0.748</v>
      </c>
      <c r="G92">
        <v>0</v>
      </c>
      <c r="H92">
        <v>2.2599999999999999E-2</v>
      </c>
      <c r="I92">
        <v>9.0999999999999998E-2</v>
      </c>
      <c r="K92">
        <v>90</v>
      </c>
      <c r="L92">
        <v>5</v>
      </c>
      <c r="M92" s="32">
        <v>0.11899999999999999</v>
      </c>
      <c r="N92" s="47">
        <v>0.73699999999999999</v>
      </c>
      <c r="P92" s="32">
        <v>0.748</v>
      </c>
      <c r="R92" s="47">
        <v>2.4E-2</v>
      </c>
      <c r="S92" s="32">
        <v>9.0999999999999998E-2</v>
      </c>
      <c r="T92" s="31">
        <v>0</v>
      </c>
      <c r="V92">
        <v>90</v>
      </c>
      <c r="W92">
        <v>5</v>
      </c>
      <c r="X92">
        <v>0.13100000000000001</v>
      </c>
      <c r="Y92" s="32">
        <v>0.81</v>
      </c>
      <c r="Z92">
        <v>0</v>
      </c>
      <c r="AA92" s="32">
        <v>0.77300000000000002</v>
      </c>
      <c r="AB92">
        <v>0</v>
      </c>
      <c r="AC92" s="34">
        <v>2.7E-2</v>
      </c>
      <c r="AD92" s="32">
        <v>0.10100000000000001</v>
      </c>
    </row>
    <row r="93" spans="1:30">
      <c r="A93">
        <v>91</v>
      </c>
      <c r="B93">
        <v>5</v>
      </c>
      <c r="C93">
        <v>0.12</v>
      </c>
      <c r="D93">
        <v>0.74</v>
      </c>
      <c r="E93">
        <v>0</v>
      </c>
      <c r="F93">
        <v>0.751</v>
      </c>
      <c r="G93">
        <v>0</v>
      </c>
      <c r="H93">
        <v>2.2599999999999999E-2</v>
      </c>
      <c r="I93">
        <v>9.2999999999999999E-2</v>
      </c>
      <c r="K93">
        <v>91</v>
      </c>
      <c r="L93">
        <v>5</v>
      </c>
      <c r="M93" s="32">
        <v>0.12</v>
      </c>
      <c r="N93" s="47">
        <v>0.74299999999999999</v>
      </c>
      <c r="P93" s="32">
        <v>0.751</v>
      </c>
      <c r="R93" s="47">
        <v>2.4E-2</v>
      </c>
      <c r="S93" s="32">
        <v>9.2999999999999999E-2</v>
      </c>
      <c r="T93" s="31">
        <v>0</v>
      </c>
      <c r="V93">
        <v>91</v>
      </c>
      <c r="W93">
        <v>5</v>
      </c>
      <c r="X93">
        <v>0.13200000000000001</v>
      </c>
      <c r="Y93" s="32">
        <v>0.81599999999999995</v>
      </c>
      <c r="Z93">
        <v>0</v>
      </c>
      <c r="AA93" s="32">
        <v>0.77600000000000002</v>
      </c>
      <c r="AB93">
        <v>0</v>
      </c>
      <c r="AC93" s="34">
        <v>2.7E-2</v>
      </c>
      <c r="AD93" s="32">
        <v>0.10199999999999999</v>
      </c>
    </row>
    <row r="94" spans="1:30">
      <c r="A94">
        <v>92</v>
      </c>
      <c r="B94">
        <v>5</v>
      </c>
      <c r="C94">
        <v>0.121</v>
      </c>
      <c r="D94">
        <v>0.75</v>
      </c>
      <c r="E94">
        <v>0</v>
      </c>
      <c r="F94">
        <v>0.754</v>
      </c>
      <c r="G94">
        <v>0</v>
      </c>
      <c r="H94">
        <v>2.2599999999999999E-2</v>
      </c>
      <c r="I94">
        <v>9.4E-2</v>
      </c>
      <c r="K94">
        <v>92</v>
      </c>
      <c r="L94">
        <v>5</v>
      </c>
      <c r="M94" s="32">
        <v>0.121</v>
      </c>
      <c r="N94" s="47">
        <v>0.749</v>
      </c>
      <c r="P94" s="32">
        <v>0.754</v>
      </c>
      <c r="R94" s="47">
        <v>2.4E-2</v>
      </c>
      <c r="S94" s="32">
        <v>9.4E-2</v>
      </c>
      <c r="T94" s="31">
        <v>0</v>
      </c>
      <c r="V94">
        <v>92</v>
      </c>
      <c r="W94">
        <v>5</v>
      </c>
      <c r="X94">
        <v>0.13300000000000001</v>
      </c>
      <c r="Y94" s="32">
        <v>0.82199999999999995</v>
      </c>
      <c r="Z94">
        <v>0</v>
      </c>
      <c r="AA94" s="32">
        <v>0.77800000000000002</v>
      </c>
      <c r="AB94">
        <v>0</v>
      </c>
      <c r="AC94" s="34">
        <v>2.7E-2</v>
      </c>
      <c r="AD94" s="32">
        <v>0.10299999999999999</v>
      </c>
    </row>
    <row r="95" spans="1:30">
      <c r="A95">
        <v>93</v>
      </c>
      <c r="B95">
        <v>5</v>
      </c>
      <c r="C95">
        <v>0.122</v>
      </c>
      <c r="D95">
        <v>0.75</v>
      </c>
      <c r="E95">
        <v>0</v>
      </c>
      <c r="F95">
        <v>0.75700000000000001</v>
      </c>
      <c r="G95">
        <v>0</v>
      </c>
      <c r="H95">
        <v>2.2599999999999999E-2</v>
      </c>
      <c r="I95">
        <v>9.5000000000000001E-2</v>
      </c>
      <c r="K95">
        <v>93</v>
      </c>
      <c r="L95">
        <v>5</v>
      </c>
      <c r="M95" s="32">
        <v>0.122</v>
      </c>
      <c r="N95" s="47">
        <v>0.755</v>
      </c>
      <c r="P95" s="32">
        <v>0.75700000000000001</v>
      </c>
      <c r="R95" s="47">
        <v>2.4E-2</v>
      </c>
      <c r="S95" s="32">
        <v>9.5000000000000001E-2</v>
      </c>
      <c r="T95" s="31">
        <v>0</v>
      </c>
      <c r="V95">
        <v>93</v>
      </c>
      <c r="W95">
        <v>5</v>
      </c>
      <c r="X95">
        <v>0.13400000000000001</v>
      </c>
      <c r="Y95" s="32">
        <v>0.82799999999999996</v>
      </c>
      <c r="Z95">
        <v>0</v>
      </c>
      <c r="AA95" s="32">
        <v>0.78100000000000003</v>
      </c>
      <c r="AB95">
        <v>0</v>
      </c>
      <c r="AC95" s="34">
        <v>2.7E-2</v>
      </c>
      <c r="AD95" s="32">
        <v>0.105</v>
      </c>
    </row>
    <row r="96" spans="1:30">
      <c r="A96">
        <v>94</v>
      </c>
      <c r="B96">
        <v>5</v>
      </c>
      <c r="C96">
        <v>0.123</v>
      </c>
      <c r="D96">
        <v>0.76</v>
      </c>
      <c r="E96">
        <v>0</v>
      </c>
      <c r="F96">
        <v>0.76</v>
      </c>
      <c r="G96">
        <v>0</v>
      </c>
      <c r="H96">
        <v>2.2599999999999999E-2</v>
      </c>
      <c r="I96">
        <v>9.6000000000000002E-2</v>
      </c>
      <c r="K96">
        <v>94</v>
      </c>
      <c r="L96">
        <v>5</v>
      </c>
      <c r="M96" s="32">
        <v>0.123</v>
      </c>
      <c r="N96" s="47">
        <v>0.76100000000000001</v>
      </c>
      <c r="P96" s="32">
        <v>0.76</v>
      </c>
      <c r="R96" s="47">
        <v>2.4E-2</v>
      </c>
      <c r="S96" s="32">
        <v>9.6000000000000002E-2</v>
      </c>
      <c r="T96" s="31">
        <v>0</v>
      </c>
      <c r="V96">
        <v>94</v>
      </c>
      <c r="W96">
        <v>5</v>
      </c>
      <c r="X96">
        <v>0.13500000000000001</v>
      </c>
      <c r="Y96" s="32">
        <v>0.83399999999999996</v>
      </c>
      <c r="Z96">
        <v>0</v>
      </c>
      <c r="AA96" s="32">
        <v>0.78300000000000003</v>
      </c>
      <c r="AB96">
        <v>0</v>
      </c>
      <c r="AC96" s="34">
        <v>2.8000000000000001E-2</v>
      </c>
      <c r="AD96" s="32">
        <v>0.106</v>
      </c>
    </row>
    <row r="97" spans="1:30">
      <c r="A97">
        <v>95</v>
      </c>
      <c r="B97">
        <v>5</v>
      </c>
      <c r="C97">
        <v>0.124</v>
      </c>
      <c r="D97">
        <v>0.77</v>
      </c>
      <c r="E97">
        <v>0</v>
      </c>
      <c r="F97">
        <v>0.76300000000000001</v>
      </c>
      <c r="G97">
        <v>0</v>
      </c>
      <c r="H97">
        <v>2.2599999999999999E-2</v>
      </c>
      <c r="I97">
        <v>9.7000000000000003E-2</v>
      </c>
      <c r="K97">
        <v>95</v>
      </c>
      <c r="L97">
        <v>5</v>
      </c>
      <c r="M97" s="32">
        <v>0.124</v>
      </c>
      <c r="N97" s="47">
        <v>0.76700000000000002</v>
      </c>
      <c r="P97" s="32">
        <v>0.76300000000000001</v>
      </c>
      <c r="R97" s="47">
        <v>2.4E-2</v>
      </c>
      <c r="S97" s="32">
        <v>9.7000000000000003E-2</v>
      </c>
      <c r="T97" s="31">
        <v>0</v>
      </c>
      <c r="V97">
        <v>95</v>
      </c>
      <c r="W97">
        <v>5</v>
      </c>
      <c r="X97">
        <v>0.13600000000000001</v>
      </c>
      <c r="Y97" s="32">
        <v>0.84</v>
      </c>
      <c r="Z97">
        <v>0</v>
      </c>
      <c r="AA97" s="32">
        <v>0.78600000000000003</v>
      </c>
      <c r="AB97">
        <v>0</v>
      </c>
      <c r="AC97" s="34">
        <v>2.8000000000000001E-2</v>
      </c>
      <c r="AD97" s="32">
        <v>0.107</v>
      </c>
    </row>
    <row r="98" spans="1:30">
      <c r="A98">
        <v>96</v>
      </c>
      <c r="B98">
        <v>5</v>
      </c>
      <c r="C98">
        <v>0.125</v>
      </c>
      <c r="D98">
        <v>0.77</v>
      </c>
      <c r="E98">
        <v>0</v>
      </c>
      <c r="F98">
        <v>0.76700000000000002</v>
      </c>
      <c r="G98">
        <v>0</v>
      </c>
      <c r="H98">
        <v>2.2599999999999999E-2</v>
      </c>
      <c r="I98">
        <v>9.8000000000000004E-2</v>
      </c>
      <c r="K98">
        <v>96</v>
      </c>
      <c r="L98">
        <v>5</v>
      </c>
      <c r="M98" s="32">
        <v>0.125</v>
      </c>
      <c r="N98" s="47">
        <v>0.77300000000000002</v>
      </c>
      <c r="P98" s="32">
        <v>0.76700000000000002</v>
      </c>
      <c r="R98" s="47">
        <v>2.4E-2</v>
      </c>
      <c r="S98" s="32">
        <v>9.8000000000000004E-2</v>
      </c>
      <c r="T98" s="31">
        <v>0</v>
      </c>
      <c r="V98">
        <v>96</v>
      </c>
      <c r="W98">
        <v>5</v>
      </c>
      <c r="X98">
        <v>0.13700000000000001</v>
      </c>
      <c r="Y98" s="32">
        <v>0.84699999999999998</v>
      </c>
      <c r="Z98">
        <v>0</v>
      </c>
      <c r="AA98" s="32">
        <v>0.78900000000000003</v>
      </c>
      <c r="AB98">
        <v>0</v>
      </c>
      <c r="AC98" s="34">
        <v>2.8000000000000001E-2</v>
      </c>
      <c r="AD98" s="32">
        <v>0.108</v>
      </c>
    </row>
    <row r="99" spans="1:30">
      <c r="A99">
        <v>97</v>
      </c>
      <c r="B99">
        <v>5</v>
      </c>
      <c r="C99">
        <v>0.126</v>
      </c>
      <c r="D99">
        <v>0.78</v>
      </c>
      <c r="E99">
        <v>0</v>
      </c>
      <c r="F99">
        <v>0.77</v>
      </c>
      <c r="G99">
        <v>0</v>
      </c>
      <c r="H99">
        <v>2.2599999999999999E-2</v>
      </c>
      <c r="I99">
        <v>9.9000000000000005E-2</v>
      </c>
      <c r="K99">
        <v>97</v>
      </c>
      <c r="L99">
        <v>5</v>
      </c>
      <c r="M99" s="32">
        <v>0.126</v>
      </c>
      <c r="N99" s="47">
        <v>0.77900000000000003</v>
      </c>
      <c r="P99" s="32">
        <v>0.77</v>
      </c>
      <c r="R99" s="47">
        <v>2.5000000000000001E-2</v>
      </c>
      <c r="S99" s="32">
        <v>9.9000000000000005E-2</v>
      </c>
      <c r="T99" s="31">
        <v>0</v>
      </c>
      <c r="V99">
        <v>97</v>
      </c>
      <c r="W99">
        <v>5</v>
      </c>
      <c r="X99">
        <v>0.13800000000000001</v>
      </c>
      <c r="Y99" s="32">
        <v>0.85299999999999998</v>
      </c>
      <c r="Z99">
        <v>0</v>
      </c>
      <c r="AA99" s="32">
        <v>0.79100000000000004</v>
      </c>
      <c r="AB99">
        <v>0</v>
      </c>
      <c r="AC99" s="34">
        <v>2.8000000000000001E-2</v>
      </c>
      <c r="AD99" s="32">
        <v>0.109</v>
      </c>
    </row>
    <row r="100" spans="1:30">
      <c r="A100">
        <v>98</v>
      </c>
      <c r="B100">
        <v>5</v>
      </c>
      <c r="C100">
        <v>0.127</v>
      </c>
      <c r="D100">
        <v>0.79</v>
      </c>
      <c r="E100">
        <v>0</v>
      </c>
      <c r="F100">
        <v>0.77300000000000002</v>
      </c>
      <c r="G100">
        <v>0</v>
      </c>
      <c r="H100">
        <v>2.2599999999999999E-2</v>
      </c>
      <c r="I100">
        <v>0.1</v>
      </c>
      <c r="K100">
        <v>98</v>
      </c>
      <c r="L100">
        <v>5</v>
      </c>
      <c r="M100" s="32">
        <v>0.127</v>
      </c>
      <c r="N100" s="47">
        <v>0.78500000000000003</v>
      </c>
      <c r="P100" s="32">
        <v>0.77300000000000002</v>
      </c>
      <c r="R100" s="47">
        <v>2.5000000000000001E-2</v>
      </c>
      <c r="S100" s="32">
        <v>0.1</v>
      </c>
      <c r="T100" s="31">
        <v>0</v>
      </c>
      <c r="V100">
        <v>98</v>
      </c>
      <c r="W100">
        <v>5</v>
      </c>
      <c r="X100">
        <v>0.13900000000000001</v>
      </c>
      <c r="Y100" s="32">
        <v>0.86</v>
      </c>
      <c r="Z100">
        <v>0</v>
      </c>
      <c r="AA100" s="32">
        <v>0.79400000000000004</v>
      </c>
      <c r="AB100">
        <v>0</v>
      </c>
      <c r="AC100" s="34">
        <v>2.8000000000000001E-2</v>
      </c>
      <c r="AD100" s="32">
        <v>0.111</v>
      </c>
    </row>
    <row r="101" spans="1:30">
      <c r="A101">
        <v>99</v>
      </c>
      <c r="B101">
        <v>5</v>
      </c>
      <c r="C101">
        <v>0.128</v>
      </c>
      <c r="D101">
        <v>0.79</v>
      </c>
      <c r="E101">
        <v>0</v>
      </c>
      <c r="F101">
        <v>0.77600000000000002</v>
      </c>
      <c r="G101">
        <v>0</v>
      </c>
      <c r="H101">
        <v>2.2599999999999999E-2</v>
      </c>
      <c r="I101">
        <v>0.10199999999999999</v>
      </c>
      <c r="K101">
        <v>99</v>
      </c>
      <c r="L101">
        <v>5</v>
      </c>
      <c r="M101" s="32">
        <v>0.128</v>
      </c>
      <c r="N101" s="47">
        <v>0.79100000000000004</v>
      </c>
      <c r="P101" s="32">
        <v>0.77600000000000002</v>
      </c>
      <c r="R101" s="47">
        <v>2.5000000000000001E-2</v>
      </c>
      <c r="S101" s="32">
        <v>0.10199999999999999</v>
      </c>
      <c r="T101" s="31">
        <v>0</v>
      </c>
      <c r="V101">
        <v>99</v>
      </c>
      <c r="W101">
        <v>5</v>
      </c>
      <c r="X101">
        <v>0.14000000000000001</v>
      </c>
      <c r="Y101" s="32">
        <v>0.86699999999999999</v>
      </c>
      <c r="Z101">
        <v>0</v>
      </c>
      <c r="AA101" s="32">
        <v>0.79700000000000004</v>
      </c>
      <c r="AB101">
        <v>0</v>
      </c>
      <c r="AC101" s="34">
        <v>2.8000000000000001E-2</v>
      </c>
      <c r="AD101" s="32">
        <v>0.112</v>
      </c>
    </row>
    <row r="102" spans="1:30">
      <c r="A102">
        <v>100</v>
      </c>
      <c r="B102">
        <v>5</v>
      </c>
      <c r="C102">
        <v>0.129</v>
      </c>
      <c r="D102">
        <v>0.8</v>
      </c>
      <c r="E102">
        <v>0</v>
      </c>
      <c r="F102">
        <v>0.77900000000000003</v>
      </c>
      <c r="G102">
        <v>0</v>
      </c>
      <c r="H102">
        <v>2.2599999999999999E-2</v>
      </c>
      <c r="I102">
        <v>0.10299999999999999</v>
      </c>
      <c r="K102">
        <v>100</v>
      </c>
      <c r="L102">
        <v>5</v>
      </c>
      <c r="M102" s="32">
        <v>0.129</v>
      </c>
      <c r="N102" s="47">
        <v>0.79700000000000004</v>
      </c>
      <c r="P102" s="32">
        <v>0.77900000000000003</v>
      </c>
      <c r="R102" s="47">
        <v>2.5000000000000001E-2</v>
      </c>
      <c r="S102" s="32">
        <v>0.10299999999999999</v>
      </c>
      <c r="T102" s="31">
        <v>0</v>
      </c>
      <c r="V102">
        <v>100</v>
      </c>
      <c r="W102">
        <v>5</v>
      </c>
      <c r="X102">
        <v>0.14099999999999999</v>
      </c>
      <c r="Y102" s="32">
        <v>0.873</v>
      </c>
      <c r="Z102">
        <v>0</v>
      </c>
      <c r="AA102" s="32">
        <v>0.79900000000000004</v>
      </c>
      <c r="AB102">
        <v>0</v>
      </c>
      <c r="AC102" s="34">
        <v>2.9000000000000001E-2</v>
      </c>
      <c r="AD102" s="32">
        <v>0.113</v>
      </c>
    </row>
    <row r="103" spans="1:30">
      <c r="A103">
        <v>101</v>
      </c>
      <c r="B103">
        <v>5</v>
      </c>
      <c r="C103">
        <v>0.13</v>
      </c>
      <c r="D103">
        <v>0.8</v>
      </c>
      <c r="E103">
        <v>0</v>
      </c>
      <c r="F103">
        <v>0.78200000000000003</v>
      </c>
      <c r="G103">
        <v>0</v>
      </c>
      <c r="H103">
        <v>2.2599999999999999E-2</v>
      </c>
      <c r="I103">
        <v>0.104</v>
      </c>
      <c r="K103">
        <v>101</v>
      </c>
      <c r="L103">
        <v>5</v>
      </c>
      <c r="M103" s="32">
        <v>0.13</v>
      </c>
      <c r="N103" s="47">
        <v>0.80300000000000005</v>
      </c>
      <c r="P103" s="32">
        <v>0.78200000000000003</v>
      </c>
      <c r="R103" s="47">
        <v>2.5000000000000001E-2</v>
      </c>
      <c r="S103" s="32">
        <v>0.104</v>
      </c>
      <c r="T103" s="31">
        <v>0</v>
      </c>
      <c r="V103">
        <v>101</v>
      </c>
      <c r="W103">
        <v>5</v>
      </c>
      <c r="X103">
        <v>0.14199999999999999</v>
      </c>
      <c r="Y103" s="32">
        <v>0.88</v>
      </c>
      <c r="Z103">
        <v>0</v>
      </c>
      <c r="AA103" s="32">
        <v>0.80200000000000005</v>
      </c>
      <c r="AB103">
        <v>0</v>
      </c>
      <c r="AC103" s="34">
        <v>2.9000000000000001E-2</v>
      </c>
      <c r="AD103" s="32">
        <v>0.114</v>
      </c>
    </row>
    <row r="104" spans="1:30">
      <c r="A104">
        <v>102</v>
      </c>
      <c r="B104">
        <v>5</v>
      </c>
      <c r="C104">
        <v>0.13100000000000001</v>
      </c>
      <c r="D104">
        <v>0.81</v>
      </c>
      <c r="E104">
        <v>0</v>
      </c>
      <c r="F104">
        <v>0.78500000000000003</v>
      </c>
      <c r="G104">
        <v>0</v>
      </c>
      <c r="H104">
        <v>2.2599999999999999E-2</v>
      </c>
      <c r="I104">
        <v>0.105</v>
      </c>
      <c r="K104">
        <v>102</v>
      </c>
      <c r="L104">
        <v>5</v>
      </c>
      <c r="M104" s="32">
        <v>0.13100000000000001</v>
      </c>
      <c r="N104" s="32">
        <v>0.81</v>
      </c>
      <c r="P104" s="32">
        <v>0.78500000000000003</v>
      </c>
      <c r="R104" s="47">
        <v>2.5000000000000001E-2</v>
      </c>
      <c r="S104" s="32">
        <v>0.105</v>
      </c>
      <c r="T104" s="31">
        <v>0</v>
      </c>
      <c r="V104">
        <v>102</v>
      </c>
      <c r="W104">
        <v>5</v>
      </c>
      <c r="X104">
        <v>0.14299999999999999</v>
      </c>
      <c r="Y104" s="32">
        <v>0.88700000000000001</v>
      </c>
      <c r="Z104">
        <v>0</v>
      </c>
      <c r="AA104" s="32">
        <v>0.80400000000000005</v>
      </c>
      <c r="AB104">
        <v>0</v>
      </c>
      <c r="AC104" s="34">
        <v>2.9000000000000001E-2</v>
      </c>
      <c r="AD104" s="32">
        <v>0.115</v>
      </c>
    </row>
    <row r="105" spans="1:30">
      <c r="A105">
        <v>103</v>
      </c>
      <c r="B105">
        <v>5</v>
      </c>
      <c r="C105">
        <v>0.13200000000000001</v>
      </c>
      <c r="D105">
        <v>0.82</v>
      </c>
      <c r="E105">
        <v>0</v>
      </c>
      <c r="F105">
        <v>0.78800000000000003</v>
      </c>
      <c r="G105">
        <v>0</v>
      </c>
      <c r="H105">
        <v>2.2599999999999999E-2</v>
      </c>
      <c r="I105">
        <v>0.106</v>
      </c>
      <c r="K105">
        <v>103</v>
      </c>
      <c r="L105">
        <v>5</v>
      </c>
      <c r="M105" s="32">
        <v>0.13200000000000001</v>
      </c>
      <c r="N105" s="47">
        <v>0.81599999999999995</v>
      </c>
      <c r="P105" s="32">
        <v>0.78800000000000003</v>
      </c>
      <c r="R105" s="47">
        <v>2.5000000000000001E-2</v>
      </c>
      <c r="S105" s="32">
        <v>0.106</v>
      </c>
      <c r="T105" s="31">
        <v>0</v>
      </c>
      <c r="V105">
        <v>103</v>
      </c>
      <c r="W105">
        <v>5</v>
      </c>
      <c r="X105">
        <v>0.14399999999999999</v>
      </c>
      <c r="Y105" s="32">
        <v>0.89300000000000002</v>
      </c>
      <c r="Z105">
        <v>0</v>
      </c>
      <c r="AA105" s="32">
        <v>0.80700000000000005</v>
      </c>
      <c r="AB105">
        <v>0</v>
      </c>
      <c r="AC105" s="34">
        <v>2.9000000000000001E-2</v>
      </c>
      <c r="AD105" s="32">
        <v>0.11700000000000001</v>
      </c>
    </row>
    <row r="106" spans="1:30">
      <c r="A106">
        <v>104</v>
      </c>
      <c r="B106">
        <v>5</v>
      </c>
      <c r="C106">
        <v>0.13300000000000001</v>
      </c>
      <c r="D106">
        <v>0.82</v>
      </c>
      <c r="E106">
        <v>0</v>
      </c>
      <c r="F106">
        <v>0.79100000000000004</v>
      </c>
      <c r="G106">
        <v>0</v>
      </c>
      <c r="H106">
        <v>2.2599999999999999E-2</v>
      </c>
      <c r="I106">
        <v>0.107</v>
      </c>
      <c r="K106">
        <v>104</v>
      </c>
      <c r="L106">
        <v>5</v>
      </c>
      <c r="M106" s="32">
        <v>0.13300000000000001</v>
      </c>
      <c r="N106" s="47">
        <v>0.82199999999999995</v>
      </c>
      <c r="P106" s="32">
        <v>0.79100000000000004</v>
      </c>
      <c r="R106" s="47">
        <v>2.5999999999999999E-2</v>
      </c>
      <c r="S106" s="32">
        <v>0.107</v>
      </c>
      <c r="T106" s="31">
        <v>0</v>
      </c>
      <c r="V106">
        <v>104</v>
      </c>
      <c r="W106">
        <v>5</v>
      </c>
      <c r="X106">
        <v>0.14499999999999999</v>
      </c>
      <c r="Y106" s="32">
        <v>0.9</v>
      </c>
      <c r="Z106">
        <v>0</v>
      </c>
      <c r="AA106" s="32">
        <v>0.81</v>
      </c>
      <c r="AB106">
        <v>0</v>
      </c>
      <c r="AC106" s="34">
        <v>2.9000000000000001E-2</v>
      </c>
      <c r="AD106" s="32">
        <v>0.11799999999999999</v>
      </c>
    </row>
    <row r="107" spans="1:30">
      <c r="A107">
        <v>105</v>
      </c>
      <c r="B107">
        <v>5</v>
      </c>
      <c r="C107">
        <v>0.13400000000000001</v>
      </c>
      <c r="D107">
        <v>0.83</v>
      </c>
      <c r="E107">
        <v>0</v>
      </c>
      <c r="F107">
        <v>0.79400000000000004</v>
      </c>
      <c r="G107">
        <v>0</v>
      </c>
      <c r="H107">
        <v>2.2599999999999999E-2</v>
      </c>
      <c r="I107">
        <v>0.108</v>
      </c>
      <c r="K107">
        <v>105</v>
      </c>
      <c r="L107">
        <v>5</v>
      </c>
      <c r="M107" s="32">
        <v>0.13400000000000001</v>
      </c>
      <c r="N107" s="47">
        <v>0.82799999999999996</v>
      </c>
      <c r="P107" s="32">
        <v>0.79400000000000004</v>
      </c>
      <c r="R107" s="47">
        <v>2.5999999999999999E-2</v>
      </c>
      <c r="S107" s="32">
        <v>0.108</v>
      </c>
      <c r="T107" s="31">
        <v>0</v>
      </c>
      <c r="V107">
        <v>105</v>
      </c>
      <c r="W107">
        <v>5</v>
      </c>
      <c r="X107">
        <v>0.14599999999999999</v>
      </c>
      <c r="Y107" s="32">
        <v>0.90700000000000003</v>
      </c>
      <c r="Z107">
        <v>0</v>
      </c>
      <c r="AA107" s="32">
        <v>0.81200000000000006</v>
      </c>
      <c r="AB107">
        <v>0</v>
      </c>
      <c r="AC107" s="34">
        <v>2.9000000000000001E-2</v>
      </c>
      <c r="AD107" s="32">
        <v>0.11899999999999999</v>
      </c>
    </row>
    <row r="108" spans="1:30">
      <c r="A108">
        <v>106</v>
      </c>
      <c r="B108">
        <v>5</v>
      </c>
      <c r="C108">
        <v>0.13500000000000001</v>
      </c>
      <c r="D108">
        <v>0.83</v>
      </c>
      <c r="E108">
        <v>0</v>
      </c>
      <c r="F108">
        <v>0.79700000000000004</v>
      </c>
      <c r="G108">
        <v>0</v>
      </c>
      <c r="H108">
        <v>2.2599999999999999E-2</v>
      </c>
      <c r="I108">
        <v>0.11</v>
      </c>
      <c r="K108">
        <v>106</v>
      </c>
      <c r="L108">
        <v>5</v>
      </c>
      <c r="M108" s="32">
        <v>0.13500000000000001</v>
      </c>
      <c r="N108" s="47">
        <v>0.83399999999999996</v>
      </c>
      <c r="P108" s="32">
        <v>0.79700000000000004</v>
      </c>
      <c r="R108" s="47">
        <v>2.5999999999999999E-2</v>
      </c>
      <c r="S108" s="32">
        <v>0.11</v>
      </c>
      <c r="T108" s="31">
        <v>0</v>
      </c>
      <c r="V108">
        <v>106</v>
      </c>
      <c r="W108">
        <v>5</v>
      </c>
      <c r="X108">
        <v>0.14699999999999999</v>
      </c>
      <c r="Y108" s="32">
        <v>0.91300000000000003</v>
      </c>
      <c r="Z108">
        <v>0</v>
      </c>
      <c r="AA108" s="32">
        <v>0.81499999999999995</v>
      </c>
      <c r="AB108">
        <v>0</v>
      </c>
      <c r="AC108" s="34">
        <v>2.9000000000000001E-2</v>
      </c>
      <c r="AD108" s="32">
        <v>0.12</v>
      </c>
    </row>
    <row r="109" spans="1:30">
      <c r="A109">
        <v>107</v>
      </c>
      <c r="B109">
        <v>6</v>
      </c>
      <c r="C109">
        <v>0.13600000000000001</v>
      </c>
      <c r="D109">
        <v>0.84</v>
      </c>
      <c r="E109">
        <v>0</v>
      </c>
      <c r="F109">
        <v>0.8</v>
      </c>
      <c r="G109">
        <v>0</v>
      </c>
      <c r="H109">
        <v>2.5999999999999999E-2</v>
      </c>
      <c r="I109">
        <v>0.111</v>
      </c>
      <c r="K109">
        <v>107</v>
      </c>
      <c r="L109">
        <v>6</v>
      </c>
      <c r="M109" s="32">
        <v>0.13600000000000001</v>
      </c>
      <c r="N109" s="32">
        <v>0.84</v>
      </c>
      <c r="P109" s="32">
        <v>0.8</v>
      </c>
      <c r="R109" s="32">
        <v>2.5999999999999999E-2</v>
      </c>
      <c r="S109" s="32">
        <v>0.111</v>
      </c>
      <c r="T109" s="31">
        <v>0</v>
      </c>
      <c r="V109">
        <v>107</v>
      </c>
      <c r="W109">
        <v>5</v>
      </c>
      <c r="X109">
        <v>0.14799999999999999</v>
      </c>
      <c r="Y109" s="32">
        <v>0.92</v>
      </c>
      <c r="Z109">
        <v>0</v>
      </c>
      <c r="AA109" s="32">
        <v>0.81699999999999995</v>
      </c>
      <c r="AB109">
        <v>0</v>
      </c>
      <c r="AC109" s="34">
        <v>0.03</v>
      </c>
      <c r="AD109" s="32">
        <v>0.121</v>
      </c>
    </row>
    <row r="110" spans="1:30">
      <c r="A110">
        <v>108</v>
      </c>
      <c r="B110">
        <v>6</v>
      </c>
      <c r="C110">
        <v>0.13700000000000001</v>
      </c>
      <c r="D110">
        <v>0.85</v>
      </c>
      <c r="E110">
        <v>0</v>
      </c>
      <c r="F110">
        <v>0.80200000000000005</v>
      </c>
      <c r="G110">
        <v>0</v>
      </c>
      <c r="H110">
        <v>2.5999999999999999E-2</v>
      </c>
      <c r="I110">
        <v>0.112</v>
      </c>
      <c r="K110">
        <v>108</v>
      </c>
      <c r="L110">
        <v>6</v>
      </c>
      <c r="M110" s="32">
        <v>0.13700000000000001</v>
      </c>
      <c r="N110" s="47">
        <v>0.84699999999999998</v>
      </c>
      <c r="P110" s="32">
        <v>0.80200000000000005</v>
      </c>
      <c r="R110" s="32">
        <v>2.5999999999999999E-2</v>
      </c>
      <c r="S110" s="32">
        <v>0.112</v>
      </c>
      <c r="T110" s="31">
        <v>0</v>
      </c>
      <c r="V110">
        <v>108</v>
      </c>
      <c r="W110">
        <v>5</v>
      </c>
      <c r="X110">
        <v>0.14899999999999999</v>
      </c>
      <c r="Y110" s="32">
        <v>0.92700000000000005</v>
      </c>
      <c r="Z110">
        <v>0</v>
      </c>
      <c r="AA110" s="32">
        <v>0.82</v>
      </c>
      <c r="AB110">
        <v>0</v>
      </c>
      <c r="AC110" s="34">
        <v>0.03</v>
      </c>
      <c r="AD110" s="32">
        <v>0.122</v>
      </c>
    </row>
    <row r="111" spans="1:30">
      <c r="A111">
        <v>109</v>
      </c>
      <c r="B111">
        <v>6</v>
      </c>
      <c r="C111">
        <v>0.13800000000000001</v>
      </c>
      <c r="D111">
        <v>0.85</v>
      </c>
      <c r="E111">
        <v>0</v>
      </c>
      <c r="F111">
        <v>0.80500000000000005</v>
      </c>
      <c r="G111">
        <v>0</v>
      </c>
      <c r="H111">
        <v>2.5999999999999999E-2</v>
      </c>
      <c r="I111">
        <v>0.113</v>
      </c>
      <c r="K111">
        <v>109</v>
      </c>
      <c r="L111">
        <v>6</v>
      </c>
      <c r="M111" s="32">
        <v>0.13800000000000001</v>
      </c>
      <c r="N111" s="47">
        <v>0.85299999999999998</v>
      </c>
      <c r="P111" s="32">
        <v>0.80500000000000005</v>
      </c>
      <c r="R111" s="32">
        <v>2.5999999999999999E-2</v>
      </c>
      <c r="S111" s="32">
        <v>0.113</v>
      </c>
      <c r="T111" s="31">
        <v>0</v>
      </c>
      <c r="V111">
        <v>109</v>
      </c>
      <c r="W111">
        <v>5</v>
      </c>
      <c r="X111">
        <v>0.15</v>
      </c>
      <c r="Y111" s="32">
        <v>0.93300000000000005</v>
      </c>
      <c r="Z111">
        <v>0</v>
      </c>
      <c r="AA111" s="32">
        <v>0.82299999999999995</v>
      </c>
      <c r="AB111">
        <v>0</v>
      </c>
      <c r="AC111" s="34">
        <v>0.03</v>
      </c>
      <c r="AD111" s="32">
        <v>0.124</v>
      </c>
    </row>
    <row r="112" spans="1:30">
      <c r="A112">
        <v>110</v>
      </c>
      <c r="B112">
        <v>6</v>
      </c>
      <c r="C112">
        <v>0.13900000000000001</v>
      </c>
      <c r="D112">
        <v>0.86</v>
      </c>
      <c r="E112">
        <v>0</v>
      </c>
      <c r="F112">
        <v>0.80700000000000005</v>
      </c>
      <c r="G112">
        <v>0</v>
      </c>
      <c r="H112">
        <v>2.5999999999999999E-2</v>
      </c>
      <c r="I112">
        <v>0.114</v>
      </c>
      <c r="K112">
        <v>110</v>
      </c>
      <c r="L112">
        <v>6</v>
      </c>
      <c r="M112" s="32">
        <v>0.13900000000000001</v>
      </c>
      <c r="N112" s="32">
        <v>0.86</v>
      </c>
      <c r="P112" s="32">
        <v>0.80700000000000005</v>
      </c>
      <c r="R112" s="32">
        <v>2.5999999999999999E-2</v>
      </c>
      <c r="S112" s="32">
        <v>0.114</v>
      </c>
      <c r="T112" s="31">
        <v>0</v>
      </c>
      <c r="V112">
        <v>110</v>
      </c>
      <c r="W112">
        <v>5</v>
      </c>
      <c r="X112">
        <v>0.151</v>
      </c>
      <c r="Y112" s="32">
        <v>0.94</v>
      </c>
      <c r="Z112">
        <v>0</v>
      </c>
      <c r="AA112" s="32">
        <v>0.82499999999999996</v>
      </c>
      <c r="AB112">
        <v>0</v>
      </c>
      <c r="AC112" s="34">
        <v>0.03</v>
      </c>
      <c r="AD112" s="32">
        <v>0.125</v>
      </c>
    </row>
    <row r="113" spans="1:30">
      <c r="A113">
        <v>111</v>
      </c>
      <c r="B113">
        <v>6</v>
      </c>
      <c r="C113">
        <v>0.14000000000000001</v>
      </c>
      <c r="D113">
        <v>0.87</v>
      </c>
      <c r="E113">
        <v>0</v>
      </c>
      <c r="F113">
        <v>0.80900000000000005</v>
      </c>
      <c r="G113">
        <v>0</v>
      </c>
      <c r="H113">
        <v>2.5999999999999999E-2</v>
      </c>
      <c r="I113">
        <v>0.11600000000000001</v>
      </c>
      <c r="K113">
        <v>111</v>
      </c>
      <c r="L113">
        <v>6</v>
      </c>
      <c r="M113" s="32">
        <v>0.14000000000000001</v>
      </c>
      <c r="N113" s="47">
        <v>0.86699999999999999</v>
      </c>
      <c r="P113" s="32">
        <v>0.80900000000000005</v>
      </c>
      <c r="R113" s="47">
        <v>2.7E-2</v>
      </c>
      <c r="S113" s="32">
        <v>0.11600000000000001</v>
      </c>
      <c r="T113" s="31">
        <v>0</v>
      </c>
      <c r="V113">
        <v>111</v>
      </c>
      <c r="W113">
        <v>5</v>
      </c>
      <c r="X113">
        <v>0.152</v>
      </c>
      <c r="Y113" s="32">
        <v>0.94699999999999995</v>
      </c>
      <c r="Z113">
        <v>0</v>
      </c>
      <c r="AA113" s="32">
        <v>0.82799999999999996</v>
      </c>
      <c r="AB113">
        <v>0</v>
      </c>
      <c r="AC113" s="34">
        <v>0.03</v>
      </c>
      <c r="AD113" s="32">
        <v>0.126</v>
      </c>
    </row>
    <row r="114" spans="1:30">
      <c r="A114">
        <v>112</v>
      </c>
      <c r="B114">
        <v>6</v>
      </c>
      <c r="C114">
        <v>0.14099999999999999</v>
      </c>
      <c r="D114">
        <v>0.87</v>
      </c>
      <c r="E114">
        <v>0</v>
      </c>
      <c r="F114">
        <v>0.81200000000000006</v>
      </c>
      <c r="G114">
        <v>0</v>
      </c>
      <c r="H114">
        <v>2.5999999999999999E-2</v>
      </c>
      <c r="I114">
        <v>0.11700000000000001</v>
      </c>
      <c r="K114">
        <v>112</v>
      </c>
      <c r="L114">
        <v>6</v>
      </c>
      <c r="M114" s="32">
        <v>0.14099999999999999</v>
      </c>
      <c r="N114" s="47">
        <v>0.873</v>
      </c>
      <c r="P114" s="32">
        <v>0.81200000000000006</v>
      </c>
      <c r="R114" s="47">
        <v>2.7E-2</v>
      </c>
      <c r="S114" s="32">
        <v>0.11700000000000001</v>
      </c>
      <c r="T114" s="31">
        <v>0</v>
      </c>
      <c r="V114">
        <v>112</v>
      </c>
      <c r="W114">
        <v>5</v>
      </c>
      <c r="X114">
        <v>0.153</v>
      </c>
      <c r="Y114" s="32">
        <v>0.95299999999999996</v>
      </c>
      <c r="Z114">
        <v>0</v>
      </c>
      <c r="AA114" s="32">
        <v>0.83099999999999996</v>
      </c>
      <c r="AB114">
        <v>0</v>
      </c>
      <c r="AC114" s="34">
        <v>0.03</v>
      </c>
      <c r="AD114" s="32">
        <v>0.127</v>
      </c>
    </row>
    <row r="115" spans="1:30">
      <c r="A115">
        <v>113</v>
      </c>
      <c r="B115">
        <v>6</v>
      </c>
      <c r="C115">
        <v>0.14199999999999999</v>
      </c>
      <c r="D115">
        <v>0.88</v>
      </c>
      <c r="E115">
        <v>0</v>
      </c>
      <c r="F115">
        <v>0.81399999999999995</v>
      </c>
      <c r="G115">
        <v>0</v>
      </c>
      <c r="H115">
        <v>2.5999999999999999E-2</v>
      </c>
      <c r="I115">
        <v>0.11799999999999999</v>
      </c>
      <c r="K115">
        <v>113</v>
      </c>
      <c r="L115">
        <v>6</v>
      </c>
      <c r="M115" s="32">
        <v>0.14199999999999999</v>
      </c>
      <c r="N115" s="32">
        <v>0.88</v>
      </c>
      <c r="P115" s="32">
        <v>0.81399999999999995</v>
      </c>
      <c r="R115" s="47">
        <v>2.7E-2</v>
      </c>
      <c r="S115" s="32">
        <v>0.11799999999999999</v>
      </c>
      <c r="T115" s="31">
        <v>0</v>
      </c>
      <c r="V115">
        <v>113</v>
      </c>
      <c r="W115">
        <v>5</v>
      </c>
      <c r="X115">
        <v>0.154</v>
      </c>
      <c r="Y115" s="32">
        <v>0.96</v>
      </c>
      <c r="Z115">
        <v>0</v>
      </c>
      <c r="AA115" s="32">
        <v>0.83299999999999996</v>
      </c>
      <c r="AB115">
        <v>0</v>
      </c>
      <c r="AC115" s="34">
        <v>3.1E-2</v>
      </c>
      <c r="AD115" s="32">
        <v>0.128</v>
      </c>
    </row>
    <row r="116" spans="1:30">
      <c r="A116">
        <v>114</v>
      </c>
      <c r="B116">
        <v>6</v>
      </c>
      <c r="C116">
        <v>0.14299999999999999</v>
      </c>
      <c r="D116">
        <v>0.89</v>
      </c>
      <c r="E116">
        <v>0</v>
      </c>
      <c r="F116">
        <v>0.81599999999999995</v>
      </c>
      <c r="G116">
        <v>0</v>
      </c>
      <c r="H116">
        <v>2.5999999999999999E-2</v>
      </c>
      <c r="I116">
        <v>0.11899999999999999</v>
      </c>
      <c r="K116">
        <v>114</v>
      </c>
      <c r="L116">
        <v>6</v>
      </c>
      <c r="M116" s="32">
        <v>0.14299999999999999</v>
      </c>
      <c r="N116" s="47">
        <v>0.88700000000000001</v>
      </c>
      <c r="P116" s="32">
        <v>0.81599999999999995</v>
      </c>
      <c r="R116" s="47">
        <v>2.7E-2</v>
      </c>
      <c r="S116" s="32">
        <v>0.11899999999999999</v>
      </c>
      <c r="T116" s="31">
        <v>0</v>
      </c>
      <c r="V116">
        <v>114</v>
      </c>
      <c r="W116">
        <v>5</v>
      </c>
      <c r="X116">
        <v>0.155</v>
      </c>
      <c r="Y116" s="32">
        <v>0.96699999999999997</v>
      </c>
      <c r="Z116">
        <v>0</v>
      </c>
      <c r="AA116" s="32">
        <v>0.83599999999999997</v>
      </c>
      <c r="AB116">
        <v>0</v>
      </c>
      <c r="AC116" s="34">
        <v>3.1E-2</v>
      </c>
      <c r="AD116" s="32">
        <v>0.13</v>
      </c>
    </row>
    <row r="117" spans="1:30">
      <c r="A117">
        <v>115</v>
      </c>
      <c r="B117">
        <v>6</v>
      </c>
      <c r="C117">
        <v>0.14399999999999999</v>
      </c>
      <c r="D117">
        <v>0.89</v>
      </c>
      <c r="E117">
        <v>0</v>
      </c>
      <c r="F117">
        <v>0.81899999999999995</v>
      </c>
      <c r="G117">
        <v>0</v>
      </c>
      <c r="H117">
        <v>2.5999999999999999E-2</v>
      </c>
      <c r="I117">
        <v>0.12</v>
      </c>
      <c r="K117">
        <v>115</v>
      </c>
      <c r="L117">
        <v>6</v>
      </c>
      <c r="M117" s="32">
        <v>0.14399999999999999</v>
      </c>
      <c r="N117" s="47">
        <v>0.89300000000000002</v>
      </c>
      <c r="P117" s="32">
        <v>0.81899999999999995</v>
      </c>
      <c r="R117" s="47">
        <v>2.7E-2</v>
      </c>
      <c r="S117" s="32">
        <v>0.12</v>
      </c>
      <c r="T117" s="31">
        <v>0</v>
      </c>
      <c r="V117">
        <v>115</v>
      </c>
      <c r="W117">
        <v>5</v>
      </c>
      <c r="X117">
        <v>0.156</v>
      </c>
      <c r="Y117" s="32">
        <v>0.97299999999999998</v>
      </c>
      <c r="Z117">
        <v>0</v>
      </c>
      <c r="AA117" s="32">
        <v>0.83799999999999997</v>
      </c>
      <c r="AB117">
        <v>0</v>
      </c>
      <c r="AC117" s="34">
        <v>3.1E-2</v>
      </c>
      <c r="AD117" s="32">
        <v>0.13100000000000001</v>
      </c>
    </row>
    <row r="118" spans="1:30">
      <c r="A118">
        <v>116</v>
      </c>
      <c r="B118">
        <v>6</v>
      </c>
      <c r="C118">
        <v>0.14499999999999999</v>
      </c>
      <c r="D118">
        <v>0.9</v>
      </c>
      <c r="E118">
        <v>0</v>
      </c>
      <c r="F118">
        <v>0.82099999999999995</v>
      </c>
      <c r="G118">
        <v>0</v>
      </c>
      <c r="H118">
        <v>2.5999999999999999E-2</v>
      </c>
      <c r="I118">
        <v>0.122</v>
      </c>
      <c r="K118">
        <v>116</v>
      </c>
      <c r="L118">
        <v>6</v>
      </c>
      <c r="M118" s="32">
        <v>0.14499999999999999</v>
      </c>
      <c r="N118" s="32">
        <v>0.9</v>
      </c>
      <c r="P118" s="32">
        <v>0.82099999999999995</v>
      </c>
      <c r="R118" s="47">
        <v>2.7E-2</v>
      </c>
      <c r="S118" s="32">
        <v>0.122</v>
      </c>
      <c r="T118" s="31">
        <v>0</v>
      </c>
      <c r="V118">
        <v>116</v>
      </c>
      <c r="W118">
        <v>6</v>
      </c>
      <c r="X118">
        <v>0.157</v>
      </c>
      <c r="Y118" s="32">
        <v>0.98</v>
      </c>
      <c r="Z118">
        <v>0</v>
      </c>
      <c r="AA118" s="32">
        <v>0.84099999999999997</v>
      </c>
      <c r="AB118">
        <v>0</v>
      </c>
      <c r="AC118" s="34">
        <v>3.1E-2</v>
      </c>
      <c r="AD118" s="32">
        <v>0.13200000000000001</v>
      </c>
    </row>
    <row r="119" spans="1:30">
      <c r="A119">
        <v>117</v>
      </c>
      <c r="B119">
        <v>6</v>
      </c>
      <c r="C119">
        <v>0.14599999999999999</v>
      </c>
      <c r="D119">
        <v>0.91</v>
      </c>
      <c r="E119">
        <v>0</v>
      </c>
      <c r="F119">
        <v>0.82299999999999995</v>
      </c>
      <c r="G119">
        <v>0</v>
      </c>
      <c r="H119">
        <v>2.5999999999999999E-2</v>
      </c>
      <c r="I119">
        <v>0.123</v>
      </c>
      <c r="K119">
        <v>117</v>
      </c>
      <c r="L119">
        <v>6</v>
      </c>
      <c r="M119" s="32">
        <v>0.14599999999999999</v>
      </c>
      <c r="N119" s="47">
        <v>0.90700000000000003</v>
      </c>
      <c r="P119" s="32">
        <v>0.82299999999999995</v>
      </c>
      <c r="R119" s="47">
        <v>2.7E-2</v>
      </c>
      <c r="S119" s="32">
        <v>0.123</v>
      </c>
      <c r="T119" s="31">
        <v>0</v>
      </c>
      <c r="V119">
        <v>117</v>
      </c>
      <c r="W119">
        <v>6</v>
      </c>
      <c r="X119">
        <v>0.158</v>
      </c>
      <c r="Y119" s="32">
        <v>0.98699999999999999</v>
      </c>
      <c r="Z119">
        <v>0</v>
      </c>
      <c r="AA119" s="32">
        <v>0.84299999999999997</v>
      </c>
      <c r="AB119">
        <v>0</v>
      </c>
      <c r="AC119" s="34">
        <v>3.1E-2</v>
      </c>
      <c r="AD119" s="32">
        <v>0.13300000000000001</v>
      </c>
    </row>
    <row r="120" spans="1:30">
      <c r="A120">
        <v>118</v>
      </c>
      <c r="B120">
        <v>6</v>
      </c>
      <c r="C120">
        <v>0.14699999999999999</v>
      </c>
      <c r="D120">
        <v>0.91</v>
      </c>
      <c r="E120">
        <v>0</v>
      </c>
      <c r="F120">
        <v>0.82599999999999996</v>
      </c>
      <c r="G120">
        <v>0</v>
      </c>
      <c r="H120">
        <v>2.5999999999999999E-2</v>
      </c>
      <c r="I120">
        <v>0.124</v>
      </c>
      <c r="K120">
        <v>118</v>
      </c>
      <c r="L120">
        <v>6</v>
      </c>
      <c r="M120" s="32">
        <v>0.14699999999999999</v>
      </c>
      <c r="N120" s="47">
        <v>0.91300000000000003</v>
      </c>
      <c r="P120" s="32">
        <v>0.82599999999999996</v>
      </c>
      <c r="R120" s="47">
        <v>2.8000000000000001E-2</v>
      </c>
      <c r="S120" s="32">
        <v>0.124</v>
      </c>
      <c r="T120" s="31">
        <v>0</v>
      </c>
      <c r="V120">
        <v>118</v>
      </c>
      <c r="W120">
        <v>6</v>
      </c>
      <c r="X120">
        <v>0.159</v>
      </c>
      <c r="Y120" s="32">
        <v>0.99299999999999999</v>
      </c>
      <c r="Z120">
        <v>0</v>
      </c>
      <c r="AA120" s="32">
        <v>0.84499999999999997</v>
      </c>
      <c r="AB120">
        <v>0</v>
      </c>
      <c r="AC120" s="34">
        <v>3.1E-2</v>
      </c>
      <c r="AD120" s="32">
        <v>0.13500000000000001</v>
      </c>
    </row>
    <row r="121" spans="1:30">
      <c r="A121">
        <v>119</v>
      </c>
      <c r="B121">
        <v>6</v>
      </c>
      <c r="C121">
        <v>0.14799999999999999</v>
      </c>
      <c r="D121">
        <v>0.92</v>
      </c>
      <c r="E121">
        <v>0</v>
      </c>
      <c r="F121">
        <v>0.82799999999999996</v>
      </c>
      <c r="G121">
        <v>0</v>
      </c>
      <c r="H121">
        <v>2.5999999999999999E-2</v>
      </c>
      <c r="I121">
        <v>0.125</v>
      </c>
      <c r="K121">
        <v>119</v>
      </c>
      <c r="L121">
        <v>6</v>
      </c>
      <c r="M121" s="32">
        <v>0.14799999999999999</v>
      </c>
      <c r="N121" s="32">
        <v>0.92</v>
      </c>
      <c r="P121" s="32">
        <v>0.82799999999999996</v>
      </c>
      <c r="R121" s="47">
        <v>2.8000000000000001E-2</v>
      </c>
      <c r="S121" s="32">
        <v>0.125</v>
      </c>
      <c r="T121" s="31">
        <v>0</v>
      </c>
      <c r="V121">
        <v>119</v>
      </c>
      <c r="W121">
        <v>6</v>
      </c>
      <c r="X121">
        <v>0.16</v>
      </c>
      <c r="Y121" s="32">
        <v>1</v>
      </c>
      <c r="Z121">
        <v>0</v>
      </c>
      <c r="AA121" s="32">
        <v>0.84799999999999998</v>
      </c>
      <c r="AB121">
        <v>0</v>
      </c>
      <c r="AC121" s="34">
        <v>3.1E-2</v>
      </c>
      <c r="AD121" s="32">
        <v>0.13600000000000001</v>
      </c>
    </row>
    <row r="122" spans="1:30">
      <c r="A122">
        <v>120</v>
      </c>
      <c r="B122">
        <v>6</v>
      </c>
      <c r="C122">
        <v>0.14899999999999999</v>
      </c>
      <c r="D122">
        <v>0.93</v>
      </c>
      <c r="E122">
        <v>0</v>
      </c>
      <c r="F122">
        <v>0.83</v>
      </c>
      <c r="G122">
        <v>0</v>
      </c>
      <c r="H122">
        <v>2.5999999999999999E-2</v>
      </c>
      <c r="I122">
        <v>0.127</v>
      </c>
      <c r="K122">
        <v>120</v>
      </c>
      <c r="L122">
        <v>6</v>
      </c>
      <c r="M122" s="32">
        <v>0.14899999999999999</v>
      </c>
      <c r="N122" s="47">
        <v>0.92700000000000005</v>
      </c>
      <c r="P122" s="32">
        <v>0.83</v>
      </c>
      <c r="R122" s="47">
        <v>2.8000000000000001E-2</v>
      </c>
      <c r="S122" s="32">
        <v>0.127</v>
      </c>
      <c r="T122" s="31">
        <v>0</v>
      </c>
      <c r="V122">
        <v>120</v>
      </c>
      <c r="W122">
        <v>6</v>
      </c>
      <c r="X122">
        <v>0.161</v>
      </c>
      <c r="Y122" s="32">
        <v>1.0029999999999999</v>
      </c>
      <c r="Z122">
        <v>0</v>
      </c>
      <c r="AA122" s="32">
        <v>0.85</v>
      </c>
      <c r="AB122">
        <v>0</v>
      </c>
      <c r="AC122" s="34">
        <v>3.2000000000000001E-2</v>
      </c>
      <c r="AD122" s="32">
        <v>0.13700000000000001</v>
      </c>
    </row>
    <row r="123" spans="1:30">
      <c r="A123">
        <v>121</v>
      </c>
      <c r="B123">
        <v>6</v>
      </c>
      <c r="C123">
        <v>0.15</v>
      </c>
      <c r="D123">
        <v>0.93</v>
      </c>
      <c r="E123">
        <v>0</v>
      </c>
      <c r="F123">
        <v>0.83299999999999996</v>
      </c>
      <c r="G123">
        <v>0</v>
      </c>
      <c r="H123">
        <v>2.5999999999999999E-2</v>
      </c>
      <c r="I123">
        <v>0.128</v>
      </c>
      <c r="K123">
        <v>121</v>
      </c>
      <c r="L123">
        <v>6</v>
      </c>
      <c r="M123" s="32">
        <v>0.15</v>
      </c>
      <c r="N123" s="47">
        <v>0.93300000000000005</v>
      </c>
      <c r="P123" s="32">
        <v>0.83299999999999996</v>
      </c>
      <c r="R123" s="47">
        <v>2.8000000000000001E-2</v>
      </c>
      <c r="S123" s="32">
        <v>0.128</v>
      </c>
      <c r="T123" s="31">
        <v>0</v>
      </c>
      <c r="V123">
        <v>121</v>
      </c>
      <c r="W123">
        <v>6</v>
      </c>
      <c r="X123">
        <v>0.16200000000000001</v>
      </c>
      <c r="Y123" s="32">
        <v>1.006</v>
      </c>
      <c r="Z123">
        <v>0</v>
      </c>
      <c r="AA123" s="32">
        <v>0.85199999999999998</v>
      </c>
      <c r="AB123">
        <v>0</v>
      </c>
      <c r="AC123" s="34">
        <v>3.2000000000000001E-2</v>
      </c>
      <c r="AD123" s="32">
        <v>0.13800000000000001</v>
      </c>
    </row>
    <row r="124" spans="1:30">
      <c r="A124">
        <v>122</v>
      </c>
      <c r="B124">
        <v>6</v>
      </c>
      <c r="C124">
        <v>0.151</v>
      </c>
      <c r="D124">
        <v>0.94</v>
      </c>
      <c r="E124">
        <v>0</v>
      </c>
      <c r="F124">
        <v>0.83499999999999996</v>
      </c>
      <c r="G124">
        <v>0</v>
      </c>
      <c r="H124">
        <v>2.5999999999999999E-2</v>
      </c>
      <c r="I124">
        <v>0.129</v>
      </c>
      <c r="K124">
        <v>122</v>
      </c>
      <c r="L124">
        <v>6</v>
      </c>
      <c r="M124" s="32">
        <v>0.151</v>
      </c>
      <c r="N124" s="32">
        <v>0.94</v>
      </c>
      <c r="P124" s="32">
        <v>0.83499999999999996</v>
      </c>
      <c r="R124" s="47">
        <v>2.8000000000000001E-2</v>
      </c>
      <c r="S124" s="32">
        <v>0.129</v>
      </c>
      <c r="T124" s="31">
        <v>0</v>
      </c>
      <c r="V124">
        <v>122</v>
      </c>
      <c r="W124">
        <v>6</v>
      </c>
      <c r="X124">
        <v>0.16300000000000001</v>
      </c>
      <c r="Y124" s="32">
        <v>1.008</v>
      </c>
      <c r="Z124">
        <v>0</v>
      </c>
      <c r="AA124" s="32">
        <v>0.85399999999999998</v>
      </c>
      <c r="AB124">
        <v>0</v>
      </c>
      <c r="AC124" s="34">
        <v>3.2000000000000001E-2</v>
      </c>
      <c r="AD124" s="32">
        <v>0.14000000000000001</v>
      </c>
    </row>
    <row r="125" spans="1:30">
      <c r="A125">
        <v>123</v>
      </c>
      <c r="B125">
        <v>6</v>
      </c>
      <c r="C125">
        <v>0.152</v>
      </c>
      <c r="D125">
        <v>0.95</v>
      </c>
      <c r="E125">
        <v>0</v>
      </c>
      <c r="F125">
        <v>0.83699999999999997</v>
      </c>
      <c r="G125">
        <v>0</v>
      </c>
      <c r="H125">
        <v>2.5999999999999999E-2</v>
      </c>
      <c r="I125">
        <v>0.13</v>
      </c>
      <c r="K125">
        <v>123</v>
      </c>
      <c r="L125">
        <v>6</v>
      </c>
      <c r="M125" s="32">
        <v>0.152</v>
      </c>
      <c r="N125" s="47">
        <v>0.94699999999999995</v>
      </c>
      <c r="P125" s="32">
        <v>0.83699999999999997</v>
      </c>
      <c r="R125" s="47">
        <v>2.8000000000000001E-2</v>
      </c>
      <c r="S125" s="32">
        <v>0.13</v>
      </c>
      <c r="T125" s="31">
        <v>0</v>
      </c>
      <c r="V125">
        <v>123</v>
      </c>
      <c r="W125">
        <v>6</v>
      </c>
      <c r="X125">
        <v>0.16400000000000001</v>
      </c>
      <c r="Y125" s="32">
        <v>1.0109999999999999</v>
      </c>
      <c r="Z125">
        <v>0</v>
      </c>
      <c r="AA125" s="32">
        <v>0.85599999999999998</v>
      </c>
      <c r="AB125">
        <v>0</v>
      </c>
      <c r="AC125" s="34">
        <v>3.2000000000000001E-2</v>
      </c>
      <c r="AD125" s="32">
        <v>0.14099999999999999</v>
      </c>
    </row>
    <row r="126" spans="1:30">
      <c r="A126">
        <v>124</v>
      </c>
      <c r="B126">
        <v>6</v>
      </c>
      <c r="C126">
        <v>0.153</v>
      </c>
      <c r="D126">
        <v>0.95</v>
      </c>
      <c r="E126">
        <v>0</v>
      </c>
      <c r="F126">
        <v>0.84</v>
      </c>
      <c r="G126">
        <v>0</v>
      </c>
      <c r="H126">
        <v>2.5999999999999999E-2</v>
      </c>
      <c r="I126">
        <v>0.13100000000000001</v>
      </c>
      <c r="K126">
        <v>124</v>
      </c>
      <c r="L126">
        <v>6</v>
      </c>
      <c r="M126" s="32">
        <v>0.153</v>
      </c>
      <c r="N126" s="47">
        <v>0.95299999999999996</v>
      </c>
      <c r="P126" s="32">
        <v>0.84</v>
      </c>
      <c r="R126" s="47">
        <v>2.8000000000000001E-2</v>
      </c>
      <c r="S126" s="32">
        <v>0.13100000000000001</v>
      </c>
      <c r="T126" s="31">
        <v>0</v>
      </c>
      <c r="V126">
        <v>124</v>
      </c>
      <c r="W126">
        <v>6</v>
      </c>
      <c r="X126">
        <v>0.16500000000000001</v>
      </c>
      <c r="Y126" s="32">
        <v>1.014</v>
      </c>
      <c r="Z126">
        <v>0</v>
      </c>
      <c r="AA126" s="32">
        <v>0.85799999999999998</v>
      </c>
      <c r="AB126">
        <v>0</v>
      </c>
      <c r="AC126" s="34">
        <v>3.2000000000000001E-2</v>
      </c>
      <c r="AD126" s="32">
        <v>0.14199999999999999</v>
      </c>
    </row>
    <row r="127" spans="1:30">
      <c r="A127">
        <v>125</v>
      </c>
      <c r="B127">
        <v>6</v>
      </c>
      <c r="C127">
        <v>0.154</v>
      </c>
      <c r="D127">
        <v>0.96</v>
      </c>
      <c r="E127">
        <v>0</v>
      </c>
      <c r="F127">
        <v>0.84199999999999997</v>
      </c>
      <c r="G127">
        <v>0</v>
      </c>
      <c r="H127">
        <v>2.5999999999999999E-2</v>
      </c>
      <c r="I127">
        <v>0.13300000000000001</v>
      </c>
      <c r="K127">
        <v>125</v>
      </c>
      <c r="L127">
        <v>6</v>
      </c>
      <c r="M127" s="32">
        <v>0.154</v>
      </c>
      <c r="N127" s="32">
        <v>0.96</v>
      </c>
      <c r="P127" s="32">
        <v>0.84199999999999997</v>
      </c>
      <c r="R127" s="47">
        <v>2.9000000000000001E-2</v>
      </c>
      <c r="S127" s="32">
        <v>0.13300000000000001</v>
      </c>
      <c r="T127" s="31">
        <v>0</v>
      </c>
      <c r="V127">
        <v>125</v>
      </c>
      <c r="W127">
        <v>6</v>
      </c>
      <c r="X127">
        <v>0.16600000000000001</v>
      </c>
      <c r="Y127" s="32">
        <v>1.0169999999999999</v>
      </c>
      <c r="Z127">
        <v>0</v>
      </c>
      <c r="AA127" s="32">
        <v>0.86099999999999999</v>
      </c>
      <c r="AB127">
        <v>0</v>
      </c>
      <c r="AC127" s="34">
        <v>3.2000000000000001E-2</v>
      </c>
      <c r="AD127" s="32">
        <v>0.14299999999999999</v>
      </c>
    </row>
    <row r="128" spans="1:30">
      <c r="A128">
        <v>126</v>
      </c>
      <c r="B128">
        <v>6</v>
      </c>
      <c r="C128">
        <v>0.155</v>
      </c>
      <c r="D128">
        <v>0.97</v>
      </c>
      <c r="E128">
        <v>0</v>
      </c>
      <c r="F128">
        <v>0.84399999999999997</v>
      </c>
      <c r="G128">
        <v>0</v>
      </c>
      <c r="H128">
        <v>2.5999999999999999E-2</v>
      </c>
      <c r="I128">
        <v>0.13400000000000001</v>
      </c>
      <c r="K128">
        <v>126</v>
      </c>
      <c r="L128">
        <v>6</v>
      </c>
      <c r="M128" s="32">
        <v>0.155</v>
      </c>
      <c r="N128" s="47">
        <v>0.96699999999999997</v>
      </c>
      <c r="P128" s="32">
        <v>0.84399999999999997</v>
      </c>
      <c r="R128" s="47">
        <v>2.9000000000000001E-2</v>
      </c>
      <c r="S128" s="32">
        <v>0.13400000000000001</v>
      </c>
      <c r="T128" s="31">
        <v>0</v>
      </c>
      <c r="V128">
        <v>126</v>
      </c>
      <c r="W128">
        <v>6</v>
      </c>
      <c r="X128">
        <v>0.16700000000000001</v>
      </c>
      <c r="Y128" s="32">
        <v>1.0189999999999999</v>
      </c>
      <c r="Z128">
        <v>0</v>
      </c>
      <c r="AA128" s="32">
        <v>0.86299999999999999</v>
      </c>
      <c r="AB128">
        <v>0</v>
      </c>
      <c r="AC128" s="34">
        <v>3.2000000000000001E-2</v>
      </c>
      <c r="AD128" s="32">
        <v>0.14499999999999999</v>
      </c>
    </row>
    <row r="129" spans="1:30">
      <c r="A129">
        <v>127</v>
      </c>
      <c r="B129">
        <v>6</v>
      </c>
      <c r="C129">
        <v>0.156</v>
      </c>
      <c r="D129">
        <v>0.97</v>
      </c>
      <c r="E129">
        <v>0</v>
      </c>
      <c r="F129">
        <v>0.84699999999999998</v>
      </c>
      <c r="G129">
        <v>0</v>
      </c>
      <c r="H129">
        <v>2.5999999999999999E-2</v>
      </c>
      <c r="I129">
        <v>0.13500000000000001</v>
      </c>
      <c r="K129">
        <v>127</v>
      </c>
      <c r="L129">
        <v>6</v>
      </c>
      <c r="M129" s="32">
        <v>0.156</v>
      </c>
      <c r="N129" s="47">
        <v>0.97299999999999998</v>
      </c>
      <c r="P129" s="32">
        <v>0.84699999999999998</v>
      </c>
      <c r="R129" s="47">
        <v>2.9000000000000001E-2</v>
      </c>
      <c r="S129" s="32">
        <v>0.13500000000000001</v>
      </c>
      <c r="T129" s="31">
        <v>0</v>
      </c>
      <c r="V129">
        <v>127</v>
      </c>
      <c r="W129">
        <v>6</v>
      </c>
      <c r="X129">
        <v>0.16800000000000001</v>
      </c>
      <c r="Y129" s="32">
        <v>1.022</v>
      </c>
      <c r="Z129">
        <v>0</v>
      </c>
      <c r="AA129" s="32">
        <v>0.86499999999999999</v>
      </c>
      <c r="AB129">
        <v>0</v>
      </c>
      <c r="AC129" s="34">
        <v>3.3000000000000002E-2</v>
      </c>
      <c r="AD129" s="32">
        <v>0.14599999999999999</v>
      </c>
    </row>
    <row r="130" spans="1:30">
      <c r="A130">
        <v>128</v>
      </c>
      <c r="B130">
        <v>6</v>
      </c>
      <c r="C130">
        <v>0.157</v>
      </c>
      <c r="D130">
        <v>0.98</v>
      </c>
      <c r="E130">
        <v>0</v>
      </c>
      <c r="F130">
        <v>0.84899999999999998</v>
      </c>
      <c r="G130">
        <v>0</v>
      </c>
      <c r="H130">
        <v>2.5999999999999999E-2</v>
      </c>
      <c r="I130">
        <v>0.13600000000000001</v>
      </c>
      <c r="K130">
        <v>128</v>
      </c>
      <c r="L130">
        <v>6</v>
      </c>
      <c r="M130" s="32">
        <v>0.157</v>
      </c>
      <c r="N130" s="32">
        <v>0.98</v>
      </c>
      <c r="P130" s="32">
        <v>0.84899999999999998</v>
      </c>
      <c r="R130" s="47">
        <v>2.9000000000000001E-2</v>
      </c>
      <c r="S130" s="32">
        <v>0.13600000000000001</v>
      </c>
      <c r="T130" s="31">
        <v>0</v>
      </c>
      <c r="V130">
        <v>128</v>
      </c>
      <c r="W130">
        <v>6</v>
      </c>
      <c r="X130">
        <v>0.16900000000000001</v>
      </c>
      <c r="Y130" s="32">
        <v>1.0249999999999999</v>
      </c>
      <c r="Z130">
        <v>0</v>
      </c>
      <c r="AA130" s="32">
        <v>0.86699999999999999</v>
      </c>
      <c r="AB130">
        <v>0</v>
      </c>
      <c r="AC130" s="34">
        <v>3.3000000000000002E-2</v>
      </c>
      <c r="AD130" s="32">
        <v>0.14699999999999999</v>
      </c>
    </row>
    <row r="131" spans="1:30">
      <c r="A131">
        <v>129</v>
      </c>
      <c r="B131">
        <v>6</v>
      </c>
      <c r="C131">
        <v>0.158</v>
      </c>
      <c r="D131">
        <v>0.99</v>
      </c>
      <c r="E131">
        <v>0</v>
      </c>
      <c r="F131">
        <v>0.85099999999999998</v>
      </c>
      <c r="G131">
        <v>0</v>
      </c>
      <c r="H131">
        <v>2.5999999999999999E-2</v>
      </c>
      <c r="I131">
        <v>0.13800000000000001</v>
      </c>
      <c r="K131">
        <v>129</v>
      </c>
      <c r="L131">
        <v>6</v>
      </c>
      <c r="M131" s="32">
        <v>0.158</v>
      </c>
      <c r="N131" s="47">
        <v>0.98699999999999999</v>
      </c>
      <c r="P131" s="32">
        <v>0.85099999999999998</v>
      </c>
      <c r="R131" s="47">
        <v>2.9000000000000001E-2</v>
      </c>
      <c r="S131" s="32">
        <v>0.13800000000000001</v>
      </c>
      <c r="T131" s="31">
        <v>0</v>
      </c>
      <c r="V131">
        <v>129</v>
      </c>
      <c r="W131">
        <v>6</v>
      </c>
      <c r="X131">
        <v>0.17</v>
      </c>
      <c r="Y131" s="32">
        <v>1.028</v>
      </c>
      <c r="Z131">
        <v>0</v>
      </c>
      <c r="AA131" s="32">
        <v>0.86899999999999999</v>
      </c>
      <c r="AB131">
        <v>0</v>
      </c>
      <c r="AC131" s="34">
        <v>3.3000000000000002E-2</v>
      </c>
      <c r="AD131" s="32">
        <v>0.14799999999999999</v>
      </c>
    </row>
    <row r="132" spans="1:30">
      <c r="A132">
        <v>130</v>
      </c>
      <c r="B132">
        <v>6</v>
      </c>
      <c r="C132">
        <v>0.159</v>
      </c>
      <c r="D132">
        <v>0.99</v>
      </c>
      <c r="E132">
        <v>0</v>
      </c>
      <c r="F132">
        <v>0.85399999999999998</v>
      </c>
      <c r="G132">
        <v>0</v>
      </c>
      <c r="H132">
        <v>2.5999999999999999E-2</v>
      </c>
      <c r="I132">
        <v>0.13900000000000001</v>
      </c>
      <c r="K132">
        <v>130</v>
      </c>
      <c r="L132">
        <v>6</v>
      </c>
      <c r="M132" s="32">
        <v>0.159</v>
      </c>
      <c r="N132" s="47">
        <v>0.99299999999999999</v>
      </c>
      <c r="P132" s="32">
        <v>0.85399999999999998</v>
      </c>
      <c r="R132" s="47">
        <v>2.9000000000000001E-2</v>
      </c>
      <c r="S132" s="32">
        <v>0.13900000000000001</v>
      </c>
      <c r="T132" s="31">
        <v>0</v>
      </c>
      <c r="V132">
        <v>130</v>
      </c>
      <c r="W132">
        <v>6</v>
      </c>
      <c r="X132">
        <v>0.17100000000000001</v>
      </c>
      <c r="Y132" s="32">
        <v>1.03</v>
      </c>
      <c r="Z132">
        <v>0</v>
      </c>
      <c r="AA132" s="32">
        <v>0.872</v>
      </c>
      <c r="AB132">
        <v>0</v>
      </c>
      <c r="AC132" s="34">
        <v>3.3000000000000002E-2</v>
      </c>
      <c r="AD132" s="32">
        <v>0.15</v>
      </c>
    </row>
    <row r="133" spans="1:30">
      <c r="A133">
        <v>131</v>
      </c>
      <c r="B133">
        <v>7</v>
      </c>
      <c r="C133">
        <v>0.16</v>
      </c>
      <c r="D133">
        <v>1</v>
      </c>
      <c r="E133">
        <v>0</v>
      </c>
      <c r="F133">
        <v>0.85599999999999998</v>
      </c>
      <c r="G133">
        <v>0</v>
      </c>
      <c r="H133">
        <v>2.93E-2</v>
      </c>
      <c r="I133">
        <v>0.14000000000000001</v>
      </c>
      <c r="K133">
        <v>131</v>
      </c>
      <c r="L133">
        <v>7</v>
      </c>
      <c r="M133" s="32">
        <v>0.16</v>
      </c>
      <c r="N133" s="32">
        <v>1</v>
      </c>
      <c r="P133" s="32">
        <v>0.85599999999999998</v>
      </c>
      <c r="R133" s="47">
        <v>2.9000000000000001E-2</v>
      </c>
      <c r="S133" s="32">
        <v>0.14000000000000001</v>
      </c>
      <c r="T133" s="31">
        <v>0</v>
      </c>
      <c r="V133">
        <v>131</v>
      </c>
      <c r="W133">
        <v>6</v>
      </c>
      <c r="X133">
        <v>0.17199999999999999</v>
      </c>
      <c r="Y133" s="32">
        <v>1.0329999999999999</v>
      </c>
      <c r="Z133">
        <v>0</v>
      </c>
      <c r="AA133" s="32">
        <v>0.874</v>
      </c>
      <c r="AB133">
        <v>0</v>
      </c>
      <c r="AC133" s="34">
        <v>3.3000000000000002E-2</v>
      </c>
      <c r="AD133" s="32">
        <v>0.151</v>
      </c>
    </row>
    <row r="134" spans="1:30">
      <c r="A134">
        <v>132</v>
      </c>
      <c r="B134">
        <v>7</v>
      </c>
      <c r="C134">
        <v>0.161</v>
      </c>
      <c r="D134">
        <v>1</v>
      </c>
      <c r="E134">
        <v>0</v>
      </c>
      <c r="F134">
        <v>0.85699999999999998</v>
      </c>
      <c r="G134">
        <v>0</v>
      </c>
      <c r="H134">
        <v>2.93E-2</v>
      </c>
      <c r="I134">
        <v>0.14099999999999999</v>
      </c>
      <c r="K134">
        <v>132</v>
      </c>
      <c r="L134">
        <v>7</v>
      </c>
      <c r="M134" s="32">
        <v>0.161</v>
      </c>
      <c r="N134" s="47">
        <v>1.0029999999999999</v>
      </c>
      <c r="P134" s="32">
        <v>0.85699999999999998</v>
      </c>
      <c r="R134" s="47">
        <v>0.03</v>
      </c>
      <c r="S134" s="32">
        <v>0.14099999999999999</v>
      </c>
      <c r="T134" s="31">
        <v>0</v>
      </c>
      <c r="V134">
        <v>132</v>
      </c>
      <c r="W134">
        <v>6</v>
      </c>
      <c r="X134">
        <v>0.17299999999999999</v>
      </c>
      <c r="Y134" s="32">
        <v>1.036</v>
      </c>
      <c r="Z134">
        <v>0</v>
      </c>
      <c r="AA134" s="32">
        <v>0.876</v>
      </c>
      <c r="AB134">
        <v>0</v>
      </c>
      <c r="AC134" s="34">
        <v>3.3000000000000002E-2</v>
      </c>
      <c r="AD134" s="32">
        <v>0.152</v>
      </c>
    </row>
    <row r="135" spans="1:30">
      <c r="A135">
        <v>133</v>
      </c>
      <c r="B135">
        <v>7</v>
      </c>
      <c r="C135">
        <v>0.16200000000000001</v>
      </c>
      <c r="D135">
        <v>1.01</v>
      </c>
      <c r="E135">
        <v>0</v>
      </c>
      <c r="F135">
        <v>0.85699999999999998</v>
      </c>
      <c r="G135">
        <v>0</v>
      </c>
      <c r="H135">
        <v>2.93E-2</v>
      </c>
      <c r="I135">
        <v>0.14199999999999999</v>
      </c>
      <c r="K135">
        <v>133</v>
      </c>
      <c r="L135">
        <v>7</v>
      </c>
      <c r="M135" s="32">
        <v>0.16200000000000001</v>
      </c>
      <c r="N135" s="47">
        <v>1.006</v>
      </c>
      <c r="P135" s="32">
        <v>0.85699999999999998</v>
      </c>
      <c r="R135" s="47">
        <v>0.03</v>
      </c>
      <c r="S135" s="32">
        <v>0.14199999999999999</v>
      </c>
      <c r="T135" s="31">
        <v>0</v>
      </c>
      <c r="V135">
        <v>133</v>
      </c>
      <c r="W135">
        <v>6</v>
      </c>
      <c r="X135">
        <v>0.17399999999999999</v>
      </c>
      <c r="Y135" s="32">
        <v>1.0389999999999999</v>
      </c>
      <c r="Z135">
        <v>0</v>
      </c>
      <c r="AA135" s="32">
        <v>0.878</v>
      </c>
      <c r="AB135">
        <v>0</v>
      </c>
      <c r="AC135" s="34">
        <v>3.3000000000000002E-2</v>
      </c>
      <c r="AD135" s="32">
        <v>0.153</v>
      </c>
    </row>
    <row r="136" spans="1:30">
      <c r="A136">
        <v>134</v>
      </c>
      <c r="B136">
        <v>7</v>
      </c>
      <c r="C136">
        <v>0.16300000000000001</v>
      </c>
      <c r="D136">
        <v>1.01</v>
      </c>
      <c r="E136">
        <v>0</v>
      </c>
      <c r="F136">
        <v>0.85799999999999998</v>
      </c>
      <c r="G136">
        <v>0</v>
      </c>
      <c r="H136">
        <v>2.93E-2</v>
      </c>
      <c r="I136">
        <v>0.14299999999999999</v>
      </c>
      <c r="K136">
        <v>134</v>
      </c>
      <c r="L136">
        <v>7</v>
      </c>
      <c r="M136" s="32">
        <v>0.16300000000000001</v>
      </c>
      <c r="N136" s="47">
        <v>1.008</v>
      </c>
      <c r="P136" s="32">
        <v>0.85799999999999998</v>
      </c>
      <c r="R136" s="47">
        <v>0.03</v>
      </c>
      <c r="S136" s="32">
        <v>0.14299999999999999</v>
      </c>
      <c r="T136" s="31">
        <v>0</v>
      </c>
      <c r="V136">
        <v>134</v>
      </c>
      <c r="W136">
        <v>6</v>
      </c>
      <c r="X136">
        <v>0.17499999999999999</v>
      </c>
      <c r="Y136" s="32">
        <v>1.0409999999999999</v>
      </c>
      <c r="Z136">
        <v>0</v>
      </c>
      <c r="AA136" s="32">
        <v>0.88</v>
      </c>
      <c r="AB136">
        <v>0</v>
      </c>
      <c r="AC136" s="34">
        <v>3.4000000000000002E-2</v>
      </c>
      <c r="AD136" s="32">
        <v>0.155</v>
      </c>
    </row>
    <row r="137" spans="1:30">
      <c r="A137">
        <v>135</v>
      </c>
      <c r="B137">
        <v>7</v>
      </c>
      <c r="C137">
        <v>0.16400000000000001</v>
      </c>
      <c r="D137">
        <v>1.01</v>
      </c>
      <c r="E137">
        <v>0</v>
      </c>
      <c r="F137">
        <v>0.85899999999999999</v>
      </c>
      <c r="G137">
        <v>0</v>
      </c>
      <c r="H137">
        <v>2.93E-2</v>
      </c>
      <c r="I137">
        <v>0.14399999999999999</v>
      </c>
      <c r="K137">
        <v>135</v>
      </c>
      <c r="L137">
        <v>7</v>
      </c>
      <c r="M137" s="32">
        <v>0.16400000000000001</v>
      </c>
      <c r="N137" s="47">
        <v>1.0109999999999999</v>
      </c>
      <c r="P137" s="32">
        <v>0.85899999999999999</v>
      </c>
      <c r="R137" s="47">
        <v>0.03</v>
      </c>
      <c r="S137" s="32">
        <v>0.14399999999999999</v>
      </c>
      <c r="T137" s="31">
        <v>0</v>
      </c>
      <c r="V137">
        <v>135</v>
      </c>
      <c r="W137">
        <v>6</v>
      </c>
      <c r="X137">
        <v>0.17599999999999999</v>
      </c>
      <c r="Y137" s="32">
        <v>1.044</v>
      </c>
      <c r="Z137">
        <v>0</v>
      </c>
      <c r="AA137" s="32">
        <v>0.88200000000000001</v>
      </c>
      <c r="AB137">
        <v>0</v>
      </c>
      <c r="AC137" s="34">
        <v>3.4000000000000002E-2</v>
      </c>
      <c r="AD137" s="32">
        <v>0.156</v>
      </c>
    </row>
    <row r="138" spans="1:30">
      <c r="A138">
        <v>136</v>
      </c>
      <c r="B138">
        <v>7</v>
      </c>
      <c r="C138">
        <v>0.16500000000000001</v>
      </c>
      <c r="D138">
        <v>1.01</v>
      </c>
      <c r="E138">
        <v>0</v>
      </c>
      <c r="F138">
        <v>0.86</v>
      </c>
      <c r="G138">
        <v>0</v>
      </c>
      <c r="H138">
        <v>2.93E-2</v>
      </c>
      <c r="I138">
        <v>0.14499999999999999</v>
      </c>
      <c r="K138">
        <v>136</v>
      </c>
      <c r="L138">
        <v>7</v>
      </c>
      <c r="M138" s="32">
        <v>0.16500000000000001</v>
      </c>
      <c r="N138" s="47">
        <v>1.014</v>
      </c>
      <c r="P138" s="32">
        <v>0.86</v>
      </c>
      <c r="R138" s="47">
        <v>3.1E-2</v>
      </c>
      <c r="S138" s="32">
        <v>0.14499999999999999</v>
      </c>
      <c r="T138" s="31">
        <v>0</v>
      </c>
      <c r="V138">
        <v>136</v>
      </c>
      <c r="W138">
        <v>6</v>
      </c>
      <c r="X138">
        <v>0.17699999999999999</v>
      </c>
      <c r="Y138" s="32">
        <v>1.0469999999999999</v>
      </c>
      <c r="Z138">
        <v>0</v>
      </c>
      <c r="AA138" s="32">
        <v>0.88500000000000001</v>
      </c>
      <c r="AB138">
        <v>0</v>
      </c>
      <c r="AC138" s="34">
        <v>3.4000000000000002E-2</v>
      </c>
      <c r="AD138" s="32">
        <v>0.157</v>
      </c>
    </row>
    <row r="139" spans="1:30">
      <c r="A139">
        <v>137</v>
      </c>
      <c r="B139">
        <v>7</v>
      </c>
      <c r="C139">
        <v>0.16600000000000001</v>
      </c>
      <c r="D139">
        <v>1.02</v>
      </c>
      <c r="E139">
        <v>0</v>
      </c>
      <c r="F139">
        <v>0.86</v>
      </c>
      <c r="G139">
        <v>0</v>
      </c>
      <c r="H139">
        <v>2.93E-2</v>
      </c>
      <c r="I139">
        <v>0.14599999999999999</v>
      </c>
      <c r="K139">
        <v>137</v>
      </c>
      <c r="L139">
        <v>7</v>
      </c>
      <c r="M139" s="32">
        <v>0.16600000000000001</v>
      </c>
      <c r="N139" s="47">
        <v>1.0169999999999999</v>
      </c>
      <c r="P139" s="32">
        <v>0.86</v>
      </c>
      <c r="R139" s="47">
        <v>3.1E-2</v>
      </c>
      <c r="S139" s="32">
        <v>0.14599999999999999</v>
      </c>
      <c r="T139" s="31">
        <v>0</v>
      </c>
      <c r="V139">
        <v>137</v>
      </c>
      <c r="W139">
        <v>6</v>
      </c>
      <c r="X139">
        <v>0.17799999999999999</v>
      </c>
      <c r="Y139" s="32">
        <v>1.05</v>
      </c>
      <c r="Z139">
        <v>0</v>
      </c>
      <c r="AA139" s="32">
        <v>0.88700000000000001</v>
      </c>
      <c r="AB139">
        <v>0</v>
      </c>
      <c r="AC139" s="34">
        <v>3.4000000000000002E-2</v>
      </c>
      <c r="AD139" s="32">
        <v>0.158</v>
      </c>
    </row>
    <row r="140" spans="1:30">
      <c r="A140">
        <v>138</v>
      </c>
      <c r="B140">
        <v>7</v>
      </c>
      <c r="C140">
        <v>0.16700000000000001</v>
      </c>
      <c r="D140">
        <v>1.02</v>
      </c>
      <c r="E140">
        <v>0</v>
      </c>
      <c r="F140">
        <v>0.86099999999999999</v>
      </c>
      <c r="G140">
        <v>0</v>
      </c>
      <c r="H140">
        <v>2.93E-2</v>
      </c>
      <c r="I140">
        <v>0.14699999999999999</v>
      </c>
      <c r="K140">
        <v>138</v>
      </c>
      <c r="L140">
        <v>7</v>
      </c>
      <c r="M140" s="32">
        <v>0.16700000000000001</v>
      </c>
      <c r="N140" s="47">
        <v>1.0189999999999999</v>
      </c>
      <c r="P140" s="32">
        <v>0.86099999999999999</v>
      </c>
      <c r="R140" s="47">
        <v>3.1E-2</v>
      </c>
      <c r="S140" s="32">
        <v>0.14699999999999999</v>
      </c>
      <c r="T140" s="31">
        <v>0</v>
      </c>
      <c r="V140">
        <v>138</v>
      </c>
      <c r="W140">
        <v>6</v>
      </c>
      <c r="X140">
        <v>0.17899999999999999</v>
      </c>
      <c r="Y140" s="32">
        <v>1.052</v>
      </c>
      <c r="Z140">
        <v>0</v>
      </c>
      <c r="AA140" s="32">
        <v>0.88900000000000001</v>
      </c>
      <c r="AB140">
        <v>0</v>
      </c>
      <c r="AC140" s="34">
        <v>3.4000000000000002E-2</v>
      </c>
      <c r="AD140" s="32">
        <v>0.16</v>
      </c>
    </row>
    <row r="141" spans="1:30">
      <c r="A141">
        <v>139</v>
      </c>
      <c r="B141">
        <v>7</v>
      </c>
      <c r="C141">
        <v>0.16800000000000001</v>
      </c>
      <c r="D141">
        <v>1.02</v>
      </c>
      <c r="E141">
        <v>0</v>
      </c>
      <c r="F141">
        <v>0.86199999999999999</v>
      </c>
      <c r="G141">
        <v>0</v>
      </c>
      <c r="H141">
        <v>2.93E-2</v>
      </c>
      <c r="I141">
        <v>0.14799999999999999</v>
      </c>
      <c r="K141">
        <v>139</v>
      </c>
      <c r="L141">
        <v>7</v>
      </c>
      <c r="M141" s="32">
        <v>0.16800000000000001</v>
      </c>
      <c r="N141" s="47">
        <v>1.022</v>
      </c>
      <c r="P141" s="32">
        <v>0.86199999999999999</v>
      </c>
      <c r="R141" s="47">
        <v>3.1E-2</v>
      </c>
      <c r="S141" s="32">
        <v>0.14799999999999999</v>
      </c>
      <c r="T141" s="31">
        <v>0</v>
      </c>
      <c r="V141">
        <v>139</v>
      </c>
      <c r="W141">
        <v>6</v>
      </c>
      <c r="X141">
        <v>0.18</v>
      </c>
      <c r="Y141" s="32">
        <v>1.0549999999999999</v>
      </c>
      <c r="Z141">
        <v>0</v>
      </c>
      <c r="AA141" s="32">
        <v>0.89100000000000001</v>
      </c>
      <c r="AB141">
        <v>0</v>
      </c>
      <c r="AC141" s="34">
        <v>3.4000000000000002E-2</v>
      </c>
      <c r="AD141" s="32">
        <v>0.161</v>
      </c>
    </row>
    <row r="142" spans="1:30">
      <c r="A142">
        <v>140</v>
      </c>
      <c r="B142">
        <v>7</v>
      </c>
      <c r="C142">
        <v>0.16900000000000001</v>
      </c>
      <c r="D142">
        <v>1.02</v>
      </c>
      <c r="E142">
        <v>0</v>
      </c>
      <c r="F142">
        <v>0.86299999999999999</v>
      </c>
      <c r="G142">
        <v>0</v>
      </c>
      <c r="H142">
        <v>2.93E-2</v>
      </c>
      <c r="I142">
        <v>0.14899999999999999</v>
      </c>
      <c r="K142">
        <v>140</v>
      </c>
      <c r="L142">
        <v>7</v>
      </c>
      <c r="M142" s="32">
        <v>0.16900000000000001</v>
      </c>
      <c r="N142" s="47">
        <v>1.0249999999999999</v>
      </c>
      <c r="P142" s="32">
        <v>0.86299999999999999</v>
      </c>
      <c r="R142" s="47">
        <v>3.2000000000000001E-2</v>
      </c>
      <c r="S142" s="32">
        <v>0.14899999999999999</v>
      </c>
      <c r="T142" s="31">
        <v>0</v>
      </c>
      <c r="V142">
        <v>140</v>
      </c>
      <c r="W142">
        <v>6</v>
      </c>
      <c r="X142">
        <v>0.18099999999999999</v>
      </c>
      <c r="Y142" s="32">
        <v>1.0580000000000001</v>
      </c>
      <c r="Z142">
        <v>0</v>
      </c>
      <c r="AA142" s="32">
        <v>0.89300000000000002</v>
      </c>
      <c r="AB142">
        <v>0</v>
      </c>
      <c r="AC142" s="34">
        <v>3.4000000000000002E-2</v>
      </c>
      <c r="AD142" s="32">
        <v>0.16200000000000001</v>
      </c>
    </row>
    <row r="143" spans="1:30">
      <c r="A143">
        <v>141</v>
      </c>
      <c r="B143">
        <v>7</v>
      </c>
      <c r="C143">
        <v>0.17</v>
      </c>
      <c r="D143">
        <v>1.03</v>
      </c>
      <c r="E143">
        <v>0</v>
      </c>
      <c r="F143">
        <v>0.86299999999999999</v>
      </c>
      <c r="G143">
        <v>0</v>
      </c>
      <c r="H143">
        <v>2.93E-2</v>
      </c>
      <c r="I143">
        <v>0.15</v>
      </c>
      <c r="K143">
        <v>141</v>
      </c>
      <c r="L143">
        <v>7</v>
      </c>
      <c r="M143" s="32">
        <v>0.17</v>
      </c>
      <c r="N143" s="47">
        <v>1.028</v>
      </c>
      <c r="P143" s="32">
        <v>0.86299999999999999</v>
      </c>
      <c r="R143" s="47">
        <v>3.2000000000000001E-2</v>
      </c>
      <c r="S143" s="32">
        <v>0.15</v>
      </c>
      <c r="T143" s="31">
        <v>0</v>
      </c>
      <c r="V143">
        <v>141</v>
      </c>
      <c r="W143">
        <v>6</v>
      </c>
      <c r="X143">
        <v>0.182</v>
      </c>
      <c r="Y143" s="32">
        <v>1.0609999999999999</v>
      </c>
      <c r="Z143">
        <v>0</v>
      </c>
      <c r="AA143" s="32">
        <v>0.89500000000000002</v>
      </c>
      <c r="AB143">
        <v>0</v>
      </c>
      <c r="AC143" s="34">
        <v>3.5000000000000003E-2</v>
      </c>
      <c r="AD143" s="32">
        <v>0.16300000000000001</v>
      </c>
    </row>
    <row r="144" spans="1:30">
      <c r="A144">
        <v>142</v>
      </c>
      <c r="B144">
        <v>7</v>
      </c>
      <c r="C144">
        <v>0.17100000000000001</v>
      </c>
      <c r="D144">
        <v>1.03</v>
      </c>
      <c r="E144">
        <v>0</v>
      </c>
      <c r="F144">
        <v>0.86399999999999999</v>
      </c>
      <c r="G144">
        <v>0</v>
      </c>
      <c r="H144">
        <v>2.93E-2</v>
      </c>
      <c r="I144">
        <v>0.151</v>
      </c>
      <c r="K144">
        <v>142</v>
      </c>
      <c r="L144">
        <v>7</v>
      </c>
      <c r="M144" s="32">
        <v>0.17100000000000001</v>
      </c>
      <c r="N144" s="32">
        <v>1.03</v>
      </c>
      <c r="P144" s="32">
        <v>0.86399999999999999</v>
      </c>
      <c r="R144" s="47">
        <v>3.2000000000000001E-2</v>
      </c>
      <c r="S144" s="32">
        <v>0.151</v>
      </c>
      <c r="T144" s="31">
        <v>0</v>
      </c>
      <c r="V144">
        <v>142</v>
      </c>
      <c r="W144">
        <v>6</v>
      </c>
      <c r="X144">
        <v>0.183</v>
      </c>
      <c r="Y144" s="32">
        <v>1.0629999999999999</v>
      </c>
      <c r="Z144">
        <v>0</v>
      </c>
      <c r="AA144" s="32">
        <v>0.89800000000000002</v>
      </c>
      <c r="AB144">
        <v>0</v>
      </c>
      <c r="AC144" s="34">
        <v>3.5000000000000003E-2</v>
      </c>
      <c r="AD144" s="32">
        <v>0.16500000000000001</v>
      </c>
    </row>
    <row r="145" spans="1:30">
      <c r="A145">
        <v>143</v>
      </c>
      <c r="B145">
        <v>7</v>
      </c>
      <c r="C145">
        <v>0.17199999999999999</v>
      </c>
      <c r="D145">
        <v>1.03</v>
      </c>
      <c r="E145">
        <v>0</v>
      </c>
      <c r="F145">
        <v>0.86499999999999999</v>
      </c>
      <c r="G145">
        <v>0</v>
      </c>
      <c r="H145">
        <v>2.93E-2</v>
      </c>
      <c r="I145">
        <v>0.152</v>
      </c>
      <c r="K145">
        <v>143</v>
      </c>
      <c r="L145">
        <v>7</v>
      </c>
      <c r="M145" s="32">
        <v>0.17199999999999999</v>
      </c>
      <c r="N145" s="47">
        <v>1.0329999999999999</v>
      </c>
      <c r="P145" s="32">
        <v>0.86499999999999999</v>
      </c>
      <c r="R145" s="47">
        <v>3.2000000000000001E-2</v>
      </c>
      <c r="S145" s="32">
        <v>0.152</v>
      </c>
      <c r="T145" s="31">
        <v>0</v>
      </c>
      <c r="V145">
        <v>143</v>
      </c>
      <c r="W145">
        <v>6</v>
      </c>
      <c r="X145">
        <v>0.184</v>
      </c>
      <c r="Y145" s="32">
        <v>1.0660000000000001</v>
      </c>
      <c r="Z145">
        <v>0</v>
      </c>
      <c r="AA145" s="32">
        <v>0.9</v>
      </c>
      <c r="AB145">
        <v>0</v>
      </c>
      <c r="AC145" s="34">
        <v>3.5000000000000003E-2</v>
      </c>
      <c r="AD145" s="32">
        <v>0.16600000000000001</v>
      </c>
    </row>
    <row r="146" spans="1:30">
      <c r="A146">
        <v>144</v>
      </c>
      <c r="B146">
        <v>7</v>
      </c>
      <c r="C146">
        <v>0.17299999999999999</v>
      </c>
      <c r="D146">
        <v>1.04</v>
      </c>
      <c r="E146">
        <v>0</v>
      </c>
      <c r="F146">
        <v>0.86499999999999999</v>
      </c>
      <c r="G146">
        <v>0</v>
      </c>
      <c r="H146">
        <v>2.93E-2</v>
      </c>
      <c r="I146">
        <v>0.153</v>
      </c>
      <c r="K146">
        <v>144</v>
      </c>
      <c r="L146">
        <v>7</v>
      </c>
      <c r="M146" s="32">
        <v>0.17299999999999999</v>
      </c>
      <c r="N146" s="47">
        <v>1.036</v>
      </c>
      <c r="P146" s="32">
        <v>0.86499999999999999</v>
      </c>
      <c r="R146" s="47">
        <v>3.2000000000000001E-2</v>
      </c>
      <c r="S146" s="32">
        <v>0.153</v>
      </c>
      <c r="T146" s="31">
        <v>0</v>
      </c>
      <c r="V146">
        <v>144</v>
      </c>
      <c r="W146">
        <v>7</v>
      </c>
      <c r="X146">
        <v>0.185</v>
      </c>
      <c r="Y146" s="32">
        <v>1.069</v>
      </c>
      <c r="Z146">
        <v>0</v>
      </c>
      <c r="AA146" s="32">
        <v>0.90200000000000002</v>
      </c>
      <c r="AB146">
        <v>0</v>
      </c>
      <c r="AC146" s="34">
        <v>3.5000000000000003E-2</v>
      </c>
      <c r="AD146" s="32">
        <v>0.16700000000000001</v>
      </c>
    </row>
    <row r="147" spans="1:30">
      <c r="A147">
        <v>145</v>
      </c>
      <c r="B147">
        <v>7</v>
      </c>
      <c r="C147">
        <v>0.17399999999999999</v>
      </c>
      <c r="D147">
        <v>1.04</v>
      </c>
      <c r="E147">
        <v>0</v>
      </c>
      <c r="F147">
        <v>0.86599999999999999</v>
      </c>
      <c r="G147">
        <v>0</v>
      </c>
      <c r="H147">
        <v>2.93E-2</v>
      </c>
      <c r="I147">
        <v>0.154</v>
      </c>
      <c r="K147">
        <v>145</v>
      </c>
      <c r="L147">
        <v>7</v>
      </c>
      <c r="M147" s="32">
        <v>0.17399999999999999</v>
      </c>
      <c r="N147" s="47">
        <v>1.0389999999999999</v>
      </c>
      <c r="P147" s="32">
        <v>0.86599999999999999</v>
      </c>
      <c r="R147" s="47">
        <v>3.3000000000000002E-2</v>
      </c>
      <c r="S147" s="32">
        <v>0.154</v>
      </c>
      <c r="T147" s="31">
        <v>0</v>
      </c>
      <c r="V147">
        <v>145</v>
      </c>
      <c r="W147">
        <v>7</v>
      </c>
      <c r="X147">
        <v>0.186</v>
      </c>
      <c r="Y147" s="32">
        <v>1.0720000000000001</v>
      </c>
      <c r="Z147">
        <v>0</v>
      </c>
      <c r="AA147" s="32">
        <v>0.90400000000000003</v>
      </c>
      <c r="AB147">
        <v>0</v>
      </c>
      <c r="AC147" s="34">
        <v>3.5000000000000003E-2</v>
      </c>
      <c r="AD147" s="32">
        <v>0.16800000000000001</v>
      </c>
    </row>
    <row r="148" spans="1:30">
      <c r="A148">
        <v>146</v>
      </c>
      <c r="B148">
        <v>7</v>
      </c>
      <c r="C148">
        <v>0.17499999999999999</v>
      </c>
      <c r="D148">
        <v>1.04</v>
      </c>
      <c r="E148">
        <v>0</v>
      </c>
      <c r="F148">
        <v>0.86699999999999999</v>
      </c>
      <c r="G148">
        <v>0</v>
      </c>
      <c r="H148">
        <v>2.93E-2</v>
      </c>
      <c r="I148">
        <v>0.155</v>
      </c>
      <c r="K148">
        <v>146</v>
      </c>
      <c r="L148">
        <v>7</v>
      </c>
      <c r="M148" s="32">
        <v>0.17499999999999999</v>
      </c>
      <c r="N148" s="47">
        <v>1.0409999999999999</v>
      </c>
      <c r="P148" s="32">
        <v>0.86699999999999999</v>
      </c>
      <c r="R148" s="47">
        <v>3.3000000000000002E-2</v>
      </c>
      <c r="S148" s="32">
        <v>0.155</v>
      </c>
      <c r="T148" s="31">
        <v>0</v>
      </c>
      <c r="V148">
        <v>146</v>
      </c>
      <c r="W148">
        <v>7</v>
      </c>
      <c r="X148">
        <v>0.187</v>
      </c>
      <c r="Y148" s="32">
        <v>1.0740000000000001</v>
      </c>
      <c r="Z148">
        <v>0</v>
      </c>
      <c r="AA148" s="32">
        <v>0.90600000000000003</v>
      </c>
      <c r="AB148">
        <v>0</v>
      </c>
      <c r="AC148" s="34">
        <v>3.5000000000000003E-2</v>
      </c>
      <c r="AD148" s="32">
        <v>0.17</v>
      </c>
    </row>
    <row r="149" spans="1:30">
      <c r="A149">
        <v>147</v>
      </c>
      <c r="B149">
        <v>7</v>
      </c>
      <c r="C149">
        <v>0.17599999999999999</v>
      </c>
      <c r="D149">
        <v>1.04</v>
      </c>
      <c r="E149">
        <v>0</v>
      </c>
      <c r="F149">
        <v>0.86799999999999999</v>
      </c>
      <c r="G149">
        <v>0</v>
      </c>
      <c r="H149">
        <v>2.93E-2</v>
      </c>
      <c r="I149">
        <v>0.156</v>
      </c>
      <c r="K149">
        <v>147</v>
      </c>
      <c r="L149">
        <v>7</v>
      </c>
      <c r="M149" s="32">
        <v>0.17599999999999999</v>
      </c>
      <c r="N149" s="47">
        <v>1.044</v>
      </c>
      <c r="P149" s="32">
        <v>0.86799999999999999</v>
      </c>
      <c r="R149" s="47">
        <v>3.3000000000000002E-2</v>
      </c>
      <c r="S149" s="32">
        <v>0.156</v>
      </c>
      <c r="T149" s="31">
        <v>0</v>
      </c>
      <c r="V149">
        <v>147</v>
      </c>
      <c r="W149">
        <v>7</v>
      </c>
      <c r="X149">
        <v>0.188</v>
      </c>
      <c r="Y149" s="32">
        <v>1.077</v>
      </c>
      <c r="Z149">
        <v>0</v>
      </c>
      <c r="AA149" s="32">
        <v>0.90800000000000003</v>
      </c>
      <c r="AB149">
        <v>0</v>
      </c>
      <c r="AC149" s="34">
        <v>3.5000000000000003E-2</v>
      </c>
      <c r="AD149" s="32">
        <v>0.17100000000000001</v>
      </c>
    </row>
    <row r="150" spans="1:30">
      <c r="A150">
        <v>148</v>
      </c>
      <c r="B150">
        <v>7</v>
      </c>
      <c r="C150">
        <v>0.17699999999999999</v>
      </c>
      <c r="D150">
        <v>1.05</v>
      </c>
      <c r="E150">
        <v>0</v>
      </c>
      <c r="F150">
        <v>0.86799999999999999</v>
      </c>
      <c r="G150">
        <v>0</v>
      </c>
      <c r="H150">
        <v>2.93E-2</v>
      </c>
      <c r="I150">
        <v>0.157</v>
      </c>
      <c r="K150">
        <v>148</v>
      </c>
      <c r="L150">
        <v>7</v>
      </c>
      <c r="M150" s="32">
        <v>0.17699999999999999</v>
      </c>
      <c r="N150" s="47">
        <v>1.0469999999999999</v>
      </c>
      <c r="P150" s="32">
        <v>0.86799999999999999</v>
      </c>
      <c r="R150" s="47">
        <v>3.3000000000000002E-2</v>
      </c>
      <c r="S150" s="32">
        <v>0.157</v>
      </c>
      <c r="T150" s="31">
        <v>0</v>
      </c>
      <c r="V150">
        <v>148</v>
      </c>
      <c r="W150">
        <v>7</v>
      </c>
      <c r="X150">
        <v>0.189</v>
      </c>
      <c r="Y150" s="32">
        <v>1.08</v>
      </c>
      <c r="Z150">
        <v>0</v>
      </c>
      <c r="AA150" s="32">
        <v>0.90900000000000003</v>
      </c>
      <c r="AB150">
        <v>0</v>
      </c>
      <c r="AC150" s="34">
        <v>3.5999999999999997E-2</v>
      </c>
      <c r="AD150" s="32">
        <v>0.17199999999999999</v>
      </c>
    </row>
    <row r="151" spans="1:30">
      <c r="A151">
        <v>149</v>
      </c>
      <c r="B151">
        <v>7</v>
      </c>
      <c r="C151">
        <v>0.17799999999999999</v>
      </c>
      <c r="D151">
        <v>1.05</v>
      </c>
      <c r="E151">
        <v>0</v>
      </c>
      <c r="F151">
        <v>0.86899999999999999</v>
      </c>
      <c r="G151">
        <v>0</v>
      </c>
      <c r="H151">
        <v>2.93E-2</v>
      </c>
      <c r="I151">
        <v>0.158</v>
      </c>
      <c r="K151">
        <v>149</v>
      </c>
      <c r="L151">
        <v>7</v>
      </c>
      <c r="M151" s="32">
        <v>0.17799999999999999</v>
      </c>
      <c r="N151" s="32">
        <v>1.05</v>
      </c>
      <c r="P151" s="32">
        <v>0.86899999999999999</v>
      </c>
      <c r="R151" s="47">
        <v>3.4000000000000002E-2</v>
      </c>
      <c r="S151" s="32">
        <v>0.158</v>
      </c>
      <c r="T151" s="31">
        <v>0</v>
      </c>
      <c r="V151">
        <v>149</v>
      </c>
      <c r="W151">
        <v>7</v>
      </c>
      <c r="X151">
        <v>0.19</v>
      </c>
      <c r="Y151" s="32">
        <v>1.083</v>
      </c>
      <c r="Z151">
        <v>0</v>
      </c>
      <c r="AA151" s="32">
        <v>0.91100000000000003</v>
      </c>
      <c r="AB151">
        <v>0</v>
      </c>
      <c r="AC151" s="34">
        <v>3.5999999999999997E-2</v>
      </c>
      <c r="AD151" s="32">
        <v>0.17399999999999999</v>
      </c>
    </row>
    <row r="152" spans="1:30">
      <c r="A152">
        <v>150</v>
      </c>
      <c r="B152">
        <v>7</v>
      </c>
      <c r="C152">
        <v>0.17899999999999999</v>
      </c>
      <c r="D152">
        <v>1.05</v>
      </c>
      <c r="E152">
        <v>0</v>
      </c>
      <c r="F152">
        <v>0.87</v>
      </c>
      <c r="G152">
        <v>0</v>
      </c>
      <c r="H152">
        <v>2.93E-2</v>
      </c>
      <c r="I152">
        <v>0.159</v>
      </c>
      <c r="K152">
        <v>150</v>
      </c>
      <c r="L152">
        <v>7</v>
      </c>
      <c r="M152" s="32">
        <v>0.17899999999999999</v>
      </c>
      <c r="N152" s="47">
        <v>1.052</v>
      </c>
      <c r="P152" s="32">
        <v>0.87</v>
      </c>
      <c r="R152" s="47">
        <v>3.4000000000000002E-2</v>
      </c>
      <c r="S152" s="32">
        <v>0.159</v>
      </c>
      <c r="T152" s="31">
        <v>0</v>
      </c>
      <c r="V152">
        <v>150</v>
      </c>
      <c r="W152">
        <v>7</v>
      </c>
      <c r="X152">
        <v>0.191</v>
      </c>
      <c r="Y152" s="32">
        <v>1.085</v>
      </c>
      <c r="Z152">
        <v>0</v>
      </c>
      <c r="AA152" s="32">
        <v>0.91300000000000003</v>
      </c>
      <c r="AB152">
        <v>0</v>
      </c>
      <c r="AC152" s="34">
        <v>3.5999999999999997E-2</v>
      </c>
      <c r="AD152" s="32">
        <v>0.17499999999999999</v>
      </c>
    </row>
    <row r="153" spans="1:30">
      <c r="A153">
        <v>151</v>
      </c>
      <c r="B153">
        <v>7</v>
      </c>
      <c r="C153">
        <v>0.18</v>
      </c>
      <c r="D153">
        <v>1.06</v>
      </c>
      <c r="E153">
        <v>0</v>
      </c>
      <c r="F153">
        <v>0.871</v>
      </c>
      <c r="G153">
        <v>0</v>
      </c>
      <c r="H153">
        <v>2.93E-2</v>
      </c>
      <c r="I153">
        <v>0.16</v>
      </c>
      <c r="K153">
        <v>151</v>
      </c>
      <c r="L153">
        <v>7</v>
      </c>
      <c r="M153" s="32">
        <v>0.18</v>
      </c>
      <c r="N153" s="47">
        <v>1.0549999999999999</v>
      </c>
      <c r="P153" s="32">
        <v>0.871</v>
      </c>
      <c r="R153" s="47">
        <v>3.4000000000000002E-2</v>
      </c>
      <c r="S153" s="32">
        <v>0.16</v>
      </c>
      <c r="T153" s="31">
        <v>0</v>
      </c>
      <c r="V153">
        <v>151</v>
      </c>
      <c r="W153">
        <v>7</v>
      </c>
      <c r="X153">
        <v>0.192</v>
      </c>
      <c r="Y153" s="32">
        <v>1.0880000000000001</v>
      </c>
      <c r="Z153">
        <v>0</v>
      </c>
      <c r="AA153" s="32">
        <v>0.91500000000000004</v>
      </c>
      <c r="AB153">
        <v>0</v>
      </c>
      <c r="AC153" s="34">
        <v>3.5999999999999997E-2</v>
      </c>
      <c r="AD153" s="32">
        <v>0.17599999999999999</v>
      </c>
    </row>
    <row r="154" spans="1:30">
      <c r="A154">
        <v>152</v>
      </c>
      <c r="B154">
        <v>7</v>
      </c>
      <c r="C154">
        <v>0.18099999999999999</v>
      </c>
      <c r="D154">
        <v>1.06</v>
      </c>
      <c r="E154">
        <v>0</v>
      </c>
      <c r="F154">
        <v>0.871</v>
      </c>
      <c r="G154">
        <v>0</v>
      </c>
      <c r="H154">
        <v>2.93E-2</v>
      </c>
      <c r="I154">
        <v>0.16</v>
      </c>
      <c r="K154">
        <v>152</v>
      </c>
      <c r="L154">
        <v>7</v>
      </c>
      <c r="M154" s="32">
        <v>0.18099999999999999</v>
      </c>
      <c r="N154" s="47">
        <v>1.0580000000000001</v>
      </c>
      <c r="P154" s="32">
        <v>0.871</v>
      </c>
      <c r="R154" s="47">
        <v>3.4000000000000002E-2</v>
      </c>
      <c r="S154" s="32">
        <v>0.16</v>
      </c>
      <c r="T154" s="31">
        <v>0</v>
      </c>
      <c r="V154">
        <v>152</v>
      </c>
      <c r="W154">
        <v>7</v>
      </c>
      <c r="X154">
        <v>0.193</v>
      </c>
      <c r="Y154" s="32">
        <v>1.091</v>
      </c>
      <c r="Z154">
        <v>0</v>
      </c>
      <c r="AA154" s="32">
        <v>0.91700000000000004</v>
      </c>
      <c r="AB154">
        <v>0</v>
      </c>
      <c r="AC154" s="34">
        <v>3.5999999999999997E-2</v>
      </c>
      <c r="AD154" s="32">
        <v>0.17699999999999999</v>
      </c>
    </row>
    <row r="155" spans="1:30">
      <c r="A155">
        <v>153</v>
      </c>
      <c r="B155">
        <v>7</v>
      </c>
      <c r="C155">
        <v>0.182</v>
      </c>
      <c r="D155">
        <v>1.06</v>
      </c>
      <c r="E155">
        <v>0</v>
      </c>
      <c r="F155">
        <v>0.872</v>
      </c>
      <c r="G155">
        <v>0</v>
      </c>
      <c r="H155">
        <v>2.93E-2</v>
      </c>
      <c r="I155">
        <v>0.161</v>
      </c>
      <c r="K155">
        <v>153</v>
      </c>
      <c r="L155">
        <v>7</v>
      </c>
      <c r="M155" s="32">
        <v>0.182</v>
      </c>
      <c r="N155" s="47">
        <v>1.0609999999999999</v>
      </c>
      <c r="P155" s="32">
        <v>0.872</v>
      </c>
      <c r="R155" s="47">
        <v>3.5000000000000003E-2</v>
      </c>
      <c r="S155" s="32">
        <v>0.161</v>
      </c>
      <c r="T155" s="31">
        <v>0</v>
      </c>
      <c r="V155">
        <v>153</v>
      </c>
      <c r="W155">
        <v>7</v>
      </c>
      <c r="X155">
        <v>0.19400000000000001</v>
      </c>
      <c r="Y155" s="32">
        <v>1.0940000000000001</v>
      </c>
      <c r="Z155">
        <v>0</v>
      </c>
      <c r="AA155" s="32">
        <v>0.91900000000000004</v>
      </c>
      <c r="AB155">
        <v>0</v>
      </c>
      <c r="AC155" s="34">
        <v>3.5999999999999997E-2</v>
      </c>
      <c r="AD155" s="32">
        <v>0.17899999999999999</v>
      </c>
    </row>
    <row r="156" spans="1:30">
      <c r="A156">
        <v>154</v>
      </c>
      <c r="B156">
        <v>7</v>
      </c>
      <c r="C156">
        <v>0.183</v>
      </c>
      <c r="D156">
        <v>1.06</v>
      </c>
      <c r="E156">
        <v>0</v>
      </c>
      <c r="F156">
        <v>0.873</v>
      </c>
      <c r="G156">
        <v>0</v>
      </c>
      <c r="H156">
        <v>2.93E-2</v>
      </c>
      <c r="I156">
        <v>0.16200000000000001</v>
      </c>
      <c r="K156">
        <v>154</v>
      </c>
      <c r="L156">
        <v>7</v>
      </c>
      <c r="M156" s="32">
        <v>0.183</v>
      </c>
      <c r="N156" s="47">
        <v>1.0629999999999999</v>
      </c>
      <c r="P156" s="32">
        <v>0.873</v>
      </c>
      <c r="R156" s="47">
        <v>3.5000000000000003E-2</v>
      </c>
      <c r="S156" s="32">
        <v>0.16200000000000001</v>
      </c>
      <c r="T156" s="31">
        <v>0</v>
      </c>
      <c r="V156">
        <v>154</v>
      </c>
      <c r="W156">
        <v>7</v>
      </c>
      <c r="X156">
        <v>0.19500000000000001</v>
      </c>
      <c r="Y156" s="32">
        <v>1.0960000000000001</v>
      </c>
      <c r="Z156">
        <v>0</v>
      </c>
      <c r="AA156" s="32">
        <v>0.92100000000000004</v>
      </c>
      <c r="AB156">
        <v>0</v>
      </c>
      <c r="AC156" s="34">
        <v>3.5999999999999997E-2</v>
      </c>
      <c r="AD156" s="32">
        <v>0.18</v>
      </c>
    </row>
    <row r="157" spans="1:30">
      <c r="A157">
        <v>155</v>
      </c>
      <c r="B157">
        <v>7</v>
      </c>
      <c r="C157">
        <v>0.184</v>
      </c>
      <c r="D157">
        <v>1.07</v>
      </c>
      <c r="E157">
        <v>0</v>
      </c>
      <c r="F157">
        <v>0.873</v>
      </c>
      <c r="G157">
        <v>0</v>
      </c>
      <c r="H157">
        <v>2.93E-2</v>
      </c>
      <c r="I157">
        <v>0.16300000000000001</v>
      </c>
      <c r="K157">
        <v>155</v>
      </c>
      <c r="L157">
        <v>7</v>
      </c>
      <c r="M157" s="32">
        <v>0.184</v>
      </c>
      <c r="N157" s="47">
        <v>1.0660000000000001</v>
      </c>
      <c r="P157" s="32">
        <v>0.873</v>
      </c>
      <c r="R157" s="47">
        <v>3.5000000000000003E-2</v>
      </c>
      <c r="S157" s="32">
        <v>0.16300000000000001</v>
      </c>
      <c r="T157" s="31">
        <v>0</v>
      </c>
      <c r="V157">
        <v>155</v>
      </c>
      <c r="W157">
        <v>7</v>
      </c>
      <c r="X157">
        <v>0.19600000000000001</v>
      </c>
      <c r="Y157" s="32">
        <v>1.099</v>
      </c>
      <c r="Z157">
        <v>0</v>
      </c>
      <c r="AA157" s="32">
        <v>0.92300000000000004</v>
      </c>
      <c r="AB157">
        <v>0</v>
      </c>
      <c r="AC157" s="34">
        <v>3.5999999999999997E-2</v>
      </c>
      <c r="AD157" s="32">
        <v>0.18099999999999999</v>
      </c>
    </row>
    <row r="158" spans="1:30">
      <c r="A158">
        <v>156</v>
      </c>
      <c r="B158">
        <v>7</v>
      </c>
      <c r="C158">
        <v>0.185</v>
      </c>
      <c r="D158">
        <v>1.07</v>
      </c>
      <c r="E158">
        <v>0</v>
      </c>
      <c r="F158">
        <v>0.874</v>
      </c>
      <c r="G158">
        <v>0</v>
      </c>
      <c r="H158">
        <v>2.93E-2</v>
      </c>
      <c r="I158">
        <v>0.16400000000000001</v>
      </c>
      <c r="K158">
        <v>156</v>
      </c>
      <c r="L158">
        <v>7</v>
      </c>
      <c r="M158" s="32">
        <v>0.185</v>
      </c>
      <c r="N158" s="47">
        <v>1.069</v>
      </c>
      <c r="P158" s="32">
        <v>0.874</v>
      </c>
      <c r="R158" s="47">
        <v>3.5000000000000003E-2</v>
      </c>
      <c r="S158" s="32">
        <v>0.16400000000000001</v>
      </c>
      <c r="T158" s="31">
        <v>0</v>
      </c>
      <c r="V158">
        <v>156</v>
      </c>
      <c r="W158">
        <v>7</v>
      </c>
      <c r="X158">
        <v>0.19700000000000001</v>
      </c>
      <c r="Y158" s="32">
        <v>1.1020000000000001</v>
      </c>
      <c r="Z158">
        <v>0</v>
      </c>
      <c r="AA158" s="32">
        <v>0.92400000000000004</v>
      </c>
      <c r="AB158">
        <v>0</v>
      </c>
      <c r="AC158" s="34">
        <v>3.6999999999999998E-2</v>
      </c>
      <c r="AD158" s="32">
        <v>0.183</v>
      </c>
    </row>
    <row r="159" spans="1:30">
      <c r="A159">
        <v>157</v>
      </c>
      <c r="B159">
        <v>7</v>
      </c>
      <c r="C159">
        <v>0.186</v>
      </c>
      <c r="D159">
        <v>1.07</v>
      </c>
      <c r="E159">
        <v>0</v>
      </c>
      <c r="F159">
        <v>0.875</v>
      </c>
      <c r="G159">
        <v>0</v>
      </c>
      <c r="H159">
        <v>2.93E-2</v>
      </c>
      <c r="I159">
        <v>0.16500000000000001</v>
      </c>
      <c r="K159">
        <v>157</v>
      </c>
      <c r="L159">
        <v>7</v>
      </c>
      <c r="M159" s="32">
        <v>0.186</v>
      </c>
      <c r="N159" s="47">
        <v>1.0720000000000001</v>
      </c>
      <c r="P159" s="32">
        <v>0.875</v>
      </c>
      <c r="R159" s="47">
        <v>3.5999999999999997E-2</v>
      </c>
      <c r="S159" s="32">
        <v>0.16500000000000001</v>
      </c>
      <c r="T159" s="31">
        <v>0</v>
      </c>
      <c r="V159">
        <v>157</v>
      </c>
      <c r="W159">
        <v>7</v>
      </c>
      <c r="X159">
        <v>0.19800000000000001</v>
      </c>
      <c r="Y159" s="32">
        <v>1.105</v>
      </c>
      <c r="Z159">
        <v>0</v>
      </c>
      <c r="AA159" s="32">
        <v>0.92600000000000005</v>
      </c>
      <c r="AB159">
        <v>0</v>
      </c>
      <c r="AC159" s="34">
        <v>3.6999999999999998E-2</v>
      </c>
      <c r="AD159" s="32">
        <v>0.184</v>
      </c>
    </row>
    <row r="160" spans="1:30">
      <c r="A160">
        <v>158</v>
      </c>
      <c r="B160">
        <v>7</v>
      </c>
      <c r="C160">
        <v>0.187</v>
      </c>
      <c r="D160">
        <v>1.07</v>
      </c>
      <c r="E160">
        <v>0</v>
      </c>
      <c r="F160">
        <v>0.876</v>
      </c>
      <c r="G160">
        <v>0</v>
      </c>
      <c r="H160">
        <v>2.93E-2</v>
      </c>
      <c r="I160">
        <v>0.16600000000000001</v>
      </c>
      <c r="K160">
        <v>158</v>
      </c>
      <c r="L160">
        <v>7</v>
      </c>
      <c r="M160" s="32">
        <v>0.187</v>
      </c>
      <c r="N160" s="47">
        <v>1.0740000000000001</v>
      </c>
      <c r="P160" s="32">
        <v>0.876</v>
      </c>
      <c r="R160" s="47">
        <v>3.5999999999999997E-2</v>
      </c>
      <c r="S160" s="32">
        <v>0.16600000000000001</v>
      </c>
      <c r="T160" s="31">
        <v>0</v>
      </c>
      <c r="V160">
        <v>158</v>
      </c>
      <c r="W160">
        <v>7</v>
      </c>
      <c r="X160">
        <v>0.19900000000000001</v>
      </c>
      <c r="Y160" s="32">
        <v>1.107</v>
      </c>
      <c r="Z160">
        <v>0</v>
      </c>
      <c r="AA160" s="32">
        <v>0.92800000000000005</v>
      </c>
      <c r="AB160">
        <v>0</v>
      </c>
      <c r="AC160" s="34">
        <v>3.6999999999999998E-2</v>
      </c>
      <c r="AD160" s="32">
        <v>0.185</v>
      </c>
    </row>
    <row r="161" spans="1:30">
      <c r="A161">
        <v>159</v>
      </c>
      <c r="B161">
        <v>7</v>
      </c>
      <c r="C161">
        <v>0.188</v>
      </c>
      <c r="D161">
        <v>1.08</v>
      </c>
      <c r="E161">
        <v>0</v>
      </c>
      <c r="F161">
        <v>0.876</v>
      </c>
      <c r="G161">
        <v>0</v>
      </c>
      <c r="H161">
        <v>2.93E-2</v>
      </c>
      <c r="I161">
        <v>0.16700000000000001</v>
      </c>
      <c r="K161">
        <v>159</v>
      </c>
      <c r="L161">
        <v>7</v>
      </c>
      <c r="M161" s="32">
        <v>0.188</v>
      </c>
      <c r="N161" s="47">
        <v>1.077</v>
      </c>
      <c r="P161" s="32">
        <v>0.876</v>
      </c>
      <c r="R161" s="47">
        <v>3.5999999999999997E-2</v>
      </c>
      <c r="S161" s="32">
        <v>0.16700000000000001</v>
      </c>
      <c r="T161" s="31">
        <v>0</v>
      </c>
      <c r="V161">
        <v>159</v>
      </c>
      <c r="W161">
        <v>7</v>
      </c>
      <c r="X161">
        <v>0.2</v>
      </c>
      <c r="Y161" s="32">
        <v>1.1100000000000001</v>
      </c>
      <c r="Z161">
        <v>0</v>
      </c>
      <c r="AA161" s="32">
        <v>0.93</v>
      </c>
      <c r="AB161">
        <v>0</v>
      </c>
      <c r="AC161" s="34">
        <v>3.6999999999999998E-2</v>
      </c>
      <c r="AD161" s="32">
        <v>0.187</v>
      </c>
    </row>
    <row r="162" spans="1:30">
      <c r="A162">
        <v>160</v>
      </c>
      <c r="B162">
        <v>7</v>
      </c>
      <c r="C162">
        <v>0.189</v>
      </c>
      <c r="D162">
        <v>1.08</v>
      </c>
      <c r="E162">
        <v>0</v>
      </c>
      <c r="F162">
        <v>0.877</v>
      </c>
      <c r="G162">
        <v>0</v>
      </c>
      <c r="H162">
        <v>2.93E-2</v>
      </c>
      <c r="I162">
        <v>0.16800000000000001</v>
      </c>
      <c r="K162">
        <v>160</v>
      </c>
      <c r="L162">
        <v>7</v>
      </c>
      <c r="M162" s="32">
        <v>0.189</v>
      </c>
      <c r="N162" s="32">
        <v>1.08</v>
      </c>
      <c r="P162" s="32">
        <v>0.877</v>
      </c>
      <c r="R162" s="47">
        <v>3.5999999999999997E-2</v>
      </c>
      <c r="S162" s="32">
        <v>0.16800000000000001</v>
      </c>
      <c r="T162" s="31">
        <v>0</v>
      </c>
      <c r="V162">
        <v>160</v>
      </c>
      <c r="W162">
        <v>7</v>
      </c>
      <c r="X162">
        <v>0.20100000000000001</v>
      </c>
      <c r="Y162" s="32">
        <v>1.113</v>
      </c>
      <c r="Z162">
        <v>0</v>
      </c>
      <c r="AA162" s="32">
        <v>0.93200000000000005</v>
      </c>
      <c r="AB162">
        <v>0</v>
      </c>
      <c r="AC162" s="34">
        <v>3.6999999999999998E-2</v>
      </c>
      <c r="AD162" s="32">
        <v>0.188</v>
      </c>
    </row>
    <row r="163" spans="1:30">
      <c r="A163">
        <v>161</v>
      </c>
      <c r="B163">
        <v>7</v>
      </c>
      <c r="C163">
        <v>0.19</v>
      </c>
      <c r="D163">
        <v>1.08</v>
      </c>
      <c r="E163">
        <v>0</v>
      </c>
      <c r="F163">
        <v>0.878</v>
      </c>
      <c r="G163">
        <v>0</v>
      </c>
      <c r="H163">
        <v>2.93E-2</v>
      </c>
      <c r="I163">
        <v>0.16900000000000001</v>
      </c>
      <c r="K163">
        <v>161</v>
      </c>
      <c r="L163">
        <v>7</v>
      </c>
      <c r="M163" s="32">
        <v>0.19</v>
      </c>
      <c r="N163" s="47">
        <v>1.083</v>
      </c>
      <c r="P163" s="32">
        <v>0.878</v>
      </c>
      <c r="R163" s="47">
        <v>3.6999999999999998E-2</v>
      </c>
      <c r="S163" s="32">
        <v>0.16900000000000001</v>
      </c>
      <c r="T163" s="31">
        <v>0</v>
      </c>
      <c r="V163">
        <v>161</v>
      </c>
      <c r="W163">
        <v>7</v>
      </c>
      <c r="X163">
        <v>0.20200000000000001</v>
      </c>
      <c r="Y163" s="32">
        <v>1.115</v>
      </c>
      <c r="Z163">
        <v>0</v>
      </c>
      <c r="AA163" s="32">
        <v>0.93400000000000005</v>
      </c>
      <c r="AB163">
        <v>0</v>
      </c>
      <c r="AC163" s="34">
        <v>3.6999999999999998E-2</v>
      </c>
      <c r="AD163" s="32">
        <v>0.189</v>
      </c>
    </row>
    <row r="164" spans="1:30">
      <c r="A164">
        <v>162</v>
      </c>
      <c r="B164">
        <v>7</v>
      </c>
      <c r="C164">
        <v>0.191</v>
      </c>
      <c r="D164">
        <v>1.0900000000000001</v>
      </c>
      <c r="E164">
        <v>0</v>
      </c>
      <c r="F164">
        <v>0.878</v>
      </c>
      <c r="G164">
        <v>0</v>
      </c>
      <c r="H164">
        <v>2.93E-2</v>
      </c>
      <c r="I164">
        <v>0.17</v>
      </c>
      <c r="K164">
        <v>162</v>
      </c>
      <c r="L164">
        <v>7</v>
      </c>
      <c r="M164" s="32">
        <v>0.191</v>
      </c>
      <c r="N164" s="47">
        <v>1.085</v>
      </c>
      <c r="P164" s="32">
        <v>0.878</v>
      </c>
      <c r="R164" s="47">
        <v>3.6999999999999998E-2</v>
      </c>
      <c r="S164" s="32">
        <v>0.17</v>
      </c>
      <c r="T164" s="31">
        <v>0</v>
      </c>
      <c r="V164">
        <v>162</v>
      </c>
      <c r="W164">
        <v>7</v>
      </c>
      <c r="X164">
        <v>0.20300000000000001</v>
      </c>
      <c r="Y164" s="32">
        <v>1.1180000000000001</v>
      </c>
      <c r="Z164">
        <v>0</v>
      </c>
      <c r="AA164" s="32">
        <v>0.93600000000000005</v>
      </c>
      <c r="AB164">
        <v>0</v>
      </c>
      <c r="AC164" s="34">
        <v>3.6999999999999998E-2</v>
      </c>
      <c r="AD164" s="32">
        <v>0.19</v>
      </c>
    </row>
    <row r="165" spans="1:30">
      <c r="A165">
        <v>163</v>
      </c>
      <c r="B165">
        <v>7</v>
      </c>
      <c r="C165">
        <v>0.192</v>
      </c>
      <c r="D165">
        <v>1.0900000000000001</v>
      </c>
      <c r="E165">
        <v>0</v>
      </c>
      <c r="F165">
        <v>0.879</v>
      </c>
      <c r="G165">
        <v>0</v>
      </c>
      <c r="H165">
        <v>2.93E-2</v>
      </c>
      <c r="I165">
        <v>0.17100000000000001</v>
      </c>
      <c r="K165">
        <v>163</v>
      </c>
      <c r="L165">
        <v>7</v>
      </c>
      <c r="M165" s="32">
        <v>0.192</v>
      </c>
      <c r="N165" s="47">
        <v>1.0880000000000001</v>
      </c>
      <c r="P165" s="32">
        <v>0.879</v>
      </c>
      <c r="R165" s="47">
        <v>3.6999999999999998E-2</v>
      </c>
      <c r="S165" s="32">
        <v>0.17100000000000001</v>
      </c>
      <c r="T165" s="31">
        <v>0</v>
      </c>
      <c r="V165">
        <v>163</v>
      </c>
      <c r="W165">
        <v>7</v>
      </c>
      <c r="X165">
        <v>0.20399999999999999</v>
      </c>
      <c r="Y165" s="32">
        <v>1.1200000000000001</v>
      </c>
      <c r="Z165">
        <v>0</v>
      </c>
      <c r="AA165" s="32">
        <v>0.93700000000000006</v>
      </c>
      <c r="AB165">
        <v>0</v>
      </c>
      <c r="AC165" s="34">
        <v>3.7999999999999999E-2</v>
      </c>
      <c r="AD165" s="32">
        <v>0.192</v>
      </c>
    </row>
    <row r="166" spans="1:30">
      <c r="A166">
        <v>164</v>
      </c>
      <c r="B166">
        <v>7</v>
      </c>
      <c r="C166">
        <v>0.193</v>
      </c>
      <c r="D166">
        <v>1.0900000000000001</v>
      </c>
      <c r="E166">
        <v>0</v>
      </c>
      <c r="F166">
        <v>0.88</v>
      </c>
      <c r="G166">
        <v>0</v>
      </c>
      <c r="H166">
        <v>2.93E-2</v>
      </c>
      <c r="I166">
        <v>0.17199999999999999</v>
      </c>
      <c r="K166">
        <v>164</v>
      </c>
      <c r="L166">
        <v>7</v>
      </c>
      <c r="M166" s="32">
        <v>0.193</v>
      </c>
      <c r="N166" s="47">
        <v>1.091</v>
      </c>
      <c r="P166" s="32">
        <v>0.88</v>
      </c>
      <c r="R166" s="47">
        <v>3.6999999999999998E-2</v>
      </c>
      <c r="S166" s="32">
        <v>0.17199999999999999</v>
      </c>
      <c r="T166" s="31">
        <v>0</v>
      </c>
      <c r="V166">
        <v>164</v>
      </c>
      <c r="W166">
        <v>7</v>
      </c>
      <c r="X166">
        <v>0.20499999999999999</v>
      </c>
      <c r="Y166" s="32">
        <v>1.123</v>
      </c>
      <c r="Z166">
        <v>0</v>
      </c>
      <c r="AA166" s="32">
        <v>0.93899999999999995</v>
      </c>
      <c r="AB166">
        <v>0</v>
      </c>
      <c r="AC166" s="34">
        <v>3.7999999999999999E-2</v>
      </c>
      <c r="AD166" s="32">
        <v>0.193</v>
      </c>
    </row>
    <row r="167" spans="1:30">
      <c r="A167">
        <v>165</v>
      </c>
      <c r="B167">
        <v>7</v>
      </c>
      <c r="C167">
        <v>0.19400000000000001</v>
      </c>
      <c r="D167">
        <v>1.0900000000000001</v>
      </c>
      <c r="E167">
        <v>0</v>
      </c>
      <c r="F167">
        <v>0.88100000000000001</v>
      </c>
      <c r="G167">
        <v>0</v>
      </c>
      <c r="H167">
        <v>2.93E-2</v>
      </c>
      <c r="I167">
        <v>0.17299999999999999</v>
      </c>
      <c r="K167">
        <v>165</v>
      </c>
      <c r="L167">
        <v>7</v>
      </c>
      <c r="M167" s="32">
        <v>0.19400000000000001</v>
      </c>
      <c r="N167" s="47">
        <v>1.0940000000000001</v>
      </c>
      <c r="P167" s="32">
        <v>0.88100000000000001</v>
      </c>
      <c r="R167" s="47">
        <v>3.7999999999999999E-2</v>
      </c>
      <c r="S167" s="32">
        <v>0.17299999999999999</v>
      </c>
      <c r="T167" s="31">
        <v>0</v>
      </c>
      <c r="V167">
        <v>165</v>
      </c>
      <c r="W167">
        <v>7</v>
      </c>
      <c r="X167">
        <v>0.20599999999999999</v>
      </c>
      <c r="Y167" s="32">
        <v>1.125</v>
      </c>
      <c r="Z167">
        <v>0</v>
      </c>
      <c r="AA167" s="32">
        <v>0.94099999999999995</v>
      </c>
      <c r="AB167">
        <v>0</v>
      </c>
      <c r="AC167" s="34">
        <v>3.7999999999999999E-2</v>
      </c>
      <c r="AD167" s="32">
        <v>0.19400000000000001</v>
      </c>
    </row>
    <row r="168" spans="1:30">
      <c r="A168">
        <v>166</v>
      </c>
      <c r="B168">
        <v>7</v>
      </c>
      <c r="C168">
        <v>0.19500000000000001</v>
      </c>
      <c r="D168">
        <v>1.1000000000000001</v>
      </c>
      <c r="E168">
        <v>0</v>
      </c>
      <c r="F168">
        <v>0.88100000000000001</v>
      </c>
      <c r="G168">
        <v>0</v>
      </c>
      <c r="H168">
        <v>2.93E-2</v>
      </c>
      <c r="I168">
        <v>0.17399999999999999</v>
      </c>
      <c r="K168">
        <v>166</v>
      </c>
      <c r="L168">
        <v>7</v>
      </c>
      <c r="M168" s="32">
        <v>0.19500000000000001</v>
      </c>
      <c r="N168" s="47">
        <v>1.0960000000000001</v>
      </c>
      <c r="P168" s="32">
        <v>0.88100000000000001</v>
      </c>
      <c r="R168" s="47">
        <v>3.7999999999999999E-2</v>
      </c>
      <c r="S168" s="32">
        <v>0.17399999999999999</v>
      </c>
      <c r="T168" s="31">
        <v>0</v>
      </c>
      <c r="V168">
        <v>166</v>
      </c>
      <c r="W168">
        <v>7</v>
      </c>
      <c r="X168">
        <v>0.20699999999999999</v>
      </c>
      <c r="Y168" s="32">
        <v>1.1279999999999999</v>
      </c>
      <c r="Z168">
        <v>0</v>
      </c>
      <c r="AA168" s="32">
        <v>0.94299999999999995</v>
      </c>
      <c r="AB168">
        <v>0</v>
      </c>
      <c r="AC168" s="34">
        <v>3.7999999999999999E-2</v>
      </c>
      <c r="AD168" s="32">
        <v>0.19600000000000001</v>
      </c>
    </row>
    <row r="169" spans="1:30">
      <c r="A169">
        <v>167</v>
      </c>
      <c r="B169">
        <v>7</v>
      </c>
      <c r="C169">
        <v>0.19600000000000001</v>
      </c>
      <c r="D169">
        <v>1.1000000000000001</v>
      </c>
      <c r="E169">
        <v>0</v>
      </c>
      <c r="F169">
        <v>0.88200000000000001</v>
      </c>
      <c r="G169">
        <v>0</v>
      </c>
      <c r="H169">
        <v>2.93E-2</v>
      </c>
      <c r="I169">
        <v>0.17499999999999999</v>
      </c>
      <c r="K169">
        <v>167</v>
      </c>
      <c r="L169">
        <v>7</v>
      </c>
      <c r="M169" s="32">
        <v>0.19600000000000001</v>
      </c>
      <c r="N169" s="47">
        <v>1.099</v>
      </c>
      <c r="P169" s="32">
        <v>0.88200000000000001</v>
      </c>
      <c r="R169" s="47">
        <v>3.7999999999999999E-2</v>
      </c>
      <c r="S169" s="32">
        <v>0.17499999999999999</v>
      </c>
      <c r="T169" s="31">
        <v>0</v>
      </c>
      <c r="V169">
        <v>167</v>
      </c>
      <c r="W169">
        <v>7</v>
      </c>
      <c r="X169">
        <v>0.20799999999999999</v>
      </c>
      <c r="Y169" s="32">
        <v>1.1299999999999999</v>
      </c>
      <c r="Z169">
        <v>0</v>
      </c>
      <c r="AA169" s="32">
        <v>0.94499999999999995</v>
      </c>
      <c r="AB169">
        <v>0</v>
      </c>
      <c r="AC169" s="34">
        <v>3.7999999999999999E-2</v>
      </c>
      <c r="AD169" s="32">
        <v>0.19700000000000001</v>
      </c>
    </row>
    <row r="170" spans="1:30">
      <c r="A170">
        <v>168</v>
      </c>
      <c r="B170">
        <v>7</v>
      </c>
      <c r="C170">
        <v>0.19700000000000001</v>
      </c>
      <c r="D170">
        <v>1.1000000000000001</v>
      </c>
      <c r="E170">
        <v>0</v>
      </c>
      <c r="F170">
        <v>0.88300000000000001</v>
      </c>
      <c r="G170">
        <v>0</v>
      </c>
      <c r="H170">
        <v>2.93E-2</v>
      </c>
      <c r="I170">
        <v>0.17599999999999999</v>
      </c>
      <c r="K170">
        <v>168</v>
      </c>
      <c r="L170">
        <v>7</v>
      </c>
      <c r="M170" s="32">
        <v>0.19700000000000001</v>
      </c>
      <c r="N170" s="47">
        <v>1.1020000000000001</v>
      </c>
      <c r="P170" s="32">
        <v>0.88300000000000001</v>
      </c>
      <c r="R170" s="47">
        <v>3.7999999999999999E-2</v>
      </c>
      <c r="S170" s="32">
        <v>0.17599999999999999</v>
      </c>
      <c r="T170" s="31">
        <v>0</v>
      </c>
      <c r="V170">
        <v>168</v>
      </c>
      <c r="W170">
        <v>7</v>
      </c>
      <c r="X170">
        <v>0.20899999999999999</v>
      </c>
      <c r="Y170" s="32">
        <v>1.133</v>
      </c>
      <c r="Z170">
        <v>0</v>
      </c>
      <c r="AA170" s="32">
        <v>0.94699999999999995</v>
      </c>
      <c r="AB170">
        <v>0</v>
      </c>
      <c r="AC170" s="34">
        <v>3.7999999999999999E-2</v>
      </c>
      <c r="AD170" s="32">
        <v>0.19800000000000001</v>
      </c>
    </row>
    <row r="171" spans="1:30">
      <c r="A171">
        <v>169</v>
      </c>
      <c r="B171">
        <v>7</v>
      </c>
      <c r="C171">
        <v>0.19800000000000001</v>
      </c>
      <c r="D171">
        <v>1.1000000000000001</v>
      </c>
      <c r="E171">
        <v>0</v>
      </c>
      <c r="F171">
        <v>0.88400000000000001</v>
      </c>
      <c r="G171">
        <v>0</v>
      </c>
      <c r="H171">
        <v>2.93E-2</v>
      </c>
      <c r="I171">
        <v>0.17699999999999999</v>
      </c>
      <c r="K171">
        <v>169</v>
      </c>
      <c r="L171">
        <v>7</v>
      </c>
      <c r="M171" s="32">
        <v>0.19800000000000001</v>
      </c>
      <c r="N171" s="47">
        <v>1.105</v>
      </c>
      <c r="P171" s="32">
        <v>0.88400000000000001</v>
      </c>
      <c r="R171" s="47">
        <v>3.9E-2</v>
      </c>
      <c r="S171" s="32">
        <v>0.17699999999999999</v>
      </c>
      <c r="T171" s="31">
        <v>0</v>
      </c>
      <c r="V171">
        <v>169</v>
      </c>
      <c r="W171">
        <v>7</v>
      </c>
      <c r="X171">
        <v>0.21</v>
      </c>
      <c r="Y171" s="32">
        <v>1.135</v>
      </c>
      <c r="Z171">
        <v>0</v>
      </c>
      <c r="AA171" s="32">
        <v>0.94899999999999995</v>
      </c>
      <c r="AB171">
        <v>0</v>
      </c>
      <c r="AC171" s="34">
        <v>3.7999999999999999E-2</v>
      </c>
      <c r="AD171" s="32">
        <v>0.2</v>
      </c>
    </row>
    <row r="172" spans="1:30">
      <c r="A172">
        <v>170</v>
      </c>
      <c r="B172">
        <v>7</v>
      </c>
      <c r="C172">
        <v>0.19900000000000001</v>
      </c>
      <c r="D172">
        <v>1.1100000000000001</v>
      </c>
      <c r="E172">
        <v>0</v>
      </c>
      <c r="F172">
        <v>0.88400000000000001</v>
      </c>
      <c r="G172">
        <v>0</v>
      </c>
      <c r="H172">
        <v>2.93E-2</v>
      </c>
      <c r="I172">
        <v>0.17799999999999999</v>
      </c>
      <c r="K172">
        <v>170</v>
      </c>
      <c r="L172">
        <v>7</v>
      </c>
      <c r="M172" s="32">
        <v>0.19900000000000001</v>
      </c>
      <c r="N172" s="47">
        <v>1.107</v>
      </c>
      <c r="P172" s="32">
        <v>0.88400000000000001</v>
      </c>
      <c r="R172" s="47">
        <v>3.9E-2</v>
      </c>
      <c r="S172" s="32">
        <v>0.17799999999999999</v>
      </c>
      <c r="T172" s="31">
        <v>0</v>
      </c>
      <c r="V172">
        <v>170</v>
      </c>
      <c r="W172">
        <v>7</v>
      </c>
      <c r="X172">
        <v>0.21099999999999999</v>
      </c>
      <c r="Y172" s="32">
        <v>1.1379999999999999</v>
      </c>
      <c r="Z172">
        <v>0</v>
      </c>
      <c r="AA172" s="32">
        <v>0.95099999999999996</v>
      </c>
      <c r="AB172">
        <v>0</v>
      </c>
      <c r="AC172" s="34">
        <v>3.7999999999999999E-2</v>
      </c>
      <c r="AD172" s="32">
        <v>0.20100000000000001</v>
      </c>
    </row>
    <row r="173" spans="1:30">
      <c r="A173">
        <v>171</v>
      </c>
      <c r="B173">
        <v>8</v>
      </c>
      <c r="C173">
        <v>0.2</v>
      </c>
      <c r="D173">
        <v>1.1100000000000001</v>
      </c>
      <c r="E173">
        <v>0</v>
      </c>
      <c r="F173">
        <v>0.88500000000000001</v>
      </c>
      <c r="G173">
        <v>0</v>
      </c>
      <c r="H173">
        <v>3.9E-2</v>
      </c>
      <c r="I173">
        <v>0.17899999999999999</v>
      </c>
      <c r="K173">
        <v>171</v>
      </c>
      <c r="L173">
        <v>8</v>
      </c>
      <c r="M173" s="32">
        <v>0.2</v>
      </c>
      <c r="N173" s="32">
        <v>1.1100000000000001</v>
      </c>
      <c r="P173" s="32">
        <v>0.88500000000000001</v>
      </c>
      <c r="R173" s="32">
        <v>3.9E-2</v>
      </c>
      <c r="S173" s="32">
        <v>0.17899999999999999</v>
      </c>
      <c r="T173" s="31">
        <v>0</v>
      </c>
      <c r="V173">
        <v>171</v>
      </c>
      <c r="W173">
        <v>7</v>
      </c>
      <c r="X173">
        <v>0.21199999999999999</v>
      </c>
      <c r="Y173" s="32">
        <v>1.1399999999999999</v>
      </c>
      <c r="Z173">
        <v>0</v>
      </c>
      <c r="AA173" s="32">
        <v>0.95199999999999996</v>
      </c>
      <c r="AB173">
        <v>0</v>
      </c>
      <c r="AC173" s="34">
        <v>3.9E-2</v>
      </c>
      <c r="AD173" s="32">
        <v>0.20200000000000001</v>
      </c>
    </row>
    <row r="174" spans="1:30">
      <c r="A174">
        <v>172</v>
      </c>
      <c r="B174">
        <v>8</v>
      </c>
      <c r="C174">
        <v>0.20100000000000001</v>
      </c>
      <c r="D174">
        <v>1.1100000000000001</v>
      </c>
      <c r="E174">
        <v>0</v>
      </c>
      <c r="F174">
        <v>0.88600000000000001</v>
      </c>
      <c r="G174">
        <v>0</v>
      </c>
      <c r="H174">
        <v>3.9E-2</v>
      </c>
      <c r="I174">
        <v>0.18</v>
      </c>
      <c r="K174">
        <v>172</v>
      </c>
      <c r="L174">
        <v>8</v>
      </c>
      <c r="M174" s="32">
        <v>0.20100000000000001</v>
      </c>
      <c r="N174" s="47">
        <v>1.113</v>
      </c>
      <c r="P174" s="32">
        <v>0.88600000000000001</v>
      </c>
      <c r="R174" s="32">
        <v>3.9E-2</v>
      </c>
      <c r="S174" s="32">
        <v>0.18</v>
      </c>
      <c r="T174" s="31">
        <v>0</v>
      </c>
      <c r="V174">
        <v>172</v>
      </c>
      <c r="W174">
        <v>7</v>
      </c>
      <c r="X174">
        <v>0.21299999999999999</v>
      </c>
      <c r="Y174" s="32">
        <v>1.143</v>
      </c>
      <c r="Z174">
        <v>0</v>
      </c>
      <c r="AA174" s="32">
        <v>0.95399999999999996</v>
      </c>
      <c r="AB174">
        <v>0</v>
      </c>
      <c r="AC174" s="34">
        <v>3.9E-2</v>
      </c>
      <c r="AD174" s="32">
        <v>0.20300000000000001</v>
      </c>
    </row>
    <row r="175" spans="1:30">
      <c r="A175">
        <v>173</v>
      </c>
      <c r="B175">
        <v>8</v>
      </c>
      <c r="C175">
        <v>0.20200000000000001</v>
      </c>
      <c r="D175">
        <v>1.1200000000000001</v>
      </c>
      <c r="E175">
        <v>0</v>
      </c>
      <c r="F175">
        <v>0.88600000000000001</v>
      </c>
      <c r="G175">
        <v>0</v>
      </c>
      <c r="H175">
        <v>3.9E-2</v>
      </c>
      <c r="I175">
        <v>0.18099999999999999</v>
      </c>
      <c r="K175">
        <v>173</v>
      </c>
      <c r="L175">
        <v>8</v>
      </c>
      <c r="M175" s="32">
        <v>0.20200000000000001</v>
      </c>
      <c r="N175" s="47">
        <v>1.115</v>
      </c>
      <c r="P175" s="32">
        <v>0.88600000000000001</v>
      </c>
      <c r="R175" s="32">
        <v>3.9E-2</v>
      </c>
      <c r="S175" s="32">
        <v>0.18099999999999999</v>
      </c>
      <c r="T175" s="31">
        <v>0</v>
      </c>
      <c r="V175">
        <v>173</v>
      </c>
      <c r="W175">
        <v>7</v>
      </c>
      <c r="X175">
        <v>0.214</v>
      </c>
      <c r="Y175" s="32">
        <v>1.145</v>
      </c>
      <c r="Z175">
        <v>0</v>
      </c>
      <c r="AA175" s="32">
        <v>0.95599999999999996</v>
      </c>
      <c r="AB175">
        <v>0</v>
      </c>
      <c r="AC175" s="34">
        <v>3.9E-2</v>
      </c>
      <c r="AD175" s="32">
        <v>0.20499999999999999</v>
      </c>
    </row>
    <row r="176" spans="1:30">
      <c r="A176">
        <v>174</v>
      </c>
      <c r="B176">
        <v>8</v>
      </c>
      <c r="C176">
        <v>0.20300000000000001</v>
      </c>
      <c r="D176">
        <v>1.1200000000000001</v>
      </c>
      <c r="E176">
        <v>0</v>
      </c>
      <c r="F176">
        <v>0.88700000000000001</v>
      </c>
      <c r="G176">
        <v>0</v>
      </c>
      <c r="H176">
        <v>3.9E-2</v>
      </c>
      <c r="I176">
        <v>0.182</v>
      </c>
      <c r="K176">
        <v>174</v>
      </c>
      <c r="L176">
        <v>8</v>
      </c>
      <c r="M176" s="32">
        <v>0.20300000000000001</v>
      </c>
      <c r="N176" s="47">
        <v>1.1180000000000001</v>
      </c>
      <c r="P176" s="32">
        <v>0.88700000000000001</v>
      </c>
      <c r="R176" s="32">
        <v>3.9E-2</v>
      </c>
      <c r="S176" s="32">
        <v>0.182</v>
      </c>
      <c r="T176" s="31">
        <v>0</v>
      </c>
      <c r="V176">
        <v>174</v>
      </c>
      <c r="W176">
        <v>8</v>
      </c>
      <c r="X176">
        <v>0.215</v>
      </c>
      <c r="Y176" s="32">
        <v>1.1479999999999999</v>
      </c>
      <c r="Z176">
        <v>0</v>
      </c>
      <c r="AA176" s="32">
        <v>0.95799999999999996</v>
      </c>
      <c r="AB176">
        <v>0</v>
      </c>
      <c r="AC176" s="34">
        <v>3.9E-2</v>
      </c>
      <c r="AD176" s="32">
        <v>0.20599999999999999</v>
      </c>
    </row>
    <row r="177" spans="1:30">
      <c r="A177">
        <v>175</v>
      </c>
      <c r="B177">
        <v>8</v>
      </c>
      <c r="C177">
        <v>0.20399999999999999</v>
      </c>
      <c r="D177">
        <v>1.1200000000000001</v>
      </c>
      <c r="E177">
        <v>0</v>
      </c>
      <c r="F177">
        <v>0.88800000000000001</v>
      </c>
      <c r="G177">
        <v>0</v>
      </c>
      <c r="H177">
        <v>3.9E-2</v>
      </c>
      <c r="I177">
        <v>0.183</v>
      </c>
      <c r="K177">
        <v>175</v>
      </c>
      <c r="L177">
        <v>8</v>
      </c>
      <c r="M177" s="32">
        <v>0.20399999999999999</v>
      </c>
      <c r="N177" s="32">
        <v>1.1200000000000001</v>
      </c>
      <c r="P177" s="32">
        <v>0.88800000000000001</v>
      </c>
      <c r="R177" s="32">
        <v>3.9E-2</v>
      </c>
      <c r="S177" s="32">
        <v>0.183</v>
      </c>
      <c r="T177" s="31">
        <v>0</v>
      </c>
      <c r="V177">
        <v>175</v>
      </c>
      <c r="W177">
        <v>8</v>
      </c>
      <c r="X177">
        <v>0.216</v>
      </c>
      <c r="Y177" s="32">
        <v>1.1499999999999999</v>
      </c>
      <c r="Z177">
        <v>0</v>
      </c>
      <c r="AA177" s="32">
        <v>0.96</v>
      </c>
      <c r="AB177">
        <v>0</v>
      </c>
      <c r="AC177" s="34">
        <v>3.9E-2</v>
      </c>
      <c r="AD177" s="32">
        <v>0.20699999999999999</v>
      </c>
    </row>
    <row r="178" spans="1:30">
      <c r="A178">
        <v>176</v>
      </c>
      <c r="B178">
        <v>8</v>
      </c>
      <c r="C178">
        <v>0.20499999999999999</v>
      </c>
      <c r="D178">
        <v>1.1200000000000001</v>
      </c>
      <c r="E178">
        <v>0</v>
      </c>
      <c r="F178">
        <v>0.88900000000000001</v>
      </c>
      <c r="G178">
        <v>0</v>
      </c>
      <c r="H178">
        <v>3.9E-2</v>
      </c>
      <c r="I178">
        <v>0.184</v>
      </c>
      <c r="K178">
        <v>176</v>
      </c>
      <c r="L178">
        <v>8</v>
      </c>
      <c r="M178" s="32">
        <v>0.20499999999999999</v>
      </c>
      <c r="N178" s="47">
        <v>1.123</v>
      </c>
      <c r="P178" s="32">
        <v>0.88900000000000001</v>
      </c>
      <c r="R178" s="32">
        <v>3.9E-2</v>
      </c>
      <c r="S178" s="32">
        <v>0.184</v>
      </c>
      <c r="T178" s="31">
        <v>0</v>
      </c>
      <c r="V178">
        <v>176</v>
      </c>
      <c r="W178">
        <v>8</v>
      </c>
      <c r="X178">
        <v>0.217</v>
      </c>
      <c r="Y178" s="32">
        <v>1.153</v>
      </c>
      <c r="Z178">
        <v>0</v>
      </c>
      <c r="AA178" s="32">
        <v>0.96099999999999997</v>
      </c>
      <c r="AB178">
        <v>0</v>
      </c>
      <c r="AC178" s="34">
        <v>3.9E-2</v>
      </c>
      <c r="AD178" s="32">
        <v>0.20899999999999999</v>
      </c>
    </row>
    <row r="179" spans="1:30">
      <c r="A179">
        <v>177</v>
      </c>
      <c r="B179">
        <v>8</v>
      </c>
      <c r="C179">
        <v>0.20599999999999999</v>
      </c>
      <c r="D179">
        <v>1.1299999999999999</v>
      </c>
      <c r="E179">
        <v>0</v>
      </c>
      <c r="F179">
        <v>0.88900000000000001</v>
      </c>
      <c r="G179">
        <v>0</v>
      </c>
      <c r="H179">
        <v>3.9E-2</v>
      </c>
      <c r="I179">
        <v>0.185</v>
      </c>
      <c r="K179">
        <v>177</v>
      </c>
      <c r="L179">
        <v>8</v>
      </c>
      <c r="M179" s="32">
        <v>0.20599999999999999</v>
      </c>
      <c r="N179" s="47">
        <v>1.125</v>
      </c>
      <c r="P179" s="32">
        <v>0.88900000000000001</v>
      </c>
      <c r="R179" s="32">
        <v>3.9E-2</v>
      </c>
      <c r="S179" s="32">
        <v>0.185</v>
      </c>
      <c r="T179" s="31">
        <v>0</v>
      </c>
      <c r="V179">
        <v>177</v>
      </c>
      <c r="W179">
        <v>8</v>
      </c>
      <c r="X179">
        <v>0.218</v>
      </c>
      <c r="Y179" s="32">
        <v>1.155</v>
      </c>
      <c r="Z179">
        <v>0</v>
      </c>
      <c r="AA179" s="32">
        <v>0.96299999999999997</v>
      </c>
      <c r="AB179">
        <v>0</v>
      </c>
      <c r="AC179" s="34">
        <v>3.9E-2</v>
      </c>
      <c r="AD179" s="32">
        <v>0.21</v>
      </c>
    </row>
    <row r="180" spans="1:30">
      <c r="A180">
        <v>178</v>
      </c>
      <c r="B180">
        <v>8</v>
      </c>
      <c r="C180">
        <v>0.20699999999999999</v>
      </c>
      <c r="D180">
        <v>1.1299999999999999</v>
      </c>
      <c r="E180">
        <v>0</v>
      </c>
      <c r="F180">
        <v>0.89</v>
      </c>
      <c r="G180">
        <v>0</v>
      </c>
      <c r="H180">
        <v>3.9E-2</v>
      </c>
      <c r="I180">
        <v>0.186</v>
      </c>
      <c r="K180">
        <v>178</v>
      </c>
      <c r="L180">
        <v>8</v>
      </c>
      <c r="M180" s="32">
        <v>0.20699999999999999</v>
      </c>
      <c r="N180" s="47">
        <v>1.1279999999999999</v>
      </c>
      <c r="P180" s="32">
        <v>0.89</v>
      </c>
      <c r="R180" s="32">
        <v>3.9E-2</v>
      </c>
      <c r="S180" s="32">
        <v>0.186</v>
      </c>
      <c r="T180" s="31">
        <v>0</v>
      </c>
      <c r="V180">
        <v>178</v>
      </c>
      <c r="W180">
        <v>8</v>
      </c>
      <c r="X180">
        <v>0.219</v>
      </c>
      <c r="Y180" s="32">
        <v>1.1579999999999999</v>
      </c>
      <c r="Z180">
        <v>0</v>
      </c>
      <c r="AA180" s="32">
        <v>0.96499999999999997</v>
      </c>
      <c r="AB180">
        <v>0</v>
      </c>
      <c r="AC180" s="34">
        <v>0.04</v>
      </c>
      <c r="AD180" s="32">
        <v>0.21199999999999999</v>
      </c>
    </row>
    <row r="181" spans="1:30">
      <c r="A181">
        <v>179</v>
      </c>
      <c r="B181">
        <v>8</v>
      </c>
      <c r="C181">
        <v>0.20799999999999999</v>
      </c>
      <c r="D181">
        <v>1.1299999999999999</v>
      </c>
      <c r="E181">
        <v>0</v>
      </c>
      <c r="F181">
        <v>0.89100000000000001</v>
      </c>
      <c r="G181">
        <v>0</v>
      </c>
      <c r="H181">
        <v>3.9E-2</v>
      </c>
      <c r="I181">
        <v>0.187</v>
      </c>
      <c r="K181">
        <v>179</v>
      </c>
      <c r="L181">
        <v>8</v>
      </c>
      <c r="M181" s="32">
        <v>0.20799999999999999</v>
      </c>
      <c r="N181" s="32">
        <v>1.1299999999999999</v>
      </c>
      <c r="P181" s="32">
        <v>0.89100000000000001</v>
      </c>
      <c r="R181" s="32">
        <v>3.9E-2</v>
      </c>
      <c r="S181" s="32">
        <v>0.187</v>
      </c>
      <c r="T181" s="31">
        <v>0</v>
      </c>
      <c r="V181">
        <v>179</v>
      </c>
      <c r="W181">
        <v>8</v>
      </c>
      <c r="X181">
        <v>0.22</v>
      </c>
      <c r="Y181" s="32">
        <v>1.1599999999999999</v>
      </c>
      <c r="Z181">
        <v>0</v>
      </c>
      <c r="AA181" s="32">
        <v>0.96599999999999997</v>
      </c>
      <c r="AB181">
        <v>0</v>
      </c>
      <c r="AC181" s="34">
        <v>0.04</v>
      </c>
      <c r="AD181" s="32">
        <v>0.21299999999999999</v>
      </c>
    </row>
    <row r="182" spans="1:30">
      <c r="A182">
        <v>180</v>
      </c>
      <c r="B182">
        <v>8</v>
      </c>
      <c r="C182">
        <v>0.20899999999999999</v>
      </c>
      <c r="D182">
        <v>1.1299999999999999</v>
      </c>
      <c r="E182">
        <v>0</v>
      </c>
      <c r="F182">
        <v>0.89200000000000002</v>
      </c>
      <c r="G182">
        <v>0</v>
      </c>
      <c r="H182">
        <v>3.9E-2</v>
      </c>
      <c r="I182">
        <v>0.188</v>
      </c>
      <c r="K182">
        <v>180</v>
      </c>
      <c r="L182">
        <v>8</v>
      </c>
      <c r="M182" s="32">
        <v>0.20899999999999999</v>
      </c>
      <c r="N182" s="47">
        <v>1.133</v>
      </c>
      <c r="P182" s="32">
        <v>0.89200000000000002</v>
      </c>
      <c r="R182" s="32">
        <v>3.9E-2</v>
      </c>
      <c r="S182" s="32">
        <v>0.188</v>
      </c>
      <c r="T182" s="31">
        <v>0</v>
      </c>
      <c r="V182">
        <v>180</v>
      </c>
      <c r="W182">
        <v>8</v>
      </c>
      <c r="X182">
        <v>0.221</v>
      </c>
      <c r="Y182" s="32">
        <v>1.163</v>
      </c>
      <c r="Z182">
        <v>0</v>
      </c>
      <c r="AA182" s="32">
        <v>0.96799999999999997</v>
      </c>
      <c r="AB182">
        <v>0</v>
      </c>
      <c r="AC182" s="34">
        <v>0.04</v>
      </c>
      <c r="AD182" s="32">
        <v>0.214</v>
      </c>
    </row>
    <row r="183" spans="1:30">
      <c r="A183">
        <v>181</v>
      </c>
      <c r="B183">
        <v>8</v>
      </c>
      <c r="C183">
        <v>0.21</v>
      </c>
      <c r="D183">
        <v>1.1399999999999999</v>
      </c>
      <c r="E183">
        <v>0</v>
      </c>
      <c r="F183">
        <v>0.89200000000000002</v>
      </c>
      <c r="G183">
        <v>0</v>
      </c>
      <c r="H183">
        <v>3.9E-2</v>
      </c>
      <c r="I183">
        <v>0.189</v>
      </c>
      <c r="K183">
        <v>181</v>
      </c>
      <c r="L183">
        <v>8</v>
      </c>
      <c r="M183" s="32">
        <v>0.21</v>
      </c>
      <c r="N183" s="47">
        <v>1.135</v>
      </c>
      <c r="P183" s="32">
        <v>0.89200000000000002</v>
      </c>
      <c r="R183" s="32">
        <v>3.9E-2</v>
      </c>
      <c r="S183" s="32">
        <v>0.189</v>
      </c>
      <c r="T183" s="31">
        <v>0</v>
      </c>
      <c r="V183">
        <v>181</v>
      </c>
      <c r="W183">
        <v>8</v>
      </c>
      <c r="X183">
        <v>0.222</v>
      </c>
      <c r="Y183" s="32">
        <v>1.165</v>
      </c>
      <c r="Z183">
        <v>0</v>
      </c>
      <c r="AA183" s="32">
        <v>0.97</v>
      </c>
      <c r="AB183">
        <v>0</v>
      </c>
      <c r="AC183" s="34">
        <v>0.04</v>
      </c>
      <c r="AD183" s="32">
        <v>0.216</v>
      </c>
    </row>
    <row r="184" spans="1:30">
      <c r="A184">
        <v>182</v>
      </c>
      <c r="B184">
        <v>8</v>
      </c>
      <c r="C184">
        <v>0.21099999999999999</v>
      </c>
      <c r="D184">
        <v>1.1399999999999999</v>
      </c>
      <c r="E184">
        <v>0</v>
      </c>
      <c r="F184">
        <v>0.89300000000000002</v>
      </c>
      <c r="G184">
        <v>0</v>
      </c>
      <c r="H184">
        <v>3.9E-2</v>
      </c>
      <c r="I184">
        <v>0.19</v>
      </c>
      <c r="K184">
        <v>182</v>
      </c>
      <c r="L184">
        <v>8</v>
      </c>
      <c r="M184" s="32">
        <v>0.21099999999999999</v>
      </c>
      <c r="N184" s="47">
        <v>1.1379999999999999</v>
      </c>
      <c r="P184" s="32">
        <v>0.89300000000000002</v>
      </c>
      <c r="R184" s="32">
        <v>3.9E-2</v>
      </c>
      <c r="S184" s="32">
        <v>0.19</v>
      </c>
      <c r="T184" s="31">
        <v>0</v>
      </c>
      <c r="V184">
        <v>182</v>
      </c>
      <c r="W184">
        <v>8</v>
      </c>
      <c r="X184">
        <v>0.223</v>
      </c>
      <c r="Y184" s="32">
        <v>1.1679999999999999</v>
      </c>
      <c r="Z184">
        <v>0</v>
      </c>
      <c r="AA184" s="32">
        <v>0.97199999999999998</v>
      </c>
      <c r="AB184">
        <v>0</v>
      </c>
      <c r="AC184" s="34">
        <v>0.04</v>
      </c>
      <c r="AD184" s="32">
        <v>0.217</v>
      </c>
    </row>
    <row r="185" spans="1:30">
      <c r="A185">
        <v>183</v>
      </c>
      <c r="B185">
        <v>8</v>
      </c>
      <c r="C185">
        <v>0.21199999999999999</v>
      </c>
      <c r="D185">
        <v>1.1399999999999999</v>
      </c>
      <c r="E185">
        <v>0</v>
      </c>
      <c r="F185">
        <v>0.89400000000000002</v>
      </c>
      <c r="G185">
        <v>0</v>
      </c>
      <c r="H185">
        <v>3.9E-2</v>
      </c>
      <c r="I185">
        <v>0.191</v>
      </c>
      <c r="K185">
        <v>183</v>
      </c>
      <c r="L185">
        <v>8</v>
      </c>
      <c r="M185" s="32">
        <v>0.21199999999999999</v>
      </c>
      <c r="N185" s="32">
        <v>1.1399999999999999</v>
      </c>
      <c r="P185" s="32">
        <v>0.89400000000000002</v>
      </c>
      <c r="R185" s="32">
        <v>3.9E-2</v>
      </c>
      <c r="S185" s="32">
        <v>0.191</v>
      </c>
      <c r="T185" s="31">
        <v>0</v>
      </c>
      <c r="V185">
        <v>183</v>
      </c>
      <c r="W185">
        <v>8</v>
      </c>
      <c r="X185">
        <v>0.224</v>
      </c>
      <c r="Y185" s="32">
        <v>1.17</v>
      </c>
      <c r="Z185">
        <v>0</v>
      </c>
      <c r="AA185" s="32">
        <v>0.97299999999999998</v>
      </c>
      <c r="AB185">
        <v>0</v>
      </c>
      <c r="AC185" s="34">
        <v>0.04</v>
      </c>
      <c r="AD185" s="32">
        <v>0.218</v>
      </c>
    </row>
    <row r="186" spans="1:30">
      <c r="A186">
        <v>184</v>
      </c>
      <c r="B186">
        <v>8</v>
      </c>
      <c r="C186">
        <v>0.21299999999999999</v>
      </c>
      <c r="D186">
        <v>1.1399999999999999</v>
      </c>
      <c r="E186">
        <v>0</v>
      </c>
      <c r="F186">
        <v>0.89400000000000002</v>
      </c>
      <c r="G186">
        <v>0</v>
      </c>
      <c r="H186">
        <v>3.9E-2</v>
      </c>
      <c r="I186">
        <v>0.192</v>
      </c>
      <c r="K186">
        <v>184</v>
      </c>
      <c r="L186">
        <v>8</v>
      </c>
      <c r="M186" s="32">
        <v>0.21299999999999999</v>
      </c>
      <c r="N186" s="47">
        <v>1.143</v>
      </c>
      <c r="P186" s="32">
        <v>0.89400000000000002</v>
      </c>
      <c r="R186" s="32">
        <v>3.9E-2</v>
      </c>
      <c r="S186" s="32">
        <v>0.192</v>
      </c>
      <c r="T186" s="31">
        <v>0</v>
      </c>
      <c r="V186">
        <v>184</v>
      </c>
      <c r="W186">
        <v>8</v>
      </c>
      <c r="X186">
        <v>0.22500000000000001</v>
      </c>
      <c r="Y186" s="32">
        <v>1.173</v>
      </c>
      <c r="Z186">
        <v>0</v>
      </c>
      <c r="AA186" s="32">
        <v>0.97499999999999998</v>
      </c>
      <c r="AB186">
        <v>0</v>
      </c>
      <c r="AC186" s="34">
        <v>4.1000000000000002E-2</v>
      </c>
      <c r="AD186" s="32">
        <v>0.22</v>
      </c>
    </row>
    <row r="187" spans="1:30">
      <c r="A187">
        <v>185</v>
      </c>
      <c r="B187">
        <v>8</v>
      </c>
      <c r="C187">
        <v>0.214</v>
      </c>
      <c r="D187">
        <v>1.1499999999999999</v>
      </c>
      <c r="E187">
        <v>0</v>
      </c>
      <c r="F187">
        <v>0.89500000000000002</v>
      </c>
      <c r="G187">
        <v>0</v>
      </c>
      <c r="H187">
        <v>3.9E-2</v>
      </c>
      <c r="I187">
        <v>0.193</v>
      </c>
      <c r="K187">
        <v>185</v>
      </c>
      <c r="L187">
        <v>8</v>
      </c>
      <c r="M187" s="32">
        <v>0.214</v>
      </c>
      <c r="N187" s="47">
        <v>1.145</v>
      </c>
      <c r="P187" s="32">
        <v>0.89500000000000002</v>
      </c>
      <c r="R187" s="32">
        <v>3.9E-2</v>
      </c>
      <c r="S187" s="32">
        <v>0.193</v>
      </c>
      <c r="T187" s="31">
        <v>0</v>
      </c>
      <c r="V187">
        <v>185</v>
      </c>
      <c r="W187">
        <v>8</v>
      </c>
      <c r="X187">
        <v>0.22600000000000001</v>
      </c>
      <c r="Y187" s="32">
        <v>1.175</v>
      </c>
      <c r="Z187">
        <v>0</v>
      </c>
      <c r="AA187" s="32">
        <v>0.97699999999999998</v>
      </c>
      <c r="AB187">
        <v>0</v>
      </c>
      <c r="AC187" s="34">
        <v>4.1000000000000002E-2</v>
      </c>
      <c r="AD187" s="32">
        <v>0.221</v>
      </c>
    </row>
    <row r="188" spans="1:30">
      <c r="A188">
        <v>186</v>
      </c>
      <c r="B188">
        <v>8</v>
      </c>
      <c r="C188">
        <v>0.215</v>
      </c>
      <c r="D188">
        <v>1.1499999999999999</v>
      </c>
      <c r="E188">
        <v>0</v>
      </c>
      <c r="F188">
        <v>0.89600000000000002</v>
      </c>
      <c r="G188">
        <v>0</v>
      </c>
      <c r="H188">
        <v>3.9E-2</v>
      </c>
      <c r="I188">
        <v>0.19400000000000001</v>
      </c>
      <c r="K188">
        <v>186</v>
      </c>
      <c r="L188">
        <v>8</v>
      </c>
      <c r="M188" s="32">
        <v>0.215</v>
      </c>
      <c r="N188" s="47">
        <v>1.1479999999999999</v>
      </c>
      <c r="P188" s="32">
        <v>0.89600000000000002</v>
      </c>
      <c r="R188" s="32">
        <v>3.9E-2</v>
      </c>
      <c r="S188" s="32">
        <v>0.19400000000000001</v>
      </c>
      <c r="T188" s="31">
        <v>0</v>
      </c>
      <c r="V188">
        <v>186</v>
      </c>
      <c r="W188">
        <v>8</v>
      </c>
      <c r="X188">
        <v>0.22700000000000001</v>
      </c>
      <c r="Y188" s="32">
        <v>1.1779999999999999</v>
      </c>
      <c r="Z188">
        <v>0</v>
      </c>
      <c r="AA188" s="32">
        <v>0.97799999999999998</v>
      </c>
      <c r="AB188">
        <v>0</v>
      </c>
      <c r="AC188" s="34">
        <v>4.1000000000000002E-2</v>
      </c>
      <c r="AD188" s="32">
        <v>0.223</v>
      </c>
    </row>
    <row r="189" spans="1:30">
      <c r="A189">
        <v>187</v>
      </c>
      <c r="B189">
        <v>8</v>
      </c>
      <c r="C189">
        <v>0.216</v>
      </c>
      <c r="D189">
        <v>1.1499999999999999</v>
      </c>
      <c r="E189">
        <v>0</v>
      </c>
      <c r="F189">
        <v>0.89700000000000002</v>
      </c>
      <c r="G189">
        <v>0</v>
      </c>
      <c r="H189">
        <v>3.9E-2</v>
      </c>
      <c r="I189">
        <v>0.19500000000000001</v>
      </c>
      <c r="K189">
        <v>187</v>
      </c>
      <c r="L189">
        <v>8</v>
      </c>
      <c r="M189" s="32">
        <v>0.216</v>
      </c>
      <c r="N189" s="32">
        <v>1.1499999999999999</v>
      </c>
      <c r="P189" s="32">
        <v>0.89700000000000002</v>
      </c>
      <c r="R189" s="32">
        <v>3.9E-2</v>
      </c>
      <c r="S189" s="32">
        <v>0.19500000000000001</v>
      </c>
      <c r="T189" s="31">
        <v>0</v>
      </c>
      <c r="V189">
        <v>187</v>
      </c>
      <c r="W189">
        <v>8</v>
      </c>
      <c r="X189">
        <v>0.22800000000000001</v>
      </c>
      <c r="Y189" s="32">
        <v>1.18</v>
      </c>
      <c r="Z189">
        <v>0</v>
      </c>
      <c r="AA189" s="32">
        <v>0.98</v>
      </c>
      <c r="AB189">
        <v>0</v>
      </c>
      <c r="AC189" s="34">
        <v>4.1000000000000002E-2</v>
      </c>
      <c r="AD189" s="32">
        <v>0.224</v>
      </c>
    </row>
    <row r="190" spans="1:30">
      <c r="A190">
        <v>188</v>
      </c>
      <c r="B190">
        <v>8</v>
      </c>
      <c r="C190">
        <v>0.217</v>
      </c>
      <c r="D190">
        <v>1.1499999999999999</v>
      </c>
      <c r="E190">
        <v>0</v>
      </c>
      <c r="F190">
        <v>0.89700000000000002</v>
      </c>
      <c r="G190">
        <v>0</v>
      </c>
      <c r="H190">
        <v>3.9E-2</v>
      </c>
      <c r="I190">
        <v>0.19600000000000001</v>
      </c>
      <c r="K190">
        <v>188</v>
      </c>
      <c r="L190">
        <v>8</v>
      </c>
      <c r="M190" s="32">
        <v>0.217</v>
      </c>
      <c r="N190" s="47">
        <v>1.153</v>
      </c>
      <c r="P190" s="32">
        <v>0.89700000000000002</v>
      </c>
      <c r="R190" s="32">
        <v>3.9E-2</v>
      </c>
      <c r="S190" s="32">
        <v>0.19600000000000001</v>
      </c>
      <c r="T190" s="31">
        <v>0</v>
      </c>
      <c r="V190">
        <v>188</v>
      </c>
      <c r="W190">
        <v>8</v>
      </c>
      <c r="X190">
        <v>0.22900000000000001</v>
      </c>
      <c r="Y190" s="32">
        <v>1.1830000000000001</v>
      </c>
      <c r="Z190">
        <v>0</v>
      </c>
      <c r="AA190" s="32">
        <v>0.98199999999999998</v>
      </c>
      <c r="AB190">
        <v>0</v>
      </c>
      <c r="AC190" s="34">
        <v>4.1000000000000002E-2</v>
      </c>
      <c r="AD190" s="32">
        <v>0.22500000000000001</v>
      </c>
    </row>
    <row r="191" spans="1:30">
      <c r="A191">
        <v>189</v>
      </c>
      <c r="B191">
        <v>8</v>
      </c>
      <c r="C191">
        <v>0.218</v>
      </c>
      <c r="D191">
        <v>1.1599999999999999</v>
      </c>
      <c r="E191">
        <v>0</v>
      </c>
      <c r="F191">
        <v>0.89800000000000002</v>
      </c>
      <c r="G191">
        <v>0</v>
      </c>
      <c r="H191">
        <v>3.9E-2</v>
      </c>
      <c r="I191">
        <v>0.19700000000000001</v>
      </c>
      <c r="K191">
        <v>189</v>
      </c>
      <c r="L191">
        <v>8</v>
      </c>
      <c r="M191" s="32">
        <v>0.218</v>
      </c>
      <c r="N191" s="47">
        <v>1.155</v>
      </c>
      <c r="P191" s="32">
        <v>0.89800000000000002</v>
      </c>
      <c r="R191" s="32">
        <v>3.9E-2</v>
      </c>
      <c r="S191" s="32">
        <v>0.19700000000000001</v>
      </c>
      <c r="T191" s="31">
        <v>0</v>
      </c>
      <c r="V191">
        <v>189</v>
      </c>
      <c r="W191">
        <v>8</v>
      </c>
      <c r="X191">
        <v>0.23</v>
      </c>
      <c r="Y191" s="32">
        <v>1.1850000000000001</v>
      </c>
      <c r="Z191">
        <v>0</v>
      </c>
      <c r="AA191" s="32">
        <v>0.98299999999999998</v>
      </c>
      <c r="AB191">
        <v>0</v>
      </c>
      <c r="AC191" s="34">
        <v>4.1000000000000002E-2</v>
      </c>
      <c r="AD191" s="32">
        <v>0.22700000000000001</v>
      </c>
    </row>
    <row r="192" spans="1:30">
      <c r="A192">
        <v>190</v>
      </c>
      <c r="B192">
        <v>8</v>
      </c>
      <c r="C192">
        <v>0.219</v>
      </c>
      <c r="D192">
        <v>1.1599999999999999</v>
      </c>
      <c r="E192">
        <v>0</v>
      </c>
      <c r="F192">
        <v>0.89900000000000002</v>
      </c>
      <c r="G192">
        <v>0</v>
      </c>
      <c r="H192">
        <v>3.9E-2</v>
      </c>
      <c r="I192">
        <v>0.19800000000000001</v>
      </c>
      <c r="K192">
        <v>190</v>
      </c>
      <c r="L192">
        <v>8</v>
      </c>
      <c r="M192" s="32">
        <v>0.219</v>
      </c>
      <c r="N192" s="47">
        <v>1.1579999999999999</v>
      </c>
      <c r="P192" s="32">
        <v>0.89900000000000002</v>
      </c>
      <c r="R192" s="32">
        <v>3.9E-2</v>
      </c>
      <c r="S192" s="32">
        <v>0.19800000000000001</v>
      </c>
      <c r="T192" s="31">
        <v>0</v>
      </c>
      <c r="V192">
        <v>190</v>
      </c>
      <c r="W192">
        <v>8</v>
      </c>
      <c r="X192">
        <v>0.23100000000000001</v>
      </c>
      <c r="Y192" s="32">
        <v>1.1879999999999999</v>
      </c>
      <c r="Z192">
        <v>0</v>
      </c>
      <c r="AA192" s="32">
        <v>0.98499999999999999</v>
      </c>
      <c r="AB192">
        <v>0</v>
      </c>
      <c r="AC192" s="34">
        <v>4.2000000000000003E-2</v>
      </c>
      <c r="AD192" s="32">
        <v>0.22800000000000001</v>
      </c>
    </row>
    <row r="193" spans="1:30">
      <c r="A193">
        <v>191</v>
      </c>
      <c r="B193">
        <v>8</v>
      </c>
      <c r="C193">
        <v>0.22</v>
      </c>
      <c r="D193">
        <v>1.1599999999999999</v>
      </c>
      <c r="E193">
        <v>0</v>
      </c>
      <c r="F193">
        <v>0.9</v>
      </c>
      <c r="G193">
        <v>0</v>
      </c>
      <c r="H193">
        <v>3.9E-2</v>
      </c>
      <c r="I193">
        <v>0.19900000000000001</v>
      </c>
      <c r="K193">
        <v>191</v>
      </c>
      <c r="L193">
        <v>8</v>
      </c>
      <c r="M193" s="32">
        <v>0.22</v>
      </c>
      <c r="N193" s="32">
        <v>1.1599999999999999</v>
      </c>
      <c r="P193" s="32">
        <v>0.9</v>
      </c>
      <c r="R193" s="47">
        <v>0.04</v>
      </c>
      <c r="S193" s="32">
        <v>0.19900000000000001</v>
      </c>
      <c r="T193" s="31">
        <v>0</v>
      </c>
      <c r="V193">
        <v>191</v>
      </c>
      <c r="W193">
        <v>8</v>
      </c>
      <c r="X193">
        <v>0.23200000000000001</v>
      </c>
      <c r="Y193" s="32">
        <v>1.19</v>
      </c>
      <c r="Z193">
        <v>0</v>
      </c>
      <c r="AA193" s="32">
        <v>0.98699999999999999</v>
      </c>
      <c r="AB193">
        <v>0</v>
      </c>
      <c r="AC193" s="34">
        <v>4.2000000000000003E-2</v>
      </c>
      <c r="AD193" s="32">
        <v>0.22900000000000001</v>
      </c>
    </row>
    <row r="194" spans="1:30">
      <c r="A194">
        <v>192</v>
      </c>
      <c r="B194">
        <v>8</v>
      </c>
      <c r="C194">
        <v>0.221</v>
      </c>
      <c r="D194">
        <v>1.1599999999999999</v>
      </c>
      <c r="E194">
        <v>0</v>
      </c>
      <c r="F194">
        <v>0.9</v>
      </c>
      <c r="G194">
        <v>0</v>
      </c>
      <c r="H194">
        <v>3.9E-2</v>
      </c>
      <c r="I194">
        <v>0.2</v>
      </c>
      <c r="K194">
        <v>192</v>
      </c>
      <c r="L194">
        <v>8</v>
      </c>
      <c r="M194" s="32">
        <v>0.221</v>
      </c>
      <c r="N194" s="47">
        <v>1.163</v>
      </c>
      <c r="P194" s="32">
        <v>0.9</v>
      </c>
      <c r="R194" s="47">
        <v>0.04</v>
      </c>
      <c r="S194" s="32">
        <v>0.2</v>
      </c>
      <c r="T194" s="31">
        <v>0</v>
      </c>
      <c r="V194">
        <v>192</v>
      </c>
      <c r="W194">
        <v>8</v>
      </c>
      <c r="X194">
        <v>0.23300000000000001</v>
      </c>
      <c r="Y194" s="32">
        <v>1.1930000000000001</v>
      </c>
      <c r="Z194">
        <v>0</v>
      </c>
      <c r="AA194" s="32">
        <v>0.98799999999999999</v>
      </c>
      <c r="AB194">
        <v>0</v>
      </c>
      <c r="AC194" s="34">
        <v>4.2000000000000003E-2</v>
      </c>
      <c r="AD194" s="32">
        <v>0.23100000000000001</v>
      </c>
    </row>
    <row r="195" spans="1:30">
      <c r="A195">
        <v>193</v>
      </c>
      <c r="B195">
        <v>8</v>
      </c>
      <c r="C195">
        <v>0.222</v>
      </c>
      <c r="D195">
        <v>1.17</v>
      </c>
      <c r="E195">
        <v>0</v>
      </c>
      <c r="F195">
        <v>0.90100000000000002</v>
      </c>
      <c r="G195">
        <v>0</v>
      </c>
      <c r="H195">
        <v>3.9E-2</v>
      </c>
      <c r="I195">
        <v>0.20100000000000001</v>
      </c>
      <c r="K195">
        <v>193</v>
      </c>
      <c r="L195">
        <v>8</v>
      </c>
      <c r="M195" s="32">
        <v>0.222</v>
      </c>
      <c r="N195" s="47">
        <v>1.165</v>
      </c>
      <c r="P195" s="32">
        <v>0.90100000000000002</v>
      </c>
      <c r="R195" s="47">
        <v>0.04</v>
      </c>
      <c r="S195" s="32">
        <v>0.20100000000000001</v>
      </c>
      <c r="T195" s="31">
        <v>0</v>
      </c>
      <c r="V195">
        <v>193</v>
      </c>
      <c r="W195">
        <v>8</v>
      </c>
      <c r="X195">
        <v>0.23400000000000001</v>
      </c>
      <c r="Y195" s="32">
        <v>1.1950000000000001</v>
      </c>
      <c r="Z195">
        <v>0</v>
      </c>
      <c r="AA195" s="32">
        <v>0.99</v>
      </c>
      <c r="AB195">
        <v>0</v>
      </c>
      <c r="AC195" s="34">
        <v>4.2000000000000003E-2</v>
      </c>
      <c r="AD195" s="32">
        <v>0.23200000000000001</v>
      </c>
    </row>
    <row r="196" spans="1:30">
      <c r="A196">
        <v>194</v>
      </c>
      <c r="B196">
        <v>8</v>
      </c>
      <c r="C196">
        <v>0.223</v>
      </c>
      <c r="D196">
        <v>1.17</v>
      </c>
      <c r="E196">
        <v>0</v>
      </c>
      <c r="F196">
        <v>0.90200000000000002</v>
      </c>
      <c r="G196">
        <v>0</v>
      </c>
      <c r="H196">
        <v>3.9E-2</v>
      </c>
      <c r="I196">
        <v>0.20200000000000001</v>
      </c>
      <c r="K196">
        <v>194</v>
      </c>
      <c r="L196">
        <v>8</v>
      </c>
      <c r="M196" s="32">
        <v>0.223</v>
      </c>
      <c r="N196" s="47">
        <v>1.1679999999999999</v>
      </c>
      <c r="P196" s="32">
        <v>0.90200000000000002</v>
      </c>
      <c r="R196" s="47">
        <v>0.04</v>
      </c>
      <c r="S196" s="32">
        <v>0.20200000000000001</v>
      </c>
      <c r="T196" s="31">
        <v>0</v>
      </c>
      <c r="V196">
        <v>194</v>
      </c>
      <c r="W196">
        <v>8</v>
      </c>
      <c r="X196">
        <v>0.23499999999999999</v>
      </c>
      <c r="Y196" s="32">
        <v>1.198</v>
      </c>
      <c r="Z196">
        <v>0</v>
      </c>
      <c r="AA196" s="32">
        <v>0.99199999999999999</v>
      </c>
      <c r="AB196">
        <v>0</v>
      </c>
      <c r="AC196" s="34">
        <v>4.2000000000000003E-2</v>
      </c>
      <c r="AD196" s="32">
        <v>0.23400000000000001</v>
      </c>
    </row>
    <row r="197" spans="1:30">
      <c r="A197">
        <v>195</v>
      </c>
      <c r="B197">
        <v>8</v>
      </c>
      <c r="C197">
        <v>0.224</v>
      </c>
      <c r="D197">
        <v>1.17</v>
      </c>
      <c r="E197">
        <v>0</v>
      </c>
      <c r="F197">
        <v>0.90200000000000002</v>
      </c>
      <c r="G197">
        <v>0</v>
      </c>
      <c r="H197">
        <v>3.9E-2</v>
      </c>
      <c r="I197">
        <v>0.20300000000000001</v>
      </c>
      <c r="K197">
        <v>195</v>
      </c>
      <c r="L197">
        <v>8</v>
      </c>
      <c r="M197" s="32">
        <v>0.224</v>
      </c>
      <c r="N197" s="32">
        <v>1.17</v>
      </c>
      <c r="P197" s="32">
        <v>0.90200000000000002</v>
      </c>
      <c r="R197" s="47">
        <v>0.04</v>
      </c>
      <c r="S197" s="32">
        <v>0.20300000000000001</v>
      </c>
      <c r="T197" s="31">
        <v>0</v>
      </c>
      <c r="V197">
        <v>195</v>
      </c>
      <c r="W197">
        <v>8</v>
      </c>
      <c r="X197">
        <v>0.23599999999999999</v>
      </c>
      <c r="Y197" s="32">
        <v>1.2</v>
      </c>
      <c r="Z197">
        <v>0</v>
      </c>
      <c r="AA197" s="32">
        <v>0.99299999999999999</v>
      </c>
      <c r="AB197">
        <v>0</v>
      </c>
      <c r="AC197" s="34">
        <v>4.2000000000000003E-2</v>
      </c>
      <c r="AD197" s="32">
        <v>0.23499999999999999</v>
      </c>
    </row>
    <row r="198" spans="1:30">
      <c r="A198">
        <v>196</v>
      </c>
      <c r="B198">
        <v>8</v>
      </c>
      <c r="C198">
        <v>0.22500000000000001</v>
      </c>
      <c r="D198">
        <v>1.17</v>
      </c>
      <c r="E198">
        <v>0</v>
      </c>
      <c r="F198">
        <v>0.90300000000000002</v>
      </c>
      <c r="G198">
        <v>0</v>
      </c>
      <c r="H198">
        <v>3.9E-2</v>
      </c>
      <c r="I198">
        <v>0.20399999999999999</v>
      </c>
      <c r="K198">
        <v>196</v>
      </c>
      <c r="L198">
        <v>8</v>
      </c>
      <c r="M198" s="32">
        <v>0.22500000000000001</v>
      </c>
      <c r="N198" s="47">
        <v>1.173</v>
      </c>
      <c r="P198" s="32">
        <v>0.90300000000000002</v>
      </c>
      <c r="R198" s="47">
        <v>0.04</v>
      </c>
      <c r="S198" s="32">
        <v>0.20399999999999999</v>
      </c>
      <c r="T198" s="31">
        <v>0</v>
      </c>
      <c r="V198">
        <v>196</v>
      </c>
      <c r="W198">
        <v>8</v>
      </c>
      <c r="X198">
        <v>0.23699999999999999</v>
      </c>
      <c r="Y198" s="32">
        <v>1.2030000000000001</v>
      </c>
      <c r="Z198">
        <v>0</v>
      </c>
      <c r="AA198" s="32">
        <v>0.995</v>
      </c>
      <c r="AB198">
        <v>0</v>
      </c>
      <c r="AC198" s="34">
        <v>4.2000000000000003E-2</v>
      </c>
      <c r="AD198" s="32">
        <v>0.23599999999999999</v>
      </c>
    </row>
    <row r="199" spans="1:30">
      <c r="A199">
        <v>197</v>
      </c>
      <c r="B199">
        <v>8</v>
      </c>
      <c r="C199">
        <v>0.22600000000000001</v>
      </c>
      <c r="D199">
        <v>1.18</v>
      </c>
      <c r="E199">
        <v>0</v>
      </c>
      <c r="F199">
        <v>0.90400000000000003</v>
      </c>
      <c r="G199">
        <v>0</v>
      </c>
      <c r="H199">
        <v>3.9E-2</v>
      </c>
      <c r="I199">
        <v>0.20499999999999999</v>
      </c>
      <c r="K199">
        <v>197</v>
      </c>
      <c r="L199">
        <v>8</v>
      </c>
      <c r="M199" s="32">
        <v>0.22600000000000001</v>
      </c>
      <c r="N199" s="47">
        <v>1.175</v>
      </c>
      <c r="P199" s="32">
        <v>0.90400000000000003</v>
      </c>
      <c r="R199" s="47">
        <v>0.04</v>
      </c>
      <c r="S199" s="32">
        <v>0.20499999999999999</v>
      </c>
      <c r="T199" s="31">
        <v>0</v>
      </c>
      <c r="V199">
        <v>197</v>
      </c>
      <c r="W199">
        <v>8</v>
      </c>
      <c r="X199">
        <v>0.23799999999999999</v>
      </c>
      <c r="Y199" s="32">
        <v>1.2050000000000001</v>
      </c>
      <c r="Z199">
        <v>0</v>
      </c>
      <c r="AA199" s="32">
        <v>0.997</v>
      </c>
      <c r="AB199">
        <v>0</v>
      </c>
      <c r="AC199" s="34">
        <v>4.2999999999999997E-2</v>
      </c>
      <c r="AD199" s="32">
        <v>0.23799999999999999</v>
      </c>
    </row>
    <row r="200" spans="1:30">
      <c r="A200">
        <v>198</v>
      </c>
      <c r="B200">
        <v>8</v>
      </c>
      <c r="C200">
        <v>0.22700000000000001</v>
      </c>
      <c r="D200">
        <v>1.18</v>
      </c>
      <c r="E200">
        <v>0</v>
      </c>
      <c r="F200">
        <v>0.90500000000000003</v>
      </c>
      <c r="G200">
        <v>0</v>
      </c>
      <c r="H200">
        <v>3.9E-2</v>
      </c>
      <c r="I200">
        <v>0.20599999999999999</v>
      </c>
      <c r="K200">
        <v>198</v>
      </c>
      <c r="L200">
        <v>8</v>
      </c>
      <c r="M200" s="32">
        <v>0.22700000000000001</v>
      </c>
      <c r="N200" s="47">
        <v>1.1779999999999999</v>
      </c>
      <c r="P200" s="32">
        <v>0.90500000000000003</v>
      </c>
      <c r="R200" s="47">
        <v>0.04</v>
      </c>
      <c r="S200" s="32">
        <v>0.20599999999999999</v>
      </c>
      <c r="T200" s="31">
        <v>0</v>
      </c>
      <c r="V200">
        <v>198</v>
      </c>
      <c r="W200">
        <v>8</v>
      </c>
      <c r="X200">
        <v>0.23899999999999999</v>
      </c>
      <c r="Y200" s="32">
        <v>1.208</v>
      </c>
      <c r="Z200">
        <v>0</v>
      </c>
      <c r="AA200" s="32">
        <v>0.999</v>
      </c>
      <c r="AB200">
        <v>0</v>
      </c>
      <c r="AC200" s="34">
        <v>4.2999999999999997E-2</v>
      </c>
      <c r="AD200" s="32">
        <v>0.23899999999999999</v>
      </c>
    </row>
    <row r="201" spans="1:30">
      <c r="A201">
        <v>199</v>
      </c>
      <c r="B201">
        <v>8</v>
      </c>
      <c r="C201">
        <v>0.22800000000000001</v>
      </c>
      <c r="D201">
        <v>1.18</v>
      </c>
      <c r="E201">
        <v>0</v>
      </c>
      <c r="F201">
        <v>0.90500000000000003</v>
      </c>
      <c r="G201">
        <v>0</v>
      </c>
      <c r="H201">
        <v>3.9E-2</v>
      </c>
      <c r="I201">
        <v>0.20699999999999999</v>
      </c>
      <c r="K201">
        <v>199</v>
      </c>
      <c r="L201">
        <v>8</v>
      </c>
      <c r="M201" s="32">
        <v>0.22800000000000001</v>
      </c>
      <c r="N201" s="32">
        <v>1.18</v>
      </c>
      <c r="P201" s="32">
        <v>0.90500000000000003</v>
      </c>
      <c r="R201" s="47">
        <v>0.04</v>
      </c>
      <c r="S201" s="32">
        <v>0.20699999999999999</v>
      </c>
      <c r="T201" s="31">
        <v>0</v>
      </c>
      <c r="V201">
        <v>199</v>
      </c>
      <c r="W201">
        <v>8</v>
      </c>
      <c r="X201">
        <v>0.24</v>
      </c>
      <c r="Y201" s="32">
        <v>1.21</v>
      </c>
      <c r="Z201">
        <v>0</v>
      </c>
      <c r="AA201" s="32">
        <v>1</v>
      </c>
      <c r="AB201">
        <v>0</v>
      </c>
      <c r="AC201" s="34">
        <v>4.2999999999999997E-2</v>
      </c>
      <c r="AD201" s="32">
        <v>0.24</v>
      </c>
    </row>
    <row r="202" spans="1:30">
      <c r="A202">
        <v>200</v>
      </c>
      <c r="B202">
        <v>8</v>
      </c>
      <c r="C202">
        <v>0.22900000000000001</v>
      </c>
      <c r="D202">
        <v>1.18</v>
      </c>
      <c r="E202">
        <v>0</v>
      </c>
      <c r="F202">
        <v>0.90600000000000003</v>
      </c>
      <c r="G202">
        <v>0</v>
      </c>
      <c r="H202">
        <v>3.9E-2</v>
      </c>
      <c r="I202">
        <v>0.20799999999999999</v>
      </c>
      <c r="K202">
        <v>200</v>
      </c>
      <c r="L202">
        <v>8</v>
      </c>
      <c r="M202" s="32">
        <v>0.22900000000000001</v>
      </c>
      <c r="N202" s="47">
        <v>1.1830000000000001</v>
      </c>
      <c r="P202" s="32">
        <v>0.90600000000000003</v>
      </c>
      <c r="R202" s="47">
        <v>0.04</v>
      </c>
      <c r="S202" s="32">
        <v>0.20799999999999999</v>
      </c>
      <c r="T202" s="31">
        <v>0</v>
      </c>
      <c r="V202">
        <v>200</v>
      </c>
      <c r="W202">
        <v>8</v>
      </c>
      <c r="X202">
        <v>0.24099999999999999</v>
      </c>
      <c r="Y202" s="32">
        <v>1.2130000000000001</v>
      </c>
      <c r="Z202">
        <v>0</v>
      </c>
      <c r="AA202" s="32">
        <v>1.002</v>
      </c>
      <c r="AB202">
        <v>0</v>
      </c>
      <c r="AC202" s="34">
        <v>4.2999999999999997E-2</v>
      </c>
      <c r="AD202" s="32">
        <v>0.24199999999999999</v>
      </c>
    </row>
    <row r="203" spans="1:30">
      <c r="A203">
        <v>201</v>
      </c>
      <c r="B203">
        <v>8</v>
      </c>
      <c r="C203">
        <v>0.23</v>
      </c>
      <c r="D203">
        <v>1.19</v>
      </c>
      <c r="E203">
        <v>0</v>
      </c>
      <c r="F203">
        <v>0.90700000000000003</v>
      </c>
      <c r="G203">
        <v>0</v>
      </c>
      <c r="H203">
        <v>3.9E-2</v>
      </c>
      <c r="I203">
        <v>0.20899999999999999</v>
      </c>
      <c r="K203">
        <v>201</v>
      </c>
      <c r="L203">
        <v>8</v>
      </c>
      <c r="M203" s="32">
        <v>0.23</v>
      </c>
      <c r="N203" s="47">
        <v>1.1850000000000001</v>
      </c>
      <c r="P203" s="32">
        <v>0.90700000000000003</v>
      </c>
      <c r="R203" s="47">
        <v>0.04</v>
      </c>
      <c r="S203" s="32">
        <v>0.20899999999999999</v>
      </c>
      <c r="T203" s="31">
        <v>0</v>
      </c>
      <c r="V203">
        <v>201</v>
      </c>
      <c r="W203">
        <v>8</v>
      </c>
      <c r="X203">
        <v>0.24199999999999999</v>
      </c>
      <c r="Y203" s="32">
        <v>1.216</v>
      </c>
      <c r="Z203">
        <v>0</v>
      </c>
      <c r="AA203" s="32">
        <v>1.004</v>
      </c>
      <c r="AB203">
        <v>0</v>
      </c>
      <c r="AC203" s="34">
        <v>4.2999999999999997E-2</v>
      </c>
      <c r="AD203" s="32">
        <v>0.24299999999999999</v>
      </c>
    </row>
    <row r="204" spans="1:30">
      <c r="A204">
        <v>202</v>
      </c>
      <c r="B204">
        <v>8</v>
      </c>
      <c r="C204">
        <v>0.23100000000000001</v>
      </c>
      <c r="D204">
        <v>1.19</v>
      </c>
      <c r="E204">
        <v>0</v>
      </c>
      <c r="F204">
        <v>0.90700000000000003</v>
      </c>
      <c r="G204">
        <v>0</v>
      </c>
      <c r="H204">
        <v>3.9E-2</v>
      </c>
      <c r="I204">
        <v>0.21</v>
      </c>
      <c r="K204">
        <v>202</v>
      </c>
      <c r="L204">
        <v>8</v>
      </c>
      <c r="M204" s="32">
        <v>0.23100000000000001</v>
      </c>
      <c r="N204" s="47">
        <v>1.1879999999999999</v>
      </c>
      <c r="P204" s="32">
        <v>0.90700000000000003</v>
      </c>
      <c r="R204" s="47">
        <v>0.04</v>
      </c>
      <c r="S204" s="32">
        <v>0.21</v>
      </c>
      <c r="T204" s="31">
        <v>0</v>
      </c>
      <c r="V204">
        <v>202</v>
      </c>
      <c r="W204">
        <v>8</v>
      </c>
      <c r="X204">
        <v>0.24299999999999999</v>
      </c>
      <c r="Y204" s="32">
        <v>1.218</v>
      </c>
      <c r="Z204">
        <v>0</v>
      </c>
      <c r="AA204" s="32">
        <v>1.0049999999999999</v>
      </c>
      <c r="AB204">
        <v>0</v>
      </c>
      <c r="AC204" s="34">
        <v>4.2999999999999997E-2</v>
      </c>
      <c r="AD204" s="32">
        <v>0.245</v>
      </c>
    </row>
    <row r="205" spans="1:30">
      <c r="A205">
        <v>203</v>
      </c>
      <c r="B205">
        <v>8</v>
      </c>
      <c r="C205">
        <v>0.23200000000000001</v>
      </c>
      <c r="D205">
        <v>1.19</v>
      </c>
      <c r="E205">
        <v>0</v>
      </c>
      <c r="F205">
        <v>0.90800000000000003</v>
      </c>
      <c r="G205">
        <v>0</v>
      </c>
      <c r="H205">
        <v>3.9E-2</v>
      </c>
      <c r="I205">
        <v>0.21099999999999999</v>
      </c>
      <c r="K205">
        <v>203</v>
      </c>
      <c r="L205">
        <v>8</v>
      </c>
      <c r="M205" s="32">
        <v>0.23200000000000001</v>
      </c>
      <c r="N205" s="32">
        <v>1.19</v>
      </c>
      <c r="P205" s="32">
        <v>0.90800000000000003</v>
      </c>
      <c r="R205" s="47">
        <v>0.04</v>
      </c>
      <c r="S205" s="32">
        <v>0.21099999999999999</v>
      </c>
      <c r="T205" s="31">
        <v>0</v>
      </c>
      <c r="V205">
        <v>203</v>
      </c>
      <c r="W205">
        <v>8</v>
      </c>
      <c r="X205">
        <v>0.24399999999999999</v>
      </c>
      <c r="Y205" s="32">
        <v>1.2210000000000001</v>
      </c>
      <c r="Z205">
        <v>0</v>
      </c>
      <c r="AA205" s="32">
        <v>1.0069999999999999</v>
      </c>
      <c r="AB205">
        <v>0</v>
      </c>
      <c r="AC205" s="34">
        <v>4.3999999999999997E-2</v>
      </c>
      <c r="AD205" s="32">
        <v>0.246</v>
      </c>
    </row>
    <row r="206" spans="1:30">
      <c r="A206">
        <v>204</v>
      </c>
      <c r="B206">
        <v>8</v>
      </c>
      <c r="C206">
        <v>0.23300000000000001</v>
      </c>
      <c r="D206">
        <v>1.19</v>
      </c>
      <c r="E206">
        <v>0</v>
      </c>
      <c r="F206">
        <v>0.90900000000000003</v>
      </c>
      <c r="G206">
        <v>0</v>
      </c>
      <c r="H206">
        <v>3.9E-2</v>
      </c>
      <c r="I206">
        <v>0.21199999999999999</v>
      </c>
      <c r="K206">
        <v>204</v>
      </c>
      <c r="L206">
        <v>8</v>
      </c>
      <c r="M206" s="32">
        <v>0.23300000000000001</v>
      </c>
      <c r="N206" s="47">
        <v>1.1930000000000001</v>
      </c>
      <c r="P206" s="32">
        <v>0.90900000000000003</v>
      </c>
      <c r="R206" s="47">
        <v>0.04</v>
      </c>
      <c r="S206" s="32">
        <v>0.21199999999999999</v>
      </c>
      <c r="T206" s="31">
        <v>0</v>
      </c>
      <c r="V206">
        <v>204</v>
      </c>
      <c r="W206">
        <v>8</v>
      </c>
      <c r="X206">
        <v>0.245</v>
      </c>
      <c r="Y206" s="32">
        <v>1.224</v>
      </c>
      <c r="Z206">
        <v>0</v>
      </c>
      <c r="AA206" s="32">
        <v>1.0089999999999999</v>
      </c>
      <c r="AB206">
        <v>0</v>
      </c>
      <c r="AC206" s="34">
        <v>4.3999999999999997E-2</v>
      </c>
      <c r="AD206" s="32">
        <v>0.247</v>
      </c>
    </row>
    <row r="207" spans="1:30">
      <c r="A207">
        <v>205</v>
      </c>
      <c r="B207">
        <v>8</v>
      </c>
      <c r="C207">
        <v>0.23400000000000001</v>
      </c>
      <c r="D207">
        <v>1.2</v>
      </c>
      <c r="E207">
        <v>0</v>
      </c>
      <c r="F207">
        <v>0.91</v>
      </c>
      <c r="G207">
        <v>0</v>
      </c>
      <c r="H207">
        <v>3.9E-2</v>
      </c>
      <c r="I207">
        <v>0.21299999999999999</v>
      </c>
      <c r="K207">
        <v>205</v>
      </c>
      <c r="L207">
        <v>8</v>
      </c>
      <c r="M207" s="32">
        <v>0.23400000000000001</v>
      </c>
      <c r="N207" s="47">
        <v>1.1950000000000001</v>
      </c>
      <c r="P207" s="32">
        <v>0.91</v>
      </c>
      <c r="R207" s="47">
        <v>0.04</v>
      </c>
      <c r="S207" s="32">
        <v>0.21299999999999999</v>
      </c>
      <c r="T207" s="31">
        <v>0</v>
      </c>
      <c r="V207">
        <v>205</v>
      </c>
      <c r="W207">
        <v>8</v>
      </c>
      <c r="X207">
        <v>0.246</v>
      </c>
      <c r="Y207" s="32">
        <v>1.2270000000000001</v>
      </c>
      <c r="Z207">
        <v>0</v>
      </c>
      <c r="AA207" s="32">
        <v>1.01</v>
      </c>
      <c r="AB207">
        <v>0</v>
      </c>
      <c r="AC207" s="34">
        <v>4.3999999999999997E-2</v>
      </c>
      <c r="AD207" s="32">
        <v>0.249</v>
      </c>
    </row>
    <row r="208" spans="1:30">
      <c r="A208">
        <v>206</v>
      </c>
      <c r="B208">
        <v>8</v>
      </c>
      <c r="C208">
        <v>0.23499999999999999</v>
      </c>
      <c r="D208">
        <v>1.2</v>
      </c>
      <c r="E208">
        <v>0</v>
      </c>
      <c r="F208">
        <v>0.91</v>
      </c>
      <c r="G208">
        <v>0</v>
      </c>
      <c r="H208">
        <v>3.9E-2</v>
      </c>
      <c r="I208">
        <v>0.214</v>
      </c>
      <c r="K208">
        <v>206</v>
      </c>
      <c r="L208">
        <v>8</v>
      </c>
      <c r="M208" s="32">
        <v>0.23499999999999999</v>
      </c>
      <c r="N208" s="47">
        <v>1.198</v>
      </c>
      <c r="P208" s="32">
        <v>0.91</v>
      </c>
      <c r="R208" s="47">
        <v>0.04</v>
      </c>
      <c r="S208" s="32">
        <v>0.214</v>
      </c>
      <c r="T208" s="31">
        <v>0</v>
      </c>
      <c r="V208">
        <v>206</v>
      </c>
      <c r="W208">
        <v>9</v>
      </c>
      <c r="X208">
        <v>0.247</v>
      </c>
      <c r="Y208" s="32">
        <v>1.2290000000000001</v>
      </c>
      <c r="Z208">
        <v>0</v>
      </c>
      <c r="AA208" s="32">
        <v>1.012</v>
      </c>
      <c r="AB208">
        <v>0</v>
      </c>
      <c r="AC208" s="34">
        <v>4.3999999999999997E-2</v>
      </c>
      <c r="AD208" s="32">
        <v>0.25</v>
      </c>
    </row>
    <row r="209" spans="1:30">
      <c r="A209">
        <v>207</v>
      </c>
      <c r="B209">
        <v>8</v>
      </c>
      <c r="C209">
        <v>0.23599999999999999</v>
      </c>
      <c r="D209">
        <v>1.2</v>
      </c>
      <c r="E209">
        <v>0</v>
      </c>
      <c r="F209">
        <v>0.91100000000000003</v>
      </c>
      <c r="G209">
        <v>0</v>
      </c>
      <c r="H209">
        <v>3.9E-2</v>
      </c>
      <c r="I209">
        <v>0.215</v>
      </c>
      <c r="K209">
        <v>207</v>
      </c>
      <c r="L209">
        <v>8</v>
      </c>
      <c r="M209" s="32">
        <v>0.23599999999999999</v>
      </c>
      <c r="N209" s="32">
        <v>1.2</v>
      </c>
      <c r="P209" s="32">
        <v>0.91100000000000003</v>
      </c>
      <c r="R209" s="47">
        <v>0.04</v>
      </c>
      <c r="S209" s="32">
        <v>0.215</v>
      </c>
      <c r="T209" s="31">
        <v>0</v>
      </c>
      <c r="V209">
        <v>207</v>
      </c>
      <c r="W209">
        <v>9</v>
      </c>
      <c r="X209">
        <v>0.248</v>
      </c>
      <c r="Y209" s="32">
        <v>1.232</v>
      </c>
      <c r="Z209">
        <v>0</v>
      </c>
      <c r="AA209" s="32">
        <v>1.0129999999999999</v>
      </c>
      <c r="AB209">
        <v>0</v>
      </c>
      <c r="AC209" s="34">
        <v>4.3999999999999997E-2</v>
      </c>
      <c r="AD209" s="32">
        <v>0.251</v>
      </c>
    </row>
    <row r="210" spans="1:30">
      <c r="A210">
        <v>208</v>
      </c>
      <c r="B210">
        <v>8</v>
      </c>
      <c r="C210">
        <v>0.23699999999999999</v>
      </c>
      <c r="D210">
        <v>1.2</v>
      </c>
      <c r="E210">
        <v>0</v>
      </c>
      <c r="F210">
        <v>0.91200000000000003</v>
      </c>
      <c r="G210">
        <v>0</v>
      </c>
      <c r="H210">
        <v>3.9E-2</v>
      </c>
      <c r="I210">
        <v>0.216</v>
      </c>
      <c r="K210">
        <v>208</v>
      </c>
      <c r="L210">
        <v>8</v>
      </c>
      <c r="M210" s="32">
        <v>0.23699999999999999</v>
      </c>
      <c r="N210" s="47">
        <v>1.2030000000000001</v>
      </c>
      <c r="P210" s="32">
        <v>0.91200000000000003</v>
      </c>
      <c r="R210" s="47">
        <v>0.04</v>
      </c>
      <c r="S210" s="32">
        <v>0.216</v>
      </c>
      <c r="T210" s="31">
        <v>0</v>
      </c>
      <c r="V210">
        <v>208</v>
      </c>
      <c r="W210">
        <v>9</v>
      </c>
      <c r="X210">
        <v>0.249</v>
      </c>
      <c r="Y210" s="32">
        <v>1.2350000000000001</v>
      </c>
      <c r="Z210">
        <v>0</v>
      </c>
      <c r="AA210" s="32">
        <v>1.014</v>
      </c>
      <c r="AB210">
        <v>0</v>
      </c>
      <c r="AC210" s="34">
        <v>4.3999999999999997E-2</v>
      </c>
      <c r="AD210" s="32">
        <v>0.253</v>
      </c>
    </row>
    <row r="211" spans="1:30">
      <c r="A211">
        <v>209</v>
      </c>
      <c r="B211">
        <v>8</v>
      </c>
      <c r="C211">
        <v>0.23799999999999999</v>
      </c>
      <c r="D211">
        <v>1.21</v>
      </c>
      <c r="E211">
        <v>0</v>
      </c>
      <c r="F211">
        <v>0.91300000000000003</v>
      </c>
      <c r="G211">
        <v>0</v>
      </c>
      <c r="H211">
        <v>3.9E-2</v>
      </c>
      <c r="I211">
        <v>0.217</v>
      </c>
      <c r="K211">
        <v>209</v>
      </c>
      <c r="L211">
        <v>8</v>
      </c>
      <c r="M211" s="32">
        <v>0.23799999999999999</v>
      </c>
      <c r="N211" s="47">
        <v>1.2050000000000001</v>
      </c>
      <c r="P211" s="32">
        <v>0.91300000000000003</v>
      </c>
      <c r="R211" s="47">
        <v>0.04</v>
      </c>
      <c r="S211" s="32">
        <v>0.217</v>
      </c>
      <c r="T211" s="31">
        <v>0</v>
      </c>
      <c r="V211">
        <v>209</v>
      </c>
      <c r="W211">
        <v>9</v>
      </c>
      <c r="X211">
        <v>0.25</v>
      </c>
      <c r="Y211" s="32">
        <v>1.238</v>
      </c>
      <c r="Z211">
        <v>0</v>
      </c>
      <c r="AA211" s="32">
        <v>1.0149999999999999</v>
      </c>
      <c r="AB211">
        <v>0</v>
      </c>
      <c r="AC211" s="34">
        <v>4.3999999999999997E-2</v>
      </c>
      <c r="AD211" s="32">
        <v>0.254</v>
      </c>
    </row>
    <row r="212" spans="1:30">
      <c r="A212">
        <v>210</v>
      </c>
      <c r="B212">
        <v>8</v>
      </c>
      <c r="C212">
        <v>0.23899999999999999</v>
      </c>
      <c r="D212">
        <v>1.21</v>
      </c>
      <c r="E212">
        <v>0</v>
      </c>
      <c r="F212">
        <v>0.91300000000000003</v>
      </c>
      <c r="G212">
        <v>0</v>
      </c>
      <c r="H212">
        <v>3.9E-2</v>
      </c>
      <c r="I212">
        <v>0.218</v>
      </c>
      <c r="K212">
        <v>210</v>
      </c>
      <c r="L212">
        <v>8</v>
      </c>
      <c r="M212" s="32">
        <v>0.23899999999999999</v>
      </c>
      <c r="N212" s="47">
        <v>1.208</v>
      </c>
      <c r="P212" s="32">
        <v>0.91300000000000003</v>
      </c>
      <c r="R212" s="47">
        <v>0.04</v>
      </c>
      <c r="S212" s="32">
        <v>0.218</v>
      </c>
      <c r="T212" s="31">
        <v>0</v>
      </c>
      <c r="V212">
        <v>210</v>
      </c>
      <c r="W212">
        <v>9</v>
      </c>
      <c r="X212">
        <v>0.251</v>
      </c>
      <c r="Y212" s="32">
        <v>1.24</v>
      </c>
      <c r="Z212">
        <v>0</v>
      </c>
      <c r="AA212" s="32">
        <v>1.0169999999999999</v>
      </c>
      <c r="AB212">
        <v>0</v>
      </c>
      <c r="AC212" s="34">
        <v>4.3999999999999997E-2</v>
      </c>
      <c r="AD212" s="32">
        <v>0.255</v>
      </c>
    </row>
    <row r="213" spans="1:30">
      <c r="A213">
        <v>211</v>
      </c>
      <c r="B213">
        <v>9</v>
      </c>
      <c r="C213">
        <v>0.24</v>
      </c>
      <c r="D213">
        <v>1.21</v>
      </c>
      <c r="E213">
        <v>0</v>
      </c>
      <c r="F213">
        <v>0.91400000000000003</v>
      </c>
      <c r="G213">
        <v>0</v>
      </c>
      <c r="H213">
        <v>0.04</v>
      </c>
      <c r="I213">
        <v>0.219</v>
      </c>
      <c r="K213">
        <v>211</v>
      </c>
      <c r="L213">
        <v>9</v>
      </c>
      <c r="M213" s="32">
        <v>0.24</v>
      </c>
      <c r="N213" s="32">
        <v>1.21</v>
      </c>
      <c r="P213" s="32">
        <v>0.91400000000000003</v>
      </c>
      <c r="R213" s="32">
        <v>0.04</v>
      </c>
      <c r="S213" s="32">
        <v>0.219</v>
      </c>
      <c r="T213" s="31">
        <v>0</v>
      </c>
      <c r="V213">
        <v>211</v>
      </c>
      <c r="W213">
        <v>9</v>
      </c>
      <c r="X213">
        <v>0.252</v>
      </c>
      <c r="Y213" s="32">
        <v>1.2430000000000001</v>
      </c>
      <c r="Z213">
        <v>0</v>
      </c>
      <c r="AA213" s="32">
        <v>1.018</v>
      </c>
      <c r="AB213">
        <v>0</v>
      </c>
      <c r="AC213" s="34">
        <v>4.4999999999999998E-2</v>
      </c>
      <c r="AD213" s="32">
        <v>0.25700000000000001</v>
      </c>
    </row>
    <row r="214" spans="1:30">
      <c r="A214">
        <v>212</v>
      </c>
      <c r="B214">
        <v>9</v>
      </c>
      <c r="C214">
        <v>0.24099999999999999</v>
      </c>
      <c r="D214">
        <v>1.21</v>
      </c>
      <c r="E214">
        <v>0</v>
      </c>
      <c r="F214">
        <v>0.91500000000000004</v>
      </c>
      <c r="G214">
        <v>0</v>
      </c>
      <c r="H214">
        <v>0.04</v>
      </c>
      <c r="I214">
        <v>0.22</v>
      </c>
      <c r="K214">
        <v>212</v>
      </c>
      <c r="L214">
        <v>9</v>
      </c>
      <c r="M214" s="32">
        <v>0.24099999999999999</v>
      </c>
      <c r="N214" s="47">
        <v>1.2130000000000001</v>
      </c>
      <c r="P214" s="32">
        <v>0.91500000000000004</v>
      </c>
      <c r="R214" s="32">
        <v>0.04</v>
      </c>
      <c r="S214" s="32">
        <v>0.22</v>
      </c>
      <c r="T214" s="31">
        <v>0</v>
      </c>
      <c r="V214">
        <v>212</v>
      </c>
      <c r="W214">
        <v>9</v>
      </c>
      <c r="X214">
        <v>0.253</v>
      </c>
      <c r="Y214" s="32">
        <v>1.246</v>
      </c>
      <c r="Z214">
        <v>0</v>
      </c>
      <c r="AA214" s="32">
        <v>1.0189999999999999</v>
      </c>
      <c r="AB214">
        <v>0</v>
      </c>
      <c r="AC214" s="34">
        <v>4.4999999999999998E-2</v>
      </c>
      <c r="AD214" s="32">
        <v>0.25800000000000001</v>
      </c>
    </row>
    <row r="215" spans="1:30">
      <c r="A215">
        <v>213</v>
      </c>
      <c r="B215">
        <v>9</v>
      </c>
      <c r="C215">
        <v>0.24199999999999999</v>
      </c>
      <c r="D215">
        <v>1.22</v>
      </c>
      <c r="E215">
        <v>0</v>
      </c>
      <c r="F215">
        <v>0.91500000000000004</v>
      </c>
      <c r="G215">
        <v>0</v>
      </c>
      <c r="H215">
        <v>0.04</v>
      </c>
      <c r="I215">
        <v>0.221</v>
      </c>
      <c r="K215">
        <v>213</v>
      </c>
      <c r="L215">
        <v>9</v>
      </c>
      <c r="M215" s="32">
        <v>0.24199999999999999</v>
      </c>
      <c r="N215" s="47">
        <v>1.216</v>
      </c>
      <c r="P215" s="32">
        <v>0.91500000000000004</v>
      </c>
      <c r="R215" s="32">
        <v>0.04</v>
      </c>
      <c r="S215" s="32">
        <v>0.221</v>
      </c>
      <c r="T215" s="31">
        <v>0</v>
      </c>
      <c r="V215">
        <v>213</v>
      </c>
      <c r="W215">
        <v>9</v>
      </c>
      <c r="X215">
        <v>0.254</v>
      </c>
      <c r="Y215" s="32">
        <v>1.2490000000000001</v>
      </c>
      <c r="Z215">
        <v>0</v>
      </c>
      <c r="AA215" s="32">
        <v>1.02</v>
      </c>
      <c r="AB215">
        <v>0</v>
      </c>
      <c r="AC215" s="34">
        <v>4.4999999999999998E-2</v>
      </c>
      <c r="AD215" s="32">
        <v>0.25900000000000001</v>
      </c>
    </row>
    <row r="216" spans="1:30">
      <c r="A216">
        <v>214</v>
      </c>
      <c r="B216">
        <v>9</v>
      </c>
      <c r="C216">
        <v>0.24299999999999999</v>
      </c>
      <c r="D216">
        <v>1.22</v>
      </c>
      <c r="E216">
        <v>0</v>
      </c>
      <c r="F216">
        <v>0.91600000000000004</v>
      </c>
      <c r="G216">
        <v>0</v>
      </c>
      <c r="H216">
        <v>0.04</v>
      </c>
      <c r="I216">
        <v>0.222</v>
      </c>
      <c r="K216">
        <v>214</v>
      </c>
      <c r="L216">
        <v>9</v>
      </c>
      <c r="M216" s="32">
        <v>0.24299999999999999</v>
      </c>
      <c r="N216" s="47">
        <v>1.218</v>
      </c>
      <c r="P216" s="32">
        <v>0.91600000000000004</v>
      </c>
      <c r="R216" s="32">
        <v>0.04</v>
      </c>
      <c r="S216" s="32">
        <v>0.222</v>
      </c>
      <c r="T216" s="31">
        <v>0</v>
      </c>
      <c r="V216">
        <v>214</v>
      </c>
      <c r="W216">
        <v>9</v>
      </c>
      <c r="X216">
        <v>0.255</v>
      </c>
      <c r="Y216" s="32">
        <v>1.2509999999999999</v>
      </c>
      <c r="Z216">
        <v>0</v>
      </c>
      <c r="AA216" s="32">
        <v>1.0209999999999999</v>
      </c>
      <c r="AB216">
        <v>0</v>
      </c>
      <c r="AC216" s="34">
        <v>4.4999999999999998E-2</v>
      </c>
      <c r="AD216" s="32">
        <v>0.26100000000000001</v>
      </c>
    </row>
    <row r="217" spans="1:30">
      <c r="A217">
        <v>215</v>
      </c>
      <c r="B217">
        <v>9</v>
      </c>
      <c r="C217">
        <v>0.24399999999999999</v>
      </c>
      <c r="D217">
        <v>1.22</v>
      </c>
      <c r="E217">
        <v>0</v>
      </c>
      <c r="F217">
        <v>0.91700000000000004</v>
      </c>
      <c r="G217">
        <v>0</v>
      </c>
      <c r="H217">
        <v>0.04</v>
      </c>
      <c r="I217">
        <v>0.223</v>
      </c>
      <c r="K217">
        <v>215</v>
      </c>
      <c r="L217">
        <v>9</v>
      </c>
      <c r="M217" s="32">
        <v>0.24399999999999999</v>
      </c>
      <c r="N217" s="47">
        <v>1.2210000000000001</v>
      </c>
      <c r="P217" s="32">
        <v>0.91700000000000004</v>
      </c>
      <c r="R217" s="32">
        <v>0.04</v>
      </c>
      <c r="S217" s="32">
        <v>0.223</v>
      </c>
      <c r="T217" s="31">
        <v>0</v>
      </c>
      <c r="V217">
        <v>215</v>
      </c>
      <c r="W217">
        <v>9</v>
      </c>
      <c r="X217">
        <v>0.25600000000000001</v>
      </c>
      <c r="Y217" s="32">
        <v>1.254</v>
      </c>
      <c r="Z217">
        <v>0</v>
      </c>
      <c r="AA217" s="32">
        <v>1.022</v>
      </c>
      <c r="AB217">
        <v>0</v>
      </c>
      <c r="AC217" s="34">
        <v>4.4999999999999998E-2</v>
      </c>
      <c r="AD217" s="32">
        <v>0.26200000000000001</v>
      </c>
    </row>
    <row r="218" spans="1:30">
      <c r="A218">
        <v>216</v>
      </c>
      <c r="B218">
        <v>9</v>
      </c>
      <c r="C218">
        <v>0.245</v>
      </c>
      <c r="D218">
        <v>1.22</v>
      </c>
      <c r="E218">
        <v>0</v>
      </c>
      <c r="F218">
        <v>0.91800000000000004</v>
      </c>
      <c r="G218">
        <v>0</v>
      </c>
      <c r="H218">
        <v>0.04</v>
      </c>
      <c r="I218">
        <v>0.224</v>
      </c>
      <c r="K218">
        <v>216</v>
      </c>
      <c r="L218">
        <v>9</v>
      </c>
      <c r="M218" s="32">
        <v>0.245</v>
      </c>
      <c r="N218" s="47">
        <v>1.224</v>
      </c>
      <c r="P218" s="32">
        <v>0.91800000000000004</v>
      </c>
      <c r="R218" s="32">
        <v>0.04</v>
      </c>
      <c r="S218" s="32">
        <v>0.224</v>
      </c>
      <c r="T218" s="31">
        <v>0</v>
      </c>
      <c r="V218">
        <v>216</v>
      </c>
      <c r="W218">
        <v>9</v>
      </c>
      <c r="X218">
        <v>0.25700000000000001</v>
      </c>
      <c r="Y218" s="32">
        <v>1.2569999999999999</v>
      </c>
      <c r="Z218">
        <v>0</v>
      </c>
      <c r="AA218" s="32">
        <v>1.0229999999999999</v>
      </c>
      <c r="AB218">
        <v>0</v>
      </c>
      <c r="AC218" s="34">
        <v>4.4999999999999998E-2</v>
      </c>
      <c r="AD218" s="32">
        <v>0.26300000000000001</v>
      </c>
    </row>
    <row r="219" spans="1:30">
      <c r="A219">
        <v>217</v>
      </c>
      <c r="B219">
        <v>9</v>
      </c>
      <c r="C219">
        <v>0.246</v>
      </c>
      <c r="D219">
        <v>1.23</v>
      </c>
      <c r="E219">
        <v>0</v>
      </c>
      <c r="F219">
        <v>0.91800000000000004</v>
      </c>
      <c r="G219">
        <v>0</v>
      </c>
      <c r="H219">
        <v>0.04</v>
      </c>
      <c r="I219">
        <v>0.22500000000000001</v>
      </c>
      <c r="K219">
        <v>217</v>
      </c>
      <c r="L219">
        <v>9</v>
      </c>
      <c r="M219" s="32">
        <v>0.246</v>
      </c>
      <c r="N219" s="47">
        <v>1.2270000000000001</v>
      </c>
      <c r="P219" s="32">
        <v>0.91800000000000004</v>
      </c>
      <c r="R219" s="32">
        <v>0.04</v>
      </c>
      <c r="S219" s="32">
        <v>0.22500000000000001</v>
      </c>
      <c r="T219" s="31">
        <v>0</v>
      </c>
      <c r="V219">
        <v>217</v>
      </c>
      <c r="W219">
        <v>9</v>
      </c>
      <c r="X219">
        <v>0.25800000000000001</v>
      </c>
      <c r="Y219" s="32">
        <v>1.26</v>
      </c>
      <c r="Z219">
        <v>0</v>
      </c>
      <c r="AA219" s="32">
        <v>1.0249999999999999</v>
      </c>
      <c r="AB219">
        <v>0</v>
      </c>
      <c r="AC219" s="34">
        <v>4.4999999999999998E-2</v>
      </c>
      <c r="AD219" s="32">
        <v>0.26500000000000001</v>
      </c>
    </row>
    <row r="220" spans="1:30">
      <c r="A220">
        <v>218</v>
      </c>
      <c r="B220">
        <v>9</v>
      </c>
      <c r="C220">
        <v>0.247</v>
      </c>
      <c r="D220">
        <v>1.23</v>
      </c>
      <c r="E220">
        <v>0</v>
      </c>
      <c r="F220">
        <v>0.91900000000000004</v>
      </c>
      <c r="G220">
        <v>0</v>
      </c>
      <c r="H220">
        <v>0.04</v>
      </c>
      <c r="I220">
        <v>0.22700000000000001</v>
      </c>
      <c r="K220">
        <v>218</v>
      </c>
      <c r="L220">
        <v>9</v>
      </c>
      <c r="M220" s="32">
        <v>0.247</v>
      </c>
      <c r="N220" s="47">
        <v>1.2290000000000001</v>
      </c>
      <c r="P220" s="32">
        <v>0.91900000000000004</v>
      </c>
      <c r="R220" s="47">
        <v>4.1000000000000002E-2</v>
      </c>
      <c r="S220" s="32">
        <v>0.22700000000000001</v>
      </c>
      <c r="T220" s="31">
        <v>0</v>
      </c>
      <c r="V220">
        <v>218</v>
      </c>
      <c r="W220">
        <v>9</v>
      </c>
      <c r="X220">
        <v>0.25900000000000001</v>
      </c>
      <c r="Y220" s="32">
        <v>1.262</v>
      </c>
      <c r="Z220">
        <v>0</v>
      </c>
      <c r="AA220" s="32">
        <v>1.026</v>
      </c>
      <c r="AB220">
        <v>0</v>
      </c>
      <c r="AC220" s="34">
        <v>4.4999999999999998E-2</v>
      </c>
      <c r="AD220" s="32">
        <v>0.26600000000000001</v>
      </c>
    </row>
    <row r="221" spans="1:30">
      <c r="A221">
        <v>219</v>
      </c>
      <c r="B221">
        <v>9</v>
      </c>
      <c r="C221">
        <v>0.248</v>
      </c>
      <c r="D221">
        <v>1.23</v>
      </c>
      <c r="E221">
        <v>0</v>
      </c>
      <c r="F221">
        <v>0.92</v>
      </c>
      <c r="G221">
        <v>0</v>
      </c>
      <c r="H221">
        <v>0.04</v>
      </c>
      <c r="I221">
        <v>0.22800000000000001</v>
      </c>
      <c r="K221">
        <v>219</v>
      </c>
      <c r="L221">
        <v>9</v>
      </c>
      <c r="M221" s="32">
        <v>0.248</v>
      </c>
      <c r="N221" s="47">
        <v>1.232</v>
      </c>
      <c r="P221" s="32">
        <v>0.92</v>
      </c>
      <c r="R221" s="47">
        <v>4.1000000000000002E-2</v>
      </c>
      <c r="S221" s="32">
        <v>0.22800000000000001</v>
      </c>
      <c r="T221" s="31">
        <v>0</v>
      </c>
      <c r="V221">
        <v>219</v>
      </c>
      <c r="W221">
        <v>9</v>
      </c>
      <c r="X221">
        <v>0.26</v>
      </c>
      <c r="Y221" s="32">
        <v>1.2649999999999999</v>
      </c>
      <c r="Z221">
        <v>0</v>
      </c>
      <c r="AA221" s="32">
        <v>1.0269999999999999</v>
      </c>
      <c r="AB221">
        <v>0</v>
      </c>
      <c r="AC221" s="34">
        <v>4.4999999999999998E-2</v>
      </c>
      <c r="AD221" s="32">
        <v>0.26700000000000002</v>
      </c>
    </row>
    <row r="222" spans="1:30">
      <c r="A222">
        <v>220</v>
      </c>
      <c r="B222">
        <v>9</v>
      </c>
      <c r="C222">
        <v>0.249</v>
      </c>
      <c r="D222">
        <v>1.23</v>
      </c>
      <c r="E222">
        <v>0</v>
      </c>
      <c r="F222">
        <v>0.92100000000000004</v>
      </c>
      <c r="G222">
        <v>0</v>
      </c>
      <c r="H222">
        <v>0.04</v>
      </c>
      <c r="I222">
        <v>0.22900000000000001</v>
      </c>
      <c r="K222">
        <v>220</v>
      </c>
      <c r="L222">
        <v>9</v>
      </c>
      <c r="M222" s="32">
        <v>0.249</v>
      </c>
      <c r="N222" s="47">
        <v>1.2350000000000001</v>
      </c>
      <c r="P222" s="32">
        <v>0.92100000000000004</v>
      </c>
      <c r="R222" s="47">
        <v>4.1000000000000002E-2</v>
      </c>
      <c r="S222" s="32">
        <v>0.22900000000000001</v>
      </c>
      <c r="T222" s="31">
        <v>0</v>
      </c>
      <c r="V222">
        <v>220</v>
      </c>
      <c r="W222">
        <v>9</v>
      </c>
      <c r="X222">
        <v>0.26100000000000001</v>
      </c>
      <c r="Y222" s="32">
        <v>1.268</v>
      </c>
      <c r="Z222">
        <v>0</v>
      </c>
      <c r="AA222" s="32">
        <v>1.028</v>
      </c>
      <c r="AB222">
        <v>0</v>
      </c>
      <c r="AC222" s="34">
        <v>4.5999999999999999E-2</v>
      </c>
      <c r="AD222" s="32">
        <v>0.26900000000000002</v>
      </c>
    </row>
    <row r="223" spans="1:30">
      <c r="A223">
        <v>221</v>
      </c>
      <c r="B223">
        <v>9</v>
      </c>
      <c r="C223">
        <v>0.25</v>
      </c>
      <c r="D223">
        <v>1.24</v>
      </c>
      <c r="E223">
        <v>0</v>
      </c>
      <c r="F223">
        <v>0.92100000000000004</v>
      </c>
      <c r="G223">
        <v>0</v>
      </c>
      <c r="H223">
        <v>0.04</v>
      </c>
      <c r="I223">
        <v>0.23</v>
      </c>
      <c r="K223">
        <v>221</v>
      </c>
      <c r="L223">
        <v>9</v>
      </c>
      <c r="M223" s="32">
        <v>0.25</v>
      </c>
      <c r="N223" s="47">
        <v>1.238</v>
      </c>
      <c r="P223" s="32">
        <v>0.92100000000000004</v>
      </c>
      <c r="R223" s="47">
        <v>4.1000000000000002E-2</v>
      </c>
      <c r="S223" s="32">
        <v>0.23</v>
      </c>
      <c r="T223" s="31">
        <v>0</v>
      </c>
      <c r="V223">
        <v>221</v>
      </c>
      <c r="W223">
        <v>9</v>
      </c>
      <c r="X223">
        <v>0.26200000000000001</v>
      </c>
      <c r="Y223" s="32">
        <v>1.2709999999999999</v>
      </c>
      <c r="Z223">
        <v>0</v>
      </c>
      <c r="AA223" s="32">
        <v>1.0289999999999999</v>
      </c>
      <c r="AB223">
        <v>0</v>
      </c>
      <c r="AC223" s="34">
        <v>4.5999999999999999E-2</v>
      </c>
      <c r="AD223" s="32">
        <v>0.27</v>
      </c>
    </row>
    <row r="224" spans="1:30">
      <c r="A224">
        <v>222</v>
      </c>
      <c r="B224">
        <v>9</v>
      </c>
      <c r="C224">
        <v>0.251</v>
      </c>
      <c r="D224">
        <v>1.24</v>
      </c>
      <c r="E224">
        <v>0</v>
      </c>
      <c r="F224">
        <v>0.92200000000000004</v>
      </c>
      <c r="G224">
        <v>0</v>
      </c>
      <c r="H224">
        <v>0.04</v>
      </c>
      <c r="I224">
        <v>0.23100000000000001</v>
      </c>
      <c r="K224">
        <v>222</v>
      </c>
      <c r="L224">
        <v>9</v>
      </c>
      <c r="M224" s="32">
        <v>0.251</v>
      </c>
      <c r="N224" s="32">
        <v>1.24</v>
      </c>
      <c r="P224" s="32">
        <v>0.92200000000000004</v>
      </c>
      <c r="R224" s="47">
        <v>4.1000000000000002E-2</v>
      </c>
      <c r="S224" s="32">
        <v>0.23100000000000001</v>
      </c>
      <c r="T224" s="31">
        <v>0</v>
      </c>
      <c r="V224">
        <v>222</v>
      </c>
      <c r="W224">
        <v>9</v>
      </c>
      <c r="X224">
        <v>0.26300000000000001</v>
      </c>
      <c r="Y224" s="32">
        <v>1.2729999999999999</v>
      </c>
      <c r="Z224">
        <v>0</v>
      </c>
      <c r="AA224" s="32">
        <v>1.03</v>
      </c>
      <c r="AB224">
        <v>0</v>
      </c>
      <c r="AC224" s="34">
        <v>4.5999999999999999E-2</v>
      </c>
      <c r="AD224" s="32">
        <v>0.27100000000000002</v>
      </c>
    </row>
    <row r="225" spans="1:30">
      <c r="A225">
        <v>223</v>
      </c>
      <c r="B225">
        <v>9</v>
      </c>
      <c r="C225">
        <v>0.252</v>
      </c>
      <c r="D225">
        <v>1.24</v>
      </c>
      <c r="E225">
        <v>0</v>
      </c>
      <c r="F225">
        <v>0.92300000000000004</v>
      </c>
      <c r="G225">
        <v>0</v>
      </c>
      <c r="H225">
        <v>0.04</v>
      </c>
      <c r="I225">
        <v>0.23200000000000001</v>
      </c>
      <c r="K225">
        <v>223</v>
      </c>
      <c r="L225">
        <v>9</v>
      </c>
      <c r="M225" s="32">
        <v>0.252</v>
      </c>
      <c r="N225" s="47">
        <v>1.2430000000000001</v>
      </c>
      <c r="P225" s="32">
        <v>0.92300000000000004</v>
      </c>
      <c r="R225" s="47">
        <v>4.1000000000000002E-2</v>
      </c>
      <c r="S225" s="32">
        <v>0.23200000000000001</v>
      </c>
      <c r="T225" s="31">
        <v>0</v>
      </c>
      <c r="V225">
        <v>223</v>
      </c>
      <c r="W225">
        <v>9</v>
      </c>
      <c r="X225">
        <v>0.26400000000000001</v>
      </c>
      <c r="Y225" s="32">
        <v>1.276</v>
      </c>
      <c r="Z225">
        <v>0</v>
      </c>
      <c r="AA225" s="32">
        <v>1.0309999999999999</v>
      </c>
      <c r="AB225">
        <v>0</v>
      </c>
      <c r="AC225" s="34">
        <v>4.5999999999999999E-2</v>
      </c>
      <c r="AD225" s="32">
        <v>0.27300000000000002</v>
      </c>
    </row>
    <row r="226" spans="1:30">
      <c r="A226">
        <v>224</v>
      </c>
      <c r="B226">
        <v>9</v>
      </c>
      <c r="C226">
        <v>0.253</v>
      </c>
      <c r="D226">
        <v>1.25</v>
      </c>
      <c r="E226">
        <v>0</v>
      </c>
      <c r="F226">
        <v>0.92300000000000004</v>
      </c>
      <c r="G226">
        <v>0</v>
      </c>
      <c r="H226">
        <v>0.04</v>
      </c>
      <c r="I226">
        <v>0.23300000000000001</v>
      </c>
      <c r="K226">
        <v>224</v>
      </c>
      <c r="L226">
        <v>9</v>
      </c>
      <c r="M226" s="32">
        <v>0.253</v>
      </c>
      <c r="N226" s="47">
        <v>1.246</v>
      </c>
      <c r="P226" s="32">
        <v>0.92300000000000004</v>
      </c>
      <c r="R226" s="47">
        <v>4.1000000000000002E-2</v>
      </c>
      <c r="S226" s="32">
        <v>0.23300000000000001</v>
      </c>
      <c r="T226" s="31">
        <v>0</v>
      </c>
      <c r="V226">
        <v>224</v>
      </c>
      <c r="W226">
        <v>9</v>
      </c>
      <c r="X226">
        <v>0.26500000000000001</v>
      </c>
      <c r="Y226" s="32">
        <v>1.2789999999999999</v>
      </c>
      <c r="Z226">
        <v>0</v>
      </c>
      <c r="AA226" s="32">
        <v>1.0329999999999999</v>
      </c>
      <c r="AB226">
        <v>0</v>
      </c>
      <c r="AC226" s="34">
        <v>4.5999999999999999E-2</v>
      </c>
      <c r="AD226" s="32">
        <v>0.27400000000000002</v>
      </c>
    </row>
    <row r="227" spans="1:30">
      <c r="A227">
        <v>225</v>
      </c>
      <c r="B227">
        <v>9</v>
      </c>
      <c r="C227">
        <v>0.254</v>
      </c>
      <c r="D227">
        <v>1.25</v>
      </c>
      <c r="E227">
        <v>0</v>
      </c>
      <c r="F227">
        <v>0.92400000000000004</v>
      </c>
      <c r="G227">
        <v>0</v>
      </c>
      <c r="H227">
        <v>0.04</v>
      </c>
      <c r="I227">
        <v>0.23400000000000001</v>
      </c>
      <c r="K227">
        <v>225</v>
      </c>
      <c r="L227">
        <v>9</v>
      </c>
      <c r="M227" s="32">
        <v>0.254</v>
      </c>
      <c r="N227" s="47">
        <v>1.2490000000000001</v>
      </c>
      <c r="P227" s="32">
        <v>0.92400000000000004</v>
      </c>
      <c r="R227" s="47">
        <v>4.1000000000000002E-2</v>
      </c>
      <c r="S227" s="32">
        <v>0.23400000000000001</v>
      </c>
      <c r="T227" s="31">
        <v>0</v>
      </c>
      <c r="V227">
        <v>225</v>
      </c>
      <c r="W227">
        <v>9</v>
      </c>
      <c r="X227">
        <v>0.26600000000000001</v>
      </c>
      <c r="Y227" s="32">
        <v>1.282</v>
      </c>
      <c r="Z227">
        <v>0</v>
      </c>
      <c r="AA227" s="32">
        <v>1.034</v>
      </c>
      <c r="AB227">
        <v>0</v>
      </c>
      <c r="AC227" s="34">
        <v>4.5999999999999999E-2</v>
      </c>
      <c r="AD227" s="32">
        <v>0.27500000000000002</v>
      </c>
    </row>
    <row r="228" spans="1:30">
      <c r="A228">
        <v>226</v>
      </c>
      <c r="B228">
        <v>9</v>
      </c>
      <c r="C228">
        <v>0.255</v>
      </c>
      <c r="D228">
        <v>1.25</v>
      </c>
      <c r="E228">
        <v>0</v>
      </c>
      <c r="F228">
        <v>0.92500000000000004</v>
      </c>
      <c r="G228">
        <v>0</v>
      </c>
      <c r="H228">
        <v>0.04</v>
      </c>
      <c r="I228">
        <v>0.23499999999999999</v>
      </c>
      <c r="K228">
        <v>226</v>
      </c>
      <c r="L228">
        <v>9</v>
      </c>
      <c r="M228" s="32">
        <v>0.255</v>
      </c>
      <c r="N228" s="47">
        <v>1.2509999999999999</v>
      </c>
      <c r="P228" s="32">
        <v>0.92500000000000004</v>
      </c>
      <c r="R228" s="47">
        <v>4.1000000000000002E-2</v>
      </c>
      <c r="S228" s="32">
        <v>0.23499999999999999</v>
      </c>
      <c r="T228" s="31">
        <v>0</v>
      </c>
      <c r="V228">
        <v>226</v>
      </c>
      <c r="W228">
        <v>9</v>
      </c>
      <c r="X228">
        <v>0.26700000000000002</v>
      </c>
      <c r="Y228" s="32">
        <v>1.284</v>
      </c>
      <c r="Z228">
        <v>0</v>
      </c>
      <c r="AA228" s="32">
        <v>1.0349999999999999</v>
      </c>
      <c r="AB228">
        <v>0</v>
      </c>
      <c r="AC228" s="34">
        <v>4.5999999999999999E-2</v>
      </c>
      <c r="AD228" s="32">
        <v>0.27700000000000002</v>
      </c>
    </row>
    <row r="229" spans="1:30">
      <c r="A229">
        <v>227</v>
      </c>
      <c r="B229">
        <v>9</v>
      </c>
      <c r="C229">
        <v>0.25600000000000001</v>
      </c>
      <c r="D229">
        <v>1.25</v>
      </c>
      <c r="E229">
        <v>0</v>
      </c>
      <c r="F229">
        <v>0.92600000000000005</v>
      </c>
      <c r="G229">
        <v>0</v>
      </c>
      <c r="H229">
        <v>0.04</v>
      </c>
      <c r="I229">
        <v>0.23599999999999999</v>
      </c>
      <c r="K229">
        <v>227</v>
      </c>
      <c r="L229">
        <v>9</v>
      </c>
      <c r="M229" s="32">
        <v>0.25600000000000001</v>
      </c>
      <c r="N229" s="47">
        <v>1.254</v>
      </c>
      <c r="P229" s="32">
        <v>0.92600000000000005</v>
      </c>
      <c r="R229" s="47">
        <v>4.1000000000000002E-2</v>
      </c>
      <c r="S229" s="32">
        <v>0.23599999999999999</v>
      </c>
      <c r="T229" s="31">
        <v>0</v>
      </c>
      <c r="V229">
        <v>227</v>
      </c>
      <c r="W229">
        <v>9</v>
      </c>
      <c r="X229">
        <v>0.26800000000000002</v>
      </c>
      <c r="Y229" s="32">
        <v>1.2869999999999999</v>
      </c>
      <c r="Z229">
        <v>0</v>
      </c>
      <c r="AA229" s="32">
        <v>1.036</v>
      </c>
      <c r="AB229">
        <v>0</v>
      </c>
      <c r="AC229" s="34">
        <v>4.5999999999999999E-2</v>
      </c>
      <c r="AD229" s="32">
        <v>0.27800000000000002</v>
      </c>
    </row>
    <row r="230" spans="1:30">
      <c r="A230">
        <v>228</v>
      </c>
      <c r="B230">
        <v>9</v>
      </c>
      <c r="C230">
        <v>0.25700000000000001</v>
      </c>
      <c r="D230">
        <v>1.26</v>
      </c>
      <c r="E230">
        <v>0</v>
      </c>
      <c r="F230">
        <v>0.92600000000000005</v>
      </c>
      <c r="G230">
        <v>0</v>
      </c>
      <c r="H230">
        <v>0.04</v>
      </c>
      <c r="I230">
        <v>0.23699999999999999</v>
      </c>
      <c r="K230">
        <v>228</v>
      </c>
      <c r="L230">
        <v>9</v>
      </c>
      <c r="M230" s="32">
        <v>0.25700000000000001</v>
      </c>
      <c r="N230" s="47">
        <v>1.2569999999999999</v>
      </c>
      <c r="P230" s="32">
        <v>0.92600000000000005</v>
      </c>
      <c r="R230" s="47">
        <v>4.1000000000000002E-2</v>
      </c>
      <c r="S230" s="32">
        <v>0.23699999999999999</v>
      </c>
      <c r="T230" s="31">
        <v>0</v>
      </c>
      <c r="V230">
        <v>228</v>
      </c>
      <c r="W230">
        <v>9</v>
      </c>
      <c r="X230">
        <v>0.26900000000000002</v>
      </c>
      <c r="Y230" s="32">
        <v>1.29</v>
      </c>
      <c r="Z230">
        <v>0</v>
      </c>
      <c r="AA230" s="32">
        <v>1.0369999999999999</v>
      </c>
      <c r="AB230">
        <v>0</v>
      </c>
      <c r="AC230" s="34">
        <v>4.5999999999999999E-2</v>
      </c>
      <c r="AD230" s="32">
        <v>0.27900000000000003</v>
      </c>
    </row>
    <row r="231" spans="1:30">
      <c r="A231">
        <v>229</v>
      </c>
      <c r="B231">
        <v>9</v>
      </c>
      <c r="C231">
        <v>0.25800000000000001</v>
      </c>
      <c r="D231">
        <v>1.26</v>
      </c>
      <c r="E231">
        <v>0</v>
      </c>
      <c r="F231">
        <v>0.92700000000000005</v>
      </c>
      <c r="G231">
        <v>0</v>
      </c>
      <c r="H231">
        <v>0.04</v>
      </c>
      <c r="I231">
        <v>0.23799999999999999</v>
      </c>
      <c r="K231">
        <v>229</v>
      </c>
      <c r="L231">
        <v>9</v>
      </c>
      <c r="M231" s="32">
        <v>0.25800000000000001</v>
      </c>
      <c r="N231" s="32">
        <v>1.26</v>
      </c>
      <c r="P231" s="32">
        <v>0.92700000000000005</v>
      </c>
      <c r="R231" s="47">
        <v>4.1000000000000002E-2</v>
      </c>
      <c r="S231" s="32">
        <v>0.23799999999999999</v>
      </c>
      <c r="T231" s="31">
        <v>0</v>
      </c>
      <c r="V231">
        <v>229</v>
      </c>
      <c r="W231">
        <v>9</v>
      </c>
      <c r="X231">
        <v>0.27</v>
      </c>
      <c r="Y231" s="32">
        <v>1.2929999999999999</v>
      </c>
      <c r="Z231">
        <v>0</v>
      </c>
      <c r="AA231" s="32">
        <v>1.038</v>
      </c>
      <c r="AB231">
        <v>0</v>
      </c>
      <c r="AC231" s="34">
        <v>4.7E-2</v>
      </c>
      <c r="AD231" s="32">
        <v>0.28100000000000003</v>
      </c>
    </row>
    <row r="232" spans="1:30">
      <c r="A232">
        <v>230</v>
      </c>
      <c r="B232">
        <v>9</v>
      </c>
      <c r="C232">
        <v>0.25900000000000001</v>
      </c>
      <c r="D232">
        <v>1.26</v>
      </c>
      <c r="E232">
        <v>0</v>
      </c>
      <c r="F232">
        <v>0.92800000000000005</v>
      </c>
      <c r="G232">
        <v>0</v>
      </c>
      <c r="H232">
        <v>0.04</v>
      </c>
      <c r="I232">
        <v>0.23899999999999999</v>
      </c>
      <c r="K232">
        <v>230</v>
      </c>
      <c r="L232">
        <v>9</v>
      </c>
      <c r="M232" s="32">
        <v>0.25900000000000001</v>
      </c>
      <c r="N232" s="47">
        <v>1.262</v>
      </c>
      <c r="P232" s="32">
        <v>0.92800000000000005</v>
      </c>
      <c r="R232" s="47">
        <v>4.1000000000000002E-2</v>
      </c>
      <c r="S232" s="32">
        <v>0.23899999999999999</v>
      </c>
      <c r="T232" s="31">
        <v>0</v>
      </c>
      <c r="V232">
        <v>230</v>
      </c>
      <c r="W232">
        <v>9</v>
      </c>
      <c r="X232">
        <v>0.27100000000000002</v>
      </c>
      <c r="Y232" s="32">
        <v>1.2949999999999999</v>
      </c>
      <c r="Z232">
        <v>0</v>
      </c>
      <c r="AA232" s="32">
        <v>1.0389999999999999</v>
      </c>
      <c r="AB232">
        <v>0</v>
      </c>
      <c r="AC232" s="34">
        <v>4.7E-2</v>
      </c>
      <c r="AD232" s="32">
        <v>0.28199999999999997</v>
      </c>
    </row>
    <row r="233" spans="1:30">
      <c r="A233">
        <v>231</v>
      </c>
      <c r="B233">
        <v>9</v>
      </c>
      <c r="C233">
        <v>0.26</v>
      </c>
      <c r="D233">
        <v>1.27</v>
      </c>
      <c r="E233">
        <v>0</v>
      </c>
      <c r="F233">
        <v>0.92900000000000005</v>
      </c>
      <c r="G233">
        <v>0</v>
      </c>
      <c r="H233">
        <v>0.04</v>
      </c>
      <c r="I233">
        <v>0.24099999999999999</v>
      </c>
      <c r="K233">
        <v>231</v>
      </c>
      <c r="L233">
        <v>9</v>
      </c>
      <c r="M233" s="32">
        <v>0.26</v>
      </c>
      <c r="N233" s="47">
        <v>1.2649999999999999</v>
      </c>
      <c r="P233" s="32">
        <v>0.92900000000000005</v>
      </c>
      <c r="R233" s="47">
        <v>4.2000000000000003E-2</v>
      </c>
      <c r="S233" s="32">
        <v>0.24099999999999999</v>
      </c>
      <c r="T233" s="31">
        <v>0</v>
      </c>
      <c r="V233">
        <v>231</v>
      </c>
      <c r="W233">
        <v>9</v>
      </c>
      <c r="X233">
        <v>0.27200000000000002</v>
      </c>
      <c r="Y233" s="32">
        <v>1.298</v>
      </c>
      <c r="Z233">
        <v>0</v>
      </c>
      <c r="AA233" s="32">
        <v>1.04</v>
      </c>
      <c r="AB233">
        <v>0</v>
      </c>
      <c r="AC233" s="34">
        <v>4.7E-2</v>
      </c>
      <c r="AD233" s="32">
        <v>0.28299999999999997</v>
      </c>
    </row>
    <row r="234" spans="1:30">
      <c r="A234">
        <v>232</v>
      </c>
      <c r="B234">
        <v>9</v>
      </c>
      <c r="C234">
        <v>0.26100000000000001</v>
      </c>
      <c r="D234">
        <v>1.27</v>
      </c>
      <c r="E234">
        <v>0</v>
      </c>
      <c r="F234">
        <v>0.92900000000000005</v>
      </c>
      <c r="G234">
        <v>0</v>
      </c>
      <c r="H234">
        <v>0.04</v>
      </c>
      <c r="I234">
        <v>0.24199999999999999</v>
      </c>
      <c r="K234">
        <v>232</v>
      </c>
      <c r="L234">
        <v>9</v>
      </c>
      <c r="M234" s="32">
        <v>0.26100000000000001</v>
      </c>
      <c r="N234" s="47">
        <v>1.268</v>
      </c>
      <c r="P234" s="32">
        <v>0.92900000000000005</v>
      </c>
      <c r="R234" s="47">
        <v>4.2000000000000003E-2</v>
      </c>
      <c r="S234" s="32">
        <v>0.24199999999999999</v>
      </c>
      <c r="T234" s="31">
        <v>0</v>
      </c>
      <c r="V234">
        <v>232</v>
      </c>
      <c r="W234">
        <v>9</v>
      </c>
      <c r="X234">
        <v>0.27300000000000002</v>
      </c>
      <c r="Y234" s="32">
        <v>1.3009999999999999</v>
      </c>
      <c r="Z234">
        <v>0</v>
      </c>
      <c r="AA234" s="32">
        <v>1.042</v>
      </c>
      <c r="AB234">
        <v>0</v>
      </c>
      <c r="AC234" s="34">
        <v>4.7E-2</v>
      </c>
      <c r="AD234" s="32">
        <v>0.28499999999999998</v>
      </c>
    </row>
    <row r="235" spans="1:30">
      <c r="A235">
        <v>233</v>
      </c>
      <c r="B235">
        <v>9</v>
      </c>
      <c r="C235">
        <v>0.26200000000000001</v>
      </c>
      <c r="D235">
        <v>1.27</v>
      </c>
      <c r="E235">
        <v>0</v>
      </c>
      <c r="F235">
        <v>0.93</v>
      </c>
      <c r="G235">
        <v>0</v>
      </c>
      <c r="H235">
        <v>0.04</v>
      </c>
      <c r="I235">
        <v>0.24299999999999999</v>
      </c>
      <c r="K235">
        <v>233</v>
      </c>
      <c r="L235">
        <v>9</v>
      </c>
      <c r="M235" s="32">
        <v>0.26200000000000001</v>
      </c>
      <c r="N235" s="47">
        <v>1.2709999999999999</v>
      </c>
      <c r="P235" s="32">
        <v>0.93</v>
      </c>
      <c r="R235" s="47">
        <v>4.2000000000000003E-2</v>
      </c>
      <c r="S235" s="32">
        <v>0.24299999999999999</v>
      </c>
      <c r="T235" s="31">
        <v>0</v>
      </c>
      <c r="V235">
        <v>233</v>
      </c>
      <c r="W235">
        <v>9</v>
      </c>
      <c r="X235">
        <v>0.27400000000000002</v>
      </c>
      <c r="Y235" s="32">
        <v>1.304</v>
      </c>
      <c r="Z235">
        <v>0</v>
      </c>
      <c r="AA235" s="32">
        <v>1.0429999999999999</v>
      </c>
      <c r="AB235">
        <v>0</v>
      </c>
      <c r="AC235" s="34">
        <v>4.7E-2</v>
      </c>
      <c r="AD235" s="32">
        <v>0.28599999999999998</v>
      </c>
    </row>
    <row r="236" spans="1:30">
      <c r="A236">
        <v>234</v>
      </c>
      <c r="B236">
        <v>9</v>
      </c>
      <c r="C236">
        <v>0.26300000000000001</v>
      </c>
      <c r="D236">
        <v>1.27</v>
      </c>
      <c r="E236">
        <v>0</v>
      </c>
      <c r="F236">
        <v>0.93100000000000005</v>
      </c>
      <c r="G236">
        <v>0</v>
      </c>
      <c r="H236">
        <v>0.04</v>
      </c>
      <c r="I236">
        <v>0.24399999999999999</v>
      </c>
      <c r="K236">
        <v>234</v>
      </c>
      <c r="L236">
        <v>9</v>
      </c>
      <c r="M236" s="32">
        <v>0.26300000000000001</v>
      </c>
      <c r="N236" s="47">
        <v>1.2729999999999999</v>
      </c>
      <c r="P236" s="32">
        <v>0.93100000000000005</v>
      </c>
      <c r="R236" s="47">
        <v>4.2000000000000003E-2</v>
      </c>
      <c r="S236" s="32">
        <v>0.24399999999999999</v>
      </c>
      <c r="T236" s="31">
        <v>0</v>
      </c>
      <c r="V236">
        <v>234</v>
      </c>
      <c r="W236">
        <v>9</v>
      </c>
      <c r="X236">
        <v>0.27500000000000002</v>
      </c>
      <c r="Y236" s="32">
        <v>1.306</v>
      </c>
      <c r="Z236">
        <v>0</v>
      </c>
      <c r="AA236" s="32">
        <v>1.044</v>
      </c>
      <c r="AB236">
        <v>0</v>
      </c>
      <c r="AC236" s="34">
        <v>4.7E-2</v>
      </c>
      <c r="AD236" s="32">
        <v>0.28699999999999998</v>
      </c>
    </row>
    <row r="237" spans="1:30">
      <c r="A237">
        <v>235</v>
      </c>
      <c r="B237">
        <v>9</v>
      </c>
      <c r="C237">
        <v>0.26400000000000001</v>
      </c>
      <c r="D237">
        <v>1.28</v>
      </c>
      <c r="E237">
        <v>0</v>
      </c>
      <c r="F237">
        <v>0.93100000000000005</v>
      </c>
      <c r="G237">
        <v>0</v>
      </c>
      <c r="H237">
        <v>0.04</v>
      </c>
      <c r="I237">
        <v>0.245</v>
      </c>
      <c r="K237">
        <v>235</v>
      </c>
      <c r="L237">
        <v>9</v>
      </c>
      <c r="M237" s="32">
        <v>0.26400000000000001</v>
      </c>
      <c r="N237" s="47">
        <v>1.276</v>
      </c>
      <c r="P237" s="32">
        <v>0.93100000000000005</v>
      </c>
      <c r="R237" s="47">
        <v>4.2000000000000003E-2</v>
      </c>
      <c r="S237" s="32">
        <v>0.245</v>
      </c>
      <c r="T237" s="31">
        <v>0</v>
      </c>
      <c r="V237">
        <v>235</v>
      </c>
      <c r="W237">
        <v>9</v>
      </c>
      <c r="X237">
        <v>0.27600000000000002</v>
      </c>
      <c r="Y237" s="32">
        <v>1.3089999999999999</v>
      </c>
      <c r="Z237">
        <v>0</v>
      </c>
      <c r="AA237" s="32">
        <v>1.0449999999999999</v>
      </c>
      <c r="AB237">
        <v>0</v>
      </c>
      <c r="AC237" s="34">
        <v>4.7E-2</v>
      </c>
      <c r="AD237" s="32">
        <v>0.28899999999999998</v>
      </c>
    </row>
    <row r="238" spans="1:30">
      <c r="A238">
        <v>236</v>
      </c>
      <c r="B238">
        <v>9</v>
      </c>
      <c r="C238">
        <v>0.26500000000000001</v>
      </c>
      <c r="D238">
        <v>1.28</v>
      </c>
      <c r="E238">
        <v>0</v>
      </c>
      <c r="F238">
        <v>0.93200000000000005</v>
      </c>
      <c r="G238">
        <v>0</v>
      </c>
      <c r="H238">
        <v>0.04</v>
      </c>
      <c r="I238">
        <v>0.246</v>
      </c>
      <c r="K238">
        <v>236</v>
      </c>
      <c r="L238">
        <v>9</v>
      </c>
      <c r="M238" s="32">
        <v>0.26500000000000001</v>
      </c>
      <c r="N238" s="47">
        <v>1.2789999999999999</v>
      </c>
      <c r="P238" s="32">
        <v>0.93200000000000005</v>
      </c>
      <c r="R238" s="47">
        <v>4.2000000000000003E-2</v>
      </c>
      <c r="S238" s="32">
        <v>0.246</v>
      </c>
      <c r="T238" s="31">
        <v>0</v>
      </c>
      <c r="V238">
        <v>236</v>
      </c>
      <c r="W238">
        <v>9</v>
      </c>
      <c r="X238">
        <v>0.27700000000000002</v>
      </c>
      <c r="Y238" s="32">
        <v>1.3120000000000001</v>
      </c>
      <c r="Z238">
        <v>0</v>
      </c>
      <c r="AA238" s="32">
        <v>1.046</v>
      </c>
      <c r="AB238">
        <v>0</v>
      </c>
      <c r="AC238" s="34">
        <v>4.7E-2</v>
      </c>
      <c r="AD238" s="32">
        <v>0.28999999999999998</v>
      </c>
    </row>
    <row r="239" spans="1:30">
      <c r="A239">
        <v>237</v>
      </c>
      <c r="B239">
        <v>9</v>
      </c>
      <c r="C239">
        <v>0.26600000000000001</v>
      </c>
      <c r="D239">
        <v>1.28</v>
      </c>
      <c r="E239">
        <v>0</v>
      </c>
      <c r="F239">
        <v>0.93300000000000005</v>
      </c>
      <c r="G239">
        <v>0</v>
      </c>
      <c r="H239">
        <v>0.04</v>
      </c>
      <c r="I239">
        <v>0.247</v>
      </c>
      <c r="K239">
        <v>237</v>
      </c>
      <c r="L239">
        <v>9</v>
      </c>
      <c r="M239" s="32">
        <v>0.26600000000000001</v>
      </c>
      <c r="N239" s="47">
        <v>1.282</v>
      </c>
      <c r="P239" s="32">
        <v>0.93300000000000005</v>
      </c>
      <c r="R239" s="47">
        <v>4.2000000000000003E-2</v>
      </c>
      <c r="S239" s="32">
        <v>0.247</v>
      </c>
      <c r="T239" s="31">
        <v>0</v>
      </c>
      <c r="V239">
        <v>237</v>
      </c>
      <c r="W239">
        <v>9</v>
      </c>
      <c r="X239">
        <v>0.27800000000000002</v>
      </c>
      <c r="Y239" s="32">
        <v>1.3149999999999999</v>
      </c>
      <c r="Z239">
        <v>0</v>
      </c>
      <c r="AA239" s="32">
        <v>1.0469999999999999</v>
      </c>
      <c r="AB239">
        <v>0</v>
      </c>
      <c r="AC239" s="34">
        <v>4.7E-2</v>
      </c>
      <c r="AD239" s="32">
        <v>0.29099999999999998</v>
      </c>
    </row>
    <row r="240" spans="1:30">
      <c r="A240">
        <v>238</v>
      </c>
      <c r="B240">
        <v>9</v>
      </c>
      <c r="C240">
        <v>0.26700000000000002</v>
      </c>
      <c r="D240">
        <v>1.28</v>
      </c>
      <c r="E240">
        <v>0</v>
      </c>
      <c r="F240">
        <v>0.93400000000000005</v>
      </c>
      <c r="G240">
        <v>0</v>
      </c>
      <c r="H240">
        <v>0.04</v>
      </c>
      <c r="I240">
        <v>0.248</v>
      </c>
      <c r="K240">
        <v>238</v>
      </c>
      <c r="L240">
        <v>9</v>
      </c>
      <c r="M240" s="32">
        <v>0.26700000000000002</v>
      </c>
      <c r="N240" s="47">
        <v>1.284</v>
      </c>
      <c r="P240" s="32">
        <v>0.93400000000000005</v>
      </c>
      <c r="R240" s="47">
        <v>4.2000000000000003E-2</v>
      </c>
      <c r="S240" s="32">
        <v>0.248</v>
      </c>
      <c r="T240" s="31">
        <v>0</v>
      </c>
      <c r="V240">
        <v>238</v>
      </c>
      <c r="W240">
        <v>9</v>
      </c>
      <c r="X240">
        <v>0.27900000000000003</v>
      </c>
      <c r="Y240" s="32">
        <v>1.3169999999999999</v>
      </c>
      <c r="Z240">
        <v>0</v>
      </c>
      <c r="AA240" s="32">
        <v>1.048</v>
      </c>
      <c r="AB240">
        <v>0</v>
      </c>
      <c r="AC240" s="34">
        <v>4.8000000000000001E-2</v>
      </c>
      <c r="AD240" s="32">
        <v>0.29299999999999998</v>
      </c>
    </row>
    <row r="241" spans="1:30">
      <c r="A241">
        <v>239</v>
      </c>
      <c r="B241">
        <v>9</v>
      </c>
      <c r="C241">
        <v>0.26800000000000002</v>
      </c>
      <c r="D241">
        <v>1.29</v>
      </c>
      <c r="E241">
        <v>0</v>
      </c>
      <c r="F241">
        <v>0.93400000000000005</v>
      </c>
      <c r="G241">
        <v>0</v>
      </c>
      <c r="H241">
        <v>0.04</v>
      </c>
      <c r="I241">
        <v>0.249</v>
      </c>
      <c r="K241">
        <v>239</v>
      </c>
      <c r="L241">
        <v>9</v>
      </c>
      <c r="M241" s="32">
        <v>0.26800000000000002</v>
      </c>
      <c r="N241" s="47">
        <v>1.2869999999999999</v>
      </c>
      <c r="P241" s="32">
        <v>0.93400000000000005</v>
      </c>
      <c r="R241" s="47">
        <v>4.2000000000000003E-2</v>
      </c>
      <c r="S241" s="32">
        <v>0.249</v>
      </c>
      <c r="T241" s="31">
        <v>0</v>
      </c>
      <c r="V241">
        <v>239</v>
      </c>
      <c r="W241">
        <v>9</v>
      </c>
      <c r="X241">
        <v>0.28000000000000003</v>
      </c>
      <c r="Y241" s="32">
        <v>1.32</v>
      </c>
      <c r="Z241">
        <v>0</v>
      </c>
      <c r="AA241" s="32">
        <v>1.05</v>
      </c>
      <c r="AB241">
        <v>0</v>
      </c>
      <c r="AC241" s="34">
        <v>4.8000000000000001E-2</v>
      </c>
      <c r="AD241" s="32">
        <v>0.29399999999999998</v>
      </c>
    </row>
    <row r="242" spans="1:30">
      <c r="A242">
        <v>240</v>
      </c>
      <c r="B242">
        <v>9</v>
      </c>
      <c r="C242">
        <v>0.26900000000000002</v>
      </c>
      <c r="D242">
        <v>1.29</v>
      </c>
      <c r="E242">
        <v>0</v>
      </c>
      <c r="F242">
        <v>0.93500000000000005</v>
      </c>
      <c r="G242">
        <v>0</v>
      </c>
      <c r="H242">
        <v>0.04</v>
      </c>
      <c r="I242">
        <v>0.25</v>
      </c>
      <c r="K242">
        <v>240</v>
      </c>
      <c r="L242">
        <v>9</v>
      </c>
      <c r="M242" s="32">
        <v>0.26900000000000002</v>
      </c>
      <c r="N242" s="32">
        <v>1.29</v>
      </c>
      <c r="P242" s="32">
        <v>0.93500000000000005</v>
      </c>
      <c r="R242" s="47">
        <v>4.2000000000000003E-2</v>
      </c>
      <c r="S242" s="32">
        <v>0.25</v>
      </c>
      <c r="T242" s="31">
        <v>0</v>
      </c>
      <c r="V242">
        <v>240</v>
      </c>
      <c r="W242">
        <v>9</v>
      </c>
      <c r="X242">
        <v>0.28100000000000003</v>
      </c>
      <c r="Y242" s="32">
        <v>1.323</v>
      </c>
      <c r="Z242">
        <v>0</v>
      </c>
      <c r="AA242" s="32">
        <v>1.0509999999999999</v>
      </c>
      <c r="AB242">
        <v>0</v>
      </c>
      <c r="AC242" s="34">
        <v>4.8000000000000001E-2</v>
      </c>
      <c r="AD242" s="32">
        <v>0.29499999999999998</v>
      </c>
    </row>
    <row r="243" spans="1:30">
      <c r="A243">
        <v>241</v>
      </c>
      <c r="B243">
        <v>9</v>
      </c>
      <c r="C243">
        <v>0.27</v>
      </c>
      <c r="D243">
        <v>1.29</v>
      </c>
      <c r="E243">
        <v>0</v>
      </c>
      <c r="F243">
        <v>0.93600000000000005</v>
      </c>
      <c r="G243">
        <v>0</v>
      </c>
      <c r="H243">
        <v>0.04</v>
      </c>
      <c r="I243">
        <v>0.251</v>
      </c>
      <c r="K243">
        <v>241</v>
      </c>
      <c r="L243">
        <v>9</v>
      </c>
      <c r="M243" s="32">
        <v>0.27</v>
      </c>
      <c r="N243" s="47">
        <v>1.2929999999999999</v>
      </c>
      <c r="P243" s="32">
        <v>0.93600000000000005</v>
      </c>
      <c r="R243" s="47">
        <v>4.2000000000000003E-2</v>
      </c>
      <c r="S243" s="32">
        <v>0.251</v>
      </c>
      <c r="T243" s="31">
        <v>0</v>
      </c>
      <c r="V243">
        <v>241</v>
      </c>
      <c r="W243">
        <v>9</v>
      </c>
      <c r="X243">
        <v>0.28199999999999997</v>
      </c>
      <c r="Y243" s="32">
        <v>1.3260000000000001</v>
      </c>
      <c r="Z243">
        <v>0</v>
      </c>
      <c r="AA243" s="32">
        <v>1.052</v>
      </c>
      <c r="AB243">
        <v>0</v>
      </c>
      <c r="AC243" s="34">
        <v>4.8000000000000001E-2</v>
      </c>
      <c r="AD243" s="32">
        <v>0.29699999999999999</v>
      </c>
    </row>
    <row r="244" spans="1:30">
      <c r="A244">
        <v>242</v>
      </c>
      <c r="B244">
        <v>9</v>
      </c>
      <c r="C244">
        <v>0.27100000000000002</v>
      </c>
      <c r="D244">
        <v>1.3</v>
      </c>
      <c r="E244">
        <v>0</v>
      </c>
      <c r="F244">
        <v>0.93600000000000005</v>
      </c>
      <c r="G244">
        <v>0</v>
      </c>
      <c r="H244">
        <v>0.04</v>
      </c>
      <c r="I244">
        <v>0.252</v>
      </c>
      <c r="K244">
        <v>242</v>
      </c>
      <c r="L244">
        <v>9</v>
      </c>
      <c r="M244" s="32">
        <v>0.27100000000000002</v>
      </c>
      <c r="N244" s="47">
        <v>1.2949999999999999</v>
      </c>
      <c r="P244" s="32">
        <v>0.93600000000000005</v>
      </c>
      <c r="R244" s="47">
        <v>4.2000000000000003E-2</v>
      </c>
      <c r="S244" s="32">
        <v>0.252</v>
      </c>
      <c r="T244" s="31">
        <v>0</v>
      </c>
      <c r="V244">
        <v>242</v>
      </c>
      <c r="W244">
        <v>10</v>
      </c>
      <c r="X244">
        <v>0.28299999999999997</v>
      </c>
      <c r="Y244" s="32">
        <v>1.3280000000000001</v>
      </c>
      <c r="Z244">
        <v>0</v>
      </c>
      <c r="AA244" s="32">
        <v>1.0529999999999999</v>
      </c>
      <c r="AB244">
        <v>0</v>
      </c>
      <c r="AC244" s="34">
        <v>4.8000000000000001E-2</v>
      </c>
      <c r="AD244" s="32">
        <v>0.29799999999999999</v>
      </c>
    </row>
    <row r="245" spans="1:30">
      <c r="A245">
        <v>243</v>
      </c>
      <c r="B245">
        <v>9</v>
      </c>
      <c r="C245">
        <v>0.27200000000000002</v>
      </c>
      <c r="D245">
        <v>1.3</v>
      </c>
      <c r="E245">
        <v>0</v>
      </c>
      <c r="F245">
        <v>0.93700000000000006</v>
      </c>
      <c r="G245">
        <v>0</v>
      </c>
      <c r="H245">
        <v>0.04</v>
      </c>
      <c r="I245">
        <v>0.253</v>
      </c>
      <c r="K245">
        <v>243</v>
      </c>
      <c r="L245">
        <v>9</v>
      </c>
      <c r="M245" s="32">
        <v>0.27200000000000002</v>
      </c>
      <c r="N245" s="47">
        <v>1.298</v>
      </c>
      <c r="P245" s="32">
        <v>0.93700000000000006</v>
      </c>
      <c r="R245" s="47">
        <v>4.2000000000000003E-2</v>
      </c>
      <c r="S245" s="32">
        <v>0.253</v>
      </c>
      <c r="T245" s="31">
        <v>0</v>
      </c>
      <c r="V245">
        <v>243</v>
      </c>
      <c r="W245">
        <v>10</v>
      </c>
      <c r="X245">
        <v>0.28399999999999997</v>
      </c>
      <c r="Y245" s="32">
        <v>1.331</v>
      </c>
      <c r="Z245">
        <v>0</v>
      </c>
      <c r="AA245" s="32">
        <v>1.054</v>
      </c>
      <c r="AB245">
        <v>0</v>
      </c>
      <c r="AC245" s="34">
        <v>4.8000000000000001E-2</v>
      </c>
      <c r="AD245" s="32">
        <v>0.29899999999999999</v>
      </c>
    </row>
    <row r="246" spans="1:30">
      <c r="A246">
        <v>244</v>
      </c>
      <c r="B246">
        <v>9</v>
      </c>
      <c r="C246">
        <v>0.27300000000000002</v>
      </c>
      <c r="D246">
        <v>1.3</v>
      </c>
      <c r="E246">
        <v>0</v>
      </c>
      <c r="F246">
        <v>0.93799999999999994</v>
      </c>
      <c r="G246">
        <v>0</v>
      </c>
      <c r="H246">
        <v>0.04</v>
      </c>
      <c r="I246">
        <v>0.254</v>
      </c>
      <c r="K246">
        <v>244</v>
      </c>
      <c r="L246">
        <v>9</v>
      </c>
      <c r="M246" s="32">
        <v>0.27300000000000002</v>
      </c>
      <c r="N246" s="47">
        <v>1.3009999999999999</v>
      </c>
      <c r="P246" s="32">
        <v>0.93799999999999994</v>
      </c>
      <c r="R246" s="47">
        <v>4.2000000000000003E-2</v>
      </c>
      <c r="S246" s="32">
        <v>0.254</v>
      </c>
      <c r="T246" s="31">
        <v>0</v>
      </c>
      <c r="V246">
        <v>244</v>
      </c>
      <c r="W246">
        <v>10</v>
      </c>
      <c r="X246">
        <v>0.28499999999999998</v>
      </c>
      <c r="Y246" s="32">
        <v>1.3340000000000001</v>
      </c>
      <c r="Z246">
        <v>0</v>
      </c>
      <c r="AA246" s="32">
        <v>1.0549999999999999</v>
      </c>
      <c r="AB246">
        <v>0</v>
      </c>
      <c r="AC246" s="34">
        <v>4.8000000000000001E-2</v>
      </c>
      <c r="AD246" s="32">
        <v>0.30099999999999999</v>
      </c>
    </row>
    <row r="247" spans="1:30">
      <c r="A247">
        <v>245</v>
      </c>
      <c r="B247">
        <v>9</v>
      </c>
      <c r="C247">
        <v>0.27400000000000002</v>
      </c>
      <c r="D247">
        <v>1.3</v>
      </c>
      <c r="E247">
        <v>0</v>
      </c>
      <c r="F247">
        <v>0.93899999999999995</v>
      </c>
      <c r="G247">
        <v>0</v>
      </c>
      <c r="H247">
        <v>0.04</v>
      </c>
      <c r="I247">
        <v>0.25600000000000001</v>
      </c>
      <c r="K247">
        <v>245</v>
      </c>
      <c r="L247">
        <v>9</v>
      </c>
      <c r="M247" s="32">
        <v>0.27400000000000002</v>
      </c>
      <c r="N247" s="47">
        <v>1.304</v>
      </c>
      <c r="P247" s="32">
        <v>0.93899999999999995</v>
      </c>
      <c r="R247" s="47">
        <v>4.2999999999999997E-2</v>
      </c>
      <c r="S247" s="32">
        <v>0.25600000000000001</v>
      </c>
      <c r="T247" s="31">
        <v>0</v>
      </c>
      <c r="V247">
        <v>245</v>
      </c>
      <c r="W247">
        <v>10</v>
      </c>
      <c r="X247">
        <v>0.28599999999999998</v>
      </c>
      <c r="Y247" s="32">
        <v>1.337</v>
      </c>
      <c r="Z247">
        <v>0</v>
      </c>
      <c r="AA247" s="32">
        <v>1.056</v>
      </c>
      <c r="AB247">
        <v>0</v>
      </c>
      <c r="AC247" s="34">
        <v>4.8000000000000001E-2</v>
      </c>
      <c r="AD247" s="32">
        <v>0.30199999999999999</v>
      </c>
    </row>
    <row r="248" spans="1:30">
      <c r="A248">
        <v>246</v>
      </c>
      <c r="B248">
        <v>9</v>
      </c>
      <c r="C248">
        <v>0.27500000000000002</v>
      </c>
      <c r="D248">
        <v>1.31</v>
      </c>
      <c r="E248">
        <v>0</v>
      </c>
      <c r="F248">
        <v>0.93899999999999995</v>
      </c>
      <c r="G248">
        <v>0</v>
      </c>
      <c r="H248">
        <v>0.04</v>
      </c>
      <c r="I248">
        <v>0.25700000000000001</v>
      </c>
      <c r="K248">
        <v>246</v>
      </c>
      <c r="L248">
        <v>9</v>
      </c>
      <c r="M248" s="32">
        <v>0.27500000000000002</v>
      </c>
      <c r="N248" s="47">
        <v>1.306</v>
      </c>
      <c r="P248" s="32">
        <v>0.93899999999999995</v>
      </c>
      <c r="R248" s="47">
        <v>4.2999999999999997E-2</v>
      </c>
      <c r="S248" s="32">
        <v>0.25700000000000001</v>
      </c>
      <c r="T248" s="31">
        <v>0</v>
      </c>
      <c r="V248">
        <v>246</v>
      </c>
      <c r="W248">
        <v>10</v>
      </c>
      <c r="X248">
        <v>0.28699999999999998</v>
      </c>
      <c r="Y248" s="32">
        <v>1.339</v>
      </c>
      <c r="Z248">
        <v>0</v>
      </c>
      <c r="AA248" s="32">
        <v>1.0580000000000001</v>
      </c>
      <c r="AB248">
        <v>0</v>
      </c>
      <c r="AC248" s="34">
        <v>4.9000000000000002E-2</v>
      </c>
      <c r="AD248" s="32">
        <v>0.30399999999999999</v>
      </c>
    </row>
    <row r="249" spans="1:30">
      <c r="A249">
        <v>247</v>
      </c>
      <c r="B249">
        <v>9</v>
      </c>
      <c r="C249">
        <v>0.27600000000000002</v>
      </c>
      <c r="D249">
        <v>1.31</v>
      </c>
      <c r="E249">
        <v>0</v>
      </c>
      <c r="F249">
        <v>0.94</v>
      </c>
      <c r="G249">
        <v>0</v>
      </c>
      <c r="H249">
        <v>0.04</v>
      </c>
      <c r="I249">
        <v>0.25800000000000001</v>
      </c>
      <c r="K249">
        <v>247</v>
      </c>
      <c r="L249">
        <v>9</v>
      </c>
      <c r="M249" s="32">
        <v>0.27600000000000002</v>
      </c>
      <c r="N249" s="47">
        <v>1.3089999999999999</v>
      </c>
      <c r="P249" s="32">
        <v>0.94</v>
      </c>
      <c r="R249" s="47">
        <v>4.2999999999999997E-2</v>
      </c>
      <c r="S249" s="32">
        <v>0.25800000000000001</v>
      </c>
      <c r="T249" s="31">
        <v>0</v>
      </c>
      <c r="V249">
        <v>247</v>
      </c>
      <c r="W249">
        <v>10</v>
      </c>
      <c r="X249">
        <v>0.28799999999999998</v>
      </c>
      <c r="Y249" s="32">
        <v>1.3420000000000001</v>
      </c>
      <c r="Z249">
        <v>0</v>
      </c>
      <c r="AA249" s="32">
        <v>1.0589999999999999</v>
      </c>
      <c r="AB249">
        <v>0</v>
      </c>
      <c r="AC249" s="34">
        <v>4.9000000000000002E-2</v>
      </c>
      <c r="AD249" s="32">
        <v>0.30499999999999999</v>
      </c>
    </row>
    <row r="250" spans="1:30">
      <c r="A250">
        <v>248</v>
      </c>
      <c r="B250">
        <v>9</v>
      </c>
      <c r="C250">
        <v>0.27700000000000002</v>
      </c>
      <c r="D250">
        <v>1.31</v>
      </c>
      <c r="E250">
        <v>0</v>
      </c>
      <c r="F250">
        <v>0.94099999999999995</v>
      </c>
      <c r="G250">
        <v>0</v>
      </c>
      <c r="H250">
        <v>0.04</v>
      </c>
      <c r="I250">
        <v>0.25900000000000001</v>
      </c>
      <c r="K250">
        <v>248</v>
      </c>
      <c r="L250">
        <v>9</v>
      </c>
      <c r="M250" s="32">
        <v>0.27700000000000002</v>
      </c>
      <c r="N250" s="47">
        <v>1.3120000000000001</v>
      </c>
      <c r="P250" s="32">
        <v>0.94099999999999995</v>
      </c>
      <c r="R250" s="47">
        <v>4.2999999999999997E-2</v>
      </c>
      <c r="S250" s="32">
        <v>0.25900000000000001</v>
      </c>
      <c r="T250" s="31">
        <v>0</v>
      </c>
      <c r="V250">
        <v>248</v>
      </c>
      <c r="W250">
        <v>10</v>
      </c>
      <c r="X250">
        <v>0.28899999999999998</v>
      </c>
      <c r="Y250" s="32">
        <v>1.345</v>
      </c>
      <c r="Z250">
        <v>0</v>
      </c>
      <c r="AA250" s="32">
        <v>1.06</v>
      </c>
      <c r="AB250">
        <v>0</v>
      </c>
      <c r="AC250" s="34">
        <v>4.9000000000000002E-2</v>
      </c>
      <c r="AD250" s="32">
        <v>0.307</v>
      </c>
    </row>
    <row r="251" spans="1:30">
      <c r="A251">
        <v>249</v>
      </c>
      <c r="B251">
        <v>9</v>
      </c>
      <c r="C251">
        <v>0.27800000000000002</v>
      </c>
      <c r="D251">
        <v>1.31</v>
      </c>
      <c r="E251">
        <v>0</v>
      </c>
      <c r="F251">
        <v>0.94199999999999995</v>
      </c>
      <c r="G251">
        <v>0</v>
      </c>
      <c r="H251">
        <v>0.04</v>
      </c>
      <c r="I251">
        <v>0.26</v>
      </c>
      <c r="K251">
        <v>249</v>
      </c>
      <c r="L251">
        <v>9</v>
      </c>
      <c r="M251" s="32">
        <v>0.27800000000000002</v>
      </c>
      <c r="N251" s="47">
        <v>1.3149999999999999</v>
      </c>
      <c r="P251" s="32">
        <v>0.94199999999999995</v>
      </c>
      <c r="R251" s="47">
        <v>4.2999999999999997E-2</v>
      </c>
      <c r="S251" s="32">
        <v>0.26</v>
      </c>
      <c r="T251" s="31">
        <v>0</v>
      </c>
      <c r="V251">
        <v>249</v>
      </c>
      <c r="W251">
        <v>10</v>
      </c>
      <c r="X251">
        <v>0.28999999999999998</v>
      </c>
      <c r="Y251" s="32">
        <v>1.3480000000000001</v>
      </c>
      <c r="Z251">
        <v>0</v>
      </c>
      <c r="AA251" s="32">
        <v>1.0609999999999999</v>
      </c>
      <c r="AB251">
        <v>0</v>
      </c>
      <c r="AC251" s="34">
        <v>4.9000000000000002E-2</v>
      </c>
      <c r="AD251" s="32">
        <v>0.308</v>
      </c>
    </row>
    <row r="252" spans="1:30">
      <c r="A252">
        <v>250</v>
      </c>
      <c r="B252">
        <v>9</v>
      </c>
      <c r="C252">
        <v>0.27900000000000003</v>
      </c>
      <c r="D252">
        <v>1.32</v>
      </c>
      <c r="E252">
        <v>0</v>
      </c>
      <c r="F252">
        <v>0.94199999999999995</v>
      </c>
      <c r="G252">
        <v>0</v>
      </c>
      <c r="H252">
        <v>0.04</v>
      </c>
      <c r="I252">
        <v>0.26100000000000001</v>
      </c>
      <c r="K252">
        <v>250</v>
      </c>
      <c r="L252">
        <v>9</v>
      </c>
      <c r="M252" s="32">
        <v>0.27900000000000003</v>
      </c>
      <c r="N252" s="47">
        <v>1.3169999999999999</v>
      </c>
      <c r="P252" s="32">
        <v>0.94199999999999995</v>
      </c>
      <c r="R252" s="47">
        <v>4.2999999999999997E-2</v>
      </c>
      <c r="S252" s="32">
        <v>0.26100000000000001</v>
      </c>
      <c r="T252" s="31">
        <v>0</v>
      </c>
      <c r="V252">
        <v>250</v>
      </c>
      <c r="W252">
        <v>10</v>
      </c>
      <c r="X252">
        <v>0.29099999999999998</v>
      </c>
      <c r="Y252" s="32">
        <v>1.35</v>
      </c>
      <c r="Z252">
        <v>0</v>
      </c>
      <c r="AA252" s="32">
        <v>1.0620000000000001</v>
      </c>
      <c r="AB252">
        <v>0</v>
      </c>
      <c r="AC252" s="34">
        <v>4.9000000000000002E-2</v>
      </c>
      <c r="AD252" s="32">
        <v>0.309</v>
      </c>
    </row>
    <row r="253" spans="1:30">
      <c r="A253">
        <v>251</v>
      </c>
      <c r="B253">
        <v>10</v>
      </c>
      <c r="C253">
        <v>0.28000000000000003</v>
      </c>
      <c r="D253">
        <v>1.32</v>
      </c>
      <c r="E253">
        <v>0</v>
      </c>
      <c r="F253">
        <v>0.94299999999999995</v>
      </c>
      <c r="G253">
        <v>0</v>
      </c>
      <c r="H253">
        <v>4.2999999999999997E-2</v>
      </c>
      <c r="I253">
        <v>0.26200000000000001</v>
      </c>
      <c r="K253">
        <v>251</v>
      </c>
      <c r="L253">
        <v>10</v>
      </c>
      <c r="M253" s="32">
        <v>0.28000000000000003</v>
      </c>
      <c r="N253" s="32">
        <v>1.32</v>
      </c>
      <c r="P253" s="32">
        <v>0.94299999999999995</v>
      </c>
      <c r="R253" s="32">
        <v>4.2999999999999997E-2</v>
      </c>
      <c r="S253" s="32">
        <v>0.26200000000000001</v>
      </c>
      <c r="T253" s="31">
        <v>0</v>
      </c>
      <c r="V253">
        <v>251</v>
      </c>
      <c r="W253">
        <v>10</v>
      </c>
      <c r="X253">
        <v>0.29199999999999998</v>
      </c>
      <c r="Y253" s="32">
        <v>1.353</v>
      </c>
      <c r="Z253">
        <v>0</v>
      </c>
      <c r="AA253" s="32">
        <v>1.0629999999999999</v>
      </c>
      <c r="AB253">
        <v>0</v>
      </c>
      <c r="AC253" s="34">
        <v>4.9000000000000002E-2</v>
      </c>
      <c r="AD253" s="32">
        <v>0.311</v>
      </c>
    </row>
    <row r="254" spans="1:30">
      <c r="A254">
        <v>252</v>
      </c>
      <c r="B254">
        <v>10</v>
      </c>
      <c r="C254">
        <v>0.28100000000000003</v>
      </c>
      <c r="D254">
        <v>1.32</v>
      </c>
      <c r="E254">
        <v>0</v>
      </c>
      <c r="F254">
        <v>0.94399999999999995</v>
      </c>
      <c r="G254">
        <v>0</v>
      </c>
      <c r="H254">
        <v>4.2999999999999997E-2</v>
      </c>
      <c r="I254">
        <v>0.26300000000000001</v>
      </c>
      <c r="K254">
        <v>252</v>
      </c>
      <c r="L254">
        <v>10</v>
      </c>
      <c r="M254" s="32">
        <v>0.28100000000000003</v>
      </c>
      <c r="N254" s="47">
        <v>1.323</v>
      </c>
      <c r="P254" s="32">
        <v>0.94399999999999995</v>
      </c>
      <c r="R254" s="32">
        <v>4.2999999999999997E-2</v>
      </c>
      <c r="S254" s="32">
        <v>0.26300000000000001</v>
      </c>
      <c r="T254" s="31">
        <v>0</v>
      </c>
      <c r="V254">
        <v>252</v>
      </c>
      <c r="W254">
        <v>10</v>
      </c>
      <c r="X254">
        <v>0.29299999999999998</v>
      </c>
      <c r="Y254" s="32">
        <v>1.3560000000000001</v>
      </c>
      <c r="Z254">
        <v>0</v>
      </c>
      <c r="AA254" s="32">
        <v>1.0649999999999999</v>
      </c>
      <c r="AB254">
        <v>0</v>
      </c>
      <c r="AC254" s="34">
        <v>0.05</v>
      </c>
      <c r="AD254" s="32">
        <v>0.312</v>
      </c>
    </row>
    <row r="255" spans="1:30">
      <c r="A255">
        <v>253</v>
      </c>
      <c r="B255">
        <v>10</v>
      </c>
      <c r="C255">
        <v>0.28199999999999997</v>
      </c>
      <c r="D255">
        <v>1.33</v>
      </c>
      <c r="E255">
        <v>0</v>
      </c>
      <c r="F255">
        <v>0.94399999999999995</v>
      </c>
      <c r="G255">
        <v>0</v>
      </c>
      <c r="H255">
        <v>4.2999999999999997E-2</v>
      </c>
      <c r="I255">
        <v>0.26400000000000001</v>
      </c>
      <c r="K255">
        <v>253</v>
      </c>
      <c r="L255">
        <v>10</v>
      </c>
      <c r="M255" s="32">
        <v>0.28199999999999997</v>
      </c>
      <c r="N255" s="47">
        <v>1.3260000000000001</v>
      </c>
      <c r="P255" s="32">
        <v>0.94399999999999995</v>
      </c>
      <c r="R255" s="32">
        <v>4.2999999999999997E-2</v>
      </c>
      <c r="S255" s="32">
        <v>0.26400000000000001</v>
      </c>
      <c r="T255" s="31">
        <v>0</v>
      </c>
      <c r="V255">
        <v>253</v>
      </c>
      <c r="W255">
        <v>10</v>
      </c>
      <c r="X255">
        <v>0.29399999999999998</v>
      </c>
      <c r="Y255" s="32">
        <v>1.359</v>
      </c>
      <c r="Z255">
        <v>0</v>
      </c>
      <c r="AA255" s="32">
        <v>1.0660000000000001</v>
      </c>
      <c r="AB255">
        <v>0</v>
      </c>
      <c r="AC255" s="34">
        <v>0.05</v>
      </c>
      <c r="AD255" s="32">
        <v>0.314</v>
      </c>
    </row>
    <row r="256" spans="1:30">
      <c r="A256">
        <v>254</v>
      </c>
      <c r="B256">
        <v>10</v>
      </c>
      <c r="C256">
        <v>0.28299999999999997</v>
      </c>
      <c r="D256">
        <v>1.33</v>
      </c>
      <c r="E256">
        <v>0</v>
      </c>
      <c r="F256">
        <v>0.94499999999999995</v>
      </c>
      <c r="G256">
        <v>0</v>
      </c>
      <c r="H256">
        <v>4.2999999999999997E-2</v>
      </c>
      <c r="I256">
        <v>0.26500000000000001</v>
      </c>
      <c r="K256">
        <v>254</v>
      </c>
      <c r="L256">
        <v>10</v>
      </c>
      <c r="M256" s="32">
        <v>0.28299999999999997</v>
      </c>
      <c r="N256" s="47">
        <v>1.3280000000000001</v>
      </c>
      <c r="P256" s="32">
        <v>0.94499999999999995</v>
      </c>
      <c r="R256" s="32">
        <v>4.2999999999999997E-2</v>
      </c>
      <c r="S256" s="32">
        <v>0.26500000000000001</v>
      </c>
      <c r="T256" s="31">
        <v>0</v>
      </c>
      <c r="V256">
        <v>254</v>
      </c>
      <c r="W256">
        <v>10</v>
      </c>
      <c r="X256">
        <v>0.29499999999999998</v>
      </c>
      <c r="Y256" s="32">
        <v>1.361</v>
      </c>
      <c r="Z256">
        <v>0</v>
      </c>
      <c r="AA256" s="32">
        <v>1.0669999999999999</v>
      </c>
      <c r="AB256">
        <v>0</v>
      </c>
      <c r="AC256" s="34">
        <v>0.05</v>
      </c>
      <c r="AD256" s="32">
        <v>0.315</v>
      </c>
    </row>
    <row r="257" spans="1:30">
      <c r="A257">
        <v>255</v>
      </c>
      <c r="B257">
        <v>10</v>
      </c>
      <c r="C257">
        <v>0.28399999999999997</v>
      </c>
      <c r="D257">
        <v>1.33</v>
      </c>
      <c r="E257">
        <v>0</v>
      </c>
      <c r="F257">
        <v>0.94599999999999995</v>
      </c>
      <c r="G257">
        <v>0</v>
      </c>
      <c r="H257">
        <v>4.2999999999999997E-2</v>
      </c>
      <c r="I257">
        <v>0.26700000000000002</v>
      </c>
      <c r="K257">
        <v>255</v>
      </c>
      <c r="L257">
        <v>10</v>
      </c>
      <c r="M257" s="32">
        <v>0.28399999999999997</v>
      </c>
      <c r="N257" s="47">
        <v>1.331</v>
      </c>
      <c r="P257" s="32">
        <v>0.94599999999999995</v>
      </c>
      <c r="R257" s="32">
        <v>4.2999999999999997E-2</v>
      </c>
      <c r="S257" s="32">
        <v>0.26700000000000002</v>
      </c>
      <c r="T257" s="31">
        <v>0</v>
      </c>
      <c r="V257">
        <v>255</v>
      </c>
      <c r="W257">
        <v>10</v>
      </c>
      <c r="X257">
        <v>0.29599999999999999</v>
      </c>
      <c r="Y257" s="32">
        <v>1.3640000000000001</v>
      </c>
      <c r="Z257">
        <v>0</v>
      </c>
      <c r="AA257" s="32">
        <v>1.0680000000000001</v>
      </c>
      <c r="AB257">
        <v>0</v>
      </c>
      <c r="AC257" s="34">
        <v>0.05</v>
      </c>
      <c r="AD257" s="32">
        <v>0.316</v>
      </c>
    </row>
    <row r="258" spans="1:30">
      <c r="A258">
        <v>256</v>
      </c>
      <c r="B258">
        <v>10</v>
      </c>
      <c r="C258">
        <v>0.28499999999999998</v>
      </c>
      <c r="D258">
        <v>1.33</v>
      </c>
      <c r="E258">
        <v>0</v>
      </c>
      <c r="F258">
        <v>0.94699999999999995</v>
      </c>
      <c r="G258">
        <v>0</v>
      </c>
      <c r="H258">
        <v>4.2999999999999997E-2</v>
      </c>
      <c r="I258">
        <v>0.26800000000000002</v>
      </c>
      <c r="K258">
        <v>256</v>
      </c>
      <c r="L258">
        <v>10</v>
      </c>
      <c r="M258" s="32">
        <v>0.28499999999999998</v>
      </c>
      <c r="N258" s="47">
        <v>1.3340000000000001</v>
      </c>
      <c r="P258" s="32">
        <v>0.94699999999999995</v>
      </c>
      <c r="R258" s="32">
        <v>4.2999999999999997E-2</v>
      </c>
      <c r="S258" s="32">
        <v>0.26800000000000002</v>
      </c>
      <c r="T258" s="31">
        <v>0</v>
      </c>
      <c r="V258">
        <v>256</v>
      </c>
      <c r="W258">
        <v>10</v>
      </c>
      <c r="X258">
        <v>0.29699999999999999</v>
      </c>
      <c r="Y258" s="32">
        <v>1.367</v>
      </c>
      <c r="Z258">
        <v>0</v>
      </c>
      <c r="AA258" s="32">
        <v>1.069</v>
      </c>
      <c r="AB258">
        <v>0</v>
      </c>
      <c r="AC258" s="34">
        <v>0.05</v>
      </c>
      <c r="AD258" s="32">
        <v>0.318</v>
      </c>
    </row>
    <row r="259" spans="1:30">
      <c r="A259">
        <v>257</v>
      </c>
      <c r="B259">
        <v>10</v>
      </c>
      <c r="C259">
        <v>0.28599999999999998</v>
      </c>
      <c r="D259">
        <v>1.34</v>
      </c>
      <c r="E259">
        <v>0</v>
      </c>
      <c r="F259">
        <v>0.94699999999999995</v>
      </c>
      <c r="G259">
        <v>0</v>
      </c>
      <c r="H259">
        <v>4.2999999999999997E-2</v>
      </c>
      <c r="I259">
        <v>0.26900000000000002</v>
      </c>
      <c r="K259">
        <v>257</v>
      </c>
      <c r="L259">
        <v>10</v>
      </c>
      <c r="M259" s="32">
        <v>0.28599999999999998</v>
      </c>
      <c r="N259" s="47">
        <v>1.337</v>
      </c>
      <c r="P259" s="32">
        <v>0.94699999999999995</v>
      </c>
      <c r="R259" s="32">
        <v>4.2999999999999997E-2</v>
      </c>
      <c r="S259" s="32">
        <v>0.26900000000000002</v>
      </c>
      <c r="T259" s="31">
        <v>0</v>
      </c>
      <c r="V259">
        <v>257</v>
      </c>
      <c r="W259">
        <v>10</v>
      </c>
      <c r="X259">
        <v>0.29799999999999999</v>
      </c>
      <c r="Y259" s="32">
        <v>1.37</v>
      </c>
      <c r="Z259">
        <v>0</v>
      </c>
      <c r="AA259" s="32">
        <v>1.07</v>
      </c>
      <c r="AB259">
        <v>0</v>
      </c>
      <c r="AC259" s="34">
        <v>0.05</v>
      </c>
      <c r="AD259" s="32">
        <v>0.31900000000000001</v>
      </c>
    </row>
    <row r="260" spans="1:30">
      <c r="A260">
        <v>258</v>
      </c>
      <c r="B260">
        <v>10</v>
      </c>
      <c r="C260">
        <v>0.28699999999999998</v>
      </c>
      <c r="D260">
        <v>1.34</v>
      </c>
      <c r="E260">
        <v>0</v>
      </c>
      <c r="F260">
        <v>0.94799999999999995</v>
      </c>
      <c r="G260">
        <v>0</v>
      </c>
      <c r="H260">
        <v>4.2999999999999997E-2</v>
      </c>
      <c r="I260">
        <v>0.27</v>
      </c>
      <c r="K260">
        <v>258</v>
      </c>
      <c r="L260">
        <v>10</v>
      </c>
      <c r="M260" s="32">
        <v>0.28699999999999998</v>
      </c>
      <c r="N260" s="47">
        <v>1.339</v>
      </c>
      <c r="P260" s="32">
        <v>0.94799999999999995</v>
      </c>
      <c r="R260" s="32">
        <v>4.2999999999999997E-2</v>
      </c>
      <c r="S260" s="32">
        <v>0.27</v>
      </c>
      <c r="T260" s="31">
        <v>0</v>
      </c>
      <c r="V260">
        <v>258</v>
      </c>
      <c r="W260">
        <v>10</v>
      </c>
      <c r="X260">
        <v>0.29899999999999999</v>
      </c>
      <c r="Y260" s="32">
        <v>1.3720000000000001</v>
      </c>
      <c r="Z260">
        <v>0</v>
      </c>
      <c r="AA260" s="32">
        <v>1.0720000000000001</v>
      </c>
      <c r="AB260">
        <v>0</v>
      </c>
      <c r="AC260" s="34">
        <v>5.0999999999999997E-2</v>
      </c>
      <c r="AD260" s="32">
        <v>0.32100000000000001</v>
      </c>
    </row>
    <row r="261" spans="1:30">
      <c r="A261">
        <v>259</v>
      </c>
      <c r="B261">
        <v>10</v>
      </c>
      <c r="C261">
        <v>0.28799999999999998</v>
      </c>
      <c r="D261">
        <v>1.34</v>
      </c>
      <c r="E261">
        <v>0</v>
      </c>
      <c r="F261">
        <v>0.94899999999999995</v>
      </c>
      <c r="G261">
        <v>0</v>
      </c>
      <c r="H261">
        <v>4.2999999999999997E-2</v>
      </c>
      <c r="I261">
        <v>0.27100000000000002</v>
      </c>
      <c r="K261">
        <v>259</v>
      </c>
      <c r="L261">
        <v>10</v>
      </c>
      <c r="M261" s="32">
        <v>0.28799999999999998</v>
      </c>
      <c r="N261" s="47">
        <v>1.3420000000000001</v>
      </c>
      <c r="P261" s="32">
        <v>0.94899999999999995</v>
      </c>
      <c r="R261" s="32">
        <v>4.2999999999999997E-2</v>
      </c>
      <c r="S261" s="32">
        <v>0.27100000000000002</v>
      </c>
      <c r="T261" s="31">
        <v>0</v>
      </c>
      <c r="V261">
        <v>259</v>
      </c>
      <c r="W261">
        <v>10</v>
      </c>
      <c r="X261">
        <v>0.3</v>
      </c>
      <c r="Y261" s="32">
        <v>1.375</v>
      </c>
      <c r="Z261">
        <v>0</v>
      </c>
      <c r="AA261" s="32">
        <v>1.073</v>
      </c>
      <c r="AB261">
        <v>0</v>
      </c>
      <c r="AC261" s="34">
        <v>5.0999999999999997E-2</v>
      </c>
      <c r="AD261" s="32">
        <v>0.32200000000000001</v>
      </c>
    </row>
    <row r="262" spans="1:30">
      <c r="A262">
        <v>260</v>
      </c>
      <c r="B262">
        <v>10</v>
      </c>
      <c r="C262">
        <v>0.28899999999999998</v>
      </c>
      <c r="D262">
        <v>1.34</v>
      </c>
      <c r="E262">
        <v>0</v>
      </c>
      <c r="F262">
        <v>0.95</v>
      </c>
      <c r="G262">
        <v>0</v>
      </c>
      <c r="H262">
        <v>4.2999999999999997E-2</v>
      </c>
      <c r="I262">
        <v>0.27200000000000002</v>
      </c>
      <c r="K262">
        <v>260</v>
      </c>
      <c r="L262">
        <v>10</v>
      </c>
      <c r="M262" s="32">
        <v>0.28899999999999998</v>
      </c>
      <c r="N262" s="47">
        <v>1.345</v>
      </c>
      <c r="P262" s="32">
        <v>0.95</v>
      </c>
      <c r="R262" s="32">
        <v>4.2999999999999997E-2</v>
      </c>
      <c r="S262" s="32">
        <v>0.27200000000000002</v>
      </c>
      <c r="T262" s="31">
        <v>0</v>
      </c>
      <c r="V262">
        <v>260</v>
      </c>
      <c r="W262">
        <v>10</v>
      </c>
      <c r="X262">
        <v>0.30099999999999999</v>
      </c>
      <c r="Y262" s="32">
        <v>1.3779999999999999</v>
      </c>
      <c r="Z262">
        <v>0</v>
      </c>
      <c r="AA262" s="32">
        <v>1.0740000000000001</v>
      </c>
      <c r="AB262">
        <v>0</v>
      </c>
      <c r="AC262" s="34">
        <v>5.0999999999999997E-2</v>
      </c>
      <c r="AD262" s="32">
        <v>0.32400000000000001</v>
      </c>
    </row>
    <row r="263" spans="1:30">
      <c r="A263">
        <v>261</v>
      </c>
      <c r="B263">
        <v>10</v>
      </c>
      <c r="C263">
        <v>0.28999999999999998</v>
      </c>
      <c r="D263">
        <v>1.35</v>
      </c>
      <c r="E263">
        <v>0</v>
      </c>
      <c r="F263">
        <v>0.95</v>
      </c>
      <c r="G263">
        <v>0</v>
      </c>
      <c r="H263">
        <v>4.2999999999999997E-2</v>
      </c>
      <c r="I263">
        <v>0.27300000000000002</v>
      </c>
      <c r="K263">
        <v>261</v>
      </c>
      <c r="L263">
        <v>10</v>
      </c>
      <c r="M263" s="32">
        <v>0.28999999999999998</v>
      </c>
      <c r="N263" s="47">
        <v>1.3480000000000001</v>
      </c>
      <c r="P263" s="32">
        <v>0.95</v>
      </c>
      <c r="R263" s="47">
        <v>4.3999999999999997E-2</v>
      </c>
      <c r="S263" s="32">
        <v>0.27300000000000002</v>
      </c>
      <c r="T263" s="31">
        <v>0</v>
      </c>
      <c r="V263">
        <v>261</v>
      </c>
      <c r="W263">
        <v>10</v>
      </c>
      <c r="X263">
        <v>0.30199999999999999</v>
      </c>
      <c r="Y263" s="32">
        <v>1.381</v>
      </c>
      <c r="Z263">
        <v>0</v>
      </c>
      <c r="AA263" s="32">
        <v>1.075</v>
      </c>
      <c r="AB263">
        <v>0</v>
      </c>
      <c r="AC263" s="34">
        <v>5.0999999999999997E-2</v>
      </c>
      <c r="AD263" s="32">
        <v>0.32500000000000001</v>
      </c>
    </row>
    <row r="264" spans="1:30">
      <c r="A264">
        <v>262</v>
      </c>
      <c r="B264">
        <v>10</v>
      </c>
      <c r="C264">
        <v>0.29099999999999998</v>
      </c>
      <c r="D264">
        <v>1.35</v>
      </c>
      <c r="E264">
        <v>0</v>
      </c>
      <c r="F264">
        <v>0.95099999999999996</v>
      </c>
      <c r="G264">
        <v>0</v>
      </c>
      <c r="H264">
        <v>4.2999999999999997E-2</v>
      </c>
      <c r="I264">
        <v>0.27400000000000002</v>
      </c>
      <c r="K264">
        <v>262</v>
      </c>
      <c r="L264">
        <v>10</v>
      </c>
      <c r="M264" s="32">
        <v>0.29099999999999998</v>
      </c>
      <c r="N264" s="32">
        <v>1.35</v>
      </c>
      <c r="P264" s="32">
        <v>0.95099999999999996</v>
      </c>
      <c r="R264" s="47">
        <v>4.3999999999999997E-2</v>
      </c>
      <c r="S264" s="32">
        <v>0.27400000000000002</v>
      </c>
      <c r="T264" s="31">
        <v>0</v>
      </c>
      <c r="V264">
        <v>262</v>
      </c>
      <c r="W264">
        <v>10</v>
      </c>
      <c r="X264">
        <v>0.30299999999999999</v>
      </c>
      <c r="Y264" s="32">
        <v>1.383</v>
      </c>
      <c r="Z264">
        <v>0</v>
      </c>
      <c r="AA264" s="32">
        <v>1.0760000000000001</v>
      </c>
      <c r="AB264">
        <v>0</v>
      </c>
      <c r="AC264" s="34">
        <v>5.0999999999999997E-2</v>
      </c>
      <c r="AD264" s="32">
        <v>0.32600000000000001</v>
      </c>
    </row>
    <row r="265" spans="1:30">
      <c r="A265">
        <v>263</v>
      </c>
      <c r="B265">
        <v>10</v>
      </c>
      <c r="C265">
        <v>0.29199999999999998</v>
      </c>
      <c r="D265">
        <v>1.35</v>
      </c>
      <c r="E265">
        <v>0</v>
      </c>
      <c r="F265">
        <v>0.95199999999999996</v>
      </c>
      <c r="G265">
        <v>0</v>
      </c>
      <c r="H265">
        <v>4.2999999999999997E-2</v>
      </c>
      <c r="I265">
        <v>0.27600000000000002</v>
      </c>
      <c r="K265">
        <v>263</v>
      </c>
      <c r="L265">
        <v>10</v>
      </c>
      <c r="M265" s="32">
        <v>0.29199999999999998</v>
      </c>
      <c r="N265" s="47">
        <v>1.353</v>
      </c>
      <c r="P265" s="32">
        <v>0.95199999999999996</v>
      </c>
      <c r="R265" s="47">
        <v>4.3999999999999997E-2</v>
      </c>
      <c r="S265" s="32">
        <v>0.27600000000000002</v>
      </c>
      <c r="T265" s="31">
        <v>0</v>
      </c>
      <c r="V265">
        <v>263</v>
      </c>
      <c r="W265">
        <v>10</v>
      </c>
      <c r="X265">
        <v>0.30399999999999999</v>
      </c>
      <c r="Y265" s="32">
        <v>1.3859999999999999</v>
      </c>
      <c r="Z265">
        <v>0</v>
      </c>
      <c r="AA265" s="32">
        <v>1.077</v>
      </c>
      <c r="AB265">
        <v>0</v>
      </c>
      <c r="AC265" s="34">
        <v>5.0999999999999997E-2</v>
      </c>
      <c r="AD265" s="32">
        <v>0.32800000000000001</v>
      </c>
    </row>
    <row r="266" spans="1:30">
      <c r="A266">
        <v>264</v>
      </c>
      <c r="B266">
        <v>10</v>
      </c>
      <c r="C266">
        <v>0.29299999999999998</v>
      </c>
      <c r="D266">
        <v>1.36</v>
      </c>
      <c r="E266">
        <v>0</v>
      </c>
      <c r="F266">
        <v>0.95199999999999996</v>
      </c>
      <c r="G266">
        <v>0</v>
      </c>
      <c r="H266">
        <v>4.2999999999999997E-2</v>
      </c>
      <c r="I266">
        <v>0.27700000000000002</v>
      </c>
      <c r="K266">
        <v>264</v>
      </c>
      <c r="L266">
        <v>10</v>
      </c>
      <c r="M266" s="32">
        <v>0.29299999999999998</v>
      </c>
      <c r="N266" s="47">
        <v>1.3560000000000001</v>
      </c>
      <c r="P266" s="32">
        <v>0.95199999999999996</v>
      </c>
      <c r="R266" s="47">
        <v>4.3999999999999997E-2</v>
      </c>
      <c r="S266" s="32">
        <v>0.27700000000000002</v>
      </c>
      <c r="T266" s="31">
        <v>0</v>
      </c>
      <c r="V266">
        <v>264</v>
      </c>
      <c r="W266">
        <v>10</v>
      </c>
      <c r="X266">
        <v>0.30499999999999999</v>
      </c>
      <c r="Y266" s="32">
        <v>1.389</v>
      </c>
      <c r="Z266">
        <v>0</v>
      </c>
      <c r="AA266" s="32">
        <v>1.0780000000000001</v>
      </c>
      <c r="AB266">
        <v>0</v>
      </c>
      <c r="AC266" s="34">
        <v>5.0999999999999997E-2</v>
      </c>
      <c r="AD266" s="32">
        <v>0.32900000000000001</v>
      </c>
    </row>
    <row r="267" spans="1:30">
      <c r="A267">
        <v>265</v>
      </c>
      <c r="B267">
        <v>10</v>
      </c>
      <c r="C267">
        <v>0.29399999999999998</v>
      </c>
      <c r="D267">
        <v>1.36</v>
      </c>
      <c r="E267">
        <v>0</v>
      </c>
      <c r="F267">
        <v>0.95299999999999996</v>
      </c>
      <c r="G267">
        <v>0</v>
      </c>
      <c r="H267">
        <v>4.2999999999999997E-2</v>
      </c>
      <c r="I267">
        <v>0.27800000000000002</v>
      </c>
      <c r="K267">
        <v>265</v>
      </c>
      <c r="L267">
        <v>10</v>
      </c>
      <c r="M267" s="32">
        <v>0.29399999999999998</v>
      </c>
      <c r="N267" s="47">
        <v>1.359</v>
      </c>
      <c r="P267" s="32">
        <v>0.95299999999999996</v>
      </c>
      <c r="R267" s="47">
        <v>4.3999999999999997E-2</v>
      </c>
      <c r="S267" s="32">
        <v>0.27800000000000002</v>
      </c>
      <c r="T267" s="31">
        <v>0</v>
      </c>
      <c r="V267">
        <v>265</v>
      </c>
      <c r="W267">
        <v>10</v>
      </c>
      <c r="X267">
        <v>0.30599999999999999</v>
      </c>
      <c r="Y267" s="32">
        <v>1.3919999999999999</v>
      </c>
      <c r="Z267">
        <v>0</v>
      </c>
      <c r="AA267" s="32">
        <v>1.08</v>
      </c>
      <c r="AB267">
        <v>0</v>
      </c>
      <c r="AC267" s="34">
        <v>5.1999999999999998E-2</v>
      </c>
      <c r="AD267" s="32">
        <v>0.33100000000000002</v>
      </c>
    </row>
    <row r="268" spans="1:30">
      <c r="A268">
        <v>266</v>
      </c>
      <c r="B268">
        <v>10</v>
      </c>
      <c r="C268">
        <v>0.29499999999999998</v>
      </c>
      <c r="D268">
        <v>1.36</v>
      </c>
      <c r="E268">
        <v>0</v>
      </c>
      <c r="F268">
        <v>0.95399999999999996</v>
      </c>
      <c r="G268">
        <v>0</v>
      </c>
      <c r="H268">
        <v>4.2999999999999997E-2</v>
      </c>
      <c r="I268">
        <v>0.27900000000000003</v>
      </c>
      <c r="K268">
        <v>266</v>
      </c>
      <c r="L268">
        <v>10</v>
      </c>
      <c r="M268" s="32">
        <v>0.29499999999999998</v>
      </c>
      <c r="N268" s="47">
        <v>1.361</v>
      </c>
      <c r="P268" s="32">
        <v>0.95399999999999996</v>
      </c>
      <c r="R268" s="47">
        <v>4.3999999999999997E-2</v>
      </c>
      <c r="S268" s="32">
        <v>0.27900000000000003</v>
      </c>
      <c r="T268" s="31">
        <v>0</v>
      </c>
      <c r="V268">
        <v>266</v>
      </c>
      <c r="W268">
        <v>10</v>
      </c>
      <c r="X268">
        <v>0.307</v>
      </c>
      <c r="Y268" s="32">
        <v>1.3939999999999999</v>
      </c>
      <c r="Z268">
        <v>0</v>
      </c>
      <c r="AA268" s="32">
        <v>1.081</v>
      </c>
      <c r="AB268">
        <v>0</v>
      </c>
      <c r="AC268" s="34">
        <v>5.1999999999999998E-2</v>
      </c>
      <c r="AD268" s="32">
        <v>0.33200000000000002</v>
      </c>
    </row>
    <row r="269" spans="1:30">
      <c r="A269">
        <v>267</v>
      </c>
      <c r="B269">
        <v>10</v>
      </c>
      <c r="C269">
        <v>0.29599999999999999</v>
      </c>
      <c r="D269">
        <v>1.36</v>
      </c>
      <c r="E269">
        <v>0</v>
      </c>
      <c r="F269">
        <v>0.95499999999999996</v>
      </c>
      <c r="G269">
        <v>0</v>
      </c>
      <c r="H269">
        <v>4.2999999999999997E-2</v>
      </c>
      <c r="I269">
        <v>0.28000000000000003</v>
      </c>
      <c r="K269">
        <v>267</v>
      </c>
      <c r="L269">
        <v>10</v>
      </c>
      <c r="M269" s="32">
        <v>0.29599999999999999</v>
      </c>
      <c r="N269" s="47">
        <v>1.3640000000000001</v>
      </c>
      <c r="P269" s="32">
        <v>0.95499999999999996</v>
      </c>
      <c r="R269" s="47">
        <v>4.3999999999999997E-2</v>
      </c>
      <c r="S269" s="32">
        <v>0.28000000000000003</v>
      </c>
      <c r="T269" s="31">
        <v>0</v>
      </c>
      <c r="V269">
        <v>267</v>
      </c>
      <c r="W269">
        <v>10</v>
      </c>
      <c r="X269">
        <v>0.308</v>
      </c>
      <c r="Y269" s="32">
        <v>1.397</v>
      </c>
      <c r="Z269">
        <v>0</v>
      </c>
      <c r="AA269" s="32">
        <v>1.0820000000000001</v>
      </c>
      <c r="AB269">
        <v>0</v>
      </c>
      <c r="AC269" s="34">
        <v>5.1999999999999998E-2</v>
      </c>
      <c r="AD269" s="32">
        <v>0.33400000000000002</v>
      </c>
    </row>
    <row r="270" spans="1:30">
      <c r="A270">
        <v>268</v>
      </c>
      <c r="B270">
        <v>10</v>
      </c>
      <c r="C270">
        <v>0.29699999999999999</v>
      </c>
      <c r="D270">
        <v>1.37</v>
      </c>
      <c r="E270">
        <v>0</v>
      </c>
      <c r="F270">
        <v>0.95499999999999996</v>
      </c>
      <c r="G270">
        <v>0</v>
      </c>
      <c r="H270">
        <v>4.2999999999999997E-2</v>
      </c>
      <c r="I270">
        <v>0.28100000000000003</v>
      </c>
      <c r="K270">
        <v>268</v>
      </c>
      <c r="L270">
        <v>10</v>
      </c>
      <c r="M270" s="32">
        <v>0.29699999999999999</v>
      </c>
      <c r="N270" s="47">
        <v>1.367</v>
      </c>
      <c r="P270" s="32">
        <v>0.95499999999999996</v>
      </c>
      <c r="R270" s="47">
        <v>4.3999999999999997E-2</v>
      </c>
      <c r="S270" s="32">
        <v>0.28100000000000003</v>
      </c>
      <c r="T270" s="31">
        <v>0</v>
      </c>
      <c r="V270">
        <v>268</v>
      </c>
      <c r="W270">
        <v>10</v>
      </c>
      <c r="X270">
        <v>0.309</v>
      </c>
      <c r="Y270" s="32">
        <v>1.4</v>
      </c>
      <c r="Z270">
        <v>0</v>
      </c>
      <c r="AA270" s="32">
        <v>1.083</v>
      </c>
      <c r="AB270">
        <v>0</v>
      </c>
      <c r="AC270" s="34">
        <v>5.1999999999999998E-2</v>
      </c>
      <c r="AD270" s="32">
        <v>0.33500000000000002</v>
      </c>
    </row>
    <row r="271" spans="1:30">
      <c r="A271">
        <v>269</v>
      </c>
      <c r="B271">
        <v>10</v>
      </c>
      <c r="C271">
        <v>0.29799999999999999</v>
      </c>
      <c r="D271">
        <v>1.37</v>
      </c>
      <c r="E271">
        <v>0</v>
      </c>
      <c r="F271">
        <v>0.95599999999999996</v>
      </c>
      <c r="G271">
        <v>0</v>
      </c>
      <c r="H271">
        <v>4.2999999999999997E-2</v>
      </c>
      <c r="I271">
        <v>0.28199999999999997</v>
      </c>
      <c r="K271">
        <v>269</v>
      </c>
      <c r="L271">
        <v>10</v>
      </c>
      <c r="M271" s="32">
        <v>0.29799999999999999</v>
      </c>
      <c r="N271" s="32">
        <v>1.37</v>
      </c>
      <c r="P271" s="32">
        <v>0.95599999999999996</v>
      </c>
      <c r="R271" s="47">
        <v>4.3999999999999997E-2</v>
      </c>
      <c r="S271" s="32">
        <v>0.28199999999999997</v>
      </c>
      <c r="T271" s="31">
        <v>0</v>
      </c>
      <c r="V271">
        <v>269</v>
      </c>
      <c r="W271">
        <v>10</v>
      </c>
      <c r="X271">
        <v>0.31</v>
      </c>
      <c r="Y271" s="32">
        <v>1.403</v>
      </c>
      <c r="Z271">
        <v>0</v>
      </c>
      <c r="AA271" s="32">
        <v>1.0840000000000001</v>
      </c>
      <c r="AB271">
        <v>0</v>
      </c>
      <c r="AC271" s="34">
        <v>5.1999999999999998E-2</v>
      </c>
      <c r="AD271" s="32">
        <v>0.33600000000000002</v>
      </c>
    </row>
    <row r="272" spans="1:30">
      <c r="A272">
        <v>270</v>
      </c>
      <c r="B272">
        <v>10</v>
      </c>
      <c r="C272">
        <v>0.29899999999999999</v>
      </c>
      <c r="D272">
        <v>1.37</v>
      </c>
      <c r="E272">
        <v>0</v>
      </c>
      <c r="F272">
        <v>0.95699999999999996</v>
      </c>
      <c r="G272">
        <v>0</v>
      </c>
      <c r="H272">
        <v>4.2999999999999997E-2</v>
      </c>
      <c r="I272">
        <v>0.28299999999999997</v>
      </c>
      <c r="K272">
        <v>270</v>
      </c>
      <c r="L272">
        <v>10</v>
      </c>
      <c r="M272" s="32">
        <v>0.29899999999999999</v>
      </c>
      <c r="N272" s="47">
        <v>1.3720000000000001</v>
      </c>
      <c r="P272" s="32">
        <v>0.95699999999999996</v>
      </c>
      <c r="R272" s="47">
        <v>4.3999999999999997E-2</v>
      </c>
      <c r="S272" s="32">
        <v>0.28299999999999997</v>
      </c>
      <c r="T272" s="31">
        <v>0</v>
      </c>
      <c r="V272">
        <v>270</v>
      </c>
      <c r="W272">
        <v>10</v>
      </c>
      <c r="X272">
        <v>0.311</v>
      </c>
      <c r="Y272" s="32">
        <v>1.405</v>
      </c>
      <c r="Z272">
        <v>0</v>
      </c>
      <c r="AA272" s="32">
        <v>1.085</v>
      </c>
      <c r="AB272">
        <v>0</v>
      </c>
      <c r="AC272" s="34">
        <v>5.1999999999999998E-2</v>
      </c>
      <c r="AD272" s="32">
        <v>0.33800000000000002</v>
      </c>
    </row>
    <row r="273" spans="1:30">
      <c r="A273">
        <v>271</v>
      </c>
      <c r="B273">
        <v>10</v>
      </c>
      <c r="C273">
        <v>0.3</v>
      </c>
      <c r="D273">
        <v>1.38</v>
      </c>
      <c r="E273">
        <v>0</v>
      </c>
      <c r="F273">
        <v>0.95799999999999996</v>
      </c>
      <c r="G273">
        <v>0</v>
      </c>
      <c r="H273">
        <v>4.2999999999999997E-2</v>
      </c>
      <c r="I273">
        <v>0.28499999999999998</v>
      </c>
      <c r="K273">
        <v>271</v>
      </c>
      <c r="L273">
        <v>10</v>
      </c>
      <c r="M273" s="32">
        <v>0.3</v>
      </c>
      <c r="N273" s="47">
        <v>1.375</v>
      </c>
      <c r="P273" s="32">
        <v>0.95799999999999996</v>
      </c>
      <c r="R273" s="47">
        <v>4.3999999999999997E-2</v>
      </c>
      <c r="S273" s="32">
        <v>0.28499999999999998</v>
      </c>
      <c r="T273" s="31">
        <v>0</v>
      </c>
      <c r="V273">
        <v>271</v>
      </c>
      <c r="W273">
        <v>10</v>
      </c>
      <c r="X273">
        <v>0.312</v>
      </c>
      <c r="Y273" s="32">
        <v>1.4079999999999999</v>
      </c>
      <c r="Z273">
        <v>0</v>
      </c>
      <c r="AA273" s="32">
        <v>1.087</v>
      </c>
      <c r="AB273">
        <v>0</v>
      </c>
      <c r="AC273" s="34">
        <v>5.2999999999999999E-2</v>
      </c>
      <c r="AD273" s="32">
        <v>0.33900000000000002</v>
      </c>
    </row>
    <row r="274" spans="1:30">
      <c r="A274">
        <v>272</v>
      </c>
      <c r="B274">
        <v>10</v>
      </c>
      <c r="C274">
        <v>0.30099999999999999</v>
      </c>
      <c r="D274">
        <v>1.38</v>
      </c>
      <c r="E274">
        <v>0</v>
      </c>
      <c r="F274">
        <v>0.95799999999999996</v>
      </c>
      <c r="G274">
        <v>0</v>
      </c>
      <c r="H274">
        <v>4.2999999999999997E-2</v>
      </c>
      <c r="I274">
        <v>0.28599999999999998</v>
      </c>
      <c r="K274">
        <v>272</v>
      </c>
      <c r="L274">
        <v>10</v>
      </c>
      <c r="M274" s="32">
        <v>0.30099999999999999</v>
      </c>
      <c r="N274" s="47">
        <v>1.3779999999999999</v>
      </c>
      <c r="P274" s="32">
        <v>0.95799999999999996</v>
      </c>
      <c r="R274" s="47">
        <v>4.3999999999999997E-2</v>
      </c>
      <c r="S274" s="32">
        <v>0.28599999999999998</v>
      </c>
      <c r="T274" s="31">
        <v>0</v>
      </c>
      <c r="V274">
        <v>272</v>
      </c>
      <c r="W274">
        <v>10</v>
      </c>
      <c r="X274">
        <v>0.313</v>
      </c>
      <c r="Y274" s="32">
        <v>1.411</v>
      </c>
      <c r="Z274">
        <v>0</v>
      </c>
      <c r="AA274" s="32">
        <v>1.0880000000000001</v>
      </c>
      <c r="AB274">
        <v>0</v>
      </c>
      <c r="AC274" s="34">
        <v>5.2999999999999999E-2</v>
      </c>
      <c r="AD274" s="32">
        <v>0.34100000000000003</v>
      </c>
    </row>
    <row r="275" spans="1:30">
      <c r="A275">
        <v>273</v>
      </c>
      <c r="B275">
        <v>10</v>
      </c>
      <c r="C275">
        <v>0.30199999999999999</v>
      </c>
      <c r="D275">
        <v>1.38</v>
      </c>
      <c r="E275">
        <v>0</v>
      </c>
      <c r="F275">
        <v>0.95899999999999996</v>
      </c>
      <c r="G275">
        <v>0</v>
      </c>
      <c r="H275">
        <v>4.2999999999999997E-2</v>
      </c>
      <c r="I275">
        <v>0.28699999999999998</v>
      </c>
      <c r="K275">
        <v>273</v>
      </c>
      <c r="L275">
        <v>10</v>
      </c>
      <c r="M275" s="32">
        <v>0.30199999999999999</v>
      </c>
      <c r="N275" s="47">
        <v>1.381</v>
      </c>
      <c r="P275" s="32">
        <v>0.95899999999999996</v>
      </c>
      <c r="R275" s="47">
        <v>4.3999999999999997E-2</v>
      </c>
      <c r="S275" s="32">
        <v>0.28699999999999998</v>
      </c>
      <c r="T275" s="31">
        <v>0</v>
      </c>
      <c r="V275">
        <v>273</v>
      </c>
      <c r="W275">
        <v>10</v>
      </c>
      <c r="X275">
        <v>0.314</v>
      </c>
      <c r="Y275" s="32">
        <v>1.4139999999999999</v>
      </c>
      <c r="Z275">
        <v>0</v>
      </c>
      <c r="AA275" s="32">
        <v>1.089</v>
      </c>
      <c r="AB275">
        <v>0</v>
      </c>
      <c r="AC275" s="34">
        <v>5.2999999999999999E-2</v>
      </c>
      <c r="AD275" s="32">
        <v>0.34200000000000003</v>
      </c>
    </row>
    <row r="276" spans="1:30">
      <c r="A276">
        <v>274</v>
      </c>
      <c r="B276">
        <v>10</v>
      </c>
      <c r="C276">
        <v>0.30299999999999999</v>
      </c>
      <c r="D276">
        <v>1.38</v>
      </c>
      <c r="E276">
        <v>0</v>
      </c>
      <c r="F276">
        <v>0.96</v>
      </c>
      <c r="G276">
        <v>0</v>
      </c>
      <c r="H276">
        <v>4.2999999999999997E-2</v>
      </c>
      <c r="I276">
        <v>0.28799999999999998</v>
      </c>
      <c r="K276">
        <v>274</v>
      </c>
      <c r="L276">
        <v>10</v>
      </c>
      <c r="M276" s="32">
        <v>0.30299999999999999</v>
      </c>
      <c r="N276" s="47">
        <v>1.383</v>
      </c>
      <c r="P276" s="32">
        <v>0.96</v>
      </c>
      <c r="R276" s="47">
        <v>4.3999999999999997E-2</v>
      </c>
      <c r="S276" s="32">
        <v>0.28799999999999998</v>
      </c>
      <c r="T276" s="31">
        <v>0</v>
      </c>
      <c r="V276">
        <v>274</v>
      </c>
      <c r="W276">
        <v>10</v>
      </c>
      <c r="X276">
        <v>0.315</v>
      </c>
      <c r="Y276" s="32">
        <v>1.4159999999999999</v>
      </c>
      <c r="Z276">
        <v>0</v>
      </c>
      <c r="AA276" s="32">
        <v>1.0900000000000001</v>
      </c>
      <c r="AB276">
        <v>0</v>
      </c>
      <c r="AC276" s="34">
        <v>5.2999999999999999E-2</v>
      </c>
      <c r="AD276" s="32">
        <v>0.34300000000000003</v>
      </c>
    </row>
    <row r="277" spans="1:30">
      <c r="A277">
        <v>275</v>
      </c>
      <c r="B277">
        <v>10</v>
      </c>
      <c r="C277">
        <v>0.30399999999999999</v>
      </c>
      <c r="D277">
        <v>1.39</v>
      </c>
      <c r="E277">
        <v>0</v>
      </c>
      <c r="F277">
        <v>0.96</v>
      </c>
      <c r="G277">
        <v>0</v>
      </c>
      <c r="H277">
        <v>4.2999999999999997E-2</v>
      </c>
      <c r="I277">
        <v>0.28899999999999998</v>
      </c>
      <c r="K277">
        <v>275</v>
      </c>
      <c r="L277">
        <v>10</v>
      </c>
      <c r="M277" s="32">
        <v>0.30399999999999999</v>
      </c>
      <c r="N277" s="47">
        <v>1.3859999999999999</v>
      </c>
      <c r="P277" s="32">
        <v>0.96</v>
      </c>
      <c r="R277" s="47">
        <v>4.3999999999999997E-2</v>
      </c>
      <c r="S277" s="32">
        <v>0.28899999999999998</v>
      </c>
      <c r="T277" s="31">
        <v>0</v>
      </c>
      <c r="V277">
        <v>275</v>
      </c>
      <c r="W277">
        <v>10</v>
      </c>
      <c r="X277">
        <v>0.316</v>
      </c>
      <c r="Y277" s="32">
        <v>1.419</v>
      </c>
      <c r="Z277">
        <v>0</v>
      </c>
      <c r="AA277" s="32">
        <v>1.091</v>
      </c>
      <c r="AB277">
        <v>0</v>
      </c>
      <c r="AC277" s="34">
        <v>5.2999999999999999E-2</v>
      </c>
      <c r="AD277" s="32">
        <v>0.34499999999999997</v>
      </c>
    </row>
    <row r="278" spans="1:30">
      <c r="A278">
        <v>276</v>
      </c>
      <c r="B278">
        <v>10</v>
      </c>
      <c r="C278">
        <v>0.30499999999999999</v>
      </c>
      <c r="D278">
        <v>1.39</v>
      </c>
      <c r="E278">
        <v>0</v>
      </c>
      <c r="F278">
        <v>0.96099999999999997</v>
      </c>
      <c r="G278">
        <v>0</v>
      </c>
      <c r="H278">
        <v>4.2999999999999997E-2</v>
      </c>
      <c r="I278">
        <v>0.28999999999999998</v>
      </c>
      <c r="K278">
        <v>276</v>
      </c>
      <c r="L278">
        <v>10</v>
      </c>
      <c r="M278" s="32">
        <v>0.30499999999999999</v>
      </c>
      <c r="N278" s="47">
        <v>1.389</v>
      </c>
      <c r="P278" s="32">
        <v>0.96099999999999997</v>
      </c>
      <c r="R278" s="47">
        <v>4.3999999999999997E-2</v>
      </c>
      <c r="S278" s="32">
        <v>0.28999999999999998</v>
      </c>
      <c r="T278" s="31">
        <v>0</v>
      </c>
      <c r="V278">
        <v>276</v>
      </c>
      <c r="W278">
        <v>10</v>
      </c>
      <c r="X278">
        <v>0.317</v>
      </c>
      <c r="Y278" s="32">
        <v>1.4219999999999999</v>
      </c>
      <c r="Z278">
        <v>0</v>
      </c>
      <c r="AA278" s="32">
        <v>1.0920000000000001</v>
      </c>
      <c r="AB278">
        <v>0</v>
      </c>
      <c r="AC278" s="34">
        <v>5.2999999999999999E-2</v>
      </c>
      <c r="AD278" s="32">
        <v>0.34599999999999997</v>
      </c>
    </row>
    <row r="279" spans="1:30">
      <c r="A279">
        <v>277</v>
      </c>
      <c r="B279">
        <v>10</v>
      </c>
      <c r="C279">
        <v>0.30599999999999999</v>
      </c>
      <c r="D279">
        <v>1.39</v>
      </c>
      <c r="E279">
        <v>0</v>
      </c>
      <c r="F279">
        <v>0.96199999999999997</v>
      </c>
      <c r="G279">
        <v>0</v>
      </c>
      <c r="H279">
        <v>4.2999999999999997E-2</v>
      </c>
      <c r="I279">
        <v>0.29099999999999998</v>
      </c>
      <c r="K279">
        <v>277</v>
      </c>
      <c r="L279">
        <v>10</v>
      </c>
      <c r="M279" s="32">
        <v>0.30599999999999999</v>
      </c>
      <c r="N279" s="47">
        <v>1.3919999999999999</v>
      </c>
      <c r="P279" s="32">
        <v>0.96199999999999997</v>
      </c>
      <c r="R279" s="47">
        <v>4.3999999999999997E-2</v>
      </c>
      <c r="S279" s="32">
        <v>0.29099999999999998</v>
      </c>
      <c r="T279" s="31">
        <v>0</v>
      </c>
      <c r="V279">
        <v>277</v>
      </c>
      <c r="W279">
        <v>10</v>
      </c>
      <c r="X279">
        <v>0.318</v>
      </c>
      <c r="Y279" s="32">
        <v>1.425</v>
      </c>
      <c r="Z279">
        <v>0</v>
      </c>
      <c r="AA279" s="32">
        <v>1.0940000000000001</v>
      </c>
      <c r="AB279">
        <v>0</v>
      </c>
      <c r="AC279" s="34">
        <v>5.3999999999999999E-2</v>
      </c>
      <c r="AD279" s="32">
        <v>0.34799999999999998</v>
      </c>
    </row>
    <row r="280" spans="1:30">
      <c r="A280">
        <v>278</v>
      </c>
      <c r="B280">
        <v>10</v>
      </c>
      <c r="C280">
        <v>0.307</v>
      </c>
      <c r="D280">
        <v>1.39</v>
      </c>
      <c r="E280">
        <v>0</v>
      </c>
      <c r="F280">
        <v>0.96299999999999997</v>
      </c>
      <c r="G280">
        <v>0</v>
      </c>
      <c r="H280">
        <v>4.2999999999999997E-2</v>
      </c>
      <c r="I280">
        <v>0.29199999999999998</v>
      </c>
      <c r="K280">
        <v>278</v>
      </c>
      <c r="L280">
        <v>10</v>
      </c>
      <c r="M280" s="32">
        <v>0.307</v>
      </c>
      <c r="N280" s="47">
        <v>1.3939999999999999</v>
      </c>
      <c r="P280" s="32">
        <v>0.96299999999999997</v>
      </c>
      <c r="R280" s="47">
        <v>4.3999999999999997E-2</v>
      </c>
      <c r="S280" s="32">
        <v>0.29199999999999998</v>
      </c>
      <c r="T280" s="31">
        <v>0</v>
      </c>
      <c r="V280">
        <v>278</v>
      </c>
      <c r="W280">
        <v>10</v>
      </c>
      <c r="X280">
        <v>0.31900000000000001</v>
      </c>
      <c r="Y280" s="32">
        <v>1.427</v>
      </c>
      <c r="Z280">
        <v>0</v>
      </c>
      <c r="AA280" s="32">
        <v>1.095</v>
      </c>
      <c r="AB280">
        <v>0</v>
      </c>
      <c r="AC280" s="34">
        <v>5.3999999999999999E-2</v>
      </c>
      <c r="AD280" s="32">
        <v>0.34899999999999998</v>
      </c>
    </row>
    <row r="281" spans="1:30">
      <c r="A281">
        <v>279</v>
      </c>
      <c r="B281">
        <v>10</v>
      </c>
      <c r="C281">
        <v>0.308</v>
      </c>
      <c r="D281">
        <v>1.4</v>
      </c>
      <c r="E281">
        <v>0</v>
      </c>
      <c r="F281">
        <v>0.96299999999999997</v>
      </c>
      <c r="G281">
        <v>0</v>
      </c>
      <c r="H281">
        <v>4.2999999999999997E-2</v>
      </c>
      <c r="I281">
        <v>0.29399999999999998</v>
      </c>
      <c r="K281">
        <v>279</v>
      </c>
      <c r="L281">
        <v>10</v>
      </c>
      <c r="M281" s="32">
        <v>0.308</v>
      </c>
      <c r="N281" s="47">
        <v>1.397</v>
      </c>
      <c r="P281" s="32">
        <v>0.96299999999999997</v>
      </c>
      <c r="R281" s="47">
        <v>4.3999999999999997E-2</v>
      </c>
      <c r="S281" s="32">
        <v>0.29399999999999998</v>
      </c>
      <c r="T281" s="31">
        <v>0</v>
      </c>
      <c r="V281">
        <v>279</v>
      </c>
      <c r="W281">
        <v>10</v>
      </c>
      <c r="X281">
        <v>0.32</v>
      </c>
      <c r="Y281" s="32">
        <v>1.43</v>
      </c>
      <c r="Z281">
        <v>0</v>
      </c>
      <c r="AA281" s="32">
        <v>1.0960000000000001</v>
      </c>
      <c r="AB281">
        <v>0</v>
      </c>
      <c r="AC281" s="34">
        <v>5.3999999999999999E-2</v>
      </c>
      <c r="AD281" s="32">
        <v>0.35099999999999998</v>
      </c>
    </row>
    <row r="282" spans="1:30">
      <c r="A282">
        <v>280</v>
      </c>
      <c r="B282">
        <v>10</v>
      </c>
      <c r="C282">
        <v>0.309</v>
      </c>
      <c r="D282">
        <v>1.4</v>
      </c>
      <c r="E282">
        <v>0</v>
      </c>
      <c r="F282">
        <v>0.96399999999999997</v>
      </c>
      <c r="G282">
        <v>0</v>
      </c>
      <c r="H282">
        <v>4.2999999999999997E-2</v>
      </c>
      <c r="I282">
        <v>0.29499999999999998</v>
      </c>
      <c r="K282">
        <v>280</v>
      </c>
      <c r="L282">
        <v>10</v>
      </c>
      <c r="M282" s="32">
        <v>0.309</v>
      </c>
      <c r="N282" s="32">
        <v>1.4</v>
      </c>
      <c r="P282" s="32">
        <v>0.96399999999999997</v>
      </c>
      <c r="R282" s="47">
        <v>4.3999999999999997E-2</v>
      </c>
      <c r="S282" s="32">
        <v>0.29499999999999998</v>
      </c>
      <c r="T282" s="31">
        <v>0</v>
      </c>
      <c r="V282">
        <v>280</v>
      </c>
      <c r="W282">
        <v>11</v>
      </c>
      <c r="X282">
        <v>0.32100000000000001</v>
      </c>
      <c r="Y282" s="32">
        <v>1.4339999999999999</v>
      </c>
      <c r="Z282">
        <v>0</v>
      </c>
      <c r="AA282" s="32">
        <v>1.097</v>
      </c>
      <c r="AB282">
        <v>0</v>
      </c>
      <c r="AC282" s="34">
        <v>5.3999999999999999E-2</v>
      </c>
      <c r="AD282" s="32">
        <v>0.35199999999999998</v>
      </c>
    </row>
    <row r="283" spans="1:30">
      <c r="A283">
        <v>281</v>
      </c>
      <c r="B283">
        <v>10</v>
      </c>
      <c r="C283">
        <v>0.31</v>
      </c>
      <c r="D283">
        <v>1.4</v>
      </c>
      <c r="E283">
        <v>0</v>
      </c>
      <c r="F283">
        <v>0.96499999999999997</v>
      </c>
      <c r="G283">
        <v>0</v>
      </c>
      <c r="H283">
        <v>4.2999999999999997E-2</v>
      </c>
      <c r="I283">
        <v>0.29599999999999999</v>
      </c>
      <c r="K283">
        <v>281</v>
      </c>
      <c r="L283">
        <v>10</v>
      </c>
      <c r="M283" s="32">
        <v>0.31</v>
      </c>
      <c r="N283" s="47">
        <v>1.403</v>
      </c>
      <c r="P283" s="32">
        <v>0.96499999999999997</v>
      </c>
      <c r="R283" s="47">
        <v>4.4999999999999998E-2</v>
      </c>
      <c r="S283" s="32">
        <v>0.29599999999999999</v>
      </c>
      <c r="T283" s="31">
        <v>0</v>
      </c>
      <c r="V283">
        <v>281</v>
      </c>
      <c r="W283">
        <v>11</v>
      </c>
      <c r="X283">
        <v>0.32200000000000001</v>
      </c>
      <c r="Y283" s="32">
        <v>1.4370000000000001</v>
      </c>
      <c r="Z283">
        <v>0</v>
      </c>
      <c r="AA283" s="32">
        <v>1.0980000000000001</v>
      </c>
      <c r="AB283">
        <v>0</v>
      </c>
      <c r="AC283" s="34">
        <v>5.3999999999999999E-2</v>
      </c>
      <c r="AD283" s="32">
        <v>0.35299999999999998</v>
      </c>
    </row>
    <row r="284" spans="1:30">
      <c r="A284">
        <v>282</v>
      </c>
      <c r="B284">
        <v>10</v>
      </c>
      <c r="C284">
        <v>0.311</v>
      </c>
      <c r="D284">
        <v>1.41</v>
      </c>
      <c r="E284">
        <v>0</v>
      </c>
      <c r="F284">
        <v>0.96499999999999997</v>
      </c>
      <c r="G284">
        <v>0</v>
      </c>
      <c r="H284">
        <v>4.2999999999999997E-2</v>
      </c>
      <c r="I284">
        <v>0.29699999999999999</v>
      </c>
      <c r="K284">
        <v>282</v>
      </c>
      <c r="L284">
        <v>10</v>
      </c>
      <c r="M284" s="32">
        <v>0.311</v>
      </c>
      <c r="N284" s="47">
        <v>1.405</v>
      </c>
      <c r="P284" s="32">
        <v>0.96499999999999997</v>
      </c>
      <c r="R284" s="47">
        <v>4.4999999999999998E-2</v>
      </c>
      <c r="S284" s="32">
        <v>0.29699999999999999</v>
      </c>
      <c r="T284" s="31">
        <v>0</v>
      </c>
      <c r="V284">
        <v>282</v>
      </c>
      <c r="W284">
        <v>11</v>
      </c>
      <c r="X284">
        <v>0.32300000000000001</v>
      </c>
      <c r="Y284" s="32">
        <v>1.4410000000000001</v>
      </c>
      <c r="Z284">
        <v>0</v>
      </c>
      <c r="AA284" s="32">
        <v>1.0980000000000001</v>
      </c>
      <c r="AB284">
        <v>0</v>
      </c>
      <c r="AC284" s="34">
        <v>5.3999999999999999E-2</v>
      </c>
      <c r="AD284" s="32">
        <v>0.35499999999999998</v>
      </c>
    </row>
    <row r="285" spans="1:30">
      <c r="A285">
        <v>283</v>
      </c>
      <c r="B285">
        <v>10</v>
      </c>
      <c r="C285">
        <v>0.312</v>
      </c>
      <c r="D285">
        <v>1.41</v>
      </c>
      <c r="E285">
        <v>0</v>
      </c>
      <c r="F285">
        <v>0.96599999999999997</v>
      </c>
      <c r="G285">
        <v>0</v>
      </c>
      <c r="H285">
        <v>4.2999999999999997E-2</v>
      </c>
      <c r="I285">
        <v>0.29799999999999999</v>
      </c>
      <c r="K285">
        <v>283</v>
      </c>
      <c r="L285">
        <v>10</v>
      </c>
      <c r="M285" s="32">
        <v>0.312</v>
      </c>
      <c r="N285" s="47">
        <v>1.4079999999999999</v>
      </c>
      <c r="P285" s="32">
        <v>0.96599999999999997</v>
      </c>
      <c r="R285" s="47">
        <v>4.4999999999999998E-2</v>
      </c>
      <c r="S285" s="32">
        <v>0.29799999999999999</v>
      </c>
      <c r="T285" s="31">
        <v>0</v>
      </c>
      <c r="V285">
        <v>283</v>
      </c>
      <c r="W285">
        <v>11</v>
      </c>
      <c r="X285">
        <v>0.32400000000000001</v>
      </c>
      <c r="Y285" s="32">
        <v>1.4450000000000001</v>
      </c>
      <c r="Z285">
        <v>0</v>
      </c>
      <c r="AA285" s="32">
        <v>1.099</v>
      </c>
      <c r="AB285">
        <v>0</v>
      </c>
      <c r="AC285" s="34">
        <v>5.3999999999999999E-2</v>
      </c>
      <c r="AD285" s="32">
        <v>0.35599999999999998</v>
      </c>
    </row>
    <row r="286" spans="1:30">
      <c r="A286">
        <v>284</v>
      </c>
      <c r="B286">
        <v>10</v>
      </c>
      <c r="C286">
        <v>0.313</v>
      </c>
      <c r="D286">
        <v>1.41</v>
      </c>
      <c r="E286">
        <v>0</v>
      </c>
      <c r="F286">
        <v>0.96699999999999997</v>
      </c>
      <c r="G286">
        <v>0</v>
      </c>
      <c r="H286">
        <v>4.2999999999999997E-2</v>
      </c>
      <c r="I286">
        <v>0.29899999999999999</v>
      </c>
      <c r="K286">
        <v>284</v>
      </c>
      <c r="L286">
        <v>10</v>
      </c>
      <c r="M286" s="32">
        <v>0.313</v>
      </c>
      <c r="N286" s="47">
        <v>1.411</v>
      </c>
      <c r="P286" s="32">
        <v>0.96699999999999997</v>
      </c>
      <c r="R286" s="47">
        <v>4.4999999999999998E-2</v>
      </c>
      <c r="S286" s="32">
        <v>0.29899999999999999</v>
      </c>
      <c r="T286" s="31">
        <v>0</v>
      </c>
      <c r="V286">
        <v>284</v>
      </c>
      <c r="W286">
        <v>11</v>
      </c>
      <c r="X286">
        <v>0.32500000000000001</v>
      </c>
      <c r="Y286" s="32">
        <v>1.448</v>
      </c>
      <c r="Z286">
        <v>0</v>
      </c>
      <c r="AA286" s="32">
        <v>1.1000000000000001</v>
      </c>
      <c r="AB286">
        <v>0</v>
      </c>
      <c r="AC286" s="34">
        <v>5.3999999999999999E-2</v>
      </c>
      <c r="AD286" s="32">
        <v>0.35699999999999998</v>
      </c>
    </row>
    <row r="287" spans="1:30">
      <c r="A287">
        <v>285</v>
      </c>
      <c r="B287">
        <v>10</v>
      </c>
      <c r="C287">
        <v>0.314</v>
      </c>
      <c r="D287">
        <v>1.41</v>
      </c>
      <c r="E287">
        <v>0</v>
      </c>
      <c r="F287">
        <v>0.96799999999999997</v>
      </c>
      <c r="G287">
        <v>0</v>
      </c>
      <c r="H287">
        <v>4.2999999999999997E-2</v>
      </c>
      <c r="I287">
        <v>0.3</v>
      </c>
      <c r="K287">
        <v>285</v>
      </c>
      <c r="L287">
        <v>10</v>
      </c>
      <c r="M287" s="32">
        <v>0.314</v>
      </c>
      <c r="N287" s="47">
        <v>1.4139999999999999</v>
      </c>
      <c r="P287" s="32">
        <v>0.96799999999999997</v>
      </c>
      <c r="R287" s="47">
        <v>4.4999999999999998E-2</v>
      </c>
      <c r="S287" s="32">
        <v>0.3</v>
      </c>
      <c r="T287" s="31">
        <v>0</v>
      </c>
      <c r="V287">
        <v>285</v>
      </c>
      <c r="W287">
        <v>11</v>
      </c>
      <c r="X287">
        <v>0.32600000000000001</v>
      </c>
      <c r="Y287" s="32">
        <v>1.452</v>
      </c>
      <c r="Z287">
        <v>0</v>
      </c>
      <c r="AA287" s="32">
        <v>1.1000000000000001</v>
      </c>
      <c r="AB287">
        <v>0</v>
      </c>
      <c r="AC287" s="34">
        <v>5.3999999999999999E-2</v>
      </c>
      <c r="AD287" s="32">
        <v>0.35899999999999999</v>
      </c>
    </row>
    <row r="288" spans="1:30">
      <c r="A288">
        <v>286</v>
      </c>
      <c r="B288">
        <v>10</v>
      </c>
      <c r="C288">
        <v>0.315</v>
      </c>
      <c r="D288">
        <v>1.42</v>
      </c>
      <c r="E288">
        <v>0</v>
      </c>
      <c r="F288">
        <v>0.96799999999999997</v>
      </c>
      <c r="G288">
        <v>0</v>
      </c>
      <c r="H288">
        <v>4.2999999999999997E-2</v>
      </c>
      <c r="I288">
        <v>0.30099999999999999</v>
      </c>
      <c r="K288">
        <v>286</v>
      </c>
      <c r="L288">
        <v>10</v>
      </c>
      <c r="M288" s="32">
        <v>0.315</v>
      </c>
      <c r="N288" s="47">
        <v>1.4159999999999999</v>
      </c>
      <c r="P288" s="32">
        <v>0.96799999999999997</v>
      </c>
      <c r="R288" s="47">
        <v>4.4999999999999998E-2</v>
      </c>
      <c r="S288" s="32">
        <v>0.30099999999999999</v>
      </c>
      <c r="T288" s="31">
        <v>0</v>
      </c>
      <c r="V288">
        <v>286</v>
      </c>
      <c r="W288">
        <v>11</v>
      </c>
      <c r="X288">
        <v>0.32700000000000001</v>
      </c>
      <c r="Y288" s="32">
        <v>1.456</v>
      </c>
      <c r="Z288">
        <v>0</v>
      </c>
      <c r="AA288" s="32">
        <v>1.101</v>
      </c>
      <c r="AB288">
        <v>0</v>
      </c>
      <c r="AC288" s="34">
        <v>5.5E-2</v>
      </c>
      <c r="AD288" s="32">
        <v>0.36</v>
      </c>
    </row>
    <row r="289" spans="1:30">
      <c r="A289">
        <v>287</v>
      </c>
      <c r="B289">
        <v>10</v>
      </c>
      <c r="C289">
        <v>0.316</v>
      </c>
      <c r="D289">
        <v>1.42</v>
      </c>
      <c r="E289">
        <v>0</v>
      </c>
      <c r="F289">
        <v>0.96899999999999997</v>
      </c>
      <c r="G289">
        <v>0</v>
      </c>
      <c r="H289">
        <v>4.2999999999999997E-2</v>
      </c>
      <c r="I289">
        <v>0.30299999999999999</v>
      </c>
      <c r="K289">
        <v>287</v>
      </c>
      <c r="L289">
        <v>10</v>
      </c>
      <c r="M289" s="32">
        <v>0.316</v>
      </c>
      <c r="N289" s="47">
        <v>1.419</v>
      </c>
      <c r="P289" s="32">
        <v>0.96899999999999997</v>
      </c>
      <c r="R289" s="47">
        <v>4.4999999999999998E-2</v>
      </c>
      <c r="S289" s="32">
        <v>0.30299999999999999</v>
      </c>
      <c r="T289" s="31">
        <v>0</v>
      </c>
      <c r="V289">
        <v>287</v>
      </c>
      <c r="W289">
        <v>11</v>
      </c>
      <c r="X289">
        <v>0.32800000000000001</v>
      </c>
      <c r="Y289" s="32">
        <v>1.4590000000000001</v>
      </c>
      <c r="Z289">
        <v>0</v>
      </c>
      <c r="AA289" s="32">
        <v>1.1020000000000001</v>
      </c>
      <c r="AB289">
        <v>0</v>
      </c>
      <c r="AC289" s="34">
        <v>5.5E-2</v>
      </c>
      <c r="AD289" s="32">
        <v>0.36099999999999999</v>
      </c>
    </row>
    <row r="290" spans="1:30">
      <c r="A290">
        <v>288</v>
      </c>
      <c r="B290">
        <v>10</v>
      </c>
      <c r="C290">
        <v>0.317</v>
      </c>
      <c r="D290">
        <v>1.42</v>
      </c>
      <c r="E290">
        <v>0</v>
      </c>
      <c r="F290">
        <v>0.97</v>
      </c>
      <c r="G290">
        <v>0</v>
      </c>
      <c r="H290">
        <v>4.2999999999999997E-2</v>
      </c>
      <c r="I290">
        <v>0.30399999999999999</v>
      </c>
      <c r="K290">
        <v>288</v>
      </c>
      <c r="L290">
        <v>10</v>
      </c>
      <c r="M290" s="32">
        <v>0.317</v>
      </c>
      <c r="N290" s="47">
        <v>1.4219999999999999</v>
      </c>
      <c r="P290" s="32">
        <v>0.97</v>
      </c>
      <c r="R290" s="47">
        <v>4.4999999999999998E-2</v>
      </c>
      <c r="S290" s="32">
        <v>0.30399999999999999</v>
      </c>
      <c r="T290" s="31">
        <v>0</v>
      </c>
      <c r="V290">
        <v>288</v>
      </c>
      <c r="W290">
        <v>11</v>
      </c>
      <c r="X290">
        <v>0.32900000000000001</v>
      </c>
      <c r="Y290" s="32">
        <v>1.4630000000000001</v>
      </c>
      <c r="Z290">
        <v>0</v>
      </c>
      <c r="AA290" s="32">
        <v>1.1020000000000001</v>
      </c>
      <c r="AB290">
        <v>0</v>
      </c>
      <c r="AC290" s="34">
        <v>5.5E-2</v>
      </c>
      <c r="AD290" s="32">
        <v>0.36299999999999999</v>
      </c>
    </row>
    <row r="291" spans="1:30">
      <c r="A291">
        <v>289</v>
      </c>
      <c r="B291">
        <v>10</v>
      </c>
      <c r="C291">
        <v>0.318</v>
      </c>
      <c r="D291">
        <v>1.42</v>
      </c>
      <c r="E291">
        <v>0</v>
      </c>
      <c r="F291">
        <v>0.97099999999999997</v>
      </c>
      <c r="G291">
        <v>0</v>
      </c>
      <c r="H291">
        <v>4.2999999999999997E-2</v>
      </c>
      <c r="I291">
        <v>0.30499999999999999</v>
      </c>
      <c r="K291">
        <v>289</v>
      </c>
      <c r="L291">
        <v>10</v>
      </c>
      <c r="M291" s="32">
        <v>0.318</v>
      </c>
      <c r="N291" s="47">
        <v>1.425</v>
      </c>
      <c r="P291" s="32">
        <v>0.97099999999999997</v>
      </c>
      <c r="R291" s="47">
        <v>4.4999999999999998E-2</v>
      </c>
      <c r="S291" s="32">
        <v>0.30499999999999999</v>
      </c>
      <c r="T291" s="31">
        <v>0</v>
      </c>
      <c r="V291">
        <v>289</v>
      </c>
      <c r="W291">
        <v>11</v>
      </c>
      <c r="X291">
        <v>0.33</v>
      </c>
      <c r="Y291" s="32">
        <v>1.4670000000000001</v>
      </c>
      <c r="Z291">
        <v>0</v>
      </c>
      <c r="AA291" s="32">
        <v>1.103</v>
      </c>
      <c r="AB291">
        <v>0</v>
      </c>
      <c r="AC291" s="34">
        <v>5.5E-2</v>
      </c>
      <c r="AD291" s="32">
        <v>0.36399999999999999</v>
      </c>
    </row>
    <row r="292" spans="1:30">
      <c r="A292">
        <v>290</v>
      </c>
      <c r="B292">
        <v>10</v>
      </c>
      <c r="C292">
        <v>0.31900000000000001</v>
      </c>
      <c r="D292">
        <v>1.43</v>
      </c>
      <c r="E292">
        <v>0</v>
      </c>
      <c r="F292">
        <v>0.97099999999999997</v>
      </c>
      <c r="G292">
        <v>0</v>
      </c>
      <c r="H292">
        <v>4.2999999999999997E-2</v>
      </c>
      <c r="I292">
        <v>0.30599999999999999</v>
      </c>
      <c r="K292">
        <v>290</v>
      </c>
      <c r="L292">
        <v>10</v>
      </c>
      <c r="M292" s="32">
        <v>0.31900000000000001</v>
      </c>
      <c r="N292" s="47">
        <v>1.427</v>
      </c>
      <c r="P292" s="32">
        <v>0.97099999999999997</v>
      </c>
      <c r="R292" s="47">
        <v>4.4999999999999998E-2</v>
      </c>
      <c r="S292" s="32">
        <v>0.30599999999999999</v>
      </c>
      <c r="T292" s="31">
        <v>0</v>
      </c>
      <c r="V292">
        <v>290</v>
      </c>
      <c r="W292">
        <v>11</v>
      </c>
      <c r="X292">
        <v>0.33100000000000002</v>
      </c>
      <c r="Y292" s="32">
        <v>1.47</v>
      </c>
      <c r="Z292">
        <v>0</v>
      </c>
      <c r="AA292" s="32">
        <v>1.1040000000000001</v>
      </c>
      <c r="AB292">
        <v>0</v>
      </c>
      <c r="AC292" s="34">
        <v>5.5E-2</v>
      </c>
      <c r="AD292" s="32">
        <v>0.36499999999999999</v>
      </c>
    </row>
    <row r="293" spans="1:30">
      <c r="A293">
        <v>291</v>
      </c>
      <c r="B293">
        <v>11</v>
      </c>
      <c r="C293">
        <v>0.32</v>
      </c>
      <c r="D293">
        <v>1.43</v>
      </c>
      <c r="E293">
        <v>0</v>
      </c>
      <c r="F293">
        <v>0.97199999999999998</v>
      </c>
      <c r="G293">
        <v>0</v>
      </c>
      <c r="H293">
        <v>4.4999999999999998E-2</v>
      </c>
      <c r="I293">
        <v>0.307</v>
      </c>
      <c r="K293">
        <v>291</v>
      </c>
      <c r="L293">
        <v>11</v>
      </c>
      <c r="M293" s="32">
        <v>0.32</v>
      </c>
      <c r="N293" s="32">
        <v>1.43</v>
      </c>
      <c r="P293" s="32">
        <v>0.97199999999999998</v>
      </c>
      <c r="R293" s="32">
        <v>4.4999999999999998E-2</v>
      </c>
      <c r="S293" s="32">
        <v>0.307</v>
      </c>
      <c r="T293" s="31">
        <v>0</v>
      </c>
      <c r="V293">
        <v>291</v>
      </c>
      <c r="W293">
        <v>11</v>
      </c>
      <c r="X293">
        <v>0.33200000000000002</v>
      </c>
      <c r="Y293" s="32">
        <v>1.474</v>
      </c>
      <c r="Z293">
        <v>0</v>
      </c>
      <c r="AA293" s="32">
        <v>1.1040000000000001</v>
      </c>
      <c r="AB293">
        <v>0</v>
      </c>
      <c r="AC293" s="34">
        <v>5.5E-2</v>
      </c>
      <c r="AD293" s="32">
        <v>0.36699999999999999</v>
      </c>
    </row>
    <row r="294" spans="1:30">
      <c r="A294">
        <v>292</v>
      </c>
      <c r="B294">
        <v>11</v>
      </c>
      <c r="C294">
        <v>0.32100000000000001</v>
      </c>
      <c r="D294">
        <v>1.43</v>
      </c>
      <c r="E294">
        <v>0</v>
      </c>
      <c r="F294">
        <v>0.97299999999999998</v>
      </c>
      <c r="G294">
        <v>0</v>
      </c>
      <c r="H294">
        <v>4.4999999999999998E-2</v>
      </c>
      <c r="I294">
        <v>0.309</v>
      </c>
      <c r="K294">
        <v>292</v>
      </c>
      <c r="L294">
        <v>11</v>
      </c>
      <c r="M294" s="32">
        <v>0.32100000000000001</v>
      </c>
      <c r="N294" s="47">
        <v>1.4339999999999999</v>
      </c>
      <c r="P294" s="32">
        <v>0.97299999999999998</v>
      </c>
      <c r="R294" s="32">
        <v>4.4999999999999998E-2</v>
      </c>
      <c r="S294" s="32">
        <v>0.309</v>
      </c>
      <c r="T294" s="31">
        <v>0</v>
      </c>
      <c r="V294">
        <v>292</v>
      </c>
      <c r="W294">
        <v>11</v>
      </c>
      <c r="X294">
        <v>0.33300000000000002</v>
      </c>
      <c r="Y294" s="32">
        <v>1.478</v>
      </c>
      <c r="Z294">
        <v>0</v>
      </c>
      <c r="AA294" s="32">
        <v>1.105</v>
      </c>
      <c r="AB294">
        <v>0</v>
      </c>
      <c r="AC294" s="34">
        <v>5.5E-2</v>
      </c>
      <c r="AD294" s="32">
        <v>0.36799999999999999</v>
      </c>
    </row>
    <row r="295" spans="1:30">
      <c r="A295">
        <v>293</v>
      </c>
      <c r="B295">
        <v>11</v>
      </c>
      <c r="C295">
        <v>0.32200000000000001</v>
      </c>
      <c r="D295">
        <v>1.44</v>
      </c>
      <c r="E295">
        <v>0</v>
      </c>
      <c r="F295">
        <v>0.97399999999999998</v>
      </c>
      <c r="G295">
        <v>0</v>
      </c>
      <c r="H295">
        <v>4.4999999999999998E-2</v>
      </c>
      <c r="I295">
        <v>0.31</v>
      </c>
      <c r="K295">
        <v>293</v>
      </c>
      <c r="L295">
        <v>11</v>
      </c>
      <c r="M295" s="32">
        <v>0.32200000000000001</v>
      </c>
      <c r="N295" s="47">
        <v>1.4370000000000001</v>
      </c>
      <c r="P295" s="32">
        <v>0.97399999999999998</v>
      </c>
      <c r="R295" s="32">
        <v>4.4999999999999998E-2</v>
      </c>
      <c r="S295" s="32">
        <v>0.31</v>
      </c>
      <c r="T295" s="31">
        <v>0</v>
      </c>
      <c r="V295">
        <v>293</v>
      </c>
      <c r="W295">
        <v>11</v>
      </c>
      <c r="X295">
        <v>0.33400000000000002</v>
      </c>
      <c r="Y295" s="32">
        <v>1.4810000000000001</v>
      </c>
      <c r="Z295">
        <v>0</v>
      </c>
      <c r="AA295" s="32">
        <v>1.1060000000000001</v>
      </c>
      <c r="AB295">
        <v>0</v>
      </c>
      <c r="AC295" s="34">
        <v>5.5E-2</v>
      </c>
      <c r="AD295" s="32">
        <v>0.37</v>
      </c>
    </row>
    <row r="296" spans="1:30">
      <c r="A296">
        <v>294</v>
      </c>
      <c r="B296">
        <v>11</v>
      </c>
      <c r="C296">
        <v>0.32300000000000001</v>
      </c>
      <c r="D296">
        <v>1.44</v>
      </c>
      <c r="E296">
        <v>0</v>
      </c>
      <c r="F296">
        <v>0.97499999999999998</v>
      </c>
      <c r="G296">
        <v>0</v>
      </c>
      <c r="H296">
        <v>4.4999999999999998E-2</v>
      </c>
      <c r="I296">
        <v>0.312</v>
      </c>
      <c r="K296">
        <v>294</v>
      </c>
      <c r="L296">
        <v>11</v>
      </c>
      <c r="M296" s="32">
        <v>0.32300000000000001</v>
      </c>
      <c r="N296" s="47">
        <v>1.4410000000000001</v>
      </c>
      <c r="P296" s="32">
        <v>0.97499999999999998</v>
      </c>
      <c r="R296" s="32">
        <v>4.4999999999999998E-2</v>
      </c>
      <c r="S296" s="32">
        <v>0.312</v>
      </c>
      <c r="T296" s="31">
        <v>0</v>
      </c>
      <c r="V296">
        <v>294</v>
      </c>
      <c r="W296">
        <v>11</v>
      </c>
      <c r="X296">
        <v>0.33500000000000002</v>
      </c>
      <c r="Y296" s="32">
        <v>1.4850000000000001</v>
      </c>
      <c r="Z296">
        <v>0</v>
      </c>
      <c r="AA296" s="32">
        <v>1.1060000000000001</v>
      </c>
      <c r="AB296">
        <v>0</v>
      </c>
      <c r="AC296" s="34">
        <v>5.5E-2</v>
      </c>
      <c r="AD296" s="32">
        <v>0.371</v>
      </c>
    </row>
    <row r="297" spans="1:30">
      <c r="A297">
        <v>295</v>
      </c>
      <c r="B297">
        <v>11</v>
      </c>
      <c r="C297">
        <v>0.32400000000000001</v>
      </c>
      <c r="D297">
        <v>1.44</v>
      </c>
      <c r="E297">
        <v>0</v>
      </c>
      <c r="F297">
        <v>0.97599999999999998</v>
      </c>
      <c r="G297">
        <v>0</v>
      </c>
      <c r="H297">
        <v>4.4999999999999998E-2</v>
      </c>
      <c r="I297">
        <v>0.313</v>
      </c>
      <c r="K297">
        <v>295</v>
      </c>
      <c r="L297">
        <v>11</v>
      </c>
      <c r="M297" s="32">
        <v>0.32400000000000001</v>
      </c>
      <c r="N297" s="47">
        <v>1.4450000000000001</v>
      </c>
      <c r="P297" s="32">
        <v>0.97599999999999998</v>
      </c>
      <c r="R297" s="32">
        <v>4.4999999999999998E-2</v>
      </c>
      <c r="S297" s="32">
        <v>0.313</v>
      </c>
      <c r="T297" s="31">
        <v>0</v>
      </c>
      <c r="V297">
        <v>295</v>
      </c>
      <c r="W297">
        <v>11</v>
      </c>
      <c r="X297">
        <v>0.33600000000000002</v>
      </c>
      <c r="Y297" s="32">
        <v>1.4890000000000001</v>
      </c>
      <c r="Z297">
        <v>0</v>
      </c>
      <c r="AA297" s="32">
        <v>1.107</v>
      </c>
      <c r="AB297">
        <v>0</v>
      </c>
      <c r="AC297" s="34">
        <v>5.5E-2</v>
      </c>
      <c r="AD297" s="32">
        <v>0.372</v>
      </c>
    </row>
    <row r="298" spans="1:30">
      <c r="A298">
        <v>296</v>
      </c>
      <c r="B298">
        <v>11</v>
      </c>
      <c r="C298">
        <v>0.32500000000000001</v>
      </c>
      <c r="D298">
        <v>1.45</v>
      </c>
      <c r="E298">
        <v>0</v>
      </c>
      <c r="F298">
        <v>0.97699999999999998</v>
      </c>
      <c r="G298">
        <v>0</v>
      </c>
      <c r="H298">
        <v>4.4999999999999998E-2</v>
      </c>
      <c r="I298">
        <v>0.315</v>
      </c>
      <c r="K298">
        <v>296</v>
      </c>
      <c r="L298">
        <v>11</v>
      </c>
      <c r="M298" s="32">
        <v>0.32500000000000001</v>
      </c>
      <c r="N298" s="47">
        <v>1.448</v>
      </c>
      <c r="P298" s="32">
        <v>0.97699999999999998</v>
      </c>
      <c r="R298" s="32">
        <v>4.4999999999999998E-2</v>
      </c>
      <c r="S298" s="32">
        <v>0.315</v>
      </c>
      <c r="T298" s="31">
        <v>0</v>
      </c>
      <c r="V298">
        <v>296</v>
      </c>
      <c r="W298">
        <v>11</v>
      </c>
      <c r="X298">
        <v>0.33700000000000002</v>
      </c>
      <c r="Y298" s="32">
        <v>1.492</v>
      </c>
      <c r="Z298">
        <v>0</v>
      </c>
      <c r="AA298" s="32">
        <v>1.1080000000000001</v>
      </c>
      <c r="AB298">
        <v>0</v>
      </c>
      <c r="AC298" s="34">
        <v>5.5E-2</v>
      </c>
      <c r="AD298" s="32">
        <v>0.374</v>
      </c>
    </row>
    <row r="299" spans="1:30">
      <c r="A299">
        <v>297</v>
      </c>
      <c r="B299">
        <v>11</v>
      </c>
      <c r="C299">
        <v>0.32600000000000001</v>
      </c>
      <c r="D299">
        <v>1.45</v>
      </c>
      <c r="E299">
        <v>0</v>
      </c>
      <c r="F299">
        <v>0.97799999999999998</v>
      </c>
      <c r="G299">
        <v>0</v>
      </c>
      <c r="H299">
        <v>4.4999999999999998E-2</v>
      </c>
      <c r="I299">
        <v>0.316</v>
      </c>
      <c r="K299">
        <v>297</v>
      </c>
      <c r="L299">
        <v>11</v>
      </c>
      <c r="M299" s="32">
        <v>0.32600000000000001</v>
      </c>
      <c r="N299" s="47">
        <v>1.452</v>
      </c>
      <c r="P299" s="32">
        <v>0.97799999999999998</v>
      </c>
      <c r="R299" s="32">
        <v>4.4999999999999998E-2</v>
      </c>
      <c r="S299" s="32">
        <v>0.316</v>
      </c>
      <c r="T299" s="31">
        <v>0</v>
      </c>
      <c r="V299">
        <v>297</v>
      </c>
      <c r="W299">
        <v>11</v>
      </c>
      <c r="X299">
        <v>0.33800000000000002</v>
      </c>
      <c r="Y299" s="32">
        <v>1.496</v>
      </c>
      <c r="Z299">
        <v>0</v>
      </c>
      <c r="AA299" s="32">
        <v>1.1080000000000001</v>
      </c>
      <c r="AB299">
        <v>0</v>
      </c>
      <c r="AC299" s="34">
        <v>5.6000000000000001E-2</v>
      </c>
      <c r="AD299" s="32">
        <v>0.375</v>
      </c>
    </row>
    <row r="300" spans="1:30">
      <c r="A300">
        <v>298</v>
      </c>
      <c r="B300">
        <v>11</v>
      </c>
      <c r="C300">
        <v>0.32700000000000001</v>
      </c>
      <c r="D300">
        <v>1.46</v>
      </c>
      <c r="E300">
        <v>0</v>
      </c>
      <c r="F300">
        <v>0.97899999999999998</v>
      </c>
      <c r="G300">
        <v>0</v>
      </c>
      <c r="H300">
        <v>4.4999999999999998E-2</v>
      </c>
      <c r="I300">
        <v>0.318</v>
      </c>
      <c r="K300">
        <v>298</v>
      </c>
      <c r="L300">
        <v>11</v>
      </c>
      <c r="M300" s="32">
        <v>0.32700000000000001</v>
      </c>
      <c r="N300" s="47">
        <v>1.456</v>
      </c>
      <c r="P300" s="32">
        <v>0.97899999999999998</v>
      </c>
      <c r="R300" s="32">
        <v>4.4999999999999998E-2</v>
      </c>
      <c r="S300" s="32">
        <v>0.318</v>
      </c>
      <c r="T300" s="31">
        <v>0</v>
      </c>
      <c r="V300">
        <v>298</v>
      </c>
      <c r="W300">
        <v>11</v>
      </c>
      <c r="X300">
        <v>0.33900000000000002</v>
      </c>
      <c r="Y300" s="32">
        <v>1.5</v>
      </c>
      <c r="Z300">
        <v>0</v>
      </c>
      <c r="AA300" s="32">
        <v>1.109</v>
      </c>
      <c r="AB300">
        <v>0</v>
      </c>
      <c r="AC300" s="34">
        <v>5.6000000000000001E-2</v>
      </c>
      <c r="AD300" s="32">
        <v>0.376</v>
      </c>
    </row>
    <row r="301" spans="1:30">
      <c r="A301">
        <v>299</v>
      </c>
      <c r="B301">
        <v>11</v>
      </c>
      <c r="C301">
        <v>0.32800000000000001</v>
      </c>
      <c r="D301">
        <v>1.46</v>
      </c>
      <c r="E301">
        <v>0</v>
      </c>
      <c r="F301">
        <v>0.98</v>
      </c>
      <c r="G301">
        <v>0</v>
      </c>
      <c r="H301">
        <v>4.4999999999999998E-2</v>
      </c>
      <c r="I301">
        <v>0.32</v>
      </c>
      <c r="K301">
        <v>299</v>
      </c>
      <c r="L301">
        <v>11</v>
      </c>
      <c r="M301" s="32">
        <v>0.32800000000000001</v>
      </c>
      <c r="N301" s="47">
        <v>1.4590000000000001</v>
      </c>
      <c r="P301" s="32">
        <v>0.98</v>
      </c>
      <c r="R301" s="47">
        <v>4.5999999999999999E-2</v>
      </c>
      <c r="S301" s="32">
        <v>0.32</v>
      </c>
      <c r="T301" s="31">
        <v>0</v>
      </c>
      <c r="V301">
        <v>299</v>
      </c>
      <c r="W301">
        <v>11</v>
      </c>
      <c r="X301">
        <v>0.34</v>
      </c>
      <c r="Y301" s="32">
        <v>1.5029999999999999</v>
      </c>
      <c r="Z301">
        <v>0</v>
      </c>
      <c r="AA301" s="32">
        <v>1.1100000000000001</v>
      </c>
      <c r="AB301">
        <v>0</v>
      </c>
      <c r="AC301" s="34">
        <v>5.6000000000000001E-2</v>
      </c>
      <c r="AD301" s="32">
        <v>0.378</v>
      </c>
    </row>
    <row r="302" spans="1:30">
      <c r="A302">
        <v>300</v>
      </c>
      <c r="B302">
        <v>11</v>
      </c>
      <c r="C302">
        <v>0.32900000000000001</v>
      </c>
      <c r="D302">
        <v>1.46</v>
      </c>
      <c r="E302">
        <v>0</v>
      </c>
      <c r="F302">
        <v>0.98099999999999998</v>
      </c>
      <c r="G302">
        <v>0</v>
      </c>
      <c r="H302">
        <v>4.4999999999999998E-2</v>
      </c>
      <c r="I302">
        <v>0.32100000000000001</v>
      </c>
      <c r="K302">
        <v>300</v>
      </c>
      <c r="L302">
        <v>11</v>
      </c>
      <c r="M302" s="32">
        <v>0.32900000000000001</v>
      </c>
      <c r="N302" s="47">
        <v>1.4630000000000001</v>
      </c>
      <c r="P302" s="32">
        <v>0.98099999999999998</v>
      </c>
      <c r="R302" s="47">
        <v>4.5999999999999999E-2</v>
      </c>
      <c r="S302" s="32">
        <v>0.32100000000000001</v>
      </c>
      <c r="T302" s="31">
        <v>0</v>
      </c>
      <c r="V302">
        <v>300</v>
      </c>
      <c r="W302">
        <v>11</v>
      </c>
      <c r="X302">
        <v>0.34100000000000003</v>
      </c>
      <c r="Y302" s="32">
        <v>1.5069999999999999</v>
      </c>
      <c r="Z302">
        <v>0</v>
      </c>
      <c r="AA302" s="32">
        <v>1.1100000000000001</v>
      </c>
      <c r="AB302">
        <v>0</v>
      </c>
      <c r="AC302" s="34">
        <v>5.6000000000000001E-2</v>
      </c>
      <c r="AD302" s="32">
        <v>0.379</v>
      </c>
    </row>
    <row r="303" spans="1:30">
      <c r="A303">
        <v>301</v>
      </c>
      <c r="B303">
        <v>11</v>
      </c>
      <c r="C303">
        <v>0.33</v>
      </c>
      <c r="D303">
        <v>1.47</v>
      </c>
      <c r="E303">
        <v>0</v>
      </c>
      <c r="F303">
        <v>0.98199999999999998</v>
      </c>
      <c r="G303">
        <v>0</v>
      </c>
      <c r="H303">
        <v>4.4999999999999998E-2</v>
      </c>
      <c r="I303">
        <v>0.32300000000000001</v>
      </c>
      <c r="K303">
        <v>301</v>
      </c>
      <c r="L303">
        <v>11</v>
      </c>
      <c r="M303" s="32">
        <v>0.33</v>
      </c>
      <c r="N303" s="47">
        <v>1.4670000000000001</v>
      </c>
      <c r="P303" s="32">
        <v>0.98199999999999998</v>
      </c>
      <c r="R303" s="47">
        <v>4.5999999999999999E-2</v>
      </c>
      <c r="S303" s="32">
        <v>0.32300000000000001</v>
      </c>
      <c r="T303" s="31">
        <v>0</v>
      </c>
      <c r="V303">
        <v>301</v>
      </c>
      <c r="W303">
        <v>11</v>
      </c>
      <c r="X303">
        <v>0.34200000000000003</v>
      </c>
      <c r="Y303" s="32">
        <v>1.5109999999999999</v>
      </c>
      <c r="Z303">
        <v>0</v>
      </c>
      <c r="AA303" s="32">
        <v>1.111</v>
      </c>
      <c r="AB303">
        <v>0</v>
      </c>
      <c r="AC303" s="34">
        <v>5.6000000000000001E-2</v>
      </c>
      <c r="AD303" s="32">
        <v>0.38</v>
      </c>
    </row>
    <row r="304" spans="1:30">
      <c r="A304">
        <v>302</v>
      </c>
      <c r="B304">
        <v>11</v>
      </c>
      <c r="C304">
        <v>0.33100000000000002</v>
      </c>
      <c r="D304">
        <v>1.47</v>
      </c>
      <c r="E304">
        <v>0</v>
      </c>
      <c r="F304">
        <v>0.98299999999999998</v>
      </c>
      <c r="G304">
        <v>0</v>
      </c>
      <c r="H304">
        <v>4.4999999999999998E-2</v>
      </c>
      <c r="I304">
        <v>0.32400000000000001</v>
      </c>
      <c r="K304">
        <v>302</v>
      </c>
      <c r="L304">
        <v>11</v>
      </c>
      <c r="M304" s="32">
        <v>0.33100000000000002</v>
      </c>
      <c r="N304" s="32">
        <v>1.47</v>
      </c>
      <c r="P304" s="32">
        <v>0.98299999999999998</v>
      </c>
      <c r="R304" s="47">
        <v>4.5999999999999999E-2</v>
      </c>
      <c r="S304" s="32">
        <v>0.32400000000000001</v>
      </c>
      <c r="T304" s="31">
        <v>0</v>
      </c>
      <c r="V304">
        <v>302</v>
      </c>
      <c r="W304">
        <v>11</v>
      </c>
      <c r="X304">
        <v>0.34300000000000003</v>
      </c>
      <c r="Y304" s="32">
        <v>1.514</v>
      </c>
      <c r="Z304">
        <v>0</v>
      </c>
      <c r="AA304" s="32">
        <v>1.1120000000000001</v>
      </c>
      <c r="AB304">
        <v>0</v>
      </c>
      <c r="AC304" s="34">
        <v>5.6000000000000001E-2</v>
      </c>
      <c r="AD304" s="32">
        <v>0.38200000000000001</v>
      </c>
    </row>
    <row r="305" spans="1:30">
      <c r="A305">
        <v>303</v>
      </c>
      <c r="B305">
        <v>11</v>
      </c>
      <c r="C305">
        <v>0.33200000000000002</v>
      </c>
      <c r="D305">
        <v>1.47</v>
      </c>
      <c r="E305">
        <v>0</v>
      </c>
      <c r="F305">
        <v>0.98399999999999999</v>
      </c>
      <c r="G305">
        <v>0</v>
      </c>
      <c r="H305">
        <v>4.4999999999999998E-2</v>
      </c>
      <c r="I305">
        <v>0.32600000000000001</v>
      </c>
      <c r="K305">
        <v>303</v>
      </c>
      <c r="L305">
        <v>11</v>
      </c>
      <c r="M305" s="32">
        <v>0.33200000000000002</v>
      </c>
      <c r="N305" s="47">
        <v>1.474</v>
      </c>
      <c r="P305" s="32">
        <v>0.98399999999999999</v>
      </c>
      <c r="R305" s="47">
        <v>4.5999999999999999E-2</v>
      </c>
      <c r="S305" s="32">
        <v>0.32600000000000001</v>
      </c>
      <c r="T305" s="31">
        <v>0</v>
      </c>
      <c r="V305">
        <v>303</v>
      </c>
      <c r="W305">
        <v>11</v>
      </c>
      <c r="X305">
        <v>0.34399999999999997</v>
      </c>
      <c r="Y305" s="32">
        <v>1.518</v>
      </c>
      <c r="Z305">
        <v>0</v>
      </c>
      <c r="AA305" s="32">
        <v>1.113</v>
      </c>
      <c r="AB305">
        <v>0</v>
      </c>
      <c r="AC305" s="34">
        <v>5.6000000000000001E-2</v>
      </c>
      <c r="AD305" s="32">
        <v>0.38300000000000001</v>
      </c>
    </row>
    <row r="306" spans="1:30">
      <c r="A306">
        <v>304</v>
      </c>
      <c r="B306">
        <v>11</v>
      </c>
      <c r="C306">
        <v>0.33300000000000002</v>
      </c>
      <c r="D306">
        <v>1.48</v>
      </c>
      <c r="E306">
        <v>0</v>
      </c>
      <c r="F306">
        <v>0.98499999999999999</v>
      </c>
      <c r="G306">
        <v>0</v>
      </c>
      <c r="H306">
        <v>4.4999999999999998E-2</v>
      </c>
      <c r="I306">
        <v>0.32700000000000001</v>
      </c>
      <c r="K306">
        <v>304</v>
      </c>
      <c r="L306">
        <v>11</v>
      </c>
      <c r="M306" s="32">
        <v>0.33300000000000002</v>
      </c>
      <c r="N306" s="47">
        <v>1.478</v>
      </c>
      <c r="P306" s="32">
        <v>0.98499999999999999</v>
      </c>
      <c r="R306" s="47">
        <v>4.5999999999999999E-2</v>
      </c>
      <c r="S306" s="32">
        <v>0.32700000000000001</v>
      </c>
      <c r="T306" s="31">
        <v>0</v>
      </c>
      <c r="V306">
        <v>304</v>
      </c>
      <c r="W306">
        <v>11</v>
      </c>
      <c r="X306">
        <v>0.34499999999999997</v>
      </c>
      <c r="Y306" s="32">
        <v>1.522</v>
      </c>
      <c r="Z306">
        <v>0</v>
      </c>
      <c r="AA306" s="32">
        <v>1.113</v>
      </c>
      <c r="AB306">
        <v>0</v>
      </c>
      <c r="AC306" s="34">
        <v>5.6000000000000001E-2</v>
      </c>
      <c r="AD306" s="32">
        <v>0.38400000000000001</v>
      </c>
    </row>
    <row r="307" spans="1:30">
      <c r="A307">
        <v>305</v>
      </c>
      <c r="B307">
        <v>11</v>
      </c>
      <c r="C307">
        <v>0.33400000000000002</v>
      </c>
      <c r="D307">
        <v>1.48</v>
      </c>
      <c r="E307">
        <v>0</v>
      </c>
      <c r="F307">
        <v>0.98599999999999999</v>
      </c>
      <c r="G307">
        <v>0</v>
      </c>
      <c r="H307">
        <v>4.4999999999999998E-2</v>
      </c>
      <c r="I307">
        <v>0.32900000000000001</v>
      </c>
      <c r="K307">
        <v>305</v>
      </c>
      <c r="L307">
        <v>11</v>
      </c>
      <c r="M307" s="32">
        <v>0.33400000000000002</v>
      </c>
      <c r="N307" s="47">
        <v>1.4810000000000001</v>
      </c>
      <c r="P307" s="32">
        <v>0.98599999999999999</v>
      </c>
      <c r="R307" s="47">
        <v>4.5999999999999999E-2</v>
      </c>
      <c r="S307" s="32">
        <v>0.32900000000000001</v>
      </c>
      <c r="T307" s="31">
        <v>0</v>
      </c>
      <c r="V307">
        <v>305</v>
      </c>
      <c r="W307">
        <v>11</v>
      </c>
      <c r="X307">
        <v>0.34599999999999997</v>
      </c>
      <c r="Y307" s="32">
        <v>1.5249999999999999</v>
      </c>
      <c r="Z307">
        <v>0</v>
      </c>
      <c r="AA307" s="32">
        <v>1.1140000000000001</v>
      </c>
      <c r="AB307">
        <v>0</v>
      </c>
      <c r="AC307" s="34">
        <v>5.6000000000000001E-2</v>
      </c>
      <c r="AD307" s="32">
        <v>0.38600000000000001</v>
      </c>
    </row>
    <row r="308" spans="1:30">
      <c r="A308">
        <v>306</v>
      </c>
      <c r="B308">
        <v>11</v>
      </c>
      <c r="C308">
        <v>0.33500000000000002</v>
      </c>
      <c r="D308">
        <v>1.49</v>
      </c>
      <c r="E308">
        <v>0</v>
      </c>
      <c r="F308">
        <v>0.98699999999999999</v>
      </c>
      <c r="G308">
        <v>0</v>
      </c>
      <c r="H308">
        <v>4.4999999999999998E-2</v>
      </c>
      <c r="I308">
        <v>0.33100000000000002</v>
      </c>
      <c r="K308">
        <v>306</v>
      </c>
      <c r="L308">
        <v>11</v>
      </c>
      <c r="M308" s="32">
        <v>0.33500000000000002</v>
      </c>
      <c r="N308" s="47">
        <v>1.4850000000000001</v>
      </c>
      <c r="P308" s="32">
        <v>0.98699999999999999</v>
      </c>
      <c r="R308" s="47">
        <v>4.5999999999999999E-2</v>
      </c>
      <c r="S308" s="32">
        <v>0.33100000000000002</v>
      </c>
      <c r="T308" s="31">
        <v>0</v>
      </c>
      <c r="V308">
        <v>306</v>
      </c>
      <c r="W308">
        <v>11</v>
      </c>
      <c r="X308">
        <v>0.34699999999999998</v>
      </c>
      <c r="Y308" s="32">
        <v>1.5289999999999999</v>
      </c>
      <c r="Z308">
        <v>0</v>
      </c>
      <c r="AA308" s="32">
        <v>1.115</v>
      </c>
      <c r="AB308">
        <v>0</v>
      </c>
      <c r="AC308" s="34">
        <v>5.6000000000000001E-2</v>
      </c>
      <c r="AD308" s="32">
        <v>0.38700000000000001</v>
      </c>
    </row>
    <row r="309" spans="1:30">
      <c r="A309">
        <v>307</v>
      </c>
      <c r="B309">
        <v>11</v>
      </c>
      <c r="C309">
        <v>0.33600000000000002</v>
      </c>
      <c r="D309">
        <v>1.49</v>
      </c>
      <c r="E309">
        <v>0</v>
      </c>
      <c r="F309">
        <v>0.98699999999999999</v>
      </c>
      <c r="G309">
        <v>0</v>
      </c>
      <c r="H309">
        <v>4.4999999999999998E-2</v>
      </c>
      <c r="I309">
        <v>0.33200000000000002</v>
      </c>
      <c r="K309">
        <v>307</v>
      </c>
      <c r="L309">
        <v>11</v>
      </c>
      <c r="M309" s="32">
        <v>0.33600000000000002</v>
      </c>
      <c r="N309" s="47">
        <v>1.4890000000000001</v>
      </c>
      <c r="P309" s="32">
        <v>0.98699999999999999</v>
      </c>
      <c r="R309" s="47">
        <v>4.5999999999999999E-2</v>
      </c>
      <c r="S309" s="32">
        <v>0.33200000000000002</v>
      </c>
      <c r="T309" s="31">
        <v>0</v>
      </c>
      <c r="V309">
        <v>307</v>
      </c>
      <c r="W309">
        <v>11</v>
      </c>
      <c r="X309">
        <v>0.34799999999999998</v>
      </c>
      <c r="Y309" s="32">
        <v>1.5329999999999999</v>
      </c>
      <c r="Z309">
        <v>0</v>
      </c>
      <c r="AA309" s="32">
        <v>1.115</v>
      </c>
      <c r="AB309">
        <v>0</v>
      </c>
      <c r="AC309" s="34">
        <v>5.7000000000000002E-2</v>
      </c>
      <c r="AD309" s="32">
        <v>0.38800000000000001</v>
      </c>
    </row>
    <row r="310" spans="1:30">
      <c r="A310">
        <v>308</v>
      </c>
      <c r="B310">
        <v>11</v>
      </c>
      <c r="C310">
        <v>0.33700000000000002</v>
      </c>
      <c r="D310">
        <v>1.49</v>
      </c>
      <c r="E310">
        <v>0</v>
      </c>
      <c r="F310">
        <v>0.98799999999999999</v>
      </c>
      <c r="G310">
        <v>0</v>
      </c>
      <c r="H310">
        <v>4.4999999999999998E-2</v>
      </c>
      <c r="I310">
        <v>0.33400000000000002</v>
      </c>
      <c r="K310">
        <v>308</v>
      </c>
      <c r="L310">
        <v>11</v>
      </c>
      <c r="M310" s="32">
        <v>0.33700000000000002</v>
      </c>
      <c r="N310" s="47">
        <v>1.492</v>
      </c>
      <c r="P310" s="32">
        <v>0.98799999999999999</v>
      </c>
      <c r="R310" s="47">
        <v>4.5999999999999999E-2</v>
      </c>
      <c r="S310" s="32">
        <v>0.33400000000000002</v>
      </c>
      <c r="T310" s="31">
        <v>0</v>
      </c>
      <c r="V310">
        <v>308</v>
      </c>
      <c r="W310">
        <v>11</v>
      </c>
      <c r="X310">
        <v>0.34899999999999998</v>
      </c>
      <c r="Y310" s="32">
        <v>1.536</v>
      </c>
      <c r="Z310">
        <v>0</v>
      </c>
      <c r="AA310" s="32">
        <v>1.1160000000000001</v>
      </c>
      <c r="AB310">
        <v>0</v>
      </c>
      <c r="AC310" s="34">
        <v>5.7000000000000002E-2</v>
      </c>
      <c r="AD310" s="32">
        <v>0.39</v>
      </c>
    </row>
    <row r="311" spans="1:30">
      <c r="A311">
        <v>309</v>
      </c>
      <c r="B311">
        <v>11</v>
      </c>
      <c r="C311">
        <v>0.33800000000000002</v>
      </c>
      <c r="D311">
        <v>1.5</v>
      </c>
      <c r="E311">
        <v>0</v>
      </c>
      <c r="F311">
        <v>0.98899999999999999</v>
      </c>
      <c r="G311">
        <v>0</v>
      </c>
      <c r="H311">
        <v>4.4999999999999998E-2</v>
      </c>
      <c r="I311">
        <v>0.33500000000000002</v>
      </c>
      <c r="K311">
        <v>309</v>
      </c>
      <c r="L311">
        <v>11</v>
      </c>
      <c r="M311" s="32">
        <v>0.33800000000000002</v>
      </c>
      <c r="N311" s="47">
        <v>1.496</v>
      </c>
      <c r="P311" s="32">
        <v>0.98899999999999999</v>
      </c>
      <c r="R311" s="47">
        <v>4.5999999999999999E-2</v>
      </c>
      <c r="S311" s="32">
        <v>0.33500000000000002</v>
      </c>
      <c r="T311" s="31">
        <v>0</v>
      </c>
      <c r="V311">
        <v>309</v>
      </c>
      <c r="W311">
        <v>11</v>
      </c>
      <c r="X311">
        <v>0.35</v>
      </c>
      <c r="Y311" s="32">
        <v>1.54</v>
      </c>
      <c r="Z311">
        <v>0</v>
      </c>
      <c r="AA311" s="32">
        <v>1.117</v>
      </c>
      <c r="AB311">
        <v>0</v>
      </c>
      <c r="AC311" s="34">
        <v>5.7000000000000002E-2</v>
      </c>
      <c r="AD311" s="32">
        <v>0.39100000000000001</v>
      </c>
    </row>
    <row r="312" spans="1:30">
      <c r="A312">
        <v>310</v>
      </c>
      <c r="B312">
        <v>11</v>
      </c>
      <c r="C312">
        <v>0.33900000000000002</v>
      </c>
      <c r="D312">
        <v>1.5</v>
      </c>
      <c r="E312">
        <v>0</v>
      </c>
      <c r="F312">
        <v>0.99</v>
      </c>
      <c r="G312">
        <v>0</v>
      </c>
      <c r="H312">
        <v>4.4999999999999998E-2</v>
      </c>
      <c r="I312">
        <v>0.33700000000000002</v>
      </c>
      <c r="K312">
        <v>310</v>
      </c>
      <c r="L312">
        <v>11</v>
      </c>
      <c r="M312" s="32">
        <v>0.33900000000000002</v>
      </c>
      <c r="N312" s="32">
        <v>1.5</v>
      </c>
      <c r="P312" s="32">
        <v>0.99</v>
      </c>
      <c r="R312" s="47">
        <v>4.5999999999999999E-2</v>
      </c>
      <c r="S312" s="32">
        <v>0.33700000000000002</v>
      </c>
      <c r="T312" s="31">
        <v>0</v>
      </c>
      <c r="V312">
        <v>310</v>
      </c>
      <c r="W312">
        <v>11</v>
      </c>
      <c r="X312">
        <v>0.35099999999999998</v>
      </c>
      <c r="Y312" s="32">
        <v>1.5429999999999999</v>
      </c>
      <c r="Z312">
        <v>0</v>
      </c>
      <c r="AA312" s="32">
        <v>1.117</v>
      </c>
      <c r="AB312">
        <v>0</v>
      </c>
      <c r="AC312" s="34">
        <v>5.7000000000000002E-2</v>
      </c>
      <c r="AD312" s="32">
        <v>0.39200000000000002</v>
      </c>
    </row>
    <row r="313" spans="1:30">
      <c r="A313">
        <v>311</v>
      </c>
      <c r="B313">
        <v>11</v>
      </c>
      <c r="C313">
        <v>0.34</v>
      </c>
      <c r="D313">
        <v>1.5</v>
      </c>
      <c r="E313">
        <v>0</v>
      </c>
      <c r="F313">
        <v>0.99099999999999999</v>
      </c>
      <c r="G313">
        <v>0</v>
      </c>
      <c r="H313">
        <v>4.4999999999999998E-2</v>
      </c>
      <c r="I313">
        <v>0.33800000000000002</v>
      </c>
      <c r="K313">
        <v>311</v>
      </c>
      <c r="L313">
        <v>11</v>
      </c>
      <c r="M313" s="32">
        <v>0.34</v>
      </c>
      <c r="N313" s="47">
        <v>1.5029999999999999</v>
      </c>
      <c r="P313" s="32">
        <v>0.99099999999999999</v>
      </c>
      <c r="R313" s="47">
        <v>4.5999999999999999E-2</v>
      </c>
      <c r="S313" s="32">
        <v>0.33800000000000002</v>
      </c>
      <c r="T313" s="31">
        <v>0</v>
      </c>
      <c r="V313">
        <v>311</v>
      </c>
      <c r="W313">
        <v>11</v>
      </c>
      <c r="X313">
        <v>0.35199999999999998</v>
      </c>
      <c r="Y313" s="32">
        <v>1.5449999999999999</v>
      </c>
      <c r="Z313">
        <v>0</v>
      </c>
      <c r="AA313" s="32">
        <v>1.1180000000000001</v>
      </c>
      <c r="AB313">
        <v>0</v>
      </c>
      <c r="AC313" s="34">
        <v>5.7000000000000002E-2</v>
      </c>
      <c r="AD313" s="32">
        <v>0.39400000000000002</v>
      </c>
    </row>
    <row r="314" spans="1:30">
      <c r="A314">
        <v>312</v>
      </c>
      <c r="B314">
        <v>11</v>
      </c>
      <c r="C314">
        <v>0.34100000000000003</v>
      </c>
      <c r="D314">
        <v>1.51</v>
      </c>
      <c r="E314">
        <v>0</v>
      </c>
      <c r="F314">
        <v>0.99199999999999999</v>
      </c>
      <c r="G314">
        <v>0</v>
      </c>
      <c r="H314">
        <v>4.4999999999999998E-2</v>
      </c>
      <c r="I314">
        <v>0.34</v>
      </c>
      <c r="K314">
        <v>312</v>
      </c>
      <c r="L314">
        <v>11</v>
      </c>
      <c r="M314" s="32">
        <v>0.34100000000000003</v>
      </c>
      <c r="N314" s="47">
        <v>1.5069999999999999</v>
      </c>
      <c r="P314" s="32">
        <v>0.99199999999999999</v>
      </c>
      <c r="R314" s="47">
        <v>4.5999999999999999E-2</v>
      </c>
      <c r="S314" s="32">
        <v>0.34</v>
      </c>
      <c r="T314" s="31">
        <v>0</v>
      </c>
      <c r="V314">
        <v>312</v>
      </c>
      <c r="W314">
        <v>11</v>
      </c>
      <c r="X314">
        <v>0.35299999999999998</v>
      </c>
      <c r="Y314" s="32">
        <v>1.548</v>
      </c>
      <c r="Z314">
        <v>0</v>
      </c>
      <c r="AA314" s="32">
        <v>1.119</v>
      </c>
      <c r="AB314">
        <v>0</v>
      </c>
      <c r="AC314" s="34">
        <v>5.7000000000000002E-2</v>
      </c>
      <c r="AD314" s="32">
        <v>0.39500000000000002</v>
      </c>
    </row>
    <row r="315" spans="1:30">
      <c r="A315">
        <v>313</v>
      </c>
      <c r="B315">
        <v>11</v>
      </c>
      <c r="C315">
        <v>0.34200000000000003</v>
      </c>
      <c r="D315">
        <v>1.51</v>
      </c>
      <c r="E315">
        <v>0</v>
      </c>
      <c r="F315">
        <v>0.99299999999999999</v>
      </c>
      <c r="G315">
        <v>0</v>
      </c>
      <c r="H315">
        <v>4.4999999999999998E-2</v>
      </c>
      <c r="I315">
        <v>0.34100000000000003</v>
      </c>
      <c r="K315">
        <v>313</v>
      </c>
      <c r="L315">
        <v>11</v>
      </c>
      <c r="M315" s="32">
        <v>0.34200000000000003</v>
      </c>
      <c r="N315" s="47">
        <v>1.5109999999999999</v>
      </c>
      <c r="P315" s="32">
        <v>0.99299999999999999</v>
      </c>
      <c r="R315" s="47">
        <v>4.5999999999999999E-2</v>
      </c>
      <c r="S315" s="32">
        <v>0.34100000000000003</v>
      </c>
      <c r="T315" s="31">
        <v>0</v>
      </c>
      <c r="V315">
        <v>313</v>
      </c>
      <c r="W315">
        <v>11</v>
      </c>
      <c r="X315">
        <v>0.35399999999999998</v>
      </c>
      <c r="Y315" s="32">
        <v>1.55</v>
      </c>
      <c r="Z315">
        <v>0</v>
      </c>
      <c r="AA315" s="32">
        <v>1.119</v>
      </c>
      <c r="AB315">
        <v>0</v>
      </c>
      <c r="AC315" s="34">
        <v>5.7000000000000002E-2</v>
      </c>
      <c r="AD315" s="32">
        <v>0.39700000000000002</v>
      </c>
    </row>
    <row r="316" spans="1:30">
      <c r="A316">
        <v>314</v>
      </c>
      <c r="B316">
        <v>11</v>
      </c>
      <c r="C316">
        <v>0.34300000000000003</v>
      </c>
      <c r="D316">
        <v>1.51</v>
      </c>
      <c r="E316">
        <v>0</v>
      </c>
      <c r="F316">
        <v>0.99399999999999999</v>
      </c>
      <c r="G316">
        <v>0</v>
      </c>
      <c r="H316">
        <v>4.4999999999999998E-2</v>
      </c>
      <c r="I316">
        <v>0.34300000000000003</v>
      </c>
      <c r="K316">
        <v>314</v>
      </c>
      <c r="L316">
        <v>11</v>
      </c>
      <c r="M316" s="32">
        <v>0.34300000000000003</v>
      </c>
      <c r="N316" s="47">
        <v>1.514</v>
      </c>
      <c r="P316" s="32">
        <v>0.99399999999999999</v>
      </c>
      <c r="R316" s="47">
        <v>4.7E-2</v>
      </c>
      <c r="S316" s="32">
        <v>0.34300000000000003</v>
      </c>
      <c r="T316" s="31">
        <v>0</v>
      </c>
      <c r="V316">
        <v>314</v>
      </c>
      <c r="W316">
        <v>11</v>
      </c>
      <c r="X316">
        <v>0.35499999999999998</v>
      </c>
      <c r="Y316" s="32">
        <v>1.5529999999999999</v>
      </c>
      <c r="Z316">
        <v>0</v>
      </c>
      <c r="AA316" s="32">
        <v>1.1200000000000001</v>
      </c>
      <c r="AB316">
        <v>0</v>
      </c>
      <c r="AC316" s="34">
        <v>5.7000000000000002E-2</v>
      </c>
      <c r="AD316" s="32">
        <v>0.39800000000000002</v>
      </c>
    </row>
    <row r="317" spans="1:30">
      <c r="A317">
        <v>315</v>
      </c>
      <c r="B317">
        <v>11</v>
      </c>
      <c r="C317">
        <v>0.34399999999999997</v>
      </c>
      <c r="D317">
        <v>1.52</v>
      </c>
      <c r="E317">
        <v>0</v>
      </c>
      <c r="F317">
        <v>0.995</v>
      </c>
      <c r="G317">
        <v>0</v>
      </c>
      <c r="H317">
        <v>4.4999999999999998E-2</v>
      </c>
      <c r="I317">
        <v>0.34499999999999997</v>
      </c>
      <c r="K317">
        <v>315</v>
      </c>
      <c r="L317">
        <v>11</v>
      </c>
      <c r="M317" s="32">
        <v>0.34399999999999997</v>
      </c>
      <c r="N317" s="47">
        <v>1.518</v>
      </c>
      <c r="P317" s="32">
        <v>0.995</v>
      </c>
      <c r="R317" s="47">
        <v>4.7E-2</v>
      </c>
      <c r="S317" s="32">
        <v>0.34499999999999997</v>
      </c>
      <c r="T317" s="31">
        <v>0</v>
      </c>
      <c r="V317">
        <v>315</v>
      </c>
      <c r="W317">
        <v>11</v>
      </c>
      <c r="X317">
        <v>0.35599999999999998</v>
      </c>
      <c r="Y317" s="32">
        <v>1.5549999999999999</v>
      </c>
      <c r="Z317">
        <v>0</v>
      </c>
      <c r="AA317" s="32">
        <v>1.121</v>
      </c>
      <c r="AB317">
        <v>0</v>
      </c>
      <c r="AC317" s="34">
        <v>5.7000000000000002E-2</v>
      </c>
      <c r="AD317" s="32">
        <v>0.39900000000000002</v>
      </c>
    </row>
    <row r="318" spans="1:30">
      <c r="A318">
        <v>316</v>
      </c>
      <c r="B318">
        <v>11</v>
      </c>
      <c r="C318">
        <v>0.34499999999999997</v>
      </c>
      <c r="D318">
        <v>1.52</v>
      </c>
      <c r="E318">
        <v>0</v>
      </c>
      <c r="F318">
        <v>0.996</v>
      </c>
      <c r="G318">
        <v>0</v>
      </c>
      <c r="H318">
        <v>4.4999999999999998E-2</v>
      </c>
      <c r="I318">
        <v>0.34599999999999997</v>
      </c>
      <c r="K318">
        <v>316</v>
      </c>
      <c r="L318">
        <v>11</v>
      </c>
      <c r="M318" s="32">
        <v>0.34499999999999997</v>
      </c>
      <c r="N318" s="47">
        <v>1.522</v>
      </c>
      <c r="P318" s="32">
        <v>0.996</v>
      </c>
      <c r="R318" s="47">
        <v>4.7E-2</v>
      </c>
      <c r="S318" s="32">
        <v>0.34599999999999997</v>
      </c>
      <c r="T318" s="31">
        <v>0</v>
      </c>
      <c r="V318">
        <v>316</v>
      </c>
      <c r="W318">
        <v>11</v>
      </c>
      <c r="X318">
        <v>0.35699999999999998</v>
      </c>
      <c r="Y318" s="32">
        <v>1.5580000000000001</v>
      </c>
      <c r="Z318">
        <v>0</v>
      </c>
      <c r="AA318" s="32">
        <v>1.121</v>
      </c>
      <c r="AB318">
        <v>0</v>
      </c>
      <c r="AC318" s="34">
        <v>5.7000000000000002E-2</v>
      </c>
      <c r="AD318" s="32">
        <v>0.40100000000000002</v>
      </c>
    </row>
    <row r="319" spans="1:30">
      <c r="A319">
        <v>317</v>
      </c>
      <c r="B319">
        <v>11</v>
      </c>
      <c r="C319">
        <v>0.34599999999999997</v>
      </c>
      <c r="D319">
        <v>1.53</v>
      </c>
      <c r="E319">
        <v>0</v>
      </c>
      <c r="F319">
        <v>0.997</v>
      </c>
      <c r="G319">
        <v>0</v>
      </c>
      <c r="H319">
        <v>4.4999999999999998E-2</v>
      </c>
      <c r="I319">
        <v>0.34799999999999998</v>
      </c>
      <c r="K319">
        <v>317</v>
      </c>
      <c r="L319">
        <v>11</v>
      </c>
      <c r="M319" s="32">
        <v>0.34599999999999997</v>
      </c>
      <c r="N319" s="47">
        <v>1.5249999999999999</v>
      </c>
      <c r="P319" s="32">
        <v>0.997</v>
      </c>
      <c r="R319" s="47">
        <v>4.7E-2</v>
      </c>
      <c r="S319" s="32">
        <v>0.34799999999999998</v>
      </c>
      <c r="T319" s="31">
        <v>0</v>
      </c>
      <c r="V319">
        <v>317</v>
      </c>
      <c r="W319">
        <v>11</v>
      </c>
      <c r="X319">
        <v>0.35799999999999998</v>
      </c>
      <c r="Y319" s="32">
        <v>1.56</v>
      </c>
      <c r="Z319">
        <v>0</v>
      </c>
      <c r="AA319" s="32">
        <v>1.1220000000000001</v>
      </c>
      <c r="AB319">
        <v>0</v>
      </c>
      <c r="AC319" s="34">
        <v>5.7000000000000002E-2</v>
      </c>
      <c r="AD319" s="32">
        <v>0.40200000000000002</v>
      </c>
    </row>
    <row r="320" spans="1:30">
      <c r="A320">
        <v>318</v>
      </c>
      <c r="B320">
        <v>11</v>
      </c>
      <c r="C320">
        <v>0.34699999999999998</v>
      </c>
      <c r="D320">
        <v>1.53</v>
      </c>
      <c r="E320">
        <v>0</v>
      </c>
      <c r="F320">
        <v>0.998</v>
      </c>
      <c r="G320">
        <v>0</v>
      </c>
      <c r="H320">
        <v>4.4999999999999998E-2</v>
      </c>
      <c r="I320">
        <v>0.34899999999999998</v>
      </c>
      <c r="K320">
        <v>318</v>
      </c>
      <c r="L320">
        <v>11</v>
      </c>
      <c r="M320" s="32">
        <v>0.34699999999999998</v>
      </c>
      <c r="N320" s="47">
        <v>1.5289999999999999</v>
      </c>
      <c r="P320" s="32">
        <v>0.998</v>
      </c>
      <c r="R320" s="47">
        <v>4.7E-2</v>
      </c>
      <c r="S320" s="32">
        <v>0.34899999999999998</v>
      </c>
      <c r="T320" s="31">
        <v>0</v>
      </c>
      <c r="V320">
        <v>318</v>
      </c>
      <c r="W320">
        <v>11</v>
      </c>
      <c r="X320">
        <v>0.35899999999999999</v>
      </c>
      <c r="Y320" s="32">
        <v>1.5629999999999999</v>
      </c>
      <c r="Z320">
        <v>0</v>
      </c>
      <c r="AA320" s="32">
        <v>1.123</v>
      </c>
      <c r="AB320">
        <v>0</v>
      </c>
      <c r="AC320" s="34">
        <v>5.8000000000000003E-2</v>
      </c>
      <c r="AD320" s="32">
        <v>0.40300000000000002</v>
      </c>
    </row>
    <row r="321" spans="1:30">
      <c r="A321">
        <v>319</v>
      </c>
      <c r="B321">
        <v>11</v>
      </c>
      <c r="C321">
        <v>0.34799999999999998</v>
      </c>
      <c r="D321">
        <v>1.53</v>
      </c>
      <c r="E321">
        <v>0</v>
      </c>
      <c r="F321">
        <v>0.999</v>
      </c>
      <c r="G321">
        <v>0</v>
      </c>
      <c r="H321">
        <v>4.4999999999999998E-2</v>
      </c>
      <c r="I321">
        <v>0.35099999999999998</v>
      </c>
      <c r="K321">
        <v>319</v>
      </c>
      <c r="L321">
        <v>11</v>
      </c>
      <c r="M321" s="32">
        <v>0.34799999999999998</v>
      </c>
      <c r="N321" s="47">
        <v>1.5329999999999999</v>
      </c>
      <c r="P321" s="32">
        <v>0.999</v>
      </c>
      <c r="R321" s="47">
        <v>4.7E-2</v>
      </c>
      <c r="S321" s="32">
        <v>0.35099999999999998</v>
      </c>
      <c r="T321" s="31">
        <v>0</v>
      </c>
      <c r="V321">
        <v>319</v>
      </c>
      <c r="W321">
        <v>11</v>
      </c>
      <c r="X321">
        <v>0.36</v>
      </c>
      <c r="Y321" s="32">
        <v>1.5649999999999999</v>
      </c>
      <c r="Z321">
        <v>0</v>
      </c>
      <c r="AA321" s="32">
        <v>1.123</v>
      </c>
      <c r="AB321">
        <v>0</v>
      </c>
      <c r="AC321" s="34">
        <v>5.8000000000000003E-2</v>
      </c>
      <c r="AD321" s="32">
        <v>0.40500000000000003</v>
      </c>
    </row>
    <row r="322" spans="1:30">
      <c r="A322">
        <v>320</v>
      </c>
      <c r="B322">
        <v>11</v>
      </c>
      <c r="C322">
        <v>0.34899999999999998</v>
      </c>
      <c r="D322">
        <v>1.54</v>
      </c>
      <c r="E322">
        <v>0</v>
      </c>
      <c r="F322">
        <v>1</v>
      </c>
      <c r="G322">
        <v>0</v>
      </c>
      <c r="H322">
        <v>4.4999999999999998E-2</v>
      </c>
      <c r="I322">
        <v>0.35199999999999998</v>
      </c>
      <c r="K322">
        <v>320</v>
      </c>
      <c r="L322">
        <v>11</v>
      </c>
      <c r="M322" s="32">
        <v>0.34899999999999998</v>
      </c>
      <c r="N322" s="47">
        <v>1.536</v>
      </c>
      <c r="P322" s="32">
        <v>1</v>
      </c>
      <c r="R322" s="47">
        <v>4.7E-2</v>
      </c>
      <c r="S322" s="32">
        <v>0.35199999999999998</v>
      </c>
      <c r="T322" s="31">
        <v>0</v>
      </c>
      <c r="V322">
        <v>320</v>
      </c>
      <c r="W322">
        <v>11</v>
      </c>
      <c r="X322">
        <v>0.36099999999999999</v>
      </c>
      <c r="Y322" s="32">
        <v>1.5680000000000001</v>
      </c>
      <c r="Z322">
        <v>0</v>
      </c>
      <c r="AA322" s="32">
        <v>1.1240000000000001</v>
      </c>
      <c r="AB322">
        <v>0</v>
      </c>
      <c r="AC322" s="34">
        <v>5.8000000000000003E-2</v>
      </c>
      <c r="AD322" s="32">
        <v>0.40600000000000003</v>
      </c>
    </row>
    <row r="323" spans="1:30">
      <c r="A323">
        <v>321</v>
      </c>
      <c r="B323">
        <v>12</v>
      </c>
      <c r="C323">
        <v>0.35</v>
      </c>
      <c r="D323">
        <v>1.54</v>
      </c>
      <c r="E323">
        <v>0</v>
      </c>
      <c r="F323">
        <v>1.0009999999999999</v>
      </c>
      <c r="G323">
        <v>0</v>
      </c>
      <c r="H323">
        <v>4.7E-2</v>
      </c>
      <c r="I323">
        <v>0.35399999999999998</v>
      </c>
      <c r="K323">
        <v>321</v>
      </c>
      <c r="L323">
        <v>12</v>
      </c>
      <c r="M323" s="32">
        <v>0.35</v>
      </c>
      <c r="N323" s="32">
        <v>1.54</v>
      </c>
      <c r="P323" s="32">
        <v>1.0009999999999999</v>
      </c>
      <c r="R323" s="32">
        <v>4.7E-2</v>
      </c>
      <c r="S323" s="32">
        <v>0.35399999999999998</v>
      </c>
      <c r="T323" s="31">
        <v>0</v>
      </c>
      <c r="V323">
        <v>321</v>
      </c>
      <c r="W323">
        <v>11</v>
      </c>
      <c r="X323">
        <v>0.36199999999999999</v>
      </c>
      <c r="Y323" s="32">
        <v>1.57</v>
      </c>
      <c r="Z323">
        <v>0</v>
      </c>
      <c r="AA323" s="32">
        <v>1.125</v>
      </c>
      <c r="AB323">
        <v>0</v>
      </c>
      <c r="AC323" s="34">
        <v>5.8000000000000003E-2</v>
      </c>
      <c r="AD323" s="32">
        <v>0.40699999999999997</v>
      </c>
    </row>
    <row r="324" spans="1:30">
      <c r="A324">
        <v>322</v>
      </c>
      <c r="B324">
        <v>12</v>
      </c>
      <c r="C324">
        <v>0.35099999999999998</v>
      </c>
      <c r="D324">
        <v>1.54</v>
      </c>
      <c r="E324">
        <v>0</v>
      </c>
      <c r="F324">
        <v>1.002</v>
      </c>
      <c r="G324">
        <v>0</v>
      </c>
      <c r="H324">
        <v>4.7E-2</v>
      </c>
      <c r="I324">
        <v>0.35499999999999998</v>
      </c>
      <c r="K324">
        <v>322</v>
      </c>
      <c r="L324">
        <v>12</v>
      </c>
      <c r="M324" s="32">
        <v>0.35099999999999998</v>
      </c>
      <c r="N324" s="47">
        <v>1.5429999999999999</v>
      </c>
      <c r="P324" s="32">
        <v>1.002</v>
      </c>
      <c r="R324" s="32">
        <v>4.7E-2</v>
      </c>
      <c r="S324" s="32">
        <v>0.35499999999999998</v>
      </c>
      <c r="T324" s="31">
        <v>0</v>
      </c>
      <c r="V324">
        <v>322</v>
      </c>
      <c r="W324">
        <v>11</v>
      </c>
      <c r="X324">
        <v>0.36299999999999999</v>
      </c>
      <c r="Y324" s="32">
        <v>1.573</v>
      </c>
      <c r="Z324">
        <v>0</v>
      </c>
      <c r="AA324" s="32">
        <v>1.125</v>
      </c>
      <c r="AB324">
        <v>0</v>
      </c>
      <c r="AC324" s="34">
        <v>5.8000000000000003E-2</v>
      </c>
      <c r="AD324" s="32">
        <v>0.40899999999999997</v>
      </c>
    </row>
    <row r="325" spans="1:30">
      <c r="A325">
        <v>323</v>
      </c>
      <c r="B325">
        <v>12</v>
      </c>
      <c r="C325">
        <v>0.35199999999999998</v>
      </c>
      <c r="D325">
        <v>1.55</v>
      </c>
      <c r="E325">
        <v>0</v>
      </c>
      <c r="F325">
        <v>1.002</v>
      </c>
      <c r="G325">
        <v>0</v>
      </c>
      <c r="H325">
        <v>4.7E-2</v>
      </c>
      <c r="I325">
        <v>0.35699999999999998</v>
      </c>
      <c r="K325">
        <v>323</v>
      </c>
      <c r="L325">
        <v>12</v>
      </c>
      <c r="M325" s="32">
        <v>0.35199999999999998</v>
      </c>
      <c r="N325" s="47">
        <v>1.5449999999999999</v>
      </c>
      <c r="P325" s="32">
        <v>1.002</v>
      </c>
      <c r="R325" s="32">
        <v>4.7E-2</v>
      </c>
      <c r="S325" s="32">
        <v>0.35699999999999998</v>
      </c>
      <c r="T325" s="31">
        <v>0</v>
      </c>
      <c r="V325">
        <v>323</v>
      </c>
      <c r="W325">
        <v>12</v>
      </c>
      <c r="X325">
        <v>0.36399999999999999</v>
      </c>
      <c r="Y325" s="32">
        <v>1.575</v>
      </c>
      <c r="Z325">
        <v>0</v>
      </c>
      <c r="AA325" s="32">
        <v>1.1259999999999999</v>
      </c>
      <c r="AB325">
        <v>0</v>
      </c>
      <c r="AC325" s="34">
        <v>5.8000000000000003E-2</v>
      </c>
      <c r="AD325" s="32">
        <v>0.41</v>
      </c>
    </row>
    <row r="326" spans="1:30">
      <c r="A326">
        <v>324</v>
      </c>
      <c r="B326">
        <v>12</v>
      </c>
      <c r="C326">
        <v>0.35299999999999998</v>
      </c>
      <c r="D326">
        <v>1.55</v>
      </c>
      <c r="E326">
        <v>0</v>
      </c>
      <c r="F326">
        <v>1.0029999999999999</v>
      </c>
      <c r="G326">
        <v>0</v>
      </c>
      <c r="H326">
        <v>4.7E-2</v>
      </c>
      <c r="I326">
        <v>0.35799999999999998</v>
      </c>
      <c r="K326">
        <v>324</v>
      </c>
      <c r="L326">
        <v>12</v>
      </c>
      <c r="M326" s="32">
        <v>0.35299999999999998</v>
      </c>
      <c r="N326" s="47">
        <v>1.548</v>
      </c>
      <c r="P326" s="32">
        <v>1.0029999999999999</v>
      </c>
      <c r="R326" s="32">
        <v>4.7E-2</v>
      </c>
      <c r="S326" s="32">
        <v>0.35799999999999998</v>
      </c>
      <c r="T326" s="31">
        <v>0</v>
      </c>
      <c r="V326">
        <v>324</v>
      </c>
      <c r="W326">
        <v>12</v>
      </c>
      <c r="X326">
        <v>0.36499999999999999</v>
      </c>
      <c r="Y326" s="32">
        <v>1.5780000000000001</v>
      </c>
      <c r="Z326">
        <v>0</v>
      </c>
      <c r="AA326" s="32">
        <v>1.127</v>
      </c>
      <c r="AB326">
        <v>0</v>
      </c>
      <c r="AC326" s="34">
        <v>5.8000000000000003E-2</v>
      </c>
      <c r="AD326" s="32">
        <v>0.41099999999999998</v>
      </c>
    </row>
    <row r="327" spans="1:30">
      <c r="A327">
        <v>325</v>
      </c>
      <c r="B327">
        <v>12</v>
      </c>
      <c r="C327">
        <v>0.35399999999999998</v>
      </c>
      <c r="D327">
        <v>1.55</v>
      </c>
      <c r="E327">
        <v>0</v>
      </c>
      <c r="F327">
        <v>1.004</v>
      </c>
      <c r="G327">
        <v>0</v>
      </c>
      <c r="H327">
        <v>4.7E-2</v>
      </c>
      <c r="I327">
        <v>0.35899999999999999</v>
      </c>
      <c r="K327">
        <v>325</v>
      </c>
      <c r="L327">
        <v>12</v>
      </c>
      <c r="M327" s="32">
        <v>0.35399999999999998</v>
      </c>
      <c r="N327" s="32">
        <v>1.55</v>
      </c>
      <c r="P327" s="32">
        <v>1.004</v>
      </c>
      <c r="R327" s="32">
        <v>4.7E-2</v>
      </c>
      <c r="S327" s="32">
        <v>0.35899999999999999</v>
      </c>
      <c r="T327" s="31">
        <v>0</v>
      </c>
      <c r="V327">
        <v>325</v>
      </c>
      <c r="W327">
        <v>12</v>
      </c>
      <c r="X327">
        <v>0.36599999999999999</v>
      </c>
      <c r="Y327" s="32">
        <v>1.58</v>
      </c>
      <c r="Z327">
        <v>0</v>
      </c>
      <c r="AA327" s="32">
        <v>1.127</v>
      </c>
      <c r="AB327">
        <v>0</v>
      </c>
      <c r="AC327" s="34">
        <v>5.8000000000000003E-2</v>
      </c>
      <c r="AD327" s="32">
        <v>0.41299999999999998</v>
      </c>
    </row>
    <row r="328" spans="1:30">
      <c r="A328">
        <v>326</v>
      </c>
      <c r="B328">
        <v>12</v>
      </c>
      <c r="C328">
        <v>0.35499999999999998</v>
      </c>
      <c r="D328">
        <v>1.55</v>
      </c>
      <c r="E328">
        <v>0</v>
      </c>
      <c r="F328">
        <v>1.0049999999999999</v>
      </c>
      <c r="G328">
        <v>0</v>
      </c>
      <c r="H328">
        <v>4.7E-2</v>
      </c>
      <c r="I328">
        <v>0.36</v>
      </c>
      <c r="K328">
        <v>326</v>
      </c>
      <c r="L328">
        <v>12</v>
      </c>
      <c r="M328" s="32">
        <v>0.35499999999999998</v>
      </c>
      <c r="N328" s="47">
        <v>1.5529999999999999</v>
      </c>
      <c r="P328" s="32">
        <v>1.0049999999999999</v>
      </c>
      <c r="R328" s="32">
        <v>4.7E-2</v>
      </c>
      <c r="S328" s="32">
        <v>0.36</v>
      </c>
      <c r="T328" s="31">
        <v>0</v>
      </c>
      <c r="V328">
        <v>326</v>
      </c>
      <c r="W328">
        <v>12</v>
      </c>
      <c r="X328">
        <v>0.36699999999999999</v>
      </c>
      <c r="Y328" s="32">
        <v>1.583</v>
      </c>
      <c r="Z328">
        <v>0</v>
      </c>
      <c r="AA328" s="32">
        <v>1.1279999999999999</v>
      </c>
      <c r="AB328">
        <v>0</v>
      </c>
      <c r="AC328" s="34">
        <v>5.8000000000000003E-2</v>
      </c>
      <c r="AD328" s="32">
        <v>0.41399999999999998</v>
      </c>
    </row>
    <row r="329" spans="1:30">
      <c r="A329">
        <v>327</v>
      </c>
      <c r="B329">
        <v>12</v>
      </c>
      <c r="C329">
        <v>0.35599999999999998</v>
      </c>
      <c r="D329">
        <v>1.56</v>
      </c>
      <c r="E329">
        <v>0</v>
      </c>
      <c r="F329">
        <v>1.0049999999999999</v>
      </c>
      <c r="G329">
        <v>0</v>
      </c>
      <c r="H329">
        <v>4.7E-2</v>
      </c>
      <c r="I329">
        <v>0.36199999999999999</v>
      </c>
      <c r="K329">
        <v>327</v>
      </c>
      <c r="L329">
        <v>12</v>
      </c>
      <c r="M329" s="32">
        <v>0.35599999999999998</v>
      </c>
      <c r="N329" s="47">
        <v>1.5549999999999999</v>
      </c>
      <c r="P329" s="32">
        <v>1.0049999999999999</v>
      </c>
      <c r="R329" s="32">
        <v>4.7E-2</v>
      </c>
      <c r="S329" s="32">
        <v>0.36199999999999999</v>
      </c>
      <c r="T329" s="31">
        <v>0</v>
      </c>
      <c r="V329">
        <v>327</v>
      </c>
      <c r="W329">
        <v>12</v>
      </c>
      <c r="X329">
        <v>0.36799999999999999</v>
      </c>
      <c r="Y329" s="32">
        <v>1.585</v>
      </c>
      <c r="Z329">
        <v>0</v>
      </c>
      <c r="AA329" s="32">
        <v>1.1279999999999999</v>
      </c>
      <c r="AB329">
        <v>0</v>
      </c>
      <c r="AC329" s="34">
        <v>5.8999999999999997E-2</v>
      </c>
      <c r="AD329" s="32">
        <v>0.41499999999999998</v>
      </c>
    </row>
    <row r="330" spans="1:30">
      <c r="A330">
        <v>328</v>
      </c>
      <c r="B330">
        <v>12</v>
      </c>
      <c r="C330">
        <v>0.35699999999999998</v>
      </c>
      <c r="D330">
        <v>1.56</v>
      </c>
      <c r="E330">
        <v>0</v>
      </c>
      <c r="F330">
        <v>1.006</v>
      </c>
      <c r="G330">
        <v>0</v>
      </c>
      <c r="H330">
        <v>4.7E-2</v>
      </c>
      <c r="I330">
        <v>0.36299999999999999</v>
      </c>
      <c r="K330">
        <v>328</v>
      </c>
      <c r="L330">
        <v>12</v>
      </c>
      <c r="M330" s="32">
        <v>0.35699999999999998</v>
      </c>
      <c r="N330" s="47">
        <v>1.5580000000000001</v>
      </c>
      <c r="P330" s="32">
        <v>1.006</v>
      </c>
      <c r="R330" s="47">
        <v>4.8000000000000001E-2</v>
      </c>
      <c r="S330" s="32">
        <v>0.36299999999999999</v>
      </c>
      <c r="T330" s="31">
        <v>0</v>
      </c>
      <c r="V330">
        <v>328</v>
      </c>
      <c r="W330">
        <v>12</v>
      </c>
      <c r="X330">
        <v>0.36899999999999999</v>
      </c>
      <c r="Y330" s="32">
        <v>1.5880000000000001</v>
      </c>
      <c r="Z330">
        <v>0</v>
      </c>
      <c r="AA330" s="32">
        <v>1.129</v>
      </c>
      <c r="AB330">
        <v>0</v>
      </c>
      <c r="AC330" s="34">
        <v>5.8999999999999997E-2</v>
      </c>
      <c r="AD330" s="32">
        <v>0.41699999999999998</v>
      </c>
    </row>
    <row r="331" spans="1:30">
      <c r="A331">
        <v>329</v>
      </c>
      <c r="B331">
        <v>12</v>
      </c>
      <c r="C331">
        <v>0.35799999999999998</v>
      </c>
      <c r="D331">
        <v>1.56</v>
      </c>
      <c r="E331">
        <v>0</v>
      </c>
      <c r="F331">
        <v>1.0069999999999999</v>
      </c>
      <c r="G331">
        <v>0</v>
      </c>
      <c r="H331">
        <v>4.7E-2</v>
      </c>
      <c r="I331">
        <v>0.36399999999999999</v>
      </c>
      <c r="K331">
        <v>329</v>
      </c>
      <c r="L331">
        <v>12</v>
      </c>
      <c r="M331" s="32">
        <v>0.35799999999999998</v>
      </c>
      <c r="N331" s="32">
        <v>1.56</v>
      </c>
      <c r="P331" s="32">
        <v>1.0069999999999999</v>
      </c>
      <c r="R331" s="47">
        <v>4.8000000000000001E-2</v>
      </c>
      <c r="S331" s="32">
        <v>0.36399999999999999</v>
      </c>
      <c r="T331" s="31">
        <v>0</v>
      </c>
      <c r="V331">
        <v>329</v>
      </c>
      <c r="W331">
        <v>12</v>
      </c>
      <c r="X331">
        <v>0.37</v>
      </c>
      <c r="Y331" s="32">
        <v>1.59</v>
      </c>
      <c r="Z331">
        <v>0</v>
      </c>
      <c r="AA331" s="32">
        <v>1.129</v>
      </c>
      <c r="AB331">
        <v>0</v>
      </c>
      <c r="AC331" s="34">
        <v>5.8999999999999997E-2</v>
      </c>
      <c r="AD331" s="32">
        <v>0.41799999999999998</v>
      </c>
    </row>
    <row r="332" spans="1:30">
      <c r="A332">
        <v>330</v>
      </c>
      <c r="B332">
        <v>12</v>
      </c>
      <c r="C332">
        <v>0.35899999999999999</v>
      </c>
      <c r="D332">
        <v>1.56</v>
      </c>
      <c r="E332">
        <v>0</v>
      </c>
      <c r="F332">
        <v>1.008</v>
      </c>
      <c r="G332">
        <v>0</v>
      </c>
      <c r="H332">
        <v>4.7E-2</v>
      </c>
      <c r="I332">
        <v>0.36499999999999999</v>
      </c>
      <c r="K332">
        <v>330</v>
      </c>
      <c r="L332">
        <v>12</v>
      </c>
      <c r="M332" s="32">
        <v>0.35899999999999999</v>
      </c>
      <c r="N332" s="47">
        <v>1.5629999999999999</v>
      </c>
      <c r="P332" s="32">
        <v>1.008</v>
      </c>
      <c r="R332" s="47">
        <v>4.8000000000000001E-2</v>
      </c>
      <c r="S332" s="32">
        <v>0.36499999999999999</v>
      </c>
      <c r="T332" s="31">
        <v>0</v>
      </c>
      <c r="V332">
        <v>330</v>
      </c>
      <c r="W332">
        <v>12</v>
      </c>
      <c r="X332">
        <v>0.371</v>
      </c>
      <c r="Y332" s="32">
        <v>1.593</v>
      </c>
      <c r="Z332">
        <v>0</v>
      </c>
      <c r="AA332" s="32">
        <v>1.1299999999999999</v>
      </c>
      <c r="AB332">
        <v>0</v>
      </c>
      <c r="AC332" s="34">
        <v>5.8999999999999997E-2</v>
      </c>
      <c r="AD332" s="32">
        <v>0.41899999999999998</v>
      </c>
    </row>
    <row r="333" spans="1:30">
      <c r="A333">
        <v>331</v>
      </c>
      <c r="B333">
        <v>12</v>
      </c>
      <c r="C333">
        <v>0.36</v>
      </c>
      <c r="D333">
        <v>1.57</v>
      </c>
      <c r="E333">
        <v>0</v>
      </c>
      <c r="F333">
        <v>1.008</v>
      </c>
      <c r="G333">
        <v>0</v>
      </c>
      <c r="H333">
        <v>4.7E-2</v>
      </c>
      <c r="I333">
        <v>0.36699999999999999</v>
      </c>
      <c r="K333">
        <v>331</v>
      </c>
      <c r="L333">
        <v>12</v>
      </c>
      <c r="M333" s="32">
        <v>0.36</v>
      </c>
      <c r="N333" s="47">
        <v>1.5649999999999999</v>
      </c>
      <c r="P333" s="32">
        <v>1.008</v>
      </c>
      <c r="R333" s="47">
        <v>4.8000000000000001E-2</v>
      </c>
      <c r="S333" s="32">
        <v>0.36699999999999999</v>
      </c>
      <c r="T333" s="31">
        <v>0</v>
      </c>
      <c r="V333">
        <v>331</v>
      </c>
      <c r="W333">
        <v>12</v>
      </c>
      <c r="X333">
        <v>0.372</v>
      </c>
      <c r="Y333" s="32">
        <v>1.595</v>
      </c>
      <c r="Z333">
        <v>0</v>
      </c>
      <c r="AA333" s="32">
        <v>1.1299999999999999</v>
      </c>
      <c r="AB333">
        <v>0</v>
      </c>
      <c r="AC333" s="34">
        <v>5.8999999999999997E-2</v>
      </c>
      <c r="AD333" s="32">
        <v>0.42099999999999999</v>
      </c>
    </row>
    <row r="334" spans="1:30">
      <c r="A334">
        <v>332</v>
      </c>
      <c r="B334">
        <v>12</v>
      </c>
      <c r="C334">
        <v>0.36099999999999999</v>
      </c>
      <c r="D334">
        <v>1.57</v>
      </c>
      <c r="E334">
        <v>0</v>
      </c>
      <c r="F334">
        <v>1.0089999999999999</v>
      </c>
      <c r="G334">
        <v>0</v>
      </c>
      <c r="H334">
        <v>4.7E-2</v>
      </c>
      <c r="I334">
        <v>0.36799999999999999</v>
      </c>
      <c r="K334">
        <v>332</v>
      </c>
      <c r="L334">
        <v>12</v>
      </c>
      <c r="M334" s="32">
        <v>0.36099999999999999</v>
      </c>
      <c r="N334" s="47">
        <v>1.5680000000000001</v>
      </c>
      <c r="P334" s="32">
        <v>1.0089999999999999</v>
      </c>
      <c r="R334" s="47">
        <v>4.8000000000000001E-2</v>
      </c>
      <c r="S334" s="32">
        <v>0.36799999999999999</v>
      </c>
      <c r="T334" s="31">
        <v>0</v>
      </c>
      <c r="V334">
        <v>332</v>
      </c>
      <c r="W334">
        <v>12</v>
      </c>
      <c r="X334">
        <v>0.373</v>
      </c>
      <c r="Y334" s="32">
        <v>1.5980000000000001</v>
      </c>
      <c r="Z334">
        <v>0</v>
      </c>
      <c r="AA334" s="32">
        <v>1.131</v>
      </c>
      <c r="AB334">
        <v>0</v>
      </c>
      <c r="AC334" s="34">
        <v>5.8999999999999997E-2</v>
      </c>
      <c r="AD334" s="32">
        <v>0.42199999999999999</v>
      </c>
    </row>
    <row r="335" spans="1:30">
      <c r="A335">
        <v>333</v>
      </c>
      <c r="B335">
        <v>12</v>
      </c>
      <c r="C335">
        <v>0.36199999999999999</v>
      </c>
      <c r="D335">
        <v>1.57</v>
      </c>
      <c r="E335">
        <v>0</v>
      </c>
      <c r="F335">
        <v>1.01</v>
      </c>
      <c r="G335">
        <v>0</v>
      </c>
      <c r="H335">
        <v>4.7E-2</v>
      </c>
      <c r="I335">
        <v>0.36899999999999999</v>
      </c>
      <c r="K335">
        <v>333</v>
      </c>
      <c r="L335">
        <v>12</v>
      </c>
      <c r="M335" s="32">
        <v>0.36199999999999999</v>
      </c>
      <c r="N335" s="32">
        <v>1.57</v>
      </c>
      <c r="P335" s="32">
        <v>1.01</v>
      </c>
      <c r="R335" s="47">
        <v>4.8000000000000001E-2</v>
      </c>
      <c r="S335" s="32">
        <v>0.36899999999999999</v>
      </c>
      <c r="T335" s="31">
        <v>0</v>
      </c>
      <c r="V335">
        <v>333</v>
      </c>
      <c r="W335">
        <v>12</v>
      </c>
      <c r="X335">
        <v>0.374</v>
      </c>
      <c r="Y335" s="32">
        <v>1.6</v>
      </c>
      <c r="Z335">
        <v>0</v>
      </c>
      <c r="AA335" s="32">
        <v>1.131</v>
      </c>
      <c r="AB335">
        <v>0</v>
      </c>
      <c r="AC335" s="34">
        <v>5.8999999999999997E-2</v>
      </c>
      <c r="AD335" s="32">
        <v>0.42299999999999999</v>
      </c>
    </row>
    <row r="336" spans="1:30">
      <c r="A336">
        <v>334</v>
      </c>
      <c r="B336">
        <v>12</v>
      </c>
      <c r="C336">
        <v>0.36299999999999999</v>
      </c>
      <c r="D336">
        <v>1.57</v>
      </c>
      <c r="E336">
        <v>0</v>
      </c>
      <c r="F336">
        <v>1.01</v>
      </c>
      <c r="G336">
        <v>0</v>
      </c>
      <c r="H336">
        <v>4.7E-2</v>
      </c>
      <c r="I336">
        <v>0.37</v>
      </c>
      <c r="K336">
        <v>334</v>
      </c>
      <c r="L336">
        <v>12</v>
      </c>
      <c r="M336" s="32">
        <v>0.36299999999999999</v>
      </c>
      <c r="N336" s="47">
        <v>1.573</v>
      </c>
      <c r="P336" s="32">
        <v>1.01</v>
      </c>
      <c r="R336" s="47">
        <v>4.8000000000000001E-2</v>
      </c>
      <c r="S336" s="32">
        <v>0.37</v>
      </c>
      <c r="T336" s="31">
        <v>0</v>
      </c>
      <c r="V336">
        <v>334</v>
      </c>
      <c r="W336">
        <v>12</v>
      </c>
      <c r="X336">
        <v>0.375</v>
      </c>
      <c r="Y336" s="32">
        <v>1.603</v>
      </c>
      <c r="Z336">
        <v>0</v>
      </c>
      <c r="AA336" s="32">
        <v>1.1319999999999999</v>
      </c>
      <c r="AB336">
        <v>0</v>
      </c>
      <c r="AC336" s="34">
        <v>5.8999999999999997E-2</v>
      </c>
      <c r="AD336" s="32">
        <v>0.42499999999999999</v>
      </c>
    </row>
    <row r="337" spans="1:30">
      <c r="A337">
        <v>335</v>
      </c>
      <c r="B337">
        <v>12</v>
      </c>
      <c r="C337">
        <v>0.36399999999999999</v>
      </c>
      <c r="D337">
        <v>1.58</v>
      </c>
      <c r="E337">
        <v>0</v>
      </c>
      <c r="F337">
        <v>1.0109999999999999</v>
      </c>
      <c r="G337">
        <v>0</v>
      </c>
      <c r="H337">
        <v>4.7E-2</v>
      </c>
      <c r="I337">
        <v>0.372</v>
      </c>
      <c r="K337">
        <v>335</v>
      </c>
      <c r="L337">
        <v>12</v>
      </c>
      <c r="M337" s="32">
        <v>0.36399999999999999</v>
      </c>
      <c r="N337" s="47">
        <v>1.575</v>
      </c>
      <c r="P337" s="32">
        <v>1.0109999999999999</v>
      </c>
      <c r="R337" s="47">
        <v>4.8000000000000001E-2</v>
      </c>
      <c r="S337" s="32">
        <v>0.372</v>
      </c>
      <c r="T337" s="31">
        <v>0</v>
      </c>
      <c r="V337">
        <v>335</v>
      </c>
      <c r="W337">
        <v>12</v>
      </c>
      <c r="X337">
        <v>0.376</v>
      </c>
      <c r="Y337" s="32">
        <v>1.605</v>
      </c>
      <c r="Z337">
        <v>0</v>
      </c>
      <c r="AA337" s="32">
        <v>1.1319999999999999</v>
      </c>
      <c r="AB337">
        <v>0</v>
      </c>
      <c r="AC337" s="34">
        <v>0.06</v>
      </c>
      <c r="AD337" s="32">
        <v>0.42599999999999999</v>
      </c>
    </row>
    <row r="338" spans="1:30">
      <c r="A338">
        <v>336</v>
      </c>
      <c r="B338">
        <v>12</v>
      </c>
      <c r="C338">
        <v>0.36499999999999999</v>
      </c>
      <c r="D338">
        <v>1.58</v>
      </c>
      <c r="E338">
        <v>0</v>
      </c>
      <c r="F338">
        <v>1.012</v>
      </c>
      <c r="G338">
        <v>0</v>
      </c>
      <c r="H338">
        <v>4.7E-2</v>
      </c>
      <c r="I338">
        <v>0.373</v>
      </c>
      <c r="K338">
        <v>336</v>
      </c>
      <c r="L338">
        <v>12</v>
      </c>
      <c r="M338" s="32">
        <v>0.36499999999999999</v>
      </c>
      <c r="N338" s="47">
        <v>1.5780000000000001</v>
      </c>
      <c r="P338" s="32">
        <v>1.012</v>
      </c>
      <c r="R338" s="47">
        <v>4.8000000000000001E-2</v>
      </c>
      <c r="S338" s="32">
        <v>0.373</v>
      </c>
      <c r="T338" s="31">
        <v>0</v>
      </c>
      <c r="V338">
        <v>336</v>
      </c>
      <c r="W338">
        <v>12</v>
      </c>
      <c r="X338">
        <v>0.377</v>
      </c>
      <c r="Y338" s="32">
        <v>1.6080000000000001</v>
      </c>
      <c r="Z338">
        <v>0</v>
      </c>
      <c r="AA338" s="32">
        <v>1.133</v>
      </c>
      <c r="AB338">
        <v>0</v>
      </c>
      <c r="AC338" s="34">
        <v>0.06</v>
      </c>
      <c r="AD338" s="32">
        <v>0.42699999999999999</v>
      </c>
    </row>
    <row r="339" spans="1:30">
      <c r="A339">
        <v>337</v>
      </c>
      <c r="B339">
        <v>12</v>
      </c>
      <c r="C339">
        <v>0.36599999999999999</v>
      </c>
      <c r="D339">
        <v>1.58</v>
      </c>
      <c r="E339">
        <v>0</v>
      </c>
      <c r="F339">
        <v>1.0129999999999999</v>
      </c>
      <c r="G339">
        <v>0</v>
      </c>
      <c r="H339">
        <v>4.7E-2</v>
      </c>
      <c r="I339">
        <v>0.374</v>
      </c>
      <c r="K339">
        <v>337</v>
      </c>
      <c r="L339">
        <v>12</v>
      </c>
      <c r="M339" s="32">
        <v>0.36599999999999999</v>
      </c>
      <c r="N339" s="32">
        <v>1.58</v>
      </c>
      <c r="P339" s="32">
        <v>1.0129999999999999</v>
      </c>
      <c r="R339" s="47">
        <v>4.8000000000000001E-2</v>
      </c>
      <c r="S339" s="32">
        <v>0.374</v>
      </c>
      <c r="T339" s="31">
        <v>0</v>
      </c>
      <c r="V339">
        <v>337</v>
      </c>
      <c r="W339">
        <v>12</v>
      </c>
      <c r="X339">
        <v>0.378</v>
      </c>
      <c r="Y339" s="32">
        <v>1.61</v>
      </c>
      <c r="Z339">
        <v>0</v>
      </c>
      <c r="AA339" s="32">
        <v>1.133</v>
      </c>
      <c r="AB339">
        <v>0</v>
      </c>
      <c r="AC339" s="34">
        <v>0.06</v>
      </c>
      <c r="AD339" s="32">
        <v>0.42899999999999999</v>
      </c>
    </row>
    <row r="340" spans="1:30">
      <c r="A340">
        <v>338</v>
      </c>
      <c r="B340">
        <v>12</v>
      </c>
      <c r="C340">
        <v>0.36699999999999999</v>
      </c>
      <c r="D340">
        <v>1.58</v>
      </c>
      <c r="E340">
        <v>0</v>
      </c>
      <c r="F340">
        <v>1.0129999999999999</v>
      </c>
      <c r="G340">
        <v>0</v>
      </c>
      <c r="H340">
        <v>4.7E-2</v>
      </c>
      <c r="I340">
        <v>0.375</v>
      </c>
      <c r="K340">
        <v>338</v>
      </c>
      <c r="L340">
        <v>12</v>
      </c>
      <c r="M340" s="32">
        <v>0.36699999999999999</v>
      </c>
      <c r="N340" s="47">
        <v>1.583</v>
      </c>
      <c r="P340" s="32">
        <v>1.0129999999999999</v>
      </c>
      <c r="R340" s="47">
        <v>4.8000000000000001E-2</v>
      </c>
      <c r="S340" s="32">
        <v>0.375</v>
      </c>
      <c r="T340" s="31">
        <v>0</v>
      </c>
      <c r="V340">
        <v>338</v>
      </c>
      <c r="W340">
        <v>12</v>
      </c>
      <c r="X340">
        <v>0.379</v>
      </c>
      <c r="Y340" s="32">
        <v>1.613</v>
      </c>
      <c r="Z340">
        <v>0</v>
      </c>
      <c r="AA340" s="32">
        <v>1.1339999999999999</v>
      </c>
      <c r="AB340">
        <v>0</v>
      </c>
      <c r="AC340" s="34">
        <v>0.06</v>
      </c>
      <c r="AD340" s="32">
        <v>0.43</v>
      </c>
    </row>
    <row r="341" spans="1:30">
      <c r="A341">
        <v>339</v>
      </c>
      <c r="B341">
        <v>12</v>
      </c>
      <c r="C341">
        <v>0.36799999999999999</v>
      </c>
      <c r="D341">
        <v>1.59</v>
      </c>
      <c r="E341">
        <v>0</v>
      </c>
      <c r="F341">
        <v>1.014</v>
      </c>
      <c r="G341">
        <v>0</v>
      </c>
      <c r="H341">
        <v>4.7E-2</v>
      </c>
      <c r="I341">
        <v>0.377</v>
      </c>
      <c r="K341">
        <v>339</v>
      </c>
      <c r="L341">
        <v>12</v>
      </c>
      <c r="M341" s="32">
        <v>0.36799999999999999</v>
      </c>
      <c r="N341" s="47">
        <v>1.585</v>
      </c>
      <c r="P341" s="32">
        <v>1.014</v>
      </c>
      <c r="R341" s="47">
        <v>4.8000000000000001E-2</v>
      </c>
      <c r="S341" s="32">
        <v>0.377</v>
      </c>
      <c r="T341" s="31">
        <v>0</v>
      </c>
      <c r="V341">
        <v>339</v>
      </c>
      <c r="W341">
        <v>12</v>
      </c>
      <c r="X341">
        <v>0.38</v>
      </c>
      <c r="Y341" s="32">
        <v>1.615</v>
      </c>
      <c r="Z341">
        <v>0</v>
      </c>
      <c r="AA341" s="32">
        <v>1.1339999999999999</v>
      </c>
      <c r="AB341">
        <v>0</v>
      </c>
      <c r="AC341" s="34">
        <v>0.06</v>
      </c>
      <c r="AD341" s="32">
        <v>0.43099999999999999</v>
      </c>
    </row>
    <row r="342" spans="1:30">
      <c r="A342">
        <v>340</v>
      </c>
      <c r="B342">
        <v>12</v>
      </c>
      <c r="C342">
        <v>0.36899999999999999</v>
      </c>
      <c r="D342">
        <v>1.59</v>
      </c>
      <c r="E342">
        <v>0</v>
      </c>
      <c r="F342">
        <v>1.0149999999999999</v>
      </c>
      <c r="G342">
        <v>0</v>
      </c>
      <c r="H342">
        <v>4.7E-2</v>
      </c>
      <c r="I342">
        <v>0.378</v>
      </c>
      <c r="K342">
        <v>340</v>
      </c>
      <c r="L342">
        <v>12</v>
      </c>
      <c r="M342" s="32">
        <v>0.36899999999999999</v>
      </c>
      <c r="N342" s="47">
        <v>1.5880000000000001</v>
      </c>
      <c r="P342" s="32">
        <v>1.0149999999999999</v>
      </c>
      <c r="R342" s="47">
        <v>4.8000000000000001E-2</v>
      </c>
      <c r="S342" s="32">
        <v>0.378</v>
      </c>
      <c r="T342" s="31">
        <v>0</v>
      </c>
      <c r="V342">
        <v>340</v>
      </c>
      <c r="W342">
        <v>12</v>
      </c>
      <c r="X342">
        <v>0.38100000000000001</v>
      </c>
      <c r="Y342" s="32">
        <v>1.6180000000000001</v>
      </c>
      <c r="Z342">
        <v>0</v>
      </c>
      <c r="AA342" s="32">
        <v>1.135</v>
      </c>
      <c r="AB342">
        <v>0</v>
      </c>
      <c r="AC342" s="34">
        <v>0.06</v>
      </c>
      <c r="AD342" s="32">
        <v>0.433</v>
      </c>
    </row>
    <row r="343" spans="1:30">
      <c r="A343">
        <v>341</v>
      </c>
      <c r="B343">
        <v>12</v>
      </c>
      <c r="C343">
        <v>0.37</v>
      </c>
      <c r="D343">
        <v>1.59</v>
      </c>
      <c r="E343">
        <v>0</v>
      </c>
      <c r="F343">
        <v>1.016</v>
      </c>
      <c r="G343">
        <v>0</v>
      </c>
      <c r="H343">
        <v>4.7E-2</v>
      </c>
      <c r="I343">
        <v>0.379</v>
      </c>
      <c r="K343">
        <v>341</v>
      </c>
      <c r="L343">
        <v>12</v>
      </c>
      <c r="M343" s="32">
        <v>0.37</v>
      </c>
      <c r="N343" s="32">
        <v>1.59</v>
      </c>
      <c r="P343" s="32">
        <v>1.016</v>
      </c>
      <c r="R343" s="47">
        <v>4.9000000000000002E-2</v>
      </c>
      <c r="S343" s="32">
        <v>0.379</v>
      </c>
      <c r="T343" s="31">
        <v>0</v>
      </c>
      <c r="V343">
        <v>341</v>
      </c>
      <c r="W343">
        <v>12</v>
      </c>
      <c r="X343">
        <v>0.38200000000000001</v>
      </c>
      <c r="Y343" s="32">
        <v>1.62</v>
      </c>
      <c r="Z343">
        <v>0</v>
      </c>
      <c r="AA343" s="32">
        <v>1.135</v>
      </c>
      <c r="AB343">
        <v>0</v>
      </c>
      <c r="AC343" s="34">
        <v>0.06</v>
      </c>
      <c r="AD343" s="32">
        <v>0.434</v>
      </c>
    </row>
    <row r="344" spans="1:30">
      <c r="A344">
        <v>342</v>
      </c>
      <c r="B344">
        <v>12</v>
      </c>
      <c r="C344">
        <v>0.371</v>
      </c>
      <c r="D344">
        <v>1.59</v>
      </c>
      <c r="E344">
        <v>0</v>
      </c>
      <c r="F344">
        <v>1.016</v>
      </c>
      <c r="G344">
        <v>0</v>
      </c>
      <c r="H344">
        <v>4.7E-2</v>
      </c>
      <c r="I344">
        <v>0.38</v>
      </c>
      <c r="K344">
        <v>342</v>
      </c>
      <c r="L344">
        <v>12</v>
      </c>
      <c r="M344" s="32">
        <v>0.371</v>
      </c>
      <c r="N344" s="47">
        <v>1.593</v>
      </c>
      <c r="P344" s="32">
        <v>1.016</v>
      </c>
      <c r="R344" s="47">
        <v>4.9000000000000002E-2</v>
      </c>
      <c r="S344" s="32">
        <v>0.38</v>
      </c>
      <c r="T344" s="31">
        <v>0</v>
      </c>
      <c r="V344">
        <v>342</v>
      </c>
      <c r="W344">
        <v>12</v>
      </c>
      <c r="X344">
        <v>0.38300000000000001</v>
      </c>
      <c r="Y344" s="32">
        <v>1.623</v>
      </c>
      <c r="Z344">
        <v>0</v>
      </c>
      <c r="AA344" s="32">
        <v>1.1359999999999999</v>
      </c>
      <c r="AB344">
        <v>0</v>
      </c>
      <c r="AC344" s="34">
        <v>0.06</v>
      </c>
      <c r="AD344" s="32">
        <v>0.435</v>
      </c>
    </row>
    <row r="345" spans="1:30">
      <c r="A345">
        <v>343</v>
      </c>
      <c r="B345">
        <v>12</v>
      </c>
      <c r="C345">
        <v>0.372</v>
      </c>
      <c r="D345">
        <v>1.6</v>
      </c>
      <c r="E345">
        <v>0</v>
      </c>
      <c r="F345">
        <v>1.0169999999999999</v>
      </c>
      <c r="G345">
        <v>0</v>
      </c>
      <c r="H345">
        <v>4.7E-2</v>
      </c>
      <c r="I345">
        <v>0.38200000000000001</v>
      </c>
      <c r="K345">
        <v>343</v>
      </c>
      <c r="L345">
        <v>12</v>
      </c>
      <c r="M345" s="32">
        <v>0.372</v>
      </c>
      <c r="N345" s="47">
        <v>1.595</v>
      </c>
      <c r="P345" s="32">
        <v>1.0169999999999999</v>
      </c>
      <c r="R345" s="47">
        <v>4.9000000000000002E-2</v>
      </c>
      <c r="S345" s="32">
        <v>0.38200000000000001</v>
      </c>
      <c r="T345" s="31">
        <v>0</v>
      </c>
      <c r="V345">
        <v>343</v>
      </c>
      <c r="W345">
        <v>12</v>
      </c>
      <c r="X345">
        <v>0.38400000000000001</v>
      </c>
      <c r="Y345" s="32">
        <v>1.625</v>
      </c>
      <c r="Z345">
        <v>0</v>
      </c>
      <c r="AA345" s="32">
        <v>1.1359999999999999</v>
      </c>
      <c r="AB345">
        <v>0</v>
      </c>
      <c r="AC345" s="34">
        <v>6.0999999999999999E-2</v>
      </c>
      <c r="AD345" s="32">
        <v>0.437</v>
      </c>
    </row>
    <row r="346" spans="1:30">
      <c r="A346">
        <v>344</v>
      </c>
      <c r="B346">
        <v>12</v>
      </c>
      <c r="C346">
        <v>0.373</v>
      </c>
      <c r="D346">
        <v>1.6</v>
      </c>
      <c r="E346">
        <v>0</v>
      </c>
      <c r="F346">
        <v>1.018</v>
      </c>
      <c r="G346">
        <v>0</v>
      </c>
      <c r="H346">
        <v>4.7E-2</v>
      </c>
      <c r="I346">
        <v>0.38300000000000001</v>
      </c>
      <c r="K346">
        <v>344</v>
      </c>
      <c r="L346">
        <v>12</v>
      </c>
      <c r="M346" s="32">
        <v>0.373</v>
      </c>
      <c r="N346" s="47">
        <v>1.5980000000000001</v>
      </c>
      <c r="P346" s="32">
        <v>1.018</v>
      </c>
      <c r="R346" s="47">
        <v>4.9000000000000002E-2</v>
      </c>
      <c r="S346" s="32">
        <v>0.38300000000000001</v>
      </c>
      <c r="T346" s="31">
        <v>0</v>
      </c>
      <c r="V346">
        <v>344</v>
      </c>
      <c r="W346">
        <v>12</v>
      </c>
      <c r="X346">
        <v>0.38500000000000001</v>
      </c>
      <c r="Y346" s="32">
        <v>1.6279999999999999</v>
      </c>
      <c r="Z346">
        <v>0</v>
      </c>
      <c r="AA346" s="32">
        <v>1.137</v>
      </c>
      <c r="AB346">
        <v>0</v>
      </c>
      <c r="AC346" s="34">
        <v>6.0999999999999999E-2</v>
      </c>
      <c r="AD346" s="32">
        <v>0.438</v>
      </c>
    </row>
    <row r="347" spans="1:30">
      <c r="A347">
        <v>345</v>
      </c>
      <c r="B347">
        <v>12</v>
      </c>
      <c r="C347">
        <v>0.374</v>
      </c>
      <c r="D347">
        <v>1.6</v>
      </c>
      <c r="E347">
        <v>0</v>
      </c>
      <c r="F347">
        <v>1.018</v>
      </c>
      <c r="G347">
        <v>0</v>
      </c>
      <c r="H347">
        <v>4.7E-2</v>
      </c>
      <c r="I347">
        <v>0.38400000000000001</v>
      </c>
      <c r="K347">
        <v>345</v>
      </c>
      <c r="L347">
        <v>12</v>
      </c>
      <c r="M347" s="32">
        <v>0.374</v>
      </c>
      <c r="N347" s="32">
        <v>1.6</v>
      </c>
      <c r="P347" s="32">
        <v>1.018</v>
      </c>
      <c r="R347" s="47">
        <v>4.9000000000000002E-2</v>
      </c>
      <c r="S347" s="32">
        <v>0.38400000000000001</v>
      </c>
      <c r="T347" s="31">
        <v>0</v>
      </c>
      <c r="V347">
        <v>345</v>
      </c>
      <c r="W347">
        <v>12</v>
      </c>
      <c r="X347">
        <v>0.38600000000000001</v>
      </c>
      <c r="Y347" s="32">
        <v>1.63</v>
      </c>
      <c r="Z347">
        <v>0</v>
      </c>
      <c r="AA347" s="32">
        <v>1.137</v>
      </c>
      <c r="AB347">
        <v>0</v>
      </c>
      <c r="AC347" s="34">
        <v>6.0999999999999999E-2</v>
      </c>
      <c r="AD347" s="32">
        <v>0.439</v>
      </c>
    </row>
    <row r="348" spans="1:30">
      <c r="A348">
        <v>346</v>
      </c>
      <c r="B348">
        <v>12</v>
      </c>
      <c r="C348">
        <v>0.375</v>
      </c>
      <c r="D348">
        <v>1.6</v>
      </c>
      <c r="E348">
        <v>0</v>
      </c>
      <c r="F348">
        <v>1.0189999999999999</v>
      </c>
      <c r="G348">
        <v>0</v>
      </c>
      <c r="H348">
        <v>4.7E-2</v>
      </c>
      <c r="I348">
        <v>0.38500000000000001</v>
      </c>
      <c r="K348">
        <v>346</v>
      </c>
      <c r="L348">
        <v>12</v>
      </c>
      <c r="M348" s="32">
        <v>0.375</v>
      </c>
      <c r="N348" s="47">
        <v>1.603</v>
      </c>
      <c r="P348" s="32">
        <v>1.0189999999999999</v>
      </c>
      <c r="R348" s="47">
        <v>4.9000000000000002E-2</v>
      </c>
      <c r="S348" s="32">
        <v>0.38500000000000001</v>
      </c>
      <c r="T348" s="31">
        <v>0</v>
      </c>
      <c r="V348">
        <v>346</v>
      </c>
      <c r="W348">
        <v>12</v>
      </c>
      <c r="X348">
        <v>0.38700000000000001</v>
      </c>
      <c r="Y348" s="32">
        <v>1.633</v>
      </c>
      <c r="Z348">
        <v>0</v>
      </c>
      <c r="AA348" s="32">
        <v>1.1379999999999999</v>
      </c>
      <c r="AB348">
        <v>0</v>
      </c>
      <c r="AC348" s="34">
        <v>6.0999999999999999E-2</v>
      </c>
      <c r="AD348" s="32">
        <v>0.441</v>
      </c>
    </row>
    <row r="349" spans="1:30">
      <c r="A349">
        <v>347</v>
      </c>
      <c r="B349">
        <v>12</v>
      </c>
      <c r="C349">
        <v>0.376</v>
      </c>
      <c r="D349">
        <v>1.61</v>
      </c>
      <c r="E349">
        <v>0</v>
      </c>
      <c r="F349">
        <v>1.02</v>
      </c>
      <c r="G349">
        <v>0</v>
      </c>
      <c r="H349">
        <v>4.7E-2</v>
      </c>
      <c r="I349">
        <v>0.38700000000000001</v>
      </c>
      <c r="K349">
        <v>347</v>
      </c>
      <c r="L349">
        <v>12</v>
      </c>
      <c r="M349" s="32">
        <v>0.376</v>
      </c>
      <c r="N349" s="47">
        <v>1.605</v>
      </c>
      <c r="P349" s="32">
        <v>1.02</v>
      </c>
      <c r="R349" s="47">
        <v>4.9000000000000002E-2</v>
      </c>
      <c r="S349" s="32">
        <v>0.38700000000000001</v>
      </c>
      <c r="T349" s="31">
        <v>0</v>
      </c>
      <c r="V349">
        <v>347</v>
      </c>
      <c r="W349">
        <v>12</v>
      </c>
      <c r="X349">
        <v>0.38800000000000001</v>
      </c>
      <c r="Y349" s="32">
        <v>1.635</v>
      </c>
      <c r="Z349">
        <v>0</v>
      </c>
      <c r="AA349" s="32">
        <v>1.1379999999999999</v>
      </c>
      <c r="AB349">
        <v>0</v>
      </c>
      <c r="AC349" s="34">
        <v>6.0999999999999999E-2</v>
      </c>
      <c r="AD349" s="32">
        <v>0.442</v>
      </c>
    </row>
    <row r="350" spans="1:30">
      <c r="A350">
        <v>348</v>
      </c>
      <c r="B350">
        <v>12</v>
      </c>
      <c r="C350">
        <v>0.377</v>
      </c>
      <c r="D350">
        <v>1.61</v>
      </c>
      <c r="E350">
        <v>0</v>
      </c>
      <c r="F350">
        <v>1.0209999999999999</v>
      </c>
      <c r="G350">
        <v>0</v>
      </c>
      <c r="H350">
        <v>4.7E-2</v>
      </c>
      <c r="I350">
        <v>0.38800000000000001</v>
      </c>
      <c r="K350">
        <v>348</v>
      </c>
      <c r="L350">
        <v>12</v>
      </c>
      <c r="M350" s="32">
        <v>0.377</v>
      </c>
      <c r="N350" s="47">
        <v>1.6080000000000001</v>
      </c>
      <c r="P350" s="32">
        <v>1.0209999999999999</v>
      </c>
      <c r="R350" s="47">
        <v>4.9000000000000002E-2</v>
      </c>
      <c r="S350" s="32">
        <v>0.38800000000000001</v>
      </c>
      <c r="T350" s="31">
        <v>0</v>
      </c>
      <c r="V350">
        <v>348</v>
      </c>
      <c r="W350">
        <v>12</v>
      </c>
      <c r="X350">
        <v>0.38900000000000001</v>
      </c>
      <c r="Y350" s="32">
        <v>1.6379999999999999</v>
      </c>
      <c r="Z350">
        <v>0</v>
      </c>
      <c r="AA350" s="32">
        <v>1.139</v>
      </c>
      <c r="AB350">
        <v>0</v>
      </c>
      <c r="AC350" s="34">
        <v>6.0999999999999999E-2</v>
      </c>
      <c r="AD350" s="32">
        <v>0.443</v>
      </c>
    </row>
    <row r="351" spans="1:30">
      <c r="A351">
        <v>349</v>
      </c>
      <c r="B351">
        <v>12</v>
      </c>
      <c r="C351">
        <v>0.378</v>
      </c>
      <c r="D351">
        <v>1.61</v>
      </c>
      <c r="E351">
        <v>0</v>
      </c>
      <c r="F351">
        <v>1.0209999999999999</v>
      </c>
      <c r="G351">
        <v>0</v>
      </c>
      <c r="H351">
        <v>4.7E-2</v>
      </c>
      <c r="I351">
        <v>0.38900000000000001</v>
      </c>
      <c r="K351">
        <v>349</v>
      </c>
      <c r="L351">
        <v>12</v>
      </c>
      <c r="M351" s="32">
        <v>0.378</v>
      </c>
      <c r="N351" s="32">
        <v>1.61</v>
      </c>
      <c r="P351" s="32">
        <v>1.0209999999999999</v>
      </c>
      <c r="R351" s="47">
        <v>4.9000000000000002E-2</v>
      </c>
      <c r="S351" s="32">
        <v>0.38900000000000001</v>
      </c>
      <c r="T351" s="31">
        <v>0</v>
      </c>
      <c r="V351">
        <v>349</v>
      </c>
      <c r="W351">
        <v>12</v>
      </c>
      <c r="X351">
        <v>0.39</v>
      </c>
      <c r="Y351" s="32">
        <v>1.64</v>
      </c>
      <c r="Z351">
        <v>0</v>
      </c>
      <c r="AA351" s="32">
        <v>1.139</v>
      </c>
      <c r="AB351">
        <v>0</v>
      </c>
      <c r="AC351" s="34">
        <v>6.0999999999999999E-2</v>
      </c>
      <c r="AD351" s="32">
        <v>0.44500000000000001</v>
      </c>
    </row>
    <row r="352" spans="1:30">
      <c r="A352">
        <v>350</v>
      </c>
      <c r="B352">
        <v>12</v>
      </c>
      <c r="C352">
        <v>0.379</v>
      </c>
      <c r="D352">
        <v>1.61</v>
      </c>
      <c r="E352">
        <v>0</v>
      </c>
      <c r="F352">
        <v>1.022</v>
      </c>
      <c r="G352">
        <v>0</v>
      </c>
      <c r="H352">
        <v>4.7E-2</v>
      </c>
      <c r="I352">
        <v>0.39</v>
      </c>
      <c r="K352">
        <v>350</v>
      </c>
      <c r="L352">
        <v>12</v>
      </c>
      <c r="M352" s="32">
        <v>0.379</v>
      </c>
      <c r="N352" s="47">
        <v>1.613</v>
      </c>
      <c r="P352" s="32">
        <v>1.022</v>
      </c>
      <c r="R352" s="47">
        <v>4.9000000000000002E-2</v>
      </c>
      <c r="S352" s="32">
        <v>0.39</v>
      </c>
      <c r="T352" s="31">
        <v>0</v>
      </c>
      <c r="V352">
        <v>350</v>
      </c>
      <c r="W352">
        <v>12</v>
      </c>
      <c r="X352">
        <v>0.39100000000000001</v>
      </c>
      <c r="Y352" s="32">
        <v>1.643</v>
      </c>
      <c r="Z352">
        <v>0</v>
      </c>
      <c r="AA352" s="32">
        <v>1.1399999999999999</v>
      </c>
      <c r="AB352">
        <v>0</v>
      </c>
      <c r="AC352" s="34">
        <v>6.0999999999999999E-2</v>
      </c>
      <c r="AD352" s="32">
        <v>0.44600000000000001</v>
      </c>
    </row>
    <row r="353" spans="1:30">
      <c r="A353">
        <v>351</v>
      </c>
      <c r="B353">
        <v>12</v>
      </c>
      <c r="C353">
        <v>0.38</v>
      </c>
      <c r="D353">
        <v>1.62</v>
      </c>
      <c r="E353">
        <v>0</v>
      </c>
      <c r="F353">
        <v>1.0229999999999999</v>
      </c>
      <c r="G353">
        <v>0</v>
      </c>
      <c r="H353">
        <v>4.7E-2</v>
      </c>
      <c r="I353">
        <v>0.39200000000000002</v>
      </c>
      <c r="K353">
        <v>351</v>
      </c>
      <c r="L353">
        <v>12</v>
      </c>
      <c r="M353" s="32">
        <v>0.38</v>
      </c>
      <c r="N353" s="47">
        <v>1.615</v>
      </c>
      <c r="P353" s="32">
        <v>1.0229999999999999</v>
      </c>
      <c r="R353" s="47">
        <v>4.9000000000000002E-2</v>
      </c>
      <c r="S353" s="32">
        <v>0.39200000000000002</v>
      </c>
      <c r="T353" s="31">
        <v>0</v>
      </c>
      <c r="V353">
        <v>351</v>
      </c>
      <c r="W353">
        <v>12</v>
      </c>
      <c r="X353">
        <v>0.39200000000000002</v>
      </c>
      <c r="Y353" s="32">
        <v>1.6459999999999999</v>
      </c>
      <c r="Z353">
        <v>0</v>
      </c>
      <c r="AA353" s="32">
        <v>1.1399999999999999</v>
      </c>
      <c r="AB353">
        <v>0</v>
      </c>
      <c r="AC353" s="34">
        <v>6.2E-2</v>
      </c>
      <c r="AD353" s="32">
        <v>0.44700000000000001</v>
      </c>
    </row>
    <row r="354" spans="1:30">
      <c r="A354">
        <v>352</v>
      </c>
      <c r="B354">
        <v>12</v>
      </c>
      <c r="C354">
        <v>0.38100000000000001</v>
      </c>
      <c r="D354">
        <v>1.62</v>
      </c>
      <c r="E354">
        <v>0</v>
      </c>
      <c r="F354">
        <v>1.0229999999999999</v>
      </c>
      <c r="G354">
        <v>0</v>
      </c>
      <c r="H354">
        <v>4.7E-2</v>
      </c>
      <c r="I354">
        <v>0.39300000000000002</v>
      </c>
      <c r="K354">
        <v>352</v>
      </c>
      <c r="L354">
        <v>12</v>
      </c>
      <c r="M354" s="32">
        <v>0.38100000000000001</v>
      </c>
      <c r="N354" s="47">
        <v>1.6180000000000001</v>
      </c>
      <c r="P354" s="32">
        <v>1.0229999999999999</v>
      </c>
      <c r="R354" s="47">
        <v>4.9000000000000002E-2</v>
      </c>
      <c r="S354" s="32">
        <v>0.39300000000000002</v>
      </c>
      <c r="T354" s="31">
        <v>0</v>
      </c>
      <c r="V354">
        <v>352</v>
      </c>
      <c r="W354">
        <v>12</v>
      </c>
      <c r="X354">
        <v>0.39300000000000002</v>
      </c>
      <c r="Y354" s="32">
        <v>1.6479999999999999</v>
      </c>
      <c r="Z354">
        <v>0</v>
      </c>
      <c r="AA354" s="32">
        <v>1.141</v>
      </c>
      <c r="AB354">
        <v>0</v>
      </c>
      <c r="AC354" s="34">
        <v>6.2E-2</v>
      </c>
      <c r="AD354" s="32">
        <v>0.44900000000000001</v>
      </c>
    </row>
    <row r="355" spans="1:30">
      <c r="A355">
        <v>353</v>
      </c>
      <c r="B355">
        <v>12</v>
      </c>
      <c r="C355">
        <v>0.38200000000000001</v>
      </c>
      <c r="D355">
        <v>1.62</v>
      </c>
      <c r="E355">
        <v>0</v>
      </c>
      <c r="F355">
        <v>1.024</v>
      </c>
      <c r="G355">
        <v>0</v>
      </c>
      <c r="H355">
        <v>4.7E-2</v>
      </c>
      <c r="I355">
        <v>0.39400000000000002</v>
      </c>
      <c r="K355">
        <v>353</v>
      </c>
      <c r="L355">
        <v>12</v>
      </c>
      <c r="M355" s="32">
        <v>0.38200000000000001</v>
      </c>
      <c r="N355" s="32">
        <v>1.62</v>
      </c>
      <c r="P355" s="32">
        <v>1.024</v>
      </c>
      <c r="R355" s="47">
        <v>4.9000000000000002E-2</v>
      </c>
      <c r="S355" s="32">
        <v>0.39400000000000002</v>
      </c>
      <c r="T355" s="31">
        <v>0</v>
      </c>
      <c r="V355">
        <v>353</v>
      </c>
      <c r="W355">
        <v>12</v>
      </c>
      <c r="X355">
        <v>0.39400000000000002</v>
      </c>
      <c r="Y355" s="32">
        <v>1.651</v>
      </c>
      <c r="Z355">
        <v>0</v>
      </c>
      <c r="AA355" s="32">
        <v>1.141</v>
      </c>
      <c r="AB355">
        <v>0</v>
      </c>
      <c r="AC355" s="34">
        <v>6.2E-2</v>
      </c>
      <c r="AD355" s="32">
        <v>0.45</v>
      </c>
    </row>
    <row r="356" spans="1:30">
      <c r="A356">
        <v>354</v>
      </c>
      <c r="B356">
        <v>12</v>
      </c>
      <c r="C356">
        <v>0.38300000000000001</v>
      </c>
      <c r="D356">
        <v>1.62</v>
      </c>
      <c r="E356">
        <v>0</v>
      </c>
      <c r="F356">
        <v>1.0249999999999999</v>
      </c>
      <c r="G356">
        <v>0</v>
      </c>
      <c r="H356">
        <v>4.7E-2</v>
      </c>
      <c r="I356">
        <v>0.39500000000000002</v>
      </c>
      <c r="K356">
        <v>354</v>
      </c>
      <c r="L356">
        <v>12</v>
      </c>
      <c r="M356" s="32">
        <v>0.38300000000000001</v>
      </c>
      <c r="N356" s="47">
        <v>1.623</v>
      </c>
      <c r="P356" s="32">
        <v>1.0249999999999999</v>
      </c>
      <c r="R356" s="47">
        <v>4.9000000000000002E-2</v>
      </c>
      <c r="S356" s="32">
        <v>0.39500000000000002</v>
      </c>
      <c r="T356" s="31">
        <v>0</v>
      </c>
      <c r="V356">
        <v>354</v>
      </c>
      <c r="W356">
        <v>12</v>
      </c>
      <c r="X356">
        <v>0.39500000000000002</v>
      </c>
      <c r="Y356" s="32">
        <v>1.6539999999999999</v>
      </c>
      <c r="Z356">
        <v>0</v>
      </c>
      <c r="AA356" s="32">
        <v>1.1419999999999999</v>
      </c>
      <c r="AB356">
        <v>0</v>
      </c>
      <c r="AC356" s="34">
        <v>6.2E-2</v>
      </c>
      <c r="AD356" s="32">
        <v>0.45100000000000001</v>
      </c>
    </row>
    <row r="357" spans="1:30">
      <c r="A357">
        <v>355</v>
      </c>
      <c r="B357">
        <v>12</v>
      </c>
      <c r="C357">
        <v>0.38400000000000001</v>
      </c>
      <c r="D357">
        <v>1.63</v>
      </c>
      <c r="E357">
        <v>0</v>
      </c>
      <c r="F357">
        <v>1.026</v>
      </c>
      <c r="G357">
        <v>0</v>
      </c>
      <c r="H357">
        <v>4.7E-2</v>
      </c>
      <c r="I357">
        <v>0.39700000000000002</v>
      </c>
      <c r="K357">
        <v>355</v>
      </c>
      <c r="L357">
        <v>12</v>
      </c>
      <c r="M357" s="32">
        <v>0.38400000000000001</v>
      </c>
      <c r="N357" s="47">
        <v>1.625</v>
      </c>
      <c r="P357" s="32">
        <v>1.026</v>
      </c>
      <c r="R357" s="47">
        <v>0.05</v>
      </c>
      <c r="S357" s="32">
        <v>0.39700000000000002</v>
      </c>
      <c r="T357" s="31">
        <v>0</v>
      </c>
      <c r="V357">
        <v>355</v>
      </c>
      <c r="W357">
        <v>12</v>
      </c>
      <c r="X357">
        <v>0.39600000000000002</v>
      </c>
      <c r="Y357" s="32">
        <v>1.657</v>
      </c>
      <c r="Z357">
        <v>0</v>
      </c>
      <c r="AA357" s="32">
        <v>1.1419999999999999</v>
      </c>
      <c r="AB357">
        <v>0</v>
      </c>
      <c r="AC357" s="34">
        <v>6.2E-2</v>
      </c>
      <c r="AD357" s="32">
        <v>0.45300000000000001</v>
      </c>
    </row>
    <row r="358" spans="1:30">
      <c r="A358">
        <v>356</v>
      </c>
      <c r="B358">
        <v>12</v>
      </c>
      <c r="C358">
        <v>0.38500000000000001</v>
      </c>
      <c r="D358">
        <v>1.63</v>
      </c>
      <c r="E358">
        <v>0</v>
      </c>
      <c r="F358">
        <v>1.026</v>
      </c>
      <c r="G358">
        <v>0</v>
      </c>
      <c r="H358">
        <v>4.7E-2</v>
      </c>
      <c r="I358">
        <v>0.39800000000000002</v>
      </c>
      <c r="K358">
        <v>356</v>
      </c>
      <c r="L358">
        <v>12</v>
      </c>
      <c r="M358" s="32">
        <v>0.38500000000000001</v>
      </c>
      <c r="N358" s="47">
        <v>1.6279999999999999</v>
      </c>
      <c r="P358" s="32">
        <v>1.026</v>
      </c>
      <c r="R358" s="47">
        <v>0.05</v>
      </c>
      <c r="S358" s="32">
        <v>0.39800000000000002</v>
      </c>
      <c r="T358" s="31">
        <v>0</v>
      </c>
      <c r="V358">
        <v>356</v>
      </c>
      <c r="W358">
        <v>12</v>
      </c>
      <c r="X358">
        <v>0.39700000000000002</v>
      </c>
      <c r="Y358" s="32">
        <v>1.659</v>
      </c>
      <c r="Z358">
        <v>0</v>
      </c>
      <c r="AA358" s="32">
        <v>1.143</v>
      </c>
      <c r="AB358">
        <v>0</v>
      </c>
      <c r="AC358" s="34">
        <v>6.2E-2</v>
      </c>
      <c r="AD358" s="32">
        <v>0.45400000000000001</v>
      </c>
    </row>
    <row r="359" spans="1:30">
      <c r="A359">
        <v>357</v>
      </c>
      <c r="B359">
        <v>12</v>
      </c>
      <c r="C359">
        <v>0.38600000000000001</v>
      </c>
      <c r="D359">
        <v>1.63</v>
      </c>
      <c r="E359">
        <v>0</v>
      </c>
      <c r="F359">
        <v>1.0269999999999999</v>
      </c>
      <c r="G359">
        <v>0</v>
      </c>
      <c r="H359">
        <v>4.7E-2</v>
      </c>
      <c r="I359">
        <v>0.39900000000000002</v>
      </c>
      <c r="K359">
        <v>357</v>
      </c>
      <c r="L359">
        <v>12</v>
      </c>
      <c r="M359" s="32">
        <v>0.38600000000000001</v>
      </c>
      <c r="N359" s="32">
        <v>1.63</v>
      </c>
      <c r="P359" s="32">
        <v>1.0269999999999999</v>
      </c>
      <c r="R359" s="47">
        <v>0.05</v>
      </c>
      <c r="S359" s="32">
        <v>0.39900000000000002</v>
      </c>
      <c r="T359" s="31">
        <v>0</v>
      </c>
      <c r="V359">
        <v>357</v>
      </c>
      <c r="W359">
        <v>12</v>
      </c>
      <c r="X359">
        <v>0.39800000000000002</v>
      </c>
      <c r="Y359" s="32">
        <v>1.6619999999999999</v>
      </c>
      <c r="Z359">
        <v>0</v>
      </c>
      <c r="AA359" s="32">
        <v>1.143</v>
      </c>
      <c r="AB359">
        <v>0</v>
      </c>
      <c r="AC359" s="34">
        <v>6.2E-2</v>
      </c>
      <c r="AD359" s="32">
        <v>0.45500000000000002</v>
      </c>
    </row>
    <row r="360" spans="1:30">
      <c r="A360">
        <v>358</v>
      </c>
      <c r="B360">
        <v>12</v>
      </c>
      <c r="C360">
        <v>0.38700000000000001</v>
      </c>
      <c r="D360">
        <v>1.63</v>
      </c>
      <c r="E360">
        <v>0</v>
      </c>
      <c r="F360">
        <v>1.028</v>
      </c>
      <c r="G360">
        <v>0</v>
      </c>
      <c r="H360">
        <v>4.7E-2</v>
      </c>
      <c r="I360">
        <v>0.4</v>
      </c>
      <c r="K360">
        <v>358</v>
      </c>
      <c r="L360">
        <v>12</v>
      </c>
      <c r="M360" s="32">
        <v>0.38700000000000001</v>
      </c>
      <c r="N360" s="47">
        <v>1.633</v>
      </c>
      <c r="P360" s="32">
        <v>1.028</v>
      </c>
      <c r="R360" s="47">
        <v>0.05</v>
      </c>
      <c r="S360" s="32">
        <v>0.4</v>
      </c>
      <c r="T360" s="31">
        <v>0</v>
      </c>
      <c r="V360">
        <v>358</v>
      </c>
      <c r="W360">
        <v>12</v>
      </c>
      <c r="X360">
        <v>0.39900000000000002</v>
      </c>
      <c r="Y360" s="32">
        <v>1.665</v>
      </c>
      <c r="Z360">
        <v>0</v>
      </c>
      <c r="AA360" s="32">
        <v>1.1439999999999999</v>
      </c>
      <c r="AB360">
        <v>0</v>
      </c>
      <c r="AC360" s="34">
        <v>6.2E-2</v>
      </c>
      <c r="AD360" s="32">
        <v>0.45700000000000002</v>
      </c>
    </row>
    <row r="361" spans="1:30">
      <c r="A361">
        <v>359</v>
      </c>
      <c r="B361">
        <v>12</v>
      </c>
      <c r="C361">
        <v>0.38800000000000001</v>
      </c>
      <c r="D361">
        <v>1.64</v>
      </c>
      <c r="E361">
        <v>0</v>
      </c>
      <c r="F361">
        <v>1.0289999999999999</v>
      </c>
      <c r="G361">
        <v>0</v>
      </c>
      <c r="H361">
        <v>4.7E-2</v>
      </c>
      <c r="I361">
        <v>0.40200000000000002</v>
      </c>
      <c r="K361">
        <v>359</v>
      </c>
      <c r="L361">
        <v>12</v>
      </c>
      <c r="M361" s="32">
        <v>0.38800000000000001</v>
      </c>
      <c r="N361" s="47">
        <v>1.635</v>
      </c>
      <c r="P361" s="32">
        <v>1.0289999999999999</v>
      </c>
      <c r="R361" s="47">
        <v>0.05</v>
      </c>
      <c r="S361" s="32">
        <v>0.40200000000000002</v>
      </c>
      <c r="T361" s="31">
        <v>0</v>
      </c>
      <c r="V361">
        <v>359</v>
      </c>
      <c r="W361">
        <v>12</v>
      </c>
      <c r="X361">
        <v>0.4</v>
      </c>
      <c r="Y361" s="32">
        <v>1.6679999999999999</v>
      </c>
      <c r="Z361">
        <v>0</v>
      </c>
      <c r="AA361" s="32">
        <v>1.1439999999999999</v>
      </c>
      <c r="AB361">
        <v>0</v>
      </c>
      <c r="AC361" s="34">
        <v>6.3E-2</v>
      </c>
      <c r="AD361" s="32">
        <v>0.45800000000000002</v>
      </c>
    </row>
    <row r="362" spans="1:30">
      <c r="A362">
        <v>360</v>
      </c>
      <c r="B362">
        <v>12</v>
      </c>
      <c r="C362">
        <v>0.38900000000000001</v>
      </c>
      <c r="D362">
        <v>1.64</v>
      </c>
      <c r="E362">
        <v>0</v>
      </c>
      <c r="F362">
        <v>1.0289999999999999</v>
      </c>
      <c r="G362">
        <v>0</v>
      </c>
      <c r="H362">
        <v>4.7E-2</v>
      </c>
      <c r="I362">
        <v>0.40300000000000002</v>
      </c>
      <c r="K362">
        <v>360</v>
      </c>
      <c r="L362">
        <v>12</v>
      </c>
      <c r="M362" s="32">
        <v>0.38900000000000001</v>
      </c>
      <c r="N362" s="47">
        <v>1.6379999999999999</v>
      </c>
      <c r="P362" s="32">
        <v>1.0289999999999999</v>
      </c>
      <c r="R362" s="47">
        <v>0.05</v>
      </c>
      <c r="S362" s="32">
        <v>0.40300000000000002</v>
      </c>
      <c r="T362" s="31">
        <v>0</v>
      </c>
      <c r="V362">
        <v>360</v>
      </c>
      <c r="W362">
        <v>12</v>
      </c>
      <c r="X362">
        <v>0.40100000000000002</v>
      </c>
      <c r="Y362" s="32">
        <v>1.67</v>
      </c>
      <c r="Z362">
        <v>0</v>
      </c>
      <c r="AA362" s="32">
        <v>1.145</v>
      </c>
      <c r="AB362">
        <v>0</v>
      </c>
      <c r="AC362" s="34">
        <v>6.3E-2</v>
      </c>
      <c r="AD362" s="32">
        <v>0.45900000000000002</v>
      </c>
    </row>
    <row r="363" spans="1:30">
      <c r="A363">
        <v>361</v>
      </c>
      <c r="B363">
        <v>13</v>
      </c>
      <c r="C363">
        <v>0.39</v>
      </c>
      <c r="D363">
        <v>1.64</v>
      </c>
      <c r="E363">
        <v>0</v>
      </c>
      <c r="F363">
        <v>1.03</v>
      </c>
      <c r="G363">
        <v>0</v>
      </c>
      <c r="H363">
        <v>0.05</v>
      </c>
      <c r="I363">
        <v>0.40400000000000003</v>
      </c>
      <c r="K363">
        <v>361</v>
      </c>
      <c r="L363">
        <v>13</v>
      </c>
      <c r="M363" s="32">
        <v>0.39</v>
      </c>
      <c r="N363" s="32">
        <v>1.64</v>
      </c>
      <c r="P363" s="32">
        <v>1.03</v>
      </c>
      <c r="R363" s="32">
        <v>0.05</v>
      </c>
      <c r="S363" s="32">
        <v>0.40400000000000003</v>
      </c>
      <c r="T363" s="31">
        <v>0</v>
      </c>
      <c r="V363">
        <v>361</v>
      </c>
      <c r="W363">
        <v>12</v>
      </c>
      <c r="X363">
        <v>0.40200000000000002</v>
      </c>
      <c r="Y363" s="32">
        <v>1.673</v>
      </c>
      <c r="Z363">
        <v>0</v>
      </c>
      <c r="AA363" s="32">
        <v>1.145</v>
      </c>
      <c r="AB363">
        <v>0</v>
      </c>
      <c r="AC363" s="34">
        <v>6.3E-2</v>
      </c>
      <c r="AD363" s="32">
        <v>0.46100000000000002</v>
      </c>
    </row>
    <row r="364" spans="1:30">
      <c r="A364">
        <v>362</v>
      </c>
      <c r="B364">
        <v>13</v>
      </c>
      <c r="C364">
        <v>0.39100000000000001</v>
      </c>
      <c r="D364">
        <v>1.64</v>
      </c>
      <c r="E364">
        <v>0</v>
      </c>
      <c r="F364">
        <v>1.0309999999999999</v>
      </c>
      <c r="G364">
        <v>0</v>
      </c>
      <c r="H364">
        <v>0.05</v>
      </c>
      <c r="I364">
        <v>0.40500000000000003</v>
      </c>
      <c r="K364">
        <v>362</v>
      </c>
      <c r="L364">
        <v>13</v>
      </c>
      <c r="M364" s="32">
        <v>0.39100000000000001</v>
      </c>
      <c r="N364" s="47">
        <v>1.643</v>
      </c>
      <c r="P364" s="32">
        <v>1.0309999999999999</v>
      </c>
      <c r="R364" s="32">
        <v>0.05</v>
      </c>
      <c r="S364" s="32">
        <v>0.40500000000000003</v>
      </c>
      <c r="T364" s="31">
        <v>0</v>
      </c>
      <c r="V364">
        <v>362</v>
      </c>
      <c r="W364">
        <v>12</v>
      </c>
      <c r="X364">
        <v>0.40300000000000002</v>
      </c>
      <c r="Y364" s="32">
        <v>1.6759999999999999</v>
      </c>
      <c r="Z364">
        <v>0</v>
      </c>
      <c r="AA364" s="32">
        <v>1.1459999999999999</v>
      </c>
      <c r="AB364">
        <v>0</v>
      </c>
      <c r="AC364" s="34">
        <v>6.3E-2</v>
      </c>
      <c r="AD364" s="32">
        <v>0.46200000000000002</v>
      </c>
    </row>
    <row r="365" spans="1:30">
      <c r="A365">
        <v>363</v>
      </c>
      <c r="B365">
        <v>13</v>
      </c>
      <c r="C365">
        <v>0.39200000000000002</v>
      </c>
      <c r="D365">
        <v>1.65</v>
      </c>
      <c r="E365">
        <v>0</v>
      </c>
      <c r="F365">
        <v>1.0309999999999999</v>
      </c>
      <c r="G365">
        <v>0</v>
      </c>
      <c r="H365">
        <v>0.05</v>
      </c>
      <c r="I365">
        <v>0.40699999999999997</v>
      </c>
      <c r="K365">
        <v>363</v>
      </c>
      <c r="L365">
        <v>13</v>
      </c>
      <c r="M365" s="32">
        <v>0.39200000000000002</v>
      </c>
      <c r="N365" s="47">
        <v>1.6459999999999999</v>
      </c>
      <c r="P365" s="32">
        <v>1.0309999999999999</v>
      </c>
      <c r="R365" s="32">
        <v>0.05</v>
      </c>
      <c r="S365" s="32">
        <v>0.40699999999999997</v>
      </c>
      <c r="T365" s="31">
        <v>0</v>
      </c>
      <c r="V365">
        <v>363</v>
      </c>
      <c r="W365">
        <v>12</v>
      </c>
      <c r="X365">
        <v>0.40400000000000003</v>
      </c>
      <c r="Y365" s="32">
        <v>1.679</v>
      </c>
      <c r="Z365">
        <v>0</v>
      </c>
      <c r="AA365" s="32">
        <v>1.1459999999999999</v>
      </c>
      <c r="AB365">
        <v>0</v>
      </c>
      <c r="AC365" s="34">
        <v>6.3E-2</v>
      </c>
      <c r="AD365" s="32">
        <v>0.46300000000000002</v>
      </c>
    </row>
    <row r="366" spans="1:30">
      <c r="A366">
        <v>364</v>
      </c>
      <c r="B366">
        <v>13</v>
      </c>
      <c r="C366">
        <v>0.39300000000000002</v>
      </c>
      <c r="D366">
        <v>1.65</v>
      </c>
      <c r="E366">
        <v>0</v>
      </c>
      <c r="F366">
        <v>1.032</v>
      </c>
      <c r="G366">
        <v>0</v>
      </c>
      <c r="H366">
        <v>0.05</v>
      </c>
      <c r="I366">
        <v>0.40799999999999997</v>
      </c>
      <c r="K366">
        <v>364</v>
      </c>
      <c r="L366">
        <v>13</v>
      </c>
      <c r="M366" s="32">
        <v>0.39300000000000002</v>
      </c>
      <c r="N366" s="47">
        <v>1.6479999999999999</v>
      </c>
      <c r="P366" s="32">
        <v>1.032</v>
      </c>
      <c r="R366" s="32">
        <v>0.05</v>
      </c>
      <c r="S366" s="32">
        <v>0.40799999999999997</v>
      </c>
      <c r="T366" s="31">
        <v>0</v>
      </c>
      <c r="V366">
        <v>364</v>
      </c>
      <c r="W366">
        <v>12</v>
      </c>
      <c r="X366">
        <v>0.40500000000000003</v>
      </c>
      <c r="Y366" s="32">
        <v>1.681</v>
      </c>
      <c r="Z366">
        <v>0</v>
      </c>
      <c r="AA366" s="32">
        <v>1.147</v>
      </c>
      <c r="AB366">
        <v>0</v>
      </c>
      <c r="AC366" s="34">
        <v>6.3E-2</v>
      </c>
      <c r="AD366" s="32">
        <v>0.46500000000000002</v>
      </c>
    </row>
    <row r="367" spans="1:30">
      <c r="A367">
        <v>365</v>
      </c>
      <c r="B367">
        <v>13</v>
      </c>
      <c r="C367">
        <v>0.39400000000000002</v>
      </c>
      <c r="D367">
        <v>1.65</v>
      </c>
      <c r="E367">
        <v>0</v>
      </c>
      <c r="F367">
        <v>1.0329999999999999</v>
      </c>
      <c r="G367">
        <v>0</v>
      </c>
      <c r="H367">
        <v>0.05</v>
      </c>
      <c r="I367">
        <v>0.40899999999999997</v>
      </c>
      <c r="K367">
        <v>365</v>
      </c>
      <c r="L367">
        <v>13</v>
      </c>
      <c r="M367" s="32">
        <v>0.39400000000000002</v>
      </c>
      <c r="N367" s="47">
        <v>1.651</v>
      </c>
      <c r="P367" s="32">
        <v>1.0329999999999999</v>
      </c>
      <c r="R367" s="32">
        <v>0.05</v>
      </c>
      <c r="S367" s="32">
        <v>0.40899999999999997</v>
      </c>
      <c r="T367" s="31">
        <v>0</v>
      </c>
      <c r="V367">
        <v>365</v>
      </c>
      <c r="W367">
        <v>12</v>
      </c>
      <c r="X367">
        <v>0.40600000000000003</v>
      </c>
      <c r="Y367" s="32">
        <v>1.6839999999999999</v>
      </c>
      <c r="Z367">
        <v>0</v>
      </c>
      <c r="AA367" s="32">
        <v>1.147</v>
      </c>
      <c r="AB367">
        <v>0</v>
      </c>
      <c r="AC367" s="34">
        <v>6.3E-2</v>
      </c>
      <c r="AD367" s="32">
        <v>0.46600000000000003</v>
      </c>
    </row>
    <row r="368" spans="1:30">
      <c r="A368">
        <v>366</v>
      </c>
      <c r="B368">
        <v>13</v>
      </c>
      <c r="C368">
        <v>0.39500000000000002</v>
      </c>
      <c r="D368">
        <v>1.65</v>
      </c>
      <c r="E368">
        <v>0</v>
      </c>
      <c r="F368">
        <v>1.034</v>
      </c>
      <c r="G368">
        <v>0</v>
      </c>
      <c r="H368">
        <v>0.05</v>
      </c>
      <c r="I368">
        <v>0.41</v>
      </c>
      <c r="K368">
        <v>366</v>
      </c>
      <c r="L368">
        <v>13</v>
      </c>
      <c r="M368" s="32">
        <v>0.39500000000000002</v>
      </c>
      <c r="N368" s="47">
        <v>1.6539999999999999</v>
      </c>
      <c r="P368" s="32">
        <v>1.034</v>
      </c>
      <c r="R368" s="32">
        <v>0.05</v>
      </c>
      <c r="S368" s="32">
        <v>0.41</v>
      </c>
      <c r="T368" s="31">
        <v>0</v>
      </c>
      <c r="V368">
        <v>366</v>
      </c>
      <c r="W368">
        <v>12</v>
      </c>
      <c r="X368">
        <v>0.40699999999999997</v>
      </c>
      <c r="Y368" s="32">
        <v>1.6870000000000001</v>
      </c>
      <c r="Z368">
        <v>0</v>
      </c>
      <c r="AA368" s="32">
        <v>1.1479999999999999</v>
      </c>
      <c r="AB368">
        <v>0</v>
      </c>
      <c r="AC368" s="34">
        <v>6.3E-2</v>
      </c>
      <c r="AD368" s="32">
        <v>0.46700000000000003</v>
      </c>
    </row>
    <row r="369" spans="1:30">
      <c r="A369">
        <v>367</v>
      </c>
      <c r="B369">
        <v>13</v>
      </c>
      <c r="C369">
        <v>0.39600000000000002</v>
      </c>
      <c r="D369">
        <v>1.66</v>
      </c>
      <c r="E369">
        <v>0</v>
      </c>
      <c r="F369">
        <v>1.034</v>
      </c>
      <c r="G369">
        <v>0</v>
      </c>
      <c r="H369">
        <v>0.05</v>
      </c>
      <c r="I369">
        <v>0.41199999999999998</v>
      </c>
      <c r="K369">
        <v>367</v>
      </c>
      <c r="L369">
        <v>13</v>
      </c>
      <c r="M369" s="32">
        <v>0.39600000000000002</v>
      </c>
      <c r="N369" s="47">
        <v>1.657</v>
      </c>
      <c r="P369" s="32">
        <v>1.034</v>
      </c>
      <c r="R369" s="32">
        <v>0.05</v>
      </c>
      <c r="S369" s="32">
        <v>0.41199999999999998</v>
      </c>
      <c r="T369" s="31">
        <v>0</v>
      </c>
      <c r="V369">
        <v>367</v>
      </c>
      <c r="W369">
        <v>12</v>
      </c>
      <c r="X369">
        <v>0.40799999999999997</v>
      </c>
      <c r="Y369" s="32">
        <v>1.69</v>
      </c>
      <c r="Z369">
        <v>0</v>
      </c>
      <c r="AA369" s="32">
        <v>1.1479999999999999</v>
      </c>
      <c r="AB369">
        <v>0</v>
      </c>
      <c r="AC369" s="34">
        <v>6.4000000000000001E-2</v>
      </c>
      <c r="AD369" s="32">
        <v>0.46899999999999997</v>
      </c>
    </row>
    <row r="370" spans="1:30">
      <c r="A370">
        <v>368</v>
      </c>
      <c r="B370">
        <v>13</v>
      </c>
      <c r="C370">
        <v>0.39700000000000002</v>
      </c>
      <c r="D370">
        <v>1.66</v>
      </c>
      <c r="E370">
        <v>0</v>
      </c>
      <c r="F370">
        <v>1.0349999999999999</v>
      </c>
      <c r="G370">
        <v>0</v>
      </c>
      <c r="H370">
        <v>0.05</v>
      </c>
      <c r="I370">
        <v>0.41299999999999998</v>
      </c>
      <c r="K370">
        <v>368</v>
      </c>
      <c r="L370">
        <v>13</v>
      </c>
      <c r="M370" s="32">
        <v>0.39700000000000002</v>
      </c>
      <c r="N370" s="47">
        <v>1.659</v>
      </c>
      <c r="P370" s="32">
        <v>1.0349999999999999</v>
      </c>
      <c r="R370" s="32">
        <v>0.05</v>
      </c>
      <c r="S370" s="32">
        <v>0.41299999999999998</v>
      </c>
      <c r="T370" s="31">
        <v>0</v>
      </c>
      <c r="V370">
        <v>368</v>
      </c>
      <c r="W370">
        <v>12</v>
      </c>
      <c r="X370">
        <v>0.40899999999999997</v>
      </c>
      <c r="Y370" s="32">
        <v>1.6919999999999999</v>
      </c>
      <c r="Z370">
        <v>0</v>
      </c>
      <c r="AA370" s="32">
        <v>1.149</v>
      </c>
      <c r="AB370">
        <v>0</v>
      </c>
      <c r="AC370" s="34">
        <v>6.4000000000000001E-2</v>
      </c>
      <c r="AD370" s="32">
        <v>0.47</v>
      </c>
    </row>
    <row r="371" spans="1:30">
      <c r="A371">
        <v>369</v>
      </c>
      <c r="B371">
        <v>13</v>
      </c>
      <c r="C371">
        <v>0.39800000000000002</v>
      </c>
      <c r="D371">
        <v>1.66</v>
      </c>
      <c r="E371">
        <v>0</v>
      </c>
      <c r="F371">
        <v>1.036</v>
      </c>
      <c r="G371">
        <v>0</v>
      </c>
      <c r="H371">
        <v>0.05</v>
      </c>
      <c r="I371">
        <v>0.41399999999999998</v>
      </c>
      <c r="K371">
        <v>369</v>
      </c>
      <c r="L371">
        <v>13</v>
      </c>
      <c r="M371" s="32">
        <v>0.39800000000000002</v>
      </c>
      <c r="N371" s="47">
        <v>1.6619999999999999</v>
      </c>
      <c r="P371" s="32">
        <v>1.036</v>
      </c>
      <c r="R371" s="32">
        <v>0.05</v>
      </c>
      <c r="S371" s="32">
        <v>0.41399999999999998</v>
      </c>
      <c r="T371" s="31">
        <v>0</v>
      </c>
      <c r="V371">
        <v>369</v>
      </c>
      <c r="W371">
        <v>12</v>
      </c>
      <c r="X371">
        <v>0.41</v>
      </c>
      <c r="Y371" s="32">
        <v>1.6950000000000001</v>
      </c>
      <c r="Z371">
        <v>0</v>
      </c>
      <c r="AA371" s="32">
        <v>1.149</v>
      </c>
      <c r="AB371">
        <v>0</v>
      </c>
      <c r="AC371" s="34">
        <v>6.4000000000000001E-2</v>
      </c>
      <c r="AD371" s="32">
        <v>0.47099999999999997</v>
      </c>
    </row>
    <row r="372" spans="1:30">
      <c r="A372">
        <v>370</v>
      </c>
      <c r="B372">
        <v>13</v>
      </c>
      <c r="C372">
        <v>0.39900000000000002</v>
      </c>
      <c r="D372">
        <v>1.66</v>
      </c>
      <c r="E372">
        <v>0</v>
      </c>
      <c r="F372">
        <v>1.0369999999999999</v>
      </c>
      <c r="G372">
        <v>0</v>
      </c>
      <c r="H372">
        <v>0.05</v>
      </c>
      <c r="I372">
        <v>0.41499999999999998</v>
      </c>
      <c r="K372">
        <v>370</v>
      </c>
      <c r="L372">
        <v>13</v>
      </c>
      <c r="M372" s="32">
        <v>0.39900000000000002</v>
      </c>
      <c r="N372" s="47">
        <v>1.665</v>
      </c>
      <c r="P372" s="32">
        <v>1.0369999999999999</v>
      </c>
      <c r="R372" s="32">
        <v>0.05</v>
      </c>
      <c r="S372" s="32">
        <v>0.41499999999999998</v>
      </c>
      <c r="T372" s="31">
        <v>0</v>
      </c>
      <c r="V372">
        <v>370</v>
      </c>
      <c r="W372">
        <v>12</v>
      </c>
      <c r="X372">
        <v>0.41099999999999998</v>
      </c>
      <c r="Y372" s="32">
        <v>1.698</v>
      </c>
      <c r="Z372">
        <v>0</v>
      </c>
      <c r="AA372" s="32">
        <v>1.1499999999999999</v>
      </c>
      <c r="AB372">
        <v>0</v>
      </c>
      <c r="AC372" s="34">
        <v>6.4000000000000001E-2</v>
      </c>
      <c r="AD372" s="32">
        <v>0.47299999999999998</v>
      </c>
    </row>
    <row r="373" spans="1:30">
      <c r="A373">
        <v>371</v>
      </c>
      <c r="B373">
        <v>13</v>
      </c>
      <c r="C373">
        <v>0.4</v>
      </c>
      <c r="D373">
        <v>1.67</v>
      </c>
      <c r="E373">
        <v>0</v>
      </c>
      <c r="F373">
        <v>1.0369999999999999</v>
      </c>
      <c r="G373">
        <v>0</v>
      </c>
      <c r="H373">
        <v>0.05</v>
      </c>
      <c r="I373">
        <v>0.41699999999999998</v>
      </c>
      <c r="K373">
        <v>371</v>
      </c>
      <c r="L373">
        <v>13</v>
      </c>
      <c r="M373" s="32">
        <v>0.4</v>
      </c>
      <c r="N373" s="47">
        <v>1.6679999999999999</v>
      </c>
      <c r="P373" s="32">
        <v>1.0369999999999999</v>
      </c>
      <c r="R373" s="32">
        <v>0.05</v>
      </c>
      <c r="S373" s="32">
        <v>0.41699999999999998</v>
      </c>
      <c r="T373" s="31">
        <v>0</v>
      </c>
      <c r="V373">
        <v>371</v>
      </c>
      <c r="W373">
        <v>13</v>
      </c>
      <c r="X373">
        <v>0.41199999999999998</v>
      </c>
      <c r="Y373" s="32">
        <v>1.7010000000000001</v>
      </c>
      <c r="Z373">
        <v>0</v>
      </c>
      <c r="AA373" s="32">
        <v>1.1499999999999999</v>
      </c>
      <c r="AB373">
        <v>0</v>
      </c>
      <c r="AC373" s="34">
        <v>6.4000000000000001E-2</v>
      </c>
      <c r="AD373" s="32">
        <v>0.47399999999999998</v>
      </c>
    </row>
    <row r="374" spans="1:30">
      <c r="A374">
        <v>372</v>
      </c>
      <c r="B374">
        <v>13</v>
      </c>
      <c r="C374">
        <v>0.40100000000000002</v>
      </c>
      <c r="D374">
        <v>1.67</v>
      </c>
      <c r="E374">
        <v>0</v>
      </c>
      <c r="F374">
        <v>1.038</v>
      </c>
      <c r="G374">
        <v>0</v>
      </c>
      <c r="H374">
        <v>0.05</v>
      </c>
      <c r="I374">
        <v>0.41799999999999998</v>
      </c>
      <c r="K374">
        <v>372</v>
      </c>
      <c r="L374">
        <v>13</v>
      </c>
      <c r="M374" s="32">
        <v>0.40100000000000002</v>
      </c>
      <c r="N374" s="32">
        <v>1.67</v>
      </c>
      <c r="P374" s="32">
        <v>1.038</v>
      </c>
      <c r="R374" s="32">
        <v>0.05</v>
      </c>
      <c r="S374" s="32">
        <v>0.41799999999999998</v>
      </c>
      <c r="T374" s="31">
        <v>0</v>
      </c>
      <c r="V374">
        <v>372</v>
      </c>
      <c r="W374">
        <v>13</v>
      </c>
      <c r="X374">
        <v>0.41299999999999998</v>
      </c>
      <c r="Y374" s="32">
        <v>1.7030000000000001</v>
      </c>
      <c r="Z374">
        <v>0</v>
      </c>
      <c r="AA374" s="32">
        <v>1.1499999999999999</v>
      </c>
      <c r="AB374">
        <v>0</v>
      </c>
      <c r="AC374" s="34">
        <v>6.4000000000000001E-2</v>
      </c>
      <c r="AD374" s="32">
        <v>0.47499999999999998</v>
      </c>
    </row>
    <row r="375" spans="1:30">
      <c r="A375">
        <v>373</v>
      </c>
      <c r="B375">
        <v>13</v>
      </c>
      <c r="C375">
        <v>0.40200000000000002</v>
      </c>
      <c r="D375">
        <v>1.67</v>
      </c>
      <c r="E375">
        <v>0</v>
      </c>
      <c r="F375">
        <v>1.0389999999999999</v>
      </c>
      <c r="G375">
        <v>0</v>
      </c>
      <c r="H375">
        <v>0.05</v>
      </c>
      <c r="I375">
        <v>0.41899999999999998</v>
      </c>
      <c r="K375">
        <v>373</v>
      </c>
      <c r="L375">
        <v>13</v>
      </c>
      <c r="M375" s="32">
        <v>0.40200000000000002</v>
      </c>
      <c r="N375" s="47">
        <v>1.673</v>
      </c>
      <c r="P375" s="32">
        <v>1.0389999999999999</v>
      </c>
      <c r="R375" s="32">
        <v>0.05</v>
      </c>
      <c r="S375" s="32">
        <v>0.41899999999999998</v>
      </c>
      <c r="T375" s="31">
        <v>0</v>
      </c>
      <c r="V375">
        <v>373</v>
      </c>
      <c r="W375">
        <v>13</v>
      </c>
      <c r="X375">
        <v>0.41399999999999998</v>
      </c>
      <c r="Y375" s="32">
        <v>1.706</v>
      </c>
      <c r="Z375">
        <v>0</v>
      </c>
      <c r="AA375" s="32">
        <v>1.151</v>
      </c>
      <c r="AB375">
        <v>0</v>
      </c>
      <c r="AC375" s="34">
        <v>6.4000000000000001E-2</v>
      </c>
      <c r="AD375" s="32">
        <v>0.47699999999999998</v>
      </c>
    </row>
    <row r="376" spans="1:30">
      <c r="A376">
        <v>374</v>
      </c>
      <c r="B376">
        <v>13</v>
      </c>
      <c r="C376">
        <v>0.40300000000000002</v>
      </c>
      <c r="D376">
        <v>1.68</v>
      </c>
      <c r="E376">
        <v>0</v>
      </c>
      <c r="F376">
        <v>1.0389999999999999</v>
      </c>
      <c r="G376">
        <v>0</v>
      </c>
      <c r="H376">
        <v>0.05</v>
      </c>
      <c r="I376">
        <v>0.42099999999999999</v>
      </c>
      <c r="K376">
        <v>374</v>
      </c>
      <c r="L376">
        <v>13</v>
      </c>
      <c r="M376" s="32">
        <v>0.40300000000000002</v>
      </c>
      <c r="N376" s="47">
        <v>1.6759999999999999</v>
      </c>
      <c r="P376" s="32">
        <v>1.0389999999999999</v>
      </c>
      <c r="R376" s="32">
        <v>0.05</v>
      </c>
      <c r="S376" s="32">
        <v>0.42099999999999999</v>
      </c>
      <c r="T376" s="31">
        <v>0</v>
      </c>
      <c r="V376">
        <v>374</v>
      </c>
      <c r="W376">
        <v>13</v>
      </c>
      <c r="X376">
        <v>0.41499999999999998</v>
      </c>
      <c r="Y376" s="32">
        <v>1.7090000000000001</v>
      </c>
      <c r="Z376">
        <v>0</v>
      </c>
      <c r="AA376" s="32">
        <v>1.151</v>
      </c>
      <c r="AB376">
        <v>0</v>
      </c>
      <c r="AC376" s="34">
        <v>6.4000000000000001E-2</v>
      </c>
      <c r="AD376" s="32">
        <v>0.47799999999999998</v>
      </c>
    </row>
    <row r="377" spans="1:30">
      <c r="A377">
        <v>375</v>
      </c>
      <c r="B377">
        <v>13</v>
      </c>
      <c r="C377">
        <v>0.40400000000000003</v>
      </c>
      <c r="D377">
        <v>1.68</v>
      </c>
      <c r="E377">
        <v>0</v>
      </c>
      <c r="F377">
        <v>1.04</v>
      </c>
      <c r="G377">
        <v>0</v>
      </c>
      <c r="H377">
        <v>0.05</v>
      </c>
      <c r="I377">
        <v>0.42199999999999999</v>
      </c>
      <c r="K377">
        <v>375</v>
      </c>
      <c r="L377">
        <v>13</v>
      </c>
      <c r="M377" s="32">
        <v>0.40400000000000003</v>
      </c>
      <c r="N377" s="47">
        <v>1.679</v>
      </c>
      <c r="P377" s="32">
        <v>1.04</v>
      </c>
      <c r="R377" s="32">
        <v>0.05</v>
      </c>
      <c r="S377" s="32">
        <v>0.42199999999999999</v>
      </c>
      <c r="T377" s="31">
        <v>0</v>
      </c>
      <c r="V377">
        <v>375</v>
      </c>
      <c r="W377">
        <v>13</v>
      </c>
      <c r="X377">
        <v>0.41599999999999998</v>
      </c>
      <c r="Y377" s="32">
        <v>1.712</v>
      </c>
      <c r="Z377">
        <v>0</v>
      </c>
      <c r="AA377" s="32">
        <v>1.151</v>
      </c>
      <c r="AB377">
        <v>0</v>
      </c>
      <c r="AC377" s="34">
        <v>6.4000000000000001E-2</v>
      </c>
      <c r="AD377" s="32">
        <v>0.47899999999999998</v>
      </c>
    </row>
    <row r="378" spans="1:30">
      <c r="A378">
        <v>376</v>
      </c>
      <c r="B378">
        <v>13</v>
      </c>
      <c r="C378">
        <v>0.40500000000000003</v>
      </c>
      <c r="D378">
        <v>1.68</v>
      </c>
      <c r="E378">
        <v>0</v>
      </c>
      <c r="F378">
        <v>1.0409999999999999</v>
      </c>
      <c r="G378">
        <v>0</v>
      </c>
      <c r="H378">
        <v>0.05</v>
      </c>
      <c r="I378">
        <v>0.42299999999999999</v>
      </c>
      <c r="K378">
        <v>376</v>
      </c>
      <c r="L378">
        <v>13</v>
      </c>
      <c r="M378" s="32">
        <v>0.40500000000000003</v>
      </c>
      <c r="N378" s="47">
        <v>1.681</v>
      </c>
      <c r="P378" s="32">
        <v>1.0409999999999999</v>
      </c>
      <c r="R378" s="32">
        <v>0.05</v>
      </c>
      <c r="S378" s="32">
        <v>0.42299999999999999</v>
      </c>
      <c r="T378" s="31">
        <v>0</v>
      </c>
      <c r="V378">
        <v>376</v>
      </c>
      <c r="W378">
        <v>13</v>
      </c>
      <c r="X378">
        <v>0.41699999999999998</v>
      </c>
      <c r="Y378" s="32">
        <v>1.714</v>
      </c>
      <c r="Z378">
        <v>0</v>
      </c>
      <c r="AA378" s="32">
        <v>1.151</v>
      </c>
      <c r="AB378">
        <v>0</v>
      </c>
      <c r="AC378" s="34">
        <v>6.4000000000000001E-2</v>
      </c>
      <c r="AD378" s="32">
        <v>0.48</v>
      </c>
    </row>
    <row r="379" spans="1:30">
      <c r="A379">
        <v>377</v>
      </c>
      <c r="B379">
        <v>13</v>
      </c>
      <c r="C379">
        <v>0.40600000000000003</v>
      </c>
      <c r="D379">
        <v>1.68</v>
      </c>
      <c r="E379">
        <v>0</v>
      </c>
      <c r="F379">
        <v>1.042</v>
      </c>
      <c r="G379">
        <v>0</v>
      </c>
      <c r="H379">
        <v>0.05</v>
      </c>
      <c r="I379">
        <v>0.42399999999999999</v>
      </c>
      <c r="K379">
        <v>377</v>
      </c>
      <c r="L379">
        <v>13</v>
      </c>
      <c r="M379" s="32">
        <v>0.40600000000000003</v>
      </c>
      <c r="N379" s="47">
        <v>1.6839999999999999</v>
      </c>
      <c r="P379" s="32">
        <v>1.042</v>
      </c>
      <c r="R379" s="32">
        <v>0.05</v>
      </c>
      <c r="S379" s="32">
        <v>0.42399999999999999</v>
      </c>
      <c r="T379" s="31">
        <v>0</v>
      </c>
      <c r="V379">
        <v>377</v>
      </c>
      <c r="W379">
        <v>13</v>
      </c>
      <c r="X379">
        <v>0.41799999999999998</v>
      </c>
      <c r="Y379" s="32">
        <v>1.7170000000000001</v>
      </c>
      <c r="Z379">
        <v>0</v>
      </c>
      <c r="AA379" s="32">
        <v>1.1519999999999999</v>
      </c>
      <c r="AB379">
        <v>0</v>
      </c>
      <c r="AC379" s="34">
        <v>6.4000000000000001E-2</v>
      </c>
      <c r="AD379" s="32">
        <v>0.48199999999999998</v>
      </c>
    </row>
    <row r="380" spans="1:30">
      <c r="A380">
        <v>378</v>
      </c>
      <c r="B380">
        <v>13</v>
      </c>
      <c r="C380">
        <v>0.40699999999999997</v>
      </c>
      <c r="D380">
        <v>1.69</v>
      </c>
      <c r="E380">
        <v>0</v>
      </c>
      <c r="F380">
        <v>1.042</v>
      </c>
      <c r="G380">
        <v>0</v>
      </c>
      <c r="H380">
        <v>0.05</v>
      </c>
      <c r="I380">
        <v>0.42599999999999999</v>
      </c>
      <c r="K380">
        <v>378</v>
      </c>
      <c r="L380">
        <v>13</v>
      </c>
      <c r="M380" s="32">
        <v>0.40699999999999997</v>
      </c>
      <c r="N380" s="47">
        <v>1.6870000000000001</v>
      </c>
      <c r="P380" s="32">
        <v>1.042</v>
      </c>
      <c r="R380" s="32">
        <v>0.05</v>
      </c>
      <c r="S380" s="32">
        <v>0.42599999999999999</v>
      </c>
      <c r="T380" s="31">
        <v>0</v>
      </c>
      <c r="V380">
        <v>378</v>
      </c>
      <c r="W380">
        <v>13</v>
      </c>
      <c r="X380">
        <v>0.41899999999999998</v>
      </c>
      <c r="Y380" s="32">
        <v>1.72</v>
      </c>
      <c r="Z380">
        <v>0</v>
      </c>
      <c r="AA380" s="32">
        <v>1.1519999999999999</v>
      </c>
      <c r="AB380">
        <v>0</v>
      </c>
      <c r="AC380" s="34">
        <v>6.5000000000000002E-2</v>
      </c>
      <c r="AD380" s="32">
        <v>0.48299999999999998</v>
      </c>
    </row>
    <row r="381" spans="1:30">
      <c r="A381">
        <v>379</v>
      </c>
      <c r="B381">
        <v>13</v>
      </c>
      <c r="C381">
        <v>0.40799999999999997</v>
      </c>
      <c r="D381">
        <v>1.69</v>
      </c>
      <c r="E381">
        <v>0</v>
      </c>
      <c r="F381">
        <v>1.0429999999999999</v>
      </c>
      <c r="G381">
        <v>0</v>
      </c>
      <c r="H381">
        <v>0.05</v>
      </c>
      <c r="I381">
        <v>0.42699999999999999</v>
      </c>
      <c r="K381">
        <v>379</v>
      </c>
      <c r="L381">
        <v>13</v>
      </c>
      <c r="M381" s="32">
        <v>0.40799999999999997</v>
      </c>
      <c r="N381" s="32">
        <v>1.69</v>
      </c>
      <c r="P381" s="32">
        <v>1.0429999999999999</v>
      </c>
      <c r="R381" s="32">
        <v>0.05</v>
      </c>
      <c r="S381" s="32">
        <v>0.42699999999999999</v>
      </c>
      <c r="T381" s="31">
        <v>0</v>
      </c>
      <c r="V381">
        <v>379</v>
      </c>
      <c r="W381">
        <v>13</v>
      </c>
      <c r="X381">
        <v>0.42</v>
      </c>
      <c r="Y381" s="32">
        <v>1.7230000000000001</v>
      </c>
      <c r="Z381">
        <v>0</v>
      </c>
      <c r="AA381" s="32">
        <v>1.1519999999999999</v>
      </c>
      <c r="AB381">
        <v>0</v>
      </c>
      <c r="AC381" s="34">
        <v>6.5000000000000002E-2</v>
      </c>
      <c r="AD381" s="32">
        <v>0.48399999999999999</v>
      </c>
    </row>
    <row r="382" spans="1:30">
      <c r="A382">
        <v>380</v>
      </c>
      <c r="B382">
        <v>13</v>
      </c>
      <c r="C382">
        <v>0.40899999999999997</v>
      </c>
      <c r="D382">
        <v>1.69</v>
      </c>
      <c r="E382">
        <v>0</v>
      </c>
      <c r="F382">
        <v>1.044</v>
      </c>
      <c r="G382">
        <v>0</v>
      </c>
      <c r="H382">
        <v>0.05</v>
      </c>
      <c r="I382">
        <v>0.42799999999999999</v>
      </c>
      <c r="K382">
        <v>380</v>
      </c>
      <c r="L382">
        <v>13</v>
      </c>
      <c r="M382" s="32">
        <v>0.40899999999999997</v>
      </c>
      <c r="N382" s="47">
        <v>1.6919999999999999</v>
      </c>
      <c r="P382" s="32">
        <v>1.044</v>
      </c>
      <c r="R382" s="32">
        <v>0.05</v>
      </c>
      <c r="S382" s="32">
        <v>0.42799999999999999</v>
      </c>
      <c r="T382" s="31">
        <v>0</v>
      </c>
      <c r="V382">
        <v>380</v>
      </c>
      <c r="W382">
        <v>13</v>
      </c>
      <c r="X382">
        <v>0.42099999999999999</v>
      </c>
      <c r="Y382" s="32">
        <v>1.7250000000000001</v>
      </c>
      <c r="Z382">
        <v>0</v>
      </c>
      <c r="AA382" s="32">
        <v>1.153</v>
      </c>
      <c r="AB382">
        <v>0</v>
      </c>
      <c r="AC382" s="34">
        <v>6.5000000000000002E-2</v>
      </c>
      <c r="AD382" s="32">
        <v>0.48599999999999999</v>
      </c>
    </row>
    <row r="383" spans="1:30">
      <c r="A383">
        <v>381</v>
      </c>
      <c r="B383">
        <v>13</v>
      </c>
      <c r="C383">
        <v>0.41</v>
      </c>
      <c r="D383">
        <v>1.7</v>
      </c>
      <c r="E383">
        <v>0</v>
      </c>
      <c r="F383">
        <v>1.0449999999999999</v>
      </c>
      <c r="G383">
        <v>0</v>
      </c>
      <c r="H383">
        <v>0.05</v>
      </c>
      <c r="I383">
        <v>0.43</v>
      </c>
      <c r="K383">
        <v>381</v>
      </c>
      <c r="L383">
        <v>13</v>
      </c>
      <c r="M383" s="32">
        <v>0.41</v>
      </c>
      <c r="N383" s="47">
        <v>1.6950000000000001</v>
      </c>
      <c r="P383" s="32">
        <v>1.0449999999999999</v>
      </c>
      <c r="R383" s="47">
        <v>5.0999999999999997E-2</v>
      </c>
      <c r="S383" s="32">
        <v>0.43</v>
      </c>
      <c r="T383" s="31">
        <v>0</v>
      </c>
      <c r="V383">
        <v>381</v>
      </c>
      <c r="W383">
        <v>13</v>
      </c>
      <c r="X383">
        <v>0.42199999999999999</v>
      </c>
      <c r="Y383" s="32">
        <v>1.728</v>
      </c>
      <c r="Z383">
        <v>0</v>
      </c>
      <c r="AA383" s="32">
        <v>1.153</v>
      </c>
      <c r="AB383">
        <v>0</v>
      </c>
      <c r="AC383" s="34">
        <v>6.5000000000000002E-2</v>
      </c>
      <c r="AD383" s="32">
        <v>0.48699999999999999</v>
      </c>
    </row>
    <row r="384" spans="1:30">
      <c r="A384">
        <v>382</v>
      </c>
      <c r="B384">
        <v>13</v>
      </c>
      <c r="C384">
        <v>0.41099999999999998</v>
      </c>
      <c r="D384">
        <v>1.7</v>
      </c>
      <c r="E384">
        <v>0</v>
      </c>
      <c r="F384">
        <v>1.0449999999999999</v>
      </c>
      <c r="G384">
        <v>0</v>
      </c>
      <c r="H384">
        <v>0.05</v>
      </c>
      <c r="I384">
        <v>0.43099999999999999</v>
      </c>
      <c r="K384">
        <v>382</v>
      </c>
      <c r="L384">
        <v>13</v>
      </c>
      <c r="M384" s="32">
        <v>0.41099999999999998</v>
      </c>
      <c r="N384" s="47">
        <v>1.698</v>
      </c>
      <c r="P384" s="32">
        <v>1.0449999999999999</v>
      </c>
      <c r="R384" s="47">
        <v>5.0999999999999997E-2</v>
      </c>
      <c r="S384" s="32">
        <v>0.43099999999999999</v>
      </c>
      <c r="T384" s="31">
        <v>0</v>
      </c>
      <c r="V384">
        <v>382</v>
      </c>
      <c r="W384">
        <v>13</v>
      </c>
      <c r="X384">
        <v>0.42299999999999999</v>
      </c>
      <c r="Y384" s="32">
        <v>1.7310000000000001</v>
      </c>
      <c r="Z384">
        <v>0</v>
      </c>
      <c r="AA384" s="32">
        <v>1.153</v>
      </c>
      <c r="AB384">
        <v>0</v>
      </c>
      <c r="AC384" s="34">
        <v>6.5000000000000002E-2</v>
      </c>
      <c r="AD384" s="32">
        <v>0.48799999999999999</v>
      </c>
    </row>
    <row r="385" spans="1:30">
      <c r="A385">
        <v>383</v>
      </c>
      <c r="B385">
        <v>13</v>
      </c>
      <c r="C385">
        <v>0.41199999999999998</v>
      </c>
      <c r="D385">
        <v>1.7</v>
      </c>
      <c r="E385">
        <v>0</v>
      </c>
      <c r="F385">
        <v>1.046</v>
      </c>
      <c r="G385">
        <v>0</v>
      </c>
      <c r="H385">
        <v>0.05</v>
      </c>
      <c r="I385">
        <v>0.432</v>
      </c>
      <c r="K385">
        <v>383</v>
      </c>
      <c r="L385">
        <v>13</v>
      </c>
      <c r="M385" s="32">
        <v>0.41199999999999998</v>
      </c>
      <c r="N385" s="47">
        <v>1.7010000000000001</v>
      </c>
      <c r="P385" s="32">
        <v>1.046</v>
      </c>
      <c r="R385" s="47">
        <v>5.0999999999999997E-2</v>
      </c>
      <c r="S385" s="32">
        <v>0.432</v>
      </c>
      <c r="T385" s="31">
        <v>0</v>
      </c>
      <c r="V385">
        <v>383</v>
      </c>
      <c r="W385">
        <v>13</v>
      </c>
      <c r="X385">
        <v>0.42399999999999999</v>
      </c>
      <c r="Y385" s="32">
        <v>1.734</v>
      </c>
      <c r="Z385">
        <v>0</v>
      </c>
      <c r="AA385" s="32">
        <v>1.153</v>
      </c>
      <c r="AB385">
        <v>0</v>
      </c>
      <c r="AC385" s="34">
        <v>6.5000000000000002E-2</v>
      </c>
      <c r="AD385" s="32">
        <v>0.48899999999999999</v>
      </c>
    </row>
    <row r="386" spans="1:30">
      <c r="A386">
        <v>384</v>
      </c>
      <c r="B386">
        <v>13</v>
      </c>
      <c r="C386">
        <v>0.41299999999999998</v>
      </c>
      <c r="D386">
        <v>1.7</v>
      </c>
      <c r="E386">
        <v>0</v>
      </c>
      <c r="F386">
        <v>1.0469999999999999</v>
      </c>
      <c r="G386">
        <v>0</v>
      </c>
      <c r="H386">
        <v>0.05</v>
      </c>
      <c r="I386">
        <v>0.433</v>
      </c>
      <c r="K386">
        <v>384</v>
      </c>
      <c r="L386">
        <v>13</v>
      </c>
      <c r="M386" s="32">
        <v>0.41299999999999998</v>
      </c>
      <c r="N386" s="47">
        <v>1.7030000000000001</v>
      </c>
      <c r="P386" s="32">
        <v>1.0469999999999999</v>
      </c>
      <c r="R386" s="47">
        <v>5.0999999999999997E-2</v>
      </c>
      <c r="S386" s="32">
        <v>0.433</v>
      </c>
      <c r="T386" s="31">
        <v>0</v>
      </c>
      <c r="V386">
        <v>384</v>
      </c>
      <c r="W386">
        <v>13</v>
      </c>
      <c r="X386">
        <v>0.42499999999999999</v>
      </c>
      <c r="Y386" s="32">
        <v>1.736</v>
      </c>
      <c r="Z386">
        <v>0</v>
      </c>
      <c r="AA386" s="32">
        <v>1.1539999999999999</v>
      </c>
      <c r="AB386">
        <v>0</v>
      </c>
      <c r="AC386" s="34">
        <v>6.5000000000000002E-2</v>
      </c>
      <c r="AD386" s="32">
        <v>0.49099999999999999</v>
      </c>
    </row>
    <row r="387" spans="1:30">
      <c r="A387">
        <v>385</v>
      </c>
      <c r="B387">
        <v>13</v>
      </c>
      <c r="C387">
        <v>0.41399999999999998</v>
      </c>
      <c r="D387">
        <v>1.71</v>
      </c>
      <c r="E387">
        <v>0</v>
      </c>
      <c r="F387">
        <v>1.0469999999999999</v>
      </c>
      <c r="G387">
        <v>0</v>
      </c>
      <c r="H387">
        <v>0.05</v>
      </c>
      <c r="I387">
        <v>0.435</v>
      </c>
      <c r="K387">
        <v>385</v>
      </c>
      <c r="L387">
        <v>13</v>
      </c>
      <c r="M387" s="32">
        <v>0.41399999999999998</v>
      </c>
      <c r="N387" s="47">
        <v>1.706</v>
      </c>
      <c r="P387" s="32">
        <v>1.0469999999999999</v>
      </c>
      <c r="R387" s="47">
        <v>5.0999999999999997E-2</v>
      </c>
      <c r="S387" s="32">
        <v>0.435</v>
      </c>
      <c r="T387" s="31">
        <v>0</v>
      </c>
      <c r="V387">
        <v>385</v>
      </c>
      <c r="W387">
        <v>13</v>
      </c>
      <c r="X387">
        <v>0.42599999999999999</v>
      </c>
      <c r="Y387" s="32">
        <v>1.7390000000000001</v>
      </c>
      <c r="Z387">
        <v>0</v>
      </c>
      <c r="AA387" s="32">
        <v>1.1539999999999999</v>
      </c>
      <c r="AB387">
        <v>0</v>
      </c>
      <c r="AC387" s="34">
        <v>6.5000000000000002E-2</v>
      </c>
      <c r="AD387" s="32">
        <v>0.49199999999999999</v>
      </c>
    </row>
    <row r="388" spans="1:30">
      <c r="A388">
        <v>386</v>
      </c>
      <c r="B388">
        <v>13</v>
      </c>
      <c r="C388">
        <v>0.41499999999999998</v>
      </c>
      <c r="D388">
        <v>1.71</v>
      </c>
      <c r="E388">
        <v>0</v>
      </c>
      <c r="F388">
        <v>1.048</v>
      </c>
      <c r="G388">
        <v>0</v>
      </c>
      <c r="H388">
        <v>0.05</v>
      </c>
      <c r="I388">
        <v>0.436</v>
      </c>
      <c r="K388">
        <v>386</v>
      </c>
      <c r="L388">
        <v>13</v>
      </c>
      <c r="M388" s="32">
        <v>0.41499999999999998</v>
      </c>
      <c r="N388" s="47">
        <v>1.7090000000000001</v>
      </c>
      <c r="P388" s="32">
        <v>1.048</v>
      </c>
      <c r="R388" s="47">
        <v>5.0999999999999997E-2</v>
      </c>
      <c r="S388" s="32">
        <v>0.436</v>
      </c>
      <c r="T388" s="31">
        <v>0</v>
      </c>
      <c r="V388">
        <v>386</v>
      </c>
      <c r="W388">
        <v>13</v>
      </c>
      <c r="X388">
        <v>0.42699999999999999</v>
      </c>
      <c r="Y388" s="32">
        <v>1.742</v>
      </c>
      <c r="Z388">
        <v>0</v>
      </c>
      <c r="AA388" s="32">
        <v>1.1539999999999999</v>
      </c>
      <c r="AB388">
        <v>0</v>
      </c>
      <c r="AC388" s="34">
        <v>6.5000000000000002E-2</v>
      </c>
      <c r="AD388" s="32">
        <v>0.49299999999999999</v>
      </c>
    </row>
    <row r="389" spans="1:30">
      <c r="A389">
        <v>387</v>
      </c>
      <c r="B389">
        <v>13</v>
      </c>
      <c r="C389">
        <v>0.41599999999999998</v>
      </c>
      <c r="D389">
        <v>1.71</v>
      </c>
      <c r="E389">
        <v>0</v>
      </c>
      <c r="F389">
        <v>1.0489999999999999</v>
      </c>
      <c r="G389">
        <v>0</v>
      </c>
      <c r="H389">
        <v>0.05</v>
      </c>
      <c r="I389">
        <v>0.437</v>
      </c>
      <c r="K389">
        <v>387</v>
      </c>
      <c r="L389">
        <v>13</v>
      </c>
      <c r="M389" s="32">
        <v>0.41599999999999998</v>
      </c>
      <c r="N389" s="47">
        <v>1.712</v>
      </c>
      <c r="P389" s="32">
        <v>1.0489999999999999</v>
      </c>
      <c r="R389" s="47">
        <v>5.0999999999999997E-2</v>
      </c>
      <c r="S389" s="32">
        <v>0.437</v>
      </c>
      <c r="T389" s="31">
        <v>0</v>
      </c>
      <c r="V389">
        <v>387</v>
      </c>
      <c r="W389">
        <v>13</v>
      </c>
      <c r="X389">
        <v>0.42799999999999999</v>
      </c>
      <c r="Y389" s="32">
        <v>1.7450000000000001</v>
      </c>
      <c r="Z389">
        <v>0</v>
      </c>
      <c r="AA389" s="32">
        <v>1.155</v>
      </c>
      <c r="AB389">
        <v>0</v>
      </c>
      <c r="AC389" s="34">
        <v>6.5000000000000002E-2</v>
      </c>
      <c r="AD389" s="32">
        <v>0.495</v>
      </c>
    </row>
    <row r="390" spans="1:30">
      <c r="A390">
        <v>388</v>
      </c>
      <c r="B390">
        <v>13</v>
      </c>
      <c r="C390">
        <v>0.41699999999999998</v>
      </c>
      <c r="D390">
        <v>1.71</v>
      </c>
      <c r="E390">
        <v>0</v>
      </c>
      <c r="F390">
        <v>1.05</v>
      </c>
      <c r="G390">
        <v>0</v>
      </c>
      <c r="H390">
        <v>0.05</v>
      </c>
      <c r="I390">
        <v>0.438</v>
      </c>
      <c r="K390">
        <v>388</v>
      </c>
      <c r="L390">
        <v>13</v>
      </c>
      <c r="M390" s="32">
        <v>0.41699999999999998</v>
      </c>
      <c r="N390" s="47">
        <v>1.714</v>
      </c>
      <c r="P390" s="32">
        <v>1.05</v>
      </c>
      <c r="R390" s="47">
        <v>5.0999999999999997E-2</v>
      </c>
      <c r="S390" s="32">
        <v>0.438</v>
      </c>
      <c r="T390" s="31">
        <v>0</v>
      </c>
      <c r="V390">
        <v>388</v>
      </c>
      <c r="W390">
        <v>13</v>
      </c>
      <c r="X390">
        <v>0.42899999999999999</v>
      </c>
      <c r="Y390" s="32">
        <v>1.7470000000000001</v>
      </c>
      <c r="Z390">
        <v>0</v>
      </c>
      <c r="AA390" s="32">
        <v>1.155</v>
      </c>
      <c r="AB390">
        <v>0</v>
      </c>
      <c r="AC390" s="34">
        <v>6.5000000000000002E-2</v>
      </c>
      <c r="AD390" s="32">
        <v>0.496</v>
      </c>
    </row>
    <row r="391" spans="1:30">
      <c r="A391">
        <v>389</v>
      </c>
      <c r="B391">
        <v>13</v>
      </c>
      <c r="C391">
        <v>0.41799999999999998</v>
      </c>
      <c r="D391">
        <v>1.72</v>
      </c>
      <c r="E391">
        <v>0</v>
      </c>
      <c r="F391">
        <v>1.05</v>
      </c>
      <c r="G391">
        <v>0</v>
      </c>
      <c r="H391">
        <v>0.05</v>
      </c>
      <c r="I391">
        <v>0.44</v>
      </c>
      <c r="K391">
        <v>389</v>
      </c>
      <c r="L391">
        <v>13</v>
      </c>
      <c r="M391" s="32">
        <v>0.41799999999999998</v>
      </c>
      <c r="N391" s="47">
        <v>1.7170000000000001</v>
      </c>
      <c r="P391" s="32">
        <v>1.05</v>
      </c>
      <c r="R391" s="47">
        <v>5.0999999999999997E-2</v>
      </c>
      <c r="S391" s="32">
        <v>0.44</v>
      </c>
      <c r="T391" s="31">
        <v>0</v>
      </c>
      <c r="V391">
        <v>389</v>
      </c>
      <c r="W391">
        <v>13</v>
      </c>
      <c r="X391">
        <v>0.43</v>
      </c>
      <c r="Y391" s="32">
        <v>1.75</v>
      </c>
      <c r="Z391">
        <v>0</v>
      </c>
      <c r="AA391" s="32">
        <v>1.155</v>
      </c>
      <c r="AB391">
        <v>0</v>
      </c>
      <c r="AC391" s="34">
        <v>6.5000000000000002E-2</v>
      </c>
      <c r="AD391" s="32">
        <v>0.497</v>
      </c>
    </row>
    <row r="392" spans="1:30">
      <c r="A392">
        <v>390</v>
      </c>
      <c r="B392">
        <v>13</v>
      </c>
      <c r="C392">
        <v>0.41899999999999998</v>
      </c>
      <c r="D392">
        <v>1.72</v>
      </c>
      <c r="E392">
        <v>0</v>
      </c>
      <c r="F392">
        <v>1.0509999999999999</v>
      </c>
      <c r="G392">
        <v>0</v>
      </c>
      <c r="H392">
        <v>0.05</v>
      </c>
      <c r="I392">
        <v>0.441</v>
      </c>
      <c r="K392">
        <v>390</v>
      </c>
      <c r="L392">
        <v>13</v>
      </c>
      <c r="M392" s="32">
        <v>0.41899999999999998</v>
      </c>
      <c r="N392" s="32">
        <v>1.72</v>
      </c>
      <c r="P392" s="32">
        <v>1.0509999999999999</v>
      </c>
      <c r="R392" s="47">
        <v>5.0999999999999997E-2</v>
      </c>
      <c r="S392" s="32">
        <v>0.441</v>
      </c>
      <c r="T392" s="31">
        <v>0</v>
      </c>
      <c r="V392">
        <v>390</v>
      </c>
      <c r="W392">
        <v>13</v>
      </c>
      <c r="X392">
        <v>0.43099999999999999</v>
      </c>
      <c r="Y392" s="32">
        <v>1.75</v>
      </c>
      <c r="Z392">
        <v>0</v>
      </c>
      <c r="AA392" s="32">
        <v>1.155</v>
      </c>
      <c r="AB392">
        <v>0</v>
      </c>
      <c r="AC392" s="34">
        <v>6.5000000000000002E-2</v>
      </c>
      <c r="AD392" s="32">
        <v>0.498</v>
      </c>
    </row>
    <row r="393" spans="1:30">
      <c r="A393">
        <v>391</v>
      </c>
      <c r="B393">
        <v>13</v>
      </c>
      <c r="C393">
        <v>0.42</v>
      </c>
      <c r="D393">
        <v>1.72</v>
      </c>
      <c r="E393">
        <v>0</v>
      </c>
      <c r="F393">
        <v>1.052</v>
      </c>
      <c r="G393">
        <v>0</v>
      </c>
      <c r="H393">
        <v>0.05</v>
      </c>
      <c r="I393">
        <v>0.442</v>
      </c>
      <c r="K393">
        <v>391</v>
      </c>
      <c r="L393">
        <v>13</v>
      </c>
      <c r="M393" s="32">
        <v>0.42</v>
      </c>
      <c r="N393" s="47">
        <v>1.7230000000000001</v>
      </c>
      <c r="P393" s="32">
        <v>1.052</v>
      </c>
      <c r="R393" s="47">
        <v>5.0999999999999997E-2</v>
      </c>
      <c r="S393" s="32">
        <v>0.442</v>
      </c>
      <c r="T393" s="31">
        <v>0</v>
      </c>
      <c r="V393">
        <v>391</v>
      </c>
      <c r="W393">
        <v>13</v>
      </c>
      <c r="X393">
        <v>0.432</v>
      </c>
      <c r="Y393" s="32">
        <v>1.75</v>
      </c>
      <c r="Z393">
        <v>0</v>
      </c>
      <c r="AA393" s="32">
        <v>1.1559999999999999</v>
      </c>
      <c r="AB393">
        <v>0</v>
      </c>
      <c r="AC393" s="34">
        <v>6.6000000000000003E-2</v>
      </c>
      <c r="AD393" s="32">
        <v>0.5</v>
      </c>
    </row>
    <row r="394" spans="1:30">
      <c r="A394">
        <v>392</v>
      </c>
      <c r="B394">
        <v>13</v>
      </c>
      <c r="C394">
        <v>0.42099999999999999</v>
      </c>
      <c r="D394">
        <v>1.73</v>
      </c>
      <c r="E394">
        <v>0</v>
      </c>
      <c r="F394">
        <v>1.052</v>
      </c>
      <c r="G394">
        <v>0</v>
      </c>
      <c r="H394">
        <v>0.05</v>
      </c>
      <c r="I394">
        <v>0.44400000000000001</v>
      </c>
      <c r="K394">
        <v>392</v>
      </c>
      <c r="L394">
        <v>13</v>
      </c>
      <c r="M394" s="32">
        <v>0.42099999999999999</v>
      </c>
      <c r="N394" s="47">
        <v>1.7250000000000001</v>
      </c>
      <c r="P394" s="32">
        <v>1.052</v>
      </c>
      <c r="R394" s="47">
        <v>5.0999999999999997E-2</v>
      </c>
      <c r="S394" s="32">
        <v>0.44400000000000001</v>
      </c>
      <c r="T394" s="31">
        <v>0</v>
      </c>
      <c r="V394">
        <v>392</v>
      </c>
      <c r="W394">
        <v>13</v>
      </c>
      <c r="X394">
        <v>0.433</v>
      </c>
      <c r="Y394" s="32">
        <v>1.75</v>
      </c>
      <c r="Z394">
        <v>0</v>
      </c>
      <c r="AA394" s="32">
        <v>1.1559999999999999</v>
      </c>
      <c r="AB394">
        <v>0</v>
      </c>
      <c r="AC394" s="34">
        <v>6.6000000000000003E-2</v>
      </c>
      <c r="AD394" s="32">
        <v>0.501</v>
      </c>
    </row>
    <row r="395" spans="1:30">
      <c r="A395">
        <v>393</v>
      </c>
      <c r="B395">
        <v>13</v>
      </c>
      <c r="C395">
        <v>0.42199999999999999</v>
      </c>
      <c r="D395">
        <v>1.73</v>
      </c>
      <c r="E395">
        <v>0</v>
      </c>
      <c r="F395">
        <v>1.0529999999999999</v>
      </c>
      <c r="G395">
        <v>0</v>
      </c>
      <c r="H395">
        <v>0.05</v>
      </c>
      <c r="I395">
        <v>0.44500000000000001</v>
      </c>
      <c r="K395">
        <v>393</v>
      </c>
      <c r="L395">
        <v>13</v>
      </c>
      <c r="M395" s="32">
        <v>0.42199999999999999</v>
      </c>
      <c r="N395" s="47">
        <v>1.728</v>
      </c>
      <c r="P395" s="32">
        <v>1.0529999999999999</v>
      </c>
      <c r="R395" s="47">
        <v>5.0999999999999997E-2</v>
      </c>
      <c r="S395" s="32">
        <v>0.44500000000000001</v>
      </c>
      <c r="T395" s="31">
        <v>0</v>
      </c>
      <c r="V395">
        <v>393</v>
      </c>
      <c r="W395">
        <v>13</v>
      </c>
      <c r="X395">
        <v>0.434</v>
      </c>
      <c r="Y395" s="32">
        <v>1.75</v>
      </c>
      <c r="Z395">
        <v>0</v>
      </c>
      <c r="AA395" s="32">
        <v>1.1559999999999999</v>
      </c>
      <c r="AB395">
        <v>0</v>
      </c>
      <c r="AC395" s="34">
        <v>6.6000000000000003E-2</v>
      </c>
      <c r="AD395" s="32">
        <v>0.502</v>
      </c>
    </row>
    <row r="396" spans="1:30">
      <c r="A396">
        <v>394</v>
      </c>
      <c r="B396">
        <v>13</v>
      </c>
      <c r="C396">
        <v>0.42299999999999999</v>
      </c>
      <c r="D396">
        <v>1.73</v>
      </c>
      <c r="E396">
        <v>0</v>
      </c>
      <c r="F396">
        <v>1.054</v>
      </c>
      <c r="G396">
        <v>0</v>
      </c>
      <c r="H396">
        <v>0.05</v>
      </c>
      <c r="I396">
        <v>0.44600000000000001</v>
      </c>
      <c r="K396">
        <v>394</v>
      </c>
      <c r="L396">
        <v>13</v>
      </c>
      <c r="M396" s="32">
        <v>0.42299999999999999</v>
      </c>
      <c r="N396" s="47">
        <v>1.7310000000000001</v>
      </c>
      <c r="P396" s="32">
        <v>1.054</v>
      </c>
      <c r="R396" s="47">
        <v>5.0999999999999997E-2</v>
      </c>
      <c r="S396" s="32">
        <v>0.44600000000000001</v>
      </c>
      <c r="T396" s="31">
        <v>0</v>
      </c>
      <c r="V396">
        <v>394</v>
      </c>
      <c r="W396">
        <v>13</v>
      </c>
      <c r="X396">
        <v>0.435</v>
      </c>
      <c r="Y396" s="32">
        <v>1.75</v>
      </c>
      <c r="Z396">
        <v>0</v>
      </c>
      <c r="AA396" s="32">
        <v>1.157</v>
      </c>
      <c r="AB396">
        <v>0</v>
      </c>
      <c r="AC396" s="34">
        <v>6.6000000000000003E-2</v>
      </c>
      <c r="AD396" s="32">
        <v>0.504</v>
      </c>
    </row>
    <row r="397" spans="1:30">
      <c r="A397">
        <v>395</v>
      </c>
      <c r="B397">
        <v>13</v>
      </c>
      <c r="C397">
        <v>0.42399999999999999</v>
      </c>
      <c r="D397">
        <v>1.73</v>
      </c>
      <c r="E397">
        <v>0</v>
      </c>
      <c r="F397">
        <v>1.0549999999999999</v>
      </c>
      <c r="G397">
        <v>0</v>
      </c>
      <c r="H397">
        <v>0.05</v>
      </c>
      <c r="I397">
        <v>0.44700000000000001</v>
      </c>
      <c r="K397">
        <v>395</v>
      </c>
      <c r="L397">
        <v>13</v>
      </c>
      <c r="M397" s="32">
        <v>0.42399999999999999</v>
      </c>
      <c r="N397" s="47">
        <v>1.734</v>
      </c>
      <c r="P397" s="32">
        <v>1.0549999999999999</v>
      </c>
      <c r="R397" s="47">
        <v>5.0999999999999997E-2</v>
      </c>
      <c r="S397" s="32">
        <v>0.44700000000000001</v>
      </c>
      <c r="T397" s="31">
        <v>0</v>
      </c>
      <c r="V397">
        <v>395</v>
      </c>
      <c r="W397">
        <v>13</v>
      </c>
      <c r="X397">
        <v>0.436</v>
      </c>
      <c r="Y397" s="32">
        <v>1.75</v>
      </c>
      <c r="Z397">
        <v>0</v>
      </c>
      <c r="AA397" s="32">
        <v>1.157</v>
      </c>
      <c r="AB397">
        <v>0</v>
      </c>
      <c r="AC397" s="34">
        <v>6.6000000000000003E-2</v>
      </c>
      <c r="AD397" s="32">
        <v>0.505</v>
      </c>
    </row>
    <row r="398" spans="1:30">
      <c r="A398">
        <v>396</v>
      </c>
      <c r="B398">
        <v>13</v>
      </c>
      <c r="C398">
        <v>0.42499999999999999</v>
      </c>
      <c r="D398">
        <v>1.74</v>
      </c>
      <c r="E398">
        <v>0</v>
      </c>
      <c r="F398">
        <v>1.0549999999999999</v>
      </c>
      <c r="G398">
        <v>0</v>
      </c>
      <c r="H398">
        <v>0.05</v>
      </c>
      <c r="I398">
        <v>0.44900000000000001</v>
      </c>
      <c r="K398">
        <v>396</v>
      </c>
      <c r="L398">
        <v>13</v>
      </c>
      <c r="M398" s="32">
        <v>0.42499999999999999</v>
      </c>
      <c r="N398" s="47">
        <v>1.736</v>
      </c>
      <c r="P398" s="32">
        <v>1.0549999999999999</v>
      </c>
      <c r="R398" s="47">
        <v>5.0999999999999997E-2</v>
      </c>
      <c r="S398" s="32">
        <v>0.44900000000000001</v>
      </c>
      <c r="T398" s="31">
        <v>0</v>
      </c>
      <c r="V398">
        <v>396</v>
      </c>
      <c r="W398">
        <v>13</v>
      </c>
      <c r="X398">
        <v>0.437</v>
      </c>
      <c r="Y398" s="32">
        <v>1.75</v>
      </c>
      <c r="Z398">
        <v>0</v>
      </c>
      <c r="AA398" s="32">
        <v>1.157</v>
      </c>
      <c r="AB398">
        <v>0</v>
      </c>
      <c r="AC398" s="34">
        <v>6.6000000000000003E-2</v>
      </c>
      <c r="AD398" s="32">
        <v>0.50600000000000001</v>
      </c>
    </row>
    <row r="399" spans="1:30">
      <c r="A399">
        <v>397</v>
      </c>
      <c r="B399">
        <v>13</v>
      </c>
      <c r="C399">
        <v>0.42599999999999999</v>
      </c>
      <c r="D399">
        <v>1.74</v>
      </c>
      <c r="E399">
        <v>0</v>
      </c>
      <c r="F399">
        <v>1.056</v>
      </c>
      <c r="G399">
        <v>0</v>
      </c>
      <c r="H399">
        <v>0.05</v>
      </c>
      <c r="I399">
        <v>0.45</v>
      </c>
      <c r="K399">
        <v>397</v>
      </c>
      <c r="L399">
        <v>13</v>
      </c>
      <c r="M399" s="32">
        <v>0.42599999999999999</v>
      </c>
      <c r="N399" s="47">
        <v>1.7390000000000001</v>
      </c>
      <c r="P399" s="32">
        <v>1.056</v>
      </c>
      <c r="R399" s="47">
        <v>5.0999999999999997E-2</v>
      </c>
      <c r="S399" s="32">
        <v>0.45</v>
      </c>
      <c r="T399" s="31">
        <v>0</v>
      </c>
      <c r="V399">
        <v>397</v>
      </c>
      <c r="W399">
        <v>13</v>
      </c>
      <c r="X399">
        <v>0.438</v>
      </c>
      <c r="Y399" s="32">
        <v>1.75</v>
      </c>
      <c r="Z399">
        <v>0</v>
      </c>
      <c r="AA399" s="32">
        <v>1.157</v>
      </c>
      <c r="AB399">
        <v>0</v>
      </c>
      <c r="AC399" s="34">
        <v>6.6000000000000003E-2</v>
      </c>
      <c r="AD399" s="32">
        <v>0.50700000000000001</v>
      </c>
    </row>
    <row r="400" spans="1:30">
      <c r="A400">
        <v>398</v>
      </c>
      <c r="B400">
        <v>13</v>
      </c>
      <c r="C400">
        <v>0.42699999999999999</v>
      </c>
      <c r="D400">
        <v>1.74</v>
      </c>
      <c r="E400">
        <v>0</v>
      </c>
      <c r="F400">
        <v>1.0569999999999999</v>
      </c>
      <c r="G400">
        <v>0</v>
      </c>
      <c r="H400">
        <v>0.05</v>
      </c>
      <c r="I400">
        <v>0.45100000000000001</v>
      </c>
      <c r="K400">
        <v>398</v>
      </c>
      <c r="L400">
        <v>13</v>
      </c>
      <c r="M400" s="32">
        <v>0.42699999999999999</v>
      </c>
      <c r="N400" s="47">
        <v>1.742</v>
      </c>
      <c r="P400" s="32">
        <v>1.0569999999999999</v>
      </c>
      <c r="R400" s="47">
        <v>5.0999999999999997E-2</v>
      </c>
      <c r="S400" s="32">
        <v>0.45100000000000001</v>
      </c>
      <c r="T400" s="31">
        <v>0</v>
      </c>
      <c r="V400">
        <v>398</v>
      </c>
      <c r="W400">
        <v>13</v>
      </c>
      <c r="X400">
        <v>0.439</v>
      </c>
      <c r="Y400" s="32">
        <v>1.75</v>
      </c>
      <c r="Z400">
        <v>0</v>
      </c>
      <c r="AA400" s="32">
        <v>1.1579999999999999</v>
      </c>
      <c r="AB400">
        <v>0</v>
      </c>
      <c r="AC400" s="34">
        <v>6.6000000000000003E-2</v>
      </c>
      <c r="AD400" s="32">
        <v>0.50900000000000001</v>
      </c>
    </row>
    <row r="401" spans="1:30">
      <c r="A401">
        <v>399</v>
      </c>
      <c r="B401">
        <v>13</v>
      </c>
      <c r="C401">
        <v>0.42799999999999999</v>
      </c>
      <c r="D401">
        <v>1.74</v>
      </c>
      <c r="E401">
        <v>0</v>
      </c>
      <c r="F401">
        <v>1.0580000000000001</v>
      </c>
      <c r="G401">
        <v>0</v>
      </c>
      <c r="H401">
        <v>0.05</v>
      </c>
      <c r="I401">
        <v>0.45200000000000001</v>
      </c>
      <c r="K401">
        <v>399</v>
      </c>
      <c r="L401">
        <v>13</v>
      </c>
      <c r="M401" s="32">
        <v>0.42799999999999999</v>
      </c>
      <c r="N401" s="47">
        <v>1.7450000000000001</v>
      </c>
      <c r="P401" s="32">
        <v>1.0580000000000001</v>
      </c>
      <c r="R401" s="47">
        <v>5.0999999999999997E-2</v>
      </c>
      <c r="S401" s="32">
        <v>0.45200000000000001</v>
      </c>
      <c r="T401" s="31">
        <v>0</v>
      </c>
      <c r="V401">
        <v>399</v>
      </c>
      <c r="W401">
        <v>13</v>
      </c>
      <c r="X401">
        <v>0.44</v>
      </c>
      <c r="Y401" s="32">
        <v>1.75</v>
      </c>
      <c r="Z401">
        <v>0</v>
      </c>
      <c r="AA401" s="32">
        <v>1.1579999999999999</v>
      </c>
      <c r="AB401">
        <v>0</v>
      </c>
      <c r="AC401" s="34">
        <v>6.6000000000000003E-2</v>
      </c>
      <c r="AD401" s="32">
        <v>0.51</v>
      </c>
    </row>
    <row r="402" spans="1:30">
      <c r="A402">
        <v>400</v>
      </c>
      <c r="B402">
        <v>13</v>
      </c>
      <c r="C402">
        <v>0.42899999999999999</v>
      </c>
      <c r="D402">
        <v>1.75</v>
      </c>
      <c r="E402">
        <v>0</v>
      </c>
      <c r="F402">
        <v>1.0580000000000001</v>
      </c>
      <c r="G402">
        <v>0</v>
      </c>
      <c r="H402">
        <v>0.05</v>
      </c>
      <c r="I402">
        <v>0.45400000000000001</v>
      </c>
      <c r="K402">
        <v>400</v>
      </c>
      <c r="L402">
        <v>13</v>
      </c>
      <c r="M402" s="32">
        <v>0.42899999999999999</v>
      </c>
      <c r="N402" s="47">
        <v>1.7470000000000001</v>
      </c>
      <c r="P402" s="32">
        <v>1.0580000000000001</v>
      </c>
      <c r="R402" s="47">
        <v>5.0999999999999997E-2</v>
      </c>
      <c r="S402" s="32">
        <v>0.45400000000000001</v>
      </c>
      <c r="T402" s="31">
        <v>0</v>
      </c>
      <c r="V402">
        <v>400</v>
      </c>
      <c r="W402">
        <v>13</v>
      </c>
      <c r="X402">
        <v>0.441</v>
      </c>
      <c r="Y402" s="32">
        <v>1.75</v>
      </c>
      <c r="Z402">
        <v>0</v>
      </c>
      <c r="AA402" s="32">
        <v>1.1579999999999999</v>
      </c>
      <c r="AB402">
        <v>0</v>
      </c>
      <c r="AC402" s="34">
        <v>6.6000000000000003E-2</v>
      </c>
      <c r="AD402" s="32">
        <v>0.51100000000000001</v>
      </c>
    </row>
    <row r="403" spans="1:30">
      <c r="A403">
        <v>401</v>
      </c>
      <c r="B403">
        <v>14</v>
      </c>
      <c r="C403">
        <v>0.43</v>
      </c>
      <c r="D403">
        <v>1.75</v>
      </c>
      <c r="E403">
        <v>0</v>
      </c>
      <c r="F403">
        <v>1.0589999999999999</v>
      </c>
      <c r="G403">
        <v>0</v>
      </c>
      <c r="H403">
        <v>5.0999999999999997E-2</v>
      </c>
      <c r="I403">
        <v>0.45500000000000002</v>
      </c>
      <c r="K403">
        <v>401</v>
      </c>
      <c r="L403">
        <v>14</v>
      </c>
      <c r="M403" s="32">
        <v>0.43</v>
      </c>
      <c r="N403" s="32">
        <v>1.75</v>
      </c>
      <c r="P403" s="32">
        <v>1.0589999999999999</v>
      </c>
      <c r="R403" s="32">
        <v>5.0999999999999997E-2</v>
      </c>
      <c r="S403" s="32">
        <v>0.45500000000000002</v>
      </c>
      <c r="T403" s="31">
        <v>0</v>
      </c>
      <c r="V403">
        <v>401</v>
      </c>
      <c r="W403">
        <v>13</v>
      </c>
      <c r="X403">
        <v>0.442</v>
      </c>
      <c r="Y403" s="32">
        <v>1.75</v>
      </c>
      <c r="Z403">
        <v>0</v>
      </c>
      <c r="AA403" s="32">
        <v>1.1579999999999999</v>
      </c>
      <c r="AB403">
        <v>0</v>
      </c>
      <c r="AC403" s="34">
        <v>6.6000000000000003E-2</v>
      </c>
      <c r="AD403" s="32">
        <v>0.51200000000000001</v>
      </c>
    </row>
    <row r="404" spans="1:30">
      <c r="A404">
        <v>402</v>
      </c>
      <c r="B404">
        <v>14</v>
      </c>
      <c r="C404">
        <v>0.43099999999999999</v>
      </c>
      <c r="D404">
        <v>1.75</v>
      </c>
      <c r="E404">
        <v>0</v>
      </c>
      <c r="F404">
        <v>1.0589999999999999</v>
      </c>
      <c r="G404">
        <v>0</v>
      </c>
      <c r="H404">
        <v>5.0999999999999997E-2</v>
      </c>
      <c r="I404">
        <v>0.45600000000000002</v>
      </c>
      <c r="K404">
        <v>402</v>
      </c>
      <c r="L404">
        <v>14</v>
      </c>
      <c r="M404" s="32">
        <v>0.43099999999999999</v>
      </c>
      <c r="N404" s="32">
        <v>1.75</v>
      </c>
      <c r="P404" s="47">
        <v>1.06</v>
      </c>
      <c r="R404" s="32">
        <v>5.0999999999999997E-2</v>
      </c>
      <c r="S404" s="32">
        <v>0.45600000000000002</v>
      </c>
      <c r="T404" s="31">
        <v>0</v>
      </c>
      <c r="V404">
        <v>402</v>
      </c>
      <c r="W404">
        <v>13</v>
      </c>
      <c r="X404">
        <v>0.443</v>
      </c>
      <c r="Y404" s="32">
        <v>1.75</v>
      </c>
      <c r="Z404">
        <v>0</v>
      </c>
      <c r="AA404" s="32">
        <v>1.159</v>
      </c>
      <c r="AB404">
        <v>0</v>
      </c>
      <c r="AC404" s="34">
        <v>6.6000000000000003E-2</v>
      </c>
      <c r="AD404" s="32">
        <v>0.51400000000000001</v>
      </c>
    </row>
    <row r="405" spans="1:30">
      <c r="A405">
        <v>403</v>
      </c>
      <c r="B405">
        <v>14</v>
      </c>
      <c r="C405">
        <v>0.432</v>
      </c>
      <c r="D405">
        <v>1.75</v>
      </c>
      <c r="E405">
        <v>0</v>
      </c>
      <c r="F405">
        <v>1.06</v>
      </c>
      <c r="G405">
        <v>0</v>
      </c>
      <c r="H405">
        <v>5.0999999999999997E-2</v>
      </c>
      <c r="I405">
        <v>0.45800000000000002</v>
      </c>
      <c r="K405">
        <v>403</v>
      </c>
      <c r="L405">
        <v>14</v>
      </c>
      <c r="M405" s="32">
        <v>0.432</v>
      </c>
      <c r="N405" s="32">
        <v>1.75</v>
      </c>
      <c r="P405" s="32">
        <v>1.06</v>
      </c>
      <c r="R405" s="47">
        <v>5.1999999999999998E-2</v>
      </c>
      <c r="S405" s="32">
        <v>0.45800000000000002</v>
      </c>
      <c r="T405" s="31">
        <v>0</v>
      </c>
      <c r="V405">
        <v>403</v>
      </c>
      <c r="W405">
        <v>13</v>
      </c>
      <c r="X405">
        <v>0.44400000000000001</v>
      </c>
      <c r="Y405" s="32">
        <v>1.75</v>
      </c>
      <c r="Z405">
        <v>0</v>
      </c>
      <c r="AA405" s="32">
        <v>1.159</v>
      </c>
      <c r="AB405">
        <v>0</v>
      </c>
      <c r="AC405" s="34">
        <v>6.6000000000000003E-2</v>
      </c>
      <c r="AD405" s="32">
        <v>0.51500000000000001</v>
      </c>
    </row>
    <row r="406" spans="1:30">
      <c r="A406">
        <v>404</v>
      </c>
      <c r="B406">
        <v>14</v>
      </c>
      <c r="C406">
        <v>0.433</v>
      </c>
      <c r="D406">
        <v>1.75</v>
      </c>
      <c r="E406">
        <v>0</v>
      </c>
      <c r="F406">
        <v>1.06</v>
      </c>
      <c r="G406">
        <v>0</v>
      </c>
      <c r="H406">
        <v>5.0999999999999997E-2</v>
      </c>
      <c r="I406">
        <v>0.45900000000000002</v>
      </c>
      <c r="K406">
        <v>404</v>
      </c>
      <c r="L406">
        <v>14</v>
      </c>
      <c r="M406" s="32">
        <v>0.433</v>
      </c>
      <c r="N406" s="32">
        <v>1.75</v>
      </c>
      <c r="P406" s="47">
        <v>1.0609999999999999</v>
      </c>
      <c r="R406" s="47">
        <v>5.1999999999999998E-2</v>
      </c>
      <c r="S406" s="32">
        <v>0.45900000000000002</v>
      </c>
      <c r="T406" s="31">
        <v>0</v>
      </c>
      <c r="V406">
        <v>404</v>
      </c>
      <c r="W406">
        <v>13</v>
      </c>
      <c r="X406">
        <v>0.44500000000000001</v>
      </c>
      <c r="Y406" s="32">
        <v>1.75</v>
      </c>
      <c r="Z406">
        <v>0</v>
      </c>
      <c r="AA406" s="32">
        <v>1.159</v>
      </c>
      <c r="AB406">
        <v>0</v>
      </c>
      <c r="AC406" s="34">
        <v>6.6000000000000003E-2</v>
      </c>
      <c r="AD406" s="32">
        <v>0.51600000000000001</v>
      </c>
    </row>
    <row r="407" spans="1:30">
      <c r="A407">
        <v>405</v>
      </c>
      <c r="B407">
        <v>14</v>
      </c>
      <c r="C407">
        <v>0.434</v>
      </c>
      <c r="D407">
        <v>1.76</v>
      </c>
      <c r="E407">
        <v>0</v>
      </c>
      <c r="F407">
        <v>1.0609999999999999</v>
      </c>
      <c r="G407">
        <v>0</v>
      </c>
      <c r="H407">
        <v>5.0999999999999997E-2</v>
      </c>
      <c r="I407">
        <v>0.46</v>
      </c>
      <c r="K407">
        <v>405</v>
      </c>
      <c r="L407">
        <v>14</v>
      </c>
      <c r="M407" s="32">
        <v>0.434</v>
      </c>
      <c r="N407" s="47">
        <v>1.75</v>
      </c>
      <c r="P407" s="32">
        <v>1.0609999999999999</v>
      </c>
      <c r="R407" s="47">
        <v>5.2999999999999999E-2</v>
      </c>
      <c r="S407" s="32">
        <v>0.46</v>
      </c>
      <c r="T407" s="31">
        <v>0</v>
      </c>
      <c r="V407">
        <v>405</v>
      </c>
      <c r="W407">
        <v>13</v>
      </c>
      <c r="X407">
        <v>0.44600000000000001</v>
      </c>
      <c r="Y407" s="32">
        <v>1.75</v>
      </c>
      <c r="Z407">
        <v>0</v>
      </c>
      <c r="AA407" s="32">
        <v>1.1599999999999999</v>
      </c>
      <c r="AB407">
        <v>0</v>
      </c>
      <c r="AC407" s="34">
        <v>6.7000000000000004E-2</v>
      </c>
      <c r="AD407" s="32">
        <v>0.51800000000000002</v>
      </c>
    </row>
    <row r="408" spans="1:30">
      <c r="A408">
        <v>406</v>
      </c>
      <c r="B408">
        <v>14</v>
      </c>
      <c r="C408">
        <v>0.435</v>
      </c>
      <c r="D408">
        <v>1.76</v>
      </c>
      <c r="E408">
        <v>0</v>
      </c>
      <c r="F408">
        <v>1.0609999999999999</v>
      </c>
      <c r="G408">
        <v>0</v>
      </c>
      <c r="H408">
        <v>5.0999999999999997E-2</v>
      </c>
      <c r="I408">
        <v>0.46100000000000002</v>
      </c>
      <c r="K408">
        <v>406</v>
      </c>
      <c r="L408">
        <v>14</v>
      </c>
      <c r="M408" s="32">
        <v>0.435</v>
      </c>
      <c r="N408" s="47">
        <v>1.75</v>
      </c>
      <c r="P408" s="47">
        <v>1.0620000000000001</v>
      </c>
      <c r="R408" s="47">
        <v>5.2999999999999999E-2</v>
      </c>
      <c r="S408" s="47">
        <v>0.46200000000000002</v>
      </c>
      <c r="T408" s="31">
        <v>0</v>
      </c>
      <c r="V408">
        <v>406</v>
      </c>
      <c r="W408">
        <v>13</v>
      </c>
      <c r="X408">
        <v>0.44700000000000001</v>
      </c>
      <c r="Y408" s="32">
        <v>1.75</v>
      </c>
      <c r="Z408">
        <v>0</v>
      </c>
      <c r="AA408" s="32">
        <v>1.1599999999999999</v>
      </c>
      <c r="AB408">
        <v>0</v>
      </c>
      <c r="AC408" s="34">
        <v>6.7000000000000004E-2</v>
      </c>
      <c r="AD408" s="32">
        <v>0.51900000000000002</v>
      </c>
    </row>
    <row r="409" spans="1:30">
      <c r="A409">
        <v>407</v>
      </c>
      <c r="B409">
        <v>14</v>
      </c>
      <c r="C409">
        <v>0.436</v>
      </c>
      <c r="D409">
        <v>1.76</v>
      </c>
      <c r="E409">
        <v>0</v>
      </c>
      <c r="F409">
        <v>1.0620000000000001</v>
      </c>
      <c r="G409">
        <v>0</v>
      </c>
      <c r="H409">
        <v>5.0999999999999997E-2</v>
      </c>
      <c r="I409">
        <v>0.46300000000000002</v>
      </c>
      <c r="K409">
        <v>407</v>
      </c>
      <c r="L409">
        <v>14</v>
      </c>
      <c r="M409" s="32">
        <v>0.436</v>
      </c>
      <c r="N409" s="47">
        <v>1.75</v>
      </c>
      <c r="P409" s="32">
        <v>1.0620000000000001</v>
      </c>
      <c r="R409" s="47">
        <v>5.3999999999999999E-2</v>
      </c>
      <c r="S409" s="32">
        <v>0.46300000000000002</v>
      </c>
      <c r="T409" s="31">
        <v>0</v>
      </c>
      <c r="V409">
        <v>407</v>
      </c>
      <c r="W409">
        <v>13</v>
      </c>
      <c r="X409">
        <v>0.44800000000000001</v>
      </c>
      <c r="Y409" s="32">
        <v>1.75</v>
      </c>
      <c r="Z409">
        <v>0</v>
      </c>
      <c r="AA409" s="32">
        <v>1.1599999999999999</v>
      </c>
      <c r="AB409">
        <v>0</v>
      </c>
      <c r="AC409" s="34">
        <v>6.7000000000000004E-2</v>
      </c>
      <c r="AD409" s="32">
        <v>0.52</v>
      </c>
    </row>
    <row r="410" spans="1:30">
      <c r="A410">
        <v>408</v>
      </c>
      <c r="B410">
        <v>14</v>
      </c>
      <c r="C410">
        <v>0.437</v>
      </c>
      <c r="D410">
        <v>1.76</v>
      </c>
      <c r="E410">
        <v>0</v>
      </c>
      <c r="F410">
        <v>1.0620000000000001</v>
      </c>
      <c r="G410">
        <v>0</v>
      </c>
      <c r="H410">
        <v>5.0999999999999997E-2</v>
      </c>
      <c r="I410">
        <v>0.46400000000000002</v>
      </c>
      <c r="K410">
        <v>408</v>
      </c>
      <c r="L410">
        <v>14</v>
      </c>
      <c r="M410" s="32">
        <v>0.437</v>
      </c>
      <c r="N410" s="47">
        <v>1.75</v>
      </c>
      <c r="P410" s="47">
        <v>1.0629999999999999</v>
      </c>
      <c r="R410" s="47">
        <v>5.3999999999999999E-2</v>
      </c>
      <c r="S410" s="32">
        <v>0.46400000000000002</v>
      </c>
      <c r="T410" s="31">
        <v>0</v>
      </c>
      <c r="V410">
        <v>408</v>
      </c>
      <c r="W410">
        <v>13</v>
      </c>
      <c r="X410">
        <v>0.44900000000000001</v>
      </c>
      <c r="Y410" s="32">
        <v>1.75</v>
      </c>
      <c r="Z410">
        <v>0</v>
      </c>
      <c r="AA410" s="32">
        <v>1.1599999999999999</v>
      </c>
      <c r="AB410">
        <v>0</v>
      </c>
      <c r="AC410" s="34">
        <v>6.7000000000000004E-2</v>
      </c>
      <c r="AD410" s="32">
        <v>0.52100000000000002</v>
      </c>
    </row>
    <row r="411" spans="1:30">
      <c r="A411">
        <v>409</v>
      </c>
      <c r="B411">
        <v>14</v>
      </c>
      <c r="C411">
        <v>0.438</v>
      </c>
      <c r="D411">
        <v>1.76</v>
      </c>
      <c r="E411">
        <v>0</v>
      </c>
      <c r="F411">
        <v>1.0629999999999999</v>
      </c>
      <c r="G411">
        <v>0</v>
      </c>
      <c r="H411">
        <v>5.0999999999999997E-2</v>
      </c>
      <c r="I411">
        <v>0.46500000000000002</v>
      </c>
      <c r="K411">
        <v>409</v>
      </c>
      <c r="L411">
        <v>14</v>
      </c>
      <c r="M411" s="32">
        <v>0.438</v>
      </c>
      <c r="N411" s="47">
        <v>1.75</v>
      </c>
      <c r="P411" s="32">
        <v>1.0629999999999999</v>
      </c>
      <c r="R411" s="47">
        <v>5.3999999999999999E-2</v>
      </c>
      <c r="S411" s="32">
        <v>0.46500000000000002</v>
      </c>
      <c r="T411" s="31">
        <v>0</v>
      </c>
      <c r="V411">
        <v>409</v>
      </c>
      <c r="W411">
        <v>13</v>
      </c>
      <c r="X411">
        <v>0.45</v>
      </c>
      <c r="Y411" s="32">
        <v>1.75</v>
      </c>
      <c r="Z411">
        <v>0</v>
      </c>
      <c r="AA411" s="32">
        <v>1.161</v>
      </c>
      <c r="AB411">
        <v>0</v>
      </c>
      <c r="AC411" s="34">
        <v>6.7000000000000004E-2</v>
      </c>
      <c r="AD411" s="32">
        <v>0.52300000000000002</v>
      </c>
    </row>
    <row r="412" spans="1:30">
      <c r="A412">
        <v>410</v>
      </c>
      <c r="B412">
        <v>14</v>
      </c>
      <c r="C412">
        <v>0.439</v>
      </c>
      <c r="D412">
        <v>1.76</v>
      </c>
      <c r="E412">
        <v>0</v>
      </c>
      <c r="F412">
        <v>1.0629999999999999</v>
      </c>
      <c r="G412">
        <v>0</v>
      </c>
      <c r="H412">
        <v>5.0999999999999997E-2</v>
      </c>
      <c r="I412">
        <v>0.46700000000000003</v>
      </c>
      <c r="K412">
        <v>410</v>
      </c>
      <c r="L412">
        <v>14</v>
      </c>
      <c r="M412" s="32">
        <v>0.439</v>
      </c>
      <c r="N412" s="47">
        <v>1.75</v>
      </c>
      <c r="P412" s="47">
        <v>1.0640000000000001</v>
      </c>
      <c r="R412" s="47">
        <v>5.5E-2</v>
      </c>
      <c r="S412" s="32">
        <v>0.46700000000000003</v>
      </c>
      <c r="T412" s="31">
        <v>0</v>
      </c>
      <c r="V412">
        <v>410</v>
      </c>
      <c r="W412">
        <v>13</v>
      </c>
      <c r="X412">
        <v>0.45100000000000001</v>
      </c>
      <c r="Y412" s="32">
        <v>1.75</v>
      </c>
      <c r="Z412">
        <v>0</v>
      </c>
      <c r="AA412" s="32">
        <v>1.161</v>
      </c>
      <c r="AB412">
        <v>0</v>
      </c>
      <c r="AC412" s="34">
        <v>6.7000000000000004E-2</v>
      </c>
      <c r="AD412" s="32">
        <v>0.52400000000000002</v>
      </c>
    </row>
    <row r="413" spans="1:30">
      <c r="A413">
        <v>411</v>
      </c>
      <c r="B413">
        <v>14</v>
      </c>
      <c r="C413">
        <v>0.44</v>
      </c>
      <c r="D413">
        <v>1.75</v>
      </c>
      <c r="E413">
        <v>0</v>
      </c>
      <c r="F413">
        <v>1.0640000000000001</v>
      </c>
      <c r="G413">
        <v>0</v>
      </c>
      <c r="H413">
        <v>5.0999999999999997E-2</v>
      </c>
      <c r="I413">
        <v>0.48099999999999998</v>
      </c>
      <c r="K413">
        <v>411</v>
      </c>
      <c r="L413">
        <v>14</v>
      </c>
      <c r="M413" s="32">
        <v>0.44</v>
      </c>
      <c r="N413" s="32">
        <v>1.75</v>
      </c>
      <c r="P413" s="32">
        <v>1.0640000000000001</v>
      </c>
      <c r="R413" s="47">
        <v>5.5E-2</v>
      </c>
      <c r="S413" s="47">
        <v>0.46800000000000003</v>
      </c>
      <c r="T413" s="31">
        <v>0</v>
      </c>
      <c r="V413">
        <v>411</v>
      </c>
      <c r="W413">
        <v>13</v>
      </c>
      <c r="X413">
        <v>0.45200000000000001</v>
      </c>
      <c r="Y413" s="32">
        <v>1.75</v>
      </c>
      <c r="Z413">
        <v>0</v>
      </c>
      <c r="AA413" s="32">
        <v>1.161</v>
      </c>
      <c r="AB413">
        <v>0</v>
      </c>
      <c r="AC413" s="34">
        <v>6.7000000000000004E-2</v>
      </c>
      <c r="AD413" s="32">
        <v>0.52500000000000002</v>
      </c>
    </row>
    <row r="414" spans="1:30">
      <c r="A414">
        <v>412</v>
      </c>
      <c r="B414">
        <v>14</v>
      </c>
      <c r="C414">
        <v>0.441</v>
      </c>
      <c r="D414">
        <v>1.75</v>
      </c>
      <c r="E414">
        <v>0</v>
      </c>
      <c r="F414">
        <v>1.0640000000000001</v>
      </c>
      <c r="G414">
        <v>0</v>
      </c>
      <c r="H414">
        <v>5.0999999999999997E-2</v>
      </c>
      <c r="I414">
        <v>0.48199999999999998</v>
      </c>
      <c r="K414">
        <v>412</v>
      </c>
      <c r="L414">
        <v>14</v>
      </c>
      <c r="M414" s="32">
        <v>0.441</v>
      </c>
      <c r="N414" s="32">
        <v>1.75</v>
      </c>
      <c r="P414" s="47">
        <v>1.0649999999999999</v>
      </c>
      <c r="R414" s="47">
        <v>5.6000000000000001E-2</v>
      </c>
      <c r="S414" s="47">
        <v>0.46899999999999997</v>
      </c>
      <c r="T414" s="31">
        <v>0</v>
      </c>
      <c r="V414">
        <v>412</v>
      </c>
      <c r="W414">
        <v>13</v>
      </c>
      <c r="X414">
        <v>0.45300000000000001</v>
      </c>
      <c r="Y414" s="32">
        <v>1.75</v>
      </c>
      <c r="Z414">
        <v>0</v>
      </c>
      <c r="AA414" s="32">
        <v>1.1619999999999999</v>
      </c>
      <c r="AB414">
        <v>0</v>
      </c>
      <c r="AC414" s="34">
        <v>6.7000000000000004E-2</v>
      </c>
      <c r="AD414" s="32">
        <v>0.52700000000000002</v>
      </c>
    </row>
    <row r="415" spans="1:30">
      <c r="A415">
        <v>413</v>
      </c>
      <c r="B415">
        <v>14</v>
      </c>
      <c r="C415">
        <v>0.442</v>
      </c>
      <c r="D415">
        <v>1.75</v>
      </c>
      <c r="E415">
        <v>0</v>
      </c>
      <c r="F415">
        <v>1.0640000000000001</v>
      </c>
      <c r="G415">
        <v>0</v>
      </c>
      <c r="H415">
        <v>5.0999999999999997E-2</v>
      </c>
      <c r="I415">
        <v>0.48299999999999998</v>
      </c>
      <c r="K415">
        <v>413</v>
      </c>
      <c r="L415">
        <v>14</v>
      </c>
      <c r="M415" s="32">
        <v>0.442</v>
      </c>
      <c r="N415" s="32">
        <v>1.75</v>
      </c>
      <c r="P415" s="47">
        <v>1.0649999999999999</v>
      </c>
      <c r="R415" s="47">
        <v>5.6000000000000001E-2</v>
      </c>
      <c r="S415" s="47">
        <v>0.47099999999999997</v>
      </c>
      <c r="T415" s="31">
        <v>0</v>
      </c>
      <c r="V415">
        <v>413</v>
      </c>
      <c r="W415">
        <v>13</v>
      </c>
      <c r="X415">
        <v>0.45400000000000001</v>
      </c>
      <c r="Y415" s="32">
        <v>1.75</v>
      </c>
      <c r="Z415">
        <v>0</v>
      </c>
      <c r="AA415" s="32">
        <v>1.1619999999999999</v>
      </c>
      <c r="AB415">
        <v>0</v>
      </c>
      <c r="AC415" s="34">
        <v>6.7000000000000004E-2</v>
      </c>
      <c r="AD415" s="32">
        <v>0.52800000000000002</v>
      </c>
    </row>
    <row r="416" spans="1:30">
      <c r="A416">
        <v>414</v>
      </c>
      <c r="B416">
        <v>14</v>
      </c>
      <c r="C416">
        <v>0.443</v>
      </c>
      <c r="D416">
        <v>1.75</v>
      </c>
      <c r="E416">
        <v>0</v>
      </c>
      <c r="F416">
        <v>1.0640000000000001</v>
      </c>
      <c r="G416">
        <v>0</v>
      </c>
      <c r="H416">
        <v>5.0999999999999997E-2</v>
      </c>
      <c r="I416">
        <v>0.48499999999999999</v>
      </c>
      <c r="K416">
        <v>414</v>
      </c>
      <c r="L416">
        <v>14</v>
      </c>
      <c r="M416" s="32">
        <v>0.443</v>
      </c>
      <c r="N416" s="32">
        <v>1.75</v>
      </c>
      <c r="P416" s="47">
        <v>1.0660000000000001</v>
      </c>
      <c r="R416" s="47">
        <v>5.7000000000000002E-2</v>
      </c>
      <c r="S416" s="47">
        <v>0.47199999999999998</v>
      </c>
      <c r="T416" s="31">
        <v>0</v>
      </c>
      <c r="V416">
        <v>414</v>
      </c>
      <c r="W416">
        <v>13</v>
      </c>
      <c r="X416">
        <v>0.45500000000000002</v>
      </c>
      <c r="Y416" s="32">
        <v>1.75</v>
      </c>
      <c r="Z416">
        <v>0</v>
      </c>
      <c r="AA416" s="32">
        <v>1.1619999999999999</v>
      </c>
      <c r="AB416">
        <v>0</v>
      </c>
      <c r="AC416" s="34">
        <v>6.7000000000000004E-2</v>
      </c>
      <c r="AD416" s="32">
        <v>0.52900000000000003</v>
      </c>
    </row>
    <row r="417" spans="1:30">
      <c r="A417">
        <v>415</v>
      </c>
      <c r="B417">
        <v>14</v>
      </c>
      <c r="C417">
        <v>0.44400000000000001</v>
      </c>
      <c r="D417">
        <v>1.75</v>
      </c>
      <c r="E417">
        <v>0</v>
      </c>
      <c r="F417">
        <v>1.0640000000000001</v>
      </c>
      <c r="G417">
        <v>0</v>
      </c>
      <c r="H417">
        <v>5.0999999999999997E-2</v>
      </c>
      <c r="I417">
        <v>0.48599999999999999</v>
      </c>
      <c r="K417">
        <v>415</v>
      </c>
      <c r="L417">
        <v>14</v>
      </c>
      <c r="M417" s="32">
        <v>0.44400000000000001</v>
      </c>
      <c r="N417" s="32">
        <v>1.75</v>
      </c>
      <c r="P417" s="47">
        <v>1.0660000000000001</v>
      </c>
      <c r="R417" s="47">
        <v>5.7000000000000002E-2</v>
      </c>
      <c r="S417" s="47">
        <v>0.47299999999999998</v>
      </c>
      <c r="T417" s="31">
        <v>0</v>
      </c>
      <c r="V417">
        <v>415</v>
      </c>
      <c r="W417">
        <v>13</v>
      </c>
      <c r="X417">
        <v>0.45600000000000002</v>
      </c>
      <c r="Y417" s="32">
        <v>1.75</v>
      </c>
      <c r="Z417">
        <v>0</v>
      </c>
      <c r="AA417" s="32">
        <v>1.1619999999999999</v>
      </c>
      <c r="AB417">
        <v>0</v>
      </c>
      <c r="AC417" s="34">
        <v>6.7000000000000004E-2</v>
      </c>
      <c r="AD417" s="32">
        <v>0.53</v>
      </c>
    </row>
    <row r="418" spans="1:30">
      <c r="A418">
        <v>416</v>
      </c>
      <c r="B418">
        <v>14</v>
      </c>
      <c r="C418">
        <v>0.44500000000000001</v>
      </c>
      <c r="D418">
        <v>1.75</v>
      </c>
      <c r="E418">
        <v>0</v>
      </c>
      <c r="F418">
        <v>1.0640000000000001</v>
      </c>
      <c r="G418">
        <v>0</v>
      </c>
      <c r="H418">
        <v>5.0999999999999997E-2</v>
      </c>
      <c r="I418">
        <v>0.48699999999999999</v>
      </c>
      <c r="K418">
        <v>416</v>
      </c>
      <c r="L418">
        <v>14</v>
      </c>
      <c r="M418" s="32">
        <v>0.44500000000000001</v>
      </c>
      <c r="N418" s="32">
        <v>1.75</v>
      </c>
      <c r="P418" s="47">
        <v>1.0669999999999999</v>
      </c>
      <c r="R418" s="47">
        <v>5.8000000000000003E-2</v>
      </c>
      <c r="S418" s="47">
        <v>0.47499999999999998</v>
      </c>
      <c r="T418" s="31">
        <v>0</v>
      </c>
      <c r="V418">
        <v>416</v>
      </c>
      <c r="W418">
        <v>13</v>
      </c>
      <c r="X418">
        <v>0.45700000000000002</v>
      </c>
      <c r="Y418" s="32">
        <v>1.75</v>
      </c>
      <c r="Z418">
        <v>0</v>
      </c>
      <c r="AA418" s="32">
        <v>1.163</v>
      </c>
      <c r="AB418">
        <v>0</v>
      </c>
      <c r="AC418" s="34">
        <v>6.7000000000000004E-2</v>
      </c>
      <c r="AD418" s="32">
        <v>0.53200000000000003</v>
      </c>
    </row>
    <row r="419" spans="1:30">
      <c r="A419">
        <v>417</v>
      </c>
      <c r="B419">
        <v>14</v>
      </c>
      <c r="C419">
        <v>0.44600000000000001</v>
      </c>
      <c r="D419">
        <v>1.75</v>
      </c>
      <c r="E419">
        <v>0</v>
      </c>
      <c r="F419">
        <v>1.0640000000000001</v>
      </c>
      <c r="G419">
        <v>0</v>
      </c>
      <c r="H419">
        <v>5.0999999999999997E-2</v>
      </c>
      <c r="I419">
        <v>0.48899999999999999</v>
      </c>
      <c r="K419">
        <v>417</v>
      </c>
      <c r="L419">
        <v>14</v>
      </c>
      <c r="M419" s="32">
        <v>0.44600000000000001</v>
      </c>
      <c r="N419" s="32">
        <v>1.75</v>
      </c>
      <c r="P419" s="47">
        <v>1.0669999999999999</v>
      </c>
      <c r="R419" s="47">
        <v>5.8000000000000003E-2</v>
      </c>
      <c r="S419" s="47">
        <v>0.47599999999999998</v>
      </c>
      <c r="T419" s="31">
        <v>0</v>
      </c>
      <c r="V419">
        <v>417</v>
      </c>
      <c r="W419">
        <v>13</v>
      </c>
      <c r="X419">
        <v>0.45800000000000002</v>
      </c>
      <c r="Y419" s="32">
        <v>1.75</v>
      </c>
      <c r="Z419">
        <v>0</v>
      </c>
      <c r="AA419" s="32">
        <v>1.163</v>
      </c>
      <c r="AB419">
        <v>0</v>
      </c>
      <c r="AC419" s="34">
        <v>6.7000000000000004E-2</v>
      </c>
      <c r="AD419" s="32">
        <v>0.53300000000000003</v>
      </c>
    </row>
    <row r="420" spans="1:30">
      <c r="A420">
        <v>418</v>
      </c>
      <c r="B420">
        <v>14</v>
      </c>
      <c r="C420">
        <v>0.44700000000000001</v>
      </c>
      <c r="D420">
        <v>1.75</v>
      </c>
      <c r="E420">
        <v>0</v>
      </c>
      <c r="F420">
        <v>1.0640000000000001</v>
      </c>
      <c r="G420">
        <v>0</v>
      </c>
      <c r="H420">
        <v>5.0999999999999997E-2</v>
      </c>
      <c r="I420">
        <v>0.49</v>
      </c>
      <c r="K420">
        <v>418</v>
      </c>
      <c r="L420">
        <v>14</v>
      </c>
      <c r="M420" s="32">
        <v>0.44700000000000001</v>
      </c>
      <c r="N420" s="32">
        <v>1.75</v>
      </c>
      <c r="P420" s="47">
        <v>1.0680000000000001</v>
      </c>
      <c r="R420" s="47">
        <v>5.8000000000000003E-2</v>
      </c>
      <c r="S420" s="47">
        <v>0.47699999999999998</v>
      </c>
      <c r="T420" s="31">
        <v>0</v>
      </c>
      <c r="V420">
        <v>418</v>
      </c>
      <c r="W420">
        <v>13</v>
      </c>
      <c r="X420">
        <v>0.45900000000000002</v>
      </c>
      <c r="Y420" s="32">
        <v>1.75</v>
      </c>
      <c r="Z420">
        <v>0</v>
      </c>
      <c r="AA420" s="32">
        <v>1.163</v>
      </c>
      <c r="AB420">
        <v>0</v>
      </c>
      <c r="AC420" s="34">
        <v>6.8000000000000005E-2</v>
      </c>
      <c r="AD420" s="32">
        <v>0.53400000000000003</v>
      </c>
    </row>
    <row r="421" spans="1:30">
      <c r="A421">
        <v>419</v>
      </c>
      <c r="B421">
        <v>14</v>
      </c>
      <c r="C421">
        <v>0.44800000000000001</v>
      </c>
      <c r="D421">
        <v>1.75</v>
      </c>
      <c r="E421">
        <v>0</v>
      </c>
      <c r="F421">
        <v>1.0640000000000001</v>
      </c>
      <c r="G421">
        <v>0</v>
      </c>
      <c r="H421">
        <v>5.0999999999999997E-2</v>
      </c>
      <c r="I421">
        <v>0.49099999999999999</v>
      </c>
      <c r="K421">
        <v>419</v>
      </c>
      <c r="L421">
        <v>14</v>
      </c>
      <c r="M421" s="32">
        <v>0.44800000000000001</v>
      </c>
      <c r="N421" s="32">
        <v>1.75</v>
      </c>
      <c r="P421" s="47">
        <v>1.0680000000000001</v>
      </c>
      <c r="R421" s="47">
        <v>5.8999999999999997E-2</v>
      </c>
      <c r="S421" s="47">
        <v>0.47799999999999998</v>
      </c>
      <c r="T421" s="31">
        <v>0</v>
      </c>
      <c r="V421">
        <v>419</v>
      </c>
      <c r="W421">
        <v>13</v>
      </c>
      <c r="X421">
        <v>0.46</v>
      </c>
      <c r="Y421" s="32">
        <v>1.75</v>
      </c>
      <c r="Z421">
        <v>0</v>
      </c>
      <c r="AA421" s="32">
        <v>1.1639999999999999</v>
      </c>
      <c r="AB421">
        <v>0</v>
      </c>
      <c r="AC421" s="34">
        <v>6.8000000000000005E-2</v>
      </c>
      <c r="AD421" s="32">
        <v>0.53600000000000003</v>
      </c>
    </row>
    <row r="422" spans="1:30">
      <c r="A422">
        <v>420</v>
      </c>
      <c r="B422">
        <v>14</v>
      </c>
      <c r="C422">
        <v>0.44900000000000001</v>
      </c>
      <c r="D422">
        <v>1.75</v>
      </c>
      <c r="E422">
        <v>0</v>
      </c>
      <c r="F422">
        <v>1.0640000000000001</v>
      </c>
      <c r="G422">
        <v>0</v>
      </c>
      <c r="H422">
        <v>5.0999999999999997E-2</v>
      </c>
      <c r="I422">
        <v>0.49199999999999999</v>
      </c>
      <c r="K422">
        <v>420</v>
      </c>
      <c r="L422">
        <v>14</v>
      </c>
      <c r="M422" s="32">
        <v>0.44900000000000001</v>
      </c>
      <c r="N422" s="32">
        <v>1.75</v>
      </c>
      <c r="P422" s="47">
        <v>1.069</v>
      </c>
      <c r="R422" s="47">
        <v>5.8999999999999997E-2</v>
      </c>
      <c r="S422" s="47">
        <v>0.48</v>
      </c>
      <c r="T422" s="31">
        <v>0</v>
      </c>
      <c r="V422">
        <v>420</v>
      </c>
      <c r="W422">
        <v>13</v>
      </c>
      <c r="X422">
        <v>0.46100000000000002</v>
      </c>
      <c r="Y422" s="32">
        <v>1.75</v>
      </c>
      <c r="Z422">
        <v>0</v>
      </c>
      <c r="AA422" s="32">
        <v>1.1639999999999999</v>
      </c>
      <c r="AB422">
        <v>0</v>
      </c>
      <c r="AC422" s="34">
        <v>6.8000000000000005E-2</v>
      </c>
      <c r="AD422" s="32">
        <v>0.53700000000000003</v>
      </c>
    </row>
    <row r="423" spans="1:30">
      <c r="A423">
        <v>421</v>
      </c>
      <c r="B423">
        <v>14</v>
      </c>
      <c r="C423">
        <v>0.45</v>
      </c>
      <c r="D423">
        <v>1.75</v>
      </c>
      <c r="E423">
        <v>0</v>
      </c>
      <c r="F423">
        <v>1.069</v>
      </c>
      <c r="G423">
        <v>0</v>
      </c>
      <c r="H423">
        <v>5.0999999999999997E-2</v>
      </c>
      <c r="I423">
        <v>0.50700000000000001</v>
      </c>
      <c r="K423">
        <v>421</v>
      </c>
      <c r="L423">
        <v>14</v>
      </c>
      <c r="M423" s="32">
        <v>0.45</v>
      </c>
      <c r="N423" s="32">
        <v>1.75</v>
      </c>
      <c r="P423" s="32">
        <v>1.069</v>
      </c>
      <c r="R423" s="47">
        <v>0.06</v>
      </c>
      <c r="S423" s="47">
        <v>0.48099999999999998</v>
      </c>
      <c r="T423" s="31">
        <v>0</v>
      </c>
      <c r="V423">
        <v>421</v>
      </c>
      <c r="W423">
        <v>13</v>
      </c>
      <c r="X423">
        <v>0.46200000000000002</v>
      </c>
      <c r="Y423" s="32">
        <v>1.75</v>
      </c>
      <c r="Z423">
        <v>0</v>
      </c>
      <c r="AA423" s="32">
        <v>1.1639999999999999</v>
      </c>
      <c r="AB423">
        <v>0</v>
      </c>
      <c r="AC423" s="34">
        <v>6.8000000000000005E-2</v>
      </c>
      <c r="AD423" s="32">
        <v>0.53800000000000003</v>
      </c>
    </row>
    <row r="424" spans="1:30">
      <c r="A424">
        <v>422</v>
      </c>
      <c r="B424">
        <v>14</v>
      </c>
      <c r="C424">
        <v>0.45100000000000001</v>
      </c>
      <c r="D424">
        <v>1.75</v>
      </c>
      <c r="E424">
        <v>0</v>
      </c>
      <c r="F424">
        <v>1.069</v>
      </c>
      <c r="G424">
        <v>0</v>
      </c>
      <c r="H424">
        <v>5.0999999999999997E-2</v>
      </c>
      <c r="I424">
        <v>0.50800000000000001</v>
      </c>
      <c r="K424">
        <v>422</v>
      </c>
      <c r="L424">
        <v>14</v>
      </c>
      <c r="M424" s="32">
        <v>0.45100000000000001</v>
      </c>
      <c r="N424" s="32">
        <v>1.75</v>
      </c>
      <c r="P424" s="32">
        <v>1.069</v>
      </c>
      <c r="R424" s="47">
        <v>0.06</v>
      </c>
      <c r="S424" s="47">
        <v>0.48199999999999998</v>
      </c>
      <c r="T424" s="31">
        <v>0</v>
      </c>
      <c r="V424">
        <v>422</v>
      </c>
      <c r="W424">
        <v>13</v>
      </c>
      <c r="X424">
        <v>0.46300000000000002</v>
      </c>
      <c r="Y424" s="32">
        <v>1.75</v>
      </c>
      <c r="Z424">
        <v>0</v>
      </c>
      <c r="AA424" s="32">
        <v>1.1639999999999999</v>
      </c>
      <c r="AB424">
        <v>0</v>
      </c>
      <c r="AC424" s="34">
        <v>6.8000000000000005E-2</v>
      </c>
      <c r="AD424" s="32">
        <v>0.53900000000000003</v>
      </c>
    </row>
    <row r="425" spans="1:30">
      <c r="A425">
        <v>423</v>
      </c>
      <c r="B425">
        <v>14</v>
      </c>
      <c r="C425">
        <v>0.45200000000000001</v>
      </c>
      <c r="D425">
        <v>1.75</v>
      </c>
      <c r="E425">
        <v>0</v>
      </c>
      <c r="F425">
        <v>1.069</v>
      </c>
      <c r="G425">
        <v>0</v>
      </c>
      <c r="H425">
        <v>5.0999999999999997E-2</v>
      </c>
      <c r="I425">
        <v>0.50900000000000001</v>
      </c>
      <c r="K425">
        <v>423</v>
      </c>
      <c r="L425">
        <v>14</v>
      </c>
      <c r="M425" s="32">
        <v>0.45200000000000001</v>
      </c>
      <c r="N425" s="32">
        <v>1.75</v>
      </c>
      <c r="P425" s="47">
        <v>1.07</v>
      </c>
      <c r="R425" s="47">
        <v>6.0999999999999999E-2</v>
      </c>
      <c r="S425" s="47">
        <v>0.48399999999999999</v>
      </c>
      <c r="T425" s="31">
        <v>0</v>
      </c>
      <c r="V425">
        <v>423</v>
      </c>
      <c r="W425">
        <v>13</v>
      </c>
      <c r="X425">
        <v>0.46400000000000002</v>
      </c>
      <c r="Y425" s="32">
        <v>1.75</v>
      </c>
      <c r="Z425">
        <v>0</v>
      </c>
      <c r="AA425" s="32">
        <v>1.165</v>
      </c>
      <c r="AB425">
        <v>0</v>
      </c>
      <c r="AC425" s="34">
        <v>6.8000000000000005E-2</v>
      </c>
      <c r="AD425" s="32">
        <v>0.54100000000000004</v>
      </c>
    </row>
    <row r="426" spans="1:30">
      <c r="A426">
        <v>424</v>
      </c>
      <c r="B426">
        <v>14</v>
      </c>
      <c r="C426">
        <v>0.45300000000000001</v>
      </c>
      <c r="D426">
        <v>1.75</v>
      </c>
      <c r="E426">
        <v>0</v>
      </c>
      <c r="F426">
        <v>1.069</v>
      </c>
      <c r="G426">
        <v>0</v>
      </c>
      <c r="H426">
        <v>5.0999999999999997E-2</v>
      </c>
      <c r="I426">
        <v>0.51100000000000001</v>
      </c>
      <c r="K426">
        <v>424</v>
      </c>
      <c r="L426">
        <v>14</v>
      </c>
      <c r="M426" s="32">
        <v>0.45300000000000001</v>
      </c>
      <c r="N426" s="32">
        <v>1.75</v>
      </c>
      <c r="P426" s="47">
        <v>1.07</v>
      </c>
      <c r="R426" s="47">
        <v>6.0999999999999999E-2</v>
      </c>
      <c r="S426" s="47">
        <v>0.48499999999999999</v>
      </c>
      <c r="T426" s="31">
        <v>0</v>
      </c>
      <c r="V426">
        <v>424</v>
      </c>
      <c r="W426">
        <v>14</v>
      </c>
      <c r="X426">
        <v>0.46500000000000002</v>
      </c>
      <c r="Y426" s="32">
        <v>1.75</v>
      </c>
      <c r="Z426">
        <v>0</v>
      </c>
      <c r="AA426" s="32">
        <v>1.165</v>
      </c>
      <c r="AB426">
        <v>0</v>
      </c>
      <c r="AC426" s="34">
        <v>6.8000000000000005E-2</v>
      </c>
      <c r="AD426" s="32">
        <v>0.54200000000000004</v>
      </c>
    </row>
    <row r="427" spans="1:30">
      <c r="A427">
        <v>425</v>
      </c>
      <c r="B427">
        <v>14</v>
      </c>
      <c r="C427">
        <v>0.45400000000000001</v>
      </c>
      <c r="D427">
        <v>1.75</v>
      </c>
      <c r="E427">
        <v>0</v>
      </c>
      <c r="F427">
        <v>1.069</v>
      </c>
      <c r="G427">
        <v>0</v>
      </c>
      <c r="H427">
        <v>5.0999999999999997E-2</v>
      </c>
      <c r="I427">
        <v>0.51200000000000001</v>
      </c>
      <c r="K427">
        <v>425</v>
      </c>
      <c r="L427">
        <v>14</v>
      </c>
      <c r="M427" s="32">
        <v>0.45400000000000001</v>
      </c>
      <c r="N427" s="32">
        <v>1.75</v>
      </c>
      <c r="P427" s="47">
        <v>1.071</v>
      </c>
      <c r="R427" s="47">
        <v>6.0999999999999999E-2</v>
      </c>
      <c r="S427" s="47">
        <v>0.48599999999999999</v>
      </c>
      <c r="T427" s="31">
        <v>0</v>
      </c>
      <c r="V427">
        <v>425</v>
      </c>
      <c r="W427">
        <v>14</v>
      </c>
      <c r="X427">
        <v>0.46600000000000003</v>
      </c>
      <c r="Y427" s="32">
        <v>1.75</v>
      </c>
      <c r="Z427">
        <v>0</v>
      </c>
      <c r="AA427" s="32">
        <v>1.165</v>
      </c>
      <c r="AB427">
        <v>0</v>
      </c>
      <c r="AC427" s="34">
        <v>6.8000000000000005E-2</v>
      </c>
      <c r="AD427" s="32">
        <v>0.54300000000000004</v>
      </c>
    </row>
    <row r="428" spans="1:30">
      <c r="A428">
        <v>426</v>
      </c>
      <c r="B428">
        <v>14</v>
      </c>
      <c r="C428">
        <v>0.45500000000000002</v>
      </c>
      <c r="D428">
        <v>1.75</v>
      </c>
      <c r="E428">
        <v>0</v>
      </c>
      <c r="F428">
        <v>1.069</v>
      </c>
      <c r="G428">
        <v>0</v>
      </c>
      <c r="H428">
        <v>5.0999999999999997E-2</v>
      </c>
      <c r="I428">
        <v>0.51300000000000001</v>
      </c>
      <c r="K428">
        <v>426</v>
      </c>
      <c r="L428">
        <v>14</v>
      </c>
      <c r="M428" s="32">
        <v>0.45500000000000002</v>
      </c>
      <c r="N428" s="32">
        <v>1.75</v>
      </c>
      <c r="P428" s="47">
        <v>1.071</v>
      </c>
      <c r="R428" s="47">
        <v>6.2E-2</v>
      </c>
      <c r="S428" s="47">
        <v>0.48799999999999999</v>
      </c>
      <c r="T428" s="31">
        <v>0</v>
      </c>
      <c r="V428">
        <v>426</v>
      </c>
      <c r="W428">
        <v>14</v>
      </c>
      <c r="X428">
        <v>0.46700000000000003</v>
      </c>
      <c r="Y428" s="32">
        <v>1.75</v>
      </c>
      <c r="Z428">
        <v>0</v>
      </c>
      <c r="AA428" s="32">
        <v>1.165</v>
      </c>
      <c r="AB428">
        <v>0</v>
      </c>
      <c r="AC428" s="34">
        <v>6.8000000000000005E-2</v>
      </c>
      <c r="AD428" s="32">
        <v>0.54500000000000004</v>
      </c>
    </row>
    <row r="429" spans="1:30">
      <c r="A429">
        <v>427</v>
      </c>
      <c r="B429">
        <v>14</v>
      </c>
      <c r="C429">
        <v>0.45600000000000002</v>
      </c>
      <c r="D429">
        <v>1.75</v>
      </c>
      <c r="E429">
        <v>0</v>
      </c>
      <c r="F429">
        <v>1.069</v>
      </c>
      <c r="G429">
        <v>0</v>
      </c>
      <c r="H429">
        <v>5.0999999999999997E-2</v>
      </c>
      <c r="I429">
        <v>0.51400000000000001</v>
      </c>
      <c r="K429">
        <v>427</v>
      </c>
      <c r="L429">
        <v>14</v>
      </c>
      <c r="M429" s="32">
        <v>0.45600000000000002</v>
      </c>
      <c r="N429" s="32">
        <v>1.75</v>
      </c>
      <c r="P429" s="47">
        <v>1.071</v>
      </c>
      <c r="R429" s="47">
        <v>6.2E-2</v>
      </c>
      <c r="S429" s="47">
        <v>0.48899999999999999</v>
      </c>
      <c r="T429" s="31">
        <v>0</v>
      </c>
      <c r="V429">
        <v>427</v>
      </c>
      <c r="W429">
        <v>14</v>
      </c>
      <c r="X429">
        <v>0.46800000000000003</v>
      </c>
      <c r="Y429" s="32">
        <v>1.75</v>
      </c>
      <c r="Z429">
        <v>0</v>
      </c>
      <c r="AA429" s="32">
        <v>1.1659999999999999</v>
      </c>
      <c r="AB429">
        <v>0</v>
      </c>
      <c r="AC429" s="34">
        <v>6.8000000000000005E-2</v>
      </c>
      <c r="AD429" s="32">
        <v>0.54600000000000004</v>
      </c>
    </row>
    <row r="430" spans="1:30">
      <c r="A430">
        <v>428</v>
      </c>
      <c r="B430">
        <v>14</v>
      </c>
      <c r="C430">
        <v>0.45700000000000002</v>
      </c>
      <c r="D430">
        <v>1.75</v>
      </c>
      <c r="E430">
        <v>0</v>
      </c>
      <c r="F430">
        <v>1.069</v>
      </c>
      <c r="G430">
        <v>0</v>
      </c>
      <c r="H430">
        <v>5.0999999999999997E-2</v>
      </c>
      <c r="I430">
        <v>0.51600000000000001</v>
      </c>
      <c r="K430">
        <v>428</v>
      </c>
      <c r="L430">
        <v>14</v>
      </c>
      <c r="M430" s="32">
        <v>0.45700000000000002</v>
      </c>
      <c r="N430" s="32">
        <v>1.75</v>
      </c>
      <c r="P430" s="47">
        <v>1.0720000000000001</v>
      </c>
      <c r="R430" s="47">
        <v>6.3E-2</v>
      </c>
      <c r="S430" s="47">
        <v>0.49</v>
      </c>
      <c r="T430" s="31">
        <v>0</v>
      </c>
      <c r="V430">
        <v>428</v>
      </c>
      <c r="W430">
        <v>14</v>
      </c>
      <c r="X430">
        <v>0.46899999999999997</v>
      </c>
      <c r="Y430" s="32">
        <v>1.75</v>
      </c>
      <c r="Z430">
        <v>0</v>
      </c>
      <c r="AA430" s="32">
        <v>1.1659999999999999</v>
      </c>
      <c r="AB430">
        <v>0</v>
      </c>
      <c r="AC430" s="34">
        <v>6.8000000000000005E-2</v>
      </c>
      <c r="AD430" s="32">
        <v>0.54700000000000004</v>
      </c>
    </row>
    <row r="431" spans="1:30">
      <c r="A431">
        <v>429</v>
      </c>
      <c r="B431">
        <v>14</v>
      </c>
      <c r="C431">
        <v>0.45800000000000002</v>
      </c>
      <c r="D431">
        <v>1.75</v>
      </c>
      <c r="E431">
        <v>0</v>
      </c>
      <c r="F431">
        <v>1.069</v>
      </c>
      <c r="G431">
        <v>0</v>
      </c>
      <c r="H431">
        <v>5.0999999999999997E-2</v>
      </c>
      <c r="I431">
        <v>0.51700000000000002</v>
      </c>
      <c r="K431">
        <v>429</v>
      </c>
      <c r="L431">
        <v>14</v>
      </c>
      <c r="M431" s="32">
        <v>0.45800000000000002</v>
      </c>
      <c r="N431" s="32">
        <v>1.75</v>
      </c>
      <c r="P431" s="47">
        <v>1.0720000000000001</v>
      </c>
      <c r="R431" s="47">
        <v>6.3E-2</v>
      </c>
      <c r="S431" s="47">
        <v>0.49099999999999999</v>
      </c>
      <c r="T431" s="31">
        <v>0</v>
      </c>
      <c r="V431">
        <v>429</v>
      </c>
      <c r="W431">
        <v>14</v>
      </c>
      <c r="X431">
        <v>0.47</v>
      </c>
      <c r="Y431" s="32">
        <v>1.75</v>
      </c>
      <c r="Z431">
        <v>0</v>
      </c>
      <c r="AA431" s="32">
        <v>1.1659999999999999</v>
      </c>
      <c r="AB431">
        <v>0</v>
      </c>
      <c r="AC431" s="34">
        <v>6.9000000000000006E-2</v>
      </c>
      <c r="AD431" s="32">
        <v>0.54800000000000004</v>
      </c>
    </row>
    <row r="432" spans="1:30">
      <c r="A432">
        <v>430</v>
      </c>
      <c r="B432">
        <v>14</v>
      </c>
      <c r="C432">
        <v>0.45900000000000002</v>
      </c>
      <c r="D432">
        <v>1.75</v>
      </c>
      <c r="E432">
        <v>0</v>
      </c>
      <c r="F432">
        <v>1.069</v>
      </c>
      <c r="G432">
        <v>0</v>
      </c>
      <c r="H432">
        <v>5.0999999999999997E-2</v>
      </c>
      <c r="I432">
        <v>0.51800000000000002</v>
      </c>
      <c r="K432">
        <v>430</v>
      </c>
      <c r="L432">
        <v>14</v>
      </c>
      <c r="M432" s="32">
        <v>0.45900000000000002</v>
      </c>
      <c r="N432" s="32">
        <v>1.75</v>
      </c>
      <c r="P432" s="47">
        <v>1.073</v>
      </c>
      <c r="R432" s="47">
        <v>6.4000000000000001E-2</v>
      </c>
      <c r="S432" s="47">
        <v>0.49299999999999999</v>
      </c>
      <c r="T432" s="31">
        <v>0</v>
      </c>
      <c r="V432">
        <v>430</v>
      </c>
      <c r="W432">
        <v>14</v>
      </c>
      <c r="X432">
        <v>0.47099999999999997</v>
      </c>
      <c r="Y432" s="32">
        <v>1.75</v>
      </c>
      <c r="Z432">
        <v>0</v>
      </c>
      <c r="AA432" s="32">
        <v>1.1659999999999999</v>
      </c>
      <c r="AB432">
        <v>0</v>
      </c>
      <c r="AC432" s="34">
        <v>6.9000000000000006E-2</v>
      </c>
      <c r="AD432" s="32">
        <v>0.55000000000000004</v>
      </c>
    </row>
    <row r="433" spans="1:30">
      <c r="A433">
        <v>431</v>
      </c>
      <c r="B433">
        <v>14</v>
      </c>
      <c r="C433">
        <v>0.46</v>
      </c>
      <c r="D433">
        <v>1.75</v>
      </c>
      <c r="E433">
        <v>0</v>
      </c>
      <c r="F433">
        <v>1.069</v>
      </c>
      <c r="G433">
        <v>0</v>
      </c>
      <c r="H433">
        <v>5.0999999999999997E-2</v>
      </c>
      <c r="I433">
        <v>0.52</v>
      </c>
      <c r="K433">
        <v>431</v>
      </c>
      <c r="L433">
        <v>14</v>
      </c>
      <c r="M433" s="32">
        <v>0.46</v>
      </c>
      <c r="N433" s="32">
        <v>1.75</v>
      </c>
      <c r="P433" s="47">
        <v>1.073</v>
      </c>
      <c r="R433" s="47">
        <v>6.4000000000000001E-2</v>
      </c>
      <c r="S433" s="47">
        <v>0.49399999999999999</v>
      </c>
      <c r="T433" s="31">
        <v>0</v>
      </c>
      <c r="V433">
        <v>431</v>
      </c>
      <c r="W433">
        <v>14</v>
      </c>
      <c r="X433">
        <v>0.47199999999999998</v>
      </c>
      <c r="Y433" s="32">
        <v>1.75</v>
      </c>
      <c r="Z433">
        <v>0</v>
      </c>
      <c r="AA433" s="32">
        <v>1.1659999999999999</v>
      </c>
      <c r="AB433">
        <v>0</v>
      </c>
      <c r="AC433" s="34">
        <v>6.9000000000000006E-2</v>
      </c>
      <c r="AD433" s="32">
        <v>0.55100000000000005</v>
      </c>
    </row>
    <row r="434" spans="1:30">
      <c r="A434">
        <v>432</v>
      </c>
      <c r="B434">
        <v>14</v>
      </c>
      <c r="C434">
        <v>0.46100000000000002</v>
      </c>
      <c r="D434">
        <v>1.75</v>
      </c>
      <c r="E434">
        <v>0</v>
      </c>
      <c r="F434">
        <v>1.073</v>
      </c>
      <c r="G434">
        <v>0</v>
      </c>
      <c r="H434">
        <v>5.0999999999999997E-2</v>
      </c>
      <c r="I434">
        <v>0.53400000000000003</v>
      </c>
      <c r="K434">
        <v>432</v>
      </c>
      <c r="L434">
        <v>14</v>
      </c>
      <c r="M434" s="32">
        <v>0.46100000000000002</v>
      </c>
      <c r="N434" s="32">
        <v>1.75</v>
      </c>
      <c r="P434" s="47">
        <v>1.0740000000000001</v>
      </c>
      <c r="R434" s="47">
        <v>6.4000000000000001E-2</v>
      </c>
      <c r="S434" s="47">
        <v>0.495</v>
      </c>
      <c r="T434" s="31">
        <v>0</v>
      </c>
      <c r="V434">
        <v>432</v>
      </c>
      <c r="W434">
        <v>14</v>
      </c>
      <c r="X434">
        <v>0.47299999999999998</v>
      </c>
      <c r="Y434" s="32">
        <v>1.75</v>
      </c>
      <c r="Z434">
        <v>0</v>
      </c>
      <c r="AA434" s="32">
        <v>1.167</v>
      </c>
      <c r="AB434">
        <v>0</v>
      </c>
      <c r="AC434" s="34">
        <v>6.9000000000000006E-2</v>
      </c>
      <c r="AD434" s="32">
        <v>0.55200000000000005</v>
      </c>
    </row>
    <row r="435" spans="1:30">
      <c r="A435">
        <v>433</v>
      </c>
      <c r="B435">
        <v>14</v>
      </c>
      <c r="C435">
        <v>0.46200000000000002</v>
      </c>
      <c r="D435">
        <v>1.75</v>
      </c>
      <c r="E435">
        <v>0</v>
      </c>
      <c r="F435">
        <v>1.073</v>
      </c>
      <c r="G435">
        <v>0</v>
      </c>
      <c r="H435">
        <v>5.0999999999999997E-2</v>
      </c>
      <c r="I435">
        <v>0.53500000000000003</v>
      </c>
      <c r="K435">
        <v>433</v>
      </c>
      <c r="L435">
        <v>14</v>
      </c>
      <c r="M435" s="32">
        <v>0.46200000000000002</v>
      </c>
      <c r="N435" s="32">
        <v>1.75</v>
      </c>
      <c r="P435" s="47">
        <v>1.0740000000000001</v>
      </c>
      <c r="R435" s="47">
        <v>6.5000000000000002E-2</v>
      </c>
      <c r="S435" s="47">
        <v>0.497</v>
      </c>
      <c r="T435" s="31">
        <v>0</v>
      </c>
      <c r="V435">
        <v>433</v>
      </c>
      <c r="W435">
        <v>14</v>
      </c>
      <c r="X435">
        <v>0.47399999999999998</v>
      </c>
      <c r="Y435" s="32">
        <v>1.75</v>
      </c>
      <c r="Z435">
        <v>0</v>
      </c>
      <c r="AA435" s="32">
        <v>1.167</v>
      </c>
      <c r="AB435">
        <v>0</v>
      </c>
      <c r="AC435" s="34">
        <v>6.9000000000000006E-2</v>
      </c>
      <c r="AD435" s="32">
        <v>0.55300000000000005</v>
      </c>
    </row>
    <row r="436" spans="1:30">
      <c r="A436">
        <v>434</v>
      </c>
      <c r="B436">
        <v>14</v>
      </c>
      <c r="C436">
        <v>0.46300000000000002</v>
      </c>
      <c r="D436">
        <v>1.75</v>
      </c>
      <c r="E436">
        <v>0</v>
      </c>
      <c r="F436">
        <v>1.073</v>
      </c>
      <c r="G436">
        <v>0</v>
      </c>
      <c r="H436">
        <v>5.0999999999999997E-2</v>
      </c>
      <c r="I436">
        <v>0.53600000000000003</v>
      </c>
      <c r="K436">
        <v>434</v>
      </c>
      <c r="L436">
        <v>14</v>
      </c>
      <c r="M436" s="32">
        <v>0.46300000000000002</v>
      </c>
      <c r="N436" s="32">
        <v>1.75</v>
      </c>
      <c r="P436" s="47">
        <v>1.075</v>
      </c>
      <c r="R436" s="47">
        <v>6.5000000000000002E-2</v>
      </c>
      <c r="S436" s="47">
        <v>0.498</v>
      </c>
      <c r="T436" s="31">
        <v>0</v>
      </c>
      <c r="V436">
        <v>434</v>
      </c>
      <c r="W436">
        <v>14</v>
      </c>
      <c r="X436">
        <v>0.47499999999999998</v>
      </c>
      <c r="Y436" s="32">
        <v>1.75</v>
      </c>
      <c r="Z436">
        <v>0</v>
      </c>
      <c r="AA436" s="32">
        <v>1.167</v>
      </c>
      <c r="AB436">
        <v>0</v>
      </c>
      <c r="AC436" s="34">
        <v>6.9000000000000006E-2</v>
      </c>
      <c r="AD436" s="32">
        <v>0.55500000000000005</v>
      </c>
    </row>
    <row r="437" spans="1:30">
      <c r="A437">
        <v>435</v>
      </c>
      <c r="B437">
        <v>14</v>
      </c>
      <c r="C437">
        <v>0.46400000000000002</v>
      </c>
      <c r="D437">
        <v>1.75</v>
      </c>
      <c r="E437">
        <v>0</v>
      </c>
      <c r="F437">
        <v>1.073</v>
      </c>
      <c r="G437">
        <v>0</v>
      </c>
      <c r="H437">
        <v>5.0999999999999997E-2</v>
      </c>
      <c r="I437">
        <v>0.53800000000000003</v>
      </c>
      <c r="K437">
        <v>435</v>
      </c>
      <c r="L437">
        <v>14</v>
      </c>
      <c r="M437" s="32">
        <v>0.46400000000000002</v>
      </c>
      <c r="N437" s="32">
        <v>1.75</v>
      </c>
      <c r="P437" s="47">
        <v>1.075</v>
      </c>
      <c r="R437" s="47">
        <v>6.6000000000000003E-2</v>
      </c>
      <c r="S437" s="47">
        <v>0.499</v>
      </c>
      <c r="T437" s="31">
        <v>0</v>
      </c>
      <c r="V437">
        <v>435</v>
      </c>
      <c r="W437">
        <v>14</v>
      </c>
      <c r="X437">
        <v>0.47599999999999998</v>
      </c>
      <c r="Y437" s="32">
        <v>1.75</v>
      </c>
      <c r="Z437">
        <v>0</v>
      </c>
      <c r="AA437" s="32">
        <v>1.167</v>
      </c>
      <c r="AB437">
        <v>0</v>
      </c>
      <c r="AC437" s="34">
        <v>6.9000000000000006E-2</v>
      </c>
      <c r="AD437" s="32">
        <v>0.55600000000000005</v>
      </c>
    </row>
    <row r="438" spans="1:30">
      <c r="A438">
        <v>436</v>
      </c>
      <c r="B438">
        <v>14</v>
      </c>
      <c r="C438">
        <v>0.46500000000000002</v>
      </c>
      <c r="D438">
        <v>1.75</v>
      </c>
      <c r="E438">
        <v>0</v>
      </c>
      <c r="F438">
        <v>1.073</v>
      </c>
      <c r="G438">
        <v>0</v>
      </c>
      <c r="H438">
        <v>5.0999999999999997E-2</v>
      </c>
      <c r="I438">
        <v>0.53900000000000003</v>
      </c>
      <c r="K438">
        <v>436</v>
      </c>
      <c r="L438">
        <v>14</v>
      </c>
      <c r="M438" s="32">
        <v>0.46500000000000002</v>
      </c>
      <c r="N438" s="32">
        <v>1.75</v>
      </c>
      <c r="P438" s="47">
        <v>1.0760000000000001</v>
      </c>
      <c r="R438" s="47">
        <v>6.6000000000000003E-2</v>
      </c>
      <c r="S438" s="47">
        <v>0.501</v>
      </c>
      <c r="T438" s="31">
        <v>0</v>
      </c>
      <c r="V438">
        <v>436</v>
      </c>
      <c r="W438">
        <v>14</v>
      </c>
      <c r="X438">
        <v>0.47699999999999998</v>
      </c>
      <c r="Y438" s="32">
        <v>1.75</v>
      </c>
      <c r="Z438">
        <v>0</v>
      </c>
      <c r="AA438" s="32">
        <v>1.167</v>
      </c>
      <c r="AB438">
        <v>0</v>
      </c>
      <c r="AC438" s="34">
        <v>6.9000000000000006E-2</v>
      </c>
      <c r="AD438" s="32">
        <v>0.55700000000000005</v>
      </c>
    </row>
    <row r="439" spans="1:30">
      <c r="A439">
        <v>437</v>
      </c>
      <c r="B439">
        <v>14</v>
      </c>
      <c r="C439">
        <v>0.46600000000000003</v>
      </c>
      <c r="D439">
        <v>1.75</v>
      </c>
      <c r="E439">
        <v>0</v>
      </c>
      <c r="F439">
        <v>1.073</v>
      </c>
      <c r="G439">
        <v>0</v>
      </c>
      <c r="H439">
        <v>5.0999999999999997E-2</v>
      </c>
      <c r="I439">
        <v>0.54</v>
      </c>
      <c r="K439">
        <v>437</v>
      </c>
      <c r="L439">
        <v>14</v>
      </c>
      <c r="M439" s="32">
        <v>0.46600000000000003</v>
      </c>
      <c r="N439" s="32">
        <v>1.75</v>
      </c>
      <c r="P439" s="47">
        <v>1.0760000000000001</v>
      </c>
      <c r="R439" s="47">
        <v>6.7000000000000004E-2</v>
      </c>
      <c r="S439" s="47">
        <v>0.502</v>
      </c>
      <c r="T439" s="31">
        <v>0</v>
      </c>
      <c r="V439">
        <v>437</v>
      </c>
      <c r="W439">
        <v>14</v>
      </c>
      <c r="X439">
        <v>0.47799999999999998</v>
      </c>
      <c r="Y439" s="32">
        <v>1.75</v>
      </c>
      <c r="Z439">
        <v>0</v>
      </c>
      <c r="AA439" s="32">
        <v>1.1679999999999999</v>
      </c>
      <c r="AB439">
        <v>0</v>
      </c>
      <c r="AC439" s="34">
        <v>7.0000000000000007E-2</v>
      </c>
      <c r="AD439" s="32">
        <v>0.55900000000000005</v>
      </c>
    </row>
    <row r="440" spans="1:30">
      <c r="A440">
        <v>438</v>
      </c>
      <c r="B440">
        <v>14</v>
      </c>
      <c r="C440">
        <v>0.46700000000000003</v>
      </c>
      <c r="D440">
        <v>1.75</v>
      </c>
      <c r="E440">
        <v>0</v>
      </c>
      <c r="F440">
        <v>1.073</v>
      </c>
      <c r="G440">
        <v>0</v>
      </c>
      <c r="H440">
        <v>5.0999999999999997E-2</v>
      </c>
      <c r="I440">
        <v>0.54100000000000004</v>
      </c>
      <c r="K440">
        <v>438</v>
      </c>
      <c r="L440">
        <v>14</v>
      </c>
      <c r="M440" s="32">
        <v>0.46700000000000003</v>
      </c>
      <c r="N440" s="32">
        <v>1.75</v>
      </c>
      <c r="P440" s="47">
        <v>1.077</v>
      </c>
      <c r="R440" s="47">
        <v>6.7000000000000004E-2</v>
      </c>
      <c r="S440" s="47">
        <v>0.503</v>
      </c>
      <c r="T440" s="31">
        <v>0</v>
      </c>
      <c r="V440">
        <v>438</v>
      </c>
      <c r="W440">
        <v>14</v>
      </c>
      <c r="X440">
        <v>0.47899999999999998</v>
      </c>
      <c r="Y440" s="32">
        <v>1.75</v>
      </c>
      <c r="Z440">
        <v>0</v>
      </c>
      <c r="AA440" s="32">
        <v>1.1679999999999999</v>
      </c>
      <c r="AB440">
        <v>0</v>
      </c>
      <c r="AC440" s="34">
        <v>7.0000000000000007E-2</v>
      </c>
      <c r="AD440" s="32">
        <v>0.56000000000000005</v>
      </c>
    </row>
    <row r="441" spans="1:30">
      <c r="A441">
        <v>439</v>
      </c>
      <c r="B441">
        <v>14</v>
      </c>
      <c r="C441">
        <v>0.46800000000000003</v>
      </c>
      <c r="D441">
        <v>1.75</v>
      </c>
      <c r="E441">
        <v>0</v>
      </c>
      <c r="F441">
        <v>1.073</v>
      </c>
      <c r="G441">
        <v>0</v>
      </c>
      <c r="H441">
        <v>5.0999999999999997E-2</v>
      </c>
      <c r="I441">
        <v>0.54300000000000004</v>
      </c>
      <c r="K441">
        <v>439</v>
      </c>
      <c r="L441">
        <v>14</v>
      </c>
      <c r="M441" s="32">
        <v>0.46800000000000003</v>
      </c>
      <c r="N441" s="32">
        <v>1.75</v>
      </c>
      <c r="P441" s="47">
        <v>1.077</v>
      </c>
      <c r="R441" s="47">
        <v>6.7000000000000004E-2</v>
      </c>
      <c r="S441" s="47">
        <v>0.504</v>
      </c>
      <c r="T441" s="31">
        <v>0</v>
      </c>
      <c r="V441">
        <v>439</v>
      </c>
      <c r="W441">
        <v>14</v>
      </c>
      <c r="X441">
        <v>0.48</v>
      </c>
      <c r="Y441" s="32">
        <v>1.75</v>
      </c>
      <c r="Z441">
        <v>0</v>
      </c>
      <c r="AA441" s="32">
        <v>1.1679999999999999</v>
      </c>
      <c r="AB441">
        <v>0</v>
      </c>
      <c r="AC441" s="34">
        <v>7.0000000000000007E-2</v>
      </c>
      <c r="AD441" s="32">
        <v>0.56100000000000005</v>
      </c>
    </row>
    <row r="442" spans="1:30">
      <c r="A442">
        <v>440</v>
      </c>
      <c r="B442">
        <v>14</v>
      </c>
      <c r="C442">
        <v>0.46899999999999997</v>
      </c>
      <c r="D442">
        <v>1.75</v>
      </c>
      <c r="E442">
        <v>0</v>
      </c>
      <c r="F442">
        <v>1.073</v>
      </c>
      <c r="G442">
        <v>0</v>
      </c>
      <c r="H442">
        <v>5.0999999999999997E-2</v>
      </c>
      <c r="I442">
        <v>0.54400000000000004</v>
      </c>
      <c r="K442">
        <v>440</v>
      </c>
      <c r="L442">
        <v>14</v>
      </c>
      <c r="M442" s="32">
        <v>0.46899999999999997</v>
      </c>
      <c r="N442" s="32">
        <v>1.75</v>
      </c>
      <c r="P442" s="47">
        <v>1.0780000000000001</v>
      </c>
      <c r="R442" s="47">
        <v>6.8000000000000005E-2</v>
      </c>
      <c r="S442" s="47">
        <v>0.50600000000000001</v>
      </c>
      <c r="T442" s="31">
        <v>0</v>
      </c>
      <c r="V442">
        <v>440</v>
      </c>
      <c r="W442">
        <v>14</v>
      </c>
      <c r="X442">
        <v>0.48099999999999998</v>
      </c>
      <c r="Y442" s="32">
        <v>1.7609999999999999</v>
      </c>
      <c r="Z442">
        <v>0</v>
      </c>
      <c r="AA442" s="32">
        <v>1.1679999999999999</v>
      </c>
      <c r="AB442">
        <v>0</v>
      </c>
      <c r="AC442" s="34">
        <v>7.0000000000000007E-2</v>
      </c>
      <c r="AD442" s="32">
        <v>0.56200000000000006</v>
      </c>
    </row>
    <row r="443" spans="1:30">
      <c r="A443">
        <v>441</v>
      </c>
      <c r="B443">
        <v>14</v>
      </c>
      <c r="C443">
        <v>0.47</v>
      </c>
      <c r="D443">
        <v>1.75</v>
      </c>
      <c r="E443">
        <v>0</v>
      </c>
      <c r="F443">
        <v>1.0780000000000001</v>
      </c>
      <c r="G443">
        <v>0</v>
      </c>
      <c r="H443">
        <v>5.0999999999999997E-2</v>
      </c>
      <c r="I443">
        <v>0.50700000000000001</v>
      </c>
      <c r="K443">
        <v>441</v>
      </c>
      <c r="L443">
        <v>14</v>
      </c>
      <c r="M443" s="32">
        <v>0.47</v>
      </c>
      <c r="N443" s="32">
        <v>1.75</v>
      </c>
      <c r="P443" s="32">
        <v>1.0780000000000001</v>
      </c>
      <c r="R443" s="47">
        <v>6.8000000000000005E-2</v>
      </c>
      <c r="S443" s="32">
        <v>0.50700000000000001</v>
      </c>
      <c r="T443" s="31">
        <v>0</v>
      </c>
      <c r="V443">
        <v>441</v>
      </c>
      <c r="W443">
        <v>14</v>
      </c>
      <c r="X443">
        <v>0.48199999999999998</v>
      </c>
      <c r="Y443" s="32">
        <v>1.772</v>
      </c>
      <c r="Z443">
        <v>0</v>
      </c>
      <c r="AA443" s="32">
        <v>1.1679999999999999</v>
      </c>
      <c r="AB443">
        <v>0</v>
      </c>
      <c r="AC443" s="34">
        <v>7.0000000000000007E-2</v>
      </c>
      <c r="AD443" s="32">
        <v>0.56399999999999995</v>
      </c>
    </row>
    <row r="444" spans="1:30">
      <c r="A444">
        <v>442</v>
      </c>
      <c r="B444">
        <v>14</v>
      </c>
      <c r="C444">
        <v>0.47099999999999997</v>
      </c>
      <c r="D444">
        <v>1.75</v>
      </c>
      <c r="E444">
        <v>0</v>
      </c>
      <c r="F444">
        <v>1.0780000000000001</v>
      </c>
      <c r="G444">
        <v>0</v>
      </c>
      <c r="H444">
        <v>5.0999999999999997E-2</v>
      </c>
      <c r="I444">
        <v>0.56000000000000005</v>
      </c>
      <c r="K444">
        <v>442</v>
      </c>
      <c r="L444">
        <v>14</v>
      </c>
      <c r="M444" s="32">
        <v>0.47099999999999997</v>
      </c>
      <c r="N444" s="32">
        <v>1.75</v>
      </c>
      <c r="P444" s="47">
        <v>1.079</v>
      </c>
      <c r="R444" s="47">
        <v>6.9000000000000006E-2</v>
      </c>
      <c r="S444" s="47">
        <v>0.50800000000000001</v>
      </c>
      <c r="T444" s="31">
        <v>0</v>
      </c>
      <c r="V444">
        <v>442</v>
      </c>
      <c r="W444">
        <v>14</v>
      </c>
      <c r="X444">
        <v>0.48299999999999998</v>
      </c>
      <c r="Y444" s="32">
        <v>1.7829999999999999</v>
      </c>
      <c r="Z444">
        <v>0</v>
      </c>
      <c r="AA444" s="32">
        <v>1.169</v>
      </c>
      <c r="AB444">
        <v>0</v>
      </c>
      <c r="AC444" s="34">
        <v>7.0000000000000007E-2</v>
      </c>
      <c r="AD444" s="32">
        <v>0.56499999999999995</v>
      </c>
    </row>
    <row r="445" spans="1:30">
      <c r="A445">
        <v>443</v>
      </c>
      <c r="B445">
        <v>14</v>
      </c>
      <c r="C445">
        <v>0.47199999999999998</v>
      </c>
      <c r="D445">
        <v>1.75</v>
      </c>
      <c r="E445">
        <v>0</v>
      </c>
      <c r="F445">
        <v>1.0780000000000001</v>
      </c>
      <c r="G445">
        <v>0</v>
      </c>
      <c r="H445">
        <v>5.0999999999999997E-2</v>
      </c>
      <c r="I445">
        <v>0.56100000000000005</v>
      </c>
      <c r="K445">
        <v>443</v>
      </c>
      <c r="L445">
        <v>14</v>
      </c>
      <c r="M445" s="32">
        <v>0.47199999999999998</v>
      </c>
      <c r="N445" s="32">
        <v>1.75</v>
      </c>
      <c r="P445" s="47">
        <v>1.079</v>
      </c>
      <c r="R445" s="47">
        <v>6.9000000000000006E-2</v>
      </c>
      <c r="S445" s="47">
        <v>0.51</v>
      </c>
      <c r="T445" s="31">
        <v>0</v>
      </c>
      <c r="V445">
        <v>443</v>
      </c>
      <c r="W445">
        <v>14</v>
      </c>
      <c r="X445">
        <v>0.48399999999999999</v>
      </c>
      <c r="Y445" s="32">
        <v>1.794</v>
      </c>
      <c r="Z445">
        <v>0</v>
      </c>
      <c r="AA445" s="32">
        <v>1.169</v>
      </c>
      <c r="AB445">
        <v>0</v>
      </c>
      <c r="AC445" s="34">
        <v>7.0000000000000007E-2</v>
      </c>
      <c r="AD445" s="32">
        <v>0.56599999999999995</v>
      </c>
    </row>
    <row r="446" spans="1:30">
      <c r="A446">
        <v>444</v>
      </c>
      <c r="B446">
        <v>14</v>
      </c>
      <c r="C446">
        <v>0.47299999999999998</v>
      </c>
      <c r="D446">
        <v>1.75</v>
      </c>
      <c r="E446">
        <v>0</v>
      </c>
      <c r="F446">
        <v>1.0780000000000001</v>
      </c>
      <c r="G446">
        <v>0</v>
      </c>
      <c r="H446">
        <v>5.0999999999999997E-2</v>
      </c>
      <c r="I446">
        <v>0.56200000000000006</v>
      </c>
      <c r="K446">
        <v>444</v>
      </c>
      <c r="L446">
        <v>14</v>
      </c>
      <c r="M446" s="32">
        <v>0.47299999999999998</v>
      </c>
      <c r="N446" s="32">
        <v>1.75</v>
      </c>
      <c r="P446" s="47">
        <v>1.08</v>
      </c>
      <c r="R446" s="47">
        <v>7.0000000000000007E-2</v>
      </c>
      <c r="S446" s="47">
        <v>0.51100000000000001</v>
      </c>
      <c r="T446" s="31">
        <v>0</v>
      </c>
      <c r="V446">
        <v>444</v>
      </c>
      <c r="W446">
        <v>14</v>
      </c>
      <c r="X446">
        <v>0.48499999999999999</v>
      </c>
      <c r="Y446" s="32">
        <v>1.8049999999999999</v>
      </c>
      <c r="Z446">
        <v>0</v>
      </c>
      <c r="AA446" s="32">
        <v>1.169</v>
      </c>
      <c r="AB446">
        <v>0</v>
      </c>
      <c r="AC446" s="34">
        <v>7.0000000000000007E-2</v>
      </c>
      <c r="AD446" s="32">
        <v>0.56699999999999995</v>
      </c>
    </row>
    <row r="447" spans="1:30">
      <c r="A447">
        <v>445</v>
      </c>
      <c r="B447">
        <v>14</v>
      </c>
      <c r="C447">
        <v>0.47399999999999998</v>
      </c>
      <c r="D447">
        <v>1.75</v>
      </c>
      <c r="E447">
        <v>0</v>
      </c>
      <c r="F447">
        <v>1.0780000000000001</v>
      </c>
      <c r="G447">
        <v>0</v>
      </c>
      <c r="H447">
        <v>5.0999999999999997E-2</v>
      </c>
      <c r="I447">
        <v>0.56299999999999994</v>
      </c>
      <c r="K447">
        <v>445</v>
      </c>
      <c r="L447">
        <v>14</v>
      </c>
      <c r="M447" s="32">
        <v>0.47399999999999998</v>
      </c>
      <c r="N447" s="32">
        <v>1.75</v>
      </c>
      <c r="P447" s="47">
        <v>1.08</v>
      </c>
      <c r="R447" s="47">
        <v>7.0000000000000007E-2</v>
      </c>
      <c r="S447" s="47">
        <v>0.51200000000000001</v>
      </c>
      <c r="T447" s="31">
        <v>0</v>
      </c>
      <c r="V447">
        <v>445</v>
      </c>
      <c r="W447">
        <v>14</v>
      </c>
      <c r="X447">
        <v>0.48599999999999999</v>
      </c>
      <c r="Y447" s="32">
        <v>1.8160000000000001</v>
      </c>
      <c r="Z447">
        <v>0</v>
      </c>
      <c r="AA447" s="32">
        <v>1.169</v>
      </c>
      <c r="AB447">
        <v>0</v>
      </c>
      <c r="AC447" s="34">
        <v>7.0000000000000007E-2</v>
      </c>
      <c r="AD447" s="32">
        <v>0.56899999999999995</v>
      </c>
    </row>
    <row r="448" spans="1:30">
      <c r="A448">
        <v>446</v>
      </c>
      <c r="B448">
        <v>14</v>
      </c>
      <c r="C448">
        <v>0.47499999999999998</v>
      </c>
      <c r="D448">
        <v>1.75</v>
      </c>
      <c r="E448">
        <v>0</v>
      </c>
      <c r="F448">
        <v>1.0780000000000001</v>
      </c>
      <c r="G448">
        <v>0</v>
      </c>
      <c r="H448">
        <v>5.0999999999999997E-2</v>
      </c>
      <c r="I448">
        <v>0.56499999999999995</v>
      </c>
      <c r="K448">
        <v>446</v>
      </c>
      <c r="L448">
        <v>14</v>
      </c>
      <c r="M448" s="32">
        <v>0.47499999999999998</v>
      </c>
      <c r="N448" s="32">
        <v>1.75</v>
      </c>
      <c r="P448" s="47">
        <v>1.081</v>
      </c>
      <c r="R448" s="47">
        <v>7.0999999999999994E-2</v>
      </c>
      <c r="S448" s="47">
        <v>0.51400000000000001</v>
      </c>
      <c r="T448" s="31">
        <v>0</v>
      </c>
      <c r="V448">
        <v>446</v>
      </c>
      <c r="W448">
        <v>14</v>
      </c>
      <c r="X448">
        <v>0.48699999999999999</v>
      </c>
      <c r="Y448" s="32">
        <v>1.827</v>
      </c>
      <c r="Z448">
        <v>0</v>
      </c>
      <c r="AA448" s="32">
        <v>1.169</v>
      </c>
      <c r="AB448">
        <v>0</v>
      </c>
      <c r="AC448" s="34">
        <v>7.0999999999999994E-2</v>
      </c>
      <c r="AD448" s="32">
        <v>0.56999999999999995</v>
      </c>
    </row>
    <row r="449" spans="1:30">
      <c r="A449">
        <v>447</v>
      </c>
      <c r="B449">
        <v>14</v>
      </c>
      <c r="C449">
        <v>0.47599999999999998</v>
      </c>
      <c r="D449">
        <v>1.75</v>
      </c>
      <c r="E449">
        <v>0</v>
      </c>
      <c r="F449">
        <v>1.0780000000000001</v>
      </c>
      <c r="G449">
        <v>0</v>
      </c>
      <c r="H449">
        <v>5.0999999999999997E-2</v>
      </c>
      <c r="I449">
        <v>0.56599999999999995</v>
      </c>
      <c r="K449">
        <v>447</v>
      </c>
      <c r="L449">
        <v>14</v>
      </c>
      <c r="M449" s="32">
        <v>0.47599999999999998</v>
      </c>
      <c r="N449" s="32">
        <v>1.75</v>
      </c>
      <c r="P449" s="47">
        <v>1.081</v>
      </c>
      <c r="R449" s="47">
        <v>7.0999999999999994E-2</v>
      </c>
      <c r="S449" s="47">
        <v>0.51500000000000001</v>
      </c>
      <c r="T449" s="31">
        <v>0</v>
      </c>
      <c r="V449">
        <v>447</v>
      </c>
      <c r="W449">
        <v>14</v>
      </c>
      <c r="X449">
        <v>0.48799999999999999</v>
      </c>
      <c r="Y449" s="32">
        <v>1.8380000000000001</v>
      </c>
      <c r="Z449">
        <v>0</v>
      </c>
      <c r="AA449" s="32">
        <v>1.17</v>
      </c>
      <c r="AB449">
        <v>0</v>
      </c>
      <c r="AC449" s="34">
        <v>7.0999999999999994E-2</v>
      </c>
      <c r="AD449" s="32">
        <v>0.57099999999999995</v>
      </c>
    </row>
    <row r="450" spans="1:30">
      <c r="A450">
        <v>448</v>
      </c>
      <c r="B450">
        <v>14</v>
      </c>
      <c r="C450">
        <v>0.47699999999999998</v>
      </c>
      <c r="D450">
        <v>1.75</v>
      </c>
      <c r="E450">
        <v>0</v>
      </c>
      <c r="F450">
        <v>1.0780000000000001</v>
      </c>
      <c r="G450">
        <v>0</v>
      </c>
      <c r="H450">
        <v>5.0999999999999997E-2</v>
      </c>
      <c r="I450">
        <v>0.56699999999999995</v>
      </c>
      <c r="K450">
        <v>448</v>
      </c>
      <c r="L450">
        <v>14</v>
      </c>
      <c r="M450" s="32">
        <v>0.47699999999999998</v>
      </c>
      <c r="N450" s="32">
        <v>1.75</v>
      </c>
      <c r="P450" s="47">
        <v>1.0820000000000001</v>
      </c>
      <c r="R450" s="47">
        <v>7.0999999999999994E-2</v>
      </c>
      <c r="S450" s="47">
        <v>0.51600000000000001</v>
      </c>
      <c r="T450" s="31">
        <v>0</v>
      </c>
      <c r="V450">
        <v>448</v>
      </c>
      <c r="W450">
        <v>14</v>
      </c>
      <c r="X450">
        <v>0.48899999999999999</v>
      </c>
      <c r="Y450" s="32">
        <v>1.849</v>
      </c>
      <c r="Z450">
        <v>0</v>
      </c>
      <c r="AA450" s="32">
        <v>1.17</v>
      </c>
      <c r="AB450">
        <v>0</v>
      </c>
      <c r="AC450" s="34">
        <v>7.0999999999999994E-2</v>
      </c>
      <c r="AD450" s="32">
        <v>0.57299999999999995</v>
      </c>
    </row>
    <row r="451" spans="1:30">
      <c r="A451">
        <v>449</v>
      </c>
      <c r="B451">
        <v>14</v>
      </c>
      <c r="C451">
        <v>0.47799999999999998</v>
      </c>
      <c r="D451">
        <v>1.75</v>
      </c>
      <c r="E451">
        <v>0</v>
      </c>
      <c r="F451">
        <v>1.0780000000000001</v>
      </c>
      <c r="G451">
        <v>0</v>
      </c>
      <c r="H451">
        <v>5.0999999999999997E-2</v>
      </c>
      <c r="I451">
        <v>0.56899999999999995</v>
      </c>
      <c r="K451">
        <v>449</v>
      </c>
      <c r="L451">
        <v>14</v>
      </c>
      <c r="M451" s="32">
        <v>0.47799999999999998</v>
      </c>
      <c r="N451" s="32">
        <v>1.75</v>
      </c>
      <c r="P451" s="47">
        <v>1.0820000000000001</v>
      </c>
      <c r="R451" s="47">
        <v>7.1999999999999995E-2</v>
      </c>
      <c r="S451" s="47">
        <v>0.51700000000000002</v>
      </c>
      <c r="T451" s="31">
        <v>0</v>
      </c>
      <c r="V451">
        <v>449</v>
      </c>
      <c r="W451">
        <v>14</v>
      </c>
      <c r="X451">
        <v>0.49</v>
      </c>
      <c r="Y451" s="32">
        <v>1.86</v>
      </c>
      <c r="Z451">
        <v>0</v>
      </c>
      <c r="AA451" s="32">
        <v>1.17</v>
      </c>
      <c r="AB451">
        <v>0</v>
      </c>
      <c r="AC451" s="34">
        <v>7.0999999999999994E-2</v>
      </c>
      <c r="AD451" s="32">
        <v>0.57399999999999995</v>
      </c>
    </row>
    <row r="452" spans="1:30">
      <c r="A452">
        <v>450</v>
      </c>
      <c r="B452">
        <v>14</v>
      </c>
      <c r="C452">
        <v>0.47899999999999998</v>
      </c>
      <c r="D452">
        <v>1.75</v>
      </c>
      <c r="E452">
        <v>0</v>
      </c>
      <c r="F452">
        <v>1.0780000000000001</v>
      </c>
      <c r="G452">
        <v>0</v>
      </c>
      <c r="H452">
        <v>5.0999999999999997E-2</v>
      </c>
      <c r="I452">
        <v>0.56999999999999995</v>
      </c>
      <c r="K452">
        <v>450</v>
      </c>
      <c r="L452">
        <v>14</v>
      </c>
      <c r="M452" s="32">
        <v>0.47899999999999998</v>
      </c>
      <c r="N452" s="32">
        <v>1.75</v>
      </c>
      <c r="P452" s="47">
        <v>1.083</v>
      </c>
      <c r="R452" s="47">
        <v>7.1999999999999995E-2</v>
      </c>
      <c r="S452" s="47">
        <v>0.51900000000000002</v>
      </c>
      <c r="T452" s="31">
        <v>0</v>
      </c>
      <c r="V452">
        <v>450</v>
      </c>
      <c r="W452">
        <v>14</v>
      </c>
      <c r="X452">
        <v>0.49099999999999999</v>
      </c>
      <c r="Y452" s="32">
        <v>1.86</v>
      </c>
      <c r="Z452">
        <v>0</v>
      </c>
      <c r="AA452" s="32">
        <v>1.17</v>
      </c>
      <c r="AB452">
        <v>0</v>
      </c>
      <c r="AC452" s="34">
        <v>7.0999999999999994E-2</v>
      </c>
      <c r="AD452" s="32">
        <v>0.57499999999999996</v>
      </c>
    </row>
    <row r="453" spans="1:30">
      <c r="A453">
        <v>451</v>
      </c>
      <c r="B453">
        <v>14</v>
      </c>
      <c r="C453">
        <v>0.48</v>
      </c>
      <c r="D453">
        <v>1.75</v>
      </c>
      <c r="E453">
        <v>0</v>
      </c>
      <c r="F453">
        <v>1.083</v>
      </c>
      <c r="G453">
        <v>0</v>
      </c>
      <c r="H453">
        <v>5.0999999999999997E-2</v>
      </c>
      <c r="I453">
        <v>0.52</v>
      </c>
      <c r="K453">
        <v>451</v>
      </c>
      <c r="L453">
        <v>14</v>
      </c>
      <c r="M453" s="32">
        <v>0.48</v>
      </c>
      <c r="N453" s="32">
        <v>1.75</v>
      </c>
      <c r="P453" s="32">
        <v>1.083</v>
      </c>
      <c r="R453" s="47">
        <v>7.2999999999999995E-2</v>
      </c>
      <c r="S453" s="32">
        <v>0.52</v>
      </c>
      <c r="T453" s="31">
        <v>0</v>
      </c>
      <c r="V453">
        <v>451</v>
      </c>
      <c r="W453">
        <v>14</v>
      </c>
      <c r="X453">
        <v>0.49199999999999999</v>
      </c>
      <c r="Y453" s="32">
        <v>1.86</v>
      </c>
      <c r="Z453">
        <v>0</v>
      </c>
      <c r="AA453" s="32">
        <v>1.17</v>
      </c>
      <c r="AB453">
        <v>0</v>
      </c>
      <c r="AC453" s="34">
        <v>7.0999999999999994E-2</v>
      </c>
      <c r="AD453" s="32">
        <v>0.57599999999999996</v>
      </c>
    </row>
    <row r="454" spans="1:30">
      <c r="A454">
        <v>452</v>
      </c>
      <c r="B454">
        <v>14</v>
      </c>
      <c r="C454">
        <v>0.48099999999999998</v>
      </c>
      <c r="D454">
        <v>1.75</v>
      </c>
      <c r="E454">
        <v>0</v>
      </c>
      <c r="F454">
        <v>1.083</v>
      </c>
      <c r="G454">
        <v>0</v>
      </c>
      <c r="H454">
        <v>5.0999999999999997E-2</v>
      </c>
      <c r="I454">
        <v>0.58499999999999996</v>
      </c>
      <c r="K454">
        <v>452</v>
      </c>
      <c r="L454">
        <v>14</v>
      </c>
      <c r="M454" s="32">
        <v>0.48099999999999998</v>
      </c>
      <c r="N454" s="47">
        <v>1.7609999999999999</v>
      </c>
      <c r="P454" s="47">
        <v>1.0840000000000001</v>
      </c>
      <c r="R454" s="47">
        <v>7.2999999999999995E-2</v>
      </c>
      <c r="S454" s="47">
        <v>0.52100000000000002</v>
      </c>
      <c r="T454" s="31">
        <v>0</v>
      </c>
      <c r="V454">
        <v>452</v>
      </c>
      <c r="W454">
        <v>14</v>
      </c>
      <c r="X454">
        <v>0.49299999999999999</v>
      </c>
      <c r="Y454" s="32">
        <v>1.86</v>
      </c>
      <c r="Z454">
        <v>0</v>
      </c>
      <c r="AA454" s="32">
        <v>1.171</v>
      </c>
      <c r="AB454">
        <v>0</v>
      </c>
      <c r="AC454" s="34">
        <v>7.0999999999999994E-2</v>
      </c>
      <c r="AD454" s="32">
        <v>0.57799999999999996</v>
      </c>
    </row>
    <row r="455" spans="1:30">
      <c r="A455">
        <v>453</v>
      </c>
      <c r="B455">
        <v>14</v>
      </c>
      <c r="C455">
        <v>0.48199999999999998</v>
      </c>
      <c r="D455">
        <v>1.75</v>
      </c>
      <c r="E455">
        <v>0</v>
      </c>
      <c r="F455">
        <v>1.083</v>
      </c>
      <c r="G455">
        <v>0</v>
      </c>
      <c r="H455">
        <v>5.0999999999999997E-2</v>
      </c>
      <c r="I455">
        <v>0.58699999999999997</v>
      </c>
      <c r="K455">
        <v>453</v>
      </c>
      <c r="L455">
        <v>14</v>
      </c>
      <c r="M455" s="32">
        <v>0.48199999999999998</v>
      </c>
      <c r="N455" s="47">
        <v>1.772</v>
      </c>
      <c r="P455" s="47">
        <v>1.0840000000000001</v>
      </c>
      <c r="R455" s="47">
        <v>7.3999999999999996E-2</v>
      </c>
      <c r="S455" s="47">
        <v>0.52200000000000002</v>
      </c>
      <c r="T455" s="31">
        <v>0</v>
      </c>
      <c r="V455">
        <v>453</v>
      </c>
      <c r="W455">
        <v>14</v>
      </c>
      <c r="X455">
        <v>0.49399999999999999</v>
      </c>
      <c r="Y455" s="32">
        <v>1.86</v>
      </c>
      <c r="Z455">
        <v>0</v>
      </c>
      <c r="AA455" s="32">
        <v>1.171</v>
      </c>
      <c r="AB455">
        <v>0</v>
      </c>
      <c r="AC455" s="34">
        <v>7.0999999999999994E-2</v>
      </c>
      <c r="AD455" s="32">
        <v>0.57899999999999996</v>
      </c>
    </row>
    <row r="456" spans="1:30">
      <c r="A456">
        <v>454</v>
      </c>
      <c r="B456">
        <v>14</v>
      </c>
      <c r="C456">
        <v>0.48299999999999998</v>
      </c>
      <c r="D456">
        <v>1.75</v>
      </c>
      <c r="E456">
        <v>0</v>
      </c>
      <c r="F456">
        <v>1.083</v>
      </c>
      <c r="G456">
        <v>0</v>
      </c>
      <c r="H456">
        <v>5.0999999999999997E-2</v>
      </c>
      <c r="I456">
        <v>0.58799999999999997</v>
      </c>
      <c r="K456">
        <v>454</v>
      </c>
      <c r="L456">
        <v>14</v>
      </c>
      <c r="M456" s="32">
        <v>0.48299999999999998</v>
      </c>
      <c r="N456" s="47">
        <v>1.7829999999999999</v>
      </c>
      <c r="P456" s="47">
        <v>1.085</v>
      </c>
      <c r="R456" s="47">
        <v>7.3999999999999996E-2</v>
      </c>
      <c r="S456" s="47">
        <v>0.52400000000000002</v>
      </c>
      <c r="T456" s="31">
        <v>0</v>
      </c>
      <c r="V456">
        <v>454</v>
      </c>
      <c r="W456">
        <v>14</v>
      </c>
      <c r="X456">
        <v>0.495</v>
      </c>
      <c r="Y456" s="32">
        <v>1.86</v>
      </c>
      <c r="Z456">
        <v>0</v>
      </c>
      <c r="AA456" s="32">
        <v>1.171</v>
      </c>
      <c r="AB456">
        <v>0</v>
      </c>
      <c r="AC456" s="34">
        <v>7.1999999999999995E-2</v>
      </c>
      <c r="AD456" s="32">
        <v>0.57999999999999996</v>
      </c>
    </row>
    <row r="457" spans="1:30">
      <c r="A457">
        <v>455</v>
      </c>
      <c r="B457">
        <v>14</v>
      </c>
      <c r="C457">
        <v>0.48399999999999999</v>
      </c>
      <c r="D457">
        <v>1.75</v>
      </c>
      <c r="E457">
        <v>0</v>
      </c>
      <c r="F457">
        <v>1.083</v>
      </c>
      <c r="G457">
        <v>0</v>
      </c>
      <c r="H457">
        <v>5.0999999999999997E-2</v>
      </c>
      <c r="I457">
        <v>0.58899999999999997</v>
      </c>
      <c r="K457">
        <v>455</v>
      </c>
      <c r="L457">
        <v>14</v>
      </c>
      <c r="M457" s="32">
        <v>0.48399999999999999</v>
      </c>
      <c r="N457" s="47">
        <v>1.794</v>
      </c>
      <c r="P457" s="47">
        <v>1.085</v>
      </c>
      <c r="R457" s="47">
        <v>7.3999999999999996E-2</v>
      </c>
      <c r="S457" s="47">
        <v>0.52500000000000002</v>
      </c>
      <c r="T457" s="31">
        <v>0</v>
      </c>
      <c r="V457">
        <v>455</v>
      </c>
      <c r="W457">
        <v>14</v>
      </c>
      <c r="X457">
        <v>0.496</v>
      </c>
      <c r="Y457" s="32">
        <v>1.86</v>
      </c>
      <c r="Z457">
        <v>0</v>
      </c>
      <c r="AA457" s="32">
        <v>1.171</v>
      </c>
      <c r="AB457">
        <v>0</v>
      </c>
      <c r="AC457" s="34">
        <v>7.1999999999999995E-2</v>
      </c>
      <c r="AD457" s="32">
        <v>0.58099999999999996</v>
      </c>
    </row>
    <row r="458" spans="1:30">
      <c r="A458">
        <v>456</v>
      </c>
      <c r="B458">
        <v>14</v>
      </c>
      <c r="C458">
        <v>0.48499999999999999</v>
      </c>
      <c r="D458">
        <v>1.75</v>
      </c>
      <c r="E458">
        <v>0</v>
      </c>
      <c r="F458">
        <v>1.083</v>
      </c>
      <c r="G458">
        <v>0</v>
      </c>
      <c r="H458">
        <v>5.0999999999999997E-2</v>
      </c>
      <c r="I458">
        <v>0.59099999999999997</v>
      </c>
      <c r="K458">
        <v>456</v>
      </c>
      <c r="L458">
        <v>14</v>
      </c>
      <c r="M458" s="32">
        <v>0.48499999999999999</v>
      </c>
      <c r="N458" s="47">
        <v>1.8049999999999999</v>
      </c>
      <c r="P458" s="47">
        <v>1.0860000000000001</v>
      </c>
      <c r="R458" s="47">
        <v>7.4999999999999997E-2</v>
      </c>
      <c r="S458" s="47">
        <v>0.52600000000000002</v>
      </c>
      <c r="T458" s="31">
        <v>0</v>
      </c>
      <c r="V458">
        <v>456</v>
      </c>
      <c r="W458">
        <v>14</v>
      </c>
      <c r="X458">
        <v>0.497</v>
      </c>
      <c r="Y458" s="32">
        <v>1.86</v>
      </c>
      <c r="Z458">
        <v>0</v>
      </c>
      <c r="AA458" s="32">
        <v>1.1719999999999999</v>
      </c>
      <c r="AB458">
        <v>0</v>
      </c>
      <c r="AC458" s="34">
        <v>7.1999999999999995E-2</v>
      </c>
      <c r="AD458" s="32">
        <v>0.58299999999999996</v>
      </c>
    </row>
    <row r="459" spans="1:30">
      <c r="A459">
        <v>457</v>
      </c>
      <c r="B459">
        <v>14</v>
      </c>
      <c r="C459">
        <v>0.48599999999999999</v>
      </c>
      <c r="D459">
        <v>1.75</v>
      </c>
      <c r="E459">
        <v>0</v>
      </c>
      <c r="F459">
        <v>1.083</v>
      </c>
      <c r="G459">
        <v>0</v>
      </c>
      <c r="H459">
        <v>5.0999999999999997E-2</v>
      </c>
      <c r="I459">
        <v>0.59199999999999997</v>
      </c>
      <c r="K459">
        <v>457</v>
      </c>
      <c r="L459">
        <v>14</v>
      </c>
      <c r="M459" s="32">
        <v>0.48599999999999999</v>
      </c>
      <c r="N459" s="47">
        <v>1.8160000000000001</v>
      </c>
      <c r="P459" s="47">
        <v>1.0860000000000001</v>
      </c>
      <c r="R459" s="47">
        <v>7.4999999999999997E-2</v>
      </c>
      <c r="S459" s="47">
        <v>0.52700000000000002</v>
      </c>
      <c r="T459" s="31">
        <v>0</v>
      </c>
      <c r="V459">
        <v>457</v>
      </c>
      <c r="W459">
        <v>14</v>
      </c>
      <c r="X459">
        <v>0.498</v>
      </c>
      <c r="Y459" s="32">
        <v>1.86</v>
      </c>
      <c r="Z459">
        <v>0</v>
      </c>
      <c r="AA459" s="32">
        <v>1.1719999999999999</v>
      </c>
      <c r="AB459">
        <v>0</v>
      </c>
      <c r="AC459" s="34">
        <v>7.1999999999999995E-2</v>
      </c>
      <c r="AD459" s="32">
        <v>0.58399999999999996</v>
      </c>
    </row>
    <row r="460" spans="1:30">
      <c r="A460">
        <v>458</v>
      </c>
      <c r="B460">
        <v>14</v>
      </c>
      <c r="C460">
        <v>0.48699999999999999</v>
      </c>
      <c r="D460">
        <v>1.75</v>
      </c>
      <c r="E460">
        <v>0</v>
      </c>
      <c r="F460">
        <v>1.083</v>
      </c>
      <c r="G460">
        <v>0</v>
      </c>
      <c r="H460">
        <v>5.0999999999999997E-2</v>
      </c>
      <c r="I460">
        <v>0.59299999999999997</v>
      </c>
      <c r="K460">
        <v>458</v>
      </c>
      <c r="L460">
        <v>14</v>
      </c>
      <c r="M460" s="32">
        <v>0.48699999999999999</v>
      </c>
      <c r="N460" s="47">
        <v>1.827</v>
      </c>
      <c r="P460" s="47">
        <v>1.087</v>
      </c>
      <c r="R460" s="47">
        <v>7.5999999999999998E-2</v>
      </c>
      <c r="S460" s="47">
        <v>0.52800000000000002</v>
      </c>
      <c r="T460" s="31">
        <v>0</v>
      </c>
      <c r="V460">
        <v>458</v>
      </c>
      <c r="W460">
        <v>14</v>
      </c>
      <c r="X460">
        <v>0.499</v>
      </c>
      <c r="Y460" s="32">
        <v>1.86</v>
      </c>
      <c r="Z460">
        <v>0</v>
      </c>
      <c r="AA460" s="32">
        <v>1.1719999999999999</v>
      </c>
      <c r="AB460">
        <v>0</v>
      </c>
      <c r="AC460" s="34">
        <v>7.1999999999999995E-2</v>
      </c>
      <c r="AD460" s="32">
        <v>0.58499999999999996</v>
      </c>
    </row>
    <row r="461" spans="1:30">
      <c r="A461">
        <v>459</v>
      </c>
      <c r="B461">
        <v>14</v>
      </c>
      <c r="C461">
        <v>0.48799999999999999</v>
      </c>
      <c r="D461">
        <v>1.75</v>
      </c>
      <c r="E461">
        <v>0</v>
      </c>
      <c r="F461">
        <v>1.083</v>
      </c>
      <c r="G461">
        <v>0</v>
      </c>
      <c r="H461">
        <v>5.0999999999999997E-2</v>
      </c>
      <c r="I461">
        <v>0.59399999999999997</v>
      </c>
      <c r="K461">
        <v>459</v>
      </c>
      <c r="L461">
        <v>14</v>
      </c>
      <c r="M461" s="32">
        <v>0.48799999999999999</v>
      </c>
      <c r="N461" s="47">
        <v>1.8380000000000001</v>
      </c>
      <c r="P461" s="47">
        <v>1.087</v>
      </c>
      <c r="R461" s="47">
        <v>7.5999999999999998E-2</v>
      </c>
      <c r="S461" s="47">
        <v>0.53</v>
      </c>
      <c r="T461" s="31">
        <v>0</v>
      </c>
      <c r="V461">
        <v>459</v>
      </c>
      <c r="W461">
        <v>14</v>
      </c>
      <c r="X461">
        <v>0.5</v>
      </c>
      <c r="Y461" s="32">
        <v>1.86</v>
      </c>
      <c r="Z461">
        <v>0</v>
      </c>
      <c r="AA461" s="32">
        <v>1.1719999999999999</v>
      </c>
      <c r="AB461">
        <v>0</v>
      </c>
      <c r="AC461" s="34">
        <v>7.1999999999999995E-2</v>
      </c>
      <c r="AD461" s="32">
        <v>0.58599999999999997</v>
      </c>
    </row>
    <row r="462" spans="1:30">
      <c r="A462">
        <v>460</v>
      </c>
      <c r="B462">
        <v>14</v>
      </c>
      <c r="C462">
        <v>0.48899999999999999</v>
      </c>
      <c r="D462">
        <v>1.75</v>
      </c>
      <c r="E462">
        <v>0</v>
      </c>
      <c r="F462">
        <v>1.083</v>
      </c>
      <c r="G462">
        <v>0</v>
      </c>
      <c r="H462">
        <v>5.0999999999999997E-2</v>
      </c>
      <c r="I462">
        <v>0.59599999999999997</v>
      </c>
      <c r="K462">
        <v>460</v>
      </c>
      <c r="L462">
        <v>14</v>
      </c>
      <c r="M462" s="32">
        <v>0.48899999999999999</v>
      </c>
      <c r="N462" s="47">
        <v>1.849</v>
      </c>
      <c r="P462" s="47">
        <v>1.0880000000000001</v>
      </c>
      <c r="R462" s="47">
        <v>7.6999999999999999E-2</v>
      </c>
      <c r="S462" s="47">
        <v>0.53100000000000003</v>
      </c>
      <c r="T462" s="31">
        <v>0</v>
      </c>
      <c r="V462">
        <v>460</v>
      </c>
      <c r="W462">
        <v>14</v>
      </c>
      <c r="X462">
        <v>0.501</v>
      </c>
      <c r="Y462" s="32">
        <v>1.86</v>
      </c>
      <c r="Z462">
        <v>0</v>
      </c>
      <c r="AA462" s="32">
        <v>1.1719999999999999</v>
      </c>
      <c r="AB462">
        <v>0</v>
      </c>
      <c r="AC462" s="34">
        <v>7.1999999999999995E-2</v>
      </c>
      <c r="AD462" s="32">
        <v>0.58799999999999997</v>
      </c>
    </row>
    <row r="463" spans="1:30">
      <c r="A463">
        <v>461</v>
      </c>
      <c r="B463">
        <v>15</v>
      </c>
      <c r="C463">
        <v>0.49</v>
      </c>
      <c r="D463">
        <v>1.86</v>
      </c>
      <c r="E463">
        <v>0</v>
      </c>
      <c r="F463">
        <v>1.0880000000000001</v>
      </c>
      <c r="G463">
        <v>0</v>
      </c>
      <c r="H463">
        <v>7.6999999999999999E-2</v>
      </c>
      <c r="I463">
        <v>0.53200000000000003</v>
      </c>
      <c r="K463">
        <v>461</v>
      </c>
      <c r="L463">
        <v>15</v>
      </c>
      <c r="M463" s="32">
        <v>0.49</v>
      </c>
      <c r="N463" s="32">
        <v>1.86</v>
      </c>
      <c r="P463" s="32">
        <v>1.0880000000000001</v>
      </c>
      <c r="R463" s="32">
        <v>7.6999999999999999E-2</v>
      </c>
      <c r="S463" s="32">
        <v>0.53200000000000003</v>
      </c>
      <c r="T463" s="31">
        <v>0</v>
      </c>
      <c r="V463">
        <v>461</v>
      </c>
      <c r="W463">
        <v>14</v>
      </c>
      <c r="X463">
        <v>0.502</v>
      </c>
      <c r="Y463" s="32">
        <v>1.86</v>
      </c>
      <c r="Z463">
        <v>0</v>
      </c>
      <c r="AA463" s="32">
        <v>1.173</v>
      </c>
      <c r="AB463">
        <v>0</v>
      </c>
      <c r="AC463" s="34">
        <v>7.1999999999999995E-2</v>
      </c>
      <c r="AD463" s="32">
        <v>0.58899999999999997</v>
      </c>
    </row>
    <row r="464" spans="1:30">
      <c r="A464">
        <v>462</v>
      </c>
      <c r="B464">
        <v>15</v>
      </c>
      <c r="C464">
        <v>0.49099999999999999</v>
      </c>
      <c r="D464">
        <v>1.86</v>
      </c>
      <c r="E464">
        <v>0</v>
      </c>
      <c r="F464">
        <v>1.0880000000000001</v>
      </c>
      <c r="G464">
        <v>0</v>
      </c>
      <c r="H464">
        <v>7.6999999999999999E-2</v>
      </c>
      <c r="I464">
        <v>0.53300000000000003</v>
      </c>
      <c r="K464">
        <v>462</v>
      </c>
      <c r="L464">
        <v>15</v>
      </c>
      <c r="M464" s="32">
        <v>0.49099999999999999</v>
      </c>
      <c r="N464" s="32">
        <v>1.86</v>
      </c>
      <c r="P464" s="47">
        <v>1.089</v>
      </c>
      <c r="R464" s="32">
        <v>7.6999999999999999E-2</v>
      </c>
      <c r="S464" s="32">
        <v>0.53300000000000003</v>
      </c>
      <c r="T464" s="31">
        <v>0</v>
      </c>
      <c r="V464">
        <v>462</v>
      </c>
      <c r="W464">
        <v>14</v>
      </c>
      <c r="X464">
        <v>0.503</v>
      </c>
      <c r="Y464" s="32">
        <v>1.86</v>
      </c>
      <c r="Z464">
        <v>0</v>
      </c>
      <c r="AA464" s="32">
        <v>1.173</v>
      </c>
      <c r="AB464">
        <v>0</v>
      </c>
      <c r="AC464" s="34">
        <v>7.2999999999999995E-2</v>
      </c>
      <c r="AD464" s="32">
        <v>0.59</v>
      </c>
    </row>
    <row r="465" spans="1:30">
      <c r="A465">
        <v>463</v>
      </c>
      <c r="B465">
        <v>15</v>
      </c>
      <c r="C465">
        <v>0.49199999999999999</v>
      </c>
      <c r="D465">
        <v>1.86</v>
      </c>
      <c r="E465">
        <v>0</v>
      </c>
      <c r="F465">
        <v>1.089</v>
      </c>
      <c r="G465">
        <v>0</v>
      </c>
      <c r="H465">
        <v>7.6999999999999999E-2</v>
      </c>
      <c r="I465">
        <v>0.53500000000000003</v>
      </c>
      <c r="K465">
        <v>463</v>
      </c>
      <c r="L465">
        <v>15</v>
      </c>
      <c r="M465" s="32">
        <v>0.49199999999999999</v>
      </c>
      <c r="N465" s="32">
        <v>1.86</v>
      </c>
      <c r="P465" s="32">
        <v>1.089</v>
      </c>
      <c r="R465" s="32">
        <v>7.6999999999999999E-2</v>
      </c>
      <c r="S465" s="32">
        <v>0.53500000000000003</v>
      </c>
      <c r="T465" s="31">
        <v>0</v>
      </c>
      <c r="V465">
        <v>463</v>
      </c>
      <c r="W465">
        <v>14</v>
      </c>
      <c r="X465">
        <v>0.504</v>
      </c>
      <c r="Y465" s="32">
        <v>1.86</v>
      </c>
      <c r="Z465">
        <v>0</v>
      </c>
      <c r="AA465" s="32">
        <v>1.173</v>
      </c>
      <c r="AB465">
        <v>0</v>
      </c>
      <c r="AC465" s="34">
        <v>7.2999999999999995E-2</v>
      </c>
      <c r="AD465" s="32">
        <v>0.59199999999999997</v>
      </c>
    </row>
    <row r="466" spans="1:30">
      <c r="A466">
        <v>464</v>
      </c>
      <c r="B466">
        <v>15</v>
      </c>
      <c r="C466">
        <v>0.49299999999999999</v>
      </c>
      <c r="D466">
        <v>1.86</v>
      </c>
      <c r="E466">
        <v>0</v>
      </c>
      <c r="F466">
        <v>1.089</v>
      </c>
      <c r="G466">
        <v>0</v>
      </c>
      <c r="H466">
        <v>7.6999999999999999E-2</v>
      </c>
      <c r="I466">
        <v>0.53600000000000003</v>
      </c>
      <c r="K466">
        <v>464</v>
      </c>
      <c r="L466">
        <v>15</v>
      </c>
      <c r="M466" s="32">
        <v>0.49299999999999999</v>
      </c>
      <c r="N466" s="32">
        <v>1.86</v>
      </c>
      <c r="P466" s="47">
        <v>1.0900000000000001</v>
      </c>
      <c r="R466" s="32">
        <v>7.6999999999999999E-2</v>
      </c>
      <c r="S466" s="32">
        <v>0.53600000000000003</v>
      </c>
      <c r="T466" s="31">
        <v>0</v>
      </c>
      <c r="V466">
        <v>464</v>
      </c>
      <c r="W466">
        <v>14</v>
      </c>
      <c r="X466">
        <v>0.505</v>
      </c>
      <c r="Y466" s="32">
        <v>1.86</v>
      </c>
      <c r="Z466">
        <v>0</v>
      </c>
      <c r="AA466" s="32">
        <v>1.173</v>
      </c>
      <c r="AB466">
        <v>0</v>
      </c>
      <c r="AC466" s="34">
        <v>7.2999999999999995E-2</v>
      </c>
      <c r="AD466" s="32">
        <v>0.59299999999999997</v>
      </c>
    </row>
    <row r="467" spans="1:30">
      <c r="A467">
        <v>465</v>
      </c>
      <c r="B467">
        <v>15</v>
      </c>
      <c r="C467">
        <v>0.49399999999999999</v>
      </c>
      <c r="D467">
        <v>1.87</v>
      </c>
      <c r="E467">
        <v>0</v>
      </c>
      <c r="F467">
        <v>1.0900000000000001</v>
      </c>
      <c r="G467">
        <v>0</v>
      </c>
      <c r="H467">
        <v>7.6999999999999999E-2</v>
      </c>
      <c r="I467">
        <v>0.53700000000000003</v>
      </c>
      <c r="K467">
        <v>465</v>
      </c>
      <c r="L467">
        <v>15</v>
      </c>
      <c r="M467" s="32">
        <v>0.49399999999999999</v>
      </c>
      <c r="N467" s="47">
        <v>1.86</v>
      </c>
      <c r="P467" s="32">
        <v>1.0900000000000001</v>
      </c>
      <c r="R467" s="32">
        <v>7.6999999999999999E-2</v>
      </c>
      <c r="S467" s="47">
        <v>0.53800000000000003</v>
      </c>
      <c r="T467" s="31">
        <v>0</v>
      </c>
      <c r="V467">
        <v>465</v>
      </c>
      <c r="W467">
        <v>14</v>
      </c>
      <c r="X467">
        <v>0.50600000000000001</v>
      </c>
      <c r="Y467" s="32">
        <v>1.86</v>
      </c>
      <c r="Z467">
        <v>0</v>
      </c>
      <c r="AA467" s="32">
        <v>1.173</v>
      </c>
      <c r="AB467">
        <v>0</v>
      </c>
      <c r="AC467" s="34">
        <v>7.2999999999999995E-2</v>
      </c>
      <c r="AD467" s="32">
        <v>0.59399999999999997</v>
      </c>
    </row>
    <row r="468" spans="1:30">
      <c r="A468">
        <v>466</v>
      </c>
      <c r="B468">
        <v>15</v>
      </c>
      <c r="C468">
        <v>0.495</v>
      </c>
      <c r="D468">
        <v>1.87</v>
      </c>
      <c r="E468">
        <v>0</v>
      </c>
      <c r="F468">
        <v>1.0900000000000001</v>
      </c>
      <c r="G468">
        <v>0</v>
      </c>
      <c r="H468">
        <v>7.6999999999999999E-2</v>
      </c>
      <c r="I468">
        <v>0.53900000000000003</v>
      </c>
      <c r="K468">
        <v>466</v>
      </c>
      <c r="L468">
        <v>15</v>
      </c>
      <c r="M468" s="32">
        <v>0.495</v>
      </c>
      <c r="N468" s="47">
        <v>1.86</v>
      </c>
      <c r="P468" s="47">
        <v>1.091</v>
      </c>
      <c r="R468" s="32">
        <v>7.6999999999999999E-2</v>
      </c>
      <c r="S468" s="32">
        <v>0.53900000000000003</v>
      </c>
      <c r="T468" s="31">
        <v>0</v>
      </c>
      <c r="V468">
        <v>466</v>
      </c>
      <c r="W468">
        <v>14</v>
      </c>
      <c r="X468">
        <v>0.50700000000000001</v>
      </c>
      <c r="Y468" s="32">
        <v>1.86</v>
      </c>
      <c r="Z468">
        <v>0</v>
      </c>
      <c r="AA468" s="32">
        <v>1.1739999999999999</v>
      </c>
      <c r="AB468">
        <v>0</v>
      </c>
      <c r="AC468" s="34">
        <v>7.2999999999999995E-2</v>
      </c>
      <c r="AD468" s="32">
        <v>0.59499999999999997</v>
      </c>
    </row>
    <row r="469" spans="1:30">
      <c r="A469">
        <v>467</v>
      </c>
      <c r="B469">
        <v>15</v>
      </c>
      <c r="C469">
        <v>0.496</v>
      </c>
      <c r="D469">
        <v>1.87</v>
      </c>
      <c r="E469">
        <v>0</v>
      </c>
      <c r="F469">
        <v>1.091</v>
      </c>
      <c r="G469">
        <v>0</v>
      </c>
      <c r="H469">
        <v>7.6999999999999999E-2</v>
      </c>
      <c r="I469">
        <v>0.54</v>
      </c>
      <c r="K469">
        <v>467</v>
      </c>
      <c r="L469">
        <v>15</v>
      </c>
      <c r="M469" s="32">
        <v>0.496</v>
      </c>
      <c r="N469" s="47">
        <v>1.86</v>
      </c>
      <c r="P469" s="32">
        <v>1.091</v>
      </c>
      <c r="R469" s="32">
        <v>7.6999999999999999E-2</v>
      </c>
      <c r="S469" s="32">
        <v>0.54</v>
      </c>
      <c r="T469" s="31">
        <v>0</v>
      </c>
      <c r="V469">
        <v>467</v>
      </c>
      <c r="W469">
        <v>14</v>
      </c>
      <c r="X469">
        <v>0.50800000000000001</v>
      </c>
      <c r="Y469" s="32">
        <v>1.86</v>
      </c>
      <c r="Z469">
        <v>0</v>
      </c>
      <c r="AA469" s="32">
        <v>1.1739999999999999</v>
      </c>
      <c r="AB469">
        <v>0</v>
      </c>
      <c r="AC469" s="34">
        <v>7.2999999999999995E-2</v>
      </c>
      <c r="AD469" s="32">
        <v>0.59699999999999998</v>
      </c>
    </row>
    <row r="470" spans="1:30">
      <c r="A470">
        <v>468</v>
      </c>
      <c r="B470">
        <v>15</v>
      </c>
      <c r="C470">
        <v>0.497</v>
      </c>
      <c r="D470">
        <v>1.87</v>
      </c>
      <c r="E470">
        <v>0</v>
      </c>
      <c r="F470">
        <v>1.091</v>
      </c>
      <c r="G470">
        <v>0</v>
      </c>
      <c r="H470">
        <v>7.6999999999999999E-2</v>
      </c>
      <c r="I470">
        <v>0.54100000000000004</v>
      </c>
      <c r="K470">
        <v>468</v>
      </c>
      <c r="L470">
        <v>15</v>
      </c>
      <c r="M470" s="32">
        <v>0.497</v>
      </c>
      <c r="N470" s="47">
        <v>1.86</v>
      </c>
      <c r="P470" s="47">
        <v>1.0920000000000001</v>
      </c>
      <c r="R470" s="32">
        <v>7.6999999999999999E-2</v>
      </c>
      <c r="S470" s="47">
        <v>0.54200000000000004</v>
      </c>
      <c r="T470" s="31">
        <v>0</v>
      </c>
      <c r="V470">
        <v>468</v>
      </c>
      <c r="W470">
        <v>14</v>
      </c>
      <c r="X470">
        <v>0.50900000000000001</v>
      </c>
      <c r="Y470" s="32">
        <v>1.86</v>
      </c>
      <c r="Z470">
        <v>0</v>
      </c>
      <c r="AA470" s="32">
        <v>1.1739999999999999</v>
      </c>
      <c r="AB470">
        <v>0</v>
      </c>
      <c r="AC470" s="34">
        <v>7.2999999999999995E-2</v>
      </c>
      <c r="AD470" s="32">
        <v>0.59799999999999998</v>
      </c>
    </row>
    <row r="471" spans="1:30">
      <c r="A471">
        <v>469</v>
      </c>
      <c r="B471">
        <v>15</v>
      </c>
      <c r="C471">
        <v>0.498</v>
      </c>
      <c r="D471">
        <v>1.87</v>
      </c>
      <c r="E471">
        <v>0</v>
      </c>
      <c r="F471">
        <v>1.0920000000000001</v>
      </c>
      <c r="G471">
        <v>0</v>
      </c>
      <c r="H471">
        <v>7.6999999999999999E-2</v>
      </c>
      <c r="I471">
        <v>0.54300000000000004</v>
      </c>
      <c r="K471">
        <v>469</v>
      </c>
      <c r="L471">
        <v>15</v>
      </c>
      <c r="M471" s="32">
        <v>0.498</v>
      </c>
      <c r="N471" s="47">
        <v>1.86</v>
      </c>
      <c r="P471" s="32">
        <v>1.0920000000000001</v>
      </c>
      <c r="R471" s="32">
        <v>7.6999999999999999E-2</v>
      </c>
      <c r="S471" s="32">
        <v>0.54300000000000004</v>
      </c>
      <c r="T471" s="31">
        <v>0</v>
      </c>
      <c r="V471">
        <v>469</v>
      </c>
      <c r="W471">
        <v>14</v>
      </c>
      <c r="X471">
        <v>0.51</v>
      </c>
      <c r="Y471" s="32">
        <v>1.86</v>
      </c>
      <c r="Z471">
        <v>0</v>
      </c>
      <c r="AA471" s="32">
        <v>1.1739999999999999</v>
      </c>
      <c r="AB471">
        <v>0</v>
      </c>
      <c r="AC471" s="34">
        <v>7.2999999999999995E-2</v>
      </c>
      <c r="AD471" s="32">
        <v>0.59899999999999998</v>
      </c>
    </row>
    <row r="472" spans="1:30">
      <c r="A472">
        <v>470</v>
      </c>
      <c r="B472">
        <v>15</v>
      </c>
      <c r="C472">
        <v>0.499</v>
      </c>
      <c r="D472">
        <v>1.87</v>
      </c>
      <c r="E472">
        <v>0</v>
      </c>
      <c r="F472">
        <v>1.0920000000000001</v>
      </c>
      <c r="G472">
        <v>0</v>
      </c>
      <c r="H472">
        <v>7.6999999999999999E-2</v>
      </c>
      <c r="I472">
        <v>0.54400000000000004</v>
      </c>
      <c r="K472">
        <v>470</v>
      </c>
      <c r="L472">
        <v>15</v>
      </c>
      <c r="M472" s="32">
        <v>0.499</v>
      </c>
      <c r="N472" s="47">
        <v>1.86</v>
      </c>
      <c r="P472" s="47">
        <v>1.093</v>
      </c>
      <c r="R472" s="32">
        <v>7.6999999999999999E-2</v>
      </c>
      <c r="S472" s="47">
        <v>0.54500000000000004</v>
      </c>
      <c r="T472" s="31">
        <v>0</v>
      </c>
      <c r="V472">
        <v>470</v>
      </c>
      <c r="W472">
        <v>14</v>
      </c>
      <c r="X472">
        <v>0.51100000000000001</v>
      </c>
      <c r="Y472" s="32">
        <v>1.86</v>
      </c>
      <c r="Z472">
        <v>0</v>
      </c>
      <c r="AA472" s="32">
        <v>1.1739999999999999</v>
      </c>
      <c r="AB472">
        <v>0</v>
      </c>
      <c r="AC472" s="34">
        <v>7.2999999999999995E-2</v>
      </c>
      <c r="AD472" s="32">
        <v>0.6</v>
      </c>
    </row>
    <row r="473" spans="1:30">
      <c r="A473">
        <v>471</v>
      </c>
      <c r="B473">
        <v>15</v>
      </c>
      <c r="C473">
        <v>0.5</v>
      </c>
      <c r="D473">
        <v>1.86</v>
      </c>
      <c r="E473">
        <v>0</v>
      </c>
      <c r="F473">
        <v>1.093</v>
      </c>
      <c r="G473">
        <v>0</v>
      </c>
      <c r="H473">
        <v>7.6999999999999999E-2</v>
      </c>
      <c r="I473">
        <v>0.54600000000000004</v>
      </c>
      <c r="K473">
        <v>471</v>
      </c>
      <c r="L473">
        <v>15</v>
      </c>
      <c r="M473" s="32">
        <v>0.5</v>
      </c>
      <c r="N473" s="32">
        <v>1.86</v>
      </c>
      <c r="P473" s="32">
        <v>1.093</v>
      </c>
      <c r="R473" s="47">
        <v>7.8E-2</v>
      </c>
      <c r="S473" s="32">
        <v>0.54600000000000004</v>
      </c>
      <c r="T473" s="31">
        <v>0</v>
      </c>
      <c r="V473">
        <v>471</v>
      </c>
      <c r="W473">
        <v>14</v>
      </c>
      <c r="X473">
        <v>0.51200000000000001</v>
      </c>
      <c r="Y473" s="32">
        <v>1.86</v>
      </c>
      <c r="Z473">
        <v>0</v>
      </c>
      <c r="AA473" s="32">
        <v>1.175</v>
      </c>
      <c r="AB473">
        <v>0</v>
      </c>
      <c r="AC473" s="34">
        <v>7.3999999999999996E-2</v>
      </c>
      <c r="AD473" s="32">
        <v>0.60199999999999998</v>
      </c>
    </row>
    <row r="474" spans="1:30">
      <c r="A474">
        <v>472</v>
      </c>
      <c r="B474">
        <v>15</v>
      </c>
      <c r="C474">
        <v>0.501</v>
      </c>
      <c r="D474">
        <v>1.86</v>
      </c>
      <c r="E474">
        <v>0</v>
      </c>
      <c r="F474">
        <v>1.093</v>
      </c>
      <c r="G474">
        <v>0</v>
      </c>
      <c r="H474">
        <v>7.6999999999999999E-2</v>
      </c>
      <c r="I474">
        <v>0.56100000000000005</v>
      </c>
      <c r="K474">
        <v>472</v>
      </c>
      <c r="L474">
        <v>15</v>
      </c>
      <c r="M474" s="32">
        <v>0.501</v>
      </c>
      <c r="N474" s="32">
        <v>1.86</v>
      </c>
      <c r="P474" s="47">
        <v>1.0940000000000001</v>
      </c>
      <c r="R474" s="47">
        <v>7.8E-2</v>
      </c>
      <c r="S474" s="47">
        <v>0.54700000000000004</v>
      </c>
      <c r="T474" s="31">
        <v>0</v>
      </c>
      <c r="V474">
        <v>472</v>
      </c>
      <c r="W474">
        <v>14</v>
      </c>
      <c r="X474">
        <v>0.51300000000000001</v>
      </c>
      <c r="Y474" s="32">
        <v>1.86</v>
      </c>
      <c r="Z474">
        <v>0</v>
      </c>
      <c r="AA474" s="32">
        <v>1.175</v>
      </c>
      <c r="AB474">
        <v>0</v>
      </c>
      <c r="AC474" s="34">
        <v>7.3999999999999996E-2</v>
      </c>
      <c r="AD474" s="32">
        <v>0.60299999999999998</v>
      </c>
    </row>
    <row r="475" spans="1:30">
      <c r="A475">
        <v>473</v>
      </c>
      <c r="B475">
        <v>15</v>
      </c>
      <c r="C475">
        <v>0.502</v>
      </c>
      <c r="D475">
        <v>1.86</v>
      </c>
      <c r="E475">
        <v>0</v>
      </c>
      <c r="F475">
        <v>1.093</v>
      </c>
      <c r="G475">
        <v>0</v>
      </c>
      <c r="H475">
        <v>7.6999999999999999E-2</v>
      </c>
      <c r="I475">
        <v>0.56200000000000006</v>
      </c>
      <c r="K475">
        <v>473</v>
      </c>
      <c r="L475">
        <v>15</v>
      </c>
      <c r="M475" s="32">
        <v>0.502</v>
      </c>
      <c r="N475" s="32">
        <v>1.86</v>
      </c>
      <c r="P475" s="47">
        <v>1.0940000000000001</v>
      </c>
      <c r="R475" s="47">
        <v>7.8E-2</v>
      </c>
      <c r="S475" s="47">
        <v>0.54900000000000004</v>
      </c>
      <c r="T475" s="31">
        <v>0</v>
      </c>
      <c r="V475">
        <v>473</v>
      </c>
      <c r="W475">
        <v>14</v>
      </c>
      <c r="X475">
        <v>0.51400000000000001</v>
      </c>
      <c r="Y475" s="32">
        <v>1.86</v>
      </c>
      <c r="Z475">
        <v>0</v>
      </c>
      <c r="AA475" s="32">
        <v>1.175</v>
      </c>
      <c r="AB475">
        <v>0</v>
      </c>
      <c r="AC475" s="34">
        <v>7.3999999999999996E-2</v>
      </c>
      <c r="AD475" s="32">
        <v>0.60399999999999998</v>
      </c>
    </row>
    <row r="476" spans="1:30">
      <c r="A476">
        <v>474</v>
      </c>
      <c r="B476">
        <v>15</v>
      </c>
      <c r="C476">
        <v>0.503</v>
      </c>
      <c r="D476">
        <v>1.86</v>
      </c>
      <c r="E476">
        <v>0</v>
      </c>
      <c r="F476">
        <v>1.093</v>
      </c>
      <c r="G476">
        <v>0</v>
      </c>
      <c r="H476">
        <v>7.6999999999999999E-2</v>
      </c>
      <c r="I476">
        <v>0.56299999999999994</v>
      </c>
      <c r="K476">
        <v>474</v>
      </c>
      <c r="L476">
        <v>15</v>
      </c>
      <c r="M476" s="32">
        <v>0.503</v>
      </c>
      <c r="N476" s="32">
        <v>1.86</v>
      </c>
      <c r="P476" s="47">
        <v>1.095</v>
      </c>
      <c r="R476" s="47">
        <v>7.8E-2</v>
      </c>
      <c r="S476" s="47">
        <v>0.55000000000000004</v>
      </c>
      <c r="T476" s="31">
        <v>0</v>
      </c>
      <c r="V476">
        <v>474</v>
      </c>
      <c r="W476">
        <v>14</v>
      </c>
      <c r="X476">
        <v>0.51500000000000001</v>
      </c>
      <c r="Y476" s="32">
        <v>1.86</v>
      </c>
      <c r="Z476">
        <v>0</v>
      </c>
      <c r="AA476" s="32">
        <v>1.175</v>
      </c>
      <c r="AB476">
        <v>0</v>
      </c>
      <c r="AC476" s="34">
        <v>7.3999999999999996E-2</v>
      </c>
      <c r="AD476" s="32">
        <v>0.60599999999999998</v>
      </c>
    </row>
    <row r="477" spans="1:30">
      <c r="A477">
        <v>475</v>
      </c>
      <c r="B477">
        <v>15</v>
      </c>
      <c r="C477">
        <v>0.504</v>
      </c>
      <c r="D477">
        <v>1.86</v>
      </c>
      <c r="E477">
        <v>0</v>
      </c>
      <c r="F477">
        <v>1.093</v>
      </c>
      <c r="G477">
        <v>0</v>
      </c>
      <c r="H477">
        <v>7.6999999999999999E-2</v>
      </c>
      <c r="I477">
        <v>0.56499999999999995</v>
      </c>
      <c r="K477">
        <v>475</v>
      </c>
      <c r="L477">
        <v>15</v>
      </c>
      <c r="M477" s="32">
        <v>0.504</v>
      </c>
      <c r="N477" s="32">
        <v>1.86</v>
      </c>
      <c r="P477" s="47">
        <v>1.095</v>
      </c>
      <c r="R477" s="47">
        <v>7.8E-2</v>
      </c>
      <c r="S477" s="47">
        <v>0.55200000000000005</v>
      </c>
      <c r="T477" s="31">
        <v>0</v>
      </c>
      <c r="V477">
        <v>475</v>
      </c>
      <c r="W477">
        <v>14</v>
      </c>
      <c r="X477">
        <v>0.51600000000000001</v>
      </c>
      <c r="Y477" s="32">
        <v>1.86</v>
      </c>
      <c r="Z477">
        <v>0</v>
      </c>
      <c r="AA477" s="32">
        <v>1.175</v>
      </c>
      <c r="AB477">
        <v>0</v>
      </c>
      <c r="AC477" s="34">
        <v>7.3999999999999996E-2</v>
      </c>
      <c r="AD477" s="32">
        <v>0.60699999999999998</v>
      </c>
    </row>
    <row r="478" spans="1:30">
      <c r="A478">
        <v>476</v>
      </c>
      <c r="B478">
        <v>15</v>
      </c>
      <c r="C478">
        <v>0.505</v>
      </c>
      <c r="D478">
        <v>1.86</v>
      </c>
      <c r="E478">
        <v>0</v>
      </c>
      <c r="F478">
        <v>1.093</v>
      </c>
      <c r="G478">
        <v>0</v>
      </c>
      <c r="H478">
        <v>7.6999999999999999E-2</v>
      </c>
      <c r="I478">
        <v>0.56599999999999995</v>
      </c>
      <c r="K478">
        <v>476</v>
      </c>
      <c r="L478">
        <v>15</v>
      </c>
      <c r="M478" s="32">
        <v>0.505</v>
      </c>
      <c r="N478" s="32">
        <v>1.86</v>
      </c>
      <c r="P478" s="47">
        <v>1.0960000000000001</v>
      </c>
      <c r="R478" s="47">
        <v>7.8E-2</v>
      </c>
      <c r="S478" s="47">
        <v>0.55300000000000005</v>
      </c>
      <c r="T478" s="31">
        <v>0</v>
      </c>
      <c r="V478">
        <v>476</v>
      </c>
      <c r="W478">
        <v>14</v>
      </c>
      <c r="X478">
        <v>0.51700000000000002</v>
      </c>
      <c r="Y478" s="32">
        <v>1.86</v>
      </c>
      <c r="Z478">
        <v>0</v>
      </c>
      <c r="AA478" s="32">
        <v>1.1759999999999999</v>
      </c>
      <c r="AB478">
        <v>0</v>
      </c>
      <c r="AC478" s="34">
        <v>7.3999999999999996E-2</v>
      </c>
      <c r="AD478" s="32">
        <v>0.60799999999999998</v>
      </c>
    </row>
    <row r="479" spans="1:30">
      <c r="A479">
        <v>477</v>
      </c>
      <c r="B479">
        <v>15</v>
      </c>
      <c r="C479">
        <v>0.50600000000000001</v>
      </c>
      <c r="D479">
        <v>1.86</v>
      </c>
      <c r="E479">
        <v>0</v>
      </c>
      <c r="F479">
        <v>1.093</v>
      </c>
      <c r="G479">
        <v>0</v>
      </c>
      <c r="H479">
        <v>7.6999999999999999E-2</v>
      </c>
      <c r="I479">
        <v>0.56699999999999995</v>
      </c>
      <c r="K479">
        <v>477</v>
      </c>
      <c r="L479">
        <v>15</v>
      </c>
      <c r="M479" s="32">
        <v>0.50600000000000001</v>
      </c>
      <c r="N479" s="32">
        <v>1.86</v>
      </c>
      <c r="P479" s="47">
        <v>1.0960000000000001</v>
      </c>
      <c r="R479" s="47">
        <v>7.8E-2</v>
      </c>
      <c r="S479" s="47">
        <v>0.55400000000000005</v>
      </c>
      <c r="T479" s="31">
        <v>0</v>
      </c>
      <c r="V479">
        <v>477</v>
      </c>
      <c r="W479">
        <v>14</v>
      </c>
      <c r="X479">
        <v>0.51800000000000002</v>
      </c>
      <c r="Y479" s="32">
        <v>1.86</v>
      </c>
      <c r="Z479">
        <v>0</v>
      </c>
      <c r="AA479" s="32">
        <v>1.1759999999999999</v>
      </c>
      <c r="AB479">
        <v>0</v>
      </c>
      <c r="AC479" s="34">
        <v>7.3999999999999996E-2</v>
      </c>
      <c r="AD479" s="32">
        <v>0.60899999999999999</v>
      </c>
    </row>
    <row r="480" spans="1:30">
      <c r="A480">
        <v>478</v>
      </c>
      <c r="B480">
        <v>15</v>
      </c>
      <c r="C480">
        <v>0.50700000000000001</v>
      </c>
      <c r="D480">
        <v>1.86</v>
      </c>
      <c r="E480">
        <v>0</v>
      </c>
      <c r="F480">
        <v>1.093</v>
      </c>
      <c r="G480">
        <v>0</v>
      </c>
      <c r="H480">
        <v>7.6999999999999999E-2</v>
      </c>
      <c r="I480">
        <v>0.56899999999999995</v>
      </c>
      <c r="K480">
        <v>478</v>
      </c>
      <c r="L480">
        <v>15</v>
      </c>
      <c r="M480" s="32">
        <v>0.50700000000000001</v>
      </c>
      <c r="N480" s="32">
        <v>1.86</v>
      </c>
      <c r="P480" s="47">
        <v>1.097</v>
      </c>
      <c r="R480" s="47">
        <v>7.8E-2</v>
      </c>
      <c r="S480" s="47">
        <v>0.55600000000000005</v>
      </c>
      <c r="T480" s="31">
        <v>0</v>
      </c>
      <c r="V480">
        <v>478</v>
      </c>
      <c r="W480">
        <v>14</v>
      </c>
      <c r="X480">
        <v>0.51900000000000002</v>
      </c>
      <c r="Y480" s="32">
        <v>1.86</v>
      </c>
      <c r="Z480">
        <v>0</v>
      </c>
      <c r="AA480" s="32">
        <v>1.1759999999999999</v>
      </c>
      <c r="AB480">
        <v>0</v>
      </c>
      <c r="AC480" s="34">
        <v>7.3999999999999996E-2</v>
      </c>
      <c r="AD480" s="32">
        <v>0.61099999999999999</v>
      </c>
    </row>
    <row r="481" spans="1:30">
      <c r="A481">
        <v>479</v>
      </c>
      <c r="B481">
        <v>15</v>
      </c>
      <c r="C481">
        <v>0.50800000000000001</v>
      </c>
      <c r="D481">
        <v>1.86</v>
      </c>
      <c r="E481">
        <v>0</v>
      </c>
      <c r="F481">
        <v>1.093</v>
      </c>
      <c r="G481">
        <v>0</v>
      </c>
      <c r="H481">
        <v>7.6999999999999999E-2</v>
      </c>
      <c r="I481">
        <v>0.56999999999999995</v>
      </c>
      <c r="K481">
        <v>479</v>
      </c>
      <c r="L481">
        <v>15</v>
      </c>
      <c r="M481" s="32">
        <v>0.50800000000000001</v>
      </c>
      <c r="N481" s="32">
        <v>1.86</v>
      </c>
      <c r="P481" s="47">
        <v>1.097</v>
      </c>
      <c r="R481" s="47">
        <v>7.8E-2</v>
      </c>
      <c r="S481" s="47">
        <v>0.55700000000000005</v>
      </c>
      <c r="T481" s="31">
        <v>0</v>
      </c>
      <c r="V481">
        <v>479</v>
      </c>
      <c r="W481">
        <v>14</v>
      </c>
      <c r="X481">
        <v>0.52</v>
      </c>
      <c r="Y481" s="32">
        <v>1.86</v>
      </c>
      <c r="Z481">
        <v>0</v>
      </c>
      <c r="AA481" s="32">
        <v>1.1759999999999999</v>
      </c>
      <c r="AB481">
        <v>0</v>
      </c>
      <c r="AC481" s="34">
        <v>7.4999999999999997E-2</v>
      </c>
      <c r="AD481" s="32">
        <v>0.61199999999999999</v>
      </c>
    </row>
    <row r="482" spans="1:30">
      <c r="A482">
        <v>480</v>
      </c>
      <c r="B482">
        <v>15</v>
      </c>
      <c r="C482">
        <v>0.50900000000000001</v>
      </c>
      <c r="D482">
        <v>1.86</v>
      </c>
      <c r="E482">
        <v>0</v>
      </c>
      <c r="F482">
        <v>1.093</v>
      </c>
      <c r="G482">
        <v>0</v>
      </c>
      <c r="H482">
        <v>7.6999999999999999E-2</v>
      </c>
      <c r="I482">
        <v>0.57099999999999995</v>
      </c>
      <c r="K482">
        <v>480</v>
      </c>
      <c r="L482">
        <v>15</v>
      </c>
      <c r="M482" s="32">
        <v>0.50900000000000001</v>
      </c>
      <c r="N482" s="32">
        <v>1.86</v>
      </c>
      <c r="P482" s="47">
        <v>1.0980000000000001</v>
      </c>
      <c r="R482" s="47">
        <v>7.8E-2</v>
      </c>
      <c r="S482" s="47">
        <v>0.55900000000000005</v>
      </c>
      <c r="T482" s="31">
        <v>0</v>
      </c>
      <c r="V482">
        <v>480</v>
      </c>
      <c r="W482">
        <v>14</v>
      </c>
      <c r="X482">
        <v>0.52100000000000002</v>
      </c>
      <c r="Y482" s="32">
        <v>1.86</v>
      </c>
      <c r="Z482">
        <v>0</v>
      </c>
      <c r="AA482" s="32">
        <v>1.1759999999999999</v>
      </c>
      <c r="AB482">
        <v>0</v>
      </c>
      <c r="AC482" s="34">
        <v>7.4999999999999997E-2</v>
      </c>
      <c r="AD482" s="32">
        <v>0.61299999999999999</v>
      </c>
    </row>
    <row r="483" spans="1:30">
      <c r="A483">
        <v>481</v>
      </c>
      <c r="B483">
        <v>15</v>
      </c>
      <c r="C483">
        <v>0.51</v>
      </c>
      <c r="D483">
        <v>1.86</v>
      </c>
      <c r="E483">
        <v>0</v>
      </c>
      <c r="F483">
        <v>1.0980000000000001</v>
      </c>
      <c r="G483">
        <v>0</v>
      </c>
      <c r="H483">
        <v>7.6999999999999999E-2</v>
      </c>
      <c r="I483">
        <v>0.56000000000000005</v>
      </c>
      <c r="K483">
        <v>481</v>
      </c>
      <c r="L483">
        <v>15</v>
      </c>
      <c r="M483" s="32">
        <v>0.51</v>
      </c>
      <c r="N483" s="32">
        <v>1.86</v>
      </c>
      <c r="P483" s="32">
        <v>1.0980000000000001</v>
      </c>
      <c r="R483" s="47">
        <v>7.8E-2</v>
      </c>
      <c r="S483" s="32">
        <v>0.56000000000000005</v>
      </c>
      <c r="T483" s="31">
        <v>0</v>
      </c>
      <c r="V483">
        <v>481</v>
      </c>
      <c r="W483">
        <v>14</v>
      </c>
      <c r="X483">
        <v>0.52200000000000002</v>
      </c>
      <c r="Y483" s="32">
        <v>1.86</v>
      </c>
      <c r="Z483">
        <v>0</v>
      </c>
      <c r="AA483" s="32">
        <v>1.177</v>
      </c>
      <c r="AB483">
        <v>0</v>
      </c>
      <c r="AC483" s="34">
        <v>7.4999999999999997E-2</v>
      </c>
      <c r="AD483" s="32">
        <v>0.61399999999999999</v>
      </c>
    </row>
    <row r="484" spans="1:30">
      <c r="A484">
        <v>482</v>
      </c>
      <c r="B484">
        <v>15</v>
      </c>
      <c r="C484">
        <v>0.51100000000000001</v>
      </c>
      <c r="D484">
        <v>1.86</v>
      </c>
      <c r="E484">
        <v>0</v>
      </c>
      <c r="F484">
        <v>1.0980000000000001</v>
      </c>
      <c r="G484">
        <v>0</v>
      </c>
      <c r="H484">
        <v>7.6999999999999999E-2</v>
      </c>
      <c r="I484">
        <v>0.58799999999999997</v>
      </c>
      <c r="K484">
        <v>482</v>
      </c>
      <c r="L484">
        <v>15</v>
      </c>
      <c r="M484" s="32">
        <v>0.51100000000000001</v>
      </c>
      <c r="N484" s="32">
        <v>1.86</v>
      </c>
      <c r="P484" s="32">
        <v>1.0980000000000001</v>
      </c>
      <c r="R484" s="47">
        <v>7.8E-2</v>
      </c>
      <c r="S484" s="47">
        <v>0.56100000000000005</v>
      </c>
      <c r="T484" s="31">
        <v>0</v>
      </c>
      <c r="V484">
        <v>482</v>
      </c>
      <c r="W484">
        <v>14</v>
      </c>
      <c r="X484">
        <v>0.52300000000000002</v>
      </c>
      <c r="Y484" s="32">
        <v>1.86</v>
      </c>
      <c r="Z484">
        <v>0</v>
      </c>
      <c r="AA484" s="32">
        <v>1.177</v>
      </c>
      <c r="AB484">
        <v>0</v>
      </c>
      <c r="AC484" s="34">
        <v>7.4999999999999997E-2</v>
      </c>
      <c r="AD484" s="32">
        <v>0.61599999999999999</v>
      </c>
    </row>
    <row r="485" spans="1:30">
      <c r="A485">
        <v>483</v>
      </c>
      <c r="B485">
        <v>15</v>
      </c>
      <c r="C485">
        <v>0.51200000000000001</v>
      </c>
      <c r="D485">
        <v>1.86</v>
      </c>
      <c r="E485">
        <v>0</v>
      </c>
      <c r="F485">
        <v>1.0980000000000001</v>
      </c>
      <c r="G485">
        <v>0</v>
      </c>
      <c r="H485">
        <v>7.6999999999999999E-2</v>
      </c>
      <c r="I485">
        <v>0.58899999999999997</v>
      </c>
      <c r="K485">
        <v>483</v>
      </c>
      <c r="L485">
        <v>15</v>
      </c>
      <c r="M485" s="32">
        <v>0.51200000000000001</v>
      </c>
      <c r="N485" s="32">
        <v>1.86</v>
      </c>
      <c r="P485" s="47">
        <v>1.099</v>
      </c>
      <c r="R485" s="47">
        <v>7.8E-2</v>
      </c>
      <c r="S485" s="47">
        <v>0.56299999999999994</v>
      </c>
      <c r="T485" s="31">
        <v>0</v>
      </c>
      <c r="V485">
        <v>483</v>
      </c>
      <c r="W485">
        <v>15</v>
      </c>
      <c r="X485">
        <v>0.52400000000000002</v>
      </c>
      <c r="Y485" s="32">
        <v>1.86</v>
      </c>
      <c r="Z485">
        <v>0</v>
      </c>
      <c r="AA485" s="32">
        <v>1.177</v>
      </c>
      <c r="AB485">
        <v>0</v>
      </c>
      <c r="AC485" s="34">
        <v>7.4999999999999997E-2</v>
      </c>
      <c r="AD485" s="32">
        <v>0.61699999999999999</v>
      </c>
    </row>
    <row r="486" spans="1:30">
      <c r="A486">
        <v>484</v>
      </c>
      <c r="B486">
        <v>15</v>
      </c>
      <c r="C486">
        <v>0.51300000000000001</v>
      </c>
      <c r="D486">
        <v>1.86</v>
      </c>
      <c r="E486">
        <v>0</v>
      </c>
      <c r="F486">
        <v>1.0980000000000001</v>
      </c>
      <c r="G486">
        <v>0</v>
      </c>
      <c r="H486">
        <v>7.6999999999999999E-2</v>
      </c>
      <c r="I486">
        <v>0.59099999999999997</v>
      </c>
      <c r="K486">
        <v>484</v>
      </c>
      <c r="L486">
        <v>15</v>
      </c>
      <c r="M486" s="32">
        <v>0.51300000000000001</v>
      </c>
      <c r="N486" s="32">
        <v>1.86</v>
      </c>
      <c r="P486" s="47">
        <v>1.099</v>
      </c>
      <c r="R486" s="47">
        <v>7.8E-2</v>
      </c>
      <c r="S486" s="47">
        <v>0.56399999999999995</v>
      </c>
      <c r="T486" s="31">
        <v>0</v>
      </c>
      <c r="V486">
        <v>484</v>
      </c>
      <c r="W486">
        <v>15</v>
      </c>
      <c r="X486">
        <v>0.52500000000000002</v>
      </c>
      <c r="Y486" s="32">
        <v>1.86</v>
      </c>
      <c r="Z486">
        <v>0</v>
      </c>
      <c r="AA486" s="32">
        <v>1.177</v>
      </c>
      <c r="AB486">
        <v>0</v>
      </c>
      <c r="AC486" s="34">
        <v>7.4999999999999997E-2</v>
      </c>
      <c r="AD486" s="32">
        <v>0.61799999999999999</v>
      </c>
    </row>
    <row r="487" spans="1:30">
      <c r="A487">
        <v>485</v>
      </c>
      <c r="B487">
        <v>15</v>
      </c>
      <c r="C487">
        <v>0.51400000000000001</v>
      </c>
      <c r="D487">
        <v>1.86</v>
      </c>
      <c r="E487">
        <v>0</v>
      </c>
      <c r="F487">
        <v>1.0980000000000001</v>
      </c>
      <c r="G487">
        <v>0</v>
      </c>
      <c r="H487">
        <v>7.6999999999999999E-2</v>
      </c>
      <c r="I487">
        <v>0.59199999999999997</v>
      </c>
      <c r="K487">
        <v>485</v>
      </c>
      <c r="L487">
        <v>15</v>
      </c>
      <c r="M487" s="32">
        <v>0.51400000000000001</v>
      </c>
      <c r="N487" s="32">
        <v>1.86</v>
      </c>
      <c r="P487" s="47">
        <v>1.1000000000000001</v>
      </c>
      <c r="R487" s="47">
        <v>7.8E-2</v>
      </c>
      <c r="S487" s="47">
        <v>0.56499999999999995</v>
      </c>
      <c r="T487" s="31">
        <v>0</v>
      </c>
      <c r="V487">
        <v>485</v>
      </c>
      <c r="W487">
        <v>15</v>
      </c>
      <c r="X487">
        <v>0.52600000000000002</v>
      </c>
      <c r="Y487" s="32">
        <v>1.86</v>
      </c>
      <c r="Z487">
        <v>0</v>
      </c>
      <c r="AA487" s="32">
        <v>1.177</v>
      </c>
      <c r="AB487">
        <v>0</v>
      </c>
      <c r="AC487" s="34">
        <v>7.4999999999999997E-2</v>
      </c>
      <c r="AD487" s="32">
        <v>0.62</v>
      </c>
    </row>
    <row r="488" spans="1:30">
      <c r="A488">
        <v>486</v>
      </c>
      <c r="B488">
        <v>15</v>
      </c>
      <c r="C488">
        <v>0.51500000000000001</v>
      </c>
      <c r="D488">
        <v>1.86</v>
      </c>
      <c r="E488">
        <v>0</v>
      </c>
      <c r="F488">
        <v>1.0980000000000001</v>
      </c>
      <c r="G488">
        <v>0</v>
      </c>
      <c r="H488">
        <v>7.6999999999999999E-2</v>
      </c>
      <c r="I488">
        <v>0.59299999999999997</v>
      </c>
      <c r="K488">
        <v>486</v>
      </c>
      <c r="L488">
        <v>15</v>
      </c>
      <c r="M488" s="32">
        <v>0.51500000000000001</v>
      </c>
      <c r="N488" s="32">
        <v>1.86</v>
      </c>
      <c r="P488" s="47">
        <v>1.1000000000000001</v>
      </c>
      <c r="R488" s="47">
        <v>7.8E-2</v>
      </c>
      <c r="S488" s="47">
        <v>0.56699999999999995</v>
      </c>
      <c r="T488" s="31">
        <v>0</v>
      </c>
      <c r="V488">
        <v>486</v>
      </c>
      <c r="W488">
        <v>15</v>
      </c>
      <c r="X488">
        <v>0.52700000000000002</v>
      </c>
      <c r="Y488" s="32">
        <v>1.86</v>
      </c>
      <c r="Z488">
        <v>0</v>
      </c>
      <c r="AA488" s="32">
        <v>1.1779999999999999</v>
      </c>
      <c r="AB488">
        <v>0</v>
      </c>
      <c r="AC488" s="34">
        <v>7.4999999999999997E-2</v>
      </c>
      <c r="AD488" s="32">
        <v>0.621</v>
      </c>
    </row>
    <row r="489" spans="1:30">
      <c r="A489">
        <v>487</v>
      </c>
      <c r="B489">
        <v>15</v>
      </c>
      <c r="C489">
        <v>0.51600000000000001</v>
      </c>
      <c r="D489">
        <v>1.86</v>
      </c>
      <c r="E489">
        <v>0</v>
      </c>
      <c r="F489">
        <v>1.0980000000000001</v>
      </c>
      <c r="G489">
        <v>0</v>
      </c>
      <c r="H489">
        <v>7.6999999999999999E-2</v>
      </c>
      <c r="I489">
        <v>0.59499999999999997</v>
      </c>
      <c r="K489">
        <v>487</v>
      </c>
      <c r="L489">
        <v>15</v>
      </c>
      <c r="M489" s="32">
        <v>0.51600000000000001</v>
      </c>
      <c r="N489" s="32">
        <v>1.86</v>
      </c>
      <c r="P489" s="47">
        <v>1.1000000000000001</v>
      </c>
      <c r="R489" s="47">
        <v>7.8E-2</v>
      </c>
      <c r="S489" s="47">
        <v>0.56799999999999995</v>
      </c>
      <c r="T489" s="31">
        <v>0</v>
      </c>
      <c r="V489">
        <v>487</v>
      </c>
      <c r="W489">
        <v>15</v>
      </c>
      <c r="X489">
        <v>0.52800000000000002</v>
      </c>
      <c r="Y489" s="32">
        <v>1.86</v>
      </c>
      <c r="Z489">
        <v>0</v>
      </c>
      <c r="AA489" s="32">
        <v>1.1779999999999999</v>
      </c>
      <c r="AB489">
        <v>0</v>
      </c>
      <c r="AC489" s="34">
        <v>7.4999999999999997E-2</v>
      </c>
      <c r="AD489" s="32">
        <v>0.622</v>
      </c>
    </row>
    <row r="490" spans="1:30">
      <c r="A490">
        <v>488</v>
      </c>
      <c r="B490">
        <v>15</v>
      </c>
      <c r="C490">
        <v>0.51700000000000002</v>
      </c>
      <c r="D490">
        <v>1.86</v>
      </c>
      <c r="E490">
        <v>0</v>
      </c>
      <c r="F490">
        <v>1.0980000000000001</v>
      </c>
      <c r="G490">
        <v>0</v>
      </c>
      <c r="H490">
        <v>7.6999999999999999E-2</v>
      </c>
      <c r="I490">
        <v>0.59599999999999997</v>
      </c>
      <c r="K490">
        <v>488</v>
      </c>
      <c r="L490">
        <v>15</v>
      </c>
      <c r="M490" s="32">
        <v>0.51700000000000002</v>
      </c>
      <c r="N490" s="32">
        <v>1.86</v>
      </c>
      <c r="P490" s="47">
        <v>1.101</v>
      </c>
      <c r="R490" s="47">
        <v>7.8E-2</v>
      </c>
      <c r="S490" s="47">
        <v>0.56899999999999995</v>
      </c>
      <c r="T490" s="31">
        <v>0</v>
      </c>
      <c r="V490">
        <v>488</v>
      </c>
      <c r="W490">
        <v>15</v>
      </c>
      <c r="X490">
        <v>0.52900000000000003</v>
      </c>
      <c r="Y490" s="32">
        <v>1.86</v>
      </c>
      <c r="Z490">
        <v>0</v>
      </c>
      <c r="AA490" s="32">
        <v>1.1779999999999999</v>
      </c>
      <c r="AB490">
        <v>0</v>
      </c>
      <c r="AC490" s="34">
        <v>7.4999999999999997E-2</v>
      </c>
      <c r="AD490" s="32">
        <v>0.624</v>
      </c>
    </row>
    <row r="491" spans="1:30">
      <c r="A491">
        <v>489</v>
      </c>
      <c r="B491">
        <v>15</v>
      </c>
      <c r="C491">
        <v>0.51800000000000002</v>
      </c>
      <c r="D491">
        <v>1.86</v>
      </c>
      <c r="E491">
        <v>0</v>
      </c>
      <c r="F491">
        <v>1.0980000000000001</v>
      </c>
      <c r="G491">
        <v>0</v>
      </c>
      <c r="H491">
        <v>7.6999999999999999E-2</v>
      </c>
      <c r="I491">
        <v>0.59699999999999998</v>
      </c>
      <c r="K491">
        <v>489</v>
      </c>
      <c r="L491">
        <v>15</v>
      </c>
      <c r="M491" s="32">
        <v>0.51800000000000002</v>
      </c>
      <c r="N491" s="32">
        <v>1.86</v>
      </c>
      <c r="P491" s="47">
        <v>1.101</v>
      </c>
      <c r="R491" s="47">
        <v>7.8E-2</v>
      </c>
      <c r="S491" s="47">
        <v>0.56999999999999995</v>
      </c>
      <c r="T491" s="31">
        <v>0</v>
      </c>
      <c r="V491">
        <v>489</v>
      </c>
      <c r="W491">
        <v>15</v>
      </c>
      <c r="X491">
        <v>0.53</v>
      </c>
      <c r="Y491" s="32">
        <v>1.86</v>
      </c>
      <c r="Z491">
        <v>0</v>
      </c>
      <c r="AA491" s="32">
        <v>1.1779999999999999</v>
      </c>
      <c r="AB491">
        <v>0</v>
      </c>
      <c r="AC491" s="34">
        <v>7.5999999999999998E-2</v>
      </c>
      <c r="AD491" s="32">
        <v>0.625</v>
      </c>
    </row>
    <row r="492" spans="1:30">
      <c r="A492">
        <v>490</v>
      </c>
      <c r="B492">
        <v>15</v>
      </c>
      <c r="C492">
        <v>0.51900000000000002</v>
      </c>
      <c r="D492">
        <v>1.86</v>
      </c>
      <c r="E492">
        <v>0</v>
      </c>
      <c r="F492">
        <v>1.0980000000000001</v>
      </c>
      <c r="G492">
        <v>0</v>
      </c>
      <c r="H492">
        <v>7.6999999999999999E-2</v>
      </c>
      <c r="I492">
        <v>0.59899999999999998</v>
      </c>
      <c r="K492">
        <v>490</v>
      </c>
      <c r="L492">
        <v>15</v>
      </c>
      <c r="M492" s="32">
        <v>0.51900000000000002</v>
      </c>
      <c r="N492" s="32">
        <v>1.86</v>
      </c>
      <c r="P492" s="47">
        <v>1.1020000000000001</v>
      </c>
      <c r="R492" s="47">
        <v>7.8E-2</v>
      </c>
      <c r="S492" s="47">
        <v>0.57199999999999995</v>
      </c>
      <c r="T492" s="31">
        <v>0</v>
      </c>
      <c r="V492">
        <v>490</v>
      </c>
      <c r="W492">
        <v>15</v>
      </c>
      <c r="X492">
        <v>0.53100000000000003</v>
      </c>
      <c r="Y492" s="32">
        <v>1.86</v>
      </c>
      <c r="Z492">
        <v>0</v>
      </c>
      <c r="AA492" s="32">
        <v>1.179</v>
      </c>
      <c r="AB492">
        <v>0</v>
      </c>
      <c r="AC492" s="34">
        <v>7.5999999999999998E-2</v>
      </c>
      <c r="AD492" s="32">
        <v>0.626</v>
      </c>
    </row>
    <row r="493" spans="1:30">
      <c r="A493">
        <v>491</v>
      </c>
      <c r="B493">
        <v>15</v>
      </c>
      <c r="C493">
        <v>0.52</v>
      </c>
      <c r="D493">
        <v>1.86</v>
      </c>
      <c r="E493">
        <v>0</v>
      </c>
      <c r="F493">
        <v>1.1020000000000001</v>
      </c>
      <c r="G493">
        <v>0</v>
      </c>
      <c r="H493">
        <v>7.6999999999999999E-2</v>
      </c>
      <c r="I493">
        <v>0.57299999999999995</v>
      </c>
      <c r="K493">
        <v>491</v>
      </c>
      <c r="L493">
        <v>15</v>
      </c>
      <c r="M493" s="32">
        <v>0.52</v>
      </c>
      <c r="N493" s="32">
        <v>1.86</v>
      </c>
      <c r="P493" s="32">
        <v>1.1020000000000001</v>
      </c>
      <c r="R493" s="47">
        <v>7.9000000000000001E-2</v>
      </c>
      <c r="S493" s="32">
        <v>0.57299999999999995</v>
      </c>
      <c r="T493" s="31">
        <v>0</v>
      </c>
      <c r="V493">
        <v>491</v>
      </c>
      <c r="W493">
        <v>15</v>
      </c>
      <c r="X493">
        <v>0.53200000000000003</v>
      </c>
      <c r="Y493" s="32">
        <v>1.86</v>
      </c>
      <c r="Z493">
        <v>0</v>
      </c>
      <c r="AA493" s="32">
        <v>1.179</v>
      </c>
      <c r="AB493">
        <v>0</v>
      </c>
      <c r="AC493" s="34">
        <v>7.5999999999999998E-2</v>
      </c>
      <c r="AD493" s="32">
        <v>0.627</v>
      </c>
    </row>
    <row r="494" spans="1:30">
      <c r="A494">
        <v>492</v>
      </c>
      <c r="B494">
        <v>15</v>
      </c>
      <c r="C494">
        <v>0.52100000000000002</v>
      </c>
      <c r="D494">
        <v>1.86</v>
      </c>
      <c r="E494">
        <v>0</v>
      </c>
      <c r="F494">
        <v>1.1020000000000001</v>
      </c>
      <c r="G494">
        <v>0</v>
      </c>
      <c r="H494">
        <v>7.6999999999999999E-2</v>
      </c>
      <c r="I494">
        <v>0.61399999999999999</v>
      </c>
      <c r="K494">
        <v>492</v>
      </c>
      <c r="L494">
        <v>15</v>
      </c>
      <c r="M494" s="32">
        <v>0.52100000000000002</v>
      </c>
      <c r="N494" s="32">
        <v>1.86</v>
      </c>
      <c r="P494" s="47">
        <v>1.103</v>
      </c>
      <c r="R494" s="47">
        <v>7.9000000000000001E-2</v>
      </c>
      <c r="S494" s="47">
        <v>0.57399999999999995</v>
      </c>
      <c r="T494" s="31">
        <v>0</v>
      </c>
      <c r="V494">
        <v>492</v>
      </c>
      <c r="W494">
        <v>15</v>
      </c>
      <c r="X494">
        <v>0.53300000000000003</v>
      </c>
      <c r="Y494" s="32">
        <v>1.86</v>
      </c>
      <c r="Z494">
        <v>0</v>
      </c>
      <c r="AA494" s="32">
        <v>1.179</v>
      </c>
      <c r="AB494">
        <v>0</v>
      </c>
      <c r="AC494" s="34">
        <v>7.5999999999999998E-2</v>
      </c>
      <c r="AD494" s="32">
        <v>0.629</v>
      </c>
    </row>
    <row r="495" spans="1:30">
      <c r="A495">
        <v>493</v>
      </c>
      <c r="B495">
        <v>15</v>
      </c>
      <c r="C495">
        <v>0.52200000000000002</v>
      </c>
      <c r="D495">
        <v>1.86</v>
      </c>
      <c r="E495">
        <v>0</v>
      </c>
      <c r="F495">
        <v>1.1020000000000001</v>
      </c>
      <c r="G495">
        <v>0</v>
      </c>
      <c r="H495">
        <v>7.6999999999999999E-2</v>
      </c>
      <c r="I495">
        <v>0.61599999999999999</v>
      </c>
      <c r="K495">
        <v>493</v>
      </c>
      <c r="L495">
        <v>15</v>
      </c>
      <c r="M495" s="32">
        <v>0.52200000000000002</v>
      </c>
      <c r="N495" s="32">
        <v>1.86</v>
      </c>
      <c r="P495" s="47">
        <v>1.103</v>
      </c>
      <c r="R495" s="47">
        <v>7.9000000000000001E-2</v>
      </c>
      <c r="S495" s="47">
        <v>0.57599999999999996</v>
      </c>
      <c r="T495" s="31">
        <v>0</v>
      </c>
      <c r="V495">
        <v>493</v>
      </c>
      <c r="W495">
        <v>15</v>
      </c>
      <c r="X495">
        <v>0.53400000000000003</v>
      </c>
      <c r="Y495" s="32">
        <v>1.86</v>
      </c>
      <c r="Z495">
        <v>0</v>
      </c>
      <c r="AA495" s="32">
        <v>1.179</v>
      </c>
      <c r="AB495">
        <v>0</v>
      </c>
      <c r="AC495" s="34">
        <v>7.5999999999999998E-2</v>
      </c>
      <c r="AD495" s="32">
        <v>0.63</v>
      </c>
    </row>
    <row r="496" spans="1:30">
      <c r="A496">
        <v>494</v>
      </c>
      <c r="B496">
        <v>15</v>
      </c>
      <c r="C496">
        <v>0.52300000000000002</v>
      </c>
      <c r="D496">
        <v>1.86</v>
      </c>
      <c r="E496">
        <v>0</v>
      </c>
      <c r="F496">
        <v>1.1020000000000001</v>
      </c>
      <c r="G496">
        <v>0</v>
      </c>
      <c r="H496">
        <v>7.6999999999999999E-2</v>
      </c>
      <c r="I496">
        <v>0.61699999999999999</v>
      </c>
      <c r="K496">
        <v>494</v>
      </c>
      <c r="L496">
        <v>15</v>
      </c>
      <c r="M496" s="32">
        <v>0.52300000000000002</v>
      </c>
      <c r="N496" s="32">
        <v>1.86</v>
      </c>
      <c r="P496" s="47">
        <v>1.1040000000000001</v>
      </c>
      <c r="R496" s="47">
        <v>7.9000000000000001E-2</v>
      </c>
      <c r="S496" s="47">
        <v>0.57699999999999996</v>
      </c>
      <c r="T496" s="31">
        <v>0</v>
      </c>
      <c r="V496">
        <v>494</v>
      </c>
      <c r="W496">
        <v>15</v>
      </c>
      <c r="X496">
        <v>0.53500000000000003</v>
      </c>
      <c r="Y496" s="32">
        <v>1.86</v>
      </c>
      <c r="Z496">
        <v>0</v>
      </c>
      <c r="AA496" s="32">
        <v>1.179</v>
      </c>
      <c r="AB496">
        <v>0</v>
      </c>
      <c r="AC496" s="34">
        <v>7.5999999999999998E-2</v>
      </c>
      <c r="AD496" s="32">
        <v>0.63100000000000001</v>
      </c>
    </row>
    <row r="497" spans="1:30">
      <c r="A497">
        <v>495</v>
      </c>
      <c r="B497">
        <v>15</v>
      </c>
      <c r="C497">
        <v>0.52400000000000002</v>
      </c>
      <c r="D497">
        <v>1.86</v>
      </c>
      <c r="E497">
        <v>0</v>
      </c>
      <c r="F497">
        <v>1.1020000000000001</v>
      </c>
      <c r="G497">
        <v>0</v>
      </c>
      <c r="H497">
        <v>7.6999999999999999E-2</v>
      </c>
      <c r="I497">
        <v>0.61799999999999999</v>
      </c>
      <c r="K497">
        <v>495</v>
      </c>
      <c r="L497">
        <v>15</v>
      </c>
      <c r="M497" s="32">
        <v>0.52400000000000002</v>
      </c>
      <c r="N497" s="32">
        <v>1.86</v>
      </c>
      <c r="P497" s="47">
        <v>1.1040000000000001</v>
      </c>
      <c r="R497" s="47">
        <v>7.9000000000000001E-2</v>
      </c>
      <c r="S497" s="47">
        <v>0.57899999999999996</v>
      </c>
      <c r="T497" s="31">
        <v>0</v>
      </c>
      <c r="V497">
        <v>495</v>
      </c>
      <c r="W497">
        <v>15</v>
      </c>
      <c r="X497">
        <v>0.53600000000000003</v>
      </c>
      <c r="Y497" s="32">
        <v>1.86</v>
      </c>
      <c r="Z497">
        <v>0</v>
      </c>
      <c r="AA497" s="32">
        <v>1.18</v>
      </c>
      <c r="AB497">
        <v>0</v>
      </c>
      <c r="AC497" s="34">
        <v>7.5999999999999998E-2</v>
      </c>
      <c r="AD497" s="32">
        <v>0.63300000000000001</v>
      </c>
    </row>
    <row r="498" spans="1:30">
      <c r="A498">
        <v>496</v>
      </c>
      <c r="B498">
        <v>15</v>
      </c>
      <c r="C498">
        <v>0.52500000000000002</v>
      </c>
      <c r="D498">
        <v>1.86</v>
      </c>
      <c r="E498">
        <v>0</v>
      </c>
      <c r="F498">
        <v>1.1020000000000001</v>
      </c>
      <c r="G498">
        <v>0</v>
      </c>
      <c r="H498">
        <v>7.6999999999999999E-2</v>
      </c>
      <c r="I498">
        <v>0.62</v>
      </c>
      <c r="K498">
        <v>496</v>
      </c>
      <c r="L498">
        <v>15</v>
      </c>
      <c r="M498" s="32">
        <v>0.52500000000000002</v>
      </c>
      <c r="N498" s="32">
        <v>1.86</v>
      </c>
      <c r="P498" s="47">
        <v>1.105</v>
      </c>
      <c r="R498" s="47">
        <v>7.9000000000000001E-2</v>
      </c>
      <c r="S498" s="47">
        <v>0.57999999999999996</v>
      </c>
      <c r="T498" s="31">
        <v>0</v>
      </c>
      <c r="V498">
        <v>496</v>
      </c>
      <c r="W498">
        <v>15</v>
      </c>
      <c r="X498">
        <v>0.53700000000000003</v>
      </c>
      <c r="Y498" s="32">
        <v>1.86</v>
      </c>
      <c r="Z498">
        <v>0</v>
      </c>
      <c r="AA498" s="32">
        <v>1.18</v>
      </c>
      <c r="AB498">
        <v>0</v>
      </c>
      <c r="AC498" s="34">
        <v>7.5999999999999998E-2</v>
      </c>
      <c r="AD498" s="32">
        <v>0.63400000000000001</v>
      </c>
    </row>
    <row r="499" spans="1:30">
      <c r="A499">
        <v>497</v>
      </c>
      <c r="B499">
        <v>15</v>
      </c>
      <c r="C499">
        <v>0.52600000000000002</v>
      </c>
      <c r="D499">
        <v>1.86</v>
      </c>
      <c r="E499">
        <v>0</v>
      </c>
      <c r="F499">
        <v>1.1020000000000001</v>
      </c>
      <c r="G499">
        <v>0</v>
      </c>
      <c r="H499">
        <v>7.6999999999999999E-2</v>
      </c>
      <c r="I499">
        <v>0.621</v>
      </c>
      <c r="K499">
        <v>497</v>
      </c>
      <c r="L499">
        <v>15</v>
      </c>
      <c r="M499" s="32">
        <v>0.52600000000000002</v>
      </c>
      <c r="N499" s="32">
        <v>1.86</v>
      </c>
      <c r="P499" s="47">
        <v>1.105</v>
      </c>
      <c r="R499" s="47">
        <v>7.9000000000000001E-2</v>
      </c>
      <c r="S499" s="47">
        <v>0.58099999999999996</v>
      </c>
      <c r="T499" s="31">
        <v>0</v>
      </c>
      <c r="V499">
        <v>497</v>
      </c>
      <c r="W499">
        <v>15</v>
      </c>
      <c r="X499">
        <v>0.53800000000000003</v>
      </c>
      <c r="Y499" s="32">
        <v>1.86</v>
      </c>
      <c r="Z499">
        <v>0</v>
      </c>
      <c r="AA499" s="32">
        <v>1.18</v>
      </c>
      <c r="AB499">
        <v>0</v>
      </c>
      <c r="AC499" s="34">
        <v>7.5999999999999998E-2</v>
      </c>
      <c r="AD499" s="32">
        <v>0.63500000000000001</v>
      </c>
    </row>
    <row r="500" spans="1:30">
      <c r="A500">
        <v>498</v>
      </c>
      <c r="B500">
        <v>15</v>
      </c>
      <c r="C500">
        <v>0.52700000000000002</v>
      </c>
      <c r="D500">
        <v>1.86</v>
      </c>
      <c r="E500">
        <v>0</v>
      </c>
      <c r="F500">
        <v>1.1020000000000001</v>
      </c>
      <c r="G500">
        <v>0</v>
      </c>
      <c r="H500">
        <v>7.6999999999999999E-2</v>
      </c>
      <c r="I500">
        <v>0.622</v>
      </c>
      <c r="K500">
        <v>498</v>
      </c>
      <c r="L500">
        <v>15</v>
      </c>
      <c r="M500" s="32">
        <v>0.52700000000000002</v>
      </c>
      <c r="N500" s="32">
        <v>1.86</v>
      </c>
      <c r="P500" s="47">
        <v>1.1060000000000001</v>
      </c>
      <c r="R500" s="47">
        <v>7.9000000000000001E-2</v>
      </c>
      <c r="S500" s="47">
        <v>0.58299999999999996</v>
      </c>
      <c r="T500" s="31">
        <v>0</v>
      </c>
      <c r="V500">
        <v>498</v>
      </c>
      <c r="W500">
        <v>15</v>
      </c>
      <c r="X500">
        <v>0.53900000000000003</v>
      </c>
      <c r="Y500" s="32">
        <v>1.86</v>
      </c>
      <c r="Z500">
        <v>0</v>
      </c>
      <c r="AA500" s="32">
        <v>1.18</v>
      </c>
      <c r="AB500">
        <v>0</v>
      </c>
      <c r="AC500" s="34">
        <v>7.5999999999999998E-2</v>
      </c>
      <c r="AD500" s="32">
        <v>0.63700000000000001</v>
      </c>
    </row>
    <row r="501" spans="1:30">
      <c r="A501">
        <v>499</v>
      </c>
      <c r="B501">
        <v>15</v>
      </c>
      <c r="C501">
        <v>0.52800000000000002</v>
      </c>
      <c r="D501">
        <v>1.86</v>
      </c>
      <c r="E501">
        <v>0</v>
      </c>
      <c r="F501">
        <v>1.1020000000000001</v>
      </c>
      <c r="G501">
        <v>0</v>
      </c>
      <c r="H501">
        <v>7.6999999999999999E-2</v>
      </c>
      <c r="I501">
        <v>0.624</v>
      </c>
      <c r="K501">
        <v>499</v>
      </c>
      <c r="L501">
        <v>15</v>
      </c>
      <c r="M501" s="32">
        <v>0.52800000000000002</v>
      </c>
      <c r="N501" s="32">
        <v>1.86</v>
      </c>
      <c r="P501" s="47">
        <v>1.1060000000000001</v>
      </c>
      <c r="R501" s="47">
        <v>7.9000000000000001E-2</v>
      </c>
      <c r="S501" s="47">
        <v>0.58399999999999996</v>
      </c>
      <c r="T501" s="31">
        <v>0</v>
      </c>
      <c r="V501">
        <v>499</v>
      </c>
      <c r="W501">
        <v>15</v>
      </c>
      <c r="X501">
        <v>0.54</v>
      </c>
      <c r="Y501" s="32">
        <v>1.86</v>
      </c>
      <c r="Z501">
        <v>0</v>
      </c>
      <c r="AA501" s="32">
        <v>1.181</v>
      </c>
      <c r="AB501">
        <v>0</v>
      </c>
      <c r="AC501" s="34">
        <v>7.6999999999999999E-2</v>
      </c>
      <c r="AD501" s="32">
        <v>0.63800000000000001</v>
      </c>
    </row>
    <row r="502" spans="1:30">
      <c r="A502">
        <v>500</v>
      </c>
      <c r="B502">
        <v>15</v>
      </c>
      <c r="C502">
        <v>0.52900000000000003</v>
      </c>
      <c r="D502">
        <v>1.86</v>
      </c>
      <c r="E502">
        <v>0</v>
      </c>
      <c r="F502">
        <v>1.1020000000000001</v>
      </c>
      <c r="G502">
        <v>0</v>
      </c>
      <c r="H502">
        <v>7.6999999999999999E-2</v>
      </c>
      <c r="I502">
        <v>0.625</v>
      </c>
      <c r="K502">
        <v>500</v>
      </c>
      <c r="L502">
        <v>15</v>
      </c>
      <c r="M502" s="32">
        <v>0.52900000000000003</v>
      </c>
      <c r="N502" s="32">
        <v>1.86</v>
      </c>
      <c r="P502" s="47">
        <v>1.107</v>
      </c>
      <c r="R502" s="47">
        <v>7.9000000000000001E-2</v>
      </c>
      <c r="S502" s="47">
        <v>0.58599999999999997</v>
      </c>
      <c r="T502" s="31">
        <v>0</v>
      </c>
      <c r="V502">
        <v>500</v>
      </c>
      <c r="W502">
        <v>15</v>
      </c>
      <c r="X502">
        <v>0.54100000000000004</v>
      </c>
      <c r="Y502" s="32">
        <v>1.87</v>
      </c>
      <c r="Z502">
        <v>0</v>
      </c>
      <c r="AA502" s="32">
        <v>1.181</v>
      </c>
      <c r="AB502">
        <v>0</v>
      </c>
      <c r="AC502" s="34">
        <v>7.6999999999999999E-2</v>
      </c>
      <c r="AD502" s="32">
        <v>0.63900000000000001</v>
      </c>
    </row>
    <row r="503" spans="1:30">
      <c r="A503">
        <v>501</v>
      </c>
      <c r="B503">
        <v>15</v>
      </c>
      <c r="C503">
        <v>0.53</v>
      </c>
      <c r="D503">
        <v>1.86</v>
      </c>
      <c r="E503">
        <v>0</v>
      </c>
      <c r="F503">
        <v>1.107</v>
      </c>
      <c r="G503">
        <v>0</v>
      </c>
      <c r="H503">
        <v>7.6999999999999999E-2</v>
      </c>
      <c r="I503">
        <v>0.58699999999999997</v>
      </c>
      <c r="K503">
        <v>501</v>
      </c>
      <c r="L503">
        <v>15</v>
      </c>
      <c r="M503" s="32">
        <v>0.53</v>
      </c>
      <c r="N503" s="32">
        <v>1.86</v>
      </c>
      <c r="P503" s="32">
        <v>1.107</v>
      </c>
      <c r="R503" s="47">
        <v>7.9000000000000001E-2</v>
      </c>
      <c r="S503" s="32">
        <v>0.58699999999999997</v>
      </c>
      <c r="T503" s="31">
        <v>0</v>
      </c>
      <c r="V503">
        <v>501</v>
      </c>
      <c r="W503">
        <v>15</v>
      </c>
      <c r="X503">
        <v>0.54200000000000004</v>
      </c>
      <c r="Y503" s="32">
        <v>1.88</v>
      </c>
      <c r="Z503">
        <v>0</v>
      </c>
      <c r="AA503" s="32">
        <v>1.181</v>
      </c>
      <c r="AB503">
        <v>0</v>
      </c>
      <c r="AC503" s="34">
        <v>7.6999999999999999E-2</v>
      </c>
      <c r="AD503" s="32">
        <v>0.64100000000000001</v>
      </c>
    </row>
    <row r="504" spans="1:30">
      <c r="A504">
        <v>502</v>
      </c>
      <c r="B504">
        <v>15</v>
      </c>
      <c r="C504">
        <v>0.53100000000000003</v>
      </c>
      <c r="D504">
        <v>1.86</v>
      </c>
      <c r="E504">
        <v>0</v>
      </c>
      <c r="F504">
        <v>1.107</v>
      </c>
      <c r="G504">
        <v>0</v>
      </c>
      <c r="H504">
        <v>7.6999999999999999E-2</v>
      </c>
      <c r="I504">
        <v>0.64200000000000002</v>
      </c>
      <c r="K504">
        <v>502</v>
      </c>
      <c r="L504">
        <v>15</v>
      </c>
      <c r="M504" s="32">
        <v>0.53100000000000003</v>
      </c>
      <c r="N504" s="32">
        <v>1.86</v>
      </c>
      <c r="P504" s="47">
        <v>1.1080000000000001</v>
      </c>
      <c r="R504" s="47">
        <v>7.9000000000000001E-2</v>
      </c>
      <c r="S504" s="47">
        <v>0.58799999999999997</v>
      </c>
      <c r="T504" s="31">
        <v>0</v>
      </c>
      <c r="V504">
        <v>502</v>
      </c>
      <c r="W504">
        <v>15</v>
      </c>
      <c r="X504">
        <v>0.54300000000000004</v>
      </c>
      <c r="Y504" s="32">
        <v>1.89</v>
      </c>
      <c r="Z504">
        <v>0</v>
      </c>
      <c r="AA504" s="32">
        <v>1.181</v>
      </c>
      <c r="AB504">
        <v>0</v>
      </c>
      <c r="AC504" s="34">
        <v>7.6999999999999999E-2</v>
      </c>
      <c r="AD504" s="32">
        <v>0.64200000000000002</v>
      </c>
    </row>
    <row r="505" spans="1:30">
      <c r="A505">
        <v>503</v>
      </c>
      <c r="B505">
        <v>15</v>
      </c>
      <c r="C505">
        <v>0.53200000000000003</v>
      </c>
      <c r="D505">
        <v>1.86</v>
      </c>
      <c r="E505">
        <v>0</v>
      </c>
      <c r="F505">
        <v>1.107</v>
      </c>
      <c r="G505">
        <v>0</v>
      </c>
      <c r="H505">
        <v>7.6999999999999999E-2</v>
      </c>
      <c r="I505">
        <v>0.64300000000000002</v>
      </c>
      <c r="K505">
        <v>503</v>
      </c>
      <c r="L505">
        <v>15</v>
      </c>
      <c r="M505" s="32">
        <v>0.53200000000000003</v>
      </c>
      <c r="N505" s="32">
        <v>1.86</v>
      </c>
      <c r="P505" s="47">
        <v>1.1080000000000001</v>
      </c>
      <c r="R505" s="47">
        <v>7.9000000000000001E-2</v>
      </c>
      <c r="S505" s="47">
        <v>0.59</v>
      </c>
      <c r="T505" s="31">
        <v>0</v>
      </c>
      <c r="V505">
        <v>503</v>
      </c>
      <c r="W505">
        <v>15</v>
      </c>
      <c r="X505">
        <v>0.54400000000000004</v>
      </c>
      <c r="Y505" s="32">
        <v>1.9</v>
      </c>
      <c r="Z505">
        <v>0</v>
      </c>
      <c r="AA505" s="32">
        <v>1.1819999999999999</v>
      </c>
      <c r="AB505">
        <v>0</v>
      </c>
      <c r="AC505" s="34">
        <v>7.6999999999999999E-2</v>
      </c>
      <c r="AD505" s="32">
        <v>0.64300000000000002</v>
      </c>
    </row>
    <row r="506" spans="1:30">
      <c r="A506">
        <v>504</v>
      </c>
      <c r="B506">
        <v>15</v>
      </c>
      <c r="C506">
        <v>0.53300000000000003</v>
      </c>
      <c r="D506">
        <v>1.86</v>
      </c>
      <c r="E506">
        <v>0</v>
      </c>
      <c r="F506">
        <v>1.107</v>
      </c>
      <c r="G506">
        <v>0</v>
      </c>
      <c r="H506">
        <v>7.6999999999999999E-2</v>
      </c>
      <c r="I506">
        <v>0.64400000000000002</v>
      </c>
      <c r="K506">
        <v>504</v>
      </c>
      <c r="L506">
        <v>15</v>
      </c>
      <c r="M506" s="32">
        <v>0.53300000000000003</v>
      </c>
      <c r="N506" s="32">
        <v>1.86</v>
      </c>
      <c r="P506" s="47">
        <v>1.109</v>
      </c>
      <c r="R506" s="47">
        <v>7.9000000000000001E-2</v>
      </c>
      <c r="S506" s="47">
        <v>0.59099999999999997</v>
      </c>
      <c r="T506" s="31">
        <v>0</v>
      </c>
      <c r="V506">
        <v>504</v>
      </c>
      <c r="W506">
        <v>15</v>
      </c>
      <c r="X506">
        <v>0.54500000000000004</v>
      </c>
      <c r="Y506" s="32">
        <v>1.91</v>
      </c>
      <c r="Z506">
        <v>0</v>
      </c>
      <c r="AA506" s="32">
        <v>1.1819999999999999</v>
      </c>
      <c r="AB506">
        <v>0</v>
      </c>
      <c r="AC506" s="34">
        <v>7.6999999999999999E-2</v>
      </c>
      <c r="AD506" s="32">
        <v>0.64400000000000002</v>
      </c>
    </row>
    <row r="507" spans="1:30">
      <c r="A507">
        <v>505</v>
      </c>
      <c r="B507">
        <v>15</v>
      </c>
      <c r="C507">
        <v>0.53400000000000003</v>
      </c>
      <c r="D507">
        <v>1.86</v>
      </c>
      <c r="E507">
        <v>0</v>
      </c>
      <c r="F507">
        <v>1.107</v>
      </c>
      <c r="G507">
        <v>0</v>
      </c>
      <c r="H507">
        <v>7.6999999999999999E-2</v>
      </c>
      <c r="I507">
        <v>0.64600000000000002</v>
      </c>
      <c r="K507">
        <v>505</v>
      </c>
      <c r="L507">
        <v>15</v>
      </c>
      <c r="M507" s="32">
        <v>0.53400000000000003</v>
      </c>
      <c r="N507" s="32">
        <v>1.86</v>
      </c>
      <c r="P507" s="47">
        <v>1.109</v>
      </c>
      <c r="R507" s="47">
        <v>7.9000000000000001E-2</v>
      </c>
      <c r="S507" s="47">
        <v>0.59299999999999997</v>
      </c>
      <c r="T507" s="31">
        <v>0</v>
      </c>
      <c r="V507">
        <v>505</v>
      </c>
      <c r="W507">
        <v>15</v>
      </c>
      <c r="X507">
        <v>0.54600000000000004</v>
      </c>
      <c r="Y507" s="32">
        <v>1.92</v>
      </c>
      <c r="Z507">
        <v>0</v>
      </c>
      <c r="AA507" s="32">
        <v>1.1819999999999999</v>
      </c>
      <c r="AB507">
        <v>0</v>
      </c>
      <c r="AC507" s="34">
        <v>7.6999999999999999E-2</v>
      </c>
      <c r="AD507" s="32">
        <v>0.64600000000000002</v>
      </c>
    </row>
    <row r="508" spans="1:30">
      <c r="A508">
        <v>506</v>
      </c>
      <c r="B508">
        <v>15</v>
      </c>
      <c r="C508">
        <v>0.53500000000000003</v>
      </c>
      <c r="D508">
        <v>1.86</v>
      </c>
      <c r="E508">
        <v>0</v>
      </c>
      <c r="F508">
        <v>1.107</v>
      </c>
      <c r="G508">
        <v>0</v>
      </c>
      <c r="H508">
        <v>7.6999999999999999E-2</v>
      </c>
      <c r="I508">
        <v>0.64700000000000002</v>
      </c>
      <c r="K508">
        <v>506</v>
      </c>
      <c r="L508">
        <v>15</v>
      </c>
      <c r="M508" s="32">
        <v>0.53500000000000003</v>
      </c>
      <c r="N508" s="32">
        <v>1.86</v>
      </c>
      <c r="P508" s="47">
        <v>1.1100000000000001</v>
      </c>
      <c r="R508" s="47">
        <v>7.9000000000000001E-2</v>
      </c>
      <c r="S508" s="47">
        <v>0.59399999999999997</v>
      </c>
      <c r="T508" s="31">
        <v>0</v>
      </c>
      <c r="V508">
        <v>506</v>
      </c>
      <c r="W508">
        <v>15</v>
      </c>
      <c r="X508">
        <v>0.54700000000000004</v>
      </c>
      <c r="Y508" s="32">
        <v>1.93</v>
      </c>
      <c r="Z508">
        <v>0</v>
      </c>
      <c r="AA508" s="32">
        <v>1.1819999999999999</v>
      </c>
      <c r="AB508">
        <v>0</v>
      </c>
      <c r="AC508" s="34">
        <v>7.6999999999999999E-2</v>
      </c>
      <c r="AD508" s="32">
        <v>0.64700000000000002</v>
      </c>
    </row>
    <row r="509" spans="1:30">
      <c r="A509">
        <v>507</v>
      </c>
      <c r="B509">
        <v>15</v>
      </c>
      <c r="C509">
        <v>0.53600000000000003</v>
      </c>
      <c r="D509">
        <v>1.86</v>
      </c>
      <c r="E509">
        <v>0</v>
      </c>
      <c r="F509">
        <v>1.107</v>
      </c>
      <c r="G509">
        <v>0</v>
      </c>
      <c r="H509">
        <v>7.6999999999999999E-2</v>
      </c>
      <c r="I509">
        <v>0.64800000000000002</v>
      </c>
      <c r="K509">
        <v>507</v>
      </c>
      <c r="L509">
        <v>15</v>
      </c>
      <c r="M509" s="32">
        <v>0.53600000000000003</v>
      </c>
      <c r="N509" s="32">
        <v>1.86</v>
      </c>
      <c r="P509" s="47">
        <v>1.1100000000000001</v>
      </c>
      <c r="R509" s="47">
        <v>7.9000000000000001E-2</v>
      </c>
      <c r="S509" s="47">
        <v>0.59499999999999997</v>
      </c>
      <c r="T509" s="31">
        <v>0</v>
      </c>
      <c r="V509">
        <v>507</v>
      </c>
      <c r="W509">
        <v>15</v>
      </c>
      <c r="X509">
        <v>0.54800000000000004</v>
      </c>
      <c r="Y509" s="32">
        <v>1.94</v>
      </c>
      <c r="Z509">
        <v>0</v>
      </c>
      <c r="AA509" s="32">
        <v>1.1819999999999999</v>
      </c>
      <c r="AB509">
        <v>0</v>
      </c>
      <c r="AC509" s="34">
        <v>7.6999999999999999E-2</v>
      </c>
      <c r="AD509" s="32">
        <v>0.64800000000000002</v>
      </c>
    </row>
    <row r="510" spans="1:30">
      <c r="A510">
        <v>508</v>
      </c>
      <c r="B510">
        <v>15</v>
      </c>
      <c r="C510">
        <v>0.53700000000000003</v>
      </c>
      <c r="D510">
        <v>1.86</v>
      </c>
      <c r="E510">
        <v>0</v>
      </c>
      <c r="F510">
        <v>1.107</v>
      </c>
      <c r="G510">
        <v>0</v>
      </c>
      <c r="H510">
        <v>7.6999999999999999E-2</v>
      </c>
      <c r="I510">
        <v>0.65</v>
      </c>
      <c r="K510">
        <v>508</v>
      </c>
      <c r="L510">
        <v>15</v>
      </c>
      <c r="M510" s="32">
        <v>0.53700000000000003</v>
      </c>
      <c r="N510" s="32">
        <v>1.86</v>
      </c>
      <c r="P510" s="47">
        <v>1.111</v>
      </c>
      <c r="R510" s="47">
        <v>7.9000000000000001E-2</v>
      </c>
      <c r="S510" s="47">
        <v>0.59699999999999998</v>
      </c>
      <c r="T510" s="31">
        <v>0</v>
      </c>
      <c r="V510">
        <v>508</v>
      </c>
      <c r="W510">
        <v>15</v>
      </c>
      <c r="X510">
        <v>0.54900000000000004</v>
      </c>
      <c r="Y510" s="32">
        <v>1.95</v>
      </c>
      <c r="Z510">
        <v>0</v>
      </c>
      <c r="AA510" s="32">
        <v>1.1830000000000001</v>
      </c>
      <c r="AB510">
        <v>0</v>
      </c>
      <c r="AC510" s="34">
        <v>7.6999999999999999E-2</v>
      </c>
      <c r="AD510" s="32">
        <v>0.65</v>
      </c>
    </row>
    <row r="511" spans="1:30">
      <c r="A511">
        <v>509</v>
      </c>
      <c r="B511">
        <v>15</v>
      </c>
      <c r="C511">
        <v>0.53800000000000003</v>
      </c>
      <c r="D511">
        <v>1.86</v>
      </c>
      <c r="E511">
        <v>0</v>
      </c>
      <c r="F511">
        <v>1.107</v>
      </c>
      <c r="G511">
        <v>0</v>
      </c>
      <c r="H511">
        <v>7.6999999999999999E-2</v>
      </c>
      <c r="I511">
        <v>0.65100000000000002</v>
      </c>
      <c r="K511">
        <v>509</v>
      </c>
      <c r="L511">
        <v>15</v>
      </c>
      <c r="M511" s="32">
        <v>0.53800000000000003</v>
      </c>
      <c r="N511" s="32">
        <v>1.86</v>
      </c>
      <c r="P511" s="47">
        <v>1.111</v>
      </c>
      <c r="R511" s="47">
        <v>7.9000000000000001E-2</v>
      </c>
      <c r="S511" s="47">
        <v>0.59799999999999998</v>
      </c>
      <c r="T511" s="31">
        <v>0</v>
      </c>
      <c r="V511">
        <v>509</v>
      </c>
      <c r="W511">
        <v>15</v>
      </c>
      <c r="X511">
        <v>0.55000000000000004</v>
      </c>
      <c r="Y511" s="32">
        <v>1.96</v>
      </c>
      <c r="Z511">
        <v>0</v>
      </c>
      <c r="AA511" s="32">
        <v>1.1830000000000001</v>
      </c>
      <c r="AB511">
        <v>0</v>
      </c>
      <c r="AC511" s="34">
        <v>7.8E-2</v>
      </c>
      <c r="AD511" s="32">
        <v>0.65100000000000002</v>
      </c>
    </row>
    <row r="512" spans="1:30">
      <c r="A512">
        <v>510</v>
      </c>
      <c r="B512">
        <v>15</v>
      </c>
      <c r="C512">
        <v>0.53900000000000003</v>
      </c>
      <c r="D512">
        <v>1.86</v>
      </c>
      <c r="E512">
        <v>0</v>
      </c>
      <c r="F512">
        <v>1.107</v>
      </c>
      <c r="G512">
        <v>0</v>
      </c>
      <c r="H512">
        <v>7.6999999999999999E-2</v>
      </c>
      <c r="I512">
        <v>0.65200000000000002</v>
      </c>
      <c r="K512">
        <v>510</v>
      </c>
      <c r="L512">
        <v>15</v>
      </c>
      <c r="M512" s="32">
        <v>0.53900000000000003</v>
      </c>
      <c r="N512" s="32">
        <v>1.86</v>
      </c>
      <c r="P512" s="47">
        <v>1.1120000000000001</v>
      </c>
      <c r="R512" s="47">
        <v>7.9000000000000001E-2</v>
      </c>
      <c r="S512" s="47">
        <v>0.6</v>
      </c>
      <c r="T512" s="31">
        <v>0</v>
      </c>
      <c r="V512">
        <v>510</v>
      </c>
      <c r="W512">
        <v>15</v>
      </c>
      <c r="X512">
        <v>0.55100000000000005</v>
      </c>
      <c r="Y512" s="32">
        <v>1.96</v>
      </c>
      <c r="Z512">
        <v>0</v>
      </c>
      <c r="AA512" s="32">
        <v>1.1830000000000001</v>
      </c>
      <c r="AB512">
        <v>0</v>
      </c>
      <c r="AC512" s="34">
        <v>7.8E-2</v>
      </c>
      <c r="AD512" s="32">
        <v>0.65200000000000002</v>
      </c>
    </row>
    <row r="513" spans="1:30">
      <c r="A513">
        <v>511</v>
      </c>
      <c r="B513">
        <v>15</v>
      </c>
      <c r="C513">
        <v>0.54</v>
      </c>
      <c r="D513">
        <v>1.86</v>
      </c>
      <c r="E513">
        <v>0</v>
      </c>
      <c r="F513">
        <v>1.1120000000000001</v>
      </c>
      <c r="G513">
        <v>0</v>
      </c>
      <c r="H513">
        <v>7.6999999999999999E-2</v>
      </c>
      <c r="I513">
        <v>0.60099999999999998</v>
      </c>
      <c r="K513">
        <v>511</v>
      </c>
      <c r="L513">
        <v>15</v>
      </c>
      <c r="M513" s="32">
        <v>0.54</v>
      </c>
      <c r="N513" s="32">
        <v>1.86</v>
      </c>
      <c r="P513" s="32">
        <v>1.1120000000000001</v>
      </c>
      <c r="R513" s="47">
        <v>0.08</v>
      </c>
      <c r="S513" s="32">
        <v>0.60099999999999998</v>
      </c>
      <c r="T513" s="31">
        <v>0</v>
      </c>
      <c r="V513">
        <v>511</v>
      </c>
      <c r="W513">
        <v>15</v>
      </c>
      <c r="X513">
        <v>0.55200000000000005</v>
      </c>
      <c r="Y513" s="32">
        <v>1.96</v>
      </c>
      <c r="Z513">
        <v>0</v>
      </c>
      <c r="AA513" s="32">
        <v>1.1830000000000001</v>
      </c>
      <c r="AB513">
        <v>0</v>
      </c>
      <c r="AC513" s="34">
        <v>7.8E-2</v>
      </c>
      <c r="AD513" s="32">
        <v>0.65400000000000003</v>
      </c>
    </row>
    <row r="514" spans="1:30">
      <c r="A514">
        <v>512</v>
      </c>
      <c r="B514">
        <v>15</v>
      </c>
      <c r="C514">
        <v>0.54100000000000004</v>
      </c>
      <c r="D514">
        <v>1.86</v>
      </c>
      <c r="E514">
        <v>0</v>
      </c>
      <c r="F514">
        <v>1.1120000000000001</v>
      </c>
      <c r="G514">
        <v>0</v>
      </c>
      <c r="H514">
        <v>7.6999999999999999E-2</v>
      </c>
      <c r="I514">
        <v>0.66900000000000004</v>
      </c>
      <c r="K514">
        <v>512</v>
      </c>
      <c r="L514">
        <v>15</v>
      </c>
      <c r="M514" s="32">
        <v>0.54100000000000004</v>
      </c>
      <c r="N514" s="47">
        <v>1.87</v>
      </c>
      <c r="P514" s="47">
        <v>1.113</v>
      </c>
      <c r="R514" s="47">
        <v>0.08</v>
      </c>
      <c r="S514" s="47">
        <v>0.60199999999999998</v>
      </c>
      <c r="T514" s="31">
        <v>0</v>
      </c>
      <c r="V514">
        <v>512</v>
      </c>
      <c r="W514">
        <v>15</v>
      </c>
      <c r="X514">
        <v>0.55300000000000005</v>
      </c>
      <c r="Y514" s="32">
        <v>1.96</v>
      </c>
      <c r="Z514">
        <v>0</v>
      </c>
      <c r="AA514" s="32">
        <v>1.1839999999999999</v>
      </c>
      <c r="AB514">
        <v>0</v>
      </c>
      <c r="AC514" s="34">
        <v>7.8E-2</v>
      </c>
      <c r="AD514" s="32">
        <v>0.65500000000000003</v>
      </c>
    </row>
    <row r="515" spans="1:30">
      <c r="A515">
        <v>513</v>
      </c>
      <c r="B515">
        <v>15</v>
      </c>
      <c r="C515">
        <v>0.54200000000000004</v>
      </c>
      <c r="D515">
        <v>1.86</v>
      </c>
      <c r="E515">
        <v>0</v>
      </c>
      <c r="F515">
        <v>1.1120000000000001</v>
      </c>
      <c r="G515">
        <v>0</v>
      </c>
      <c r="H515">
        <v>7.6999999999999999E-2</v>
      </c>
      <c r="I515">
        <v>0.67</v>
      </c>
      <c r="K515">
        <v>513</v>
      </c>
      <c r="L515">
        <v>15</v>
      </c>
      <c r="M515" s="32">
        <v>0.54200000000000004</v>
      </c>
      <c r="N515" s="47">
        <v>1.88</v>
      </c>
      <c r="P515" s="47">
        <v>1.113</v>
      </c>
      <c r="R515" s="47">
        <v>0.08</v>
      </c>
      <c r="S515" s="47">
        <v>0.60299999999999998</v>
      </c>
      <c r="T515" s="31">
        <v>0</v>
      </c>
      <c r="V515">
        <v>513</v>
      </c>
      <c r="W515">
        <v>15</v>
      </c>
      <c r="X515">
        <v>0.55400000000000005</v>
      </c>
      <c r="Y515" s="32">
        <v>1.96</v>
      </c>
      <c r="Z515">
        <v>0</v>
      </c>
      <c r="AA515" s="32">
        <v>1.1839999999999999</v>
      </c>
      <c r="AB515">
        <v>0</v>
      </c>
      <c r="AC515" s="34">
        <v>7.8E-2</v>
      </c>
      <c r="AD515" s="32">
        <v>0.65600000000000003</v>
      </c>
    </row>
    <row r="516" spans="1:30">
      <c r="A516">
        <v>514</v>
      </c>
      <c r="B516">
        <v>15</v>
      </c>
      <c r="C516">
        <v>0.54300000000000004</v>
      </c>
      <c r="D516">
        <v>1.86</v>
      </c>
      <c r="E516">
        <v>0</v>
      </c>
      <c r="F516">
        <v>1.1120000000000001</v>
      </c>
      <c r="G516">
        <v>0</v>
      </c>
      <c r="H516">
        <v>7.6999999999999999E-2</v>
      </c>
      <c r="I516">
        <v>0.67200000000000004</v>
      </c>
      <c r="K516">
        <v>514</v>
      </c>
      <c r="L516">
        <v>15</v>
      </c>
      <c r="M516" s="32">
        <v>0.54300000000000004</v>
      </c>
      <c r="N516" s="47">
        <v>1.89</v>
      </c>
      <c r="P516" s="47">
        <v>1.1140000000000001</v>
      </c>
      <c r="R516" s="47">
        <v>0.08</v>
      </c>
      <c r="S516" s="47">
        <v>0.60399999999999998</v>
      </c>
      <c r="T516" s="31">
        <v>0</v>
      </c>
      <c r="V516">
        <v>514</v>
      </c>
      <c r="W516">
        <v>15</v>
      </c>
      <c r="X516">
        <v>0.55500000000000005</v>
      </c>
      <c r="Y516" s="32">
        <v>1.96</v>
      </c>
      <c r="Z516">
        <v>0</v>
      </c>
      <c r="AA516" s="32">
        <v>1.1839999999999999</v>
      </c>
      <c r="AB516">
        <v>0</v>
      </c>
      <c r="AC516" s="34">
        <v>7.8E-2</v>
      </c>
      <c r="AD516" s="32">
        <v>0.65800000000000003</v>
      </c>
    </row>
    <row r="517" spans="1:30">
      <c r="A517">
        <v>515</v>
      </c>
      <c r="B517">
        <v>15</v>
      </c>
      <c r="C517">
        <v>0.54400000000000004</v>
      </c>
      <c r="D517">
        <v>1.86</v>
      </c>
      <c r="E517">
        <v>0</v>
      </c>
      <c r="F517">
        <v>1.1120000000000001</v>
      </c>
      <c r="G517">
        <v>0</v>
      </c>
      <c r="H517">
        <v>7.6999999999999999E-2</v>
      </c>
      <c r="I517">
        <v>0.67300000000000004</v>
      </c>
      <c r="K517">
        <v>515</v>
      </c>
      <c r="L517">
        <v>15</v>
      </c>
      <c r="M517" s="32">
        <v>0.54400000000000004</v>
      </c>
      <c r="N517" s="47">
        <v>1.9</v>
      </c>
      <c r="P517" s="47">
        <v>1.1140000000000001</v>
      </c>
      <c r="R517" s="47">
        <v>0.08</v>
      </c>
      <c r="S517" s="47">
        <v>0.60499999999999998</v>
      </c>
      <c r="T517" s="31">
        <v>0</v>
      </c>
      <c r="V517">
        <v>515</v>
      </c>
      <c r="W517">
        <v>15</v>
      </c>
      <c r="X517">
        <v>0.55600000000000005</v>
      </c>
      <c r="Y517" s="32">
        <v>1.96</v>
      </c>
      <c r="Z517">
        <v>0</v>
      </c>
      <c r="AA517" s="32">
        <v>1.1839999999999999</v>
      </c>
      <c r="AB517">
        <v>0</v>
      </c>
      <c r="AC517" s="34">
        <v>7.8E-2</v>
      </c>
      <c r="AD517" s="32">
        <v>0.65900000000000003</v>
      </c>
    </row>
    <row r="518" spans="1:30">
      <c r="A518">
        <v>516</v>
      </c>
      <c r="B518">
        <v>15</v>
      </c>
      <c r="C518">
        <v>0.54500000000000004</v>
      </c>
      <c r="D518">
        <v>1.86</v>
      </c>
      <c r="E518">
        <v>0</v>
      </c>
      <c r="F518">
        <v>1.1120000000000001</v>
      </c>
      <c r="G518">
        <v>0</v>
      </c>
      <c r="H518">
        <v>7.6999999999999999E-2</v>
      </c>
      <c r="I518">
        <v>0.67400000000000004</v>
      </c>
      <c r="K518">
        <v>516</v>
      </c>
      <c r="L518">
        <v>15</v>
      </c>
      <c r="M518" s="32">
        <v>0.54500000000000004</v>
      </c>
      <c r="N518" s="47">
        <v>1.91</v>
      </c>
      <c r="P518" s="47">
        <v>1.115</v>
      </c>
      <c r="R518" s="47">
        <v>0.08</v>
      </c>
      <c r="S518" s="47">
        <v>0.60699999999999998</v>
      </c>
      <c r="T518" s="31">
        <v>0</v>
      </c>
      <c r="V518">
        <v>516</v>
      </c>
      <c r="W518">
        <v>15</v>
      </c>
      <c r="X518">
        <v>0.55700000000000005</v>
      </c>
      <c r="Y518" s="32">
        <v>1.96</v>
      </c>
      <c r="Z518">
        <v>0</v>
      </c>
      <c r="AA518" s="32">
        <v>1.1839999999999999</v>
      </c>
      <c r="AB518">
        <v>0</v>
      </c>
      <c r="AC518" s="34">
        <v>7.8E-2</v>
      </c>
      <c r="AD518" s="32">
        <v>0.66</v>
      </c>
    </row>
    <row r="519" spans="1:30">
      <c r="A519">
        <v>517</v>
      </c>
      <c r="B519">
        <v>15</v>
      </c>
      <c r="C519">
        <v>0.54600000000000004</v>
      </c>
      <c r="D519">
        <v>1.86</v>
      </c>
      <c r="E519">
        <v>0</v>
      </c>
      <c r="F519">
        <v>1.1120000000000001</v>
      </c>
      <c r="G519">
        <v>0</v>
      </c>
      <c r="H519">
        <v>7.6999999999999999E-2</v>
      </c>
      <c r="I519">
        <v>0.67600000000000005</v>
      </c>
      <c r="K519">
        <v>517</v>
      </c>
      <c r="L519">
        <v>15</v>
      </c>
      <c r="M519" s="32">
        <v>0.54600000000000004</v>
      </c>
      <c r="N519" s="47">
        <v>1.92</v>
      </c>
      <c r="P519" s="47">
        <v>1.115</v>
      </c>
      <c r="R519" s="47">
        <v>0.08</v>
      </c>
      <c r="S519" s="47">
        <v>0.60799999999999998</v>
      </c>
      <c r="T519" s="31">
        <v>0</v>
      </c>
      <c r="V519">
        <v>517</v>
      </c>
      <c r="W519">
        <v>15</v>
      </c>
      <c r="X519">
        <v>0.55800000000000005</v>
      </c>
      <c r="Y519" s="32">
        <v>1.96</v>
      </c>
      <c r="Z519">
        <v>0</v>
      </c>
      <c r="AA519" s="32">
        <v>1.1850000000000001</v>
      </c>
      <c r="AB519">
        <v>0</v>
      </c>
      <c r="AC519" s="34">
        <v>7.8E-2</v>
      </c>
      <c r="AD519" s="32">
        <v>0.66100000000000003</v>
      </c>
    </row>
    <row r="520" spans="1:30">
      <c r="A520">
        <v>518</v>
      </c>
      <c r="B520">
        <v>15</v>
      </c>
      <c r="C520">
        <v>0.54700000000000004</v>
      </c>
      <c r="D520">
        <v>1.86</v>
      </c>
      <c r="E520">
        <v>0</v>
      </c>
      <c r="F520">
        <v>1.1120000000000001</v>
      </c>
      <c r="G520">
        <v>0</v>
      </c>
      <c r="H520">
        <v>7.6999999999999999E-2</v>
      </c>
      <c r="I520">
        <v>0.67700000000000005</v>
      </c>
      <c r="K520">
        <v>518</v>
      </c>
      <c r="L520">
        <v>15</v>
      </c>
      <c r="M520" s="32">
        <v>0.54700000000000004</v>
      </c>
      <c r="N520" s="47">
        <v>1.93</v>
      </c>
      <c r="P520" s="47">
        <v>1.1160000000000001</v>
      </c>
      <c r="R520" s="47">
        <v>0.08</v>
      </c>
      <c r="S520" s="47">
        <v>0.60899999999999999</v>
      </c>
      <c r="T520" s="31">
        <v>0</v>
      </c>
      <c r="V520">
        <v>518</v>
      </c>
      <c r="W520">
        <v>15</v>
      </c>
      <c r="X520">
        <v>0.55900000000000005</v>
      </c>
      <c r="Y520" s="32">
        <v>1.96</v>
      </c>
      <c r="Z520">
        <v>0</v>
      </c>
      <c r="AA520" s="32">
        <v>1.1850000000000001</v>
      </c>
      <c r="AB520">
        <v>0</v>
      </c>
      <c r="AC520" s="34">
        <v>7.8E-2</v>
      </c>
      <c r="AD520" s="32">
        <v>0.66300000000000003</v>
      </c>
    </row>
    <row r="521" spans="1:30">
      <c r="A521">
        <v>519</v>
      </c>
      <c r="B521">
        <v>15</v>
      </c>
      <c r="C521">
        <v>0.54800000000000004</v>
      </c>
      <c r="D521">
        <v>1.86</v>
      </c>
      <c r="E521">
        <v>0</v>
      </c>
      <c r="F521">
        <v>1.1120000000000001</v>
      </c>
      <c r="G521">
        <v>0</v>
      </c>
      <c r="H521">
        <v>7.6999999999999999E-2</v>
      </c>
      <c r="I521">
        <v>0.67800000000000005</v>
      </c>
      <c r="K521">
        <v>519</v>
      </c>
      <c r="L521">
        <v>15</v>
      </c>
      <c r="M521" s="32">
        <v>0.54800000000000004</v>
      </c>
      <c r="N521" s="47">
        <v>1.94</v>
      </c>
      <c r="P521" s="47">
        <v>1.1160000000000001</v>
      </c>
      <c r="R521" s="47">
        <v>0.08</v>
      </c>
      <c r="S521" s="47">
        <v>0.61</v>
      </c>
      <c r="T521" s="31">
        <v>0</v>
      </c>
      <c r="V521">
        <v>519</v>
      </c>
      <c r="W521">
        <v>15</v>
      </c>
      <c r="X521">
        <v>0.56000000000000005</v>
      </c>
      <c r="Y521" s="32">
        <v>1.96</v>
      </c>
      <c r="Z521">
        <v>0</v>
      </c>
      <c r="AA521" s="32">
        <v>1.1850000000000001</v>
      </c>
      <c r="AB521">
        <v>0</v>
      </c>
      <c r="AC521" s="34">
        <v>7.8E-2</v>
      </c>
      <c r="AD521" s="32">
        <v>0.66400000000000003</v>
      </c>
    </row>
    <row r="522" spans="1:30">
      <c r="A522">
        <v>520</v>
      </c>
      <c r="B522">
        <v>15</v>
      </c>
      <c r="C522">
        <v>0.54900000000000004</v>
      </c>
      <c r="D522">
        <v>1.86</v>
      </c>
      <c r="E522">
        <v>0</v>
      </c>
      <c r="F522">
        <v>1.1120000000000001</v>
      </c>
      <c r="G522">
        <v>0</v>
      </c>
      <c r="H522">
        <v>7.6999999999999999E-2</v>
      </c>
      <c r="I522">
        <v>0.68</v>
      </c>
      <c r="K522">
        <v>520</v>
      </c>
      <c r="L522">
        <v>15</v>
      </c>
      <c r="M522" s="32">
        <v>0.54900000000000004</v>
      </c>
      <c r="N522" s="47">
        <v>1.95</v>
      </c>
      <c r="P522" s="47">
        <v>1.117</v>
      </c>
      <c r="R522" s="47">
        <v>0.08</v>
      </c>
      <c r="S522" s="47">
        <v>0.61099999999999999</v>
      </c>
      <c r="T522" s="31">
        <v>0</v>
      </c>
      <c r="V522">
        <v>520</v>
      </c>
      <c r="W522">
        <v>15</v>
      </c>
      <c r="X522">
        <v>0.56100000000000005</v>
      </c>
      <c r="Y522" s="32">
        <v>1.96</v>
      </c>
      <c r="Z522">
        <v>0</v>
      </c>
      <c r="AA522" s="32">
        <v>1.1850000000000001</v>
      </c>
      <c r="AB522">
        <v>0</v>
      </c>
      <c r="AC522" s="34">
        <v>7.9000000000000001E-2</v>
      </c>
      <c r="AD522" s="32">
        <v>0.66500000000000004</v>
      </c>
    </row>
    <row r="523" spans="1:30">
      <c r="A523">
        <v>521</v>
      </c>
      <c r="B523">
        <v>16</v>
      </c>
      <c r="C523">
        <v>0.55000000000000004</v>
      </c>
      <c r="D523">
        <v>1.96</v>
      </c>
      <c r="E523">
        <v>0</v>
      </c>
      <c r="F523">
        <v>1.117</v>
      </c>
      <c r="G523">
        <v>0</v>
      </c>
      <c r="H523">
        <v>0.08</v>
      </c>
      <c r="I523">
        <v>0.61199999999999999</v>
      </c>
      <c r="K523">
        <v>521</v>
      </c>
      <c r="L523">
        <v>16</v>
      </c>
      <c r="M523" s="32">
        <v>0.55000000000000004</v>
      </c>
      <c r="N523" s="32">
        <v>1.96</v>
      </c>
      <c r="P523" s="32">
        <v>1.117</v>
      </c>
      <c r="R523" s="32">
        <v>0.08</v>
      </c>
      <c r="S523" s="32">
        <v>0.61199999999999999</v>
      </c>
      <c r="T523" s="31">
        <v>0</v>
      </c>
      <c r="V523">
        <v>521</v>
      </c>
      <c r="W523">
        <v>15</v>
      </c>
      <c r="X523">
        <v>0.56200000000000006</v>
      </c>
      <c r="Y523" s="32">
        <v>1.96</v>
      </c>
      <c r="Z523">
        <v>0</v>
      </c>
      <c r="AA523" s="32">
        <v>1.1859999999999999</v>
      </c>
      <c r="AB523">
        <v>0</v>
      </c>
      <c r="AC523" s="34">
        <v>7.9000000000000001E-2</v>
      </c>
      <c r="AD523" s="32">
        <v>0.66700000000000004</v>
      </c>
    </row>
    <row r="524" spans="1:30">
      <c r="A524">
        <v>522</v>
      </c>
      <c r="B524">
        <v>16</v>
      </c>
      <c r="C524">
        <v>0.55100000000000005</v>
      </c>
      <c r="D524">
        <v>1.96</v>
      </c>
      <c r="E524">
        <v>0</v>
      </c>
      <c r="F524">
        <v>1.117</v>
      </c>
      <c r="G524">
        <v>0</v>
      </c>
      <c r="H524">
        <v>0.08</v>
      </c>
      <c r="I524">
        <v>0.61299999999999999</v>
      </c>
      <c r="K524">
        <v>522</v>
      </c>
      <c r="L524">
        <v>16</v>
      </c>
      <c r="M524" s="32">
        <v>0.55100000000000005</v>
      </c>
      <c r="N524" s="32">
        <v>1.96</v>
      </c>
      <c r="P524" s="47">
        <v>1.1180000000000001</v>
      </c>
      <c r="R524" s="32">
        <v>0.08</v>
      </c>
      <c r="S524" s="47">
        <v>0.61399999999999999</v>
      </c>
      <c r="T524" s="31">
        <v>0</v>
      </c>
      <c r="V524">
        <v>522</v>
      </c>
      <c r="W524">
        <v>15</v>
      </c>
      <c r="X524">
        <v>0.56299999999999994</v>
      </c>
      <c r="Y524" s="32">
        <v>1.96</v>
      </c>
      <c r="Z524">
        <v>0</v>
      </c>
      <c r="AA524" s="32">
        <v>1.1859999999999999</v>
      </c>
      <c r="AB524">
        <v>0</v>
      </c>
      <c r="AC524" s="34">
        <v>7.9000000000000001E-2</v>
      </c>
      <c r="AD524" s="32">
        <v>0.66800000000000004</v>
      </c>
    </row>
    <row r="525" spans="1:30">
      <c r="A525">
        <v>523</v>
      </c>
      <c r="B525">
        <v>16</v>
      </c>
      <c r="C525">
        <v>0.55200000000000005</v>
      </c>
      <c r="D525">
        <v>1.96</v>
      </c>
      <c r="E525">
        <v>0</v>
      </c>
      <c r="F525">
        <v>1.1180000000000001</v>
      </c>
      <c r="G525">
        <v>0</v>
      </c>
      <c r="H525">
        <v>0.08</v>
      </c>
      <c r="I525">
        <v>0.61499999999999999</v>
      </c>
      <c r="K525">
        <v>523</v>
      </c>
      <c r="L525">
        <v>16</v>
      </c>
      <c r="M525" s="32">
        <v>0.55200000000000005</v>
      </c>
      <c r="N525" s="32">
        <v>1.96</v>
      </c>
      <c r="P525" s="32">
        <v>1.1180000000000001</v>
      </c>
      <c r="R525" s="32">
        <v>0.08</v>
      </c>
      <c r="S525" s="32">
        <v>0.61499999999999999</v>
      </c>
      <c r="T525" s="31">
        <v>0</v>
      </c>
      <c r="V525">
        <v>523</v>
      </c>
      <c r="W525">
        <v>15</v>
      </c>
      <c r="X525">
        <v>0.56399999999999995</v>
      </c>
      <c r="Y525" s="32">
        <v>1.96</v>
      </c>
      <c r="Z525">
        <v>0</v>
      </c>
      <c r="AA525" s="32">
        <v>1.1859999999999999</v>
      </c>
      <c r="AB525">
        <v>0</v>
      </c>
      <c r="AC525" s="34">
        <v>7.9000000000000001E-2</v>
      </c>
      <c r="AD525" s="32">
        <v>0.66900000000000004</v>
      </c>
    </row>
    <row r="526" spans="1:30">
      <c r="A526">
        <v>524</v>
      </c>
      <c r="B526">
        <v>16</v>
      </c>
      <c r="C526">
        <v>0.55300000000000005</v>
      </c>
      <c r="D526">
        <v>1.96</v>
      </c>
      <c r="E526">
        <v>0</v>
      </c>
      <c r="F526">
        <v>1.1180000000000001</v>
      </c>
      <c r="G526">
        <v>0</v>
      </c>
      <c r="H526">
        <v>0.08</v>
      </c>
      <c r="I526">
        <v>0.61599999999999999</v>
      </c>
      <c r="K526">
        <v>524</v>
      </c>
      <c r="L526">
        <v>16</v>
      </c>
      <c r="M526" s="32">
        <v>0.55300000000000005</v>
      </c>
      <c r="N526" s="32">
        <v>1.96</v>
      </c>
      <c r="P526" s="47">
        <v>1.119</v>
      </c>
      <c r="R526" s="32">
        <v>0.08</v>
      </c>
      <c r="S526" s="47">
        <v>0.61699999999999999</v>
      </c>
      <c r="T526" s="31">
        <v>0</v>
      </c>
      <c r="V526">
        <v>524</v>
      </c>
      <c r="W526">
        <v>15</v>
      </c>
      <c r="X526">
        <v>0.56499999999999995</v>
      </c>
      <c r="Y526" s="32">
        <v>1.96</v>
      </c>
      <c r="Z526">
        <v>0</v>
      </c>
      <c r="AA526" s="32">
        <v>1.1859999999999999</v>
      </c>
      <c r="AB526">
        <v>0</v>
      </c>
      <c r="AC526" s="34">
        <v>7.9000000000000001E-2</v>
      </c>
      <c r="AD526" s="32">
        <v>0.67100000000000004</v>
      </c>
    </row>
    <row r="527" spans="1:30">
      <c r="A527">
        <v>525</v>
      </c>
      <c r="B527">
        <v>16</v>
      </c>
      <c r="C527">
        <v>0.55400000000000005</v>
      </c>
      <c r="D527">
        <v>1.97</v>
      </c>
      <c r="E527">
        <v>0</v>
      </c>
      <c r="F527">
        <v>1.119</v>
      </c>
      <c r="G527">
        <v>0</v>
      </c>
      <c r="H527">
        <v>0.08</v>
      </c>
      <c r="I527">
        <v>0.61799999999999999</v>
      </c>
      <c r="K527">
        <v>525</v>
      </c>
      <c r="L527">
        <v>16</v>
      </c>
      <c r="M527" s="32">
        <v>0.55400000000000005</v>
      </c>
      <c r="N527" s="47">
        <v>1.96</v>
      </c>
      <c r="P527" s="32">
        <v>1.119</v>
      </c>
      <c r="R527" s="32">
        <v>0.08</v>
      </c>
      <c r="S527" s="32">
        <v>0.61799999999999999</v>
      </c>
      <c r="T527" s="31">
        <v>0</v>
      </c>
      <c r="V527">
        <v>525</v>
      </c>
      <c r="W527">
        <v>15</v>
      </c>
      <c r="X527">
        <v>0.56599999999999995</v>
      </c>
      <c r="Y527" s="32">
        <v>1.96</v>
      </c>
      <c r="Z527">
        <v>0</v>
      </c>
      <c r="AA527" s="32">
        <v>1.1859999999999999</v>
      </c>
      <c r="AB527">
        <v>0</v>
      </c>
      <c r="AC527" s="34">
        <v>7.9000000000000001E-2</v>
      </c>
      <c r="AD527" s="32">
        <v>0.67200000000000004</v>
      </c>
    </row>
    <row r="528" spans="1:30">
      <c r="A528">
        <v>526</v>
      </c>
      <c r="B528">
        <v>16</v>
      </c>
      <c r="C528">
        <v>0.55500000000000005</v>
      </c>
      <c r="D528">
        <v>1.97</v>
      </c>
      <c r="E528">
        <v>0</v>
      </c>
      <c r="F528">
        <v>1.119</v>
      </c>
      <c r="G528">
        <v>0</v>
      </c>
      <c r="H528">
        <v>0.08</v>
      </c>
      <c r="I528">
        <v>0.61899999999999999</v>
      </c>
      <c r="K528">
        <v>526</v>
      </c>
      <c r="L528">
        <v>16</v>
      </c>
      <c r="M528" s="32">
        <v>0.55500000000000005</v>
      </c>
      <c r="N528" s="47">
        <v>1.96</v>
      </c>
      <c r="P528" s="47">
        <v>1.1200000000000001</v>
      </c>
      <c r="R528" s="32">
        <v>0.08</v>
      </c>
      <c r="S528" s="47">
        <v>0.62</v>
      </c>
      <c r="T528" s="31">
        <v>0</v>
      </c>
      <c r="V528">
        <v>526</v>
      </c>
      <c r="W528">
        <v>15</v>
      </c>
      <c r="X528">
        <v>0.56699999999999995</v>
      </c>
      <c r="Y528" s="32">
        <v>1.96</v>
      </c>
      <c r="Z528">
        <v>0</v>
      </c>
      <c r="AA528" s="32">
        <v>1.1870000000000001</v>
      </c>
      <c r="AB528">
        <v>0</v>
      </c>
      <c r="AC528" s="34">
        <v>7.9000000000000001E-2</v>
      </c>
      <c r="AD528" s="32">
        <v>0.67300000000000004</v>
      </c>
    </row>
    <row r="529" spans="1:30">
      <c r="A529">
        <v>527</v>
      </c>
      <c r="B529">
        <v>16</v>
      </c>
      <c r="C529">
        <v>0.55600000000000005</v>
      </c>
      <c r="D529">
        <v>1.97</v>
      </c>
      <c r="E529">
        <v>0</v>
      </c>
      <c r="F529">
        <v>1.1200000000000001</v>
      </c>
      <c r="G529">
        <v>0</v>
      </c>
      <c r="H529">
        <v>0.08</v>
      </c>
      <c r="I529">
        <v>0.62</v>
      </c>
      <c r="K529">
        <v>527</v>
      </c>
      <c r="L529">
        <v>16</v>
      </c>
      <c r="M529" s="32">
        <v>0.55600000000000005</v>
      </c>
      <c r="N529" s="47">
        <v>1.96</v>
      </c>
      <c r="P529" s="32">
        <v>1.1200000000000001</v>
      </c>
      <c r="R529" s="32">
        <v>0.08</v>
      </c>
      <c r="S529" s="47">
        <v>0.622</v>
      </c>
      <c r="T529" s="31">
        <v>0</v>
      </c>
      <c r="V529">
        <v>527</v>
      </c>
      <c r="W529">
        <v>15</v>
      </c>
      <c r="X529">
        <v>0.56799999999999995</v>
      </c>
      <c r="Y529" s="32">
        <v>1.96</v>
      </c>
      <c r="Z529">
        <v>0</v>
      </c>
      <c r="AA529" s="32">
        <v>1.1870000000000001</v>
      </c>
      <c r="AB529">
        <v>0</v>
      </c>
      <c r="AC529" s="34">
        <v>7.9000000000000001E-2</v>
      </c>
      <c r="AD529" s="32">
        <v>0.67400000000000004</v>
      </c>
    </row>
    <row r="530" spans="1:30">
      <c r="A530">
        <v>528</v>
      </c>
      <c r="B530">
        <v>16</v>
      </c>
      <c r="C530">
        <v>0.55700000000000005</v>
      </c>
      <c r="D530">
        <v>1.97</v>
      </c>
      <c r="E530">
        <v>0</v>
      </c>
      <c r="F530">
        <v>1.1200000000000001</v>
      </c>
      <c r="G530">
        <v>0</v>
      </c>
      <c r="H530">
        <v>0.08</v>
      </c>
      <c r="I530">
        <v>0.622</v>
      </c>
      <c r="K530">
        <v>528</v>
      </c>
      <c r="L530">
        <v>16</v>
      </c>
      <c r="M530" s="32">
        <v>0.55700000000000005</v>
      </c>
      <c r="N530" s="47">
        <v>1.96</v>
      </c>
      <c r="P530" s="47">
        <v>1.121</v>
      </c>
      <c r="R530" s="32">
        <v>0.08</v>
      </c>
      <c r="S530" s="47">
        <v>0.623</v>
      </c>
      <c r="T530" s="31">
        <v>0</v>
      </c>
      <c r="V530">
        <v>528</v>
      </c>
      <c r="W530">
        <v>15</v>
      </c>
      <c r="X530">
        <v>0.56899999999999995</v>
      </c>
      <c r="Y530" s="32">
        <v>1.96</v>
      </c>
      <c r="Z530">
        <v>0</v>
      </c>
      <c r="AA530" s="32">
        <v>1.1870000000000001</v>
      </c>
      <c r="AB530">
        <v>0</v>
      </c>
      <c r="AC530" s="34">
        <v>7.9000000000000001E-2</v>
      </c>
      <c r="AD530" s="32">
        <v>0.67600000000000005</v>
      </c>
    </row>
    <row r="531" spans="1:30">
      <c r="A531">
        <v>529</v>
      </c>
      <c r="B531">
        <v>16</v>
      </c>
      <c r="C531">
        <v>0.55800000000000005</v>
      </c>
      <c r="D531">
        <v>1.97</v>
      </c>
      <c r="E531">
        <v>0</v>
      </c>
      <c r="F531">
        <v>1.121</v>
      </c>
      <c r="G531">
        <v>0</v>
      </c>
      <c r="H531">
        <v>0.08</v>
      </c>
      <c r="I531">
        <v>0.623</v>
      </c>
      <c r="K531">
        <v>529</v>
      </c>
      <c r="L531">
        <v>16</v>
      </c>
      <c r="M531" s="32">
        <v>0.55800000000000005</v>
      </c>
      <c r="N531" s="47">
        <v>1.96</v>
      </c>
      <c r="P531" s="32">
        <v>1.121</v>
      </c>
      <c r="R531" s="32">
        <v>0.08</v>
      </c>
      <c r="S531" s="47">
        <v>0.625</v>
      </c>
      <c r="T531" s="31">
        <v>0</v>
      </c>
      <c r="V531">
        <v>529</v>
      </c>
      <c r="W531">
        <v>15</v>
      </c>
      <c r="X531">
        <v>0.56999999999999995</v>
      </c>
      <c r="Y531" s="32">
        <v>1.96</v>
      </c>
      <c r="Z531">
        <v>0</v>
      </c>
      <c r="AA531" s="32">
        <v>1.1870000000000001</v>
      </c>
      <c r="AB531">
        <v>0</v>
      </c>
      <c r="AC531" s="34">
        <v>7.9000000000000001E-2</v>
      </c>
      <c r="AD531" s="32">
        <v>0.67700000000000005</v>
      </c>
    </row>
    <row r="532" spans="1:30">
      <c r="A532">
        <v>530</v>
      </c>
      <c r="B532">
        <v>16</v>
      </c>
      <c r="C532">
        <v>0.55900000000000005</v>
      </c>
      <c r="D532">
        <v>1.97</v>
      </c>
      <c r="E532">
        <v>0</v>
      </c>
      <c r="F532">
        <v>1.121</v>
      </c>
      <c r="G532">
        <v>0</v>
      </c>
      <c r="H532">
        <v>0.08</v>
      </c>
      <c r="I532">
        <v>0.624</v>
      </c>
      <c r="K532">
        <v>530</v>
      </c>
      <c r="L532">
        <v>16</v>
      </c>
      <c r="M532" s="32">
        <v>0.55900000000000005</v>
      </c>
      <c r="N532" s="47">
        <v>1.96</v>
      </c>
      <c r="P532" s="47">
        <v>1.1220000000000001</v>
      </c>
      <c r="R532" s="32">
        <v>0.08</v>
      </c>
      <c r="S532" s="47">
        <v>0.626</v>
      </c>
      <c r="T532" s="31">
        <v>0</v>
      </c>
      <c r="V532">
        <v>530</v>
      </c>
      <c r="W532">
        <v>15</v>
      </c>
      <c r="X532">
        <v>0.57099999999999995</v>
      </c>
      <c r="Y532" s="32">
        <v>1.96</v>
      </c>
      <c r="Z532">
        <v>0</v>
      </c>
      <c r="AA532" s="32">
        <v>1.1879999999999999</v>
      </c>
      <c r="AB532">
        <v>0</v>
      </c>
      <c r="AC532" s="34">
        <v>0.08</v>
      </c>
      <c r="AD532" s="32">
        <v>0.67800000000000005</v>
      </c>
    </row>
    <row r="533" spans="1:30">
      <c r="A533">
        <v>531</v>
      </c>
      <c r="B533">
        <v>16</v>
      </c>
      <c r="C533">
        <v>0.56000000000000005</v>
      </c>
      <c r="D533">
        <v>1.96</v>
      </c>
      <c r="E533">
        <v>0</v>
      </c>
      <c r="F533">
        <v>1.1220000000000001</v>
      </c>
      <c r="G533">
        <v>0</v>
      </c>
      <c r="H533">
        <v>0.08</v>
      </c>
      <c r="I533">
        <v>0.628</v>
      </c>
      <c r="K533">
        <v>531</v>
      </c>
      <c r="L533">
        <v>16</v>
      </c>
      <c r="M533" s="32">
        <v>0.56000000000000005</v>
      </c>
      <c r="N533" s="32">
        <v>1.96</v>
      </c>
      <c r="P533" s="32">
        <v>1.1220000000000001</v>
      </c>
      <c r="R533" s="47">
        <v>8.1000000000000003E-2</v>
      </c>
      <c r="S533" s="32">
        <v>0.628</v>
      </c>
      <c r="T533" s="31">
        <v>0</v>
      </c>
      <c r="V533">
        <v>531</v>
      </c>
      <c r="W533">
        <v>15</v>
      </c>
      <c r="X533">
        <v>0.57199999999999995</v>
      </c>
      <c r="Y533" s="32">
        <v>1.96</v>
      </c>
      <c r="Z533">
        <v>0</v>
      </c>
      <c r="AA533" s="32">
        <v>1.1879999999999999</v>
      </c>
      <c r="AB533">
        <v>0</v>
      </c>
      <c r="AC533" s="34">
        <v>0.08</v>
      </c>
      <c r="AD533" s="32">
        <v>0.68</v>
      </c>
    </row>
    <row r="534" spans="1:30">
      <c r="A534">
        <v>532</v>
      </c>
      <c r="B534">
        <v>16</v>
      </c>
      <c r="C534">
        <v>0.56100000000000005</v>
      </c>
      <c r="D534">
        <v>1.96</v>
      </c>
      <c r="E534">
        <v>0</v>
      </c>
      <c r="F534">
        <v>1.1220000000000001</v>
      </c>
      <c r="G534">
        <v>0</v>
      </c>
      <c r="H534">
        <v>0.08</v>
      </c>
      <c r="I534">
        <v>0.64300000000000002</v>
      </c>
      <c r="K534">
        <v>532</v>
      </c>
      <c r="L534">
        <v>16</v>
      </c>
      <c r="M534" s="32">
        <v>0.56100000000000005</v>
      </c>
      <c r="N534" s="32">
        <v>1.96</v>
      </c>
      <c r="P534" s="32">
        <v>1.1220000000000001</v>
      </c>
      <c r="R534" s="47">
        <v>8.1000000000000003E-2</v>
      </c>
      <c r="S534" s="47">
        <v>0.629</v>
      </c>
      <c r="T534" s="31">
        <v>0</v>
      </c>
      <c r="V534">
        <v>532</v>
      </c>
      <c r="W534">
        <v>15</v>
      </c>
      <c r="X534">
        <v>0.57299999999999995</v>
      </c>
      <c r="Y534" s="32">
        <v>1.96</v>
      </c>
      <c r="Z534">
        <v>0</v>
      </c>
      <c r="AA534" s="32">
        <v>1.1879999999999999</v>
      </c>
      <c r="AB534">
        <v>0</v>
      </c>
      <c r="AC534" s="34">
        <v>0.08</v>
      </c>
      <c r="AD534" s="32">
        <v>0.68100000000000005</v>
      </c>
    </row>
    <row r="535" spans="1:30">
      <c r="A535">
        <v>533</v>
      </c>
      <c r="B535">
        <v>16</v>
      </c>
      <c r="C535">
        <v>0.56200000000000006</v>
      </c>
      <c r="D535">
        <v>1.96</v>
      </c>
      <c r="E535">
        <v>0</v>
      </c>
      <c r="F535">
        <v>1.1220000000000001</v>
      </c>
      <c r="G535">
        <v>0</v>
      </c>
      <c r="H535">
        <v>0.08</v>
      </c>
      <c r="I535">
        <v>0.64500000000000002</v>
      </c>
      <c r="K535">
        <v>533</v>
      </c>
      <c r="L535">
        <v>16</v>
      </c>
      <c r="M535" s="32">
        <v>0.56200000000000006</v>
      </c>
      <c r="N535" s="32">
        <v>1.96</v>
      </c>
      <c r="P535" s="47">
        <v>1.123</v>
      </c>
      <c r="R535" s="47">
        <v>8.1000000000000003E-2</v>
      </c>
      <c r="S535" s="47">
        <v>0.63100000000000001</v>
      </c>
      <c r="T535" s="31">
        <v>0</v>
      </c>
      <c r="V535">
        <v>533</v>
      </c>
      <c r="W535">
        <v>15</v>
      </c>
      <c r="X535">
        <v>0.57399999999999995</v>
      </c>
      <c r="Y535" s="32">
        <v>1.96</v>
      </c>
      <c r="Z535">
        <v>0</v>
      </c>
      <c r="AA535" s="32">
        <v>1.1879999999999999</v>
      </c>
      <c r="AB535">
        <v>0</v>
      </c>
      <c r="AC535" s="34">
        <v>0.08</v>
      </c>
      <c r="AD535" s="32">
        <v>0.68200000000000005</v>
      </c>
    </row>
    <row r="536" spans="1:30">
      <c r="A536">
        <v>534</v>
      </c>
      <c r="B536">
        <v>16</v>
      </c>
      <c r="C536">
        <v>0.56299999999999994</v>
      </c>
      <c r="D536">
        <v>1.96</v>
      </c>
      <c r="E536">
        <v>0</v>
      </c>
      <c r="F536">
        <v>1.1220000000000001</v>
      </c>
      <c r="G536">
        <v>0</v>
      </c>
      <c r="H536">
        <v>0.08</v>
      </c>
      <c r="I536">
        <v>0.64600000000000002</v>
      </c>
      <c r="K536">
        <v>534</v>
      </c>
      <c r="L536">
        <v>16</v>
      </c>
      <c r="M536" s="32">
        <v>0.56299999999999994</v>
      </c>
      <c r="N536" s="32">
        <v>1.96</v>
      </c>
      <c r="P536" s="47">
        <v>1.123</v>
      </c>
      <c r="R536" s="47">
        <v>8.1000000000000003E-2</v>
      </c>
      <c r="S536" s="47">
        <v>0.63200000000000001</v>
      </c>
      <c r="T536" s="31">
        <v>0</v>
      </c>
      <c r="V536">
        <v>534</v>
      </c>
      <c r="W536">
        <v>15</v>
      </c>
      <c r="X536">
        <v>0.57499999999999996</v>
      </c>
      <c r="Y536" s="32">
        <v>1.96</v>
      </c>
      <c r="Z536">
        <v>0</v>
      </c>
      <c r="AA536" s="32">
        <v>1.1890000000000001</v>
      </c>
      <c r="AB536">
        <v>0</v>
      </c>
      <c r="AC536" s="34">
        <v>0.08</v>
      </c>
      <c r="AD536" s="32">
        <v>0.68400000000000005</v>
      </c>
    </row>
    <row r="537" spans="1:30">
      <c r="A537">
        <v>535</v>
      </c>
      <c r="B537">
        <v>16</v>
      </c>
      <c r="C537">
        <v>0.56399999999999995</v>
      </c>
      <c r="D537">
        <v>1.96</v>
      </c>
      <c r="E537">
        <v>0</v>
      </c>
      <c r="F537">
        <v>1.1220000000000001</v>
      </c>
      <c r="G537">
        <v>0</v>
      </c>
      <c r="H537">
        <v>0.08</v>
      </c>
      <c r="I537">
        <v>0.64700000000000002</v>
      </c>
      <c r="K537">
        <v>535</v>
      </c>
      <c r="L537">
        <v>16</v>
      </c>
      <c r="M537" s="32">
        <v>0.56399999999999995</v>
      </c>
      <c r="N537" s="32">
        <v>1.96</v>
      </c>
      <c r="P537" s="47">
        <v>1.1240000000000001</v>
      </c>
      <c r="R537" s="47">
        <v>8.1000000000000003E-2</v>
      </c>
      <c r="S537" s="47">
        <v>0.63400000000000001</v>
      </c>
      <c r="T537" s="31">
        <v>0</v>
      </c>
      <c r="V537">
        <v>535</v>
      </c>
      <c r="W537">
        <v>15</v>
      </c>
      <c r="X537">
        <v>0.57599999999999996</v>
      </c>
      <c r="Y537" s="32">
        <v>1.96</v>
      </c>
      <c r="Z537">
        <v>0</v>
      </c>
      <c r="AA537" s="32">
        <v>1.1890000000000001</v>
      </c>
      <c r="AB537">
        <v>0</v>
      </c>
      <c r="AC537" s="34">
        <v>0.08</v>
      </c>
      <c r="AD537" s="32">
        <v>0.68500000000000005</v>
      </c>
    </row>
    <row r="538" spans="1:30">
      <c r="A538">
        <v>536</v>
      </c>
      <c r="B538">
        <v>16</v>
      </c>
      <c r="C538">
        <v>0.56499999999999995</v>
      </c>
      <c r="D538">
        <v>1.96</v>
      </c>
      <c r="E538">
        <v>0</v>
      </c>
      <c r="F538">
        <v>1.1220000000000001</v>
      </c>
      <c r="G538">
        <v>0</v>
      </c>
      <c r="H538">
        <v>0.08</v>
      </c>
      <c r="I538">
        <v>0.64900000000000002</v>
      </c>
      <c r="K538">
        <v>536</v>
      </c>
      <c r="L538">
        <v>16</v>
      </c>
      <c r="M538" s="32">
        <v>0.56499999999999995</v>
      </c>
      <c r="N538" s="32">
        <v>1.96</v>
      </c>
      <c r="P538" s="47">
        <v>1.1240000000000001</v>
      </c>
      <c r="R538" s="47">
        <v>8.1000000000000003E-2</v>
      </c>
      <c r="S538" s="47">
        <v>0.63500000000000001</v>
      </c>
      <c r="T538" s="31">
        <v>0</v>
      </c>
      <c r="V538">
        <v>536</v>
      </c>
      <c r="W538">
        <v>15</v>
      </c>
      <c r="X538">
        <v>0.57699999999999996</v>
      </c>
      <c r="Y538" s="32">
        <v>1.96</v>
      </c>
      <c r="Z538">
        <v>0</v>
      </c>
      <c r="AA538" s="32">
        <v>1.1890000000000001</v>
      </c>
      <c r="AB538">
        <v>0</v>
      </c>
      <c r="AC538" s="34">
        <v>0.08</v>
      </c>
      <c r="AD538" s="32">
        <v>0.68600000000000005</v>
      </c>
    </row>
    <row r="539" spans="1:30">
      <c r="A539">
        <v>537</v>
      </c>
      <c r="B539">
        <v>16</v>
      </c>
      <c r="C539">
        <v>0.56599999999999995</v>
      </c>
      <c r="D539">
        <v>1.96</v>
      </c>
      <c r="E539">
        <v>0</v>
      </c>
      <c r="F539">
        <v>1.1220000000000001</v>
      </c>
      <c r="G539">
        <v>0</v>
      </c>
      <c r="H539">
        <v>0.08</v>
      </c>
      <c r="I539">
        <v>0.65</v>
      </c>
      <c r="K539">
        <v>537</v>
      </c>
      <c r="L539">
        <v>16</v>
      </c>
      <c r="M539" s="32">
        <v>0.56599999999999995</v>
      </c>
      <c r="N539" s="32">
        <v>1.96</v>
      </c>
      <c r="P539" s="47">
        <v>1.1240000000000001</v>
      </c>
      <c r="R539" s="47">
        <v>8.1000000000000003E-2</v>
      </c>
      <c r="S539" s="47">
        <v>0.63600000000000001</v>
      </c>
      <c r="T539" s="31">
        <v>0</v>
      </c>
      <c r="V539">
        <v>537</v>
      </c>
      <c r="W539">
        <v>15</v>
      </c>
      <c r="X539">
        <v>0.57799999999999996</v>
      </c>
      <c r="Y539" s="32">
        <v>1.96</v>
      </c>
      <c r="Z539">
        <v>0</v>
      </c>
      <c r="AA539" s="32">
        <v>1.1890000000000001</v>
      </c>
      <c r="AB539">
        <v>0</v>
      </c>
      <c r="AC539" s="34">
        <v>0.08</v>
      </c>
      <c r="AD539" s="32">
        <v>0.68799999999999994</v>
      </c>
    </row>
    <row r="540" spans="1:30">
      <c r="A540">
        <v>538</v>
      </c>
      <c r="B540">
        <v>16</v>
      </c>
      <c r="C540">
        <v>0.56699999999999995</v>
      </c>
      <c r="D540">
        <v>1.96</v>
      </c>
      <c r="E540">
        <v>0</v>
      </c>
      <c r="F540">
        <v>1.1220000000000001</v>
      </c>
      <c r="G540">
        <v>0</v>
      </c>
      <c r="H540">
        <v>0.08</v>
      </c>
      <c r="I540">
        <v>0.65200000000000002</v>
      </c>
      <c r="K540">
        <v>538</v>
      </c>
      <c r="L540">
        <v>16</v>
      </c>
      <c r="M540" s="32">
        <v>0.56699999999999995</v>
      </c>
      <c r="N540" s="32">
        <v>1.96</v>
      </c>
      <c r="P540" s="47">
        <v>1.125</v>
      </c>
      <c r="R540" s="47">
        <v>8.1000000000000003E-2</v>
      </c>
      <c r="S540" s="47">
        <v>0.63800000000000001</v>
      </c>
      <c r="T540" s="31">
        <v>0</v>
      </c>
      <c r="V540">
        <v>538</v>
      </c>
      <c r="W540">
        <v>15</v>
      </c>
      <c r="X540">
        <v>0.57899999999999996</v>
      </c>
      <c r="Y540" s="32">
        <v>1.96</v>
      </c>
      <c r="Z540">
        <v>0</v>
      </c>
      <c r="AA540" s="32">
        <v>1.1890000000000001</v>
      </c>
      <c r="AB540">
        <v>0</v>
      </c>
      <c r="AC540" s="34">
        <v>0.08</v>
      </c>
      <c r="AD540" s="32">
        <v>0.68899999999999995</v>
      </c>
    </row>
    <row r="541" spans="1:30">
      <c r="A541">
        <v>539</v>
      </c>
      <c r="B541">
        <v>16</v>
      </c>
      <c r="C541">
        <v>0.56799999999999995</v>
      </c>
      <c r="D541">
        <v>1.96</v>
      </c>
      <c r="E541">
        <v>0</v>
      </c>
      <c r="F541">
        <v>1.1220000000000001</v>
      </c>
      <c r="G541">
        <v>0</v>
      </c>
      <c r="H541">
        <v>0.08</v>
      </c>
      <c r="I541">
        <v>0.65300000000000002</v>
      </c>
      <c r="K541">
        <v>539</v>
      </c>
      <c r="L541">
        <v>16</v>
      </c>
      <c r="M541" s="32">
        <v>0.56799999999999995</v>
      </c>
      <c r="N541" s="32">
        <v>1.96</v>
      </c>
      <c r="P541" s="47">
        <v>1.125</v>
      </c>
      <c r="R541" s="47">
        <v>8.1000000000000003E-2</v>
      </c>
      <c r="S541" s="47">
        <v>0.63900000000000001</v>
      </c>
      <c r="T541" s="31">
        <v>0</v>
      </c>
      <c r="V541">
        <v>539</v>
      </c>
      <c r="W541">
        <v>15</v>
      </c>
      <c r="X541">
        <v>0.57999999999999996</v>
      </c>
      <c r="Y541" s="32">
        <v>1.96</v>
      </c>
      <c r="Z541">
        <v>0</v>
      </c>
      <c r="AA541" s="32">
        <v>1.19</v>
      </c>
      <c r="AB541">
        <v>0</v>
      </c>
      <c r="AC541" s="34">
        <v>0.08</v>
      </c>
      <c r="AD541" s="32">
        <v>0.69</v>
      </c>
    </row>
    <row r="542" spans="1:30">
      <c r="A542">
        <v>540</v>
      </c>
      <c r="B542">
        <v>16</v>
      </c>
      <c r="C542">
        <v>0.56899999999999995</v>
      </c>
      <c r="D542">
        <v>1.96</v>
      </c>
      <c r="E542">
        <v>0</v>
      </c>
      <c r="F542">
        <v>1.1220000000000001</v>
      </c>
      <c r="G542">
        <v>0</v>
      </c>
      <c r="H542">
        <v>0.08</v>
      </c>
      <c r="I542">
        <v>0.65400000000000003</v>
      </c>
      <c r="K542">
        <v>540</v>
      </c>
      <c r="L542">
        <v>16</v>
      </c>
      <c r="M542" s="32">
        <v>0.56899999999999995</v>
      </c>
      <c r="N542" s="32">
        <v>1.96</v>
      </c>
      <c r="P542" s="47">
        <v>1.1259999999999999</v>
      </c>
      <c r="R542" s="47">
        <v>8.1000000000000003E-2</v>
      </c>
      <c r="S542" s="47">
        <v>0.64100000000000001</v>
      </c>
      <c r="T542" s="31">
        <v>0</v>
      </c>
      <c r="V542">
        <v>540</v>
      </c>
      <c r="W542">
        <v>15</v>
      </c>
      <c r="X542">
        <v>0.58099999999999996</v>
      </c>
      <c r="Y542" s="32">
        <v>1.96</v>
      </c>
      <c r="Z542">
        <v>0</v>
      </c>
      <c r="AA542" s="32">
        <v>1.19</v>
      </c>
      <c r="AB542">
        <v>0</v>
      </c>
      <c r="AC542" s="34">
        <v>8.1000000000000003E-2</v>
      </c>
      <c r="AD542" s="32">
        <v>0.69099999999999995</v>
      </c>
    </row>
    <row r="543" spans="1:30">
      <c r="A543">
        <v>541</v>
      </c>
      <c r="B543">
        <v>16</v>
      </c>
      <c r="C543">
        <v>0.56999999999999995</v>
      </c>
      <c r="D543">
        <v>1.96</v>
      </c>
      <c r="E543">
        <v>0</v>
      </c>
      <c r="F543">
        <v>1.1259999999999999</v>
      </c>
      <c r="G543">
        <v>0</v>
      </c>
      <c r="H543">
        <v>0.08</v>
      </c>
      <c r="I543">
        <v>0.67</v>
      </c>
      <c r="K543">
        <v>541</v>
      </c>
      <c r="L543">
        <v>16</v>
      </c>
      <c r="M543" s="32">
        <v>0.56999999999999995</v>
      </c>
      <c r="N543" s="32">
        <v>1.96</v>
      </c>
      <c r="P543" s="32">
        <v>1.1259999999999999</v>
      </c>
      <c r="R543" s="47">
        <v>8.1000000000000003E-2</v>
      </c>
      <c r="S543" s="47">
        <v>0.64200000000000002</v>
      </c>
      <c r="T543" s="31">
        <v>0</v>
      </c>
      <c r="V543">
        <v>541</v>
      </c>
      <c r="W543">
        <v>15</v>
      </c>
      <c r="X543">
        <v>0.58199999999999996</v>
      </c>
      <c r="Y543" s="32">
        <v>1.96</v>
      </c>
      <c r="Z543">
        <v>0</v>
      </c>
      <c r="AA543" s="32">
        <v>1.19</v>
      </c>
      <c r="AB543">
        <v>0</v>
      </c>
      <c r="AC543" s="34">
        <v>8.1000000000000003E-2</v>
      </c>
      <c r="AD543" s="32">
        <v>0.69299999999999995</v>
      </c>
    </row>
    <row r="544" spans="1:30">
      <c r="A544">
        <v>542</v>
      </c>
      <c r="B544">
        <v>16</v>
      </c>
      <c r="C544">
        <v>0.57099999999999995</v>
      </c>
      <c r="D544">
        <v>1.96</v>
      </c>
      <c r="E544">
        <v>0</v>
      </c>
      <c r="F544">
        <v>1.1259999999999999</v>
      </c>
      <c r="G544">
        <v>0</v>
      </c>
      <c r="H544">
        <v>0.08</v>
      </c>
      <c r="I544">
        <v>0.67100000000000004</v>
      </c>
      <c r="K544">
        <v>542</v>
      </c>
      <c r="L544">
        <v>16</v>
      </c>
      <c r="M544" s="32">
        <v>0.57099999999999995</v>
      </c>
      <c r="N544" s="32">
        <v>1.96</v>
      </c>
      <c r="P544" s="47">
        <v>1.127</v>
      </c>
      <c r="R544" s="47">
        <v>8.1000000000000003E-2</v>
      </c>
      <c r="S544" s="47">
        <v>0.64300000000000002</v>
      </c>
      <c r="T544" s="31">
        <v>0</v>
      </c>
      <c r="V544">
        <v>542</v>
      </c>
      <c r="W544">
        <v>15</v>
      </c>
      <c r="X544">
        <v>0.58299999999999996</v>
      </c>
      <c r="Y544" s="32">
        <v>1.96</v>
      </c>
      <c r="Z544">
        <v>0</v>
      </c>
      <c r="AA544" s="32">
        <v>1.19</v>
      </c>
      <c r="AB544">
        <v>0</v>
      </c>
      <c r="AC544" s="34">
        <v>8.1000000000000003E-2</v>
      </c>
      <c r="AD544" s="32">
        <v>0.69399999999999995</v>
      </c>
    </row>
    <row r="545" spans="1:30">
      <c r="A545">
        <v>543</v>
      </c>
      <c r="B545">
        <v>16</v>
      </c>
      <c r="C545">
        <v>0.57199999999999995</v>
      </c>
      <c r="D545">
        <v>1.96</v>
      </c>
      <c r="E545">
        <v>0</v>
      </c>
      <c r="F545">
        <v>1.1259999999999999</v>
      </c>
      <c r="G545">
        <v>0</v>
      </c>
      <c r="H545">
        <v>0.08</v>
      </c>
      <c r="I545">
        <v>0.67200000000000004</v>
      </c>
      <c r="K545">
        <v>543</v>
      </c>
      <c r="L545">
        <v>16</v>
      </c>
      <c r="M545" s="32">
        <v>0.57199999999999995</v>
      </c>
      <c r="N545" s="32">
        <v>1.96</v>
      </c>
      <c r="P545" s="47">
        <v>1.127</v>
      </c>
      <c r="R545" s="47">
        <v>8.1000000000000003E-2</v>
      </c>
      <c r="S545" s="47">
        <v>0.64500000000000002</v>
      </c>
      <c r="T545" s="31">
        <v>0</v>
      </c>
      <c r="V545">
        <v>543</v>
      </c>
      <c r="W545">
        <v>15</v>
      </c>
      <c r="X545">
        <v>0.58399999999999996</v>
      </c>
      <c r="Y545" s="32">
        <v>1.96</v>
      </c>
      <c r="Z545">
        <v>0</v>
      </c>
      <c r="AA545" s="32">
        <v>1.1910000000000001</v>
      </c>
      <c r="AB545">
        <v>0</v>
      </c>
      <c r="AC545" s="34">
        <v>8.1000000000000003E-2</v>
      </c>
      <c r="AD545" s="32">
        <v>0.69499999999999995</v>
      </c>
    </row>
    <row r="546" spans="1:30">
      <c r="A546">
        <v>544</v>
      </c>
      <c r="B546">
        <v>16</v>
      </c>
      <c r="C546">
        <v>0.57299999999999995</v>
      </c>
      <c r="D546">
        <v>1.96</v>
      </c>
      <c r="E546">
        <v>0</v>
      </c>
      <c r="F546">
        <v>1.1259999999999999</v>
      </c>
      <c r="G546">
        <v>0</v>
      </c>
      <c r="H546">
        <v>0.08</v>
      </c>
      <c r="I546">
        <v>0.67400000000000004</v>
      </c>
      <c r="K546">
        <v>544</v>
      </c>
      <c r="L546">
        <v>16</v>
      </c>
      <c r="M546" s="32">
        <v>0.57299999999999995</v>
      </c>
      <c r="N546" s="32">
        <v>1.96</v>
      </c>
      <c r="P546" s="47">
        <v>1.1279999999999999</v>
      </c>
      <c r="R546" s="47">
        <v>8.1000000000000003E-2</v>
      </c>
      <c r="S546" s="47">
        <v>0.64600000000000002</v>
      </c>
      <c r="T546" s="31">
        <v>0</v>
      </c>
      <c r="V546">
        <v>544</v>
      </c>
      <c r="W546">
        <v>15</v>
      </c>
      <c r="X546">
        <v>0.58499999999999996</v>
      </c>
      <c r="Y546" s="32">
        <v>1.96</v>
      </c>
      <c r="Z546">
        <v>0</v>
      </c>
      <c r="AA546" s="32">
        <v>1.1910000000000001</v>
      </c>
      <c r="AB546">
        <v>0</v>
      </c>
      <c r="AC546" s="34">
        <v>8.1000000000000003E-2</v>
      </c>
      <c r="AD546" s="32">
        <v>0.69699999999999995</v>
      </c>
    </row>
    <row r="547" spans="1:30">
      <c r="A547">
        <v>545</v>
      </c>
      <c r="B547">
        <v>16</v>
      </c>
      <c r="C547">
        <v>0.57399999999999995</v>
      </c>
      <c r="D547">
        <v>1.96</v>
      </c>
      <c r="E547">
        <v>0</v>
      </c>
      <c r="F547">
        <v>1.1259999999999999</v>
      </c>
      <c r="G547">
        <v>0</v>
      </c>
      <c r="H547">
        <v>0.08</v>
      </c>
      <c r="I547">
        <v>0.67500000000000004</v>
      </c>
      <c r="K547">
        <v>545</v>
      </c>
      <c r="L547">
        <v>16</v>
      </c>
      <c r="M547" s="32">
        <v>0.57399999999999995</v>
      </c>
      <c r="N547" s="32">
        <v>1.96</v>
      </c>
      <c r="P547" s="47">
        <v>1.1279999999999999</v>
      </c>
      <c r="R547" s="47">
        <v>8.1000000000000003E-2</v>
      </c>
      <c r="S547" s="47">
        <v>0.64800000000000002</v>
      </c>
      <c r="T547" s="31">
        <v>0</v>
      </c>
      <c r="V547">
        <v>545</v>
      </c>
      <c r="W547">
        <v>16</v>
      </c>
      <c r="X547">
        <v>0.58599999999999997</v>
      </c>
      <c r="Y547" s="32">
        <v>1.96</v>
      </c>
      <c r="Z547">
        <v>0</v>
      </c>
      <c r="AA547" s="32">
        <v>1.1910000000000001</v>
      </c>
      <c r="AB547">
        <v>0</v>
      </c>
      <c r="AC547" s="34">
        <v>8.1000000000000003E-2</v>
      </c>
      <c r="AD547" s="32">
        <v>0.69799999999999995</v>
      </c>
    </row>
    <row r="548" spans="1:30">
      <c r="A548">
        <v>546</v>
      </c>
      <c r="B548">
        <v>16</v>
      </c>
      <c r="C548">
        <v>0.57499999999999996</v>
      </c>
      <c r="D548">
        <v>1.96</v>
      </c>
      <c r="E548">
        <v>0</v>
      </c>
      <c r="F548">
        <v>1.1259999999999999</v>
      </c>
      <c r="G548">
        <v>0</v>
      </c>
      <c r="H548">
        <v>0.08</v>
      </c>
      <c r="I548">
        <v>0.67700000000000005</v>
      </c>
      <c r="K548">
        <v>546</v>
      </c>
      <c r="L548">
        <v>16</v>
      </c>
      <c r="M548" s="32">
        <v>0.57499999999999996</v>
      </c>
      <c r="N548" s="32">
        <v>1.96</v>
      </c>
      <c r="P548" s="47">
        <v>1.129</v>
      </c>
      <c r="R548" s="47">
        <v>8.1000000000000003E-2</v>
      </c>
      <c r="S548" s="47">
        <v>0.64900000000000002</v>
      </c>
      <c r="T548" s="31">
        <v>0</v>
      </c>
      <c r="V548">
        <v>546</v>
      </c>
      <c r="W548">
        <v>16</v>
      </c>
      <c r="X548">
        <v>0.58699999999999997</v>
      </c>
      <c r="Y548" s="32">
        <v>1.96</v>
      </c>
      <c r="Z548">
        <v>0</v>
      </c>
      <c r="AA548" s="32">
        <v>1.1910000000000001</v>
      </c>
      <c r="AB548">
        <v>0</v>
      </c>
      <c r="AC548" s="34">
        <v>8.1000000000000003E-2</v>
      </c>
      <c r="AD548" s="32">
        <v>0.69899999999999995</v>
      </c>
    </row>
    <row r="549" spans="1:30">
      <c r="A549">
        <v>547</v>
      </c>
      <c r="B549">
        <v>16</v>
      </c>
      <c r="C549">
        <v>0.57599999999999996</v>
      </c>
      <c r="D549">
        <v>1.96</v>
      </c>
      <c r="E549">
        <v>0</v>
      </c>
      <c r="F549">
        <v>1.1259999999999999</v>
      </c>
      <c r="G549">
        <v>0</v>
      </c>
      <c r="H549">
        <v>0.08</v>
      </c>
      <c r="I549">
        <v>0.67800000000000005</v>
      </c>
      <c r="K549">
        <v>547</v>
      </c>
      <c r="L549">
        <v>16</v>
      </c>
      <c r="M549" s="32">
        <v>0.57599999999999996</v>
      </c>
      <c r="N549" s="32">
        <v>1.96</v>
      </c>
      <c r="P549" s="47">
        <v>1.129</v>
      </c>
      <c r="R549" s="47">
        <v>8.1000000000000003E-2</v>
      </c>
      <c r="S549" s="47">
        <v>0.65</v>
      </c>
      <c r="T549" s="31">
        <v>0</v>
      </c>
      <c r="V549">
        <v>547</v>
      </c>
      <c r="W549">
        <v>16</v>
      </c>
      <c r="X549">
        <v>0.58799999999999997</v>
      </c>
      <c r="Y549" s="32">
        <v>1.96</v>
      </c>
      <c r="Z549">
        <v>0</v>
      </c>
      <c r="AA549" s="32">
        <v>1.1910000000000001</v>
      </c>
      <c r="AB549">
        <v>0</v>
      </c>
      <c r="AC549" s="34">
        <v>8.1000000000000003E-2</v>
      </c>
      <c r="AD549" s="32">
        <v>0.70099999999999996</v>
      </c>
    </row>
    <row r="550" spans="1:30">
      <c r="A550">
        <v>548</v>
      </c>
      <c r="B550">
        <v>16</v>
      </c>
      <c r="C550">
        <v>0.57699999999999996</v>
      </c>
      <c r="D550">
        <v>1.96</v>
      </c>
      <c r="E550">
        <v>0</v>
      </c>
      <c r="F550">
        <v>1.1259999999999999</v>
      </c>
      <c r="G550">
        <v>0</v>
      </c>
      <c r="H550">
        <v>0.08</v>
      </c>
      <c r="I550">
        <v>0.67900000000000005</v>
      </c>
      <c r="K550">
        <v>548</v>
      </c>
      <c r="L550">
        <v>16</v>
      </c>
      <c r="M550" s="32">
        <v>0.57699999999999996</v>
      </c>
      <c r="N550" s="32">
        <v>1.96</v>
      </c>
      <c r="P550" s="47">
        <v>1.1299999999999999</v>
      </c>
      <c r="R550" s="47">
        <v>8.1000000000000003E-2</v>
      </c>
      <c r="S550" s="47">
        <v>0.65200000000000002</v>
      </c>
      <c r="T550" s="31">
        <v>0</v>
      </c>
      <c r="V550">
        <v>548</v>
      </c>
      <c r="W550">
        <v>16</v>
      </c>
      <c r="X550">
        <v>0.58899999999999997</v>
      </c>
      <c r="Y550" s="32">
        <v>1.96</v>
      </c>
      <c r="Z550">
        <v>0</v>
      </c>
      <c r="AA550" s="32">
        <v>1.1919999999999999</v>
      </c>
      <c r="AB550">
        <v>0</v>
      </c>
      <c r="AC550" s="34">
        <v>8.1000000000000003E-2</v>
      </c>
      <c r="AD550" s="32">
        <v>0.70199999999999996</v>
      </c>
    </row>
    <row r="551" spans="1:30">
      <c r="A551">
        <v>549</v>
      </c>
      <c r="B551">
        <v>16</v>
      </c>
      <c r="C551">
        <v>0.57799999999999996</v>
      </c>
      <c r="D551">
        <v>1.96</v>
      </c>
      <c r="E551">
        <v>0</v>
      </c>
      <c r="F551">
        <v>1.1259999999999999</v>
      </c>
      <c r="G551">
        <v>0</v>
      </c>
      <c r="H551">
        <v>0.08</v>
      </c>
      <c r="I551">
        <v>0.68100000000000005</v>
      </c>
      <c r="K551">
        <v>549</v>
      </c>
      <c r="L551">
        <v>16</v>
      </c>
      <c r="M551" s="32">
        <v>0.57799999999999996</v>
      </c>
      <c r="N551" s="32">
        <v>1.96</v>
      </c>
      <c r="P551" s="47">
        <v>1.1299999999999999</v>
      </c>
      <c r="R551" s="47">
        <v>8.1000000000000003E-2</v>
      </c>
      <c r="S551" s="47">
        <v>0.65300000000000002</v>
      </c>
      <c r="T551" s="31">
        <v>0</v>
      </c>
      <c r="V551">
        <v>549</v>
      </c>
      <c r="W551">
        <v>16</v>
      </c>
      <c r="X551">
        <v>0.59</v>
      </c>
      <c r="Y551" s="32">
        <v>1.96</v>
      </c>
      <c r="Z551">
        <v>0</v>
      </c>
      <c r="AA551" s="32">
        <v>1.1919999999999999</v>
      </c>
      <c r="AB551">
        <v>0</v>
      </c>
      <c r="AC551" s="34">
        <v>8.1000000000000003E-2</v>
      </c>
      <c r="AD551" s="32">
        <v>0.70299999999999996</v>
      </c>
    </row>
    <row r="552" spans="1:30">
      <c r="A552">
        <v>550</v>
      </c>
      <c r="B552">
        <v>16</v>
      </c>
      <c r="C552">
        <v>0.57899999999999996</v>
      </c>
      <c r="D552">
        <v>1.96</v>
      </c>
      <c r="E552">
        <v>0</v>
      </c>
      <c r="F552">
        <v>1.1259999999999999</v>
      </c>
      <c r="G552">
        <v>0</v>
      </c>
      <c r="H552">
        <v>0.08</v>
      </c>
      <c r="I552">
        <v>0.68200000000000005</v>
      </c>
      <c r="K552">
        <v>550</v>
      </c>
      <c r="L552">
        <v>16</v>
      </c>
      <c r="M552" s="32">
        <v>0.57899999999999996</v>
      </c>
      <c r="N552" s="32">
        <v>1.96</v>
      </c>
      <c r="P552" s="47">
        <v>1.131</v>
      </c>
      <c r="R552" s="47">
        <v>8.1000000000000003E-2</v>
      </c>
      <c r="S552" s="47">
        <v>0.65500000000000003</v>
      </c>
      <c r="T552" s="31">
        <v>0</v>
      </c>
      <c r="V552">
        <v>550</v>
      </c>
      <c r="W552">
        <v>16</v>
      </c>
      <c r="X552">
        <v>0.59099999999999997</v>
      </c>
      <c r="Y552" s="32">
        <v>1.96</v>
      </c>
      <c r="Z552">
        <v>0</v>
      </c>
      <c r="AA552" s="32">
        <v>1.1919999999999999</v>
      </c>
      <c r="AB552">
        <v>0</v>
      </c>
      <c r="AC552" s="34">
        <v>8.1000000000000003E-2</v>
      </c>
      <c r="AD552" s="32">
        <v>0.70499999999999996</v>
      </c>
    </row>
    <row r="553" spans="1:30">
      <c r="A553">
        <v>551</v>
      </c>
      <c r="B553">
        <v>16</v>
      </c>
      <c r="C553">
        <v>0.57999999999999996</v>
      </c>
      <c r="D553">
        <v>1.96</v>
      </c>
      <c r="E553">
        <v>0</v>
      </c>
      <c r="F553">
        <v>1.131</v>
      </c>
      <c r="G553">
        <v>0</v>
      </c>
      <c r="H553">
        <v>0.08</v>
      </c>
      <c r="I553">
        <v>0.69799999999999995</v>
      </c>
      <c r="K553">
        <v>551</v>
      </c>
      <c r="L553">
        <v>16</v>
      </c>
      <c r="M553" s="32">
        <v>0.57999999999999996</v>
      </c>
      <c r="N553" s="32">
        <v>1.96</v>
      </c>
      <c r="P553" s="32">
        <v>1.131</v>
      </c>
      <c r="R553" s="47">
        <v>8.2000000000000003E-2</v>
      </c>
      <c r="S553" s="47">
        <v>0.65600000000000003</v>
      </c>
      <c r="T553" s="31">
        <v>0</v>
      </c>
      <c r="V553">
        <v>551</v>
      </c>
      <c r="W553">
        <v>16</v>
      </c>
      <c r="X553">
        <v>0.59199999999999997</v>
      </c>
      <c r="Y553" s="32">
        <v>1.96</v>
      </c>
      <c r="Z553">
        <v>0</v>
      </c>
      <c r="AA553" s="32">
        <v>1.1919999999999999</v>
      </c>
      <c r="AB553">
        <v>0</v>
      </c>
      <c r="AC553" s="34">
        <v>8.2000000000000003E-2</v>
      </c>
      <c r="AD553" s="32">
        <v>0.70599999999999996</v>
      </c>
    </row>
    <row r="554" spans="1:30">
      <c r="A554">
        <v>552</v>
      </c>
      <c r="B554">
        <v>16</v>
      </c>
      <c r="C554">
        <v>0.58099999999999996</v>
      </c>
      <c r="D554">
        <v>1.96</v>
      </c>
      <c r="E554">
        <v>0</v>
      </c>
      <c r="F554">
        <v>1.131</v>
      </c>
      <c r="G554">
        <v>0</v>
      </c>
      <c r="H554">
        <v>0.08</v>
      </c>
      <c r="I554">
        <v>0.69899999999999995</v>
      </c>
      <c r="K554">
        <v>552</v>
      </c>
      <c r="L554">
        <v>16</v>
      </c>
      <c r="M554" s="32">
        <v>0.58099999999999996</v>
      </c>
      <c r="N554" s="32">
        <v>1.96</v>
      </c>
      <c r="P554" s="47">
        <v>1.1319999999999999</v>
      </c>
      <c r="R554" s="47">
        <v>8.2000000000000003E-2</v>
      </c>
      <c r="S554" s="47">
        <v>0.65700000000000003</v>
      </c>
      <c r="T554" s="31">
        <v>0</v>
      </c>
      <c r="V554">
        <v>552</v>
      </c>
      <c r="W554">
        <v>16</v>
      </c>
      <c r="X554">
        <v>0.59299999999999997</v>
      </c>
      <c r="Y554" s="32">
        <v>1.96</v>
      </c>
      <c r="Z554">
        <v>0</v>
      </c>
      <c r="AA554" s="32">
        <v>1.1930000000000001</v>
      </c>
      <c r="AB554">
        <v>0</v>
      </c>
      <c r="AC554" s="34">
        <v>8.2000000000000003E-2</v>
      </c>
      <c r="AD554" s="32">
        <v>0.70699999999999996</v>
      </c>
    </row>
    <row r="555" spans="1:30">
      <c r="A555">
        <v>553</v>
      </c>
      <c r="B555">
        <v>16</v>
      </c>
      <c r="C555">
        <v>0.58199999999999996</v>
      </c>
      <c r="D555">
        <v>1.96</v>
      </c>
      <c r="E555">
        <v>0</v>
      </c>
      <c r="F555">
        <v>1.131</v>
      </c>
      <c r="G555">
        <v>0</v>
      </c>
      <c r="H555">
        <v>0.08</v>
      </c>
      <c r="I555">
        <v>0.7</v>
      </c>
      <c r="K555">
        <v>553</v>
      </c>
      <c r="L555">
        <v>16</v>
      </c>
      <c r="M555" s="32">
        <v>0.58199999999999996</v>
      </c>
      <c r="N555" s="32">
        <v>1.96</v>
      </c>
      <c r="P555" s="47">
        <v>1.1319999999999999</v>
      </c>
      <c r="R555" s="47">
        <v>8.2000000000000003E-2</v>
      </c>
      <c r="S555" s="47">
        <v>0.65900000000000003</v>
      </c>
      <c r="T555" s="31">
        <v>0</v>
      </c>
      <c r="V555">
        <v>553</v>
      </c>
      <c r="W555">
        <v>16</v>
      </c>
      <c r="X555">
        <v>0.59399999999999997</v>
      </c>
      <c r="Y555" s="32">
        <v>1.96</v>
      </c>
      <c r="Z555">
        <v>0</v>
      </c>
      <c r="AA555" s="32">
        <v>1.1930000000000001</v>
      </c>
      <c r="AB555">
        <v>0</v>
      </c>
      <c r="AC555" s="34">
        <v>8.2000000000000003E-2</v>
      </c>
      <c r="AD555" s="32">
        <v>0.70899999999999996</v>
      </c>
    </row>
    <row r="556" spans="1:30">
      <c r="A556">
        <v>554</v>
      </c>
      <c r="B556">
        <v>16</v>
      </c>
      <c r="C556">
        <v>0.58299999999999996</v>
      </c>
      <c r="D556">
        <v>1.96</v>
      </c>
      <c r="E556">
        <v>0</v>
      </c>
      <c r="F556">
        <v>1.131</v>
      </c>
      <c r="G556">
        <v>0</v>
      </c>
      <c r="H556">
        <v>0.08</v>
      </c>
      <c r="I556">
        <v>0.70199999999999996</v>
      </c>
      <c r="K556">
        <v>554</v>
      </c>
      <c r="L556">
        <v>16</v>
      </c>
      <c r="M556" s="32">
        <v>0.58299999999999996</v>
      </c>
      <c r="N556" s="32">
        <v>1.96</v>
      </c>
      <c r="P556" s="47">
        <v>1.133</v>
      </c>
      <c r="R556" s="47">
        <v>8.2000000000000003E-2</v>
      </c>
      <c r="S556" s="47">
        <v>0.66</v>
      </c>
      <c r="T556" s="31">
        <v>0</v>
      </c>
      <c r="V556">
        <v>554</v>
      </c>
      <c r="W556">
        <v>16</v>
      </c>
      <c r="X556">
        <v>0.59499999999999997</v>
      </c>
      <c r="Y556" s="32">
        <v>1.96</v>
      </c>
      <c r="Z556">
        <v>0</v>
      </c>
      <c r="AA556" s="32">
        <v>1.1930000000000001</v>
      </c>
      <c r="AB556">
        <v>0</v>
      </c>
      <c r="AC556" s="34">
        <v>8.2000000000000003E-2</v>
      </c>
      <c r="AD556" s="32">
        <v>0.71</v>
      </c>
    </row>
    <row r="557" spans="1:30">
      <c r="A557">
        <v>555</v>
      </c>
      <c r="B557">
        <v>16</v>
      </c>
      <c r="C557">
        <v>0.58399999999999996</v>
      </c>
      <c r="D557">
        <v>1.96</v>
      </c>
      <c r="E557">
        <v>0</v>
      </c>
      <c r="F557">
        <v>1.131</v>
      </c>
      <c r="G557">
        <v>0</v>
      </c>
      <c r="H557">
        <v>0.08</v>
      </c>
      <c r="I557">
        <v>0.70299999999999996</v>
      </c>
      <c r="K557">
        <v>555</v>
      </c>
      <c r="L557">
        <v>16</v>
      </c>
      <c r="M557" s="32">
        <v>0.58399999999999996</v>
      </c>
      <c r="N557" s="32">
        <v>1.96</v>
      </c>
      <c r="P557" s="47">
        <v>1.133</v>
      </c>
      <c r="R557" s="47">
        <v>8.2000000000000003E-2</v>
      </c>
      <c r="S557" s="47">
        <v>0.66200000000000003</v>
      </c>
      <c r="T557" s="31">
        <v>0</v>
      </c>
      <c r="V557">
        <v>555</v>
      </c>
      <c r="W557">
        <v>16</v>
      </c>
      <c r="X557">
        <v>0.59599999999999997</v>
      </c>
      <c r="Y557" s="32">
        <v>1.96</v>
      </c>
      <c r="Z557">
        <v>0</v>
      </c>
      <c r="AA557" s="32">
        <v>1.1930000000000001</v>
      </c>
      <c r="AB557">
        <v>0</v>
      </c>
      <c r="AC557" s="34">
        <v>8.2000000000000003E-2</v>
      </c>
      <c r="AD557" s="32">
        <v>0.71099999999999997</v>
      </c>
    </row>
    <row r="558" spans="1:30">
      <c r="A558">
        <v>556</v>
      </c>
      <c r="B558">
        <v>16</v>
      </c>
      <c r="C558">
        <v>0.58499999999999996</v>
      </c>
      <c r="D558">
        <v>1.96</v>
      </c>
      <c r="E558">
        <v>0</v>
      </c>
      <c r="F558">
        <v>1.131</v>
      </c>
      <c r="G558">
        <v>0</v>
      </c>
      <c r="H558">
        <v>0.08</v>
      </c>
      <c r="I558">
        <v>0.70399999999999996</v>
      </c>
      <c r="K558">
        <v>556</v>
      </c>
      <c r="L558">
        <v>16</v>
      </c>
      <c r="M558" s="32">
        <v>0.58499999999999996</v>
      </c>
      <c r="N558" s="32">
        <v>1.96</v>
      </c>
      <c r="P558" s="47">
        <v>1.1339999999999999</v>
      </c>
      <c r="R558" s="47">
        <v>8.2000000000000003E-2</v>
      </c>
      <c r="S558" s="47">
        <v>0.66300000000000003</v>
      </c>
      <c r="T558" s="31">
        <v>0</v>
      </c>
      <c r="V558">
        <v>556</v>
      </c>
      <c r="W558">
        <v>16</v>
      </c>
      <c r="X558">
        <v>0.59699999999999998</v>
      </c>
      <c r="Y558" s="32">
        <v>1.96</v>
      </c>
      <c r="Z558">
        <v>0</v>
      </c>
      <c r="AA558" s="32">
        <v>1.194</v>
      </c>
      <c r="AB558">
        <v>0</v>
      </c>
      <c r="AC558" s="34">
        <v>8.2000000000000003E-2</v>
      </c>
      <c r="AD558" s="32">
        <v>0.71299999999999997</v>
      </c>
    </row>
    <row r="559" spans="1:30">
      <c r="A559">
        <v>557</v>
      </c>
      <c r="B559">
        <v>16</v>
      </c>
      <c r="C559">
        <v>0.58599999999999997</v>
      </c>
      <c r="D559">
        <v>1.96</v>
      </c>
      <c r="E559">
        <v>0</v>
      </c>
      <c r="F559">
        <v>1.131</v>
      </c>
      <c r="G559">
        <v>0</v>
      </c>
      <c r="H559">
        <v>0.08</v>
      </c>
      <c r="I559">
        <v>0.70599999999999996</v>
      </c>
      <c r="K559">
        <v>557</v>
      </c>
      <c r="L559">
        <v>16</v>
      </c>
      <c r="M559" s="32">
        <v>0.58599999999999997</v>
      </c>
      <c r="N559" s="32">
        <v>1.96</v>
      </c>
      <c r="P559" s="47">
        <v>1.1339999999999999</v>
      </c>
      <c r="R559" s="47">
        <v>8.2000000000000003E-2</v>
      </c>
      <c r="S559" s="47">
        <v>0.66400000000000003</v>
      </c>
      <c r="T559" s="31">
        <v>0</v>
      </c>
      <c r="V559">
        <v>557</v>
      </c>
      <c r="W559">
        <v>16</v>
      </c>
      <c r="X559">
        <v>0.59799999999999998</v>
      </c>
      <c r="Y559" s="32">
        <v>1.96</v>
      </c>
      <c r="Z559">
        <v>0</v>
      </c>
      <c r="AA559" s="32">
        <v>1.194</v>
      </c>
      <c r="AB559">
        <v>0</v>
      </c>
      <c r="AC559" s="34">
        <v>8.2000000000000003E-2</v>
      </c>
      <c r="AD559" s="32">
        <v>0.71399999999999997</v>
      </c>
    </row>
    <row r="560" spans="1:30">
      <c r="A560">
        <v>558</v>
      </c>
      <c r="B560">
        <v>16</v>
      </c>
      <c r="C560">
        <v>0.58699999999999997</v>
      </c>
      <c r="D560">
        <v>1.96</v>
      </c>
      <c r="E560">
        <v>0</v>
      </c>
      <c r="F560">
        <v>1.131</v>
      </c>
      <c r="G560">
        <v>0</v>
      </c>
      <c r="H560">
        <v>0.08</v>
      </c>
      <c r="I560">
        <v>0.70699999999999996</v>
      </c>
      <c r="K560">
        <v>558</v>
      </c>
      <c r="L560">
        <v>16</v>
      </c>
      <c r="M560" s="32">
        <v>0.58699999999999997</v>
      </c>
      <c r="N560" s="32">
        <v>1.96</v>
      </c>
      <c r="P560" s="47">
        <v>1.135</v>
      </c>
      <c r="R560" s="47">
        <v>8.2000000000000003E-2</v>
      </c>
      <c r="S560" s="47">
        <v>0.66600000000000004</v>
      </c>
      <c r="T560" s="31">
        <v>0</v>
      </c>
      <c r="V560">
        <v>558</v>
      </c>
      <c r="W560">
        <v>16</v>
      </c>
      <c r="X560">
        <v>0.59899999999999998</v>
      </c>
      <c r="Y560" s="32">
        <v>1.96</v>
      </c>
      <c r="Z560">
        <v>0</v>
      </c>
      <c r="AA560" s="32">
        <v>1.194</v>
      </c>
      <c r="AB560">
        <v>0</v>
      </c>
      <c r="AC560" s="34">
        <v>8.2000000000000003E-2</v>
      </c>
      <c r="AD560" s="32">
        <v>0.71499999999999997</v>
      </c>
    </row>
    <row r="561" spans="1:30">
      <c r="A561">
        <v>559</v>
      </c>
      <c r="B561">
        <v>16</v>
      </c>
      <c r="C561">
        <v>0.58799999999999997</v>
      </c>
      <c r="D561">
        <v>1.96</v>
      </c>
      <c r="E561">
        <v>0</v>
      </c>
      <c r="F561">
        <v>1.131</v>
      </c>
      <c r="G561">
        <v>0</v>
      </c>
      <c r="H561">
        <v>0.08</v>
      </c>
      <c r="I561">
        <v>0.70899999999999996</v>
      </c>
      <c r="K561">
        <v>559</v>
      </c>
      <c r="L561">
        <v>16</v>
      </c>
      <c r="M561" s="32">
        <v>0.58799999999999997</v>
      </c>
      <c r="N561" s="32">
        <v>1.96</v>
      </c>
      <c r="P561" s="47">
        <v>1.135</v>
      </c>
      <c r="R561" s="47">
        <v>8.2000000000000003E-2</v>
      </c>
      <c r="S561" s="47">
        <v>0.66700000000000004</v>
      </c>
      <c r="T561" s="31">
        <v>0</v>
      </c>
      <c r="V561">
        <v>559</v>
      </c>
      <c r="W561">
        <v>16</v>
      </c>
      <c r="X561">
        <v>0.6</v>
      </c>
      <c r="Y561" s="32">
        <v>1.96</v>
      </c>
      <c r="Z561">
        <v>0</v>
      </c>
      <c r="AA561" s="32">
        <v>1.194</v>
      </c>
      <c r="AB561">
        <v>0</v>
      </c>
      <c r="AC561" s="34">
        <v>8.2000000000000003E-2</v>
      </c>
      <c r="AD561" s="32">
        <v>0.71699999999999997</v>
      </c>
    </row>
    <row r="562" spans="1:30">
      <c r="A562">
        <v>560</v>
      </c>
      <c r="B562">
        <v>16</v>
      </c>
      <c r="C562">
        <v>0.58899999999999997</v>
      </c>
      <c r="D562">
        <v>1.96</v>
      </c>
      <c r="E562">
        <v>0</v>
      </c>
      <c r="F562">
        <v>1.131</v>
      </c>
      <c r="G562">
        <v>0</v>
      </c>
      <c r="H562">
        <v>0.08</v>
      </c>
      <c r="I562">
        <v>0.71</v>
      </c>
      <c r="K562">
        <v>560</v>
      </c>
      <c r="L562">
        <v>16</v>
      </c>
      <c r="M562" s="32">
        <v>0.58899999999999997</v>
      </c>
      <c r="N562" s="32">
        <v>1.96</v>
      </c>
      <c r="P562" s="47">
        <v>1.1359999999999999</v>
      </c>
      <c r="R562" s="47">
        <v>8.2000000000000003E-2</v>
      </c>
      <c r="S562" s="47">
        <v>0.66900000000000004</v>
      </c>
      <c r="T562" s="31">
        <v>0</v>
      </c>
      <c r="V562">
        <v>560</v>
      </c>
      <c r="W562">
        <v>16</v>
      </c>
      <c r="X562">
        <v>0.60099999999999998</v>
      </c>
      <c r="Y562" s="32">
        <v>1.9710000000000001</v>
      </c>
      <c r="Z562">
        <v>0</v>
      </c>
      <c r="AA562" s="32">
        <v>1.194</v>
      </c>
      <c r="AB562">
        <v>0</v>
      </c>
      <c r="AC562" s="34">
        <v>8.2000000000000003E-2</v>
      </c>
      <c r="AD562" s="32">
        <v>0.71799999999999997</v>
      </c>
    </row>
    <row r="563" spans="1:30">
      <c r="A563">
        <v>561</v>
      </c>
      <c r="B563">
        <v>16</v>
      </c>
      <c r="C563">
        <v>0.59</v>
      </c>
      <c r="D563">
        <v>1.96</v>
      </c>
      <c r="E563">
        <v>0</v>
      </c>
      <c r="F563">
        <v>1.1359999999999999</v>
      </c>
      <c r="G563">
        <v>0</v>
      </c>
      <c r="H563">
        <v>0.08</v>
      </c>
      <c r="I563">
        <v>0.67</v>
      </c>
      <c r="K563">
        <v>561</v>
      </c>
      <c r="L563">
        <v>16</v>
      </c>
      <c r="M563" s="32">
        <v>0.59</v>
      </c>
      <c r="N563" s="32">
        <v>1.96</v>
      </c>
      <c r="P563" s="32">
        <v>1.1359999999999999</v>
      </c>
      <c r="R563" s="47">
        <v>8.2000000000000003E-2</v>
      </c>
      <c r="S563" s="32">
        <v>0.67</v>
      </c>
      <c r="T563" s="31">
        <v>0</v>
      </c>
      <c r="V563">
        <v>561</v>
      </c>
      <c r="W563">
        <v>16</v>
      </c>
      <c r="X563">
        <v>0.60199999999999998</v>
      </c>
      <c r="Y563" s="32">
        <v>1.982</v>
      </c>
      <c r="Z563">
        <v>0</v>
      </c>
      <c r="AA563" s="32">
        <v>1.1950000000000001</v>
      </c>
      <c r="AB563">
        <v>0</v>
      </c>
      <c r="AC563" s="34">
        <v>8.2000000000000003E-2</v>
      </c>
      <c r="AD563" s="32">
        <v>0.71899999999999997</v>
      </c>
    </row>
    <row r="564" spans="1:30">
      <c r="A564">
        <v>562</v>
      </c>
      <c r="B564">
        <v>16</v>
      </c>
      <c r="C564">
        <v>0.59099999999999997</v>
      </c>
      <c r="D564">
        <v>1.96</v>
      </c>
      <c r="E564">
        <v>0</v>
      </c>
      <c r="F564">
        <v>1.1359999999999999</v>
      </c>
      <c r="G564">
        <v>0</v>
      </c>
      <c r="H564">
        <v>0.08</v>
      </c>
      <c r="I564">
        <v>0.72699999999999998</v>
      </c>
      <c r="K564">
        <v>562</v>
      </c>
      <c r="L564">
        <v>16</v>
      </c>
      <c r="M564" s="32">
        <v>0.59099999999999997</v>
      </c>
      <c r="N564" s="32">
        <v>1.96</v>
      </c>
      <c r="P564" s="32">
        <v>1.1359999999999999</v>
      </c>
      <c r="R564" s="47">
        <v>8.2000000000000003E-2</v>
      </c>
      <c r="S564" s="47">
        <v>0.67100000000000004</v>
      </c>
      <c r="T564" s="31">
        <v>0</v>
      </c>
      <c r="V564">
        <v>562</v>
      </c>
      <c r="W564">
        <v>16</v>
      </c>
      <c r="X564">
        <v>0.60299999999999998</v>
      </c>
      <c r="Y564" s="32">
        <v>1.9930000000000001</v>
      </c>
      <c r="Z564">
        <v>0</v>
      </c>
      <c r="AA564" s="32">
        <v>1.1950000000000001</v>
      </c>
      <c r="AB564">
        <v>0</v>
      </c>
      <c r="AC564" s="34">
        <v>8.3000000000000004E-2</v>
      </c>
      <c r="AD564" s="32">
        <v>0.72099999999999997</v>
      </c>
    </row>
    <row r="565" spans="1:30">
      <c r="A565">
        <v>563</v>
      </c>
      <c r="B565">
        <v>16</v>
      </c>
      <c r="C565">
        <v>0.59199999999999997</v>
      </c>
      <c r="D565">
        <v>1.96</v>
      </c>
      <c r="E565">
        <v>0</v>
      </c>
      <c r="F565">
        <v>1.1359999999999999</v>
      </c>
      <c r="G565">
        <v>0</v>
      </c>
      <c r="H565">
        <v>0.08</v>
      </c>
      <c r="I565">
        <v>0.72799999999999998</v>
      </c>
      <c r="K565">
        <v>563</v>
      </c>
      <c r="L565">
        <v>16</v>
      </c>
      <c r="M565" s="32">
        <v>0.59199999999999997</v>
      </c>
      <c r="N565" s="32">
        <v>1.96</v>
      </c>
      <c r="P565" s="47">
        <v>1.137</v>
      </c>
      <c r="R565" s="47">
        <v>8.2000000000000003E-2</v>
      </c>
      <c r="S565" s="47">
        <v>0.67300000000000004</v>
      </c>
      <c r="T565" s="31">
        <v>0</v>
      </c>
      <c r="V565">
        <v>563</v>
      </c>
      <c r="W565">
        <v>16</v>
      </c>
      <c r="X565">
        <v>0.60399999999999998</v>
      </c>
      <c r="Y565" s="32">
        <v>2.004</v>
      </c>
      <c r="Z565">
        <v>0</v>
      </c>
      <c r="AA565" s="32">
        <v>1.1950000000000001</v>
      </c>
      <c r="AB565">
        <v>0</v>
      </c>
      <c r="AC565" s="34">
        <v>8.3000000000000004E-2</v>
      </c>
      <c r="AD565" s="32">
        <v>0.72199999999999998</v>
      </c>
    </row>
    <row r="566" spans="1:30">
      <c r="A566">
        <v>564</v>
      </c>
      <c r="B566">
        <v>16</v>
      </c>
      <c r="C566">
        <v>0.59299999999999997</v>
      </c>
      <c r="D566">
        <v>1.96</v>
      </c>
      <c r="E566">
        <v>0</v>
      </c>
      <c r="F566">
        <v>1.1359999999999999</v>
      </c>
      <c r="G566">
        <v>0</v>
      </c>
      <c r="H566">
        <v>0.08</v>
      </c>
      <c r="I566">
        <v>0.72899999999999998</v>
      </c>
      <c r="K566">
        <v>564</v>
      </c>
      <c r="L566">
        <v>16</v>
      </c>
      <c r="M566" s="32">
        <v>0.59299999999999997</v>
      </c>
      <c r="N566" s="32">
        <v>1.96</v>
      </c>
      <c r="P566" s="47">
        <v>1.137</v>
      </c>
      <c r="R566" s="47">
        <v>8.2000000000000003E-2</v>
      </c>
      <c r="S566" s="47">
        <v>0.67400000000000004</v>
      </c>
      <c r="T566" s="31">
        <v>0</v>
      </c>
      <c r="V566">
        <v>564</v>
      </c>
      <c r="W566">
        <v>16</v>
      </c>
      <c r="X566">
        <v>0.60499999999999998</v>
      </c>
      <c r="Y566" s="32">
        <v>2.0150000000000001</v>
      </c>
      <c r="Z566">
        <v>0</v>
      </c>
      <c r="AA566" s="32">
        <v>1.1950000000000001</v>
      </c>
      <c r="AB566">
        <v>0</v>
      </c>
      <c r="AC566" s="34">
        <v>8.3000000000000004E-2</v>
      </c>
      <c r="AD566" s="32">
        <v>0.72299999999999998</v>
      </c>
    </row>
    <row r="567" spans="1:30">
      <c r="A567">
        <v>565</v>
      </c>
      <c r="B567">
        <v>16</v>
      </c>
      <c r="C567">
        <v>0.59399999999999997</v>
      </c>
      <c r="D567">
        <v>1.96</v>
      </c>
      <c r="E567">
        <v>0</v>
      </c>
      <c r="F567">
        <v>1.1359999999999999</v>
      </c>
      <c r="G567">
        <v>0</v>
      </c>
      <c r="H567">
        <v>0.08</v>
      </c>
      <c r="I567">
        <v>0.73099999999999998</v>
      </c>
      <c r="K567">
        <v>565</v>
      </c>
      <c r="L567">
        <v>16</v>
      </c>
      <c r="M567" s="32">
        <v>0.59399999999999997</v>
      </c>
      <c r="N567" s="32">
        <v>1.96</v>
      </c>
      <c r="P567" s="47">
        <v>1.1379999999999999</v>
      </c>
      <c r="R567" s="47">
        <v>8.2000000000000003E-2</v>
      </c>
      <c r="S567" s="47">
        <v>0.67600000000000005</v>
      </c>
      <c r="T567" s="31">
        <v>0</v>
      </c>
      <c r="V567">
        <v>565</v>
      </c>
      <c r="W567">
        <v>16</v>
      </c>
      <c r="X567">
        <v>0.60599999999999998</v>
      </c>
      <c r="Y567" s="32">
        <v>2.0259999999999998</v>
      </c>
      <c r="Z567">
        <v>0</v>
      </c>
      <c r="AA567" s="32">
        <v>1.196</v>
      </c>
      <c r="AB567">
        <v>0</v>
      </c>
      <c r="AC567" s="34">
        <v>8.3000000000000004E-2</v>
      </c>
      <c r="AD567" s="32">
        <v>0.72499999999999998</v>
      </c>
    </row>
    <row r="568" spans="1:30">
      <c r="A568">
        <v>566</v>
      </c>
      <c r="B568">
        <v>16</v>
      </c>
      <c r="C568">
        <v>0.59499999999999997</v>
      </c>
      <c r="D568">
        <v>1.96</v>
      </c>
      <c r="E568">
        <v>0</v>
      </c>
      <c r="F568">
        <v>1.1359999999999999</v>
      </c>
      <c r="G568">
        <v>0</v>
      </c>
      <c r="H568">
        <v>0.08</v>
      </c>
      <c r="I568">
        <v>0.73199999999999998</v>
      </c>
      <c r="K568">
        <v>566</v>
      </c>
      <c r="L568">
        <v>16</v>
      </c>
      <c r="M568" s="32">
        <v>0.59499999999999997</v>
      </c>
      <c r="N568" s="32">
        <v>1.96</v>
      </c>
      <c r="P568" s="47">
        <v>1.1379999999999999</v>
      </c>
      <c r="R568" s="47">
        <v>8.2000000000000003E-2</v>
      </c>
      <c r="S568" s="47">
        <v>0.67700000000000005</v>
      </c>
      <c r="T568" s="31">
        <v>0</v>
      </c>
      <c r="V568">
        <v>566</v>
      </c>
      <c r="W568">
        <v>16</v>
      </c>
      <c r="X568">
        <v>0.60699999999999998</v>
      </c>
      <c r="Y568" s="32">
        <v>2.0369999999999999</v>
      </c>
      <c r="Z568">
        <v>0</v>
      </c>
      <c r="AA568" s="32">
        <v>1.196</v>
      </c>
      <c r="AB568">
        <v>0</v>
      </c>
      <c r="AC568" s="34">
        <v>8.3000000000000004E-2</v>
      </c>
      <c r="AD568" s="32">
        <v>0.72599999999999998</v>
      </c>
    </row>
    <row r="569" spans="1:30">
      <c r="A569">
        <v>567</v>
      </c>
      <c r="B569">
        <v>16</v>
      </c>
      <c r="C569">
        <v>0.59599999999999997</v>
      </c>
      <c r="D569">
        <v>1.96</v>
      </c>
      <c r="E569">
        <v>0</v>
      </c>
      <c r="F569">
        <v>1.1359999999999999</v>
      </c>
      <c r="G569">
        <v>0</v>
      </c>
      <c r="H569">
        <v>0.08</v>
      </c>
      <c r="I569">
        <v>0.73399999999999999</v>
      </c>
      <c r="K569">
        <v>567</v>
      </c>
      <c r="L569">
        <v>16</v>
      </c>
      <c r="M569" s="32">
        <v>0.59599999999999997</v>
      </c>
      <c r="N569" s="32">
        <v>1.96</v>
      </c>
      <c r="P569" s="47">
        <v>1.1379999999999999</v>
      </c>
      <c r="R569" s="47">
        <v>8.2000000000000003E-2</v>
      </c>
      <c r="S569" s="47">
        <v>0.67800000000000005</v>
      </c>
      <c r="T569" s="31">
        <v>0</v>
      </c>
      <c r="V569">
        <v>567</v>
      </c>
      <c r="W569">
        <v>16</v>
      </c>
      <c r="X569">
        <v>0.60799999999999998</v>
      </c>
      <c r="Y569" s="32">
        <v>2.048</v>
      </c>
      <c r="Z569">
        <v>0</v>
      </c>
      <c r="AA569" s="32">
        <v>1.196</v>
      </c>
      <c r="AB569">
        <v>0</v>
      </c>
      <c r="AC569" s="34">
        <v>8.3000000000000004E-2</v>
      </c>
      <c r="AD569" s="32">
        <v>0.72699999999999998</v>
      </c>
    </row>
    <row r="570" spans="1:30">
      <c r="A570">
        <v>568</v>
      </c>
      <c r="B570">
        <v>16</v>
      </c>
      <c r="C570">
        <v>0.59699999999999998</v>
      </c>
      <c r="D570">
        <v>1.96</v>
      </c>
      <c r="E570">
        <v>0</v>
      </c>
      <c r="F570">
        <v>1.1359999999999999</v>
      </c>
      <c r="G570">
        <v>0</v>
      </c>
      <c r="H570">
        <v>0.08</v>
      </c>
      <c r="I570">
        <v>0.73499999999999999</v>
      </c>
      <c r="K570">
        <v>568</v>
      </c>
      <c r="L570">
        <v>16</v>
      </c>
      <c r="M570" s="32">
        <v>0.59699999999999998</v>
      </c>
      <c r="N570" s="32">
        <v>1.96</v>
      </c>
      <c r="P570" s="47">
        <v>1.139</v>
      </c>
      <c r="R570" s="47">
        <v>8.2000000000000003E-2</v>
      </c>
      <c r="S570" s="47">
        <v>0.68</v>
      </c>
      <c r="T570" s="31">
        <v>0</v>
      </c>
      <c r="V570">
        <v>568</v>
      </c>
      <c r="W570">
        <v>16</v>
      </c>
      <c r="X570">
        <v>0.60899999999999999</v>
      </c>
      <c r="Y570" s="32">
        <v>2.0590000000000002</v>
      </c>
      <c r="Z570">
        <v>0</v>
      </c>
      <c r="AA570" s="32">
        <v>1.196</v>
      </c>
      <c r="AB570">
        <v>0</v>
      </c>
      <c r="AC570" s="34">
        <v>8.3000000000000004E-2</v>
      </c>
      <c r="AD570" s="32">
        <v>0.72899999999999998</v>
      </c>
    </row>
    <row r="571" spans="1:30">
      <c r="A571">
        <v>569</v>
      </c>
      <c r="B571">
        <v>16</v>
      </c>
      <c r="C571">
        <v>0.59799999999999998</v>
      </c>
      <c r="D571">
        <v>1.96</v>
      </c>
      <c r="E571">
        <v>0</v>
      </c>
      <c r="F571">
        <v>1.1359999999999999</v>
      </c>
      <c r="G571">
        <v>0</v>
      </c>
      <c r="H571">
        <v>0.08</v>
      </c>
      <c r="I571">
        <v>0.73599999999999999</v>
      </c>
      <c r="K571">
        <v>569</v>
      </c>
      <c r="L571">
        <v>16</v>
      </c>
      <c r="M571" s="32">
        <v>0.59799999999999998</v>
      </c>
      <c r="N571" s="32">
        <v>1.96</v>
      </c>
      <c r="P571" s="47">
        <v>1.139</v>
      </c>
      <c r="R571" s="47">
        <v>8.2000000000000003E-2</v>
      </c>
      <c r="S571" s="47">
        <v>0.68100000000000005</v>
      </c>
      <c r="T571" s="31">
        <v>0</v>
      </c>
      <c r="V571">
        <v>569</v>
      </c>
      <c r="W571">
        <v>16</v>
      </c>
      <c r="X571">
        <v>0.61</v>
      </c>
      <c r="Y571" s="32">
        <v>2.0699999999999998</v>
      </c>
      <c r="Z571">
        <v>0</v>
      </c>
      <c r="AA571" s="32">
        <v>1.1970000000000001</v>
      </c>
      <c r="AB571">
        <v>0</v>
      </c>
      <c r="AC571" s="34">
        <v>8.3000000000000004E-2</v>
      </c>
      <c r="AD571" s="32">
        <v>0.73</v>
      </c>
    </row>
    <row r="572" spans="1:30">
      <c r="A572">
        <v>570</v>
      </c>
      <c r="B572">
        <v>16</v>
      </c>
      <c r="C572">
        <v>0.59899999999999998</v>
      </c>
      <c r="D572">
        <v>1.96</v>
      </c>
      <c r="E572">
        <v>0</v>
      </c>
      <c r="F572">
        <v>1.1359999999999999</v>
      </c>
      <c r="G572">
        <v>0</v>
      </c>
      <c r="H572">
        <v>0.08</v>
      </c>
      <c r="I572">
        <v>0.73799999999999999</v>
      </c>
      <c r="K572">
        <v>570</v>
      </c>
      <c r="L572">
        <v>16</v>
      </c>
      <c r="M572" s="32">
        <v>0.59899999999999998</v>
      </c>
      <c r="N572" s="32">
        <v>1.96</v>
      </c>
      <c r="P572" s="47">
        <v>1.1399999999999999</v>
      </c>
      <c r="R572" s="47">
        <v>8.2000000000000003E-2</v>
      </c>
      <c r="S572" s="47">
        <v>0.68300000000000005</v>
      </c>
      <c r="T572" s="31">
        <v>0</v>
      </c>
      <c r="V572">
        <v>570</v>
      </c>
      <c r="W572">
        <v>16</v>
      </c>
      <c r="X572">
        <v>0.61099999999999999</v>
      </c>
      <c r="Y572" s="32">
        <v>2.0699999999999998</v>
      </c>
      <c r="Z572">
        <v>0</v>
      </c>
      <c r="AA572" s="32">
        <v>1.1970000000000001</v>
      </c>
      <c r="AB572">
        <v>0</v>
      </c>
      <c r="AC572" s="34">
        <v>8.3000000000000004E-2</v>
      </c>
      <c r="AD572" s="32">
        <v>0.73099999999999998</v>
      </c>
    </row>
    <row r="573" spans="1:30">
      <c r="A573">
        <v>571</v>
      </c>
      <c r="B573">
        <v>16</v>
      </c>
      <c r="C573">
        <v>0.6</v>
      </c>
      <c r="D573">
        <v>1.96</v>
      </c>
      <c r="E573">
        <v>0</v>
      </c>
      <c r="F573">
        <v>1.1399999999999999</v>
      </c>
      <c r="G573">
        <v>0</v>
      </c>
      <c r="H573">
        <v>0.08</v>
      </c>
      <c r="I573">
        <v>0.68400000000000005</v>
      </c>
      <c r="K573">
        <v>571</v>
      </c>
      <c r="L573">
        <v>16</v>
      </c>
      <c r="M573" s="32">
        <v>0.6</v>
      </c>
      <c r="N573" s="32">
        <v>1.96</v>
      </c>
      <c r="P573" s="32">
        <v>1.1399999999999999</v>
      </c>
      <c r="R573" s="47">
        <v>8.3000000000000004E-2</v>
      </c>
      <c r="S573" s="32">
        <v>0.68400000000000005</v>
      </c>
      <c r="T573" s="31">
        <v>0</v>
      </c>
      <c r="V573">
        <v>571</v>
      </c>
      <c r="W573">
        <v>16</v>
      </c>
      <c r="X573">
        <v>0.61199999999999999</v>
      </c>
      <c r="Y573" s="32">
        <v>2.0699999999999998</v>
      </c>
      <c r="Z573">
        <v>0</v>
      </c>
      <c r="AA573" s="32">
        <v>1.1970000000000001</v>
      </c>
      <c r="AB573">
        <v>0</v>
      </c>
      <c r="AC573" s="34">
        <v>8.3000000000000004E-2</v>
      </c>
      <c r="AD573" s="32">
        <v>0.73299999999999998</v>
      </c>
    </row>
    <row r="574" spans="1:30">
      <c r="A574">
        <v>572</v>
      </c>
      <c r="B574">
        <v>16</v>
      </c>
      <c r="C574">
        <v>0.60099999999999998</v>
      </c>
      <c r="D574">
        <v>1.96</v>
      </c>
      <c r="E574">
        <v>0</v>
      </c>
      <c r="F574">
        <v>1.1399999999999999</v>
      </c>
      <c r="G574">
        <v>0</v>
      </c>
      <c r="H574">
        <v>0.08</v>
      </c>
      <c r="I574">
        <v>0.755</v>
      </c>
      <c r="K574">
        <v>572</v>
      </c>
      <c r="L574">
        <v>16</v>
      </c>
      <c r="M574" s="32">
        <v>0.60099999999999998</v>
      </c>
      <c r="N574" s="47">
        <v>1.9710000000000001</v>
      </c>
      <c r="P574" s="47">
        <v>1.141</v>
      </c>
      <c r="R574" s="47">
        <v>8.3000000000000004E-2</v>
      </c>
      <c r="S574" s="47">
        <v>0.68500000000000005</v>
      </c>
      <c r="T574" s="31">
        <v>0</v>
      </c>
      <c r="V574">
        <v>572</v>
      </c>
      <c r="W574">
        <v>16</v>
      </c>
      <c r="X574">
        <v>0.61299999999999999</v>
      </c>
      <c r="Y574" s="32">
        <v>2.0699999999999998</v>
      </c>
      <c r="Z574">
        <v>0</v>
      </c>
      <c r="AA574" s="32">
        <v>1.1970000000000001</v>
      </c>
      <c r="AB574">
        <v>0</v>
      </c>
      <c r="AC574" s="34">
        <v>8.3000000000000004E-2</v>
      </c>
      <c r="AD574" s="32">
        <v>0.73399999999999999</v>
      </c>
    </row>
    <row r="575" spans="1:30">
      <c r="A575">
        <v>573</v>
      </c>
      <c r="B575">
        <v>16</v>
      </c>
      <c r="C575">
        <v>0.60199999999999998</v>
      </c>
      <c r="D575">
        <v>1.96</v>
      </c>
      <c r="E575">
        <v>0</v>
      </c>
      <c r="F575">
        <v>1.1399999999999999</v>
      </c>
      <c r="G575">
        <v>0</v>
      </c>
      <c r="H575">
        <v>0.08</v>
      </c>
      <c r="I575">
        <v>0.75600000000000001</v>
      </c>
      <c r="K575">
        <v>573</v>
      </c>
      <c r="L575">
        <v>16</v>
      </c>
      <c r="M575" s="32">
        <v>0.60199999999999998</v>
      </c>
      <c r="N575" s="47">
        <v>1.982</v>
      </c>
      <c r="P575" s="47">
        <v>1.141</v>
      </c>
      <c r="R575" s="47">
        <v>8.3000000000000004E-2</v>
      </c>
      <c r="S575" s="47">
        <v>0.68600000000000005</v>
      </c>
      <c r="T575" s="31">
        <v>0</v>
      </c>
      <c r="V575">
        <v>573</v>
      </c>
      <c r="W575">
        <v>16</v>
      </c>
      <c r="X575">
        <v>0.61399999999999999</v>
      </c>
      <c r="Y575" s="32">
        <v>2.0699999999999998</v>
      </c>
      <c r="Z575">
        <v>0</v>
      </c>
      <c r="AA575" s="32">
        <v>1.1970000000000001</v>
      </c>
      <c r="AB575">
        <v>0</v>
      </c>
      <c r="AC575" s="34">
        <v>8.4000000000000005E-2</v>
      </c>
      <c r="AD575" s="32">
        <v>0.73499999999999999</v>
      </c>
    </row>
    <row r="576" spans="1:30">
      <c r="A576">
        <v>574</v>
      </c>
      <c r="B576">
        <v>16</v>
      </c>
      <c r="C576">
        <v>0.60299999999999998</v>
      </c>
      <c r="D576">
        <v>1.96</v>
      </c>
      <c r="E576">
        <v>0</v>
      </c>
      <c r="F576">
        <v>1.1399999999999999</v>
      </c>
      <c r="G576">
        <v>0</v>
      </c>
      <c r="H576">
        <v>0.08</v>
      </c>
      <c r="I576">
        <v>0.75700000000000001</v>
      </c>
      <c r="K576">
        <v>574</v>
      </c>
      <c r="L576">
        <v>16</v>
      </c>
      <c r="M576" s="32">
        <v>0.60299999999999998</v>
      </c>
      <c r="N576" s="47">
        <v>1.9930000000000001</v>
      </c>
      <c r="P576" s="47">
        <v>1.1419999999999999</v>
      </c>
      <c r="R576" s="47">
        <v>8.3000000000000004E-2</v>
      </c>
      <c r="S576" s="47">
        <v>0.68700000000000006</v>
      </c>
      <c r="T576" s="31">
        <v>0</v>
      </c>
      <c r="V576">
        <v>574</v>
      </c>
      <c r="W576">
        <v>16</v>
      </c>
      <c r="X576">
        <v>0.61499999999999999</v>
      </c>
      <c r="Y576" s="32">
        <v>2.0699999999999998</v>
      </c>
      <c r="Z576">
        <v>0</v>
      </c>
      <c r="AA576" s="32">
        <v>1.198</v>
      </c>
      <c r="AB576">
        <v>0</v>
      </c>
      <c r="AC576" s="34">
        <v>8.4000000000000005E-2</v>
      </c>
      <c r="AD576" s="32">
        <v>0.73699999999999999</v>
      </c>
    </row>
    <row r="577" spans="1:30">
      <c r="A577">
        <v>575</v>
      </c>
      <c r="B577">
        <v>16</v>
      </c>
      <c r="C577">
        <v>0.60399999999999998</v>
      </c>
      <c r="D577">
        <v>1.96</v>
      </c>
      <c r="E577">
        <v>0</v>
      </c>
      <c r="F577">
        <v>1.1399999999999999</v>
      </c>
      <c r="G577">
        <v>0</v>
      </c>
      <c r="H577">
        <v>0.08</v>
      </c>
      <c r="I577">
        <v>0.75900000000000001</v>
      </c>
      <c r="K577">
        <v>575</v>
      </c>
      <c r="L577">
        <v>16</v>
      </c>
      <c r="M577" s="32">
        <v>0.60399999999999998</v>
      </c>
      <c r="N577" s="47">
        <v>2.004</v>
      </c>
      <c r="P577" s="47">
        <v>1.1419999999999999</v>
      </c>
      <c r="R577" s="47">
        <v>8.3000000000000004E-2</v>
      </c>
      <c r="S577" s="47">
        <v>0.68799999999999994</v>
      </c>
      <c r="T577" s="31">
        <v>0</v>
      </c>
      <c r="V577">
        <v>575</v>
      </c>
      <c r="W577">
        <v>16</v>
      </c>
      <c r="X577">
        <v>0.61599999999999999</v>
      </c>
      <c r="Y577" s="32">
        <v>2.0699999999999998</v>
      </c>
      <c r="Z577">
        <v>0</v>
      </c>
      <c r="AA577" s="32">
        <v>1.198</v>
      </c>
      <c r="AB577">
        <v>0</v>
      </c>
      <c r="AC577" s="34">
        <v>8.4000000000000005E-2</v>
      </c>
      <c r="AD577" s="32">
        <v>0.73799999999999999</v>
      </c>
    </row>
    <row r="578" spans="1:30">
      <c r="A578">
        <v>576</v>
      </c>
      <c r="B578">
        <v>16</v>
      </c>
      <c r="C578">
        <v>0.60499999999999998</v>
      </c>
      <c r="D578">
        <v>1.96</v>
      </c>
      <c r="E578">
        <v>0</v>
      </c>
      <c r="F578">
        <v>1.1399999999999999</v>
      </c>
      <c r="G578">
        <v>0</v>
      </c>
      <c r="H578">
        <v>0.08</v>
      </c>
      <c r="I578">
        <v>0.76</v>
      </c>
      <c r="K578">
        <v>576</v>
      </c>
      <c r="L578">
        <v>16</v>
      </c>
      <c r="M578" s="32">
        <v>0.60499999999999998</v>
      </c>
      <c r="N578" s="47">
        <v>2.0150000000000001</v>
      </c>
      <c r="P578" s="47">
        <v>1.143</v>
      </c>
      <c r="R578" s="47">
        <v>8.3000000000000004E-2</v>
      </c>
      <c r="S578" s="47">
        <v>0.69</v>
      </c>
      <c r="T578" s="31">
        <v>0</v>
      </c>
      <c r="V578">
        <v>576</v>
      </c>
      <c r="W578">
        <v>16</v>
      </c>
      <c r="X578">
        <v>0.61699999999999999</v>
      </c>
      <c r="Y578" s="32">
        <v>2.0699999999999998</v>
      </c>
      <c r="Z578">
        <v>0</v>
      </c>
      <c r="AA578" s="32">
        <v>1.198</v>
      </c>
      <c r="AB578">
        <v>0</v>
      </c>
      <c r="AC578" s="34">
        <v>8.4000000000000005E-2</v>
      </c>
      <c r="AD578" s="32">
        <v>0.73899999999999999</v>
      </c>
    </row>
    <row r="579" spans="1:30">
      <c r="A579">
        <v>577</v>
      </c>
      <c r="B579">
        <v>16</v>
      </c>
      <c r="C579">
        <v>0.60599999999999998</v>
      </c>
      <c r="D579">
        <v>1.96</v>
      </c>
      <c r="E579">
        <v>0</v>
      </c>
      <c r="F579">
        <v>1.1399999999999999</v>
      </c>
      <c r="G579">
        <v>0</v>
      </c>
      <c r="H579">
        <v>0.08</v>
      </c>
      <c r="I579">
        <v>0.76100000000000001</v>
      </c>
      <c r="K579">
        <v>577</v>
      </c>
      <c r="L579">
        <v>16</v>
      </c>
      <c r="M579" s="32">
        <v>0.60599999999999998</v>
      </c>
      <c r="N579" s="47">
        <v>2.0259999999999998</v>
      </c>
      <c r="P579" s="47">
        <v>1.143</v>
      </c>
      <c r="R579" s="47">
        <v>8.3000000000000004E-2</v>
      </c>
      <c r="S579" s="47">
        <v>0.69099999999999995</v>
      </c>
      <c r="T579" s="31">
        <v>0</v>
      </c>
      <c r="V579">
        <v>577</v>
      </c>
      <c r="W579">
        <v>16</v>
      </c>
      <c r="X579">
        <v>0.61799999999999999</v>
      </c>
      <c r="Y579" s="32">
        <v>2.0699999999999998</v>
      </c>
      <c r="Z579">
        <v>0</v>
      </c>
      <c r="AA579" s="32">
        <v>1.198</v>
      </c>
      <c r="AB579">
        <v>0</v>
      </c>
      <c r="AC579" s="34">
        <v>8.4000000000000005E-2</v>
      </c>
      <c r="AD579" s="32">
        <v>0.74099999999999999</v>
      </c>
    </row>
    <row r="580" spans="1:30">
      <c r="A580">
        <v>578</v>
      </c>
      <c r="B580">
        <v>16</v>
      </c>
      <c r="C580">
        <v>0.60699999999999998</v>
      </c>
      <c r="D580">
        <v>1.96</v>
      </c>
      <c r="E580">
        <v>0</v>
      </c>
      <c r="F580">
        <v>1.1399999999999999</v>
      </c>
      <c r="G580">
        <v>0</v>
      </c>
      <c r="H580">
        <v>0.08</v>
      </c>
      <c r="I580">
        <v>0.76300000000000001</v>
      </c>
      <c r="K580">
        <v>578</v>
      </c>
      <c r="L580">
        <v>16</v>
      </c>
      <c r="M580" s="32">
        <v>0.60699999999999998</v>
      </c>
      <c r="N580" s="47">
        <v>2.0369999999999999</v>
      </c>
      <c r="P580" s="47">
        <v>1.1439999999999999</v>
      </c>
      <c r="R580" s="47">
        <v>8.3000000000000004E-2</v>
      </c>
      <c r="S580" s="47">
        <v>0.69199999999999995</v>
      </c>
      <c r="T580" s="31">
        <v>0</v>
      </c>
      <c r="V580">
        <v>578</v>
      </c>
      <c r="W580">
        <v>16</v>
      </c>
      <c r="X580">
        <v>0.61899999999999999</v>
      </c>
      <c r="Y580" s="32">
        <v>2.0699999999999998</v>
      </c>
      <c r="Z580">
        <v>0</v>
      </c>
      <c r="AA580" s="32">
        <v>1.1990000000000001</v>
      </c>
      <c r="AB580">
        <v>0</v>
      </c>
      <c r="AC580" s="34">
        <v>8.4000000000000005E-2</v>
      </c>
      <c r="AD580" s="32">
        <v>0.74199999999999999</v>
      </c>
    </row>
    <row r="581" spans="1:30">
      <c r="A581">
        <v>579</v>
      </c>
      <c r="B581">
        <v>16</v>
      </c>
      <c r="C581">
        <v>0.60799999999999998</v>
      </c>
      <c r="D581">
        <v>1.96</v>
      </c>
      <c r="E581">
        <v>0</v>
      </c>
      <c r="F581">
        <v>1.1399999999999999</v>
      </c>
      <c r="G581">
        <v>0</v>
      </c>
      <c r="H581">
        <v>0.08</v>
      </c>
      <c r="I581">
        <v>0.76400000000000001</v>
      </c>
      <c r="K581">
        <v>579</v>
      </c>
      <c r="L581">
        <v>16</v>
      </c>
      <c r="M581" s="32">
        <v>0.60799999999999998</v>
      </c>
      <c r="N581" s="47">
        <v>2.048</v>
      </c>
      <c r="P581" s="47">
        <v>1.1439999999999999</v>
      </c>
      <c r="R581" s="47">
        <v>8.3000000000000004E-2</v>
      </c>
      <c r="S581" s="47">
        <v>0.69299999999999995</v>
      </c>
      <c r="T581" s="31">
        <v>0</v>
      </c>
      <c r="V581">
        <v>579</v>
      </c>
      <c r="W581">
        <v>16</v>
      </c>
      <c r="X581">
        <v>0.62</v>
      </c>
      <c r="Y581" s="32">
        <v>2.0699999999999998</v>
      </c>
      <c r="Z581">
        <v>0</v>
      </c>
      <c r="AA581" s="32">
        <v>1.1990000000000001</v>
      </c>
      <c r="AB581">
        <v>0</v>
      </c>
      <c r="AC581" s="34">
        <v>8.4000000000000005E-2</v>
      </c>
      <c r="AD581" s="32">
        <v>0.74399999999999999</v>
      </c>
    </row>
    <row r="582" spans="1:30">
      <c r="A582">
        <v>580</v>
      </c>
      <c r="B582">
        <v>16</v>
      </c>
      <c r="C582">
        <v>0.60899999999999999</v>
      </c>
      <c r="D582">
        <v>1.96</v>
      </c>
      <c r="E582">
        <v>0</v>
      </c>
      <c r="F582">
        <v>1.1399999999999999</v>
      </c>
      <c r="G582">
        <v>0</v>
      </c>
      <c r="H582">
        <v>0.08</v>
      </c>
      <c r="I582">
        <v>0.76600000000000001</v>
      </c>
      <c r="K582">
        <v>580</v>
      </c>
      <c r="L582">
        <v>16</v>
      </c>
      <c r="M582" s="32">
        <v>0.60899999999999999</v>
      </c>
      <c r="N582" s="47">
        <v>2.0590000000000002</v>
      </c>
      <c r="P582" s="47">
        <v>1.145</v>
      </c>
      <c r="R582" s="47">
        <v>8.3000000000000004E-2</v>
      </c>
      <c r="S582" s="47">
        <v>0.69399999999999995</v>
      </c>
      <c r="T582" s="31">
        <v>0</v>
      </c>
      <c r="V582">
        <v>580</v>
      </c>
      <c r="W582">
        <v>16</v>
      </c>
      <c r="X582">
        <v>0.621</v>
      </c>
      <c r="Y582" s="32">
        <v>2.0699999999999998</v>
      </c>
      <c r="Z582">
        <v>0</v>
      </c>
      <c r="AA582" s="32">
        <v>1.1990000000000001</v>
      </c>
      <c r="AB582">
        <v>0</v>
      </c>
      <c r="AC582" s="34">
        <v>8.4000000000000005E-2</v>
      </c>
      <c r="AD582" s="32">
        <v>0.745</v>
      </c>
    </row>
    <row r="583" spans="1:30">
      <c r="A583">
        <v>581</v>
      </c>
      <c r="B583">
        <v>17</v>
      </c>
      <c r="C583">
        <v>0.61</v>
      </c>
      <c r="D583">
        <v>2.0699999999999998</v>
      </c>
      <c r="E583">
        <v>0</v>
      </c>
      <c r="F583">
        <v>1.145</v>
      </c>
      <c r="G583">
        <v>0</v>
      </c>
      <c r="H583">
        <v>8.3000000000000004E-2</v>
      </c>
      <c r="I583">
        <v>0.69499999999999995</v>
      </c>
      <c r="K583">
        <v>581</v>
      </c>
      <c r="L583">
        <v>17</v>
      </c>
      <c r="M583" s="32">
        <v>0.61</v>
      </c>
      <c r="N583" s="32">
        <v>2.0699999999999998</v>
      </c>
      <c r="P583" s="32">
        <v>1.145</v>
      </c>
      <c r="R583" s="32">
        <v>8.3000000000000004E-2</v>
      </c>
      <c r="S583" s="32">
        <v>0.69499999999999995</v>
      </c>
      <c r="T583" s="31">
        <v>0</v>
      </c>
      <c r="V583">
        <v>581</v>
      </c>
      <c r="W583">
        <v>16</v>
      </c>
      <c r="X583">
        <v>0.622</v>
      </c>
      <c r="Y583" s="32">
        <v>2.0699999999999998</v>
      </c>
      <c r="Z583">
        <v>0</v>
      </c>
      <c r="AA583" s="32">
        <v>1.1990000000000001</v>
      </c>
      <c r="AB583">
        <v>0</v>
      </c>
      <c r="AC583" s="34">
        <v>8.4000000000000005E-2</v>
      </c>
      <c r="AD583" s="32">
        <v>0.746</v>
      </c>
    </row>
    <row r="584" spans="1:30">
      <c r="A584">
        <v>582</v>
      </c>
      <c r="B584">
        <v>17</v>
      </c>
      <c r="C584">
        <v>0.61099999999999999</v>
      </c>
      <c r="D584">
        <v>2.0699999999999998</v>
      </c>
      <c r="E584">
        <v>0</v>
      </c>
      <c r="F584">
        <v>1.145</v>
      </c>
      <c r="G584">
        <v>0</v>
      </c>
      <c r="H584">
        <v>8.3000000000000004E-2</v>
      </c>
      <c r="I584">
        <v>0.69599999999999995</v>
      </c>
      <c r="K584">
        <v>582</v>
      </c>
      <c r="L584">
        <v>17</v>
      </c>
      <c r="M584" s="32">
        <v>0.61099999999999999</v>
      </c>
      <c r="N584" s="32">
        <v>2.0699999999999998</v>
      </c>
      <c r="P584" s="47">
        <v>1.1459999999999999</v>
      </c>
      <c r="R584" s="32">
        <v>8.3000000000000004E-2</v>
      </c>
      <c r="S584" s="47">
        <v>0.69699999999999995</v>
      </c>
      <c r="T584" s="31">
        <v>0</v>
      </c>
      <c r="V584">
        <v>582</v>
      </c>
      <c r="W584">
        <v>16</v>
      </c>
      <c r="X584">
        <v>0.623</v>
      </c>
      <c r="Y584" s="32">
        <v>2.0699999999999998</v>
      </c>
      <c r="Z584">
        <v>0</v>
      </c>
      <c r="AA584" s="32">
        <v>1.2</v>
      </c>
      <c r="AB584">
        <v>0</v>
      </c>
      <c r="AC584" s="34">
        <v>8.4000000000000005E-2</v>
      </c>
      <c r="AD584" s="32">
        <v>0.748</v>
      </c>
    </row>
    <row r="585" spans="1:30">
      <c r="A585">
        <v>583</v>
      </c>
      <c r="B585">
        <v>17</v>
      </c>
      <c r="C585">
        <v>0.61199999999999999</v>
      </c>
      <c r="D585">
        <v>2.0699999999999998</v>
      </c>
      <c r="E585">
        <v>0</v>
      </c>
      <c r="F585">
        <v>1.1459999999999999</v>
      </c>
      <c r="G585">
        <v>0</v>
      </c>
      <c r="H585">
        <v>8.3000000000000004E-2</v>
      </c>
      <c r="I585">
        <v>0.69799999999999995</v>
      </c>
      <c r="K585">
        <v>583</v>
      </c>
      <c r="L585">
        <v>17</v>
      </c>
      <c r="M585" s="32">
        <v>0.61199999999999999</v>
      </c>
      <c r="N585" s="32">
        <v>2.0699999999999998</v>
      </c>
      <c r="P585" s="32">
        <v>1.1459999999999999</v>
      </c>
      <c r="R585" s="32">
        <v>8.3000000000000004E-2</v>
      </c>
      <c r="S585" s="47">
        <v>0.69899999999999995</v>
      </c>
      <c r="T585" s="31">
        <v>0</v>
      </c>
      <c r="V585">
        <v>583</v>
      </c>
      <c r="W585">
        <v>16</v>
      </c>
      <c r="X585">
        <v>0.624</v>
      </c>
      <c r="Y585" s="32">
        <v>2.0699999999999998</v>
      </c>
      <c r="Z585">
        <v>0</v>
      </c>
      <c r="AA585" s="32">
        <v>1.2</v>
      </c>
      <c r="AB585">
        <v>0</v>
      </c>
      <c r="AC585" s="34">
        <v>8.5000000000000006E-2</v>
      </c>
      <c r="AD585" s="32">
        <v>0.749</v>
      </c>
    </row>
    <row r="586" spans="1:30">
      <c r="A586">
        <v>584</v>
      </c>
      <c r="B586">
        <v>17</v>
      </c>
      <c r="C586">
        <v>0.61299999999999999</v>
      </c>
      <c r="D586">
        <v>2.0699999999999998</v>
      </c>
      <c r="E586">
        <v>0</v>
      </c>
      <c r="F586">
        <v>1.1459999999999999</v>
      </c>
      <c r="G586">
        <v>0</v>
      </c>
      <c r="H586">
        <v>8.3000000000000004E-2</v>
      </c>
      <c r="I586">
        <v>0.69899999999999995</v>
      </c>
      <c r="K586">
        <v>584</v>
      </c>
      <c r="L586">
        <v>17</v>
      </c>
      <c r="M586" s="32">
        <v>0.61299999999999999</v>
      </c>
      <c r="N586" s="32">
        <v>2.0699999999999998</v>
      </c>
      <c r="P586" s="47">
        <v>1.147</v>
      </c>
      <c r="R586" s="32">
        <v>8.3000000000000004E-2</v>
      </c>
      <c r="S586" s="47">
        <v>0.7</v>
      </c>
      <c r="T586" s="31">
        <v>0</v>
      </c>
      <c r="V586">
        <v>584</v>
      </c>
      <c r="W586">
        <v>16</v>
      </c>
      <c r="X586">
        <v>0.625</v>
      </c>
      <c r="Y586" s="32">
        <v>2.0699999999999998</v>
      </c>
      <c r="Z586">
        <v>0</v>
      </c>
      <c r="AA586" s="32">
        <v>1.2</v>
      </c>
      <c r="AB586">
        <v>0</v>
      </c>
      <c r="AC586" s="34">
        <v>8.5000000000000006E-2</v>
      </c>
      <c r="AD586" s="32">
        <v>0.75</v>
      </c>
    </row>
    <row r="587" spans="1:30">
      <c r="A587">
        <v>585</v>
      </c>
      <c r="B587">
        <v>17</v>
      </c>
      <c r="C587">
        <v>0.61399999999999999</v>
      </c>
      <c r="D587">
        <v>2.08</v>
      </c>
      <c r="E587">
        <v>0</v>
      </c>
      <c r="F587">
        <v>1.147</v>
      </c>
      <c r="G587">
        <v>0</v>
      </c>
      <c r="H587">
        <v>8.3000000000000004E-2</v>
      </c>
      <c r="I587">
        <v>0.70099999999999996</v>
      </c>
      <c r="K587">
        <v>585</v>
      </c>
      <c r="L587">
        <v>17</v>
      </c>
      <c r="M587" s="32">
        <v>0.61399999999999999</v>
      </c>
      <c r="N587" s="47">
        <v>2.0699999999999998</v>
      </c>
      <c r="P587" s="32">
        <v>1.147</v>
      </c>
      <c r="R587" s="32">
        <v>8.3000000000000004E-2</v>
      </c>
      <c r="S587" s="47">
        <v>0.70199999999999996</v>
      </c>
      <c r="T587" s="31">
        <v>0</v>
      </c>
      <c r="V587">
        <v>585</v>
      </c>
      <c r="W587">
        <v>16</v>
      </c>
      <c r="X587">
        <v>0.626</v>
      </c>
      <c r="Y587" s="32">
        <v>2.0699999999999998</v>
      </c>
      <c r="Z587">
        <v>0</v>
      </c>
      <c r="AA587" s="32">
        <v>1.2</v>
      </c>
      <c r="AB587">
        <v>0</v>
      </c>
      <c r="AC587" s="34">
        <v>8.5000000000000006E-2</v>
      </c>
      <c r="AD587" s="32">
        <v>0.752</v>
      </c>
    </row>
    <row r="588" spans="1:30">
      <c r="A588">
        <v>586</v>
      </c>
      <c r="B588">
        <v>17</v>
      </c>
      <c r="C588">
        <v>0.61499999999999999</v>
      </c>
      <c r="D588">
        <v>2.08</v>
      </c>
      <c r="E588">
        <v>0</v>
      </c>
      <c r="F588">
        <v>1.147</v>
      </c>
      <c r="G588">
        <v>0</v>
      </c>
      <c r="H588">
        <v>8.3000000000000004E-2</v>
      </c>
      <c r="I588">
        <v>0.70199999999999996</v>
      </c>
      <c r="K588">
        <v>586</v>
      </c>
      <c r="L588">
        <v>17</v>
      </c>
      <c r="M588" s="32">
        <v>0.61499999999999999</v>
      </c>
      <c r="N588" s="47">
        <v>2.0699999999999998</v>
      </c>
      <c r="P588" s="47">
        <v>1.1479999999999999</v>
      </c>
      <c r="R588" s="32">
        <v>8.3000000000000004E-2</v>
      </c>
      <c r="S588" s="47">
        <v>0.70399999999999996</v>
      </c>
      <c r="T588" s="31">
        <v>0</v>
      </c>
      <c r="V588">
        <v>586</v>
      </c>
      <c r="W588">
        <v>16</v>
      </c>
      <c r="X588">
        <v>0.627</v>
      </c>
      <c r="Y588" s="32">
        <v>2.0699999999999998</v>
      </c>
      <c r="Z588">
        <v>0</v>
      </c>
      <c r="AA588" s="32">
        <v>1.2</v>
      </c>
      <c r="AB588">
        <v>0</v>
      </c>
      <c r="AC588" s="34">
        <v>8.5000000000000006E-2</v>
      </c>
      <c r="AD588" s="32">
        <v>0.753</v>
      </c>
    </row>
    <row r="589" spans="1:30">
      <c r="A589">
        <v>587</v>
      </c>
      <c r="B589">
        <v>17</v>
      </c>
      <c r="C589">
        <v>0.61599999999999999</v>
      </c>
      <c r="D589">
        <v>2.08</v>
      </c>
      <c r="E589">
        <v>0</v>
      </c>
      <c r="F589">
        <v>1.1479999999999999</v>
      </c>
      <c r="G589">
        <v>0</v>
      </c>
      <c r="H589">
        <v>8.3000000000000004E-2</v>
      </c>
      <c r="I589">
        <v>0.70399999999999996</v>
      </c>
      <c r="K589">
        <v>587</v>
      </c>
      <c r="L589">
        <v>17</v>
      </c>
      <c r="M589" s="32">
        <v>0.61599999999999999</v>
      </c>
      <c r="N589" s="47">
        <v>2.0699999999999998</v>
      </c>
      <c r="P589" s="32">
        <v>1.1479999999999999</v>
      </c>
      <c r="R589" s="32">
        <v>8.3000000000000004E-2</v>
      </c>
      <c r="S589" s="47">
        <v>0.70599999999999996</v>
      </c>
      <c r="T589" s="31">
        <v>0</v>
      </c>
      <c r="V589">
        <v>587</v>
      </c>
      <c r="W589">
        <v>16</v>
      </c>
      <c r="X589">
        <v>0.628</v>
      </c>
      <c r="Y589" s="32">
        <v>2.0699999999999998</v>
      </c>
      <c r="Z589">
        <v>0</v>
      </c>
      <c r="AA589" s="32">
        <v>1.2010000000000001</v>
      </c>
      <c r="AB589">
        <v>0</v>
      </c>
      <c r="AC589" s="34">
        <v>8.5000000000000006E-2</v>
      </c>
      <c r="AD589" s="32">
        <v>0.754</v>
      </c>
    </row>
    <row r="590" spans="1:30">
      <c r="A590">
        <v>588</v>
      </c>
      <c r="B590">
        <v>17</v>
      </c>
      <c r="C590">
        <v>0.61699999999999999</v>
      </c>
      <c r="D590">
        <v>2.08</v>
      </c>
      <c r="E590">
        <v>0</v>
      </c>
      <c r="F590">
        <v>1.1479999999999999</v>
      </c>
      <c r="G590">
        <v>0</v>
      </c>
      <c r="H590">
        <v>8.3000000000000004E-2</v>
      </c>
      <c r="I590">
        <v>0.70499999999999996</v>
      </c>
      <c r="K590">
        <v>588</v>
      </c>
      <c r="L590">
        <v>17</v>
      </c>
      <c r="M590" s="32">
        <v>0.61699999999999999</v>
      </c>
      <c r="N590" s="47">
        <v>2.0699999999999998</v>
      </c>
      <c r="P590" s="47">
        <v>1.149</v>
      </c>
      <c r="R590" s="32">
        <v>8.3000000000000004E-2</v>
      </c>
      <c r="S590" s="47">
        <v>0.70799999999999996</v>
      </c>
      <c r="T590" s="31">
        <v>0</v>
      </c>
      <c r="V590">
        <v>588</v>
      </c>
      <c r="W590">
        <v>16</v>
      </c>
      <c r="X590">
        <v>0.629</v>
      </c>
      <c r="Y590" s="32">
        <v>2.0699999999999998</v>
      </c>
      <c r="Z590">
        <v>0</v>
      </c>
      <c r="AA590" s="32">
        <v>1.2010000000000001</v>
      </c>
      <c r="AB590">
        <v>0</v>
      </c>
      <c r="AC590" s="34">
        <v>8.5000000000000006E-2</v>
      </c>
      <c r="AD590" s="32">
        <v>0.75600000000000001</v>
      </c>
    </row>
    <row r="591" spans="1:30">
      <c r="A591">
        <v>589</v>
      </c>
      <c r="B591">
        <v>17</v>
      </c>
      <c r="C591">
        <v>0.61799999999999999</v>
      </c>
      <c r="D591">
        <v>2.08</v>
      </c>
      <c r="E591">
        <v>0</v>
      </c>
      <c r="F591">
        <v>1.149</v>
      </c>
      <c r="G591">
        <v>0</v>
      </c>
      <c r="H591">
        <v>8.3000000000000004E-2</v>
      </c>
      <c r="I591">
        <v>0.70699999999999996</v>
      </c>
      <c r="K591">
        <v>589</v>
      </c>
      <c r="L591">
        <v>17</v>
      </c>
      <c r="M591" s="32">
        <v>0.61799999999999999</v>
      </c>
      <c r="N591" s="47">
        <v>2.0699999999999998</v>
      </c>
      <c r="P591" s="32">
        <v>1.149</v>
      </c>
      <c r="R591" s="47">
        <v>8.4000000000000005E-2</v>
      </c>
      <c r="S591" s="47">
        <v>0.70899999999999996</v>
      </c>
      <c r="T591" s="31">
        <v>0</v>
      </c>
      <c r="V591">
        <v>589</v>
      </c>
      <c r="W591">
        <v>16</v>
      </c>
      <c r="X591">
        <v>0.63</v>
      </c>
      <c r="Y591" s="32">
        <v>2.0699999999999998</v>
      </c>
      <c r="Z591">
        <v>0</v>
      </c>
      <c r="AA591" s="32">
        <v>1.2010000000000001</v>
      </c>
      <c r="AB591">
        <v>0</v>
      </c>
      <c r="AC591" s="34">
        <v>8.5000000000000006E-2</v>
      </c>
      <c r="AD591" s="32">
        <v>0.75700000000000001</v>
      </c>
    </row>
    <row r="592" spans="1:30">
      <c r="A592">
        <v>590</v>
      </c>
      <c r="B592">
        <v>17</v>
      </c>
      <c r="C592">
        <v>0.61899999999999999</v>
      </c>
      <c r="D592">
        <v>2.08</v>
      </c>
      <c r="E592">
        <v>0</v>
      </c>
      <c r="F592">
        <v>1.149</v>
      </c>
      <c r="G592">
        <v>0</v>
      </c>
      <c r="H592">
        <v>8.3000000000000004E-2</v>
      </c>
      <c r="I592">
        <v>0.70799999999999996</v>
      </c>
      <c r="K592">
        <v>590</v>
      </c>
      <c r="L592">
        <v>17</v>
      </c>
      <c r="M592" s="32">
        <v>0.61899999999999999</v>
      </c>
      <c r="N592" s="47">
        <v>2.0699999999999998</v>
      </c>
      <c r="P592" s="47">
        <v>1.1499999999999999</v>
      </c>
      <c r="R592" s="47">
        <v>8.4000000000000005E-2</v>
      </c>
      <c r="S592" s="47">
        <v>0.71099999999999997</v>
      </c>
      <c r="T592" s="31">
        <v>0</v>
      </c>
      <c r="V592">
        <v>590</v>
      </c>
      <c r="W592">
        <v>16</v>
      </c>
      <c r="X592">
        <v>0.63100000000000001</v>
      </c>
      <c r="Y592" s="32">
        <v>2.0699999999999998</v>
      </c>
      <c r="Z592">
        <v>0</v>
      </c>
      <c r="AA592" s="32">
        <v>1.2010000000000001</v>
      </c>
      <c r="AB592">
        <v>0</v>
      </c>
      <c r="AC592" s="34">
        <v>8.5000000000000006E-2</v>
      </c>
      <c r="AD592" s="32">
        <v>0.75800000000000001</v>
      </c>
    </row>
    <row r="593" spans="1:30">
      <c r="A593">
        <v>591</v>
      </c>
      <c r="B593">
        <v>17</v>
      </c>
      <c r="C593">
        <v>0.62</v>
      </c>
      <c r="D593">
        <v>2.0699999999999998</v>
      </c>
      <c r="E593">
        <v>0</v>
      </c>
      <c r="F593">
        <v>1.1499999999999999</v>
      </c>
      <c r="G593">
        <v>0</v>
      </c>
      <c r="H593">
        <v>8.3000000000000004E-2</v>
      </c>
      <c r="I593">
        <v>0.71299999999999997</v>
      </c>
      <c r="K593">
        <v>591</v>
      </c>
      <c r="L593">
        <v>17</v>
      </c>
      <c r="M593" s="32">
        <v>0.62</v>
      </c>
      <c r="N593" s="32">
        <v>2.0699999999999998</v>
      </c>
      <c r="P593" s="32">
        <v>1.1499999999999999</v>
      </c>
      <c r="R593" s="47">
        <v>8.4000000000000005E-2</v>
      </c>
      <c r="S593" s="32">
        <v>0.71299999999999997</v>
      </c>
      <c r="T593" s="31">
        <v>0</v>
      </c>
      <c r="V593">
        <v>591</v>
      </c>
      <c r="W593">
        <v>16</v>
      </c>
      <c r="X593">
        <v>0.63200000000000001</v>
      </c>
      <c r="Y593" s="32">
        <v>2.0699999999999998</v>
      </c>
      <c r="Z593">
        <v>0</v>
      </c>
      <c r="AA593" s="32">
        <v>1.202</v>
      </c>
      <c r="AB593">
        <v>0</v>
      </c>
      <c r="AC593" s="34">
        <v>8.5000000000000006E-2</v>
      </c>
      <c r="AD593" s="32">
        <v>0.76</v>
      </c>
    </row>
    <row r="594" spans="1:30">
      <c r="A594">
        <v>592</v>
      </c>
      <c r="B594">
        <v>17</v>
      </c>
      <c r="C594">
        <v>0.621</v>
      </c>
      <c r="D594">
        <v>2.0699999999999998</v>
      </c>
      <c r="E594">
        <v>0</v>
      </c>
      <c r="F594">
        <v>1.1499999999999999</v>
      </c>
      <c r="G594">
        <v>0</v>
      </c>
      <c r="H594">
        <v>8.3000000000000004E-2</v>
      </c>
      <c r="I594">
        <v>0.72899999999999998</v>
      </c>
      <c r="K594">
        <v>592</v>
      </c>
      <c r="L594">
        <v>17</v>
      </c>
      <c r="M594" s="32">
        <v>0.621</v>
      </c>
      <c r="N594" s="32">
        <v>2.0699999999999998</v>
      </c>
      <c r="P594" s="47">
        <v>1.151</v>
      </c>
      <c r="R594" s="47">
        <v>8.4000000000000005E-2</v>
      </c>
      <c r="S594" s="47">
        <v>0.71399999999999997</v>
      </c>
      <c r="T594" s="31">
        <v>0</v>
      </c>
      <c r="V594">
        <v>592</v>
      </c>
      <c r="W594">
        <v>16</v>
      </c>
      <c r="X594">
        <v>0.63300000000000001</v>
      </c>
      <c r="Y594" s="32">
        <v>2.0699999999999998</v>
      </c>
      <c r="Z594">
        <v>0</v>
      </c>
      <c r="AA594" s="32">
        <v>1.202</v>
      </c>
      <c r="AB594">
        <v>0</v>
      </c>
      <c r="AC594" s="34">
        <v>8.5000000000000006E-2</v>
      </c>
      <c r="AD594" s="32">
        <v>0.76100000000000001</v>
      </c>
    </row>
    <row r="595" spans="1:30">
      <c r="A595">
        <v>593</v>
      </c>
      <c r="B595">
        <v>17</v>
      </c>
      <c r="C595">
        <v>0.622</v>
      </c>
      <c r="D595">
        <v>2.0699999999999998</v>
      </c>
      <c r="E595">
        <v>0</v>
      </c>
      <c r="F595">
        <v>1.1499999999999999</v>
      </c>
      <c r="G595">
        <v>0</v>
      </c>
      <c r="H595">
        <v>8.3000000000000004E-2</v>
      </c>
      <c r="I595">
        <v>0.73</v>
      </c>
      <c r="K595">
        <v>593</v>
      </c>
      <c r="L595">
        <v>17</v>
      </c>
      <c r="M595" s="32">
        <v>0.622</v>
      </c>
      <c r="N595" s="32">
        <v>2.0699999999999998</v>
      </c>
      <c r="P595" s="47">
        <v>1.151</v>
      </c>
      <c r="R595" s="47">
        <v>8.4000000000000005E-2</v>
      </c>
      <c r="S595" s="47">
        <v>0.71599999999999997</v>
      </c>
      <c r="T595" s="31">
        <v>0</v>
      </c>
      <c r="V595">
        <v>593</v>
      </c>
      <c r="W595">
        <v>16</v>
      </c>
      <c r="X595">
        <v>0.63400000000000001</v>
      </c>
      <c r="Y595" s="32">
        <v>2.0699999999999998</v>
      </c>
      <c r="Z595">
        <v>0</v>
      </c>
      <c r="AA595" s="32">
        <v>1.202</v>
      </c>
      <c r="AB595">
        <v>0</v>
      </c>
      <c r="AC595" s="34">
        <v>8.5000000000000006E-2</v>
      </c>
      <c r="AD595" s="32">
        <v>0.76200000000000001</v>
      </c>
    </row>
    <row r="596" spans="1:30">
      <c r="A596">
        <v>594</v>
      </c>
      <c r="B596">
        <v>17</v>
      </c>
      <c r="C596">
        <v>0.623</v>
      </c>
      <c r="D596">
        <v>2.0699999999999998</v>
      </c>
      <c r="E596">
        <v>0</v>
      </c>
      <c r="F596">
        <v>1.1499999999999999</v>
      </c>
      <c r="G596">
        <v>0</v>
      </c>
      <c r="H596">
        <v>8.3000000000000004E-2</v>
      </c>
      <c r="I596">
        <v>0.73199999999999998</v>
      </c>
      <c r="K596">
        <v>594</v>
      </c>
      <c r="L596">
        <v>17</v>
      </c>
      <c r="M596" s="32">
        <v>0.623</v>
      </c>
      <c r="N596" s="32">
        <v>2.0699999999999998</v>
      </c>
      <c r="P596" s="47">
        <v>1.1519999999999999</v>
      </c>
      <c r="R596" s="47">
        <v>8.4000000000000005E-2</v>
      </c>
      <c r="S596" s="47">
        <v>0.71699999999999997</v>
      </c>
      <c r="T596" s="31">
        <v>0</v>
      </c>
      <c r="V596">
        <v>594</v>
      </c>
      <c r="W596">
        <v>16</v>
      </c>
      <c r="X596">
        <v>0.63500000000000001</v>
      </c>
      <c r="Y596" s="32">
        <v>2.0699999999999998</v>
      </c>
      <c r="Z596">
        <v>0</v>
      </c>
      <c r="AA596" s="32">
        <v>1.202</v>
      </c>
      <c r="AB596">
        <v>0</v>
      </c>
      <c r="AC596" s="34">
        <v>8.5999999999999993E-2</v>
      </c>
      <c r="AD596" s="32">
        <v>0.76400000000000001</v>
      </c>
    </row>
    <row r="597" spans="1:30">
      <c r="A597">
        <v>595</v>
      </c>
      <c r="B597">
        <v>17</v>
      </c>
      <c r="C597">
        <v>0.624</v>
      </c>
      <c r="D597">
        <v>2.0699999999999998</v>
      </c>
      <c r="E597">
        <v>0</v>
      </c>
      <c r="F597">
        <v>1.1499999999999999</v>
      </c>
      <c r="G597">
        <v>0</v>
      </c>
      <c r="H597">
        <v>8.3000000000000004E-2</v>
      </c>
      <c r="I597">
        <v>0.73299999999999998</v>
      </c>
      <c r="K597">
        <v>595</v>
      </c>
      <c r="L597">
        <v>17</v>
      </c>
      <c r="M597" s="32">
        <v>0.624</v>
      </c>
      <c r="N597" s="32">
        <v>2.0699999999999998</v>
      </c>
      <c r="P597" s="47">
        <v>1.1519999999999999</v>
      </c>
      <c r="R597" s="47">
        <v>8.4000000000000005E-2</v>
      </c>
      <c r="S597" s="47">
        <v>0.71899999999999997</v>
      </c>
      <c r="T597" s="31">
        <v>0</v>
      </c>
      <c r="V597">
        <v>595</v>
      </c>
      <c r="W597">
        <v>16</v>
      </c>
      <c r="X597">
        <v>0.63600000000000001</v>
      </c>
      <c r="Y597" s="32">
        <v>2.0699999999999998</v>
      </c>
      <c r="Z597">
        <v>0</v>
      </c>
      <c r="AA597" s="32">
        <v>1.2030000000000001</v>
      </c>
      <c r="AB597">
        <v>0</v>
      </c>
      <c r="AC597" s="34">
        <v>8.5999999999999993E-2</v>
      </c>
      <c r="AD597" s="32">
        <v>0.76500000000000001</v>
      </c>
    </row>
    <row r="598" spans="1:30">
      <c r="A598">
        <v>596</v>
      </c>
      <c r="B598">
        <v>17</v>
      </c>
      <c r="C598">
        <v>0.625</v>
      </c>
      <c r="D598">
        <v>2.0699999999999998</v>
      </c>
      <c r="E598">
        <v>0</v>
      </c>
      <c r="F598">
        <v>1.1499999999999999</v>
      </c>
      <c r="G598">
        <v>0</v>
      </c>
      <c r="H598">
        <v>8.3000000000000004E-2</v>
      </c>
      <c r="I598">
        <v>0.73499999999999999</v>
      </c>
      <c r="K598">
        <v>596</v>
      </c>
      <c r="L598">
        <v>17</v>
      </c>
      <c r="M598" s="32">
        <v>0.625</v>
      </c>
      <c r="N598" s="32">
        <v>2.0699999999999998</v>
      </c>
      <c r="P598" s="47">
        <v>1.153</v>
      </c>
      <c r="R598" s="47">
        <v>8.4000000000000005E-2</v>
      </c>
      <c r="S598" s="47">
        <v>0.72</v>
      </c>
      <c r="T598" s="31">
        <v>0</v>
      </c>
      <c r="V598">
        <v>596</v>
      </c>
      <c r="W598">
        <v>16</v>
      </c>
      <c r="X598">
        <v>0.63700000000000001</v>
      </c>
      <c r="Y598" s="32">
        <v>2.0699999999999998</v>
      </c>
      <c r="Z598">
        <v>0</v>
      </c>
      <c r="AA598" s="32">
        <v>1.2030000000000001</v>
      </c>
      <c r="AB598">
        <v>0</v>
      </c>
      <c r="AC598" s="34">
        <v>8.5999999999999993E-2</v>
      </c>
      <c r="AD598" s="32">
        <v>0.76600000000000001</v>
      </c>
    </row>
    <row r="599" spans="1:30">
      <c r="A599">
        <v>597</v>
      </c>
      <c r="B599">
        <v>17</v>
      </c>
      <c r="C599">
        <v>0.626</v>
      </c>
      <c r="D599">
        <v>2.0699999999999998</v>
      </c>
      <c r="E599">
        <v>0</v>
      </c>
      <c r="F599">
        <v>1.1499999999999999</v>
      </c>
      <c r="G599">
        <v>0</v>
      </c>
      <c r="H599">
        <v>8.3000000000000004E-2</v>
      </c>
      <c r="I599">
        <v>0.73599999999999999</v>
      </c>
      <c r="K599">
        <v>597</v>
      </c>
      <c r="L599">
        <v>17</v>
      </c>
      <c r="M599" s="32">
        <v>0.626</v>
      </c>
      <c r="N599" s="32">
        <v>2.0699999999999998</v>
      </c>
      <c r="P599" s="47">
        <v>1.153</v>
      </c>
      <c r="R599" s="47">
        <v>8.4000000000000005E-2</v>
      </c>
      <c r="S599" s="47">
        <v>0.72099999999999997</v>
      </c>
      <c r="T599" s="31">
        <v>0</v>
      </c>
      <c r="V599">
        <v>597</v>
      </c>
      <c r="W599">
        <v>16</v>
      </c>
      <c r="X599">
        <v>0.63800000000000001</v>
      </c>
      <c r="Y599" s="32">
        <v>2.0699999999999998</v>
      </c>
      <c r="Z599">
        <v>0</v>
      </c>
      <c r="AA599" s="32">
        <v>1.2030000000000001</v>
      </c>
      <c r="AB599">
        <v>0</v>
      </c>
      <c r="AC599" s="34">
        <v>8.5999999999999993E-2</v>
      </c>
      <c r="AD599" s="32">
        <v>0.76800000000000002</v>
      </c>
    </row>
    <row r="600" spans="1:30">
      <c r="A600">
        <v>598</v>
      </c>
      <c r="B600">
        <v>17</v>
      </c>
      <c r="C600">
        <v>0.627</v>
      </c>
      <c r="D600">
        <v>2.0699999999999998</v>
      </c>
      <c r="E600">
        <v>0</v>
      </c>
      <c r="F600">
        <v>1.1499999999999999</v>
      </c>
      <c r="G600">
        <v>0</v>
      </c>
      <c r="H600">
        <v>8.3000000000000004E-2</v>
      </c>
      <c r="I600">
        <v>0.73799999999999999</v>
      </c>
      <c r="K600">
        <v>598</v>
      </c>
      <c r="L600">
        <v>17</v>
      </c>
      <c r="M600" s="32">
        <v>0.627</v>
      </c>
      <c r="N600" s="32">
        <v>2.0699999999999998</v>
      </c>
      <c r="P600" s="47">
        <v>1.1539999999999999</v>
      </c>
      <c r="R600" s="47">
        <v>8.4000000000000005E-2</v>
      </c>
      <c r="S600" s="47">
        <v>0.72299999999999998</v>
      </c>
      <c r="T600" s="31">
        <v>0</v>
      </c>
      <c r="V600">
        <v>598</v>
      </c>
      <c r="W600">
        <v>16</v>
      </c>
      <c r="X600">
        <v>0.63900000000000001</v>
      </c>
      <c r="Y600" s="32">
        <v>2.0699999999999998</v>
      </c>
      <c r="Z600">
        <v>0</v>
      </c>
      <c r="AA600" s="32">
        <v>1.2030000000000001</v>
      </c>
      <c r="AB600">
        <v>0</v>
      </c>
      <c r="AC600" s="34">
        <v>8.5999999999999993E-2</v>
      </c>
      <c r="AD600" s="32">
        <v>0.76900000000000002</v>
      </c>
    </row>
    <row r="601" spans="1:30">
      <c r="A601">
        <v>599</v>
      </c>
      <c r="B601">
        <v>17</v>
      </c>
      <c r="C601">
        <v>0.628</v>
      </c>
      <c r="D601">
        <v>2.0699999999999998</v>
      </c>
      <c r="E601">
        <v>0</v>
      </c>
      <c r="F601">
        <v>1.1499999999999999</v>
      </c>
      <c r="G601">
        <v>0</v>
      </c>
      <c r="H601">
        <v>8.3000000000000004E-2</v>
      </c>
      <c r="I601">
        <v>0.73899999999999999</v>
      </c>
      <c r="K601">
        <v>599</v>
      </c>
      <c r="L601">
        <v>17</v>
      </c>
      <c r="M601" s="32">
        <v>0.628</v>
      </c>
      <c r="N601" s="32">
        <v>2.0699999999999998</v>
      </c>
      <c r="P601" s="47">
        <v>1.1539999999999999</v>
      </c>
      <c r="R601" s="47">
        <v>8.4000000000000005E-2</v>
      </c>
      <c r="S601" s="47">
        <v>0.72399999999999998</v>
      </c>
      <c r="T601" s="31">
        <v>0</v>
      </c>
      <c r="V601">
        <v>599</v>
      </c>
      <c r="W601">
        <v>16</v>
      </c>
      <c r="X601">
        <v>0.64</v>
      </c>
      <c r="Y601" s="32">
        <v>2.0699999999999998</v>
      </c>
      <c r="Z601">
        <v>0</v>
      </c>
      <c r="AA601" s="32">
        <v>1.2030000000000001</v>
      </c>
      <c r="AB601">
        <v>0</v>
      </c>
      <c r="AC601" s="34">
        <v>8.5999999999999993E-2</v>
      </c>
      <c r="AD601" s="32">
        <v>0.77</v>
      </c>
    </row>
    <row r="602" spans="1:30">
      <c r="A602">
        <v>600</v>
      </c>
      <c r="B602">
        <v>17</v>
      </c>
      <c r="C602">
        <v>0.629</v>
      </c>
      <c r="D602">
        <v>2.0699999999999998</v>
      </c>
      <c r="E602">
        <v>0</v>
      </c>
      <c r="F602">
        <v>1.1499999999999999</v>
      </c>
      <c r="G602">
        <v>0</v>
      </c>
      <c r="H602">
        <v>8.3000000000000004E-2</v>
      </c>
      <c r="I602">
        <v>0.74099999999999999</v>
      </c>
      <c r="K602">
        <v>600</v>
      </c>
      <c r="L602">
        <v>17</v>
      </c>
      <c r="M602" s="32">
        <v>0.629</v>
      </c>
      <c r="N602" s="32">
        <v>2.0699999999999998</v>
      </c>
      <c r="P602" s="47">
        <v>1.155</v>
      </c>
      <c r="R602" s="47">
        <v>8.4000000000000005E-2</v>
      </c>
      <c r="S602" s="47">
        <v>0.72599999999999998</v>
      </c>
      <c r="T602" s="31">
        <v>0</v>
      </c>
      <c r="V602">
        <v>600</v>
      </c>
      <c r="W602">
        <v>16</v>
      </c>
      <c r="X602">
        <v>0.64100000000000001</v>
      </c>
      <c r="Y602" s="32">
        <v>2.0699999999999998</v>
      </c>
      <c r="Z602">
        <v>0</v>
      </c>
      <c r="AA602" s="32">
        <v>1.204</v>
      </c>
      <c r="AB602">
        <v>0</v>
      </c>
      <c r="AC602" s="34">
        <v>8.5999999999999993E-2</v>
      </c>
      <c r="AD602" s="32">
        <v>0.77200000000000002</v>
      </c>
    </row>
    <row r="603" spans="1:30">
      <c r="A603">
        <v>601</v>
      </c>
      <c r="B603">
        <v>17</v>
      </c>
      <c r="C603">
        <v>0.63</v>
      </c>
      <c r="D603">
        <v>2.0699999999999998</v>
      </c>
      <c r="E603">
        <v>0</v>
      </c>
      <c r="F603">
        <v>1.155</v>
      </c>
      <c r="G603">
        <v>0</v>
      </c>
      <c r="H603">
        <v>8.3000000000000004E-2</v>
      </c>
      <c r="I603">
        <v>0.72699999999999998</v>
      </c>
      <c r="K603">
        <v>601</v>
      </c>
      <c r="L603">
        <v>17</v>
      </c>
      <c r="M603" s="32">
        <v>0.63</v>
      </c>
      <c r="N603" s="32">
        <v>2.0699999999999998</v>
      </c>
      <c r="P603" s="32">
        <v>1.155</v>
      </c>
      <c r="R603" s="47">
        <v>8.4000000000000005E-2</v>
      </c>
      <c r="S603" s="32">
        <v>0.72699999999999998</v>
      </c>
      <c r="T603" s="31">
        <v>0</v>
      </c>
      <c r="V603">
        <v>601</v>
      </c>
      <c r="W603">
        <v>16</v>
      </c>
      <c r="X603">
        <v>0.64200000000000002</v>
      </c>
      <c r="Y603" s="32">
        <v>2.0699999999999998</v>
      </c>
      <c r="Z603">
        <v>0</v>
      </c>
      <c r="AA603" s="32">
        <v>1.204</v>
      </c>
      <c r="AB603">
        <v>0</v>
      </c>
      <c r="AC603" s="34">
        <v>8.5999999999999993E-2</v>
      </c>
      <c r="AD603" s="32">
        <v>0.77300000000000002</v>
      </c>
    </row>
    <row r="604" spans="1:30">
      <c r="A604">
        <v>602</v>
      </c>
      <c r="B604">
        <v>17</v>
      </c>
      <c r="C604">
        <v>0.63100000000000001</v>
      </c>
      <c r="D604">
        <v>2.0699999999999998</v>
      </c>
      <c r="E604">
        <v>0</v>
      </c>
      <c r="F604">
        <v>1.155</v>
      </c>
      <c r="G604">
        <v>0</v>
      </c>
      <c r="H604">
        <v>8.3000000000000004E-2</v>
      </c>
      <c r="I604">
        <v>0.75700000000000001</v>
      </c>
      <c r="K604">
        <v>602</v>
      </c>
      <c r="L604">
        <v>17</v>
      </c>
      <c r="M604" s="32">
        <v>0.63100000000000001</v>
      </c>
      <c r="N604" s="32">
        <v>2.0699999999999998</v>
      </c>
      <c r="P604" s="32">
        <v>1.155</v>
      </c>
      <c r="R604" s="47">
        <v>8.4000000000000005E-2</v>
      </c>
      <c r="S604" s="47">
        <v>0.72899999999999998</v>
      </c>
      <c r="T604" s="31">
        <v>0</v>
      </c>
      <c r="V604">
        <v>602</v>
      </c>
      <c r="W604">
        <v>16</v>
      </c>
      <c r="X604">
        <v>0.64300000000000002</v>
      </c>
      <c r="Y604" s="32">
        <v>2.0699999999999998</v>
      </c>
      <c r="Z604">
        <v>0</v>
      </c>
      <c r="AA604" s="32">
        <v>1.204</v>
      </c>
      <c r="AB604">
        <v>0</v>
      </c>
      <c r="AC604" s="34">
        <v>8.5999999999999993E-2</v>
      </c>
      <c r="AD604" s="32">
        <v>0.77400000000000002</v>
      </c>
    </row>
    <row r="605" spans="1:30">
      <c r="A605">
        <v>603</v>
      </c>
      <c r="B605">
        <v>17</v>
      </c>
      <c r="C605">
        <v>0.63200000000000001</v>
      </c>
      <c r="D605">
        <v>2.0699999999999998</v>
      </c>
      <c r="E605">
        <v>0</v>
      </c>
      <c r="F605">
        <v>1.155</v>
      </c>
      <c r="G605">
        <v>0</v>
      </c>
      <c r="H605">
        <v>8.3000000000000004E-2</v>
      </c>
      <c r="I605">
        <v>0.75900000000000001</v>
      </c>
      <c r="K605">
        <v>603</v>
      </c>
      <c r="L605">
        <v>17</v>
      </c>
      <c r="M605" s="32">
        <v>0.63200000000000001</v>
      </c>
      <c r="N605" s="32">
        <v>2.0699999999999998</v>
      </c>
      <c r="P605" s="47">
        <v>1.1559999999999999</v>
      </c>
      <c r="R605" s="47">
        <v>8.4000000000000005E-2</v>
      </c>
      <c r="S605" s="47">
        <v>0.73</v>
      </c>
      <c r="T605" s="31">
        <v>0</v>
      </c>
      <c r="V605">
        <v>603</v>
      </c>
      <c r="W605">
        <v>16</v>
      </c>
      <c r="X605">
        <v>0.64400000000000002</v>
      </c>
      <c r="Y605" s="32">
        <v>2.0699999999999998</v>
      </c>
      <c r="Z605">
        <v>0</v>
      </c>
      <c r="AA605" s="32">
        <v>1.204</v>
      </c>
      <c r="AB605">
        <v>0</v>
      </c>
      <c r="AC605" s="34">
        <v>8.5999999999999993E-2</v>
      </c>
      <c r="AD605" s="32">
        <v>0.77600000000000002</v>
      </c>
    </row>
    <row r="606" spans="1:30">
      <c r="A606">
        <v>604</v>
      </c>
      <c r="B606">
        <v>17</v>
      </c>
      <c r="C606">
        <v>0.63300000000000001</v>
      </c>
      <c r="D606">
        <v>2.0699999999999998</v>
      </c>
      <c r="E606">
        <v>0</v>
      </c>
      <c r="F606">
        <v>1.155</v>
      </c>
      <c r="G606">
        <v>0</v>
      </c>
      <c r="H606">
        <v>8.3000000000000004E-2</v>
      </c>
      <c r="I606">
        <v>0.76</v>
      </c>
      <c r="K606">
        <v>604</v>
      </c>
      <c r="L606">
        <v>17</v>
      </c>
      <c r="M606" s="32">
        <v>0.63300000000000001</v>
      </c>
      <c r="N606" s="32">
        <v>2.0699999999999998</v>
      </c>
      <c r="P606" s="47">
        <v>1.1559999999999999</v>
      </c>
      <c r="R606" s="47">
        <v>8.5000000000000006E-2</v>
      </c>
      <c r="S606" s="47">
        <v>0.73199999999999998</v>
      </c>
      <c r="T606" s="31">
        <v>0</v>
      </c>
      <c r="V606">
        <v>604</v>
      </c>
      <c r="W606">
        <v>16</v>
      </c>
      <c r="X606">
        <v>0.64500000000000002</v>
      </c>
      <c r="Y606" s="32">
        <v>2.0699999999999998</v>
      </c>
      <c r="Z606">
        <v>0</v>
      </c>
      <c r="AA606" s="32">
        <v>1.2050000000000001</v>
      </c>
      <c r="AB606">
        <v>0</v>
      </c>
      <c r="AC606" s="34">
        <v>8.5999999999999993E-2</v>
      </c>
      <c r="AD606" s="32">
        <v>0.77700000000000002</v>
      </c>
    </row>
    <row r="607" spans="1:30">
      <c r="A607">
        <v>605</v>
      </c>
      <c r="B607">
        <v>17</v>
      </c>
      <c r="C607">
        <v>0.63400000000000001</v>
      </c>
      <c r="D607">
        <v>2.0699999999999998</v>
      </c>
      <c r="E607">
        <v>0</v>
      </c>
      <c r="F607">
        <v>1.155</v>
      </c>
      <c r="G607">
        <v>0</v>
      </c>
      <c r="H607">
        <v>8.3000000000000004E-2</v>
      </c>
      <c r="I607">
        <v>0.76200000000000001</v>
      </c>
      <c r="K607">
        <v>605</v>
      </c>
      <c r="L607">
        <v>17</v>
      </c>
      <c r="M607" s="32">
        <v>0.63400000000000001</v>
      </c>
      <c r="N607" s="32">
        <v>2.0699999999999998</v>
      </c>
      <c r="P607" s="47">
        <v>1.157</v>
      </c>
      <c r="R607" s="47">
        <v>8.5000000000000006E-2</v>
      </c>
      <c r="S607" s="47">
        <v>0.73299999999999998</v>
      </c>
      <c r="T607" s="31">
        <v>0</v>
      </c>
      <c r="V607">
        <v>605</v>
      </c>
      <c r="W607">
        <v>16</v>
      </c>
      <c r="X607">
        <v>0.64600000000000002</v>
      </c>
      <c r="Y607" s="32">
        <v>2.0699999999999998</v>
      </c>
      <c r="Z607">
        <v>0</v>
      </c>
      <c r="AA607" s="32">
        <v>1.2050000000000001</v>
      </c>
      <c r="AB607">
        <v>0</v>
      </c>
      <c r="AC607" s="34">
        <v>8.6999999999999994E-2</v>
      </c>
      <c r="AD607" s="32">
        <v>0.77800000000000002</v>
      </c>
    </row>
    <row r="608" spans="1:30">
      <c r="A608">
        <v>606</v>
      </c>
      <c r="B608">
        <v>17</v>
      </c>
      <c r="C608">
        <v>0.63500000000000001</v>
      </c>
      <c r="D608">
        <v>2.0699999999999998</v>
      </c>
      <c r="E608">
        <v>0</v>
      </c>
      <c r="F608">
        <v>1.155</v>
      </c>
      <c r="G608">
        <v>0</v>
      </c>
      <c r="H608">
        <v>8.3000000000000004E-2</v>
      </c>
      <c r="I608">
        <v>0.76300000000000001</v>
      </c>
      <c r="K608">
        <v>606</v>
      </c>
      <c r="L608">
        <v>17</v>
      </c>
      <c r="M608" s="32">
        <v>0.63500000000000001</v>
      </c>
      <c r="N608" s="32">
        <v>2.0699999999999998</v>
      </c>
      <c r="P608" s="47">
        <v>1.157</v>
      </c>
      <c r="R608" s="47">
        <v>8.5000000000000006E-2</v>
      </c>
      <c r="S608" s="47">
        <v>0.73499999999999999</v>
      </c>
      <c r="T608" s="31">
        <v>0</v>
      </c>
      <c r="V608">
        <v>606</v>
      </c>
      <c r="W608">
        <v>16</v>
      </c>
      <c r="X608">
        <v>0.64700000000000002</v>
      </c>
      <c r="Y608" s="32">
        <v>2.0699999999999998</v>
      </c>
      <c r="Z608">
        <v>0</v>
      </c>
      <c r="AA608" s="32">
        <v>1.2050000000000001</v>
      </c>
      <c r="AB608">
        <v>0</v>
      </c>
      <c r="AC608" s="34">
        <v>8.6999999999999994E-2</v>
      </c>
      <c r="AD608" s="32">
        <v>0.78</v>
      </c>
    </row>
    <row r="609" spans="1:30">
      <c r="A609">
        <v>607</v>
      </c>
      <c r="B609">
        <v>17</v>
      </c>
      <c r="C609">
        <v>0.63600000000000001</v>
      </c>
      <c r="D609">
        <v>2.0699999999999998</v>
      </c>
      <c r="E609">
        <v>0</v>
      </c>
      <c r="F609">
        <v>1.155</v>
      </c>
      <c r="G609">
        <v>0</v>
      </c>
      <c r="H609">
        <v>8.3000000000000004E-2</v>
      </c>
      <c r="I609">
        <v>0.76500000000000001</v>
      </c>
      <c r="K609">
        <v>607</v>
      </c>
      <c r="L609">
        <v>17</v>
      </c>
      <c r="M609" s="32">
        <v>0.63600000000000001</v>
      </c>
      <c r="N609" s="32">
        <v>2.0699999999999998</v>
      </c>
      <c r="P609" s="47">
        <v>1.157</v>
      </c>
      <c r="R609" s="47">
        <v>8.5000000000000006E-2</v>
      </c>
      <c r="S609" s="47">
        <v>0.73599999999999999</v>
      </c>
      <c r="T609" s="31">
        <v>0</v>
      </c>
      <c r="V609">
        <v>607</v>
      </c>
      <c r="W609">
        <v>16</v>
      </c>
      <c r="X609">
        <v>0.64800000000000002</v>
      </c>
      <c r="Y609" s="32">
        <v>2.0699999999999998</v>
      </c>
      <c r="Z609">
        <v>0</v>
      </c>
      <c r="AA609" s="32">
        <v>1.2050000000000001</v>
      </c>
      <c r="AB609">
        <v>0</v>
      </c>
      <c r="AC609" s="34">
        <v>8.6999999999999994E-2</v>
      </c>
      <c r="AD609" s="32">
        <v>0.78100000000000003</v>
      </c>
    </row>
    <row r="610" spans="1:30">
      <c r="A610">
        <v>608</v>
      </c>
      <c r="B610">
        <v>17</v>
      </c>
      <c r="C610">
        <v>0.63700000000000001</v>
      </c>
      <c r="D610">
        <v>2.0699999999999998</v>
      </c>
      <c r="E610">
        <v>0</v>
      </c>
      <c r="F610">
        <v>1.155</v>
      </c>
      <c r="G610">
        <v>0</v>
      </c>
      <c r="H610">
        <v>8.3000000000000004E-2</v>
      </c>
      <c r="I610">
        <v>0.76600000000000001</v>
      </c>
      <c r="K610">
        <v>608</v>
      </c>
      <c r="L610">
        <v>17</v>
      </c>
      <c r="M610" s="32">
        <v>0.63700000000000001</v>
      </c>
      <c r="N610" s="32">
        <v>2.0699999999999998</v>
      </c>
      <c r="P610" s="47">
        <v>1.1579999999999999</v>
      </c>
      <c r="R610" s="47">
        <v>8.5000000000000006E-2</v>
      </c>
      <c r="S610" s="47">
        <v>0.73799999999999999</v>
      </c>
      <c r="T610" s="31">
        <v>0</v>
      </c>
      <c r="V610">
        <v>608</v>
      </c>
      <c r="W610">
        <v>16</v>
      </c>
      <c r="X610">
        <v>0.64900000000000002</v>
      </c>
      <c r="Y610" s="32">
        <v>2.0699999999999998</v>
      </c>
      <c r="Z610">
        <v>0</v>
      </c>
      <c r="AA610" s="32">
        <v>1.206</v>
      </c>
      <c r="AB610">
        <v>0</v>
      </c>
      <c r="AC610" s="34">
        <v>8.6999999999999994E-2</v>
      </c>
      <c r="AD610" s="32">
        <v>0.78200000000000003</v>
      </c>
    </row>
    <row r="611" spans="1:30">
      <c r="A611">
        <v>609</v>
      </c>
      <c r="B611">
        <v>17</v>
      </c>
      <c r="C611">
        <v>0.63800000000000001</v>
      </c>
      <c r="D611">
        <v>2.0699999999999998</v>
      </c>
      <c r="E611">
        <v>0</v>
      </c>
      <c r="F611">
        <v>1.155</v>
      </c>
      <c r="G611">
        <v>0</v>
      </c>
      <c r="H611">
        <v>8.3000000000000004E-2</v>
      </c>
      <c r="I611">
        <v>0.76800000000000002</v>
      </c>
      <c r="K611">
        <v>609</v>
      </c>
      <c r="L611">
        <v>17</v>
      </c>
      <c r="M611" s="32">
        <v>0.63800000000000001</v>
      </c>
      <c r="N611" s="32">
        <v>2.0699999999999998</v>
      </c>
      <c r="P611" s="47">
        <v>1.1579999999999999</v>
      </c>
      <c r="R611" s="47">
        <v>8.5000000000000006E-2</v>
      </c>
      <c r="S611" s="47">
        <v>0.73899999999999999</v>
      </c>
      <c r="T611" s="31">
        <v>0</v>
      </c>
      <c r="V611">
        <v>609</v>
      </c>
      <c r="W611">
        <v>16</v>
      </c>
      <c r="X611">
        <v>0.65</v>
      </c>
      <c r="Y611" s="32">
        <v>2.0699999999999998</v>
      </c>
      <c r="Z611">
        <v>0</v>
      </c>
      <c r="AA611" s="32">
        <v>1.206</v>
      </c>
      <c r="AB611">
        <v>0</v>
      </c>
      <c r="AC611" s="34">
        <v>8.6999999999999994E-2</v>
      </c>
      <c r="AD611" s="32">
        <v>0.78400000000000003</v>
      </c>
    </row>
    <row r="612" spans="1:30">
      <c r="A612">
        <v>610</v>
      </c>
      <c r="B612">
        <v>17</v>
      </c>
      <c r="C612">
        <v>0.63900000000000001</v>
      </c>
      <c r="D612">
        <v>2.0699999999999998</v>
      </c>
      <c r="E612">
        <v>0</v>
      </c>
      <c r="F612">
        <v>1.155</v>
      </c>
      <c r="G612">
        <v>0</v>
      </c>
      <c r="H612">
        <v>8.3000000000000004E-2</v>
      </c>
      <c r="I612">
        <v>0.76900000000000002</v>
      </c>
      <c r="K612">
        <v>610</v>
      </c>
      <c r="L612">
        <v>17</v>
      </c>
      <c r="M612" s="32">
        <v>0.63900000000000001</v>
      </c>
      <c r="N612" s="32">
        <v>2.0699999999999998</v>
      </c>
      <c r="P612" s="47">
        <v>1.159</v>
      </c>
      <c r="R612" s="47">
        <v>8.5000000000000006E-2</v>
      </c>
      <c r="S612" s="47">
        <v>0.74099999999999999</v>
      </c>
      <c r="T612" s="31">
        <v>0</v>
      </c>
      <c r="V612">
        <v>610</v>
      </c>
      <c r="W612">
        <v>17</v>
      </c>
      <c r="X612">
        <v>0.65100000000000002</v>
      </c>
      <c r="Y612" s="32">
        <v>2.0699999999999998</v>
      </c>
      <c r="Z612">
        <v>0</v>
      </c>
      <c r="AA612" s="32">
        <v>1.206</v>
      </c>
      <c r="AB612">
        <v>0</v>
      </c>
      <c r="AC612" s="34">
        <v>8.6999999999999994E-2</v>
      </c>
      <c r="AD612" s="32">
        <v>0.78500000000000003</v>
      </c>
    </row>
    <row r="613" spans="1:30">
      <c r="A613">
        <v>611</v>
      </c>
      <c r="B613">
        <v>17</v>
      </c>
      <c r="C613">
        <v>0.64</v>
      </c>
      <c r="D613">
        <v>2.0699999999999998</v>
      </c>
      <c r="E613">
        <v>0</v>
      </c>
      <c r="F613">
        <v>1.159</v>
      </c>
      <c r="G613">
        <v>0</v>
      </c>
      <c r="H613">
        <v>8.3000000000000004E-2</v>
      </c>
      <c r="I613">
        <v>0.74199999999999999</v>
      </c>
      <c r="K613">
        <v>611</v>
      </c>
      <c r="L613">
        <v>17</v>
      </c>
      <c r="M613" s="32">
        <v>0.64</v>
      </c>
      <c r="N613" s="32">
        <v>2.0699999999999998</v>
      </c>
      <c r="P613" s="32">
        <v>1.159</v>
      </c>
      <c r="R613" s="47">
        <v>8.5000000000000006E-2</v>
      </c>
      <c r="S613" s="32">
        <v>0.74199999999999999</v>
      </c>
      <c r="T613" s="31">
        <v>0</v>
      </c>
      <c r="V613">
        <v>611</v>
      </c>
      <c r="W613">
        <v>17</v>
      </c>
      <c r="X613">
        <v>0.65200000000000002</v>
      </c>
      <c r="Y613" s="32">
        <v>2.0699999999999998</v>
      </c>
      <c r="Z613">
        <v>0</v>
      </c>
      <c r="AA613" s="32">
        <v>1.206</v>
      </c>
      <c r="AB613">
        <v>0</v>
      </c>
      <c r="AC613" s="34">
        <v>8.6999999999999994E-2</v>
      </c>
      <c r="AD613" s="32">
        <v>0.78600000000000003</v>
      </c>
    </row>
    <row r="614" spans="1:30">
      <c r="A614">
        <v>612</v>
      </c>
      <c r="B614">
        <v>17</v>
      </c>
      <c r="C614">
        <v>0.64100000000000001</v>
      </c>
      <c r="D614">
        <v>2.0699999999999998</v>
      </c>
      <c r="E614">
        <v>0</v>
      </c>
      <c r="F614">
        <v>1.159</v>
      </c>
      <c r="G614">
        <v>0</v>
      </c>
      <c r="H614">
        <v>8.3000000000000004E-2</v>
      </c>
      <c r="I614">
        <v>0.78700000000000003</v>
      </c>
      <c r="K614">
        <v>612</v>
      </c>
      <c r="L614">
        <v>17</v>
      </c>
      <c r="M614" s="32">
        <v>0.64100000000000001</v>
      </c>
      <c r="N614" s="32">
        <v>2.0699999999999998</v>
      </c>
      <c r="P614" s="47">
        <v>1.1599999999999999</v>
      </c>
      <c r="R614" s="47">
        <v>8.5000000000000006E-2</v>
      </c>
      <c r="S614" s="47">
        <v>0.74399999999999999</v>
      </c>
      <c r="T614" s="31">
        <v>0</v>
      </c>
      <c r="V614">
        <v>612</v>
      </c>
      <c r="W614">
        <v>17</v>
      </c>
      <c r="X614">
        <v>0.65300000000000002</v>
      </c>
      <c r="Y614" s="32">
        <v>2.0699999999999998</v>
      </c>
      <c r="Z614">
        <v>0</v>
      </c>
      <c r="AA614" s="32">
        <v>1.206</v>
      </c>
      <c r="AB614">
        <v>0</v>
      </c>
      <c r="AC614" s="34">
        <v>8.6999999999999994E-2</v>
      </c>
      <c r="AD614" s="32">
        <v>0.78800000000000003</v>
      </c>
    </row>
    <row r="615" spans="1:30">
      <c r="A615">
        <v>613</v>
      </c>
      <c r="B615">
        <v>17</v>
      </c>
      <c r="C615">
        <v>0.64200000000000002</v>
      </c>
      <c r="D615">
        <v>2.0699999999999998</v>
      </c>
      <c r="E615">
        <v>0</v>
      </c>
      <c r="F615">
        <v>1.159</v>
      </c>
      <c r="G615">
        <v>0</v>
      </c>
      <c r="H615">
        <v>8.3000000000000004E-2</v>
      </c>
      <c r="I615">
        <v>0.78800000000000003</v>
      </c>
      <c r="K615">
        <v>613</v>
      </c>
      <c r="L615">
        <v>17</v>
      </c>
      <c r="M615" s="32">
        <v>0.64200000000000002</v>
      </c>
      <c r="N615" s="32">
        <v>2.0699999999999998</v>
      </c>
      <c r="P615" s="47">
        <v>1.1599999999999999</v>
      </c>
      <c r="R615" s="47">
        <v>8.5000000000000006E-2</v>
      </c>
      <c r="S615" s="47">
        <v>0.745</v>
      </c>
      <c r="T615" s="31">
        <v>0</v>
      </c>
      <c r="V615">
        <v>613</v>
      </c>
      <c r="W615">
        <v>17</v>
      </c>
      <c r="X615">
        <v>0.65400000000000003</v>
      </c>
      <c r="Y615" s="32">
        <v>2.0699999999999998</v>
      </c>
      <c r="Z615">
        <v>0</v>
      </c>
      <c r="AA615" s="32">
        <v>1.2070000000000001</v>
      </c>
      <c r="AB615">
        <v>0</v>
      </c>
      <c r="AC615" s="34">
        <v>8.6999999999999994E-2</v>
      </c>
      <c r="AD615" s="32">
        <v>0.78900000000000003</v>
      </c>
    </row>
    <row r="616" spans="1:30">
      <c r="A616">
        <v>614</v>
      </c>
      <c r="B616">
        <v>17</v>
      </c>
      <c r="C616">
        <v>0.64300000000000002</v>
      </c>
      <c r="D616">
        <v>2.0699999999999998</v>
      </c>
      <c r="E616">
        <v>0</v>
      </c>
      <c r="F616">
        <v>1.159</v>
      </c>
      <c r="G616">
        <v>0</v>
      </c>
      <c r="H616">
        <v>8.3000000000000004E-2</v>
      </c>
      <c r="I616">
        <v>0.79</v>
      </c>
      <c r="K616">
        <v>614</v>
      </c>
      <c r="L616">
        <v>17</v>
      </c>
      <c r="M616" s="32">
        <v>0.64300000000000002</v>
      </c>
      <c r="N616" s="32">
        <v>2.0699999999999998</v>
      </c>
      <c r="P616" s="47">
        <v>1.161</v>
      </c>
      <c r="R616" s="47">
        <v>8.5000000000000006E-2</v>
      </c>
      <c r="S616" s="47">
        <v>0.747</v>
      </c>
      <c r="T616" s="31">
        <v>0</v>
      </c>
      <c r="V616">
        <v>614</v>
      </c>
      <c r="W616">
        <v>17</v>
      </c>
      <c r="X616">
        <v>0.65500000000000003</v>
      </c>
      <c r="Y616" s="32">
        <v>2.0699999999999998</v>
      </c>
      <c r="Z616">
        <v>0</v>
      </c>
      <c r="AA616" s="32">
        <v>1.2070000000000001</v>
      </c>
      <c r="AB616">
        <v>0</v>
      </c>
      <c r="AC616" s="34">
        <v>8.6999999999999994E-2</v>
      </c>
      <c r="AD616" s="32">
        <v>0.79</v>
      </c>
    </row>
    <row r="617" spans="1:30">
      <c r="A617">
        <v>615</v>
      </c>
      <c r="B617">
        <v>17</v>
      </c>
      <c r="C617">
        <v>0.64400000000000002</v>
      </c>
      <c r="D617">
        <v>2.0699999999999998</v>
      </c>
      <c r="E617">
        <v>0</v>
      </c>
      <c r="F617">
        <v>1.159</v>
      </c>
      <c r="G617">
        <v>0</v>
      </c>
      <c r="H617">
        <v>8.3000000000000004E-2</v>
      </c>
      <c r="I617">
        <v>0.79100000000000004</v>
      </c>
      <c r="K617">
        <v>615</v>
      </c>
      <c r="L617">
        <v>17</v>
      </c>
      <c r="M617" s="32">
        <v>0.64400000000000002</v>
      </c>
      <c r="N617" s="32">
        <v>2.0699999999999998</v>
      </c>
      <c r="P617" s="47">
        <v>1.161</v>
      </c>
      <c r="R617" s="47">
        <v>8.5000000000000006E-2</v>
      </c>
      <c r="S617" s="47">
        <v>0.748</v>
      </c>
      <c r="T617" s="31">
        <v>0</v>
      </c>
      <c r="V617">
        <v>615</v>
      </c>
      <c r="W617">
        <v>17</v>
      </c>
      <c r="X617">
        <v>0.65600000000000003</v>
      </c>
      <c r="Y617" s="32">
        <v>2.0699999999999998</v>
      </c>
      <c r="Z617">
        <v>0</v>
      </c>
      <c r="AA617" s="32">
        <v>1.2070000000000001</v>
      </c>
      <c r="AB617">
        <v>0</v>
      </c>
      <c r="AC617" s="34">
        <v>8.6999999999999994E-2</v>
      </c>
      <c r="AD617" s="32">
        <v>0.79200000000000004</v>
      </c>
    </row>
    <row r="618" spans="1:30">
      <c r="A618">
        <v>616</v>
      </c>
      <c r="B618">
        <v>17</v>
      </c>
      <c r="C618">
        <v>0.64500000000000002</v>
      </c>
      <c r="D618">
        <v>2.0699999999999998</v>
      </c>
      <c r="E618">
        <v>0</v>
      </c>
      <c r="F618">
        <v>1.159</v>
      </c>
      <c r="G618">
        <v>0</v>
      </c>
      <c r="H618">
        <v>8.3000000000000004E-2</v>
      </c>
      <c r="I618">
        <v>0.79300000000000004</v>
      </c>
      <c r="K618">
        <v>616</v>
      </c>
      <c r="L618">
        <v>17</v>
      </c>
      <c r="M618" s="32">
        <v>0.64500000000000002</v>
      </c>
      <c r="N618" s="32">
        <v>2.0699999999999998</v>
      </c>
      <c r="P618" s="47">
        <v>1.1619999999999999</v>
      </c>
      <c r="R618" s="47">
        <v>8.5000000000000006E-2</v>
      </c>
      <c r="S618" s="47">
        <v>0.75</v>
      </c>
      <c r="T618" s="31">
        <v>0</v>
      </c>
      <c r="V618">
        <v>616</v>
      </c>
      <c r="W618">
        <v>17</v>
      </c>
      <c r="X618">
        <v>0.65700000000000003</v>
      </c>
      <c r="Y618" s="32">
        <v>2.0699999999999998</v>
      </c>
      <c r="Z618">
        <v>0</v>
      </c>
      <c r="AA618" s="32">
        <v>1.2070000000000001</v>
      </c>
      <c r="AB618">
        <v>0</v>
      </c>
      <c r="AC618" s="34">
        <v>8.7999999999999995E-2</v>
      </c>
      <c r="AD618" s="32">
        <v>0.79300000000000004</v>
      </c>
    </row>
    <row r="619" spans="1:30">
      <c r="A619">
        <v>617</v>
      </c>
      <c r="B619">
        <v>17</v>
      </c>
      <c r="C619">
        <v>0.64600000000000002</v>
      </c>
      <c r="D619">
        <v>2.0699999999999998</v>
      </c>
      <c r="E619">
        <v>0</v>
      </c>
      <c r="F619">
        <v>1.159</v>
      </c>
      <c r="G619">
        <v>0</v>
      </c>
      <c r="H619">
        <v>8.3000000000000004E-2</v>
      </c>
      <c r="I619">
        <v>0.79400000000000004</v>
      </c>
      <c r="K619">
        <v>617</v>
      </c>
      <c r="L619">
        <v>17</v>
      </c>
      <c r="M619" s="32">
        <v>0.64600000000000002</v>
      </c>
      <c r="N619" s="32">
        <v>2.0699999999999998</v>
      </c>
      <c r="P619" s="47">
        <v>1.1619999999999999</v>
      </c>
      <c r="R619" s="47">
        <v>8.5000000000000006E-2</v>
      </c>
      <c r="S619" s="47">
        <v>0.751</v>
      </c>
      <c r="T619" s="31">
        <v>0</v>
      </c>
      <c r="V619">
        <v>617</v>
      </c>
      <c r="W619">
        <v>17</v>
      </c>
      <c r="X619">
        <v>0.65800000000000003</v>
      </c>
      <c r="Y619" s="32">
        <v>2.0699999999999998</v>
      </c>
      <c r="Z619">
        <v>0</v>
      </c>
      <c r="AA619" s="32">
        <v>1.208</v>
      </c>
      <c r="AB619">
        <v>0</v>
      </c>
      <c r="AC619" s="34">
        <v>8.7999999999999995E-2</v>
      </c>
      <c r="AD619" s="32">
        <v>0.79500000000000004</v>
      </c>
    </row>
    <row r="620" spans="1:30">
      <c r="A620">
        <v>618</v>
      </c>
      <c r="B620">
        <v>17</v>
      </c>
      <c r="C620">
        <v>0.64700000000000002</v>
      </c>
      <c r="D620">
        <v>2.0699999999999998</v>
      </c>
      <c r="E620">
        <v>0</v>
      </c>
      <c r="F620">
        <v>1.159</v>
      </c>
      <c r="G620">
        <v>0</v>
      </c>
      <c r="H620">
        <v>8.3000000000000004E-2</v>
      </c>
      <c r="I620">
        <v>0.79600000000000004</v>
      </c>
      <c r="K620">
        <v>618</v>
      </c>
      <c r="L620">
        <v>17</v>
      </c>
      <c r="M620" s="32">
        <v>0.64700000000000002</v>
      </c>
      <c r="N620" s="32">
        <v>2.0699999999999998</v>
      </c>
      <c r="P620" s="47">
        <v>1.163</v>
      </c>
      <c r="R620" s="47">
        <v>8.5000000000000006E-2</v>
      </c>
      <c r="S620" s="47">
        <v>0.753</v>
      </c>
      <c r="T620" s="31">
        <v>0</v>
      </c>
      <c r="V620">
        <v>618</v>
      </c>
      <c r="W620">
        <v>17</v>
      </c>
      <c r="X620">
        <v>0.65900000000000003</v>
      </c>
      <c r="Y620" s="32">
        <v>2.0699999999999998</v>
      </c>
      <c r="Z620">
        <v>0</v>
      </c>
      <c r="AA620" s="32">
        <v>1.208</v>
      </c>
      <c r="AB620">
        <v>0</v>
      </c>
      <c r="AC620" s="34">
        <v>8.7999999999999995E-2</v>
      </c>
      <c r="AD620" s="32">
        <v>0.79600000000000004</v>
      </c>
    </row>
    <row r="621" spans="1:30">
      <c r="A621">
        <v>619</v>
      </c>
      <c r="B621">
        <v>17</v>
      </c>
      <c r="C621">
        <v>0.64800000000000002</v>
      </c>
      <c r="D621">
        <v>2.0699999999999998</v>
      </c>
      <c r="E621">
        <v>0</v>
      </c>
      <c r="F621">
        <v>1.159</v>
      </c>
      <c r="G621">
        <v>0</v>
      </c>
      <c r="H621">
        <v>8.3000000000000004E-2</v>
      </c>
      <c r="I621">
        <v>0.79700000000000004</v>
      </c>
      <c r="K621">
        <v>619</v>
      </c>
      <c r="L621">
        <v>17</v>
      </c>
      <c r="M621" s="32">
        <v>0.64800000000000002</v>
      </c>
      <c r="N621" s="32">
        <v>2.0699999999999998</v>
      </c>
      <c r="P621" s="47">
        <v>1.163</v>
      </c>
      <c r="R621" s="47">
        <v>8.5999999999999993E-2</v>
      </c>
      <c r="S621" s="47">
        <v>0.754</v>
      </c>
      <c r="T621" s="31">
        <v>0</v>
      </c>
      <c r="V621">
        <v>619</v>
      </c>
      <c r="W621">
        <v>17</v>
      </c>
      <c r="X621">
        <v>0.66</v>
      </c>
      <c r="Y621" s="32">
        <v>2.0699999999999998</v>
      </c>
      <c r="Z621">
        <v>0</v>
      </c>
      <c r="AA621" s="32">
        <v>1.208</v>
      </c>
      <c r="AB621">
        <v>0</v>
      </c>
      <c r="AC621" s="34">
        <v>8.7999999999999995E-2</v>
      </c>
      <c r="AD621" s="32">
        <v>0.79700000000000004</v>
      </c>
    </row>
    <row r="622" spans="1:30">
      <c r="A622">
        <v>620</v>
      </c>
      <c r="B622">
        <v>17</v>
      </c>
      <c r="C622">
        <v>0.64900000000000002</v>
      </c>
      <c r="D622">
        <v>2.0699999999999998</v>
      </c>
      <c r="E622">
        <v>0</v>
      </c>
      <c r="F622">
        <v>1.159</v>
      </c>
      <c r="G622">
        <v>0</v>
      </c>
      <c r="H622">
        <v>8.3000000000000004E-2</v>
      </c>
      <c r="I622">
        <v>0.79900000000000004</v>
      </c>
      <c r="K622">
        <v>620</v>
      </c>
      <c r="L622">
        <v>17</v>
      </c>
      <c r="M622" s="32">
        <v>0.64900000000000002</v>
      </c>
      <c r="N622" s="32">
        <v>2.0699999999999998</v>
      </c>
      <c r="P622" s="47">
        <v>1.1639999999999999</v>
      </c>
      <c r="R622" s="47">
        <v>8.5999999999999993E-2</v>
      </c>
      <c r="S622" s="47">
        <v>0.75600000000000001</v>
      </c>
      <c r="T622" s="31">
        <v>0</v>
      </c>
      <c r="V622">
        <v>620</v>
      </c>
      <c r="W622">
        <v>17</v>
      </c>
      <c r="X622">
        <v>0.66100000000000003</v>
      </c>
      <c r="Y622" s="32">
        <v>2.081</v>
      </c>
      <c r="Z622">
        <v>0</v>
      </c>
      <c r="AA622" s="32">
        <v>1.208</v>
      </c>
      <c r="AB622">
        <v>0</v>
      </c>
      <c r="AC622" s="34">
        <v>8.7999999999999995E-2</v>
      </c>
      <c r="AD622" s="32">
        <v>0.79900000000000004</v>
      </c>
    </row>
    <row r="623" spans="1:30">
      <c r="A623">
        <v>621</v>
      </c>
      <c r="B623">
        <v>17</v>
      </c>
      <c r="C623">
        <v>0.65</v>
      </c>
      <c r="D623">
        <v>2.0699999999999998</v>
      </c>
      <c r="E623">
        <v>0</v>
      </c>
      <c r="F623">
        <v>1.1639999999999999</v>
      </c>
      <c r="G623">
        <v>0</v>
      </c>
      <c r="H623">
        <v>8.3000000000000004E-2</v>
      </c>
      <c r="I623">
        <v>0.75700000000000001</v>
      </c>
      <c r="K623">
        <v>621</v>
      </c>
      <c r="L623">
        <v>17</v>
      </c>
      <c r="M623" s="32">
        <v>0.65</v>
      </c>
      <c r="N623" s="32">
        <v>2.0699999999999998</v>
      </c>
      <c r="P623" s="32">
        <v>1.1639999999999999</v>
      </c>
      <c r="R623" s="47">
        <v>8.5999999999999993E-2</v>
      </c>
      <c r="S623" s="32">
        <v>0.75700000000000001</v>
      </c>
      <c r="T623" s="31">
        <v>0</v>
      </c>
      <c r="V623">
        <v>621</v>
      </c>
      <c r="W623">
        <v>17</v>
      </c>
      <c r="X623">
        <v>0.66200000000000003</v>
      </c>
      <c r="Y623" s="32">
        <v>2.0920000000000001</v>
      </c>
      <c r="Z623">
        <v>0</v>
      </c>
      <c r="AA623" s="32">
        <v>1.208</v>
      </c>
      <c r="AB623">
        <v>0</v>
      </c>
      <c r="AC623" s="34">
        <v>8.7999999999999995E-2</v>
      </c>
      <c r="AD623" s="32">
        <v>0.8</v>
      </c>
    </row>
    <row r="624" spans="1:30">
      <c r="A624">
        <v>622</v>
      </c>
      <c r="B624">
        <v>17</v>
      </c>
      <c r="C624">
        <v>0.65100000000000002</v>
      </c>
      <c r="D624">
        <v>2.0699999999999998</v>
      </c>
      <c r="E624">
        <v>0</v>
      </c>
      <c r="F624">
        <v>1.1639999999999999</v>
      </c>
      <c r="G624">
        <v>0</v>
      </c>
      <c r="H624">
        <v>8.3000000000000004E-2</v>
      </c>
      <c r="I624">
        <v>0.81599999999999995</v>
      </c>
      <c r="K624">
        <v>622</v>
      </c>
      <c r="L624">
        <v>17</v>
      </c>
      <c r="M624" s="32">
        <v>0.65100000000000002</v>
      </c>
      <c r="N624" s="32">
        <v>2.0699999999999998</v>
      </c>
      <c r="P624" s="47">
        <v>1.165</v>
      </c>
      <c r="R624" s="47">
        <v>8.5999999999999993E-2</v>
      </c>
      <c r="S624" s="47">
        <v>0.75900000000000001</v>
      </c>
      <c r="T624" s="31">
        <v>0</v>
      </c>
      <c r="V624">
        <v>622</v>
      </c>
      <c r="W624">
        <v>17</v>
      </c>
      <c r="X624">
        <v>0.66300000000000003</v>
      </c>
      <c r="Y624" s="32">
        <v>2.1030000000000002</v>
      </c>
      <c r="Z624">
        <v>0</v>
      </c>
      <c r="AA624" s="32">
        <v>1.2090000000000001</v>
      </c>
      <c r="AB624">
        <v>0</v>
      </c>
      <c r="AC624" s="34">
        <v>8.7999999999999995E-2</v>
      </c>
      <c r="AD624" s="32">
        <v>0.80100000000000005</v>
      </c>
    </row>
    <row r="625" spans="1:30">
      <c r="A625">
        <v>623</v>
      </c>
      <c r="B625">
        <v>17</v>
      </c>
      <c r="C625">
        <v>0.65200000000000002</v>
      </c>
      <c r="D625">
        <v>2.0699999999999998</v>
      </c>
      <c r="E625">
        <v>0</v>
      </c>
      <c r="F625">
        <v>1.1639999999999999</v>
      </c>
      <c r="G625">
        <v>0</v>
      </c>
      <c r="H625">
        <v>8.3000000000000004E-2</v>
      </c>
      <c r="I625">
        <v>0.81799999999999995</v>
      </c>
      <c r="K625">
        <v>623</v>
      </c>
      <c r="L625">
        <v>17</v>
      </c>
      <c r="M625" s="32">
        <v>0.65200000000000002</v>
      </c>
      <c r="N625" s="32">
        <v>2.0699999999999998</v>
      </c>
      <c r="P625" s="47">
        <v>1.165</v>
      </c>
      <c r="R625" s="47">
        <v>8.5999999999999993E-2</v>
      </c>
      <c r="S625" s="47">
        <v>0.76</v>
      </c>
      <c r="T625" s="31">
        <v>0</v>
      </c>
      <c r="V625">
        <v>623</v>
      </c>
      <c r="W625">
        <v>17</v>
      </c>
      <c r="X625">
        <v>0.66400000000000003</v>
      </c>
      <c r="Y625" s="32">
        <v>2.1139999999999999</v>
      </c>
      <c r="Z625">
        <v>0</v>
      </c>
      <c r="AA625" s="32">
        <v>1.2090000000000001</v>
      </c>
      <c r="AB625">
        <v>0</v>
      </c>
      <c r="AC625" s="34">
        <v>8.7999999999999995E-2</v>
      </c>
      <c r="AD625" s="32">
        <v>0.80300000000000005</v>
      </c>
    </row>
    <row r="626" spans="1:30">
      <c r="A626">
        <v>624</v>
      </c>
      <c r="B626">
        <v>17</v>
      </c>
      <c r="C626">
        <v>0.65300000000000002</v>
      </c>
      <c r="D626">
        <v>2.0699999999999998</v>
      </c>
      <c r="E626">
        <v>0</v>
      </c>
      <c r="F626">
        <v>1.1639999999999999</v>
      </c>
      <c r="G626">
        <v>0</v>
      </c>
      <c r="H626">
        <v>8.3000000000000004E-2</v>
      </c>
      <c r="I626">
        <v>0.81899999999999995</v>
      </c>
      <c r="K626">
        <v>624</v>
      </c>
      <c r="L626">
        <v>17</v>
      </c>
      <c r="M626" s="32">
        <v>0.65300000000000002</v>
      </c>
      <c r="N626" s="32">
        <v>2.0699999999999998</v>
      </c>
      <c r="P626" s="47">
        <v>1.1659999999999999</v>
      </c>
      <c r="R626" s="47">
        <v>8.5999999999999993E-2</v>
      </c>
      <c r="S626" s="47">
        <v>0.76200000000000001</v>
      </c>
      <c r="T626" s="31">
        <v>0</v>
      </c>
      <c r="V626">
        <v>624</v>
      </c>
      <c r="W626">
        <v>17</v>
      </c>
      <c r="X626">
        <v>0.66500000000000004</v>
      </c>
      <c r="Y626" s="32">
        <v>2.125</v>
      </c>
      <c r="Z626">
        <v>0</v>
      </c>
      <c r="AA626" s="32">
        <v>1.2090000000000001</v>
      </c>
      <c r="AB626">
        <v>0</v>
      </c>
      <c r="AC626" s="34">
        <v>8.7999999999999995E-2</v>
      </c>
      <c r="AD626" s="32">
        <v>0.80400000000000005</v>
      </c>
    </row>
    <row r="627" spans="1:30">
      <c r="A627">
        <v>625</v>
      </c>
      <c r="B627">
        <v>17</v>
      </c>
      <c r="C627">
        <v>0.65400000000000003</v>
      </c>
      <c r="D627">
        <v>2.0699999999999998</v>
      </c>
      <c r="E627">
        <v>0</v>
      </c>
      <c r="F627">
        <v>1.1639999999999999</v>
      </c>
      <c r="G627">
        <v>0</v>
      </c>
      <c r="H627">
        <v>8.3000000000000004E-2</v>
      </c>
      <c r="I627">
        <v>0.82099999999999995</v>
      </c>
      <c r="K627">
        <v>625</v>
      </c>
      <c r="L627">
        <v>17</v>
      </c>
      <c r="M627" s="32">
        <v>0.65400000000000003</v>
      </c>
      <c r="N627" s="32">
        <v>2.0699999999999998</v>
      </c>
      <c r="P627" s="47">
        <v>1.1659999999999999</v>
      </c>
      <c r="R627" s="47">
        <v>8.5999999999999993E-2</v>
      </c>
      <c r="S627" s="47">
        <v>0.76300000000000001</v>
      </c>
      <c r="T627" s="31">
        <v>0</v>
      </c>
      <c r="V627">
        <v>625</v>
      </c>
      <c r="W627">
        <v>17</v>
      </c>
      <c r="X627">
        <v>0.66600000000000004</v>
      </c>
      <c r="Y627" s="32">
        <v>2.1360000000000001</v>
      </c>
      <c r="Z627">
        <v>0</v>
      </c>
      <c r="AA627" s="32">
        <v>1.2090000000000001</v>
      </c>
      <c r="AB627">
        <v>0</v>
      </c>
      <c r="AC627" s="34">
        <v>8.7999999999999995E-2</v>
      </c>
      <c r="AD627" s="32">
        <v>0.80600000000000005</v>
      </c>
    </row>
    <row r="628" spans="1:30">
      <c r="A628">
        <v>626</v>
      </c>
      <c r="B628">
        <v>17</v>
      </c>
      <c r="C628">
        <v>0.65500000000000003</v>
      </c>
      <c r="D628">
        <v>2.0699999999999998</v>
      </c>
      <c r="E628">
        <v>0</v>
      </c>
      <c r="F628">
        <v>1.1639999999999999</v>
      </c>
      <c r="G628">
        <v>0</v>
      </c>
      <c r="H628">
        <v>8.3000000000000004E-2</v>
      </c>
      <c r="I628">
        <v>0.82199999999999995</v>
      </c>
      <c r="K628">
        <v>626</v>
      </c>
      <c r="L628">
        <v>17</v>
      </c>
      <c r="M628" s="32">
        <v>0.65500000000000003</v>
      </c>
      <c r="N628" s="32">
        <v>2.0699999999999998</v>
      </c>
      <c r="P628" s="47">
        <v>1.167</v>
      </c>
      <c r="R628" s="47">
        <v>8.5999999999999993E-2</v>
      </c>
      <c r="S628" s="47">
        <v>0.76500000000000001</v>
      </c>
      <c r="T628" s="31">
        <v>0</v>
      </c>
      <c r="V628">
        <v>626</v>
      </c>
      <c r="W628">
        <v>17</v>
      </c>
      <c r="X628">
        <v>0.66700000000000004</v>
      </c>
      <c r="Y628" s="32">
        <v>2.1469999999999998</v>
      </c>
      <c r="Z628">
        <v>0</v>
      </c>
      <c r="AA628" s="32">
        <v>1.21</v>
      </c>
      <c r="AB628">
        <v>0</v>
      </c>
      <c r="AC628" s="34">
        <v>8.7999999999999995E-2</v>
      </c>
      <c r="AD628" s="32">
        <v>0.80700000000000005</v>
      </c>
    </row>
    <row r="629" spans="1:30">
      <c r="A629">
        <v>627</v>
      </c>
      <c r="B629">
        <v>17</v>
      </c>
      <c r="C629">
        <v>0.65600000000000003</v>
      </c>
      <c r="D629">
        <v>2.0699999999999998</v>
      </c>
      <c r="E629">
        <v>0</v>
      </c>
      <c r="F629">
        <v>1.1639999999999999</v>
      </c>
      <c r="G629">
        <v>0</v>
      </c>
      <c r="H629">
        <v>8.3000000000000004E-2</v>
      </c>
      <c r="I629">
        <v>0.82399999999999995</v>
      </c>
      <c r="K629">
        <v>627</v>
      </c>
      <c r="L629">
        <v>17</v>
      </c>
      <c r="M629" s="32">
        <v>0.65600000000000003</v>
      </c>
      <c r="N629" s="32">
        <v>2.0699999999999998</v>
      </c>
      <c r="P629" s="47">
        <v>1.167</v>
      </c>
      <c r="R629" s="47">
        <v>8.5999999999999993E-2</v>
      </c>
      <c r="S629" s="47">
        <v>0.76600000000000001</v>
      </c>
      <c r="T629" s="31">
        <v>0</v>
      </c>
      <c r="V629">
        <v>627</v>
      </c>
      <c r="W629">
        <v>17</v>
      </c>
      <c r="X629">
        <v>0.66800000000000004</v>
      </c>
      <c r="Y629" s="32">
        <v>2.1579999999999999</v>
      </c>
      <c r="Z629">
        <v>0</v>
      </c>
      <c r="AA629" s="32">
        <v>1.21</v>
      </c>
      <c r="AB629">
        <v>0</v>
      </c>
      <c r="AC629" s="34">
        <v>8.8999999999999996E-2</v>
      </c>
      <c r="AD629" s="32">
        <v>0.80800000000000005</v>
      </c>
    </row>
    <row r="630" spans="1:30">
      <c r="A630">
        <v>628</v>
      </c>
      <c r="B630">
        <v>17</v>
      </c>
      <c r="C630">
        <v>0.65700000000000003</v>
      </c>
      <c r="D630">
        <v>2.0699999999999998</v>
      </c>
      <c r="E630">
        <v>0</v>
      </c>
      <c r="F630">
        <v>1.1639999999999999</v>
      </c>
      <c r="G630">
        <v>0</v>
      </c>
      <c r="H630">
        <v>8.3000000000000004E-2</v>
      </c>
      <c r="I630">
        <v>0.82499999999999996</v>
      </c>
      <c r="K630">
        <v>628</v>
      </c>
      <c r="L630">
        <v>17</v>
      </c>
      <c r="M630" s="32">
        <v>0.65700000000000003</v>
      </c>
      <c r="N630" s="32">
        <v>2.0699999999999998</v>
      </c>
      <c r="P630" s="47">
        <v>1.1679999999999999</v>
      </c>
      <c r="R630" s="47">
        <v>8.5999999999999993E-2</v>
      </c>
      <c r="S630" s="47">
        <v>0.76800000000000002</v>
      </c>
      <c r="T630" s="31">
        <v>0</v>
      </c>
      <c r="V630">
        <v>628</v>
      </c>
      <c r="W630">
        <v>17</v>
      </c>
      <c r="X630">
        <v>0.66900000000000004</v>
      </c>
      <c r="Y630" s="32">
        <v>2.169</v>
      </c>
      <c r="Z630">
        <v>0</v>
      </c>
      <c r="AA630" s="32">
        <v>1.21</v>
      </c>
      <c r="AB630">
        <v>0</v>
      </c>
      <c r="AC630" s="34">
        <v>8.8999999999999996E-2</v>
      </c>
      <c r="AD630" s="32">
        <v>0.81</v>
      </c>
    </row>
    <row r="631" spans="1:30">
      <c r="A631">
        <v>629</v>
      </c>
      <c r="B631">
        <v>17</v>
      </c>
      <c r="C631">
        <v>0.65800000000000003</v>
      </c>
      <c r="D631">
        <v>2.0699999999999998</v>
      </c>
      <c r="E631">
        <v>0</v>
      </c>
      <c r="F631">
        <v>1.1639999999999999</v>
      </c>
      <c r="G631">
        <v>0</v>
      </c>
      <c r="H631">
        <v>8.3000000000000004E-2</v>
      </c>
      <c r="I631">
        <v>0.82699999999999996</v>
      </c>
      <c r="K631">
        <v>629</v>
      </c>
      <c r="L631">
        <v>17</v>
      </c>
      <c r="M631" s="32">
        <v>0.65800000000000003</v>
      </c>
      <c r="N631" s="32">
        <v>2.0699999999999998</v>
      </c>
      <c r="P631" s="47">
        <v>1.1679999999999999</v>
      </c>
      <c r="R631" s="47">
        <v>8.5999999999999993E-2</v>
      </c>
      <c r="S631" s="47">
        <v>0.76900000000000002</v>
      </c>
      <c r="T631" s="31">
        <v>0</v>
      </c>
      <c r="V631">
        <v>629</v>
      </c>
      <c r="W631">
        <v>17</v>
      </c>
      <c r="X631">
        <v>0.67</v>
      </c>
      <c r="Y631" s="32">
        <v>2.1800000000000002</v>
      </c>
      <c r="Z631">
        <v>0</v>
      </c>
      <c r="AA631" s="32">
        <v>1.21</v>
      </c>
      <c r="AB631">
        <v>0</v>
      </c>
      <c r="AC631" s="34">
        <v>8.8999999999999996E-2</v>
      </c>
      <c r="AD631" s="32">
        <v>0.81100000000000005</v>
      </c>
    </row>
    <row r="632" spans="1:30">
      <c r="A632">
        <v>630</v>
      </c>
      <c r="B632">
        <v>17</v>
      </c>
      <c r="C632">
        <v>0.65900000000000003</v>
      </c>
      <c r="D632">
        <v>2.0699999999999998</v>
      </c>
      <c r="E632">
        <v>0</v>
      </c>
      <c r="F632">
        <v>1.1639999999999999</v>
      </c>
      <c r="G632">
        <v>0</v>
      </c>
      <c r="H632">
        <v>8.3000000000000004E-2</v>
      </c>
      <c r="I632">
        <v>0.82799999999999996</v>
      </c>
      <c r="K632">
        <v>630</v>
      </c>
      <c r="L632">
        <v>17</v>
      </c>
      <c r="M632" s="32">
        <v>0.65900000000000003</v>
      </c>
      <c r="N632" s="32">
        <v>2.0699999999999998</v>
      </c>
      <c r="P632" s="47">
        <v>1.169</v>
      </c>
      <c r="R632" s="47">
        <v>8.5999999999999993E-2</v>
      </c>
      <c r="S632" s="47">
        <v>0.77100000000000002</v>
      </c>
      <c r="T632" s="31">
        <v>0</v>
      </c>
      <c r="V632">
        <v>630</v>
      </c>
      <c r="W632">
        <v>17</v>
      </c>
      <c r="X632">
        <v>0.67100000000000004</v>
      </c>
      <c r="Y632" s="32">
        <v>2.1800000000000002</v>
      </c>
      <c r="Z632">
        <v>0</v>
      </c>
      <c r="AA632" s="32">
        <v>1.21</v>
      </c>
      <c r="AB632">
        <v>0</v>
      </c>
      <c r="AC632" s="34">
        <v>8.8999999999999996E-2</v>
      </c>
      <c r="AD632" s="32">
        <v>0.81200000000000006</v>
      </c>
    </row>
    <row r="633" spans="1:30">
      <c r="A633">
        <v>631</v>
      </c>
      <c r="B633">
        <v>17</v>
      </c>
      <c r="C633">
        <v>0.66</v>
      </c>
      <c r="D633">
        <v>2.0699999999999998</v>
      </c>
      <c r="E633">
        <v>0</v>
      </c>
      <c r="F633">
        <v>1.169</v>
      </c>
      <c r="G633">
        <v>0</v>
      </c>
      <c r="H633">
        <v>8.3000000000000004E-2</v>
      </c>
      <c r="I633">
        <v>0.77200000000000002</v>
      </c>
      <c r="K633">
        <v>631</v>
      </c>
      <c r="L633">
        <v>17</v>
      </c>
      <c r="M633" s="32">
        <v>0.66</v>
      </c>
      <c r="N633" s="32">
        <v>2.0699999999999998</v>
      </c>
      <c r="P633" s="32">
        <v>1.169</v>
      </c>
      <c r="R633" s="47">
        <v>8.5999999999999993E-2</v>
      </c>
      <c r="S633" s="32">
        <v>0.77200000000000002</v>
      </c>
      <c r="T633" s="31">
        <v>0</v>
      </c>
      <c r="V633">
        <v>631</v>
      </c>
      <c r="W633">
        <v>17</v>
      </c>
      <c r="X633">
        <v>0.67200000000000004</v>
      </c>
      <c r="Y633" s="32">
        <v>2.1800000000000002</v>
      </c>
      <c r="Z633">
        <v>0</v>
      </c>
      <c r="AA633" s="32">
        <v>1.2110000000000001</v>
      </c>
      <c r="AB633">
        <v>0</v>
      </c>
      <c r="AC633" s="34">
        <v>8.8999999999999996E-2</v>
      </c>
      <c r="AD633" s="32">
        <v>0.81399999999999995</v>
      </c>
    </row>
    <row r="634" spans="1:30">
      <c r="A634">
        <v>632</v>
      </c>
      <c r="B634">
        <v>17</v>
      </c>
      <c r="C634">
        <v>0.66100000000000003</v>
      </c>
      <c r="D634">
        <v>2.0699999999999998</v>
      </c>
      <c r="E634">
        <v>0</v>
      </c>
      <c r="F634">
        <v>1.169</v>
      </c>
      <c r="G634">
        <v>0</v>
      </c>
      <c r="H634">
        <v>8.3000000000000004E-2</v>
      </c>
      <c r="I634">
        <v>0.84599999999999997</v>
      </c>
      <c r="K634">
        <v>632</v>
      </c>
      <c r="L634">
        <v>17</v>
      </c>
      <c r="M634" s="32">
        <v>0.66100000000000003</v>
      </c>
      <c r="N634" s="47">
        <v>2.081</v>
      </c>
      <c r="P634" s="47">
        <v>1.17</v>
      </c>
      <c r="R634" s="47">
        <v>8.5999999999999993E-2</v>
      </c>
      <c r="S634" s="47">
        <v>0.77300000000000002</v>
      </c>
      <c r="T634" s="31">
        <v>0</v>
      </c>
      <c r="V634">
        <v>632</v>
      </c>
      <c r="W634">
        <v>17</v>
      </c>
      <c r="X634">
        <v>0.67300000000000004</v>
      </c>
      <c r="Y634" s="32">
        <v>2.1800000000000002</v>
      </c>
      <c r="Z634">
        <v>0</v>
      </c>
      <c r="AA634" s="32">
        <v>1.2110000000000001</v>
      </c>
      <c r="AB634">
        <v>0</v>
      </c>
      <c r="AC634" s="34">
        <v>8.8999999999999996E-2</v>
      </c>
      <c r="AD634" s="32">
        <v>0.81499999999999995</v>
      </c>
    </row>
    <row r="635" spans="1:30">
      <c r="A635">
        <v>633</v>
      </c>
      <c r="B635">
        <v>17</v>
      </c>
      <c r="C635">
        <v>0.66200000000000003</v>
      </c>
      <c r="D635">
        <v>2.0699999999999998</v>
      </c>
      <c r="E635">
        <v>0</v>
      </c>
      <c r="F635">
        <v>1.169</v>
      </c>
      <c r="G635">
        <v>0</v>
      </c>
      <c r="H635">
        <v>8.3000000000000004E-2</v>
      </c>
      <c r="I635">
        <v>0.84699999999999998</v>
      </c>
      <c r="K635">
        <v>633</v>
      </c>
      <c r="L635">
        <v>17</v>
      </c>
      <c r="M635" s="32">
        <v>0.66200000000000003</v>
      </c>
      <c r="N635" s="47">
        <v>2.0920000000000001</v>
      </c>
      <c r="P635" s="47">
        <v>1.17</v>
      </c>
      <c r="R635" s="47">
        <v>8.5999999999999993E-2</v>
      </c>
      <c r="S635" s="47">
        <v>0.77400000000000002</v>
      </c>
      <c r="T635" s="31">
        <v>0</v>
      </c>
      <c r="V635">
        <v>633</v>
      </c>
      <c r="W635">
        <v>17</v>
      </c>
      <c r="X635">
        <v>0.67400000000000004</v>
      </c>
      <c r="Y635" s="32">
        <v>2.1800000000000002</v>
      </c>
      <c r="Z635">
        <v>0</v>
      </c>
      <c r="AA635" s="32">
        <v>1.2110000000000001</v>
      </c>
      <c r="AB635">
        <v>0</v>
      </c>
      <c r="AC635" s="34">
        <v>8.8999999999999996E-2</v>
      </c>
      <c r="AD635" s="32">
        <v>0.81599999999999995</v>
      </c>
    </row>
    <row r="636" spans="1:30">
      <c r="A636">
        <v>634</v>
      </c>
      <c r="B636">
        <v>17</v>
      </c>
      <c r="C636">
        <v>0.66300000000000003</v>
      </c>
      <c r="D636">
        <v>2.0699999999999998</v>
      </c>
      <c r="E636">
        <v>0</v>
      </c>
      <c r="F636">
        <v>1.169</v>
      </c>
      <c r="G636">
        <v>0</v>
      </c>
      <c r="H636">
        <v>8.3000000000000004E-2</v>
      </c>
      <c r="I636">
        <v>0.84899999999999998</v>
      </c>
      <c r="K636">
        <v>634</v>
      </c>
      <c r="L636">
        <v>17</v>
      </c>
      <c r="M636" s="32">
        <v>0.66300000000000003</v>
      </c>
      <c r="N636" s="47">
        <v>2.1030000000000002</v>
      </c>
      <c r="P636" s="47">
        <v>1.171</v>
      </c>
      <c r="R636" s="47">
        <v>8.6999999999999994E-2</v>
      </c>
      <c r="S636" s="47">
        <v>0.77500000000000002</v>
      </c>
      <c r="T636" s="31">
        <v>0</v>
      </c>
      <c r="V636">
        <v>634</v>
      </c>
      <c r="W636">
        <v>17</v>
      </c>
      <c r="X636">
        <v>0.67500000000000004</v>
      </c>
      <c r="Y636" s="32">
        <v>2.1800000000000002</v>
      </c>
      <c r="Z636">
        <v>0</v>
      </c>
      <c r="AA636" s="32">
        <v>1.2110000000000001</v>
      </c>
      <c r="AB636">
        <v>0</v>
      </c>
      <c r="AC636" s="34">
        <v>8.8999999999999996E-2</v>
      </c>
      <c r="AD636" s="32">
        <v>0.81799999999999995</v>
      </c>
    </row>
    <row r="637" spans="1:30">
      <c r="A637">
        <v>635</v>
      </c>
      <c r="B637">
        <v>17</v>
      </c>
      <c r="C637">
        <v>0.66400000000000003</v>
      </c>
      <c r="D637">
        <v>2.0699999999999998</v>
      </c>
      <c r="E637">
        <v>0</v>
      </c>
      <c r="F637">
        <v>1.169</v>
      </c>
      <c r="G637">
        <v>0</v>
      </c>
      <c r="H637">
        <v>8.3000000000000004E-2</v>
      </c>
      <c r="I637">
        <v>0.85</v>
      </c>
      <c r="K637">
        <v>635</v>
      </c>
      <c r="L637">
        <v>17</v>
      </c>
      <c r="M637" s="32">
        <v>0.66400000000000003</v>
      </c>
      <c r="N637" s="47">
        <v>2.1139999999999999</v>
      </c>
      <c r="P637" s="47">
        <v>1.171</v>
      </c>
      <c r="R637" s="47">
        <v>8.6999999999999994E-2</v>
      </c>
      <c r="S637" s="47">
        <v>0.77600000000000002</v>
      </c>
      <c r="T637" s="31">
        <v>0</v>
      </c>
      <c r="V637">
        <v>635</v>
      </c>
      <c r="W637">
        <v>17</v>
      </c>
      <c r="X637">
        <v>0.67600000000000005</v>
      </c>
      <c r="Y637" s="32">
        <v>2.1800000000000002</v>
      </c>
      <c r="Z637">
        <v>0</v>
      </c>
      <c r="AA637" s="32">
        <v>1.212</v>
      </c>
      <c r="AB637">
        <v>0</v>
      </c>
      <c r="AC637" s="34">
        <v>8.8999999999999996E-2</v>
      </c>
      <c r="AD637" s="32">
        <v>0.81899999999999995</v>
      </c>
    </row>
    <row r="638" spans="1:30">
      <c r="A638">
        <v>636</v>
      </c>
      <c r="B638">
        <v>17</v>
      </c>
      <c r="C638">
        <v>0.66500000000000004</v>
      </c>
      <c r="D638">
        <v>2.0699999999999998</v>
      </c>
      <c r="E638">
        <v>0</v>
      </c>
      <c r="F638">
        <v>1.169</v>
      </c>
      <c r="G638">
        <v>0</v>
      </c>
      <c r="H638">
        <v>8.3000000000000004E-2</v>
      </c>
      <c r="I638">
        <v>0.85199999999999998</v>
      </c>
      <c r="K638">
        <v>636</v>
      </c>
      <c r="L638">
        <v>17</v>
      </c>
      <c r="M638" s="32">
        <v>0.66500000000000004</v>
      </c>
      <c r="N638" s="47">
        <v>2.125</v>
      </c>
      <c r="P638" s="47">
        <v>1.1719999999999999</v>
      </c>
      <c r="R638" s="47">
        <v>8.6999999999999994E-2</v>
      </c>
      <c r="S638" s="47">
        <v>0.77700000000000002</v>
      </c>
      <c r="T638" s="31">
        <v>0</v>
      </c>
      <c r="V638">
        <v>636</v>
      </c>
      <c r="W638">
        <v>17</v>
      </c>
      <c r="X638">
        <v>0.67700000000000005</v>
      </c>
      <c r="Y638" s="32">
        <v>2.1800000000000002</v>
      </c>
      <c r="Z638">
        <v>0</v>
      </c>
      <c r="AA638" s="32">
        <v>1.212</v>
      </c>
      <c r="AB638">
        <v>0</v>
      </c>
      <c r="AC638" s="34">
        <v>8.8999999999999996E-2</v>
      </c>
      <c r="AD638" s="32">
        <v>0.82099999999999995</v>
      </c>
    </row>
    <row r="639" spans="1:30">
      <c r="A639">
        <v>637</v>
      </c>
      <c r="B639">
        <v>17</v>
      </c>
      <c r="C639">
        <v>0.66600000000000004</v>
      </c>
      <c r="D639">
        <v>2.0699999999999998</v>
      </c>
      <c r="E639">
        <v>0</v>
      </c>
      <c r="F639">
        <v>1.169</v>
      </c>
      <c r="G639">
        <v>0</v>
      </c>
      <c r="H639">
        <v>8.3000000000000004E-2</v>
      </c>
      <c r="I639">
        <v>0.85299999999999998</v>
      </c>
      <c r="K639">
        <v>637</v>
      </c>
      <c r="L639">
        <v>17</v>
      </c>
      <c r="M639" s="32">
        <v>0.66600000000000004</v>
      </c>
      <c r="N639" s="47">
        <v>2.1360000000000001</v>
      </c>
      <c r="P639" s="47">
        <v>1.1719999999999999</v>
      </c>
      <c r="R639" s="47">
        <v>8.6999999999999994E-2</v>
      </c>
      <c r="S639" s="47">
        <v>0.77800000000000002</v>
      </c>
      <c r="T639" s="31">
        <v>0</v>
      </c>
      <c r="V639">
        <v>637</v>
      </c>
      <c r="W639">
        <v>17</v>
      </c>
      <c r="X639">
        <v>0.67800000000000005</v>
      </c>
      <c r="Y639" s="32">
        <v>2.1800000000000002</v>
      </c>
      <c r="Z639">
        <v>0</v>
      </c>
      <c r="AA639" s="32">
        <v>1.212</v>
      </c>
      <c r="AB639">
        <v>0</v>
      </c>
      <c r="AC639" s="34">
        <v>8.8999999999999996E-2</v>
      </c>
      <c r="AD639" s="32">
        <v>0.82199999999999995</v>
      </c>
    </row>
    <row r="640" spans="1:30">
      <c r="A640">
        <v>638</v>
      </c>
      <c r="B640">
        <v>17</v>
      </c>
      <c r="C640">
        <v>0.66700000000000004</v>
      </c>
      <c r="D640">
        <v>2.0699999999999998</v>
      </c>
      <c r="E640">
        <v>0</v>
      </c>
      <c r="F640">
        <v>1.169</v>
      </c>
      <c r="G640">
        <v>0</v>
      </c>
      <c r="H640">
        <v>8.3000000000000004E-2</v>
      </c>
      <c r="I640">
        <v>0.85499999999999998</v>
      </c>
      <c r="K640">
        <v>638</v>
      </c>
      <c r="L640">
        <v>17</v>
      </c>
      <c r="M640" s="32">
        <v>0.66700000000000004</v>
      </c>
      <c r="N640" s="47">
        <v>2.1469999999999998</v>
      </c>
      <c r="P640" s="47">
        <v>1.173</v>
      </c>
      <c r="R640" s="47">
        <v>8.6999999999999994E-2</v>
      </c>
      <c r="S640" s="47">
        <v>0.77900000000000003</v>
      </c>
      <c r="T640" s="31">
        <v>0</v>
      </c>
      <c r="V640">
        <v>638</v>
      </c>
      <c r="W640">
        <v>17</v>
      </c>
      <c r="X640">
        <v>0.67900000000000005</v>
      </c>
      <c r="Y640" s="32">
        <v>2.1800000000000002</v>
      </c>
      <c r="Z640">
        <v>0</v>
      </c>
      <c r="AA640" s="32">
        <v>1.212</v>
      </c>
      <c r="AB640">
        <v>0</v>
      </c>
      <c r="AC640" s="34">
        <v>8.8999999999999996E-2</v>
      </c>
      <c r="AD640" s="32">
        <v>0.82299999999999995</v>
      </c>
    </row>
    <row r="641" spans="1:30">
      <c r="A641">
        <v>639</v>
      </c>
      <c r="B641">
        <v>17</v>
      </c>
      <c r="C641">
        <v>0.66800000000000004</v>
      </c>
      <c r="D641">
        <v>2.0699999999999998</v>
      </c>
      <c r="E641">
        <v>0</v>
      </c>
      <c r="F641">
        <v>1.169</v>
      </c>
      <c r="G641">
        <v>0</v>
      </c>
      <c r="H641">
        <v>8.3000000000000004E-2</v>
      </c>
      <c r="I641">
        <v>0.85599999999999998</v>
      </c>
      <c r="K641">
        <v>639</v>
      </c>
      <c r="L641">
        <v>17</v>
      </c>
      <c r="M641" s="32">
        <v>0.66800000000000004</v>
      </c>
      <c r="N641" s="47">
        <v>2.1579999999999999</v>
      </c>
      <c r="P641" s="47">
        <v>1.173</v>
      </c>
      <c r="R641" s="47">
        <v>8.6999999999999994E-2</v>
      </c>
      <c r="S641" s="47">
        <v>0.78</v>
      </c>
      <c r="T641" s="31">
        <v>0</v>
      </c>
      <c r="V641">
        <v>639</v>
      </c>
      <c r="W641">
        <v>17</v>
      </c>
      <c r="X641">
        <v>0.68</v>
      </c>
      <c r="Y641" s="32">
        <v>2.1800000000000002</v>
      </c>
      <c r="Z641">
        <v>0</v>
      </c>
      <c r="AA641" s="32">
        <v>1.212</v>
      </c>
      <c r="AB641">
        <v>0</v>
      </c>
      <c r="AC641" s="34">
        <v>0.09</v>
      </c>
      <c r="AD641" s="32">
        <v>0.82499999999999996</v>
      </c>
    </row>
    <row r="642" spans="1:30">
      <c r="A642">
        <v>640</v>
      </c>
      <c r="B642">
        <v>17</v>
      </c>
      <c r="C642">
        <v>0.66900000000000004</v>
      </c>
      <c r="D642">
        <v>2.0699999999999998</v>
      </c>
      <c r="E642">
        <v>0</v>
      </c>
      <c r="F642">
        <v>1.169</v>
      </c>
      <c r="G642">
        <v>0</v>
      </c>
      <c r="H642">
        <v>8.3000000000000004E-2</v>
      </c>
      <c r="I642">
        <v>0.85799999999999998</v>
      </c>
      <c r="K642">
        <v>640</v>
      </c>
      <c r="L642">
        <v>17</v>
      </c>
      <c r="M642" s="32">
        <v>0.66900000000000004</v>
      </c>
      <c r="N642" s="47">
        <v>2.169</v>
      </c>
      <c r="P642" s="47">
        <v>1.1739999999999999</v>
      </c>
      <c r="R642" s="47">
        <v>8.6999999999999994E-2</v>
      </c>
      <c r="S642" s="47">
        <v>0.78100000000000003</v>
      </c>
      <c r="T642" s="31">
        <v>0</v>
      </c>
      <c r="V642">
        <v>640</v>
      </c>
      <c r="W642">
        <v>17</v>
      </c>
      <c r="X642">
        <v>0.68100000000000005</v>
      </c>
      <c r="Y642" s="32">
        <v>2.1800000000000002</v>
      </c>
      <c r="Z642">
        <v>0</v>
      </c>
      <c r="AA642" s="32">
        <v>1.2130000000000001</v>
      </c>
      <c r="AB642">
        <v>0</v>
      </c>
      <c r="AC642" s="34">
        <v>0.09</v>
      </c>
      <c r="AD642" s="32">
        <v>0.82599999999999996</v>
      </c>
    </row>
    <row r="643" spans="1:30">
      <c r="A643">
        <v>641</v>
      </c>
      <c r="B643">
        <v>18</v>
      </c>
      <c r="C643">
        <v>0.67</v>
      </c>
      <c r="D643">
        <v>2.1800000000000002</v>
      </c>
      <c r="E643">
        <v>0</v>
      </c>
      <c r="F643">
        <v>1.1739999999999999</v>
      </c>
      <c r="G643">
        <v>0</v>
      </c>
      <c r="H643">
        <v>8.6999999999999994E-2</v>
      </c>
      <c r="I643">
        <v>0.78200000000000003</v>
      </c>
      <c r="K643">
        <v>641</v>
      </c>
      <c r="L643">
        <v>18</v>
      </c>
      <c r="M643" s="32">
        <v>0.67</v>
      </c>
      <c r="N643" s="32">
        <v>2.1800000000000002</v>
      </c>
      <c r="P643" s="32">
        <v>1.1739999999999999</v>
      </c>
      <c r="R643" s="32">
        <v>8.6999999999999994E-2</v>
      </c>
      <c r="S643" s="32">
        <v>0.78200000000000003</v>
      </c>
      <c r="T643" s="31">
        <v>0</v>
      </c>
      <c r="V643">
        <v>641</v>
      </c>
      <c r="W643">
        <v>17</v>
      </c>
      <c r="X643">
        <v>0.68200000000000005</v>
      </c>
      <c r="Y643" s="32">
        <v>2.1800000000000002</v>
      </c>
      <c r="Z643">
        <v>0</v>
      </c>
      <c r="AA643" s="32">
        <v>1.2130000000000001</v>
      </c>
      <c r="AB643">
        <v>0</v>
      </c>
      <c r="AC643" s="34">
        <v>0.09</v>
      </c>
      <c r="AD643" s="32">
        <v>0.82699999999999996</v>
      </c>
    </row>
    <row r="644" spans="1:30">
      <c r="A644">
        <v>642</v>
      </c>
      <c r="B644">
        <v>18</v>
      </c>
      <c r="C644">
        <v>0.67100000000000004</v>
      </c>
      <c r="D644">
        <v>2.1800000000000002</v>
      </c>
      <c r="E644">
        <v>0</v>
      </c>
      <c r="F644">
        <v>1.1739999999999999</v>
      </c>
      <c r="G644">
        <v>0</v>
      </c>
      <c r="H644">
        <v>8.6999999999999994E-2</v>
      </c>
      <c r="I644">
        <v>0.78300000000000003</v>
      </c>
      <c r="K644">
        <v>642</v>
      </c>
      <c r="L644">
        <v>18</v>
      </c>
      <c r="M644" s="32">
        <v>0.67100000000000004</v>
      </c>
      <c r="N644" s="32">
        <v>2.1800000000000002</v>
      </c>
      <c r="P644" s="47">
        <v>1.175</v>
      </c>
      <c r="R644" s="32">
        <v>8.6999999999999994E-2</v>
      </c>
      <c r="S644" s="47">
        <v>0.78400000000000003</v>
      </c>
      <c r="T644" s="31">
        <v>0</v>
      </c>
      <c r="V644">
        <v>642</v>
      </c>
      <c r="W644">
        <v>17</v>
      </c>
      <c r="X644">
        <v>0.68300000000000005</v>
      </c>
      <c r="Y644" s="32">
        <v>2.1800000000000002</v>
      </c>
      <c r="Z644">
        <v>0</v>
      </c>
      <c r="AA644" s="32">
        <v>1.2130000000000001</v>
      </c>
      <c r="AB644">
        <v>0</v>
      </c>
      <c r="AC644" s="34">
        <v>0.09</v>
      </c>
      <c r="AD644" s="32">
        <v>0.82899999999999996</v>
      </c>
    </row>
    <row r="645" spans="1:30">
      <c r="A645">
        <v>643</v>
      </c>
      <c r="B645">
        <v>18</v>
      </c>
      <c r="C645">
        <v>0.67200000000000004</v>
      </c>
      <c r="D645">
        <v>2.1800000000000002</v>
      </c>
      <c r="E645">
        <v>0</v>
      </c>
      <c r="F645">
        <v>1.175</v>
      </c>
      <c r="G645">
        <v>0</v>
      </c>
      <c r="H645">
        <v>8.6999999999999994E-2</v>
      </c>
      <c r="I645">
        <v>0.78400000000000003</v>
      </c>
      <c r="K645">
        <v>643</v>
      </c>
      <c r="L645">
        <v>18</v>
      </c>
      <c r="M645" s="32">
        <v>0.67200000000000004</v>
      </c>
      <c r="N645" s="32">
        <v>2.1800000000000002</v>
      </c>
      <c r="P645" s="32">
        <v>1.175</v>
      </c>
      <c r="R645" s="32">
        <v>8.6999999999999994E-2</v>
      </c>
      <c r="S645" s="47">
        <v>0.78600000000000003</v>
      </c>
      <c r="T645" s="31">
        <v>0</v>
      </c>
      <c r="V645">
        <v>643</v>
      </c>
      <c r="W645">
        <v>17</v>
      </c>
      <c r="X645">
        <v>0.68400000000000005</v>
      </c>
      <c r="Y645" s="32">
        <v>2.1800000000000002</v>
      </c>
      <c r="Z645">
        <v>0</v>
      </c>
      <c r="AA645" s="32">
        <v>1.2130000000000001</v>
      </c>
      <c r="AB645">
        <v>0</v>
      </c>
      <c r="AC645" s="34">
        <v>0.09</v>
      </c>
      <c r="AD645" s="32">
        <v>0.83</v>
      </c>
    </row>
    <row r="646" spans="1:30">
      <c r="A646">
        <v>644</v>
      </c>
      <c r="B646">
        <v>18</v>
      </c>
      <c r="C646">
        <v>0.67300000000000004</v>
      </c>
      <c r="D646">
        <v>2.1800000000000002</v>
      </c>
      <c r="E646">
        <v>0</v>
      </c>
      <c r="F646">
        <v>1.175</v>
      </c>
      <c r="G646">
        <v>0</v>
      </c>
      <c r="H646">
        <v>8.6999999999999994E-2</v>
      </c>
      <c r="I646">
        <v>0.78500000000000003</v>
      </c>
      <c r="K646">
        <v>644</v>
      </c>
      <c r="L646">
        <v>18</v>
      </c>
      <c r="M646" s="32">
        <v>0.67300000000000004</v>
      </c>
      <c r="N646" s="32">
        <v>2.1800000000000002</v>
      </c>
      <c r="P646" s="47">
        <v>1.1759999999999999</v>
      </c>
      <c r="R646" s="32">
        <v>8.6999999999999994E-2</v>
      </c>
      <c r="S646" s="47">
        <v>0.78800000000000003</v>
      </c>
      <c r="T646" s="31">
        <v>0</v>
      </c>
      <c r="V646">
        <v>644</v>
      </c>
      <c r="W646">
        <v>17</v>
      </c>
      <c r="X646">
        <v>0.68500000000000005</v>
      </c>
      <c r="Y646" s="32">
        <v>2.1800000000000002</v>
      </c>
      <c r="Z646">
        <v>0</v>
      </c>
      <c r="AA646" s="32">
        <v>1.214</v>
      </c>
      <c r="AB646">
        <v>0</v>
      </c>
      <c r="AC646" s="34">
        <v>0.09</v>
      </c>
      <c r="AD646" s="32">
        <v>0.83199999999999996</v>
      </c>
    </row>
    <row r="647" spans="1:30">
      <c r="A647">
        <v>645</v>
      </c>
      <c r="B647">
        <v>18</v>
      </c>
      <c r="C647">
        <v>0.67400000000000004</v>
      </c>
      <c r="D647">
        <v>2.19</v>
      </c>
      <c r="E647">
        <v>0</v>
      </c>
      <c r="F647">
        <v>1.1759999999999999</v>
      </c>
      <c r="G647">
        <v>0</v>
      </c>
      <c r="H647">
        <v>8.6999999999999994E-2</v>
      </c>
      <c r="I647">
        <v>0.78700000000000003</v>
      </c>
      <c r="K647">
        <v>645</v>
      </c>
      <c r="L647">
        <v>18</v>
      </c>
      <c r="M647" s="32">
        <v>0.67400000000000004</v>
      </c>
      <c r="N647" s="47">
        <v>2.1800000000000002</v>
      </c>
      <c r="P647" s="32">
        <v>1.1759999999999999</v>
      </c>
      <c r="R647" s="32">
        <v>8.6999999999999994E-2</v>
      </c>
      <c r="S647" s="47">
        <v>0.79</v>
      </c>
      <c r="T647" s="31">
        <v>0</v>
      </c>
      <c r="V647">
        <v>645</v>
      </c>
      <c r="W647">
        <v>17</v>
      </c>
      <c r="X647">
        <v>0.68600000000000005</v>
      </c>
      <c r="Y647" s="32">
        <v>2.1800000000000002</v>
      </c>
      <c r="Z647">
        <v>0</v>
      </c>
      <c r="AA647" s="32">
        <v>1.214</v>
      </c>
      <c r="AB647">
        <v>0</v>
      </c>
      <c r="AC647" s="34">
        <v>0.09</v>
      </c>
      <c r="AD647" s="32">
        <v>0.83299999999999996</v>
      </c>
    </row>
    <row r="648" spans="1:30">
      <c r="A648">
        <v>646</v>
      </c>
      <c r="B648">
        <v>18</v>
      </c>
      <c r="C648">
        <v>0.67500000000000004</v>
      </c>
      <c r="D648">
        <v>2.19</v>
      </c>
      <c r="E648">
        <v>0</v>
      </c>
      <c r="F648">
        <v>1.1759999999999999</v>
      </c>
      <c r="G648">
        <v>0</v>
      </c>
      <c r="H648">
        <v>8.6999999999999994E-2</v>
      </c>
      <c r="I648">
        <v>0.78800000000000003</v>
      </c>
      <c r="K648">
        <v>646</v>
      </c>
      <c r="L648">
        <v>18</v>
      </c>
      <c r="M648" s="32">
        <v>0.67500000000000004</v>
      </c>
      <c r="N648" s="47">
        <v>2.1800000000000002</v>
      </c>
      <c r="P648" s="47">
        <v>1.177</v>
      </c>
      <c r="R648" s="32">
        <v>8.6999999999999994E-2</v>
      </c>
      <c r="S648" s="47">
        <v>0.79200000000000004</v>
      </c>
      <c r="T648" s="31">
        <v>0</v>
      </c>
      <c r="V648">
        <v>646</v>
      </c>
      <c r="W648">
        <v>17</v>
      </c>
      <c r="X648">
        <v>0.68700000000000006</v>
      </c>
      <c r="Y648" s="32">
        <v>2.1800000000000002</v>
      </c>
      <c r="Z648">
        <v>0</v>
      </c>
      <c r="AA648" s="32">
        <v>1.214</v>
      </c>
      <c r="AB648">
        <v>0</v>
      </c>
      <c r="AC648" s="34">
        <v>0.09</v>
      </c>
      <c r="AD648" s="32">
        <v>0.83399999999999996</v>
      </c>
    </row>
    <row r="649" spans="1:30">
      <c r="A649">
        <v>647</v>
      </c>
      <c r="B649">
        <v>18</v>
      </c>
      <c r="C649">
        <v>0.67600000000000005</v>
      </c>
      <c r="D649">
        <v>2.19</v>
      </c>
      <c r="E649">
        <v>0</v>
      </c>
      <c r="F649">
        <v>1.177</v>
      </c>
      <c r="G649">
        <v>0</v>
      </c>
      <c r="H649">
        <v>8.6999999999999994E-2</v>
      </c>
      <c r="I649">
        <v>0.78900000000000003</v>
      </c>
      <c r="K649">
        <v>647</v>
      </c>
      <c r="L649">
        <v>18</v>
      </c>
      <c r="M649" s="32">
        <v>0.67600000000000005</v>
      </c>
      <c r="N649" s="47">
        <v>2.1800000000000002</v>
      </c>
      <c r="P649" s="32">
        <v>1.177</v>
      </c>
      <c r="R649" s="32">
        <v>8.6999999999999994E-2</v>
      </c>
      <c r="S649" s="47">
        <v>0.79400000000000004</v>
      </c>
      <c r="T649" s="31">
        <v>0</v>
      </c>
      <c r="V649">
        <v>647</v>
      </c>
      <c r="W649">
        <v>17</v>
      </c>
      <c r="X649">
        <v>0.68799999999999994</v>
      </c>
      <c r="Y649" s="32">
        <v>2.1800000000000002</v>
      </c>
      <c r="Z649">
        <v>0</v>
      </c>
      <c r="AA649" s="32">
        <v>1.214</v>
      </c>
      <c r="AB649">
        <v>0</v>
      </c>
      <c r="AC649" s="34">
        <v>0.09</v>
      </c>
      <c r="AD649" s="32">
        <v>0.83599999999999997</v>
      </c>
    </row>
    <row r="650" spans="1:30">
      <c r="A650">
        <v>648</v>
      </c>
      <c r="B650">
        <v>18</v>
      </c>
      <c r="C650">
        <v>0.67700000000000005</v>
      </c>
      <c r="D650">
        <v>2.19</v>
      </c>
      <c r="E650">
        <v>0</v>
      </c>
      <c r="F650">
        <v>1.177</v>
      </c>
      <c r="G650">
        <v>0</v>
      </c>
      <c r="H650">
        <v>8.6999999999999994E-2</v>
      </c>
      <c r="I650">
        <v>0.79</v>
      </c>
      <c r="K650">
        <v>648</v>
      </c>
      <c r="L650">
        <v>18</v>
      </c>
      <c r="M650" s="32">
        <v>0.67700000000000005</v>
      </c>
      <c r="N650" s="47">
        <v>2.1800000000000002</v>
      </c>
      <c r="P650" s="47">
        <v>1.1779999999999999</v>
      </c>
      <c r="R650" s="32">
        <v>8.6999999999999994E-2</v>
      </c>
      <c r="S650" s="47">
        <v>0.79600000000000004</v>
      </c>
      <c r="T650" s="31">
        <v>0</v>
      </c>
      <c r="V650">
        <v>648</v>
      </c>
      <c r="W650">
        <v>17</v>
      </c>
      <c r="X650">
        <v>0.68899999999999995</v>
      </c>
      <c r="Y650" s="32">
        <v>2.1800000000000002</v>
      </c>
      <c r="Z650">
        <v>0</v>
      </c>
      <c r="AA650" s="32">
        <v>1.214</v>
      </c>
      <c r="AB650">
        <v>0</v>
      </c>
      <c r="AC650" s="34">
        <v>0.09</v>
      </c>
      <c r="AD650" s="32">
        <v>0.83699999999999997</v>
      </c>
    </row>
    <row r="651" spans="1:30">
      <c r="A651">
        <v>649</v>
      </c>
      <c r="B651">
        <v>18</v>
      </c>
      <c r="C651">
        <v>0.67800000000000005</v>
      </c>
      <c r="D651">
        <v>2.19</v>
      </c>
      <c r="E651">
        <v>0</v>
      </c>
      <c r="F651">
        <v>1.1779999999999999</v>
      </c>
      <c r="G651">
        <v>0</v>
      </c>
      <c r="H651">
        <v>8.6999999999999994E-2</v>
      </c>
      <c r="I651">
        <v>0.79100000000000004</v>
      </c>
      <c r="K651">
        <v>649</v>
      </c>
      <c r="L651">
        <v>18</v>
      </c>
      <c r="M651" s="32">
        <v>0.67800000000000005</v>
      </c>
      <c r="N651" s="47">
        <v>2.1800000000000002</v>
      </c>
      <c r="P651" s="32">
        <v>1.1779999999999999</v>
      </c>
      <c r="R651" s="32">
        <v>8.6999999999999994E-2</v>
      </c>
      <c r="S651" s="47">
        <v>0.79800000000000004</v>
      </c>
      <c r="T651" s="31">
        <v>0</v>
      </c>
      <c r="V651">
        <v>649</v>
      </c>
      <c r="W651">
        <v>17</v>
      </c>
      <c r="X651">
        <v>0.69</v>
      </c>
      <c r="Y651" s="32">
        <v>2.1800000000000002</v>
      </c>
      <c r="Z651">
        <v>0</v>
      </c>
      <c r="AA651" s="32">
        <v>1.2150000000000001</v>
      </c>
      <c r="AB651">
        <v>0</v>
      </c>
      <c r="AC651" s="34">
        <v>0.09</v>
      </c>
      <c r="AD651" s="32">
        <v>0.83799999999999997</v>
      </c>
    </row>
    <row r="652" spans="1:30">
      <c r="A652">
        <v>650</v>
      </c>
      <c r="B652">
        <v>18</v>
      </c>
      <c r="C652">
        <v>0.67900000000000005</v>
      </c>
      <c r="D652">
        <v>2.19</v>
      </c>
      <c r="E652">
        <v>0</v>
      </c>
      <c r="F652">
        <v>1.1779999999999999</v>
      </c>
      <c r="G652">
        <v>0</v>
      </c>
      <c r="H652">
        <v>8.6999999999999994E-2</v>
      </c>
      <c r="I652">
        <v>0.79200000000000004</v>
      </c>
      <c r="K652">
        <v>650</v>
      </c>
      <c r="L652">
        <v>18</v>
      </c>
      <c r="M652" s="32">
        <v>0.67900000000000005</v>
      </c>
      <c r="N652" s="47">
        <v>2.1800000000000002</v>
      </c>
      <c r="P652" s="47">
        <v>1.179</v>
      </c>
      <c r="R652" s="32">
        <v>8.6999999999999994E-2</v>
      </c>
      <c r="S652" s="47">
        <v>0.8</v>
      </c>
      <c r="T652" s="31">
        <v>0</v>
      </c>
      <c r="V652">
        <v>650</v>
      </c>
      <c r="W652">
        <v>17</v>
      </c>
      <c r="X652">
        <v>0.69099999999999995</v>
      </c>
      <c r="Y652" s="32">
        <v>2.1800000000000002</v>
      </c>
      <c r="Z652">
        <v>0</v>
      </c>
      <c r="AA652" s="32">
        <v>1.2150000000000001</v>
      </c>
      <c r="AB652">
        <v>0</v>
      </c>
      <c r="AC652" s="34">
        <v>9.0999999999999998E-2</v>
      </c>
      <c r="AD652" s="32">
        <v>0.84</v>
      </c>
    </row>
    <row r="653" spans="1:30">
      <c r="A653">
        <v>651</v>
      </c>
      <c r="B653">
        <v>18</v>
      </c>
      <c r="C653">
        <v>0.68</v>
      </c>
      <c r="D653">
        <v>2.1800000000000002</v>
      </c>
      <c r="E653">
        <v>0</v>
      </c>
      <c r="F653">
        <v>1.179</v>
      </c>
      <c r="G653">
        <v>0</v>
      </c>
      <c r="H653">
        <v>8.6999999999999994E-2</v>
      </c>
      <c r="I653">
        <v>0.80200000000000005</v>
      </c>
      <c r="K653">
        <v>651</v>
      </c>
      <c r="L653">
        <v>18</v>
      </c>
      <c r="M653" s="32">
        <v>0.68</v>
      </c>
      <c r="N653" s="32">
        <v>2.1800000000000002</v>
      </c>
      <c r="P653" s="32">
        <v>1.179</v>
      </c>
      <c r="R653" s="47">
        <v>8.7999999999999995E-2</v>
      </c>
      <c r="S653" s="32">
        <v>0.80200000000000005</v>
      </c>
      <c r="T653" s="31">
        <v>0</v>
      </c>
      <c r="V653">
        <v>651</v>
      </c>
      <c r="W653">
        <v>17</v>
      </c>
      <c r="X653">
        <v>0.69199999999999995</v>
      </c>
      <c r="Y653" s="32">
        <v>2.1800000000000002</v>
      </c>
      <c r="Z653">
        <v>0</v>
      </c>
      <c r="AA653" s="32">
        <v>1.2150000000000001</v>
      </c>
      <c r="AB653">
        <v>0</v>
      </c>
      <c r="AC653" s="34">
        <v>9.0999999999999998E-2</v>
      </c>
      <c r="AD653" s="32">
        <v>0.84099999999999997</v>
      </c>
    </row>
    <row r="654" spans="1:30">
      <c r="A654">
        <v>652</v>
      </c>
      <c r="B654">
        <v>18</v>
      </c>
      <c r="C654">
        <v>0.68100000000000005</v>
      </c>
      <c r="D654">
        <v>2.1800000000000002</v>
      </c>
      <c r="E654">
        <v>0</v>
      </c>
      <c r="F654">
        <v>1.179</v>
      </c>
      <c r="G654">
        <v>0</v>
      </c>
      <c r="H654">
        <v>8.6999999999999994E-2</v>
      </c>
      <c r="I654">
        <v>0.81399999999999995</v>
      </c>
      <c r="K654">
        <v>652</v>
      </c>
      <c r="L654">
        <v>18</v>
      </c>
      <c r="M654" s="32">
        <v>0.68100000000000005</v>
      </c>
      <c r="N654" s="32">
        <v>2.1800000000000002</v>
      </c>
      <c r="P654" s="47">
        <v>1.18</v>
      </c>
      <c r="R654" s="47">
        <v>8.7999999999999995E-2</v>
      </c>
      <c r="S654" s="47">
        <v>0.80400000000000005</v>
      </c>
      <c r="T654" s="31">
        <v>0</v>
      </c>
      <c r="V654">
        <v>652</v>
      </c>
      <c r="W654">
        <v>17</v>
      </c>
      <c r="X654">
        <v>0.69299999999999995</v>
      </c>
      <c r="Y654" s="32">
        <v>2.1800000000000002</v>
      </c>
      <c r="Z654">
        <v>0</v>
      </c>
      <c r="AA654" s="32">
        <v>1.2150000000000001</v>
      </c>
      <c r="AB654">
        <v>0</v>
      </c>
      <c r="AC654" s="34">
        <v>9.0999999999999998E-2</v>
      </c>
      <c r="AD654" s="32">
        <v>0.84199999999999997</v>
      </c>
    </row>
    <row r="655" spans="1:30">
      <c r="A655">
        <v>653</v>
      </c>
      <c r="B655">
        <v>18</v>
      </c>
      <c r="C655">
        <v>0.68200000000000005</v>
      </c>
      <c r="D655">
        <v>2.1800000000000002</v>
      </c>
      <c r="E655">
        <v>0</v>
      </c>
      <c r="F655">
        <v>1.179</v>
      </c>
      <c r="G655">
        <v>0</v>
      </c>
      <c r="H655">
        <v>8.6999999999999994E-2</v>
      </c>
      <c r="I655">
        <v>0.81599999999999995</v>
      </c>
      <c r="K655">
        <v>653</v>
      </c>
      <c r="L655">
        <v>18</v>
      </c>
      <c r="M655" s="32">
        <v>0.68200000000000005</v>
      </c>
      <c r="N655" s="32">
        <v>2.1800000000000002</v>
      </c>
      <c r="P655" s="47">
        <v>1.18</v>
      </c>
      <c r="R655" s="47">
        <v>8.7999999999999995E-2</v>
      </c>
      <c r="S655" s="47">
        <v>0.80500000000000005</v>
      </c>
      <c r="T655" s="31">
        <v>0</v>
      </c>
      <c r="V655">
        <v>653</v>
      </c>
      <c r="W655">
        <v>17</v>
      </c>
      <c r="X655">
        <v>0.69399999999999995</v>
      </c>
      <c r="Y655" s="32">
        <v>2.1800000000000002</v>
      </c>
      <c r="Z655">
        <v>0</v>
      </c>
      <c r="AA655" s="32">
        <v>1.2150000000000001</v>
      </c>
      <c r="AB655">
        <v>0</v>
      </c>
      <c r="AC655" s="34">
        <v>9.0999999999999998E-2</v>
      </c>
      <c r="AD655" s="32">
        <v>0.84399999999999997</v>
      </c>
    </row>
    <row r="656" spans="1:30">
      <c r="A656">
        <v>654</v>
      </c>
      <c r="B656">
        <v>18</v>
      </c>
      <c r="C656">
        <v>0.68300000000000005</v>
      </c>
      <c r="D656">
        <v>2.1800000000000002</v>
      </c>
      <c r="E656">
        <v>0</v>
      </c>
      <c r="F656">
        <v>1.179</v>
      </c>
      <c r="G656">
        <v>0</v>
      </c>
      <c r="H656">
        <v>8.6999999999999994E-2</v>
      </c>
      <c r="I656">
        <v>0.81699999999999995</v>
      </c>
      <c r="K656">
        <v>654</v>
      </c>
      <c r="L656">
        <v>18</v>
      </c>
      <c r="M656" s="32">
        <v>0.68300000000000005</v>
      </c>
      <c r="N656" s="32">
        <v>2.1800000000000002</v>
      </c>
      <c r="P656" s="47">
        <v>1.181</v>
      </c>
      <c r="R656" s="47">
        <v>8.7999999999999995E-2</v>
      </c>
      <c r="S656" s="47">
        <v>0.80700000000000005</v>
      </c>
      <c r="T656" s="31">
        <v>0</v>
      </c>
      <c r="V656">
        <v>654</v>
      </c>
      <c r="W656">
        <v>17</v>
      </c>
      <c r="X656">
        <v>0.69499999999999995</v>
      </c>
      <c r="Y656" s="32">
        <v>2.1800000000000002</v>
      </c>
      <c r="Z656">
        <v>0</v>
      </c>
      <c r="AA656" s="32">
        <v>1.216</v>
      </c>
      <c r="AB656">
        <v>0</v>
      </c>
      <c r="AC656" s="34">
        <v>9.0999999999999998E-2</v>
      </c>
      <c r="AD656" s="32">
        <v>0.84499999999999997</v>
      </c>
    </row>
    <row r="657" spans="1:30">
      <c r="A657">
        <v>655</v>
      </c>
      <c r="B657">
        <v>18</v>
      </c>
      <c r="C657">
        <v>0.68400000000000005</v>
      </c>
      <c r="D657">
        <v>2.1800000000000002</v>
      </c>
      <c r="E657">
        <v>0</v>
      </c>
      <c r="F657">
        <v>1.179</v>
      </c>
      <c r="G657">
        <v>0</v>
      </c>
      <c r="H657">
        <v>8.6999999999999994E-2</v>
      </c>
      <c r="I657">
        <v>0.81799999999999995</v>
      </c>
      <c r="K657">
        <v>655</v>
      </c>
      <c r="L657">
        <v>18</v>
      </c>
      <c r="M657" s="32">
        <v>0.68400000000000005</v>
      </c>
      <c r="N657" s="32">
        <v>2.1800000000000002</v>
      </c>
      <c r="P657" s="47">
        <v>1.181</v>
      </c>
      <c r="R657" s="47">
        <v>8.7999999999999995E-2</v>
      </c>
      <c r="S657" s="47">
        <v>0.80800000000000005</v>
      </c>
      <c r="T657" s="31">
        <v>0</v>
      </c>
      <c r="V657">
        <v>655</v>
      </c>
      <c r="W657">
        <v>17</v>
      </c>
      <c r="X657">
        <v>0.69599999999999995</v>
      </c>
      <c r="Y657" s="32">
        <v>2.1800000000000002</v>
      </c>
      <c r="Z657">
        <v>0</v>
      </c>
      <c r="AA657" s="32">
        <v>1.216</v>
      </c>
      <c r="AB657">
        <v>0</v>
      </c>
      <c r="AC657" s="34">
        <v>9.0999999999999998E-2</v>
      </c>
      <c r="AD657" s="32">
        <v>0.84699999999999998</v>
      </c>
    </row>
    <row r="658" spans="1:30">
      <c r="A658">
        <v>656</v>
      </c>
      <c r="B658">
        <v>18</v>
      </c>
      <c r="C658">
        <v>0.68500000000000005</v>
      </c>
      <c r="D658">
        <v>2.1800000000000002</v>
      </c>
      <c r="E658">
        <v>0</v>
      </c>
      <c r="F658">
        <v>1.179</v>
      </c>
      <c r="G658">
        <v>0</v>
      </c>
      <c r="H658">
        <v>8.6999999999999994E-2</v>
      </c>
      <c r="I658">
        <v>0.81899999999999995</v>
      </c>
      <c r="K658">
        <v>656</v>
      </c>
      <c r="L658">
        <v>18</v>
      </c>
      <c r="M658" s="32">
        <v>0.68500000000000005</v>
      </c>
      <c r="N658" s="32">
        <v>2.1800000000000002</v>
      </c>
      <c r="P658" s="47">
        <v>1.1819999999999999</v>
      </c>
      <c r="R658" s="47">
        <v>8.7999999999999995E-2</v>
      </c>
      <c r="S658" s="47">
        <v>0.81</v>
      </c>
      <c r="T658" s="31">
        <v>0</v>
      </c>
      <c r="V658">
        <v>656</v>
      </c>
      <c r="W658">
        <v>17</v>
      </c>
      <c r="X658">
        <v>0.69699999999999995</v>
      </c>
      <c r="Y658" s="32">
        <v>2.1800000000000002</v>
      </c>
      <c r="Z658">
        <v>0</v>
      </c>
      <c r="AA658" s="32">
        <v>1.216</v>
      </c>
      <c r="AB658">
        <v>0</v>
      </c>
      <c r="AC658" s="34">
        <v>9.0999999999999998E-2</v>
      </c>
      <c r="AD658" s="32">
        <v>0.84799999999999998</v>
      </c>
    </row>
    <row r="659" spans="1:30">
      <c r="A659">
        <v>657</v>
      </c>
      <c r="B659">
        <v>18</v>
      </c>
      <c r="C659">
        <v>0.68600000000000005</v>
      </c>
      <c r="D659">
        <v>2.1800000000000002</v>
      </c>
      <c r="E659">
        <v>0</v>
      </c>
      <c r="F659">
        <v>1.179</v>
      </c>
      <c r="G659">
        <v>0</v>
      </c>
      <c r="H659">
        <v>8.6999999999999994E-2</v>
      </c>
      <c r="I659">
        <v>0.82</v>
      </c>
      <c r="K659">
        <v>657</v>
      </c>
      <c r="L659">
        <v>18</v>
      </c>
      <c r="M659" s="32">
        <v>0.68600000000000005</v>
      </c>
      <c r="N659" s="32">
        <v>2.1800000000000002</v>
      </c>
      <c r="P659" s="47">
        <v>1.1819999999999999</v>
      </c>
      <c r="R659" s="47">
        <v>8.7999999999999995E-2</v>
      </c>
      <c r="S659" s="47">
        <v>0.81100000000000005</v>
      </c>
      <c r="T659" s="31">
        <v>0</v>
      </c>
      <c r="V659">
        <v>657</v>
      </c>
      <c r="W659">
        <v>17</v>
      </c>
      <c r="X659">
        <v>0.69799999999999995</v>
      </c>
      <c r="Y659" s="32">
        <v>2.1800000000000002</v>
      </c>
      <c r="Z659">
        <v>0</v>
      </c>
      <c r="AA659" s="32">
        <v>1.216</v>
      </c>
      <c r="AB659">
        <v>0</v>
      </c>
      <c r="AC659" s="34">
        <v>9.0999999999999998E-2</v>
      </c>
      <c r="AD659" s="32">
        <v>0.84899999999999998</v>
      </c>
    </row>
    <row r="660" spans="1:30">
      <c r="A660">
        <v>658</v>
      </c>
      <c r="B660">
        <v>18</v>
      </c>
      <c r="C660">
        <v>0.68700000000000006</v>
      </c>
      <c r="D660">
        <v>2.1800000000000002</v>
      </c>
      <c r="E660">
        <v>0</v>
      </c>
      <c r="F660">
        <v>1.179</v>
      </c>
      <c r="G660">
        <v>0</v>
      </c>
      <c r="H660">
        <v>8.6999999999999994E-2</v>
      </c>
      <c r="I660">
        <v>0.82099999999999995</v>
      </c>
      <c r="K660">
        <v>658</v>
      </c>
      <c r="L660">
        <v>18</v>
      </c>
      <c r="M660" s="32">
        <v>0.68700000000000006</v>
      </c>
      <c r="N660" s="32">
        <v>2.1800000000000002</v>
      </c>
      <c r="P660" s="47">
        <v>1.1830000000000001</v>
      </c>
      <c r="R660" s="47">
        <v>8.7999999999999995E-2</v>
      </c>
      <c r="S660" s="47">
        <v>0.81299999999999994</v>
      </c>
      <c r="T660" s="31">
        <v>0</v>
      </c>
      <c r="V660">
        <v>658</v>
      </c>
      <c r="W660">
        <v>17</v>
      </c>
      <c r="X660">
        <v>0.69899999999999995</v>
      </c>
      <c r="Y660" s="32">
        <v>2.1800000000000002</v>
      </c>
      <c r="Z660">
        <v>0</v>
      </c>
      <c r="AA660" s="32">
        <v>1.2170000000000001</v>
      </c>
      <c r="AB660">
        <v>0</v>
      </c>
      <c r="AC660" s="34">
        <v>9.0999999999999998E-2</v>
      </c>
      <c r="AD660" s="32">
        <v>0.85099999999999998</v>
      </c>
    </row>
    <row r="661" spans="1:30">
      <c r="A661">
        <v>659</v>
      </c>
      <c r="B661">
        <v>18</v>
      </c>
      <c r="C661">
        <v>0.68799999999999994</v>
      </c>
      <c r="D661">
        <v>2.1800000000000002</v>
      </c>
      <c r="E661">
        <v>0</v>
      </c>
      <c r="F661">
        <v>1.179</v>
      </c>
      <c r="G661">
        <v>0</v>
      </c>
      <c r="H661">
        <v>8.6999999999999994E-2</v>
      </c>
      <c r="I661">
        <v>0.82199999999999995</v>
      </c>
      <c r="K661">
        <v>659</v>
      </c>
      <c r="L661">
        <v>18</v>
      </c>
      <c r="M661" s="32">
        <v>0.68799999999999994</v>
      </c>
      <c r="N661" s="32">
        <v>2.1800000000000002</v>
      </c>
      <c r="P661" s="47">
        <v>1.1830000000000001</v>
      </c>
      <c r="R661" s="47">
        <v>8.7999999999999995E-2</v>
      </c>
      <c r="S661" s="47">
        <v>0.81399999999999995</v>
      </c>
      <c r="T661" s="31">
        <v>0</v>
      </c>
      <c r="V661">
        <v>659</v>
      </c>
      <c r="W661">
        <v>17</v>
      </c>
      <c r="X661">
        <v>0.7</v>
      </c>
      <c r="Y661" s="32">
        <v>2.1800000000000002</v>
      </c>
      <c r="Z661">
        <v>0</v>
      </c>
      <c r="AA661" s="32">
        <v>1.2170000000000001</v>
      </c>
      <c r="AB661">
        <v>0</v>
      </c>
      <c r="AC661" s="34">
        <v>9.0999999999999998E-2</v>
      </c>
      <c r="AD661" s="32">
        <v>0.85199999999999998</v>
      </c>
    </row>
    <row r="662" spans="1:30">
      <c r="A662">
        <v>660</v>
      </c>
      <c r="B662">
        <v>18</v>
      </c>
      <c r="C662">
        <v>0.68899999999999995</v>
      </c>
      <c r="D662">
        <v>2.1800000000000002</v>
      </c>
      <c r="E662">
        <v>0</v>
      </c>
      <c r="F662">
        <v>1.179</v>
      </c>
      <c r="G662">
        <v>0</v>
      </c>
      <c r="H662">
        <v>8.6999999999999994E-2</v>
      </c>
      <c r="I662">
        <v>0.82299999999999995</v>
      </c>
      <c r="K662">
        <v>660</v>
      </c>
      <c r="L662">
        <v>18</v>
      </c>
      <c r="M662" s="32">
        <v>0.68899999999999995</v>
      </c>
      <c r="N662" s="32">
        <v>2.1800000000000002</v>
      </c>
      <c r="P662" s="47">
        <v>1.1839999999999999</v>
      </c>
      <c r="R662" s="47">
        <v>8.7999999999999995E-2</v>
      </c>
      <c r="S662" s="47">
        <v>0.81599999999999995</v>
      </c>
      <c r="T662" s="31">
        <v>0</v>
      </c>
      <c r="V662">
        <v>660</v>
      </c>
      <c r="W662">
        <v>17</v>
      </c>
      <c r="X662">
        <v>0.70099999999999996</v>
      </c>
      <c r="Y662" s="32">
        <v>2.1800000000000002</v>
      </c>
      <c r="Z662">
        <v>0</v>
      </c>
      <c r="AA662" s="32">
        <v>1.2170000000000001</v>
      </c>
      <c r="AB662">
        <v>0</v>
      </c>
      <c r="AC662" s="34">
        <v>9.0999999999999998E-2</v>
      </c>
      <c r="AD662" s="32">
        <v>0.85299999999999998</v>
      </c>
    </row>
    <row r="663" spans="1:30">
      <c r="A663">
        <v>661</v>
      </c>
      <c r="B663">
        <v>18</v>
      </c>
      <c r="C663">
        <v>0.69</v>
      </c>
      <c r="D663">
        <v>2.1800000000000002</v>
      </c>
      <c r="E663">
        <v>0</v>
      </c>
      <c r="F663">
        <v>1.1839999999999999</v>
      </c>
      <c r="G663">
        <v>0</v>
      </c>
      <c r="H663">
        <v>8.6999999999999994E-2</v>
      </c>
      <c r="I663">
        <v>0.84</v>
      </c>
      <c r="K663">
        <v>661</v>
      </c>
      <c r="L663">
        <v>18</v>
      </c>
      <c r="M663" s="32">
        <v>0.69</v>
      </c>
      <c r="N663" s="32">
        <v>2.1800000000000002</v>
      </c>
      <c r="P663" s="32">
        <v>1.1839999999999999</v>
      </c>
      <c r="R663" s="47">
        <v>8.7999999999999995E-2</v>
      </c>
      <c r="S663" s="47">
        <v>0.81699999999999995</v>
      </c>
      <c r="T663" s="31">
        <v>0</v>
      </c>
      <c r="V663">
        <v>661</v>
      </c>
      <c r="W663">
        <v>17</v>
      </c>
      <c r="X663">
        <v>0.70199999999999996</v>
      </c>
      <c r="Y663" s="32">
        <v>2.1800000000000002</v>
      </c>
      <c r="Z663">
        <v>0</v>
      </c>
      <c r="AA663" s="32">
        <v>1.2170000000000001</v>
      </c>
      <c r="AB663">
        <v>0</v>
      </c>
      <c r="AC663" s="34">
        <v>9.1999999999999998E-2</v>
      </c>
      <c r="AD663" s="32">
        <v>0.85499999999999998</v>
      </c>
    </row>
    <row r="664" spans="1:30">
      <c r="A664">
        <v>662</v>
      </c>
      <c r="B664">
        <v>18</v>
      </c>
      <c r="C664">
        <v>0.69099999999999995</v>
      </c>
      <c r="D664">
        <v>2.1800000000000002</v>
      </c>
      <c r="E664">
        <v>0</v>
      </c>
      <c r="F664">
        <v>1.1839999999999999</v>
      </c>
      <c r="G664">
        <v>0</v>
      </c>
      <c r="H664">
        <v>8.6999999999999994E-2</v>
      </c>
      <c r="I664">
        <v>0.84099999999999997</v>
      </c>
      <c r="K664">
        <v>662</v>
      </c>
      <c r="L664">
        <v>18</v>
      </c>
      <c r="M664" s="32">
        <v>0.69099999999999995</v>
      </c>
      <c r="N664" s="32">
        <v>2.1800000000000002</v>
      </c>
      <c r="P664" s="32">
        <v>1.1839999999999999</v>
      </c>
      <c r="R664" s="47">
        <v>8.7999999999999995E-2</v>
      </c>
      <c r="S664" s="47">
        <v>0.81899999999999995</v>
      </c>
      <c r="T664" s="31">
        <v>0</v>
      </c>
      <c r="V664">
        <v>662</v>
      </c>
      <c r="W664">
        <v>17</v>
      </c>
      <c r="X664">
        <v>0.70299999999999996</v>
      </c>
      <c r="Y664" s="32">
        <v>2.1800000000000002</v>
      </c>
      <c r="Z664">
        <v>0</v>
      </c>
      <c r="AA664" s="32">
        <v>1.2170000000000001</v>
      </c>
      <c r="AB664">
        <v>0</v>
      </c>
      <c r="AC664" s="34">
        <v>9.1999999999999998E-2</v>
      </c>
      <c r="AD664" s="32">
        <v>0.85599999999999998</v>
      </c>
    </row>
    <row r="665" spans="1:30">
      <c r="A665">
        <v>663</v>
      </c>
      <c r="B665">
        <v>18</v>
      </c>
      <c r="C665">
        <v>0.69199999999999995</v>
      </c>
      <c r="D665">
        <v>2.1800000000000002</v>
      </c>
      <c r="E665">
        <v>0</v>
      </c>
      <c r="F665">
        <v>1.1839999999999999</v>
      </c>
      <c r="G665">
        <v>0</v>
      </c>
      <c r="H665">
        <v>8.6999999999999994E-2</v>
      </c>
      <c r="I665">
        <v>0.84199999999999997</v>
      </c>
      <c r="K665">
        <v>663</v>
      </c>
      <c r="L665">
        <v>18</v>
      </c>
      <c r="M665" s="32">
        <v>0.69199999999999995</v>
      </c>
      <c r="N665" s="32">
        <v>2.1800000000000002</v>
      </c>
      <c r="P665" s="47">
        <v>1.1850000000000001</v>
      </c>
      <c r="R665" s="47">
        <v>8.7999999999999995E-2</v>
      </c>
      <c r="S665" s="47">
        <v>0.82</v>
      </c>
      <c r="T665" s="31">
        <v>0</v>
      </c>
      <c r="V665">
        <v>663</v>
      </c>
      <c r="W665">
        <v>17</v>
      </c>
      <c r="X665">
        <v>0.70399999999999996</v>
      </c>
      <c r="Y665" s="32">
        <v>2.1800000000000002</v>
      </c>
      <c r="Z665">
        <v>0</v>
      </c>
      <c r="AA665" s="32">
        <v>1.218</v>
      </c>
      <c r="AB665">
        <v>0</v>
      </c>
      <c r="AC665" s="34">
        <v>9.1999999999999998E-2</v>
      </c>
      <c r="AD665" s="32">
        <v>0.85699999999999998</v>
      </c>
    </row>
    <row r="666" spans="1:30">
      <c r="A666">
        <v>664</v>
      </c>
      <c r="B666">
        <v>18</v>
      </c>
      <c r="C666">
        <v>0.69299999999999995</v>
      </c>
      <c r="D666">
        <v>2.1800000000000002</v>
      </c>
      <c r="E666">
        <v>0</v>
      </c>
      <c r="F666">
        <v>1.1839999999999999</v>
      </c>
      <c r="G666">
        <v>0</v>
      </c>
      <c r="H666">
        <v>8.6999999999999994E-2</v>
      </c>
      <c r="I666">
        <v>0.84299999999999997</v>
      </c>
      <c r="K666">
        <v>664</v>
      </c>
      <c r="L666">
        <v>18</v>
      </c>
      <c r="M666" s="32">
        <v>0.69299999999999995</v>
      </c>
      <c r="N666" s="32">
        <v>2.1800000000000002</v>
      </c>
      <c r="P666" s="47">
        <v>1.1850000000000001</v>
      </c>
      <c r="R666" s="47">
        <v>8.7999999999999995E-2</v>
      </c>
      <c r="S666" s="47">
        <v>0.82199999999999995</v>
      </c>
      <c r="T666" s="31">
        <v>0</v>
      </c>
      <c r="V666">
        <v>664</v>
      </c>
      <c r="W666">
        <v>17</v>
      </c>
      <c r="X666">
        <v>0.70499999999999996</v>
      </c>
      <c r="Y666" s="32">
        <v>2.1800000000000002</v>
      </c>
      <c r="Z666">
        <v>0</v>
      </c>
      <c r="AA666" s="32">
        <v>1.218</v>
      </c>
      <c r="AB666">
        <v>0</v>
      </c>
      <c r="AC666" s="34">
        <v>9.1999999999999998E-2</v>
      </c>
      <c r="AD666" s="32">
        <v>0.85899999999999999</v>
      </c>
    </row>
    <row r="667" spans="1:30">
      <c r="A667">
        <v>665</v>
      </c>
      <c r="B667">
        <v>18</v>
      </c>
      <c r="C667">
        <v>0.69399999999999995</v>
      </c>
      <c r="D667">
        <v>2.1800000000000002</v>
      </c>
      <c r="E667">
        <v>0</v>
      </c>
      <c r="F667">
        <v>1.1839999999999999</v>
      </c>
      <c r="G667">
        <v>0</v>
      </c>
      <c r="H667">
        <v>8.6999999999999994E-2</v>
      </c>
      <c r="I667">
        <v>0.84399999999999997</v>
      </c>
      <c r="K667">
        <v>665</v>
      </c>
      <c r="L667">
        <v>18</v>
      </c>
      <c r="M667" s="32">
        <v>0.69399999999999995</v>
      </c>
      <c r="N667" s="32">
        <v>2.1800000000000002</v>
      </c>
      <c r="P667" s="47">
        <v>1.1859999999999999</v>
      </c>
      <c r="R667" s="47">
        <v>8.7999999999999995E-2</v>
      </c>
      <c r="S667" s="47">
        <v>0.82299999999999995</v>
      </c>
      <c r="T667" s="31">
        <v>0</v>
      </c>
      <c r="V667">
        <v>665</v>
      </c>
      <c r="W667">
        <v>17</v>
      </c>
      <c r="X667">
        <v>0.70599999999999996</v>
      </c>
      <c r="Y667" s="32">
        <v>2.1800000000000002</v>
      </c>
      <c r="Z667">
        <v>0</v>
      </c>
      <c r="AA667" s="32">
        <v>1.218</v>
      </c>
      <c r="AB667">
        <v>0</v>
      </c>
      <c r="AC667" s="34">
        <v>9.1999999999999998E-2</v>
      </c>
      <c r="AD667" s="32">
        <v>0.86</v>
      </c>
    </row>
    <row r="668" spans="1:30">
      <c r="A668">
        <v>666</v>
      </c>
      <c r="B668">
        <v>18</v>
      </c>
      <c r="C668">
        <v>0.69499999999999995</v>
      </c>
      <c r="D668">
        <v>2.1800000000000002</v>
      </c>
      <c r="E668">
        <v>0</v>
      </c>
      <c r="F668">
        <v>1.1839999999999999</v>
      </c>
      <c r="G668">
        <v>0</v>
      </c>
      <c r="H668">
        <v>8.6999999999999994E-2</v>
      </c>
      <c r="I668">
        <v>0.84499999999999997</v>
      </c>
      <c r="K668">
        <v>666</v>
      </c>
      <c r="L668">
        <v>18</v>
      </c>
      <c r="M668" s="32">
        <v>0.69499999999999995</v>
      </c>
      <c r="N668" s="32">
        <v>2.1800000000000002</v>
      </c>
      <c r="P668" s="47">
        <v>1.1859999999999999</v>
      </c>
      <c r="R668" s="47">
        <v>8.7999999999999995E-2</v>
      </c>
      <c r="S668" s="47">
        <v>0.82499999999999996</v>
      </c>
      <c r="T668" s="31">
        <v>0</v>
      </c>
      <c r="V668">
        <v>666</v>
      </c>
      <c r="W668">
        <v>17</v>
      </c>
      <c r="X668">
        <v>0.70699999999999996</v>
      </c>
      <c r="Y668" s="32">
        <v>2.1800000000000002</v>
      </c>
      <c r="Z668">
        <v>0</v>
      </c>
      <c r="AA668" s="32">
        <v>1.218</v>
      </c>
      <c r="AB668">
        <v>0</v>
      </c>
      <c r="AC668" s="34">
        <v>9.1999999999999998E-2</v>
      </c>
      <c r="AD668" s="32">
        <v>0.86199999999999999</v>
      </c>
    </row>
    <row r="669" spans="1:30">
      <c r="A669">
        <v>667</v>
      </c>
      <c r="B669">
        <v>18</v>
      </c>
      <c r="C669">
        <v>0.69599999999999995</v>
      </c>
      <c r="D669">
        <v>2.1800000000000002</v>
      </c>
      <c r="E669">
        <v>0</v>
      </c>
      <c r="F669">
        <v>1.1839999999999999</v>
      </c>
      <c r="G669">
        <v>0</v>
      </c>
      <c r="H669">
        <v>8.6999999999999994E-2</v>
      </c>
      <c r="I669">
        <v>0.84599999999999997</v>
      </c>
      <c r="K669">
        <v>667</v>
      </c>
      <c r="L669">
        <v>18</v>
      </c>
      <c r="M669" s="32">
        <v>0.69599999999999995</v>
      </c>
      <c r="N669" s="32">
        <v>2.1800000000000002</v>
      </c>
      <c r="P669" s="47">
        <v>1.1859999999999999</v>
      </c>
      <c r="R669" s="47">
        <v>8.7999999999999995E-2</v>
      </c>
      <c r="S669" s="47">
        <v>0.82599999999999996</v>
      </c>
      <c r="T669" s="31">
        <v>0</v>
      </c>
      <c r="V669">
        <v>667</v>
      </c>
      <c r="W669">
        <v>17</v>
      </c>
      <c r="X669">
        <v>0.70799999999999996</v>
      </c>
      <c r="Y669" s="32">
        <v>2.1800000000000002</v>
      </c>
      <c r="Z669">
        <v>0</v>
      </c>
      <c r="AA669" s="32">
        <v>1.2190000000000001</v>
      </c>
      <c r="AB669">
        <v>0</v>
      </c>
      <c r="AC669" s="34">
        <v>9.1999999999999998E-2</v>
      </c>
      <c r="AD669" s="32">
        <v>0.86299999999999999</v>
      </c>
    </row>
    <row r="670" spans="1:30">
      <c r="A670">
        <v>668</v>
      </c>
      <c r="B670">
        <v>18</v>
      </c>
      <c r="C670">
        <v>0.69699999999999995</v>
      </c>
      <c r="D670">
        <v>2.1800000000000002</v>
      </c>
      <c r="E670">
        <v>0</v>
      </c>
      <c r="F670">
        <v>1.1839999999999999</v>
      </c>
      <c r="G670">
        <v>0</v>
      </c>
      <c r="H670">
        <v>8.6999999999999994E-2</v>
      </c>
      <c r="I670">
        <v>0.84699999999999998</v>
      </c>
      <c r="K670">
        <v>668</v>
      </c>
      <c r="L670">
        <v>18</v>
      </c>
      <c r="M670" s="32">
        <v>0.69699999999999995</v>
      </c>
      <c r="N670" s="32">
        <v>2.1800000000000002</v>
      </c>
      <c r="P670" s="47">
        <v>1.1870000000000001</v>
      </c>
      <c r="R670" s="47">
        <v>8.7999999999999995E-2</v>
      </c>
      <c r="S670" s="47">
        <v>0.82799999999999996</v>
      </c>
      <c r="T670" s="31">
        <v>0</v>
      </c>
      <c r="V670">
        <v>668</v>
      </c>
      <c r="W670">
        <v>17</v>
      </c>
      <c r="X670">
        <v>0.70899999999999996</v>
      </c>
      <c r="Y670" s="32">
        <v>2.1800000000000002</v>
      </c>
      <c r="Z670">
        <v>0</v>
      </c>
      <c r="AA670" s="32">
        <v>1.2190000000000001</v>
      </c>
      <c r="AB670">
        <v>0</v>
      </c>
      <c r="AC670" s="34">
        <v>9.1999999999999998E-2</v>
      </c>
      <c r="AD670" s="32">
        <v>0.86399999999999999</v>
      </c>
    </row>
    <row r="671" spans="1:30">
      <c r="A671">
        <v>669</v>
      </c>
      <c r="B671">
        <v>18</v>
      </c>
      <c r="C671">
        <v>0.69799999999999995</v>
      </c>
      <c r="D671">
        <v>2.1800000000000002</v>
      </c>
      <c r="E671">
        <v>0</v>
      </c>
      <c r="F671">
        <v>1.1839999999999999</v>
      </c>
      <c r="G671">
        <v>0</v>
      </c>
      <c r="H671">
        <v>8.6999999999999994E-2</v>
      </c>
      <c r="I671">
        <v>0.84899999999999998</v>
      </c>
      <c r="K671">
        <v>669</v>
      </c>
      <c r="L671">
        <v>18</v>
      </c>
      <c r="M671" s="32">
        <v>0.69799999999999995</v>
      </c>
      <c r="N671" s="32">
        <v>2.1800000000000002</v>
      </c>
      <c r="P671" s="47">
        <v>1.1870000000000001</v>
      </c>
      <c r="R671" s="47">
        <v>8.7999999999999995E-2</v>
      </c>
      <c r="S671" s="47">
        <v>0.82899999999999996</v>
      </c>
      <c r="T671" s="31">
        <v>0</v>
      </c>
      <c r="V671">
        <v>669</v>
      </c>
      <c r="W671">
        <v>17</v>
      </c>
      <c r="X671">
        <v>0.71</v>
      </c>
      <c r="Y671" s="32">
        <v>2.1800000000000002</v>
      </c>
      <c r="Z671">
        <v>0</v>
      </c>
      <c r="AA671" s="32">
        <v>1.2190000000000001</v>
      </c>
      <c r="AB671">
        <v>0</v>
      </c>
      <c r="AC671" s="34">
        <v>9.1999999999999998E-2</v>
      </c>
      <c r="AD671" s="32">
        <v>0.86599999999999999</v>
      </c>
    </row>
    <row r="672" spans="1:30">
      <c r="A672">
        <v>670</v>
      </c>
      <c r="B672">
        <v>18</v>
      </c>
      <c r="C672">
        <v>0.69899999999999995</v>
      </c>
      <c r="D672">
        <v>2.1800000000000002</v>
      </c>
      <c r="E672">
        <v>0</v>
      </c>
      <c r="F672">
        <v>1.1839999999999999</v>
      </c>
      <c r="G672">
        <v>0</v>
      </c>
      <c r="H672">
        <v>8.6999999999999994E-2</v>
      </c>
      <c r="I672">
        <v>0.85</v>
      </c>
      <c r="K672">
        <v>670</v>
      </c>
      <c r="L672">
        <v>18</v>
      </c>
      <c r="M672" s="32">
        <v>0.69899999999999995</v>
      </c>
      <c r="N672" s="32">
        <v>2.1800000000000002</v>
      </c>
      <c r="P672" s="47">
        <v>1.1879999999999999</v>
      </c>
      <c r="R672" s="47">
        <v>8.7999999999999995E-2</v>
      </c>
      <c r="S672" s="47">
        <v>0.83099999999999996</v>
      </c>
      <c r="T672" s="31">
        <v>0</v>
      </c>
      <c r="V672">
        <v>670</v>
      </c>
      <c r="W672">
        <v>17</v>
      </c>
      <c r="X672">
        <v>0.71099999999999997</v>
      </c>
      <c r="Y672" s="32">
        <v>2.1800000000000002</v>
      </c>
      <c r="Z672">
        <v>0</v>
      </c>
      <c r="AA672" s="32">
        <v>1.2190000000000001</v>
      </c>
      <c r="AB672">
        <v>0</v>
      </c>
      <c r="AC672" s="34">
        <v>9.1999999999999998E-2</v>
      </c>
      <c r="AD672" s="32">
        <v>0.86699999999999999</v>
      </c>
    </row>
    <row r="673" spans="1:30">
      <c r="A673">
        <v>671</v>
      </c>
      <c r="B673">
        <v>18</v>
      </c>
      <c r="C673">
        <v>0.7</v>
      </c>
      <c r="D673">
        <v>2.1800000000000002</v>
      </c>
      <c r="E673">
        <v>0</v>
      </c>
      <c r="F673">
        <v>1.1879999999999999</v>
      </c>
      <c r="G673">
        <v>0</v>
      </c>
      <c r="H673">
        <v>8.6999999999999994E-2</v>
      </c>
      <c r="I673">
        <v>0.86599999999999999</v>
      </c>
      <c r="K673">
        <v>671</v>
      </c>
      <c r="L673">
        <v>18</v>
      </c>
      <c r="M673" s="32">
        <v>0.7</v>
      </c>
      <c r="N673" s="32">
        <v>2.1800000000000002</v>
      </c>
      <c r="P673" s="32">
        <v>1.1879999999999999</v>
      </c>
      <c r="R673" s="47">
        <v>8.8999999999999996E-2</v>
      </c>
      <c r="S673" s="47">
        <v>0.83199999999999996</v>
      </c>
      <c r="T673" s="31">
        <v>0</v>
      </c>
      <c r="V673">
        <v>671</v>
      </c>
      <c r="W673">
        <v>17</v>
      </c>
      <c r="X673">
        <v>0.71199999999999997</v>
      </c>
      <c r="Y673" s="32">
        <v>2.1800000000000002</v>
      </c>
      <c r="Z673">
        <v>0</v>
      </c>
      <c r="AA673" s="32">
        <v>1.2190000000000001</v>
      </c>
      <c r="AB673">
        <v>0</v>
      </c>
      <c r="AC673" s="34">
        <v>9.1999999999999998E-2</v>
      </c>
      <c r="AD673" s="32">
        <v>0.86799999999999999</v>
      </c>
    </row>
    <row r="674" spans="1:30">
      <c r="A674">
        <v>672</v>
      </c>
      <c r="B674">
        <v>18</v>
      </c>
      <c r="C674">
        <v>0.70099999999999996</v>
      </c>
      <c r="D674">
        <v>2.1800000000000002</v>
      </c>
      <c r="E674">
        <v>0</v>
      </c>
      <c r="F674">
        <v>1.1879999999999999</v>
      </c>
      <c r="G674">
        <v>0</v>
      </c>
      <c r="H674">
        <v>8.6999999999999994E-2</v>
      </c>
      <c r="I674">
        <v>0.86699999999999999</v>
      </c>
      <c r="K674">
        <v>672</v>
      </c>
      <c r="L674">
        <v>18</v>
      </c>
      <c r="M674" s="32">
        <v>0.70099999999999996</v>
      </c>
      <c r="N674" s="32">
        <v>2.1800000000000002</v>
      </c>
      <c r="P674" s="47">
        <v>1.1890000000000001</v>
      </c>
      <c r="R674" s="47">
        <v>8.8999999999999996E-2</v>
      </c>
      <c r="S674" s="47">
        <v>0.83399999999999996</v>
      </c>
      <c r="T674" s="31">
        <v>0</v>
      </c>
      <c r="V674">
        <v>672</v>
      </c>
      <c r="W674">
        <v>17</v>
      </c>
      <c r="X674">
        <v>0.71299999999999997</v>
      </c>
      <c r="Y674" s="32">
        <v>2.1800000000000002</v>
      </c>
      <c r="Z674">
        <v>0</v>
      </c>
      <c r="AA674" s="32">
        <v>1.22</v>
      </c>
      <c r="AB674">
        <v>0</v>
      </c>
      <c r="AC674" s="34">
        <v>9.1999999999999998E-2</v>
      </c>
      <c r="AD674" s="32">
        <v>0.87</v>
      </c>
    </row>
    <row r="675" spans="1:30">
      <c r="A675">
        <v>673</v>
      </c>
      <c r="B675">
        <v>18</v>
      </c>
      <c r="C675">
        <v>0.70199999999999996</v>
      </c>
      <c r="D675">
        <v>2.1800000000000002</v>
      </c>
      <c r="E675">
        <v>0</v>
      </c>
      <c r="F675">
        <v>1.1879999999999999</v>
      </c>
      <c r="G675">
        <v>0</v>
      </c>
      <c r="H675">
        <v>8.6999999999999994E-2</v>
      </c>
      <c r="I675">
        <v>0.86799999999999999</v>
      </c>
      <c r="K675">
        <v>673</v>
      </c>
      <c r="L675">
        <v>18</v>
      </c>
      <c r="M675" s="32">
        <v>0.70199999999999996</v>
      </c>
      <c r="N675" s="32">
        <v>2.1800000000000002</v>
      </c>
      <c r="P675" s="47">
        <v>1.1890000000000001</v>
      </c>
      <c r="R675" s="47">
        <v>8.8999999999999996E-2</v>
      </c>
      <c r="S675" s="47">
        <v>0.83499999999999996</v>
      </c>
      <c r="T675" s="31">
        <v>0</v>
      </c>
      <c r="V675">
        <v>673</v>
      </c>
      <c r="W675">
        <v>17</v>
      </c>
      <c r="X675">
        <v>0.71399999999999997</v>
      </c>
      <c r="Y675" s="32">
        <v>2.1800000000000002</v>
      </c>
      <c r="Z675">
        <v>0</v>
      </c>
      <c r="AA675" s="32">
        <v>1.22</v>
      </c>
      <c r="AB675">
        <v>0</v>
      </c>
      <c r="AC675" s="34">
        <v>9.2999999999999999E-2</v>
      </c>
      <c r="AD675" s="32">
        <v>0.871</v>
      </c>
    </row>
    <row r="676" spans="1:30">
      <c r="A676">
        <v>674</v>
      </c>
      <c r="B676">
        <v>18</v>
      </c>
      <c r="C676">
        <v>0.70299999999999996</v>
      </c>
      <c r="D676">
        <v>2.1800000000000002</v>
      </c>
      <c r="E676">
        <v>0</v>
      </c>
      <c r="F676">
        <v>1.1879999999999999</v>
      </c>
      <c r="G676">
        <v>0</v>
      </c>
      <c r="H676">
        <v>8.6999999999999994E-2</v>
      </c>
      <c r="I676">
        <v>0.86899999999999999</v>
      </c>
      <c r="K676">
        <v>674</v>
      </c>
      <c r="L676">
        <v>18</v>
      </c>
      <c r="M676" s="32">
        <v>0.70299999999999996</v>
      </c>
      <c r="N676" s="32">
        <v>2.1800000000000002</v>
      </c>
      <c r="P676" s="47">
        <v>1.19</v>
      </c>
      <c r="R676" s="47">
        <v>8.8999999999999996E-2</v>
      </c>
      <c r="S676" s="47">
        <v>0.83699999999999997</v>
      </c>
      <c r="T676" s="31">
        <v>0</v>
      </c>
      <c r="V676">
        <v>674</v>
      </c>
      <c r="W676">
        <v>17</v>
      </c>
      <c r="X676">
        <v>0.71499999999999997</v>
      </c>
      <c r="Y676" s="32">
        <v>2.1800000000000002</v>
      </c>
      <c r="Z676">
        <v>0</v>
      </c>
      <c r="AA676" s="32">
        <v>1.22</v>
      </c>
      <c r="AB676">
        <v>0</v>
      </c>
      <c r="AC676" s="34">
        <v>9.2999999999999999E-2</v>
      </c>
      <c r="AD676" s="32">
        <v>0.873</v>
      </c>
    </row>
    <row r="677" spans="1:30">
      <c r="A677">
        <v>675</v>
      </c>
      <c r="B677">
        <v>18</v>
      </c>
      <c r="C677">
        <v>0.70399999999999996</v>
      </c>
      <c r="D677">
        <v>2.1800000000000002</v>
      </c>
      <c r="E677">
        <v>0</v>
      </c>
      <c r="F677">
        <v>1.1879999999999999</v>
      </c>
      <c r="G677">
        <v>0</v>
      </c>
      <c r="H677">
        <v>8.6999999999999994E-2</v>
      </c>
      <c r="I677">
        <v>0.87</v>
      </c>
      <c r="K677">
        <v>675</v>
      </c>
      <c r="L677">
        <v>18</v>
      </c>
      <c r="M677" s="32">
        <v>0.70399999999999996</v>
      </c>
      <c r="N677" s="32">
        <v>2.1800000000000002</v>
      </c>
      <c r="P677" s="47">
        <v>1.19</v>
      </c>
      <c r="R677" s="47">
        <v>8.8999999999999996E-2</v>
      </c>
      <c r="S677" s="47">
        <v>0.83799999999999997</v>
      </c>
      <c r="T677" s="31">
        <v>0</v>
      </c>
      <c r="V677">
        <v>675</v>
      </c>
      <c r="W677">
        <v>17</v>
      </c>
      <c r="X677">
        <v>0.71599999999999997</v>
      </c>
      <c r="Y677" s="32">
        <v>2.1800000000000002</v>
      </c>
      <c r="Z677">
        <v>0</v>
      </c>
      <c r="AA677" s="32">
        <v>1.22</v>
      </c>
      <c r="AB677">
        <v>0</v>
      </c>
      <c r="AC677" s="34">
        <v>9.2999999999999999E-2</v>
      </c>
      <c r="AD677" s="32">
        <v>0.874</v>
      </c>
    </row>
    <row r="678" spans="1:30">
      <c r="A678">
        <v>676</v>
      </c>
      <c r="B678">
        <v>18</v>
      </c>
      <c r="C678">
        <v>0.70499999999999996</v>
      </c>
      <c r="D678">
        <v>2.1800000000000002</v>
      </c>
      <c r="E678">
        <v>0</v>
      </c>
      <c r="F678">
        <v>1.1879999999999999</v>
      </c>
      <c r="G678">
        <v>0</v>
      </c>
      <c r="H678">
        <v>8.6999999999999994E-2</v>
      </c>
      <c r="I678">
        <v>0.871</v>
      </c>
      <c r="K678">
        <v>676</v>
      </c>
      <c r="L678">
        <v>18</v>
      </c>
      <c r="M678" s="32">
        <v>0.70499999999999996</v>
      </c>
      <c r="N678" s="32">
        <v>2.1800000000000002</v>
      </c>
      <c r="P678" s="47">
        <v>1.1910000000000001</v>
      </c>
      <c r="R678" s="47">
        <v>8.8999999999999996E-2</v>
      </c>
      <c r="S678" s="47">
        <v>0.84</v>
      </c>
      <c r="T678" s="31">
        <v>0</v>
      </c>
      <c r="V678">
        <v>676</v>
      </c>
      <c r="W678">
        <v>17</v>
      </c>
      <c r="X678">
        <v>0.71699999999999997</v>
      </c>
      <c r="Y678" s="32">
        <v>2.1800000000000002</v>
      </c>
      <c r="Z678">
        <v>0</v>
      </c>
      <c r="AA678" s="32">
        <v>1.2210000000000001</v>
      </c>
      <c r="AB678">
        <v>0</v>
      </c>
      <c r="AC678" s="34">
        <v>9.2999999999999999E-2</v>
      </c>
      <c r="AD678" s="32">
        <v>0.875</v>
      </c>
    </row>
    <row r="679" spans="1:30">
      <c r="A679">
        <v>677</v>
      </c>
      <c r="B679">
        <v>18</v>
      </c>
      <c r="C679">
        <v>0.70599999999999996</v>
      </c>
      <c r="D679">
        <v>2.1800000000000002</v>
      </c>
      <c r="E679">
        <v>0</v>
      </c>
      <c r="F679">
        <v>1.1879999999999999</v>
      </c>
      <c r="G679">
        <v>0</v>
      </c>
      <c r="H679">
        <v>8.6999999999999994E-2</v>
      </c>
      <c r="I679">
        <v>0.873</v>
      </c>
      <c r="K679">
        <v>677</v>
      </c>
      <c r="L679">
        <v>18</v>
      </c>
      <c r="M679" s="32">
        <v>0.70599999999999996</v>
      </c>
      <c r="N679" s="32">
        <v>2.1800000000000002</v>
      </c>
      <c r="P679" s="47">
        <v>1.1910000000000001</v>
      </c>
      <c r="R679" s="47">
        <v>8.8999999999999996E-2</v>
      </c>
      <c r="S679" s="47">
        <v>0.84099999999999997</v>
      </c>
      <c r="T679" s="31">
        <v>0</v>
      </c>
      <c r="V679">
        <v>677</v>
      </c>
      <c r="W679">
        <v>17</v>
      </c>
      <c r="X679">
        <v>0.71799999999999997</v>
      </c>
      <c r="Y679" s="32">
        <v>2.1800000000000002</v>
      </c>
      <c r="Z679">
        <v>0</v>
      </c>
      <c r="AA679" s="32">
        <v>1.2210000000000001</v>
      </c>
      <c r="AB679">
        <v>0</v>
      </c>
      <c r="AC679" s="34">
        <v>9.2999999999999999E-2</v>
      </c>
      <c r="AD679" s="32">
        <v>0.877</v>
      </c>
    </row>
    <row r="680" spans="1:30">
      <c r="A680">
        <v>678</v>
      </c>
      <c r="B680">
        <v>18</v>
      </c>
      <c r="C680">
        <v>0.70699999999999996</v>
      </c>
      <c r="D680">
        <v>2.1800000000000002</v>
      </c>
      <c r="E680">
        <v>0</v>
      </c>
      <c r="F680">
        <v>1.1879999999999999</v>
      </c>
      <c r="G680">
        <v>0</v>
      </c>
      <c r="H680">
        <v>8.6999999999999994E-2</v>
      </c>
      <c r="I680">
        <v>0.874</v>
      </c>
      <c r="K680">
        <v>678</v>
      </c>
      <c r="L680">
        <v>18</v>
      </c>
      <c r="M680" s="32">
        <v>0.70699999999999996</v>
      </c>
      <c r="N680" s="32">
        <v>2.1800000000000002</v>
      </c>
      <c r="P680" s="47">
        <v>1.1919999999999999</v>
      </c>
      <c r="R680" s="47">
        <v>8.8999999999999996E-2</v>
      </c>
      <c r="S680" s="47">
        <v>0.84299999999999997</v>
      </c>
      <c r="T680" s="31">
        <v>0</v>
      </c>
      <c r="V680">
        <v>678</v>
      </c>
      <c r="W680">
        <v>18</v>
      </c>
      <c r="X680">
        <v>0.71899999999999997</v>
      </c>
      <c r="Y680" s="32">
        <v>2.1800000000000002</v>
      </c>
      <c r="Z680">
        <v>0</v>
      </c>
      <c r="AA680" s="32">
        <v>1.2210000000000001</v>
      </c>
      <c r="AB680">
        <v>0</v>
      </c>
      <c r="AC680" s="34">
        <v>9.2999999999999999E-2</v>
      </c>
      <c r="AD680" s="32">
        <v>0.878</v>
      </c>
    </row>
    <row r="681" spans="1:30">
      <c r="A681">
        <v>679</v>
      </c>
      <c r="B681">
        <v>18</v>
      </c>
      <c r="C681">
        <v>0.70799999999999996</v>
      </c>
      <c r="D681">
        <v>2.1800000000000002</v>
      </c>
      <c r="E681">
        <v>0</v>
      </c>
      <c r="F681">
        <v>1.1879999999999999</v>
      </c>
      <c r="G681">
        <v>0</v>
      </c>
      <c r="H681">
        <v>8.6999999999999994E-2</v>
      </c>
      <c r="I681">
        <v>0.875</v>
      </c>
      <c r="K681">
        <v>679</v>
      </c>
      <c r="L681">
        <v>18</v>
      </c>
      <c r="M681" s="32">
        <v>0.70799999999999996</v>
      </c>
      <c r="N681" s="32">
        <v>2.1800000000000002</v>
      </c>
      <c r="P681" s="47">
        <v>1.1919999999999999</v>
      </c>
      <c r="R681" s="47">
        <v>8.8999999999999996E-2</v>
      </c>
      <c r="S681" s="47">
        <v>0.84399999999999997</v>
      </c>
      <c r="T681" s="31">
        <v>0</v>
      </c>
      <c r="V681">
        <v>679</v>
      </c>
      <c r="W681">
        <v>18</v>
      </c>
      <c r="X681">
        <v>0.72</v>
      </c>
      <c r="Y681" s="32">
        <v>2.1800000000000002</v>
      </c>
      <c r="Z681">
        <v>0</v>
      </c>
      <c r="AA681" s="32">
        <v>1.2210000000000001</v>
      </c>
      <c r="AB681">
        <v>0</v>
      </c>
      <c r="AC681" s="34">
        <v>9.2999999999999999E-2</v>
      </c>
      <c r="AD681" s="32">
        <v>0.879</v>
      </c>
    </row>
    <row r="682" spans="1:30">
      <c r="A682">
        <v>680</v>
      </c>
      <c r="B682">
        <v>18</v>
      </c>
      <c r="C682">
        <v>0.70899999999999996</v>
      </c>
      <c r="D682">
        <v>2.1800000000000002</v>
      </c>
      <c r="E682">
        <v>0</v>
      </c>
      <c r="F682">
        <v>1.1879999999999999</v>
      </c>
      <c r="G682">
        <v>0</v>
      </c>
      <c r="H682">
        <v>8.6999999999999994E-2</v>
      </c>
      <c r="I682">
        <v>0.876</v>
      </c>
      <c r="K682">
        <v>680</v>
      </c>
      <c r="L682">
        <v>18</v>
      </c>
      <c r="M682" s="32">
        <v>0.70899999999999996</v>
      </c>
      <c r="N682" s="32">
        <v>2.1800000000000002</v>
      </c>
      <c r="P682" s="47">
        <v>1.1930000000000001</v>
      </c>
      <c r="R682" s="47">
        <v>8.8999999999999996E-2</v>
      </c>
      <c r="S682" s="47">
        <v>0.84599999999999997</v>
      </c>
      <c r="T682" s="31">
        <v>0</v>
      </c>
      <c r="V682">
        <v>680</v>
      </c>
      <c r="W682">
        <v>18</v>
      </c>
      <c r="X682">
        <v>0.72099999999999997</v>
      </c>
      <c r="Y682" s="32">
        <v>2.1909999999999998</v>
      </c>
      <c r="Z682">
        <v>0</v>
      </c>
      <c r="AA682" s="32">
        <v>1.2210000000000001</v>
      </c>
      <c r="AB682">
        <v>0</v>
      </c>
      <c r="AC682" s="34">
        <v>9.2999999999999999E-2</v>
      </c>
      <c r="AD682" s="32">
        <v>0.88100000000000001</v>
      </c>
    </row>
    <row r="683" spans="1:30">
      <c r="A683">
        <v>681</v>
      </c>
      <c r="B683">
        <v>18</v>
      </c>
      <c r="C683">
        <v>0.71</v>
      </c>
      <c r="D683">
        <v>2.1800000000000002</v>
      </c>
      <c r="E683">
        <v>0</v>
      </c>
      <c r="F683">
        <v>1.1930000000000001</v>
      </c>
      <c r="G683">
        <v>0</v>
      </c>
      <c r="H683">
        <v>8.6999999999999994E-2</v>
      </c>
      <c r="I683">
        <v>0.89200000000000002</v>
      </c>
      <c r="K683">
        <v>681</v>
      </c>
      <c r="L683">
        <v>18</v>
      </c>
      <c r="M683" s="32">
        <v>0.71</v>
      </c>
      <c r="N683" s="32">
        <v>2.1800000000000002</v>
      </c>
      <c r="P683" s="32">
        <v>1.1930000000000001</v>
      </c>
      <c r="R683" s="47">
        <v>8.8999999999999996E-2</v>
      </c>
      <c r="S683" s="47">
        <v>0.84699999999999998</v>
      </c>
      <c r="T683" s="31">
        <v>0</v>
      </c>
      <c r="V683">
        <v>681</v>
      </c>
      <c r="W683">
        <v>18</v>
      </c>
      <c r="X683">
        <v>0.72199999999999998</v>
      </c>
      <c r="Y683" s="32">
        <v>2.202</v>
      </c>
      <c r="Z683">
        <v>0</v>
      </c>
      <c r="AA683" s="32">
        <v>1.222</v>
      </c>
      <c r="AB683">
        <v>0</v>
      </c>
      <c r="AC683" s="34">
        <v>9.2999999999999999E-2</v>
      </c>
      <c r="AD683" s="32">
        <v>0.88200000000000001</v>
      </c>
    </row>
    <row r="684" spans="1:30">
      <c r="A684">
        <v>682</v>
      </c>
      <c r="B684">
        <v>18</v>
      </c>
      <c r="C684">
        <v>0.71099999999999997</v>
      </c>
      <c r="D684">
        <v>2.1800000000000002</v>
      </c>
      <c r="E684">
        <v>0</v>
      </c>
      <c r="F684">
        <v>1.1930000000000001</v>
      </c>
      <c r="G684">
        <v>0</v>
      </c>
      <c r="H684">
        <v>8.6999999999999994E-2</v>
      </c>
      <c r="I684">
        <v>0.89300000000000002</v>
      </c>
      <c r="K684">
        <v>682</v>
      </c>
      <c r="L684">
        <v>18</v>
      </c>
      <c r="M684" s="32">
        <v>0.71099999999999997</v>
      </c>
      <c r="N684" s="32">
        <v>2.1800000000000002</v>
      </c>
      <c r="P684" s="47">
        <v>1.194</v>
      </c>
      <c r="R684" s="47">
        <v>8.8999999999999996E-2</v>
      </c>
      <c r="S684" s="47">
        <v>0.84899999999999998</v>
      </c>
      <c r="T684" s="31">
        <v>0</v>
      </c>
      <c r="V684">
        <v>682</v>
      </c>
      <c r="W684">
        <v>18</v>
      </c>
      <c r="X684">
        <v>0.72299999999999998</v>
      </c>
      <c r="Y684" s="32">
        <v>2.2130000000000001</v>
      </c>
      <c r="Z684">
        <v>0</v>
      </c>
      <c r="AA684" s="32">
        <v>1.222</v>
      </c>
      <c r="AB684">
        <v>0</v>
      </c>
      <c r="AC684" s="34">
        <v>9.2999999999999999E-2</v>
      </c>
      <c r="AD684" s="32">
        <v>0.88400000000000001</v>
      </c>
    </row>
    <row r="685" spans="1:30">
      <c r="A685">
        <v>683</v>
      </c>
      <c r="B685">
        <v>18</v>
      </c>
      <c r="C685">
        <v>0.71199999999999997</v>
      </c>
      <c r="D685">
        <v>2.1800000000000002</v>
      </c>
      <c r="E685">
        <v>0</v>
      </c>
      <c r="F685">
        <v>1.1930000000000001</v>
      </c>
      <c r="G685">
        <v>0</v>
      </c>
      <c r="H685">
        <v>8.6999999999999994E-2</v>
      </c>
      <c r="I685">
        <v>0.89400000000000002</v>
      </c>
      <c r="K685">
        <v>683</v>
      </c>
      <c r="L685">
        <v>18</v>
      </c>
      <c r="M685" s="32">
        <v>0.71199999999999997</v>
      </c>
      <c r="N685" s="32">
        <v>2.1800000000000002</v>
      </c>
      <c r="P685" s="47">
        <v>1.194</v>
      </c>
      <c r="R685" s="47">
        <v>8.8999999999999996E-2</v>
      </c>
      <c r="S685" s="47">
        <v>0.85</v>
      </c>
      <c r="T685" s="31">
        <v>0</v>
      </c>
      <c r="V685">
        <v>683</v>
      </c>
      <c r="W685">
        <v>18</v>
      </c>
      <c r="X685">
        <v>0.72399999999999998</v>
      </c>
      <c r="Y685" s="32">
        <v>2.2240000000000002</v>
      </c>
      <c r="Z685">
        <v>0</v>
      </c>
      <c r="AA685" s="32">
        <v>1.222</v>
      </c>
      <c r="AB685">
        <v>0</v>
      </c>
      <c r="AC685" s="34">
        <v>9.2999999999999999E-2</v>
      </c>
      <c r="AD685" s="32">
        <v>0.88500000000000001</v>
      </c>
    </row>
    <row r="686" spans="1:30">
      <c r="A686">
        <v>684</v>
      </c>
      <c r="B686">
        <v>18</v>
      </c>
      <c r="C686">
        <v>0.71299999999999997</v>
      </c>
      <c r="D686">
        <v>2.1800000000000002</v>
      </c>
      <c r="E686">
        <v>0</v>
      </c>
      <c r="F686">
        <v>1.1930000000000001</v>
      </c>
      <c r="G686">
        <v>0</v>
      </c>
      <c r="H686">
        <v>8.6999999999999994E-2</v>
      </c>
      <c r="I686">
        <v>0.89500000000000002</v>
      </c>
      <c r="K686">
        <v>684</v>
      </c>
      <c r="L686">
        <v>18</v>
      </c>
      <c r="M686" s="32">
        <v>0.71299999999999997</v>
      </c>
      <c r="N686" s="32">
        <v>2.1800000000000002</v>
      </c>
      <c r="P686" s="47">
        <v>1.1950000000000001</v>
      </c>
      <c r="R686" s="47">
        <v>8.8999999999999996E-2</v>
      </c>
      <c r="S686" s="47">
        <v>0.85199999999999998</v>
      </c>
      <c r="T686" s="31">
        <v>0</v>
      </c>
      <c r="V686">
        <v>684</v>
      </c>
      <c r="W686">
        <v>18</v>
      </c>
      <c r="X686">
        <v>0.72499999999999998</v>
      </c>
      <c r="Y686" s="32">
        <v>2.2349999999999999</v>
      </c>
      <c r="Z686">
        <v>0</v>
      </c>
      <c r="AA686" s="32">
        <v>1.222</v>
      </c>
      <c r="AB686">
        <v>0</v>
      </c>
      <c r="AC686" s="34">
        <v>9.2999999999999999E-2</v>
      </c>
      <c r="AD686" s="32">
        <v>0.88600000000000001</v>
      </c>
    </row>
    <row r="687" spans="1:30">
      <c r="A687">
        <v>685</v>
      </c>
      <c r="B687">
        <v>18</v>
      </c>
      <c r="C687">
        <v>0.71399999999999997</v>
      </c>
      <c r="D687">
        <v>2.1800000000000002</v>
      </c>
      <c r="E687">
        <v>0</v>
      </c>
      <c r="F687">
        <v>1.1930000000000001</v>
      </c>
      <c r="G687">
        <v>0</v>
      </c>
      <c r="H687">
        <v>8.6999999999999994E-2</v>
      </c>
      <c r="I687">
        <v>0.89700000000000002</v>
      </c>
      <c r="K687">
        <v>685</v>
      </c>
      <c r="L687">
        <v>18</v>
      </c>
      <c r="M687" s="32">
        <v>0.71399999999999997</v>
      </c>
      <c r="N687" s="32">
        <v>2.1800000000000002</v>
      </c>
      <c r="P687" s="47">
        <v>1.1950000000000001</v>
      </c>
      <c r="R687" s="47">
        <v>8.8999999999999996E-2</v>
      </c>
      <c r="S687" s="47">
        <v>0.85299999999999998</v>
      </c>
      <c r="T687" s="31">
        <v>0</v>
      </c>
      <c r="V687">
        <v>685</v>
      </c>
      <c r="W687">
        <v>18</v>
      </c>
      <c r="X687">
        <v>0.72599999999999998</v>
      </c>
      <c r="Y687" s="32">
        <v>2.246</v>
      </c>
      <c r="Z687">
        <v>0</v>
      </c>
      <c r="AA687" s="32">
        <v>1.222</v>
      </c>
      <c r="AB687">
        <v>0</v>
      </c>
      <c r="AC687" s="34">
        <v>9.2999999999999999E-2</v>
      </c>
      <c r="AD687" s="32">
        <v>0.88800000000000001</v>
      </c>
    </row>
    <row r="688" spans="1:30">
      <c r="A688">
        <v>686</v>
      </c>
      <c r="B688">
        <v>18</v>
      </c>
      <c r="C688">
        <v>0.71499999999999997</v>
      </c>
      <c r="D688">
        <v>2.1800000000000002</v>
      </c>
      <c r="E688">
        <v>0</v>
      </c>
      <c r="F688">
        <v>1.1930000000000001</v>
      </c>
      <c r="G688">
        <v>0</v>
      </c>
      <c r="H688">
        <v>8.6999999999999994E-2</v>
      </c>
      <c r="I688">
        <v>0.89800000000000002</v>
      </c>
      <c r="K688">
        <v>686</v>
      </c>
      <c r="L688">
        <v>18</v>
      </c>
      <c r="M688" s="32">
        <v>0.71499999999999997</v>
      </c>
      <c r="N688" s="32">
        <v>2.1800000000000002</v>
      </c>
      <c r="P688" s="47">
        <v>1.196</v>
      </c>
      <c r="R688" s="47">
        <v>8.8999999999999996E-2</v>
      </c>
      <c r="S688" s="47">
        <v>0.85499999999999998</v>
      </c>
      <c r="T688" s="31">
        <v>0</v>
      </c>
      <c r="V688">
        <v>686</v>
      </c>
      <c r="W688">
        <v>18</v>
      </c>
      <c r="X688">
        <v>0.72699999999999998</v>
      </c>
      <c r="Y688" s="32">
        <v>2.2570000000000001</v>
      </c>
      <c r="Z688">
        <v>0</v>
      </c>
      <c r="AA688" s="32">
        <v>1.2230000000000001</v>
      </c>
      <c r="AB688">
        <v>0</v>
      </c>
      <c r="AC688" s="34">
        <v>9.4E-2</v>
      </c>
      <c r="AD688" s="32">
        <v>0.88900000000000001</v>
      </c>
    </row>
    <row r="689" spans="1:30">
      <c r="A689">
        <v>687</v>
      </c>
      <c r="B689">
        <v>18</v>
      </c>
      <c r="C689">
        <v>0.71599999999999997</v>
      </c>
      <c r="D689">
        <v>2.1800000000000002</v>
      </c>
      <c r="E689">
        <v>0</v>
      </c>
      <c r="F689">
        <v>1.1930000000000001</v>
      </c>
      <c r="G689">
        <v>0</v>
      </c>
      <c r="H689">
        <v>8.6999999999999994E-2</v>
      </c>
      <c r="I689">
        <v>0.89900000000000002</v>
      </c>
      <c r="K689">
        <v>687</v>
      </c>
      <c r="L689">
        <v>18</v>
      </c>
      <c r="M689" s="32">
        <v>0.71599999999999997</v>
      </c>
      <c r="N689" s="32">
        <v>2.1800000000000002</v>
      </c>
      <c r="P689" s="47">
        <v>1.196</v>
      </c>
      <c r="R689" s="47">
        <v>8.8999999999999996E-2</v>
      </c>
      <c r="S689" s="47">
        <v>0.85699999999999998</v>
      </c>
      <c r="T689" s="31">
        <v>0</v>
      </c>
      <c r="V689">
        <v>687</v>
      </c>
      <c r="W689">
        <v>18</v>
      </c>
      <c r="X689">
        <v>0.72799999999999998</v>
      </c>
      <c r="Y689" s="32">
        <v>2.2679999999999998</v>
      </c>
      <c r="Z689">
        <v>0</v>
      </c>
      <c r="AA689" s="32">
        <v>1.2230000000000001</v>
      </c>
      <c r="AB689">
        <v>0</v>
      </c>
      <c r="AC689" s="34">
        <v>9.4E-2</v>
      </c>
      <c r="AD689" s="32">
        <v>0.89</v>
      </c>
    </row>
    <row r="690" spans="1:30">
      <c r="A690">
        <v>688</v>
      </c>
      <c r="B690">
        <v>18</v>
      </c>
      <c r="C690">
        <v>0.71699999999999997</v>
      </c>
      <c r="D690">
        <v>2.1800000000000002</v>
      </c>
      <c r="E690">
        <v>0</v>
      </c>
      <c r="F690">
        <v>1.1930000000000001</v>
      </c>
      <c r="G690">
        <v>0</v>
      </c>
      <c r="H690">
        <v>8.6999999999999994E-2</v>
      </c>
      <c r="I690">
        <v>0.9</v>
      </c>
      <c r="K690">
        <v>688</v>
      </c>
      <c r="L690">
        <v>18</v>
      </c>
      <c r="M690" s="32">
        <v>0.71699999999999997</v>
      </c>
      <c r="N690" s="32">
        <v>2.1800000000000002</v>
      </c>
      <c r="P690" s="47">
        <v>1.1970000000000001</v>
      </c>
      <c r="R690" s="47">
        <v>8.8999999999999996E-2</v>
      </c>
      <c r="S690" s="47">
        <v>0.85799999999999998</v>
      </c>
      <c r="T690" s="31">
        <v>0</v>
      </c>
      <c r="V690">
        <v>688</v>
      </c>
      <c r="W690">
        <v>18</v>
      </c>
      <c r="X690">
        <v>0.72899999999999998</v>
      </c>
      <c r="Y690" s="32">
        <v>2.2789999999999999</v>
      </c>
      <c r="Z690">
        <v>0</v>
      </c>
      <c r="AA690" s="32">
        <v>1.2230000000000001</v>
      </c>
      <c r="AB690">
        <v>0</v>
      </c>
      <c r="AC690" s="34">
        <v>9.4E-2</v>
      </c>
      <c r="AD690" s="32">
        <v>0.89200000000000002</v>
      </c>
    </row>
    <row r="691" spans="1:30">
      <c r="A691">
        <v>689</v>
      </c>
      <c r="B691">
        <v>18</v>
      </c>
      <c r="C691">
        <v>0.71799999999999997</v>
      </c>
      <c r="D691">
        <v>2.1800000000000002</v>
      </c>
      <c r="E691">
        <v>0</v>
      </c>
      <c r="F691">
        <v>1.1930000000000001</v>
      </c>
      <c r="G691">
        <v>0</v>
      </c>
      <c r="H691">
        <v>8.6999999999999994E-2</v>
      </c>
      <c r="I691">
        <v>0.90100000000000002</v>
      </c>
      <c r="K691">
        <v>689</v>
      </c>
      <c r="L691">
        <v>18</v>
      </c>
      <c r="M691" s="32">
        <v>0.71799999999999997</v>
      </c>
      <c r="N691" s="32">
        <v>2.1800000000000002</v>
      </c>
      <c r="P691" s="47">
        <v>1.1970000000000001</v>
      </c>
      <c r="R691" s="47">
        <v>8.8999999999999996E-2</v>
      </c>
      <c r="S691" s="47">
        <v>0.86</v>
      </c>
      <c r="T691" s="31">
        <v>0</v>
      </c>
      <c r="V691">
        <v>689</v>
      </c>
      <c r="W691">
        <v>18</v>
      </c>
      <c r="X691">
        <v>0.73</v>
      </c>
      <c r="Y691" s="32">
        <v>2.29</v>
      </c>
      <c r="Z691">
        <v>0</v>
      </c>
      <c r="AA691" s="32">
        <v>1.2230000000000001</v>
      </c>
      <c r="AB691">
        <v>0</v>
      </c>
      <c r="AC691" s="34">
        <v>9.4E-2</v>
      </c>
      <c r="AD691" s="32">
        <v>0.89300000000000002</v>
      </c>
    </row>
    <row r="692" spans="1:30">
      <c r="A692">
        <v>690</v>
      </c>
      <c r="B692">
        <v>18</v>
      </c>
      <c r="C692">
        <v>0.71899999999999997</v>
      </c>
      <c r="D692">
        <v>2.1800000000000002</v>
      </c>
      <c r="E692">
        <v>0</v>
      </c>
      <c r="F692">
        <v>1.1930000000000001</v>
      </c>
      <c r="G692">
        <v>0</v>
      </c>
      <c r="H692">
        <v>8.6999999999999994E-2</v>
      </c>
      <c r="I692">
        <v>0.90200000000000002</v>
      </c>
      <c r="K692">
        <v>690</v>
      </c>
      <c r="L692">
        <v>18</v>
      </c>
      <c r="M692" s="32">
        <v>0.71899999999999997</v>
      </c>
      <c r="N692" s="32">
        <v>2.1800000000000002</v>
      </c>
      <c r="P692" s="47">
        <v>1.198</v>
      </c>
      <c r="R692" s="47">
        <v>8.8999999999999996E-2</v>
      </c>
      <c r="S692" s="47">
        <v>0.86099999999999999</v>
      </c>
      <c r="T692" s="31">
        <v>0</v>
      </c>
      <c r="V692">
        <v>690</v>
      </c>
      <c r="W692">
        <v>18</v>
      </c>
      <c r="X692">
        <v>0.73099999999999998</v>
      </c>
      <c r="Y692" s="32">
        <v>2.29</v>
      </c>
      <c r="Z692">
        <v>0</v>
      </c>
      <c r="AA692" s="32">
        <v>1.2230000000000001</v>
      </c>
      <c r="AB692">
        <v>0</v>
      </c>
      <c r="AC692" s="34">
        <v>9.4E-2</v>
      </c>
      <c r="AD692" s="32">
        <v>0.89500000000000002</v>
      </c>
    </row>
    <row r="693" spans="1:30">
      <c r="A693">
        <v>691</v>
      </c>
      <c r="B693">
        <v>18</v>
      </c>
      <c r="C693">
        <v>0.72</v>
      </c>
      <c r="D693">
        <v>2.1800000000000002</v>
      </c>
      <c r="E693">
        <v>0</v>
      </c>
      <c r="F693">
        <v>1.198</v>
      </c>
      <c r="G693">
        <v>0</v>
      </c>
      <c r="H693">
        <v>8.6999999999999994E-2</v>
      </c>
      <c r="I693">
        <v>0.91900000000000004</v>
      </c>
      <c r="K693">
        <v>691</v>
      </c>
      <c r="L693">
        <v>18</v>
      </c>
      <c r="M693" s="32">
        <v>0.72</v>
      </c>
      <c r="N693" s="32">
        <v>2.1800000000000002</v>
      </c>
      <c r="P693" s="32">
        <v>1.198</v>
      </c>
      <c r="R693" s="47">
        <v>0.09</v>
      </c>
      <c r="S693" s="47">
        <v>0.86299999999999999</v>
      </c>
      <c r="T693" s="31">
        <v>0</v>
      </c>
      <c r="V693">
        <v>691</v>
      </c>
      <c r="W693">
        <v>18</v>
      </c>
      <c r="X693">
        <v>0.73199999999999998</v>
      </c>
      <c r="Y693" s="32">
        <v>2.29</v>
      </c>
      <c r="Z693">
        <v>0</v>
      </c>
      <c r="AA693" s="32">
        <v>1.224</v>
      </c>
      <c r="AB693">
        <v>0</v>
      </c>
      <c r="AC693" s="34">
        <v>9.4E-2</v>
      </c>
      <c r="AD693" s="32">
        <v>0.89600000000000002</v>
      </c>
    </row>
    <row r="694" spans="1:30">
      <c r="A694">
        <v>692</v>
      </c>
      <c r="B694">
        <v>18</v>
      </c>
      <c r="C694">
        <v>0.72099999999999997</v>
      </c>
      <c r="D694">
        <v>2.1800000000000002</v>
      </c>
      <c r="E694">
        <v>0</v>
      </c>
      <c r="F694">
        <v>1.198</v>
      </c>
      <c r="G694">
        <v>0</v>
      </c>
      <c r="H694">
        <v>8.6999999999999994E-2</v>
      </c>
      <c r="I694">
        <v>0.92</v>
      </c>
      <c r="K694">
        <v>692</v>
      </c>
      <c r="L694">
        <v>18</v>
      </c>
      <c r="M694" s="32">
        <v>0.72099999999999997</v>
      </c>
      <c r="N694" s="47">
        <v>2.1909999999999998</v>
      </c>
      <c r="P694" s="47">
        <v>1.1990000000000001</v>
      </c>
      <c r="R694" s="47">
        <v>0.09</v>
      </c>
      <c r="S694" s="47">
        <v>0.86399999999999999</v>
      </c>
      <c r="T694" s="31">
        <v>0</v>
      </c>
      <c r="V694">
        <v>692</v>
      </c>
      <c r="W694">
        <v>18</v>
      </c>
      <c r="X694">
        <v>0.73299999999999998</v>
      </c>
      <c r="Y694" s="32">
        <v>2.29</v>
      </c>
      <c r="Z694">
        <v>0</v>
      </c>
      <c r="AA694" s="32">
        <v>1.224</v>
      </c>
      <c r="AB694">
        <v>0</v>
      </c>
      <c r="AC694" s="34">
        <v>9.4E-2</v>
      </c>
      <c r="AD694" s="32">
        <v>0.89700000000000002</v>
      </c>
    </row>
    <row r="695" spans="1:30">
      <c r="A695">
        <v>693</v>
      </c>
      <c r="B695">
        <v>18</v>
      </c>
      <c r="C695">
        <v>0.72199999999999998</v>
      </c>
      <c r="D695">
        <v>2.1800000000000002</v>
      </c>
      <c r="E695">
        <v>0</v>
      </c>
      <c r="F695">
        <v>1.198</v>
      </c>
      <c r="G695">
        <v>0</v>
      </c>
      <c r="H695">
        <v>8.6999999999999994E-2</v>
      </c>
      <c r="I695">
        <v>0.92200000000000004</v>
      </c>
      <c r="K695">
        <v>693</v>
      </c>
      <c r="L695">
        <v>18</v>
      </c>
      <c r="M695" s="32">
        <v>0.72199999999999998</v>
      </c>
      <c r="N695" s="47">
        <v>2.202</v>
      </c>
      <c r="P695" s="47">
        <v>1.1990000000000001</v>
      </c>
      <c r="R695" s="47">
        <v>0.09</v>
      </c>
      <c r="S695" s="47">
        <v>0.86499999999999999</v>
      </c>
      <c r="T695" s="31">
        <v>0</v>
      </c>
      <c r="V695">
        <v>693</v>
      </c>
      <c r="W695">
        <v>18</v>
      </c>
      <c r="X695">
        <v>0.73399999999999999</v>
      </c>
      <c r="Y695" s="32">
        <v>2.29</v>
      </c>
      <c r="Z695">
        <v>0</v>
      </c>
      <c r="AA695" s="32">
        <v>1.224</v>
      </c>
      <c r="AB695">
        <v>0</v>
      </c>
      <c r="AC695" s="34">
        <v>9.4E-2</v>
      </c>
      <c r="AD695" s="32">
        <v>0.89900000000000002</v>
      </c>
    </row>
    <row r="696" spans="1:30">
      <c r="A696">
        <v>694</v>
      </c>
      <c r="B696">
        <v>18</v>
      </c>
      <c r="C696">
        <v>0.72299999999999998</v>
      </c>
      <c r="D696">
        <v>2.1800000000000002</v>
      </c>
      <c r="E696">
        <v>0</v>
      </c>
      <c r="F696">
        <v>1.198</v>
      </c>
      <c r="G696">
        <v>0</v>
      </c>
      <c r="H696">
        <v>8.6999999999999994E-2</v>
      </c>
      <c r="I696">
        <v>0.92300000000000004</v>
      </c>
      <c r="K696">
        <v>694</v>
      </c>
      <c r="L696">
        <v>18</v>
      </c>
      <c r="M696" s="32">
        <v>0.72299999999999998</v>
      </c>
      <c r="N696" s="47">
        <v>2.2130000000000001</v>
      </c>
      <c r="P696" s="47">
        <v>1.2</v>
      </c>
      <c r="R696" s="47">
        <v>0.09</v>
      </c>
      <c r="S696" s="47">
        <v>0.86599999999999999</v>
      </c>
      <c r="T696" s="31">
        <v>0</v>
      </c>
      <c r="V696">
        <v>694</v>
      </c>
      <c r="W696">
        <v>18</v>
      </c>
      <c r="X696">
        <v>0.73499999999999999</v>
      </c>
      <c r="Y696" s="32">
        <v>2.29</v>
      </c>
      <c r="Z696">
        <v>0</v>
      </c>
      <c r="AA696" s="32">
        <v>1.224</v>
      </c>
      <c r="AB696">
        <v>0</v>
      </c>
      <c r="AC696" s="34">
        <v>9.4E-2</v>
      </c>
      <c r="AD696" s="32">
        <v>0.9</v>
      </c>
    </row>
    <row r="697" spans="1:30">
      <c r="A697">
        <v>695</v>
      </c>
      <c r="B697">
        <v>18</v>
      </c>
      <c r="C697">
        <v>0.72399999999999998</v>
      </c>
      <c r="D697">
        <v>2.1800000000000002</v>
      </c>
      <c r="E697">
        <v>0</v>
      </c>
      <c r="F697">
        <v>1.198</v>
      </c>
      <c r="G697">
        <v>0</v>
      </c>
      <c r="H697">
        <v>8.6999999999999994E-2</v>
      </c>
      <c r="I697">
        <v>0.92400000000000004</v>
      </c>
      <c r="K697">
        <v>695</v>
      </c>
      <c r="L697">
        <v>18</v>
      </c>
      <c r="M697" s="32">
        <v>0.72399999999999998</v>
      </c>
      <c r="N697" s="47">
        <v>2.2240000000000002</v>
      </c>
      <c r="P697" s="47">
        <v>1.2</v>
      </c>
      <c r="R697" s="47">
        <v>0.09</v>
      </c>
      <c r="S697" s="47">
        <v>0.86699999999999999</v>
      </c>
      <c r="T697" s="31">
        <v>0</v>
      </c>
      <c r="V697">
        <v>695</v>
      </c>
      <c r="W697">
        <v>18</v>
      </c>
      <c r="X697">
        <v>0.73599999999999999</v>
      </c>
      <c r="Y697" s="32">
        <v>2.29</v>
      </c>
      <c r="Z697">
        <v>0</v>
      </c>
      <c r="AA697" s="32">
        <v>1.224</v>
      </c>
      <c r="AB697">
        <v>0</v>
      </c>
      <c r="AC697" s="34">
        <v>9.4E-2</v>
      </c>
      <c r="AD697" s="32">
        <v>0.90100000000000002</v>
      </c>
    </row>
    <row r="698" spans="1:30">
      <c r="A698">
        <v>696</v>
      </c>
      <c r="B698">
        <v>18</v>
      </c>
      <c r="C698">
        <v>0.72499999999999998</v>
      </c>
      <c r="D698">
        <v>2.1800000000000002</v>
      </c>
      <c r="E698">
        <v>0</v>
      </c>
      <c r="F698">
        <v>1.198</v>
      </c>
      <c r="G698">
        <v>0</v>
      </c>
      <c r="H698">
        <v>8.6999999999999994E-2</v>
      </c>
      <c r="I698">
        <v>0.92500000000000004</v>
      </c>
      <c r="K698">
        <v>696</v>
      </c>
      <c r="L698">
        <v>18</v>
      </c>
      <c r="M698" s="32">
        <v>0.72499999999999998</v>
      </c>
      <c r="N698" s="47">
        <v>2.2349999999999999</v>
      </c>
      <c r="P698" s="47">
        <v>1.2010000000000001</v>
      </c>
      <c r="R698" s="47">
        <v>0.09</v>
      </c>
      <c r="S698" s="47">
        <v>0.86799999999999999</v>
      </c>
      <c r="T698" s="31">
        <v>0</v>
      </c>
      <c r="V698">
        <v>696</v>
      </c>
      <c r="W698">
        <v>18</v>
      </c>
      <c r="X698">
        <v>0.73699999999999999</v>
      </c>
      <c r="Y698" s="32">
        <v>2.29</v>
      </c>
      <c r="Z698">
        <v>0</v>
      </c>
      <c r="AA698" s="32">
        <v>1.2250000000000001</v>
      </c>
      <c r="AB698">
        <v>0</v>
      </c>
      <c r="AC698" s="34">
        <v>9.4E-2</v>
      </c>
      <c r="AD698" s="32">
        <v>0.90300000000000002</v>
      </c>
    </row>
    <row r="699" spans="1:30">
      <c r="A699">
        <v>697</v>
      </c>
      <c r="B699">
        <v>18</v>
      </c>
      <c r="C699">
        <v>0.72599999999999998</v>
      </c>
      <c r="D699">
        <v>2.1800000000000002</v>
      </c>
      <c r="E699">
        <v>0</v>
      </c>
      <c r="F699">
        <v>1.198</v>
      </c>
      <c r="G699">
        <v>0</v>
      </c>
      <c r="H699">
        <v>8.6999999999999994E-2</v>
      </c>
      <c r="I699">
        <v>0.92600000000000005</v>
      </c>
      <c r="K699">
        <v>697</v>
      </c>
      <c r="L699">
        <v>18</v>
      </c>
      <c r="M699" s="32">
        <v>0.72599999999999998</v>
      </c>
      <c r="N699" s="47">
        <v>2.246</v>
      </c>
      <c r="P699" s="47">
        <v>1.2010000000000001</v>
      </c>
      <c r="R699" s="47">
        <v>0.09</v>
      </c>
      <c r="S699" s="47">
        <v>0.86799999999999999</v>
      </c>
      <c r="T699" s="31">
        <v>0</v>
      </c>
      <c r="V699">
        <v>697</v>
      </c>
      <c r="W699">
        <v>18</v>
      </c>
      <c r="X699">
        <v>0.73799999999999999</v>
      </c>
      <c r="Y699" s="32">
        <v>2.29</v>
      </c>
      <c r="Z699">
        <v>0</v>
      </c>
      <c r="AA699" s="32">
        <v>1.2250000000000001</v>
      </c>
      <c r="AB699">
        <v>0</v>
      </c>
      <c r="AC699" s="34">
        <v>9.4E-2</v>
      </c>
      <c r="AD699" s="32">
        <v>0.90400000000000003</v>
      </c>
    </row>
    <row r="700" spans="1:30">
      <c r="A700">
        <v>698</v>
      </c>
      <c r="B700">
        <v>18</v>
      </c>
      <c r="C700">
        <v>0.72699999999999998</v>
      </c>
      <c r="D700">
        <v>2.1800000000000002</v>
      </c>
      <c r="E700">
        <v>0</v>
      </c>
      <c r="F700">
        <v>1.198</v>
      </c>
      <c r="G700">
        <v>0</v>
      </c>
      <c r="H700">
        <v>8.6999999999999994E-2</v>
      </c>
      <c r="I700">
        <v>0.92700000000000005</v>
      </c>
      <c r="K700">
        <v>698</v>
      </c>
      <c r="L700">
        <v>18</v>
      </c>
      <c r="M700" s="32">
        <v>0.72699999999999998</v>
      </c>
      <c r="N700" s="47">
        <v>2.2570000000000001</v>
      </c>
      <c r="P700" s="47">
        <v>1.202</v>
      </c>
      <c r="R700" s="47">
        <v>0.09</v>
      </c>
      <c r="S700" s="47">
        <v>0.86899999999999999</v>
      </c>
      <c r="T700" s="31">
        <v>0</v>
      </c>
      <c r="V700">
        <v>698</v>
      </c>
      <c r="W700">
        <v>18</v>
      </c>
      <c r="X700">
        <v>0.73899999999999999</v>
      </c>
      <c r="Y700" s="32">
        <v>2.29</v>
      </c>
      <c r="Z700">
        <v>0</v>
      </c>
      <c r="AA700" s="32">
        <v>1.2250000000000001</v>
      </c>
      <c r="AB700">
        <v>0</v>
      </c>
      <c r="AC700" s="34">
        <v>9.4E-2</v>
      </c>
      <c r="AD700" s="32">
        <v>0.90600000000000003</v>
      </c>
    </row>
    <row r="701" spans="1:30">
      <c r="A701">
        <v>699</v>
      </c>
      <c r="B701">
        <v>18</v>
      </c>
      <c r="C701">
        <v>0.72799999999999998</v>
      </c>
      <c r="D701">
        <v>2.1800000000000002</v>
      </c>
      <c r="E701">
        <v>0</v>
      </c>
      <c r="F701">
        <v>1.198</v>
      </c>
      <c r="G701">
        <v>0</v>
      </c>
      <c r="H701">
        <v>8.6999999999999994E-2</v>
      </c>
      <c r="I701">
        <v>0.92800000000000005</v>
      </c>
      <c r="K701">
        <v>699</v>
      </c>
      <c r="L701">
        <v>18</v>
      </c>
      <c r="M701" s="32">
        <v>0.72799999999999998</v>
      </c>
      <c r="N701" s="47">
        <v>2.2679999999999998</v>
      </c>
      <c r="P701" s="47">
        <v>1.202</v>
      </c>
      <c r="R701" s="47">
        <v>0.09</v>
      </c>
      <c r="S701" s="47">
        <v>0.87</v>
      </c>
      <c r="T701" s="31">
        <v>0</v>
      </c>
      <c r="V701">
        <v>699</v>
      </c>
      <c r="W701">
        <v>18</v>
      </c>
      <c r="X701">
        <v>0.74</v>
      </c>
      <c r="Y701" s="32">
        <v>2.29</v>
      </c>
      <c r="Z701">
        <v>0</v>
      </c>
      <c r="AA701" s="32">
        <v>1.2250000000000001</v>
      </c>
      <c r="AB701">
        <v>0</v>
      </c>
      <c r="AC701" s="34">
        <v>9.4E-2</v>
      </c>
      <c r="AD701" s="32">
        <v>0.90700000000000003</v>
      </c>
    </row>
    <row r="702" spans="1:30">
      <c r="A702">
        <v>700</v>
      </c>
      <c r="B702">
        <v>18</v>
      </c>
      <c r="C702">
        <v>0.72899999999999998</v>
      </c>
      <c r="D702">
        <v>2.1800000000000002</v>
      </c>
      <c r="E702">
        <v>0</v>
      </c>
      <c r="F702">
        <v>1.198</v>
      </c>
      <c r="G702">
        <v>0</v>
      </c>
      <c r="H702">
        <v>8.6999999999999994E-2</v>
      </c>
      <c r="I702">
        <v>0.92900000000000005</v>
      </c>
      <c r="K702">
        <v>700</v>
      </c>
      <c r="L702">
        <v>18</v>
      </c>
      <c r="M702" s="32">
        <v>0.72899999999999998</v>
      </c>
      <c r="N702" s="47">
        <v>2.2789999999999999</v>
      </c>
      <c r="P702" s="47">
        <v>1.2030000000000001</v>
      </c>
      <c r="R702" s="47">
        <v>0.09</v>
      </c>
      <c r="S702" s="47">
        <v>0.871</v>
      </c>
      <c r="T702" s="31">
        <v>0</v>
      </c>
      <c r="V702">
        <v>700</v>
      </c>
      <c r="W702">
        <v>18</v>
      </c>
      <c r="X702">
        <v>0.74099999999999999</v>
      </c>
      <c r="Y702" s="32">
        <v>2.29</v>
      </c>
      <c r="Z702">
        <v>0</v>
      </c>
      <c r="AA702" s="32">
        <v>1.2250000000000001</v>
      </c>
      <c r="AB702">
        <v>0</v>
      </c>
      <c r="AC702" s="34">
        <v>9.5000000000000001E-2</v>
      </c>
      <c r="AD702" s="32">
        <v>0.90800000000000003</v>
      </c>
    </row>
    <row r="703" spans="1:30">
      <c r="A703">
        <v>701</v>
      </c>
      <c r="B703">
        <v>18</v>
      </c>
      <c r="C703">
        <v>0.73</v>
      </c>
      <c r="D703">
        <v>2.4</v>
      </c>
      <c r="E703">
        <v>0</v>
      </c>
      <c r="F703">
        <v>1.238</v>
      </c>
      <c r="G703">
        <v>0</v>
      </c>
      <c r="H703">
        <v>8.6999999999999994E-2</v>
      </c>
      <c r="I703">
        <v>0.94</v>
      </c>
      <c r="K703">
        <v>701</v>
      </c>
      <c r="L703">
        <v>18</v>
      </c>
      <c r="M703" s="32">
        <v>0.73</v>
      </c>
      <c r="N703" s="47">
        <v>2.29</v>
      </c>
      <c r="P703" s="47">
        <v>1.2030000000000001</v>
      </c>
      <c r="R703" s="47">
        <v>0.09</v>
      </c>
      <c r="S703" s="47">
        <v>0.872</v>
      </c>
      <c r="T703" s="31">
        <v>0</v>
      </c>
      <c r="V703">
        <v>701</v>
      </c>
      <c r="W703">
        <v>18</v>
      </c>
      <c r="X703">
        <v>0.74199999999999999</v>
      </c>
      <c r="Y703" s="32">
        <v>2.29</v>
      </c>
      <c r="Z703">
        <v>0</v>
      </c>
      <c r="AA703" s="32">
        <v>1.226</v>
      </c>
      <c r="AB703">
        <v>0</v>
      </c>
      <c r="AC703" s="34">
        <v>9.5000000000000001E-2</v>
      </c>
      <c r="AD703" s="32">
        <v>0.91</v>
      </c>
    </row>
    <row r="704" spans="1:30">
      <c r="A704">
        <v>702</v>
      </c>
      <c r="B704">
        <v>18</v>
      </c>
      <c r="C704">
        <v>0.73099999999999998</v>
      </c>
      <c r="D704">
        <v>2.4</v>
      </c>
      <c r="E704">
        <v>0</v>
      </c>
      <c r="F704">
        <v>1.238</v>
      </c>
      <c r="G704">
        <v>0</v>
      </c>
      <c r="H704">
        <v>8.6999999999999994E-2</v>
      </c>
      <c r="I704">
        <v>0.94099999999999995</v>
      </c>
      <c r="K704">
        <v>702</v>
      </c>
      <c r="L704">
        <v>18</v>
      </c>
      <c r="M704" s="32">
        <v>0.73099999999999998</v>
      </c>
      <c r="N704" s="47">
        <v>2.29</v>
      </c>
      <c r="P704" s="47">
        <v>1.204</v>
      </c>
      <c r="R704" s="47">
        <v>0.09</v>
      </c>
      <c r="S704" s="47">
        <v>0.874</v>
      </c>
      <c r="T704" s="31">
        <v>0</v>
      </c>
      <c r="V704">
        <v>702</v>
      </c>
      <c r="W704">
        <v>18</v>
      </c>
      <c r="X704">
        <v>0.74299999999999999</v>
      </c>
      <c r="Y704" s="32">
        <v>2.29</v>
      </c>
      <c r="Z704">
        <v>0</v>
      </c>
      <c r="AA704" s="32">
        <v>1.226</v>
      </c>
      <c r="AB704">
        <v>0</v>
      </c>
      <c r="AC704" s="34">
        <v>9.5000000000000001E-2</v>
      </c>
      <c r="AD704" s="32">
        <v>0.91100000000000003</v>
      </c>
    </row>
    <row r="705" spans="1:30">
      <c r="A705">
        <v>703</v>
      </c>
      <c r="B705">
        <v>18</v>
      </c>
      <c r="C705">
        <v>0.73199999999999998</v>
      </c>
      <c r="D705">
        <v>2.41</v>
      </c>
      <c r="E705">
        <v>0</v>
      </c>
      <c r="F705">
        <v>1.2390000000000001</v>
      </c>
      <c r="G705">
        <v>0</v>
      </c>
      <c r="H705">
        <v>8.6999999999999994E-2</v>
      </c>
      <c r="I705">
        <v>0.94199999999999995</v>
      </c>
      <c r="K705">
        <v>703</v>
      </c>
      <c r="L705">
        <v>18</v>
      </c>
      <c r="M705" s="32">
        <v>0.73199999999999998</v>
      </c>
      <c r="N705" s="47">
        <v>2.29</v>
      </c>
      <c r="P705" s="47">
        <v>1.204</v>
      </c>
      <c r="R705" s="47">
        <v>0.09</v>
      </c>
      <c r="S705" s="47">
        <v>0.877</v>
      </c>
      <c r="T705" s="31">
        <v>0</v>
      </c>
      <c r="V705">
        <v>703</v>
      </c>
      <c r="W705">
        <v>18</v>
      </c>
      <c r="X705">
        <v>0.74399999999999999</v>
      </c>
      <c r="Y705" s="32">
        <v>2.29</v>
      </c>
      <c r="Z705">
        <v>0</v>
      </c>
      <c r="AA705" s="32">
        <v>1.226</v>
      </c>
      <c r="AB705">
        <v>0</v>
      </c>
      <c r="AC705" s="34">
        <v>9.5000000000000001E-2</v>
      </c>
      <c r="AD705" s="32">
        <v>0.91300000000000003</v>
      </c>
    </row>
    <row r="706" spans="1:30">
      <c r="A706">
        <v>704</v>
      </c>
      <c r="B706">
        <v>18</v>
      </c>
      <c r="C706">
        <v>0.73299999999999998</v>
      </c>
      <c r="D706">
        <v>2.41</v>
      </c>
      <c r="E706">
        <v>0</v>
      </c>
      <c r="F706">
        <v>1.24</v>
      </c>
      <c r="G706">
        <v>0</v>
      </c>
      <c r="H706">
        <v>8.6999999999999994E-2</v>
      </c>
      <c r="I706">
        <v>0.94299999999999995</v>
      </c>
      <c r="K706">
        <v>704</v>
      </c>
      <c r="L706">
        <v>18</v>
      </c>
      <c r="M706" s="32">
        <v>0.73299999999999998</v>
      </c>
      <c r="N706" s="47">
        <v>2.29</v>
      </c>
      <c r="P706" s="47">
        <v>1.2050000000000001</v>
      </c>
      <c r="R706" s="47">
        <v>0.09</v>
      </c>
      <c r="S706" s="47">
        <v>0.879</v>
      </c>
      <c r="T706" s="31">
        <v>0</v>
      </c>
      <c r="V706">
        <v>704</v>
      </c>
      <c r="W706">
        <v>18</v>
      </c>
      <c r="X706">
        <v>0.745</v>
      </c>
      <c r="Y706" s="32">
        <v>2.29</v>
      </c>
      <c r="Z706">
        <v>0</v>
      </c>
      <c r="AA706" s="32">
        <v>1.226</v>
      </c>
      <c r="AB706">
        <v>0</v>
      </c>
      <c r="AC706" s="34">
        <v>9.5000000000000001E-2</v>
      </c>
      <c r="AD706" s="32">
        <v>0.91400000000000003</v>
      </c>
    </row>
    <row r="707" spans="1:30">
      <c r="A707">
        <v>705</v>
      </c>
      <c r="B707">
        <v>18</v>
      </c>
      <c r="C707">
        <v>0.73399999999999999</v>
      </c>
      <c r="D707">
        <v>2.41</v>
      </c>
      <c r="E707">
        <v>0</v>
      </c>
      <c r="F707">
        <v>1.24</v>
      </c>
      <c r="G707">
        <v>0</v>
      </c>
      <c r="H707">
        <v>8.6999999999999994E-2</v>
      </c>
      <c r="I707">
        <v>0.94399999999999995</v>
      </c>
      <c r="K707">
        <v>705</v>
      </c>
      <c r="L707">
        <v>18</v>
      </c>
      <c r="M707" s="32">
        <v>0.73399999999999999</v>
      </c>
      <c r="N707" s="47">
        <v>2.29</v>
      </c>
      <c r="P707" s="47">
        <v>1.2050000000000001</v>
      </c>
      <c r="R707" s="47">
        <v>0.09</v>
      </c>
      <c r="S707" s="47">
        <v>0.88100000000000001</v>
      </c>
      <c r="T707" s="31">
        <v>0</v>
      </c>
      <c r="V707">
        <v>705</v>
      </c>
      <c r="W707">
        <v>18</v>
      </c>
      <c r="X707">
        <v>0.746</v>
      </c>
      <c r="Y707" s="32">
        <v>2.29</v>
      </c>
      <c r="Z707">
        <v>0</v>
      </c>
      <c r="AA707" s="32">
        <v>1.226</v>
      </c>
      <c r="AB707">
        <v>0</v>
      </c>
      <c r="AC707" s="34">
        <v>9.5000000000000001E-2</v>
      </c>
      <c r="AD707" s="32">
        <v>0.91500000000000004</v>
      </c>
    </row>
    <row r="708" spans="1:30">
      <c r="A708">
        <v>706</v>
      </c>
      <c r="B708">
        <v>18</v>
      </c>
      <c r="C708">
        <v>0.73499999999999999</v>
      </c>
      <c r="D708">
        <v>2.41</v>
      </c>
      <c r="E708">
        <v>0</v>
      </c>
      <c r="F708">
        <v>1.2410000000000001</v>
      </c>
      <c r="G708">
        <v>0</v>
      </c>
      <c r="H708">
        <v>8.6999999999999994E-2</v>
      </c>
      <c r="I708">
        <v>0.94499999999999995</v>
      </c>
      <c r="K708">
        <v>706</v>
      </c>
      <c r="L708">
        <v>18</v>
      </c>
      <c r="M708" s="32">
        <v>0.73499999999999999</v>
      </c>
      <c r="N708" s="47">
        <v>2.29</v>
      </c>
      <c r="P708" s="47">
        <v>1.206</v>
      </c>
      <c r="R708" s="47">
        <v>0.09</v>
      </c>
      <c r="S708" s="47">
        <v>0.88400000000000001</v>
      </c>
      <c r="T708" s="31">
        <v>0</v>
      </c>
      <c r="V708">
        <v>706</v>
      </c>
      <c r="W708">
        <v>18</v>
      </c>
      <c r="X708">
        <v>0.747</v>
      </c>
      <c r="Y708" s="32">
        <v>2.29</v>
      </c>
      <c r="Z708">
        <v>0</v>
      </c>
      <c r="AA708" s="32">
        <v>1.2270000000000001</v>
      </c>
      <c r="AB708">
        <v>0</v>
      </c>
      <c r="AC708" s="34">
        <v>9.5000000000000001E-2</v>
      </c>
      <c r="AD708" s="32">
        <v>0.91700000000000004</v>
      </c>
    </row>
    <row r="709" spans="1:30">
      <c r="A709">
        <v>707</v>
      </c>
      <c r="B709">
        <v>18</v>
      </c>
      <c r="C709">
        <v>0.73599999999999999</v>
      </c>
      <c r="D709">
        <v>2.41</v>
      </c>
      <c r="E709">
        <v>0</v>
      </c>
      <c r="F709">
        <v>1.2410000000000001</v>
      </c>
      <c r="G709">
        <v>0</v>
      </c>
      <c r="H709">
        <v>8.6999999999999994E-2</v>
      </c>
      <c r="I709">
        <v>0.94599999999999995</v>
      </c>
      <c r="K709">
        <v>707</v>
      </c>
      <c r="L709">
        <v>18</v>
      </c>
      <c r="M709" s="32">
        <v>0.73599999999999999</v>
      </c>
      <c r="N709" s="47">
        <v>2.29</v>
      </c>
      <c r="P709" s="47">
        <v>1.2070000000000001</v>
      </c>
      <c r="R709" s="47">
        <v>0.09</v>
      </c>
      <c r="S709" s="47">
        <v>0.88600000000000001</v>
      </c>
      <c r="T709" s="31">
        <v>0</v>
      </c>
      <c r="V709">
        <v>707</v>
      </c>
      <c r="W709">
        <v>18</v>
      </c>
      <c r="X709">
        <v>0.748</v>
      </c>
      <c r="Y709" s="32">
        <v>2.29</v>
      </c>
      <c r="Z709">
        <v>0</v>
      </c>
      <c r="AA709" s="32">
        <v>1.2270000000000001</v>
      </c>
      <c r="AB709">
        <v>0</v>
      </c>
      <c r="AC709" s="34">
        <v>9.5000000000000001E-2</v>
      </c>
      <c r="AD709" s="32">
        <v>0.91800000000000004</v>
      </c>
    </row>
    <row r="710" spans="1:30">
      <c r="A710">
        <v>708</v>
      </c>
      <c r="B710">
        <v>18</v>
      </c>
      <c r="C710">
        <v>0.73699999999999999</v>
      </c>
      <c r="D710">
        <v>2.42</v>
      </c>
      <c r="E710">
        <v>0</v>
      </c>
      <c r="F710">
        <v>1.242</v>
      </c>
      <c r="G710">
        <v>0</v>
      </c>
      <c r="H710">
        <v>8.6999999999999994E-2</v>
      </c>
      <c r="I710">
        <v>0.94699999999999995</v>
      </c>
      <c r="K710">
        <v>708</v>
      </c>
      <c r="L710">
        <v>18</v>
      </c>
      <c r="M710" s="32">
        <v>0.73699999999999999</v>
      </c>
      <c r="N710" s="47">
        <v>2.29</v>
      </c>
      <c r="P710" s="47">
        <v>1.2070000000000001</v>
      </c>
      <c r="R710" s="47">
        <v>9.0999999999999998E-2</v>
      </c>
      <c r="S710" s="47">
        <v>0.88800000000000001</v>
      </c>
      <c r="T710" s="31">
        <v>0</v>
      </c>
      <c r="V710">
        <v>708</v>
      </c>
      <c r="W710">
        <v>18</v>
      </c>
      <c r="X710">
        <v>0.749</v>
      </c>
      <c r="Y710" s="32">
        <v>2.29</v>
      </c>
      <c r="Z710">
        <v>0</v>
      </c>
      <c r="AA710" s="32">
        <v>1.2270000000000001</v>
      </c>
      <c r="AB710">
        <v>0</v>
      </c>
      <c r="AC710" s="34">
        <v>9.5000000000000001E-2</v>
      </c>
      <c r="AD710" s="32">
        <v>0.91900000000000004</v>
      </c>
    </row>
    <row r="711" spans="1:30">
      <c r="A711">
        <v>709</v>
      </c>
      <c r="B711">
        <v>18</v>
      </c>
      <c r="C711">
        <v>0.73799999999999999</v>
      </c>
      <c r="D711">
        <v>2.42</v>
      </c>
      <c r="E711">
        <v>0</v>
      </c>
      <c r="F711">
        <v>1.242</v>
      </c>
      <c r="G711">
        <v>0</v>
      </c>
      <c r="H711">
        <v>8.6999999999999994E-2</v>
      </c>
      <c r="I711">
        <v>0.94899999999999995</v>
      </c>
      <c r="K711">
        <v>709</v>
      </c>
      <c r="L711">
        <v>18</v>
      </c>
      <c r="M711" s="32">
        <v>0.73799999999999999</v>
      </c>
      <c r="N711" s="47">
        <v>2.29</v>
      </c>
      <c r="P711" s="47">
        <v>1.208</v>
      </c>
      <c r="R711" s="47">
        <v>9.0999999999999998E-2</v>
      </c>
      <c r="S711" s="47">
        <v>0.89</v>
      </c>
      <c r="T711" s="31">
        <v>0</v>
      </c>
      <c r="V711">
        <v>709</v>
      </c>
      <c r="W711">
        <v>18</v>
      </c>
      <c r="X711">
        <v>0.75</v>
      </c>
      <c r="Y711" s="32">
        <v>2.29</v>
      </c>
      <c r="Z711">
        <v>0</v>
      </c>
      <c r="AA711" s="32">
        <v>1.2270000000000001</v>
      </c>
      <c r="AB711">
        <v>0</v>
      </c>
      <c r="AC711" s="34">
        <v>9.5000000000000001E-2</v>
      </c>
      <c r="AD711" s="32">
        <v>0.92100000000000004</v>
      </c>
    </row>
    <row r="712" spans="1:30">
      <c r="A712">
        <v>710</v>
      </c>
      <c r="B712">
        <v>18</v>
      </c>
      <c r="C712">
        <v>0.73899999999999999</v>
      </c>
      <c r="D712">
        <v>2.42</v>
      </c>
      <c r="E712">
        <v>0</v>
      </c>
      <c r="F712">
        <v>1.2430000000000001</v>
      </c>
      <c r="G712">
        <v>0</v>
      </c>
      <c r="H712">
        <v>8.6999999999999994E-2</v>
      </c>
      <c r="I712">
        <v>0.95</v>
      </c>
      <c r="K712">
        <v>710</v>
      </c>
      <c r="L712">
        <v>18</v>
      </c>
      <c r="M712" s="32">
        <v>0.73899999999999999</v>
      </c>
      <c r="N712" s="47">
        <v>2.29</v>
      </c>
      <c r="P712" s="47">
        <v>1.208</v>
      </c>
      <c r="R712" s="47">
        <v>9.0999999999999998E-2</v>
      </c>
      <c r="S712" s="47">
        <v>0.89300000000000002</v>
      </c>
      <c r="T712" s="31">
        <v>0</v>
      </c>
      <c r="V712">
        <v>710</v>
      </c>
      <c r="W712">
        <v>18</v>
      </c>
      <c r="X712">
        <v>0.751</v>
      </c>
      <c r="Y712" s="32">
        <v>2.29</v>
      </c>
      <c r="Z712">
        <v>0</v>
      </c>
      <c r="AA712" s="32">
        <v>1.2270000000000001</v>
      </c>
      <c r="AB712">
        <v>0</v>
      </c>
      <c r="AC712" s="34">
        <v>9.5000000000000001E-2</v>
      </c>
      <c r="AD712" s="32">
        <v>0.92200000000000004</v>
      </c>
    </row>
    <row r="713" spans="1:30">
      <c r="A713">
        <v>711</v>
      </c>
      <c r="B713">
        <v>18</v>
      </c>
      <c r="C713">
        <v>0.74</v>
      </c>
      <c r="D713">
        <v>2.29</v>
      </c>
      <c r="E713">
        <v>0</v>
      </c>
      <c r="F713">
        <v>1.2090000000000001</v>
      </c>
      <c r="G713">
        <v>0</v>
      </c>
      <c r="H713">
        <v>8.6999999999999994E-2</v>
      </c>
      <c r="I713">
        <v>0.97399999999999998</v>
      </c>
      <c r="K713">
        <v>711</v>
      </c>
      <c r="L713">
        <v>18</v>
      </c>
      <c r="M713" s="32">
        <v>0.74</v>
      </c>
      <c r="N713" s="32">
        <v>2.29</v>
      </c>
      <c r="P713" s="32">
        <v>1.2090000000000001</v>
      </c>
      <c r="R713" s="47">
        <v>9.0999999999999998E-2</v>
      </c>
      <c r="S713" s="47">
        <v>0.89500000000000002</v>
      </c>
      <c r="T713" s="31">
        <v>0</v>
      </c>
      <c r="V713">
        <v>711</v>
      </c>
      <c r="W713">
        <v>18</v>
      </c>
      <c r="X713">
        <v>0.752</v>
      </c>
      <c r="Y713" s="32">
        <v>2.29</v>
      </c>
      <c r="Z713">
        <v>0</v>
      </c>
      <c r="AA713" s="32">
        <v>1.228</v>
      </c>
      <c r="AB713">
        <v>0</v>
      </c>
      <c r="AC713" s="34">
        <v>9.5000000000000001E-2</v>
      </c>
      <c r="AD713" s="32">
        <v>0.92400000000000004</v>
      </c>
    </row>
    <row r="714" spans="1:30">
      <c r="A714">
        <v>712</v>
      </c>
      <c r="B714">
        <v>18</v>
      </c>
      <c r="C714">
        <v>0.74099999999999999</v>
      </c>
      <c r="D714">
        <v>2.29</v>
      </c>
      <c r="E714">
        <v>0</v>
      </c>
      <c r="F714">
        <v>1.2090000000000001</v>
      </c>
      <c r="G714">
        <v>0</v>
      </c>
      <c r="H714">
        <v>8.6999999999999994E-2</v>
      </c>
      <c r="I714">
        <v>0.97499999999999998</v>
      </c>
      <c r="K714">
        <v>712</v>
      </c>
      <c r="L714">
        <v>18</v>
      </c>
      <c r="M714" s="32">
        <v>0.74099999999999999</v>
      </c>
      <c r="N714" s="32">
        <v>2.29</v>
      </c>
      <c r="P714" s="47">
        <v>1.21</v>
      </c>
      <c r="R714" s="47">
        <v>9.0999999999999998E-2</v>
      </c>
      <c r="S714" s="47">
        <v>0.89700000000000002</v>
      </c>
      <c r="T714" s="31">
        <v>0</v>
      </c>
      <c r="V714">
        <v>712</v>
      </c>
      <c r="W714">
        <v>18</v>
      </c>
      <c r="X714">
        <v>0.753</v>
      </c>
      <c r="Y714" s="32">
        <v>2.29</v>
      </c>
      <c r="Z714">
        <v>0</v>
      </c>
      <c r="AA714" s="32">
        <v>1.228</v>
      </c>
      <c r="AB714">
        <v>0</v>
      </c>
      <c r="AC714" s="34">
        <v>9.5000000000000001E-2</v>
      </c>
      <c r="AD714" s="32">
        <v>0.92500000000000004</v>
      </c>
    </row>
    <row r="715" spans="1:30">
      <c r="A715">
        <v>713</v>
      </c>
      <c r="B715">
        <v>18</v>
      </c>
      <c r="C715">
        <v>0.74199999999999999</v>
      </c>
      <c r="D715">
        <v>2.29</v>
      </c>
      <c r="E715">
        <v>0</v>
      </c>
      <c r="F715">
        <v>1.2090000000000001</v>
      </c>
      <c r="G715">
        <v>0</v>
      </c>
      <c r="H715">
        <v>8.6999999999999994E-2</v>
      </c>
      <c r="I715">
        <v>0.97599999999999998</v>
      </c>
      <c r="K715">
        <v>713</v>
      </c>
      <c r="L715">
        <v>18</v>
      </c>
      <c r="M715" s="32">
        <v>0.74199999999999999</v>
      </c>
      <c r="N715" s="32">
        <v>2.29</v>
      </c>
      <c r="P715" s="47">
        <v>1.21</v>
      </c>
      <c r="R715" s="47">
        <v>9.0999999999999998E-2</v>
      </c>
      <c r="S715" s="47">
        <v>0.89800000000000002</v>
      </c>
      <c r="T715" s="31">
        <v>0</v>
      </c>
      <c r="V715">
        <v>713</v>
      </c>
      <c r="W715">
        <v>18</v>
      </c>
      <c r="X715">
        <v>0.754</v>
      </c>
      <c r="Y715" s="32">
        <v>2.29</v>
      </c>
      <c r="Z715">
        <v>0</v>
      </c>
      <c r="AA715" s="32">
        <v>1.228</v>
      </c>
      <c r="AB715">
        <v>0</v>
      </c>
      <c r="AC715" s="34">
        <v>9.5000000000000001E-2</v>
      </c>
      <c r="AD715" s="32">
        <v>0.92600000000000005</v>
      </c>
    </row>
    <row r="716" spans="1:30">
      <c r="A716">
        <v>714</v>
      </c>
      <c r="B716">
        <v>18</v>
      </c>
      <c r="C716">
        <v>0.74299999999999999</v>
      </c>
      <c r="D716">
        <v>2.29</v>
      </c>
      <c r="E716">
        <v>0</v>
      </c>
      <c r="F716">
        <v>1.2090000000000001</v>
      </c>
      <c r="G716">
        <v>0</v>
      </c>
      <c r="H716">
        <v>8.6999999999999994E-2</v>
      </c>
      <c r="I716">
        <v>0.97699999999999998</v>
      </c>
      <c r="K716">
        <v>714</v>
      </c>
      <c r="L716">
        <v>18</v>
      </c>
      <c r="M716" s="32">
        <v>0.74299999999999999</v>
      </c>
      <c r="N716" s="32">
        <v>2.29</v>
      </c>
      <c r="P716" s="47">
        <v>1.2110000000000001</v>
      </c>
      <c r="R716" s="47">
        <v>9.0999999999999998E-2</v>
      </c>
      <c r="S716" s="47">
        <v>0.9</v>
      </c>
      <c r="T716" s="31">
        <v>0</v>
      </c>
      <c r="V716">
        <v>714</v>
      </c>
      <c r="W716">
        <v>18</v>
      </c>
      <c r="X716">
        <v>0.755</v>
      </c>
      <c r="Y716" s="32">
        <v>2.29</v>
      </c>
      <c r="Z716">
        <v>0</v>
      </c>
      <c r="AA716" s="32">
        <v>1.228</v>
      </c>
      <c r="AB716">
        <v>0</v>
      </c>
      <c r="AC716" s="34">
        <v>9.6000000000000002E-2</v>
      </c>
      <c r="AD716" s="32">
        <v>0.92800000000000005</v>
      </c>
    </row>
    <row r="717" spans="1:30">
      <c r="A717">
        <v>715</v>
      </c>
      <c r="B717">
        <v>18</v>
      </c>
      <c r="C717">
        <v>0.74399999999999999</v>
      </c>
      <c r="D717">
        <v>2.29</v>
      </c>
      <c r="E717">
        <v>0</v>
      </c>
      <c r="F717">
        <v>1.2090000000000001</v>
      </c>
      <c r="G717">
        <v>0</v>
      </c>
      <c r="H717">
        <v>8.6999999999999994E-2</v>
      </c>
      <c r="I717">
        <v>0.97799999999999998</v>
      </c>
      <c r="K717">
        <v>715</v>
      </c>
      <c r="L717">
        <v>18</v>
      </c>
      <c r="M717" s="32">
        <v>0.74399999999999999</v>
      </c>
      <c r="N717" s="32">
        <v>2.29</v>
      </c>
      <c r="P717" s="47">
        <v>1.2110000000000001</v>
      </c>
      <c r="R717" s="47">
        <v>9.0999999999999998E-2</v>
      </c>
      <c r="S717" s="47">
        <v>0.90100000000000002</v>
      </c>
      <c r="T717" s="31">
        <v>0</v>
      </c>
      <c r="V717">
        <v>715</v>
      </c>
      <c r="W717">
        <v>18</v>
      </c>
      <c r="X717">
        <v>0.75600000000000001</v>
      </c>
      <c r="Y717" s="32">
        <v>2.29</v>
      </c>
      <c r="Z717">
        <v>0</v>
      </c>
      <c r="AA717" s="32">
        <v>1.228</v>
      </c>
      <c r="AB717">
        <v>0</v>
      </c>
      <c r="AC717" s="34">
        <v>9.6000000000000002E-2</v>
      </c>
      <c r="AD717" s="32">
        <v>0.92900000000000005</v>
      </c>
    </row>
    <row r="718" spans="1:30">
      <c r="A718">
        <v>716</v>
      </c>
      <c r="B718">
        <v>18</v>
      </c>
      <c r="C718">
        <v>0.745</v>
      </c>
      <c r="D718">
        <v>2.29</v>
      </c>
      <c r="E718">
        <v>0</v>
      </c>
      <c r="F718">
        <v>1.2090000000000001</v>
      </c>
      <c r="G718">
        <v>0</v>
      </c>
      <c r="H718">
        <v>8.6999999999999994E-2</v>
      </c>
      <c r="I718">
        <v>0.97899999999999998</v>
      </c>
      <c r="K718">
        <v>716</v>
      </c>
      <c r="L718">
        <v>18</v>
      </c>
      <c r="M718" s="32">
        <v>0.745</v>
      </c>
      <c r="N718" s="32">
        <v>2.29</v>
      </c>
      <c r="P718" s="47">
        <v>1.212</v>
      </c>
      <c r="R718" s="47">
        <v>9.0999999999999998E-2</v>
      </c>
      <c r="S718" s="47">
        <v>0.90300000000000002</v>
      </c>
      <c r="T718" s="31">
        <v>0</v>
      </c>
      <c r="V718">
        <v>716</v>
      </c>
      <c r="W718">
        <v>18</v>
      </c>
      <c r="X718">
        <v>0.75700000000000001</v>
      </c>
      <c r="Y718" s="32">
        <v>2.29</v>
      </c>
      <c r="Z718">
        <v>0</v>
      </c>
      <c r="AA718" s="32">
        <v>1.228</v>
      </c>
      <c r="AB718">
        <v>0</v>
      </c>
      <c r="AC718" s="34">
        <v>9.6000000000000002E-2</v>
      </c>
      <c r="AD718" s="32">
        <v>0.93</v>
      </c>
    </row>
    <row r="719" spans="1:30">
      <c r="A719">
        <v>717</v>
      </c>
      <c r="B719">
        <v>18</v>
      </c>
      <c r="C719">
        <v>0.746</v>
      </c>
      <c r="D719">
        <v>2.29</v>
      </c>
      <c r="E719">
        <v>0</v>
      </c>
      <c r="F719">
        <v>1.2090000000000001</v>
      </c>
      <c r="G719">
        <v>0</v>
      </c>
      <c r="H719">
        <v>8.6999999999999994E-2</v>
      </c>
      <c r="I719">
        <v>0.98099999999999998</v>
      </c>
      <c r="K719">
        <v>717</v>
      </c>
      <c r="L719">
        <v>18</v>
      </c>
      <c r="M719" s="32">
        <v>0.746</v>
      </c>
      <c r="N719" s="32">
        <v>2.29</v>
      </c>
      <c r="P719" s="47">
        <v>1.2130000000000001</v>
      </c>
      <c r="R719" s="47">
        <v>9.0999999999999998E-2</v>
      </c>
      <c r="S719" s="47">
        <v>0.90500000000000003</v>
      </c>
      <c r="T719" s="31">
        <v>0</v>
      </c>
      <c r="V719">
        <v>717</v>
      </c>
      <c r="W719">
        <v>18</v>
      </c>
      <c r="X719">
        <v>0.75800000000000001</v>
      </c>
      <c r="Y719" s="32">
        <v>2.29</v>
      </c>
      <c r="Z719">
        <v>0</v>
      </c>
      <c r="AA719" s="32">
        <v>1.2290000000000001</v>
      </c>
      <c r="AB719">
        <v>0</v>
      </c>
      <c r="AC719" s="34">
        <v>9.6000000000000002E-2</v>
      </c>
      <c r="AD719" s="32">
        <v>0.93200000000000005</v>
      </c>
    </row>
    <row r="720" spans="1:30">
      <c r="A720">
        <v>718</v>
      </c>
      <c r="B720">
        <v>18</v>
      </c>
      <c r="C720">
        <v>0.747</v>
      </c>
      <c r="D720">
        <v>2.29</v>
      </c>
      <c r="E720">
        <v>0</v>
      </c>
      <c r="F720">
        <v>1.2090000000000001</v>
      </c>
      <c r="G720">
        <v>0</v>
      </c>
      <c r="H720">
        <v>8.6999999999999994E-2</v>
      </c>
      <c r="I720">
        <v>0.98199999999999998</v>
      </c>
      <c r="K720">
        <v>718</v>
      </c>
      <c r="L720">
        <v>18</v>
      </c>
      <c r="M720" s="32">
        <v>0.747</v>
      </c>
      <c r="N720" s="32">
        <v>2.29</v>
      </c>
      <c r="P720" s="47">
        <v>1.2130000000000001</v>
      </c>
      <c r="R720" s="47">
        <v>9.0999999999999998E-2</v>
      </c>
      <c r="S720" s="47">
        <v>0.90600000000000003</v>
      </c>
      <c r="T720" s="31">
        <v>0</v>
      </c>
      <c r="V720">
        <v>718</v>
      </c>
      <c r="W720">
        <v>18</v>
      </c>
      <c r="X720">
        <v>0.75900000000000001</v>
      </c>
      <c r="Y720" s="32">
        <v>2.29</v>
      </c>
      <c r="Z720">
        <v>0</v>
      </c>
      <c r="AA720" s="32">
        <v>1.2290000000000001</v>
      </c>
      <c r="AB720">
        <v>0</v>
      </c>
      <c r="AC720" s="34">
        <v>9.6000000000000002E-2</v>
      </c>
      <c r="AD720" s="32">
        <v>0.93300000000000005</v>
      </c>
    </row>
    <row r="721" spans="1:30">
      <c r="A721">
        <v>719</v>
      </c>
      <c r="B721">
        <v>18</v>
      </c>
      <c r="C721">
        <v>0.748</v>
      </c>
      <c r="D721">
        <v>2.29</v>
      </c>
      <c r="E721">
        <v>0</v>
      </c>
      <c r="F721">
        <v>1.2090000000000001</v>
      </c>
      <c r="G721">
        <v>0</v>
      </c>
      <c r="H721">
        <v>8.6999999999999994E-2</v>
      </c>
      <c r="I721">
        <v>0.98299999999999998</v>
      </c>
      <c r="K721">
        <v>719</v>
      </c>
      <c r="L721">
        <v>18</v>
      </c>
      <c r="M721" s="32">
        <v>0.748</v>
      </c>
      <c r="N721" s="32">
        <v>2.29</v>
      </c>
      <c r="P721" s="47">
        <v>1.214</v>
      </c>
      <c r="R721" s="47">
        <v>9.0999999999999998E-2</v>
      </c>
      <c r="S721" s="47">
        <v>0.90800000000000003</v>
      </c>
      <c r="T721" s="31">
        <v>0</v>
      </c>
      <c r="V721">
        <v>719</v>
      </c>
      <c r="W721">
        <v>18</v>
      </c>
      <c r="X721">
        <v>0.76</v>
      </c>
      <c r="Y721" s="32">
        <v>2.29</v>
      </c>
      <c r="Z721">
        <v>0</v>
      </c>
      <c r="AA721" s="32">
        <v>1.2290000000000001</v>
      </c>
      <c r="AB721">
        <v>0</v>
      </c>
      <c r="AC721" s="34">
        <v>9.6000000000000002E-2</v>
      </c>
      <c r="AD721" s="32">
        <v>0.93500000000000005</v>
      </c>
    </row>
    <row r="722" spans="1:30">
      <c r="A722">
        <v>720</v>
      </c>
      <c r="B722">
        <v>18</v>
      </c>
      <c r="C722">
        <v>0.749</v>
      </c>
      <c r="D722">
        <v>2.29</v>
      </c>
      <c r="E722">
        <v>0</v>
      </c>
      <c r="F722">
        <v>1.2090000000000001</v>
      </c>
      <c r="G722">
        <v>0</v>
      </c>
      <c r="H722">
        <v>8.6999999999999994E-2</v>
      </c>
      <c r="I722">
        <v>0.98399999999999999</v>
      </c>
      <c r="K722">
        <v>720</v>
      </c>
      <c r="L722">
        <v>18</v>
      </c>
      <c r="M722" s="32">
        <v>0.749</v>
      </c>
      <c r="N722" s="32">
        <v>2.29</v>
      </c>
      <c r="P722" s="47">
        <v>1.214</v>
      </c>
      <c r="R722" s="47">
        <v>9.1999999999999998E-2</v>
      </c>
      <c r="S722" s="47">
        <v>0.90900000000000003</v>
      </c>
      <c r="T722" s="31">
        <v>0</v>
      </c>
      <c r="V722">
        <v>720</v>
      </c>
      <c r="W722">
        <v>18</v>
      </c>
      <c r="X722">
        <v>0.76100000000000001</v>
      </c>
      <c r="Y722" s="32">
        <v>2.29</v>
      </c>
      <c r="Z722">
        <v>0</v>
      </c>
      <c r="AA722" s="32">
        <v>1.2290000000000001</v>
      </c>
      <c r="AB722">
        <v>0</v>
      </c>
      <c r="AC722" s="34">
        <v>9.6000000000000002E-2</v>
      </c>
      <c r="AD722" s="32">
        <v>0.93600000000000005</v>
      </c>
    </row>
    <row r="723" spans="1:30">
      <c r="A723">
        <v>721</v>
      </c>
      <c r="B723">
        <v>19</v>
      </c>
      <c r="C723">
        <v>0.75</v>
      </c>
      <c r="D723">
        <v>2.29</v>
      </c>
      <c r="E723">
        <v>0</v>
      </c>
      <c r="F723">
        <v>1.2150000000000001</v>
      </c>
      <c r="G723">
        <v>0</v>
      </c>
      <c r="H723">
        <v>0.09</v>
      </c>
      <c r="I723">
        <v>0.91100000000000003</v>
      </c>
      <c r="K723">
        <v>721</v>
      </c>
      <c r="L723">
        <v>19</v>
      </c>
      <c r="M723" s="32">
        <v>0.75</v>
      </c>
      <c r="N723" s="32">
        <v>2.29</v>
      </c>
      <c r="P723" s="32">
        <v>1.2150000000000001</v>
      </c>
      <c r="R723" s="47">
        <v>9.1999999999999998E-2</v>
      </c>
      <c r="S723" s="32">
        <v>0.91100000000000003</v>
      </c>
      <c r="T723" s="31">
        <v>0</v>
      </c>
      <c r="V723">
        <v>721</v>
      </c>
      <c r="W723">
        <v>18</v>
      </c>
      <c r="X723">
        <v>0.76200000000000001</v>
      </c>
      <c r="Y723" s="32">
        <v>2.29</v>
      </c>
      <c r="Z723">
        <v>0</v>
      </c>
      <c r="AA723" s="32">
        <v>1.2290000000000001</v>
      </c>
      <c r="AB723">
        <v>0</v>
      </c>
      <c r="AC723" s="34">
        <v>9.6000000000000002E-2</v>
      </c>
      <c r="AD723" s="32">
        <v>0.93700000000000006</v>
      </c>
    </row>
    <row r="724" spans="1:30">
      <c r="A724">
        <v>722</v>
      </c>
      <c r="B724">
        <v>19</v>
      </c>
      <c r="C724">
        <v>0.751</v>
      </c>
      <c r="D724">
        <v>2.29</v>
      </c>
      <c r="E724">
        <v>0</v>
      </c>
      <c r="F724">
        <v>1.2150000000000001</v>
      </c>
      <c r="G724">
        <v>0</v>
      </c>
      <c r="H724">
        <v>0.09</v>
      </c>
      <c r="I724">
        <v>0.91400000000000003</v>
      </c>
      <c r="K724">
        <v>722</v>
      </c>
      <c r="L724">
        <v>19</v>
      </c>
      <c r="M724" s="32">
        <v>0.751</v>
      </c>
      <c r="N724" s="32">
        <v>2.29</v>
      </c>
      <c r="P724" s="47">
        <v>1.216</v>
      </c>
      <c r="R724" s="47">
        <v>9.1999999999999998E-2</v>
      </c>
      <c r="S724" s="47">
        <v>0.91300000000000003</v>
      </c>
      <c r="T724" s="31">
        <v>0</v>
      </c>
      <c r="V724">
        <v>722</v>
      </c>
      <c r="W724">
        <v>18</v>
      </c>
      <c r="X724">
        <v>0.76300000000000001</v>
      </c>
      <c r="Y724" s="32">
        <v>2.29</v>
      </c>
      <c r="Z724">
        <v>0</v>
      </c>
      <c r="AA724" s="32">
        <v>1.23</v>
      </c>
      <c r="AB724">
        <v>0</v>
      </c>
      <c r="AC724" s="34">
        <v>9.6000000000000002E-2</v>
      </c>
      <c r="AD724" s="32">
        <v>0.93899999999999995</v>
      </c>
    </row>
    <row r="725" spans="1:30">
      <c r="A725">
        <v>723</v>
      </c>
      <c r="B725">
        <v>19</v>
      </c>
      <c r="C725">
        <v>0.752</v>
      </c>
      <c r="D725">
        <v>2.29</v>
      </c>
      <c r="E725">
        <v>0</v>
      </c>
      <c r="F725">
        <v>1.2150000000000001</v>
      </c>
      <c r="G725">
        <v>0</v>
      </c>
      <c r="H725">
        <v>0.09</v>
      </c>
      <c r="I725">
        <v>0.91700000000000004</v>
      </c>
      <c r="K725">
        <v>723</v>
      </c>
      <c r="L725">
        <v>19</v>
      </c>
      <c r="M725" s="32">
        <v>0.752</v>
      </c>
      <c r="N725" s="32">
        <v>2.29</v>
      </c>
      <c r="P725" s="47">
        <v>1.216</v>
      </c>
      <c r="R725" s="47">
        <v>9.1999999999999998E-2</v>
      </c>
      <c r="S725" s="47">
        <v>0.91400000000000003</v>
      </c>
      <c r="T725" s="31">
        <v>0</v>
      </c>
      <c r="V725">
        <v>723</v>
      </c>
      <c r="W725">
        <v>18</v>
      </c>
      <c r="X725">
        <v>0.76400000000000001</v>
      </c>
      <c r="Y725" s="32">
        <v>2.29</v>
      </c>
      <c r="Z725">
        <v>0</v>
      </c>
      <c r="AA725" s="32">
        <v>1.23</v>
      </c>
      <c r="AB725">
        <v>0</v>
      </c>
      <c r="AC725" s="34">
        <v>9.6000000000000002E-2</v>
      </c>
      <c r="AD725" s="32">
        <v>0.94</v>
      </c>
    </row>
    <row r="726" spans="1:30">
      <c r="A726">
        <v>724</v>
      </c>
      <c r="B726">
        <v>19</v>
      </c>
      <c r="C726">
        <v>0.753</v>
      </c>
      <c r="D726">
        <v>2.29</v>
      </c>
      <c r="E726">
        <v>0</v>
      </c>
      <c r="F726">
        <v>1.2150000000000001</v>
      </c>
      <c r="G726">
        <v>0</v>
      </c>
      <c r="H726">
        <v>0.09</v>
      </c>
      <c r="I726">
        <v>0.92</v>
      </c>
      <c r="K726">
        <v>724</v>
      </c>
      <c r="L726">
        <v>19</v>
      </c>
      <c r="M726" s="32">
        <v>0.753</v>
      </c>
      <c r="N726" s="32">
        <v>2.29</v>
      </c>
      <c r="P726" s="47">
        <v>1.2170000000000001</v>
      </c>
      <c r="R726" s="47">
        <v>9.1999999999999998E-2</v>
      </c>
      <c r="S726" s="47">
        <v>0.91600000000000004</v>
      </c>
      <c r="T726" s="31">
        <v>0</v>
      </c>
      <c r="V726">
        <v>724</v>
      </c>
      <c r="W726">
        <v>18</v>
      </c>
      <c r="X726">
        <v>0.76500000000000001</v>
      </c>
      <c r="Y726" s="32">
        <v>2.29</v>
      </c>
      <c r="Z726">
        <v>0</v>
      </c>
      <c r="AA726" s="32">
        <v>1.23</v>
      </c>
      <c r="AB726">
        <v>0</v>
      </c>
      <c r="AC726" s="34">
        <v>9.6000000000000002E-2</v>
      </c>
      <c r="AD726" s="32">
        <v>0.94099999999999995</v>
      </c>
    </row>
    <row r="727" spans="1:30">
      <c r="A727">
        <v>725</v>
      </c>
      <c r="B727">
        <v>19</v>
      </c>
      <c r="C727">
        <v>0.754</v>
      </c>
      <c r="D727">
        <v>2.29</v>
      </c>
      <c r="E727">
        <v>0</v>
      </c>
      <c r="F727">
        <v>1.2150000000000001</v>
      </c>
      <c r="G727">
        <v>0</v>
      </c>
      <c r="H727">
        <v>0.09</v>
      </c>
      <c r="I727">
        <v>0.92400000000000004</v>
      </c>
      <c r="K727">
        <v>725</v>
      </c>
      <c r="L727">
        <v>19</v>
      </c>
      <c r="M727" s="32">
        <v>0.754</v>
      </c>
      <c r="N727" s="32">
        <v>2.29</v>
      </c>
      <c r="P727" s="47">
        <v>1.2170000000000001</v>
      </c>
      <c r="R727" s="47">
        <v>9.1999999999999998E-2</v>
      </c>
      <c r="S727" s="47">
        <v>0.91800000000000004</v>
      </c>
      <c r="T727" s="31">
        <v>0</v>
      </c>
      <c r="V727">
        <v>725</v>
      </c>
      <c r="W727">
        <v>18</v>
      </c>
      <c r="X727">
        <v>0.76600000000000001</v>
      </c>
      <c r="Y727" s="32">
        <v>2.29</v>
      </c>
      <c r="Z727">
        <v>0</v>
      </c>
      <c r="AA727" s="32">
        <v>1.23</v>
      </c>
      <c r="AB727">
        <v>0</v>
      </c>
      <c r="AC727" s="34">
        <v>9.6000000000000002E-2</v>
      </c>
      <c r="AD727" s="32">
        <v>0.94299999999999995</v>
      </c>
    </row>
    <row r="728" spans="1:30">
      <c r="A728">
        <v>726</v>
      </c>
      <c r="B728">
        <v>19</v>
      </c>
      <c r="C728">
        <v>0.755</v>
      </c>
      <c r="D728">
        <v>2.29</v>
      </c>
      <c r="E728">
        <v>0</v>
      </c>
      <c r="F728">
        <v>1.2150000000000001</v>
      </c>
      <c r="G728">
        <v>0</v>
      </c>
      <c r="H728">
        <v>0.09</v>
      </c>
      <c r="I728">
        <v>0.92700000000000005</v>
      </c>
      <c r="K728">
        <v>726</v>
      </c>
      <c r="L728">
        <v>19</v>
      </c>
      <c r="M728" s="32">
        <v>0.755</v>
      </c>
      <c r="N728" s="32">
        <v>2.29</v>
      </c>
      <c r="P728" s="47">
        <v>1.218</v>
      </c>
      <c r="R728" s="47">
        <v>9.1999999999999998E-2</v>
      </c>
      <c r="S728" s="47">
        <v>0.92</v>
      </c>
      <c r="T728" s="31">
        <v>0</v>
      </c>
      <c r="V728">
        <v>726</v>
      </c>
      <c r="W728">
        <v>18</v>
      </c>
      <c r="X728">
        <v>0.76700000000000002</v>
      </c>
      <c r="Y728" s="32">
        <v>2.29</v>
      </c>
      <c r="Z728">
        <v>0</v>
      </c>
      <c r="AA728" s="32">
        <v>1.23</v>
      </c>
      <c r="AB728">
        <v>0</v>
      </c>
      <c r="AC728" s="34">
        <v>9.6000000000000002E-2</v>
      </c>
      <c r="AD728" s="32">
        <v>0.94399999999999995</v>
      </c>
    </row>
    <row r="729" spans="1:30">
      <c r="A729">
        <v>727</v>
      </c>
      <c r="B729">
        <v>19</v>
      </c>
      <c r="C729">
        <v>0.75600000000000001</v>
      </c>
      <c r="D729">
        <v>2.29</v>
      </c>
      <c r="E729">
        <v>0</v>
      </c>
      <c r="F729">
        <v>1.2150000000000001</v>
      </c>
      <c r="G729">
        <v>0</v>
      </c>
      <c r="H729">
        <v>0.09</v>
      </c>
      <c r="I729">
        <v>0.93</v>
      </c>
      <c r="K729">
        <v>727</v>
      </c>
      <c r="L729">
        <v>19</v>
      </c>
      <c r="M729" s="32">
        <v>0.75600000000000001</v>
      </c>
      <c r="N729" s="32">
        <v>2.29</v>
      </c>
      <c r="P729" s="47">
        <v>1.218</v>
      </c>
      <c r="R729" s="47">
        <v>9.1999999999999998E-2</v>
      </c>
      <c r="S729" s="47">
        <v>0.92100000000000004</v>
      </c>
      <c r="T729" s="31">
        <v>0</v>
      </c>
      <c r="V729">
        <v>727</v>
      </c>
      <c r="W729">
        <v>18</v>
      </c>
      <c r="X729">
        <v>0.76800000000000002</v>
      </c>
      <c r="Y729" s="32">
        <v>2.29</v>
      </c>
      <c r="Z729">
        <v>0</v>
      </c>
      <c r="AA729" s="32">
        <v>1.2310000000000001</v>
      </c>
      <c r="AB729">
        <v>0</v>
      </c>
      <c r="AC729" s="34">
        <v>9.6000000000000002E-2</v>
      </c>
      <c r="AD729" s="32">
        <v>0.94599999999999995</v>
      </c>
    </row>
    <row r="730" spans="1:30">
      <c r="A730">
        <v>728</v>
      </c>
      <c r="B730">
        <v>19</v>
      </c>
      <c r="C730">
        <v>0.75700000000000001</v>
      </c>
      <c r="D730">
        <v>2.29</v>
      </c>
      <c r="E730">
        <v>0</v>
      </c>
      <c r="F730">
        <v>1.2150000000000001</v>
      </c>
      <c r="G730">
        <v>0</v>
      </c>
      <c r="H730">
        <v>0.09</v>
      </c>
      <c r="I730">
        <v>0.93300000000000005</v>
      </c>
      <c r="K730">
        <v>728</v>
      </c>
      <c r="L730">
        <v>19</v>
      </c>
      <c r="M730" s="32">
        <v>0.75700000000000001</v>
      </c>
      <c r="N730" s="32">
        <v>2.29</v>
      </c>
      <c r="P730" s="47">
        <v>1.2190000000000001</v>
      </c>
      <c r="R730" s="47">
        <v>9.1999999999999998E-2</v>
      </c>
      <c r="S730" s="47">
        <v>0.92300000000000004</v>
      </c>
      <c r="T730" s="31">
        <v>0</v>
      </c>
      <c r="V730">
        <v>728</v>
      </c>
      <c r="W730">
        <v>18</v>
      </c>
      <c r="X730">
        <v>0.76900000000000002</v>
      </c>
      <c r="Y730" s="32">
        <v>2.29</v>
      </c>
      <c r="Z730">
        <v>0</v>
      </c>
      <c r="AA730" s="32">
        <v>1.2310000000000001</v>
      </c>
      <c r="AB730">
        <v>0</v>
      </c>
      <c r="AC730" s="34">
        <v>9.7000000000000003E-2</v>
      </c>
      <c r="AD730" s="32">
        <v>0.94699999999999995</v>
      </c>
    </row>
    <row r="731" spans="1:30">
      <c r="A731">
        <v>729</v>
      </c>
      <c r="B731">
        <v>19</v>
      </c>
      <c r="C731">
        <v>0.75800000000000001</v>
      </c>
      <c r="D731">
        <v>2.29</v>
      </c>
      <c r="E731">
        <v>0</v>
      </c>
      <c r="F731">
        <v>1.2150000000000001</v>
      </c>
      <c r="G731">
        <v>0</v>
      </c>
      <c r="H731">
        <v>0.09</v>
      </c>
      <c r="I731">
        <v>0.93600000000000005</v>
      </c>
      <c r="K731">
        <v>729</v>
      </c>
      <c r="L731">
        <v>19</v>
      </c>
      <c r="M731" s="32">
        <v>0.75800000000000001</v>
      </c>
      <c r="N731" s="32">
        <v>2.29</v>
      </c>
      <c r="P731" s="47">
        <v>1.2190000000000001</v>
      </c>
      <c r="R731" s="47">
        <v>9.1999999999999998E-2</v>
      </c>
      <c r="S731" s="47">
        <v>0.92500000000000004</v>
      </c>
      <c r="T731" s="31">
        <v>0</v>
      </c>
      <c r="V731">
        <v>729</v>
      </c>
      <c r="W731">
        <v>18</v>
      </c>
      <c r="X731">
        <v>0.77</v>
      </c>
      <c r="Y731" s="32">
        <v>2.29</v>
      </c>
      <c r="Z731">
        <v>0</v>
      </c>
      <c r="AA731" s="32">
        <v>1.2310000000000001</v>
      </c>
      <c r="AB731">
        <v>0</v>
      </c>
      <c r="AC731" s="34">
        <v>9.7000000000000003E-2</v>
      </c>
      <c r="AD731" s="32">
        <v>0.94799999999999995</v>
      </c>
    </row>
    <row r="732" spans="1:30">
      <c r="A732">
        <v>730</v>
      </c>
      <c r="B732">
        <v>19</v>
      </c>
      <c r="C732">
        <v>0.75900000000000001</v>
      </c>
      <c r="D732">
        <v>2.29</v>
      </c>
      <c r="E732">
        <v>0</v>
      </c>
      <c r="F732">
        <v>1.2150000000000001</v>
      </c>
      <c r="G732">
        <v>0</v>
      </c>
      <c r="H732">
        <v>0.09</v>
      </c>
      <c r="I732">
        <v>0.93899999999999995</v>
      </c>
      <c r="K732">
        <v>730</v>
      </c>
      <c r="L732">
        <v>19</v>
      </c>
      <c r="M732" s="32">
        <v>0.75900000000000001</v>
      </c>
      <c r="N732" s="32">
        <v>2.29</v>
      </c>
      <c r="P732" s="47">
        <v>1.22</v>
      </c>
      <c r="R732" s="47">
        <v>9.1999999999999998E-2</v>
      </c>
      <c r="S732" s="47">
        <v>0.92600000000000005</v>
      </c>
      <c r="T732" s="31">
        <v>0</v>
      </c>
      <c r="V732">
        <v>730</v>
      </c>
      <c r="W732">
        <v>18</v>
      </c>
      <c r="X732">
        <v>0.77100000000000002</v>
      </c>
      <c r="Y732" s="32">
        <v>2.2999999999999998</v>
      </c>
      <c r="Z732">
        <v>0</v>
      </c>
      <c r="AA732" s="32">
        <v>1.2310000000000001</v>
      </c>
      <c r="AB732">
        <v>0</v>
      </c>
      <c r="AC732" s="34">
        <v>9.7000000000000003E-2</v>
      </c>
      <c r="AD732" s="32">
        <v>0.95</v>
      </c>
    </row>
    <row r="733" spans="1:30">
      <c r="A733">
        <v>731</v>
      </c>
      <c r="B733">
        <v>19</v>
      </c>
      <c r="C733">
        <v>0.76</v>
      </c>
      <c r="D733">
        <v>2.29</v>
      </c>
      <c r="E733">
        <v>0</v>
      </c>
      <c r="F733">
        <v>1.22</v>
      </c>
      <c r="G733">
        <v>0</v>
      </c>
      <c r="H733">
        <v>0.09</v>
      </c>
      <c r="I733">
        <v>0.92800000000000005</v>
      </c>
      <c r="K733">
        <v>731</v>
      </c>
      <c r="L733">
        <v>19</v>
      </c>
      <c r="M733" s="32">
        <v>0.76</v>
      </c>
      <c r="N733" s="32">
        <v>2.29</v>
      </c>
      <c r="P733" s="32">
        <v>1.22</v>
      </c>
      <c r="R733" s="47">
        <v>9.1999999999999998E-2</v>
      </c>
      <c r="S733" s="32">
        <v>0.92800000000000005</v>
      </c>
      <c r="T733" s="31">
        <v>0</v>
      </c>
      <c r="V733">
        <v>731</v>
      </c>
      <c r="W733">
        <v>18</v>
      </c>
      <c r="X733">
        <v>0.77200000000000002</v>
      </c>
      <c r="Y733" s="32">
        <v>2.31</v>
      </c>
      <c r="Z733">
        <v>0</v>
      </c>
      <c r="AA733" s="32">
        <v>1.2310000000000001</v>
      </c>
      <c r="AB733">
        <v>0</v>
      </c>
      <c r="AC733" s="34">
        <v>9.7000000000000003E-2</v>
      </c>
      <c r="AD733" s="32">
        <v>0.95099999999999996</v>
      </c>
    </row>
    <row r="734" spans="1:30">
      <c r="A734">
        <v>732</v>
      </c>
      <c r="B734">
        <v>19</v>
      </c>
      <c r="C734">
        <v>0.76100000000000001</v>
      </c>
      <c r="D734">
        <v>2.29</v>
      </c>
      <c r="E734">
        <v>0</v>
      </c>
      <c r="F734">
        <v>1.22</v>
      </c>
      <c r="G734">
        <v>0</v>
      </c>
      <c r="H734">
        <v>0.09</v>
      </c>
      <c r="I734">
        <v>0.96199999999999997</v>
      </c>
      <c r="K734">
        <v>732</v>
      </c>
      <c r="L734">
        <v>19</v>
      </c>
      <c r="M734" s="32">
        <v>0.76100000000000001</v>
      </c>
      <c r="N734" s="32">
        <v>2.29</v>
      </c>
      <c r="P734" s="47">
        <v>1.2210000000000001</v>
      </c>
      <c r="R734" s="47">
        <v>9.1999999999999998E-2</v>
      </c>
      <c r="S734" s="47">
        <v>0.93</v>
      </c>
      <c r="T734" s="31">
        <v>0</v>
      </c>
      <c r="V734">
        <v>732</v>
      </c>
      <c r="W734">
        <v>18</v>
      </c>
      <c r="X734">
        <v>0.77300000000000002</v>
      </c>
      <c r="Y734" s="32">
        <v>2.3199999999999998</v>
      </c>
      <c r="Z734">
        <v>0</v>
      </c>
      <c r="AA734" s="32">
        <v>1.232</v>
      </c>
      <c r="AB734">
        <v>0</v>
      </c>
      <c r="AC734" s="34">
        <v>9.7000000000000003E-2</v>
      </c>
      <c r="AD734" s="32">
        <v>0.95299999999999996</v>
      </c>
    </row>
    <row r="735" spans="1:30">
      <c r="A735">
        <v>733</v>
      </c>
      <c r="B735">
        <v>19</v>
      </c>
      <c r="C735">
        <v>0.76200000000000001</v>
      </c>
      <c r="D735">
        <v>2.29</v>
      </c>
      <c r="E735">
        <v>0</v>
      </c>
      <c r="F735">
        <v>1.22</v>
      </c>
      <c r="G735">
        <v>0</v>
      </c>
      <c r="H735">
        <v>0.09</v>
      </c>
      <c r="I735">
        <v>0.96599999999999997</v>
      </c>
      <c r="K735">
        <v>733</v>
      </c>
      <c r="L735">
        <v>19</v>
      </c>
      <c r="M735" s="32">
        <v>0.76200000000000001</v>
      </c>
      <c r="N735" s="32">
        <v>2.29</v>
      </c>
      <c r="P735" s="47">
        <v>1.2210000000000001</v>
      </c>
      <c r="R735" s="47">
        <v>9.2999999999999999E-2</v>
      </c>
      <c r="S735" s="47">
        <v>0.93100000000000005</v>
      </c>
      <c r="T735" s="31">
        <v>0</v>
      </c>
      <c r="V735">
        <v>733</v>
      </c>
      <c r="W735">
        <v>18</v>
      </c>
      <c r="X735">
        <v>0.77400000000000002</v>
      </c>
      <c r="Y735" s="32">
        <v>2.33</v>
      </c>
      <c r="Z735">
        <v>0</v>
      </c>
      <c r="AA735" s="32">
        <v>1.232</v>
      </c>
      <c r="AB735">
        <v>0</v>
      </c>
      <c r="AC735" s="34">
        <v>9.7000000000000003E-2</v>
      </c>
      <c r="AD735" s="32">
        <v>0.95399999999999996</v>
      </c>
    </row>
    <row r="736" spans="1:30">
      <c r="A736">
        <v>734</v>
      </c>
      <c r="B736">
        <v>19</v>
      </c>
      <c r="C736">
        <v>0.76300000000000001</v>
      </c>
      <c r="D736">
        <v>2.29</v>
      </c>
      <c r="E736">
        <v>0</v>
      </c>
      <c r="F736">
        <v>1.22</v>
      </c>
      <c r="G736">
        <v>0</v>
      </c>
      <c r="H736">
        <v>0.09</v>
      </c>
      <c r="I736">
        <v>0.96899999999999997</v>
      </c>
      <c r="K736">
        <v>734</v>
      </c>
      <c r="L736">
        <v>19</v>
      </c>
      <c r="M736" s="32">
        <v>0.76300000000000001</v>
      </c>
      <c r="N736" s="32">
        <v>2.29</v>
      </c>
      <c r="P736" s="47">
        <v>1.222</v>
      </c>
      <c r="R736" s="47">
        <v>9.2999999999999999E-2</v>
      </c>
      <c r="S736" s="47">
        <v>0.93300000000000005</v>
      </c>
      <c r="T736" s="31">
        <v>0</v>
      </c>
      <c r="V736">
        <v>734</v>
      </c>
      <c r="W736">
        <v>18</v>
      </c>
      <c r="X736">
        <v>0.77500000000000002</v>
      </c>
      <c r="Y736" s="32">
        <v>2.34</v>
      </c>
      <c r="Z736">
        <v>0</v>
      </c>
      <c r="AA736" s="32">
        <v>1.232</v>
      </c>
      <c r="AB736">
        <v>0</v>
      </c>
      <c r="AC736" s="34">
        <v>9.7000000000000003E-2</v>
      </c>
      <c r="AD736" s="32">
        <v>0.95499999999999996</v>
      </c>
    </row>
    <row r="737" spans="1:30">
      <c r="A737">
        <v>735</v>
      </c>
      <c r="B737">
        <v>19</v>
      </c>
      <c r="C737">
        <v>0.76400000000000001</v>
      </c>
      <c r="D737">
        <v>2.29</v>
      </c>
      <c r="E737">
        <v>0</v>
      </c>
      <c r="F737">
        <v>1.22</v>
      </c>
      <c r="G737">
        <v>0</v>
      </c>
      <c r="H737">
        <v>0.09</v>
      </c>
      <c r="I737">
        <v>0.97199999999999998</v>
      </c>
      <c r="K737">
        <v>735</v>
      </c>
      <c r="L737">
        <v>19</v>
      </c>
      <c r="M737" s="32">
        <v>0.76400000000000001</v>
      </c>
      <c r="N737" s="32">
        <v>2.29</v>
      </c>
      <c r="P737" s="47">
        <v>1.222</v>
      </c>
      <c r="R737" s="47">
        <v>9.2999999999999999E-2</v>
      </c>
      <c r="S737" s="47">
        <v>0.93400000000000005</v>
      </c>
      <c r="T737" s="31">
        <v>0</v>
      </c>
      <c r="V737">
        <v>735</v>
      </c>
      <c r="W737">
        <v>18</v>
      </c>
      <c r="X737">
        <v>0.77600000000000002</v>
      </c>
      <c r="Y737" s="32">
        <v>2.35</v>
      </c>
      <c r="Z737">
        <v>0</v>
      </c>
      <c r="AA737" s="32">
        <v>1.232</v>
      </c>
      <c r="AB737">
        <v>0</v>
      </c>
      <c r="AC737" s="34">
        <v>9.7000000000000003E-2</v>
      </c>
      <c r="AD737" s="32">
        <v>0.95699999999999996</v>
      </c>
    </row>
    <row r="738" spans="1:30">
      <c r="A738">
        <v>736</v>
      </c>
      <c r="B738">
        <v>19</v>
      </c>
      <c r="C738">
        <v>0.76500000000000001</v>
      </c>
      <c r="D738">
        <v>2.29</v>
      </c>
      <c r="E738">
        <v>0</v>
      </c>
      <c r="F738">
        <v>1.22</v>
      </c>
      <c r="G738">
        <v>0</v>
      </c>
      <c r="H738">
        <v>0.09</v>
      </c>
      <c r="I738">
        <v>0.97499999999999998</v>
      </c>
      <c r="K738">
        <v>736</v>
      </c>
      <c r="L738">
        <v>19</v>
      </c>
      <c r="M738" s="32">
        <v>0.76500000000000001</v>
      </c>
      <c r="N738" s="32">
        <v>2.29</v>
      </c>
      <c r="P738" s="47">
        <v>1.2230000000000001</v>
      </c>
      <c r="R738" s="47">
        <v>9.2999999999999999E-2</v>
      </c>
      <c r="S738" s="47">
        <v>0.93600000000000005</v>
      </c>
      <c r="T738" s="31">
        <v>0</v>
      </c>
      <c r="V738">
        <v>736</v>
      </c>
      <c r="W738">
        <v>18</v>
      </c>
      <c r="X738">
        <v>0.77700000000000002</v>
      </c>
      <c r="Y738" s="32">
        <v>2.36</v>
      </c>
      <c r="Z738">
        <v>0</v>
      </c>
      <c r="AA738" s="32">
        <v>1.232</v>
      </c>
      <c r="AB738">
        <v>0</v>
      </c>
      <c r="AC738" s="34">
        <v>9.7000000000000003E-2</v>
      </c>
      <c r="AD738" s="32">
        <v>0.95799999999999996</v>
      </c>
    </row>
    <row r="739" spans="1:30">
      <c r="A739">
        <v>737</v>
      </c>
      <c r="B739">
        <v>19</v>
      </c>
      <c r="C739">
        <v>0.76600000000000001</v>
      </c>
      <c r="D739">
        <v>2.29</v>
      </c>
      <c r="E739">
        <v>0</v>
      </c>
      <c r="F739">
        <v>1.22</v>
      </c>
      <c r="G739">
        <v>0</v>
      </c>
      <c r="H739">
        <v>0.09</v>
      </c>
      <c r="I739">
        <v>0.97799999999999998</v>
      </c>
      <c r="K739">
        <v>737</v>
      </c>
      <c r="L739">
        <v>19</v>
      </c>
      <c r="M739" s="32">
        <v>0.76600000000000001</v>
      </c>
      <c r="N739" s="32">
        <v>2.29</v>
      </c>
      <c r="P739" s="47">
        <v>1.224</v>
      </c>
      <c r="R739" s="47">
        <v>9.2999999999999999E-2</v>
      </c>
      <c r="S739" s="47">
        <v>0.93799999999999994</v>
      </c>
      <c r="T739" s="31">
        <v>0</v>
      </c>
      <c r="V739">
        <v>737</v>
      </c>
      <c r="W739">
        <v>18</v>
      </c>
      <c r="X739">
        <v>0.77800000000000002</v>
      </c>
      <c r="Y739" s="32">
        <v>2.37</v>
      </c>
      <c r="Z739">
        <v>0</v>
      </c>
      <c r="AA739" s="32">
        <v>1.2330000000000001</v>
      </c>
      <c r="AB739">
        <v>0</v>
      </c>
      <c r="AC739" s="34">
        <v>9.7000000000000003E-2</v>
      </c>
      <c r="AD739" s="32">
        <v>0.95899999999999996</v>
      </c>
    </row>
    <row r="740" spans="1:30">
      <c r="A740">
        <v>738</v>
      </c>
      <c r="B740">
        <v>19</v>
      </c>
      <c r="C740">
        <v>0.76700000000000002</v>
      </c>
      <c r="D740">
        <v>2.29</v>
      </c>
      <c r="E740">
        <v>0</v>
      </c>
      <c r="F740">
        <v>1.22</v>
      </c>
      <c r="G740">
        <v>0</v>
      </c>
      <c r="H740">
        <v>0.09</v>
      </c>
      <c r="I740">
        <v>0.98099999999999998</v>
      </c>
      <c r="K740">
        <v>738</v>
      </c>
      <c r="L740">
        <v>19</v>
      </c>
      <c r="M740" s="32">
        <v>0.76700000000000002</v>
      </c>
      <c r="N740" s="32">
        <v>2.29</v>
      </c>
      <c r="P740" s="47">
        <v>1.224</v>
      </c>
      <c r="R740" s="47">
        <v>9.2999999999999999E-2</v>
      </c>
      <c r="S740" s="47">
        <v>0.93899999999999995</v>
      </c>
      <c r="T740" s="31">
        <v>0</v>
      </c>
      <c r="V740">
        <v>738</v>
      </c>
      <c r="W740">
        <v>18</v>
      </c>
      <c r="X740">
        <v>0.77900000000000003</v>
      </c>
      <c r="Y740" s="32">
        <v>2.38</v>
      </c>
      <c r="Z740">
        <v>0</v>
      </c>
      <c r="AA740" s="32">
        <v>1.2330000000000001</v>
      </c>
      <c r="AB740">
        <v>0</v>
      </c>
      <c r="AC740" s="34">
        <v>9.7000000000000003E-2</v>
      </c>
      <c r="AD740" s="32">
        <v>0.96099999999999997</v>
      </c>
    </row>
    <row r="741" spans="1:30">
      <c r="A741">
        <v>739</v>
      </c>
      <c r="B741">
        <v>19</v>
      </c>
      <c r="C741">
        <v>0.76800000000000002</v>
      </c>
      <c r="D741">
        <v>2.29</v>
      </c>
      <c r="E741">
        <v>0</v>
      </c>
      <c r="F741">
        <v>1.22</v>
      </c>
      <c r="G741">
        <v>0</v>
      </c>
      <c r="H741">
        <v>0.09</v>
      </c>
      <c r="I741">
        <v>0.98399999999999999</v>
      </c>
      <c r="K741">
        <v>739</v>
      </c>
      <c r="L741">
        <v>19</v>
      </c>
      <c r="M741" s="32">
        <v>0.76800000000000002</v>
      </c>
      <c r="N741" s="32">
        <v>2.29</v>
      </c>
      <c r="P741" s="47">
        <v>1.2250000000000001</v>
      </c>
      <c r="R741" s="47">
        <v>9.2999999999999999E-2</v>
      </c>
      <c r="S741" s="47">
        <v>0.94099999999999995</v>
      </c>
      <c r="T741" s="31">
        <v>0</v>
      </c>
      <c r="V741">
        <v>739</v>
      </c>
      <c r="W741">
        <v>18</v>
      </c>
      <c r="X741">
        <v>0.78</v>
      </c>
      <c r="Y741" s="32">
        <v>2.39</v>
      </c>
      <c r="Z741">
        <v>0</v>
      </c>
      <c r="AA741" s="32">
        <v>1.2330000000000001</v>
      </c>
      <c r="AB741">
        <v>0</v>
      </c>
      <c r="AC741" s="34">
        <v>9.7000000000000003E-2</v>
      </c>
      <c r="AD741" s="32">
        <v>0.96199999999999997</v>
      </c>
    </row>
    <row r="742" spans="1:30">
      <c r="A742">
        <v>740</v>
      </c>
      <c r="B742">
        <v>19</v>
      </c>
      <c r="C742">
        <v>0.76900000000000002</v>
      </c>
      <c r="D742">
        <v>2.29</v>
      </c>
      <c r="E742">
        <v>0</v>
      </c>
      <c r="F742">
        <v>1.22</v>
      </c>
      <c r="G742">
        <v>0</v>
      </c>
      <c r="H742">
        <v>0.09</v>
      </c>
      <c r="I742">
        <v>0.98799999999999999</v>
      </c>
      <c r="K742">
        <v>740</v>
      </c>
      <c r="L742">
        <v>19</v>
      </c>
      <c r="M742" s="32">
        <v>0.76900000000000002</v>
      </c>
      <c r="N742" s="32">
        <v>2.29</v>
      </c>
      <c r="P742" s="47">
        <v>1.2250000000000001</v>
      </c>
      <c r="R742" s="47">
        <v>9.2999999999999999E-2</v>
      </c>
      <c r="S742" s="47">
        <v>0.94199999999999995</v>
      </c>
      <c r="T742" s="31">
        <v>0</v>
      </c>
      <c r="V742">
        <v>740</v>
      </c>
      <c r="W742">
        <v>18</v>
      </c>
      <c r="X742">
        <v>0.78100000000000003</v>
      </c>
      <c r="Y742" s="32">
        <v>2.39</v>
      </c>
      <c r="Z742">
        <v>0</v>
      </c>
      <c r="AA742" s="32">
        <v>1.2330000000000001</v>
      </c>
      <c r="AB742">
        <v>0</v>
      </c>
      <c r="AC742" s="34">
        <v>9.7000000000000003E-2</v>
      </c>
      <c r="AD742" s="32">
        <v>0.96399999999999997</v>
      </c>
    </row>
    <row r="743" spans="1:30">
      <c r="A743">
        <v>741</v>
      </c>
      <c r="B743">
        <v>19</v>
      </c>
      <c r="C743">
        <v>0.77</v>
      </c>
      <c r="D743">
        <v>2.29</v>
      </c>
      <c r="E743">
        <v>0</v>
      </c>
      <c r="F743">
        <v>1.226</v>
      </c>
      <c r="G743">
        <v>0</v>
      </c>
      <c r="H743">
        <v>0.09</v>
      </c>
      <c r="I743">
        <v>0.94399999999999995</v>
      </c>
      <c r="K743">
        <v>741</v>
      </c>
      <c r="L743">
        <v>19</v>
      </c>
      <c r="M743" s="32">
        <v>0.77</v>
      </c>
      <c r="N743" s="32">
        <v>2.29</v>
      </c>
      <c r="P743" s="32">
        <v>1.226</v>
      </c>
      <c r="R743" s="47">
        <v>9.2999999999999999E-2</v>
      </c>
      <c r="S743" s="32">
        <v>0.94399999999999995</v>
      </c>
      <c r="T743" s="31">
        <v>0</v>
      </c>
      <c r="V743">
        <v>741</v>
      </c>
      <c r="W743">
        <v>18</v>
      </c>
      <c r="X743">
        <v>0.78200000000000003</v>
      </c>
      <c r="Y743" s="32">
        <v>2.39</v>
      </c>
      <c r="Z743">
        <v>0</v>
      </c>
      <c r="AA743" s="32">
        <v>1.2330000000000001</v>
      </c>
      <c r="AB743">
        <v>0</v>
      </c>
      <c r="AC743" s="34">
        <v>9.7000000000000003E-2</v>
      </c>
      <c r="AD743" s="32">
        <v>0.96499999999999997</v>
      </c>
    </row>
    <row r="744" spans="1:30">
      <c r="A744">
        <v>742</v>
      </c>
      <c r="B744">
        <v>19</v>
      </c>
      <c r="C744">
        <v>0.77100000000000002</v>
      </c>
      <c r="D744">
        <v>2.29</v>
      </c>
      <c r="E744">
        <v>0</v>
      </c>
      <c r="F744">
        <v>1.226</v>
      </c>
      <c r="G744">
        <v>0</v>
      </c>
      <c r="H744">
        <v>0.09</v>
      </c>
      <c r="I744">
        <v>1.01</v>
      </c>
      <c r="K744">
        <v>742</v>
      </c>
      <c r="L744">
        <v>19</v>
      </c>
      <c r="M744" s="32">
        <v>0.77100000000000002</v>
      </c>
      <c r="N744" s="47">
        <v>2.2999999999999998</v>
      </c>
      <c r="P744" s="47">
        <v>1.2270000000000001</v>
      </c>
      <c r="R744" s="47">
        <v>9.2999999999999999E-2</v>
      </c>
      <c r="S744" s="47">
        <v>0.94599999999999995</v>
      </c>
      <c r="T744" s="31">
        <v>0</v>
      </c>
      <c r="V744">
        <v>742</v>
      </c>
      <c r="W744">
        <v>18</v>
      </c>
      <c r="X744">
        <v>0.78300000000000003</v>
      </c>
      <c r="Y744" s="32">
        <v>2.39</v>
      </c>
      <c r="Z744">
        <v>0</v>
      </c>
      <c r="AA744" s="32">
        <v>1.234</v>
      </c>
      <c r="AB744">
        <v>0</v>
      </c>
      <c r="AC744" s="34">
        <v>9.8000000000000004E-2</v>
      </c>
      <c r="AD744" s="32">
        <v>0.96599999999999997</v>
      </c>
    </row>
    <row r="745" spans="1:30">
      <c r="A745">
        <v>743</v>
      </c>
      <c r="B745">
        <v>19</v>
      </c>
      <c r="C745">
        <v>0.77200000000000002</v>
      </c>
      <c r="D745">
        <v>2.29</v>
      </c>
      <c r="E745">
        <v>0</v>
      </c>
      <c r="F745">
        <v>1.226</v>
      </c>
      <c r="G745">
        <v>0</v>
      </c>
      <c r="H745">
        <v>0.09</v>
      </c>
      <c r="I745">
        <v>1.0129999999999999</v>
      </c>
      <c r="K745">
        <v>743</v>
      </c>
      <c r="L745">
        <v>19</v>
      </c>
      <c r="M745" s="32">
        <v>0.77200000000000002</v>
      </c>
      <c r="N745" s="47">
        <v>2.31</v>
      </c>
      <c r="P745" s="47">
        <v>1.2270000000000001</v>
      </c>
      <c r="R745" s="47">
        <v>9.2999999999999999E-2</v>
      </c>
      <c r="S745" s="47">
        <v>0.94799999999999995</v>
      </c>
      <c r="T745" s="31">
        <v>0</v>
      </c>
      <c r="V745">
        <v>743</v>
      </c>
      <c r="W745">
        <v>18</v>
      </c>
      <c r="X745">
        <v>0.78400000000000003</v>
      </c>
      <c r="Y745" s="32">
        <v>2.39</v>
      </c>
      <c r="Z745">
        <v>0</v>
      </c>
      <c r="AA745" s="32">
        <v>1.234</v>
      </c>
      <c r="AB745">
        <v>0</v>
      </c>
      <c r="AC745" s="34">
        <v>9.8000000000000004E-2</v>
      </c>
      <c r="AD745" s="32">
        <v>0.96799999999999997</v>
      </c>
    </row>
    <row r="746" spans="1:30">
      <c r="A746">
        <v>744</v>
      </c>
      <c r="B746">
        <v>19</v>
      </c>
      <c r="C746">
        <v>0.77300000000000002</v>
      </c>
      <c r="D746">
        <v>2.29</v>
      </c>
      <c r="E746">
        <v>0</v>
      </c>
      <c r="F746">
        <v>1.226</v>
      </c>
      <c r="G746">
        <v>0</v>
      </c>
      <c r="H746">
        <v>0.09</v>
      </c>
      <c r="I746">
        <v>1.016</v>
      </c>
      <c r="K746">
        <v>744</v>
      </c>
      <c r="L746">
        <v>19</v>
      </c>
      <c r="M746" s="32">
        <v>0.77300000000000002</v>
      </c>
      <c r="N746" s="47">
        <v>2.3199999999999998</v>
      </c>
      <c r="P746" s="47">
        <v>1.228</v>
      </c>
      <c r="R746" s="47">
        <v>9.2999999999999999E-2</v>
      </c>
      <c r="S746" s="47">
        <v>0.95099999999999996</v>
      </c>
      <c r="T746" s="31">
        <v>0</v>
      </c>
      <c r="V746">
        <v>744</v>
      </c>
      <c r="W746">
        <v>18</v>
      </c>
      <c r="X746">
        <v>0.78500000000000003</v>
      </c>
      <c r="Y746" s="32">
        <v>2.39</v>
      </c>
      <c r="Z746">
        <v>0</v>
      </c>
      <c r="AA746" s="32">
        <v>1.234</v>
      </c>
      <c r="AB746">
        <v>0</v>
      </c>
      <c r="AC746" s="34">
        <v>9.8000000000000004E-2</v>
      </c>
      <c r="AD746" s="32">
        <v>0.96899999999999997</v>
      </c>
    </row>
    <row r="747" spans="1:30">
      <c r="A747">
        <v>745</v>
      </c>
      <c r="B747">
        <v>19</v>
      </c>
      <c r="C747">
        <v>0.77400000000000002</v>
      </c>
      <c r="D747">
        <v>2.29</v>
      </c>
      <c r="E747">
        <v>0</v>
      </c>
      <c r="F747">
        <v>1.226</v>
      </c>
      <c r="G747">
        <v>0</v>
      </c>
      <c r="H747">
        <v>0.09</v>
      </c>
      <c r="I747">
        <v>1.0189999999999999</v>
      </c>
      <c r="K747">
        <v>745</v>
      </c>
      <c r="L747">
        <v>19</v>
      </c>
      <c r="M747" s="32">
        <v>0.77400000000000002</v>
      </c>
      <c r="N747" s="47">
        <v>2.33</v>
      </c>
      <c r="P747" s="47">
        <v>1.228</v>
      </c>
      <c r="R747" s="47">
        <v>9.4E-2</v>
      </c>
      <c r="S747" s="47">
        <v>0.95299999999999996</v>
      </c>
      <c r="T747" s="31">
        <v>0</v>
      </c>
      <c r="V747">
        <v>745</v>
      </c>
      <c r="W747">
        <v>18</v>
      </c>
      <c r="X747">
        <v>0.78600000000000003</v>
      </c>
      <c r="Y747" s="32">
        <v>2.39</v>
      </c>
      <c r="Z747">
        <v>0</v>
      </c>
      <c r="AA747" s="32">
        <v>1.234</v>
      </c>
      <c r="AB747">
        <v>0</v>
      </c>
      <c r="AC747" s="34">
        <v>9.8000000000000004E-2</v>
      </c>
      <c r="AD747" s="32">
        <v>0.97</v>
      </c>
    </row>
    <row r="748" spans="1:30">
      <c r="A748">
        <v>746</v>
      </c>
      <c r="B748">
        <v>19</v>
      </c>
      <c r="C748">
        <v>0.77500000000000002</v>
      </c>
      <c r="D748">
        <v>2.29</v>
      </c>
      <c r="E748">
        <v>0</v>
      </c>
      <c r="F748">
        <v>1.226</v>
      </c>
      <c r="G748">
        <v>0</v>
      </c>
      <c r="H748">
        <v>0.09</v>
      </c>
      <c r="I748">
        <v>1.022</v>
      </c>
      <c r="K748">
        <v>746</v>
      </c>
      <c r="L748">
        <v>19</v>
      </c>
      <c r="M748" s="32">
        <v>0.77500000000000002</v>
      </c>
      <c r="N748" s="47">
        <v>2.34</v>
      </c>
      <c r="P748" s="47">
        <v>1.2290000000000001</v>
      </c>
      <c r="R748" s="47">
        <v>9.4E-2</v>
      </c>
      <c r="S748" s="47">
        <v>0.95499999999999996</v>
      </c>
      <c r="T748" s="31">
        <v>0</v>
      </c>
      <c r="V748">
        <v>746</v>
      </c>
      <c r="W748">
        <v>18</v>
      </c>
      <c r="X748">
        <v>0.78700000000000003</v>
      </c>
      <c r="Y748" s="32">
        <v>2.39</v>
      </c>
      <c r="Z748">
        <v>0</v>
      </c>
      <c r="AA748" s="32">
        <v>1.234</v>
      </c>
      <c r="AB748">
        <v>0</v>
      </c>
      <c r="AC748" s="34">
        <v>9.8000000000000004E-2</v>
      </c>
      <c r="AD748" s="32">
        <v>0.97199999999999998</v>
      </c>
    </row>
    <row r="749" spans="1:30">
      <c r="A749">
        <v>747</v>
      </c>
      <c r="B749">
        <v>19</v>
      </c>
      <c r="C749">
        <v>0.77600000000000002</v>
      </c>
      <c r="D749">
        <v>2.29</v>
      </c>
      <c r="E749">
        <v>0</v>
      </c>
      <c r="F749">
        <v>1.226</v>
      </c>
      <c r="G749">
        <v>0</v>
      </c>
      <c r="H749">
        <v>0.09</v>
      </c>
      <c r="I749">
        <v>1.0249999999999999</v>
      </c>
      <c r="K749">
        <v>747</v>
      </c>
      <c r="L749">
        <v>19</v>
      </c>
      <c r="M749" s="32">
        <v>0.77600000000000002</v>
      </c>
      <c r="N749" s="47">
        <v>2.35</v>
      </c>
      <c r="P749" s="47">
        <v>1.23</v>
      </c>
      <c r="R749" s="47">
        <v>9.4E-2</v>
      </c>
      <c r="S749" s="47">
        <v>0.95699999999999996</v>
      </c>
      <c r="T749" s="31">
        <v>0</v>
      </c>
      <c r="V749">
        <v>747</v>
      </c>
      <c r="W749">
        <v>18</v>
      </c>
      <c r="X749">
        <v>0.78800000000000003</v>
      </c>
      <c r="Y749" s="32">
        <v>2.39</v>
      </c>
      <c r="Z749">
        <v>0</v>
      </c>
      <c r="AA749" s="32">
        <v>1.2350000000000001</v>
      </c>
      <c r="AB749">
        <v>0</v>
      </c>
      <c r="AC749" s="34">
        <v>9.8000000000000004E-2</v>
      </c>
      <c r="AD749" s="32">
        <v>0.97299999999999998</v>
      </c>
    </row>
    <row r="750" spans="1:30">
      <c r="A750">
        <v>748</v>
      </c>
      <c r="B750">
        <v>19</v>
      </c>
      <c r="C750">
        <v>0.77700000000000002</v>
      </c>
      <c r="D750">
        <v>2.29</v>
      </c>
      <c r="E750">
        <v>0</v>
      </c>
      <c r="F750">
        <v>1.226</v>
      </c>
      <c r="G750">
        <v>0</v>
      </c>
      <c r="H750">
        <v>0.09</v>
      </c>
      <c r="I750">
        <v>1.0289999999999999</v>
      </c>
      <c r="K750">
        <v>748</v>
      </c>
      <c r="L750">
        <v>19</v>
      </c>
      <c r="M750" s="32">
        <v>0.77700000000000002</v>
      </c>
      <c r="N750" s="47">
        <v>2.36</v>
      </c>
      <c r="P750" s="47">
        <v>1.23</v>
      </c>
      <c r="R750" s="47">
        <v>9.4E-2</v>
      </c>
      <c r="S750" s="47">
        <v>0.95899999999999996</v>
      </c>
      <c r="T750" s="31">
        <v>0</v>
      </c>
      <c r="V750">
        <v>748</v>
      </c>
      <c r="W750">
        <v>18</v>
      </c>
      <c r="X750">
        <v>0.78900000000000003</v>
      </c>
      <c r="Y750" s="32">
        <v>2.39</v>
      </c>
      <c r="Z750">
        <v>0</v>
      </c>
      <c r="AA750" s="32">
        <v>1.2350000000000001</v>
      </c>
      <c r="AB750">
        <v>0</v>
      </c>
      <c r="AC750" s="34">
        <v>9.8000000000000004E-2</v>
      </c>
      <c r="AD750" s="32">
        <v>0.97499999999999998</v>
      </c>
    </row>
    <row r="751" spans="1:30">
      <c r="A751">
        <v>749</v>
      </c>
      <c r="B751">
        <v>19</v>
      </c>
      <c r="C751">
        <v>0.77800000000000002</v>
      </c>
      <c r="D751">
        <v>2.29</v>
      </c>
      <c r="E751">
        <v>0</v>
      </c>
      <c r="F751">
        <v>1.226</v>
      </c>
      <c r="G751">
        <v>0</v>
      </c>
      <c r="H751">
        <v>0.09</v>
      </c>
      <c r="I751">
        <v>1.032</v>
      </c>
      <c r="K751">
        <v>749</v>
      </c>
      <c r="L751">
        <v>19</v>
      </c>
      <c r="M751" s="32">
        <v>0.77800000000000002</v>
      </c>
      <c r="N751" s="47">
        <v>2.37</v>
      </c>
      <c r="P751" s="47">
        <v>1.2310000000000001</v>
      </c>
      <c r="R751" s="47">
        <v>9.4E-2</v>
      </c>
      <c r="S751" s="47">
        <v>0.96199999999999997</v>
      </c>
      <c r="T751" s="31">
        <v>0</v>
      </c>
      <c r="V751">
        <v>749</v>
      </c>
      <c r="W751">
        <v>19</v>
      </c>
      <c r="X751">
        <v>0.79</v>
      </c>
      <c r="Y751" s="32">
        <v>2.39</v>
      </c>
      <c r="Z751">
        <v>0</v>
      </c>
      <c r="AA751" s="32">
        <v>1.2350000000000001</v>
      </c>
      <c r="AB751">
        <v>0</v>
      </c>
      <c r="AC751" s="34">
        <v>9.8000000000000004E-2</v>
      </c>
      <c r="AD751" s="32">
        <v>0.97599999999999998</v>
      </c>
    </row>
    <row r="752" spans="1:30">
      <c r="A752">
        <v>750</v>
      </c>
      <c r="B752">
        <v>19</v>
      </c>
      <c r="C752">
        <v>0.77900000000000003</v>
      </c>
      <c r="D752">
        <v>2.29</v>
      </c>
      <c r="E752">
        <v>0</v>
      </c>
      <c r="F752">
        <v>1.226</v>
      </c>
      <c r="G752">
        <v>0</v>
      </c>
      <c r="H752">
        <v>0.09</v>
      </c>
      <c r="I752">
        <v>1.0349999999999999</v>
      </c>
      <c r="K752">
        <v>750</v>
      </c>
      <c r="L752">
        <v>19</v>
      </c>
      <c r="M752" s="32">
        <v>0.77900000000000003</v>
      </c>
      <c r="N752" s="47">
        <v>2.38</v>
      </c>
      <c r="P752" s="47">
        <v>1.2310000000000001</v>
      </c>
      <c r="R752" s="47">
        <v>9.4E-2</v>
      </c>
      <c r="S752" s="47">
        <v>0.96399999999999997</v>
      </c>
      <c r="T752" s="31">
        <v>0</v>
      </c>
      <c r="V752">
        <v>750</v>
      </c>
      <c r="W752">
        <v>19</v>
      </c>
      <c r="X752">
        <v>0.79100000000000004</v>
      </c>
      <c r="Y752" s="32">
        <v>2.39</v>
      </c>
      <c r="Z752">
        <v>0</v>
      </c>
      <c r="AA752" s="32">
        <v>1.2350000000000001</v>
      </c>
      <c r="AB752">
        <v>0</v>
      </c>
      <c r="AC752" s="34">
        <v>9.8000000000000004E-2</v>
      </c>
      <c r="AD752" s="32">
        <v>0.97699999999999998</v>
      </c>
    </row>
    <row r="753" spans="1:30">
      <c r="A753">
        <v>751</v>
      </c>
      <c r="B753">
        <v>20</v>
      </c>
      <c r="C753">
        <v>0.78</v>
      </c>
      <c r="D753">
        <v>2.39</v>
      </c>
      <c r="E753">
        <v>0</v>
      </c>
      <c r="F753">
        <v>1.232</v>
      </c>
      <c r="G753">
        <v>0</v>
      </c>
      <c r="H753">
        <v>9.4E-2</v>
      </c>
      <c r="I753">
        <v>0.96599999999999997</v>
      </c>
      <c r="K753">
        <v>751</v>
      </c>
      <c r="L753">
        <v>20</v>
      </c>
      <c r="M753" s="32">
        <v>0.78</v>
      </c>
      <c r="N753" s="32">
        <v>2.39</v>
      </c>
      <c r="P753" s="32">
        <v>1.232</v>
      </c>
      <c r="R753" s="32">
        <v>9.4E-2</v>
      </c>
      <c r="S753" s="32">
        <v>0.96599999999999997</v>
      </c>
      <c r="T753" s="31">
        <v>0</v>
      </c>
      <c r="V753">
        <v>751</v>
      </c>
      <c r="W753">
        <v>19</v>
      </c>
      <c r="X753">
        <v>0.79200000000000004</v>
      </c>
      <c r="Y753" s="32">
        <v>2.39</v>
      </c>
      <c r="Z753">
        <v>0</v>
      </c>
      <c r="AA753" s="32">
        <v>1.2350000000000001</v>
      </c>
      <c r="AB753">
        <v>0</v>
      </c>
      <c r="AC753" s="34">
        <v>9.8000000000000004E-2</v>
      </c>
      <c r="AD753" s="32">
        <v>0.97899999999999998</v>
      </c>
    </row>
    <row r="754" spans="1:30">
      <c r="A754">
        <v>752</v>
      </c>
      <c r="B754">
        <v>20</v>
      </c>
      <c r="C754">
        <v>0.78100000000000003</v>
      </c>
      <c r="D754">
        <v>2.39</v>
      </c>
      <c r="E754">
        <v>0</v>
      </c>
      <c r="F754">
        <v>1.232</v>
      </c>
      <c r="G754">
        <v>0</v>
      </c>
      <c r="H754">
        <v>9.4E-2</v>
      </c>
      <c r="I754">
        <v>0.96799999999999997</v>
      </c>
      <c r="K754">
        <v>752</v>
      </c>
      <c r="L754">
        <v>20</v>
      </c>
      <c r="M754" s="32">
        <v>0.78100000000000003</v>
      </c>
      <c r="N754" s="32">
        <v>2.39</v>
      </c>
      <c r="P754" s="47">
        <v>1.2330000000000001</v>
      </c>
      <c r="R754" s="32">
        <v>9.4E-2</v>
      </c>
      <c r="S754" s="47">
        <v>0.96699999999999997</v>
      </c>
      <c r="T754" s="31">
        <v>0</v>
      </c>
      <c r="V754">
        <v>752</v>
      </c>
      <c r="W754">
        <v>19</v>
      </c>
      <c r="X754">
        <v>0.79300000000000004</v>
      </c>
      <c r="Y754" s="32">
        <v>2.39</v>
      </c>
      <c r="Z754">
        <v>0</v>
      </c>
      <c r="AA754" s="32">
        <v>1.236</v>
      </c>
      <c r="AB754">
        <v>0</v>
      </c>
      <c r="AC754" s="34">
        <v>9.8000000000000004E-2</v>
      </c>
      <c r="AD754" s="32">
        <v>0.98</v>
      </c>
    </row>
    <row r="755" spans="1:30">
      <c r="A755">
        <v>753</v>
      </c>
      <c r="B755">
        <v>20</v>
      </c>
      <c r="C755">
        <v>0.78200000000000003</v>
      </c>
      <c r="D755">
        <v>2.39</v>
      </c>
      <c r="E755">
        <v>0</v>
      </c>
      <c r="F755">
        <v>1.2330000000000001</v>
      </c>
      <c r="G755">
        <v>0</v>
      </c>
      <c r="H755">
        <v>9.4E-2</v>
      </c>
      <c r="I755">
        <v>0.96899999999999997</v>
      </c>
      <c r="K755">
        <v>753</v>
      </c>
      <c r="L755">
        <v>20</v>
      </c>
      <c r="M755" s="32">
        <v>0.78200000000000003</v>
      </c>
      <c r="N755" s="32">
        <v>2.39</v>
      </c>
      <c r="P755" s="32">
        <v>1.2330000000000001</v>
      </c>
      <c r="R755" s="32">
        <v>9.4E-2</v>
      </c>
      <c r="S755" s="47">
        <v>0.96799999999999997</v>
      </c>
      <c r="T755" s="31">
        <v>0</v>
      </c>
      <c r="V755">
        <v>753</v>
      </c>
      <c r="W755">
        <v>19</v>
      </c>
      <c r="X755">
        <v>0.79400000000000004</v>
      </c>
      <c r="Y755" s="32">
        <v>2.39</v>
      </c>
      <c r="Z755">
        <v>0</v>
      </c>
      <c r="AA755" s="32">
        <v>1.236</v>
      </c>
      <c r="AB755">
        <v>0</v>
      </c>
      <c r="AC755" s="34">
        <v>9.8000000000000004E-2</v>
      </c>
      <c r="AD755" s="32">
        <v>0.98199999999999998</v>
      </c>
    </row>
    <row r="756" spans="1:30">
      <c r="A756">
        <v>754</v>
      </c>
      <c r="B756">
        <v>20</v>
      </c>
      <c r="C756">
        <v>0.78300000000000003</v>
      </c>
      <c r="D756">
        <v>2.39</v>
      </c>
      <c r="E756">
        <v>0</v>
      </c>
      <c r="F756">
        <v>1.2330000000000001</v>
      </c>
      <c r="G756">
        <v>0</v>
      </c>
      <c r="H756">
        <v>9.4E-2</v>
      </c>
      <c r="I756">
        <v>0.97099999999999997</v>
      </c>
      <c r="K756">
        <v>754</v>
      </c>
      <c r="L756">
        <v>20</v>
      </c>
      <c r="M756" s="32">
        <v>0.78300000000000003</v>
      </c>
      <c r="N756" s="32">
        <v>2.39</v>
      </c>
      <c r="P756" s="47">
        <v>1.234</v>
      </c>
      <c r="R756" s="32">
        <v>9.4E-2</v>
      </c>
      <c r="S756" s="47">
        <v>0.96899999999999997</v>
      </c>
      <c r="T756" s="31">
        <v>0</v>
      </c>
      <c r="V756">
        <v>754</v>
      </c>
      <c r="W756">
        <v>19</v>
      </c>
      <c r="X756">
        <v>0.79500000000000004</v>
      </c>
      <c r="Y756" s="32">
        <v>2.39</v>
      </c>
      <c r="Z756">
        <v>0</v>
      </c>
      <c r="AA756" s="32">
        <v>1.236</v>
      </c>
      <c r="AB756">
        <v>0</v>
      </c>
      <c r="AC756" s="34">
        <v>9.8000000000000004E-2</v>
      </c>
      <c r="AD756" s="32">
        <v>0.98299999999999998</v>
      </c>
    </row>
    <row r="757" spans="1:30">
      <c r="A757">
        <v>755</v>
      </c>
      <c r="B757">
        <v>20</v>
      </c>
      <c r="C757">
        <v>0.78400000000000003</v>
      </c>
      <c r="D757">
        <v>2.4</v>
      </c>
      <c r="E757">
        <v>0</v>
      </c>
      <c r="F757">
        <v>1.234</v>
      </c>
      <c r="G757">
        <v>0</v>
      </c>
      <c r="H757">
        <v>9.4E-2</v>
      </c>
      <c r="I757">
        <v>0.97199999999999998</v>
      </c>
      <c r="K757">
        <v>755</v>
      </c>
      <c r="L757">
        <v>20</v>
      </c>
      <c r="M757" s="32">
        <v>0.78400000000000003</v>
      </c>
      <c r="N757" s="47">
        <v>2.39</v>
      </c>
      <c r="P757" s="32">
        <v>1.234</v>
      </c>
      <c r="R757" s="32">
        <v>9.4E-2</v>
      </c>
      <c r="S757" s="47">
        <v>0.97</v>
      </c>
      <c r="T757" s="31">
        <v>0</v>
      </c>
      <c r="V757">
        <v>755</v>
      </c>
      <c r="W757">
        <v>19</v>
      </c>
      <c r="X757">
        <v>0.79600000000000004</v>
      </c>
      <c r="Y757" s="32">
        <v>2.39</v>
      </c>
      <c r="Z757">
        <v>0</v>
      </c>
      <c r="AA757" s="32">
        <v>1.236</v>
      </c>
      <c r="AB757">
        <v>0</v>
      </c>
      <c r="AC757" s="34">
        <v>9.9000000000000005E-2</v>
      </c>
      <c r="AD757" s="32">
        <v>0.98399999999999999</v>
      </c>
    </row>
    <row r="758" spans="1:30">
      <c r="A758">
        <v>756</v>
      </c>
      <c r="B758">
        <v>20</v>
      </c>
      <c r="C758">
        <v>0.78500000000000003</v>
      </c>
      <c r="D758">
        <v>2.4</v>
      </c>
      <c r="E758">
        <v>0</v>
      </c>
      <c r="F758">
        <v>1.234</v>
      </c>
      <c r="G758">
        <v>0</v>
      </c>
      <c r="H758">
        <v>9.4E-2</v>
      </c>
      <c r="I758">
        <v>0.97399999999999998</v>
      </c>
      <c r="K758">
        <v>756</v>
      </c>
      <c r="L758">
        <v>20</v>
      </c>
      <c r="M758" s="32">
        <v>0.78500000000000003</v>
      </c>
      <c r="N758" s="47">
        <v>2.39</v>
      </c>
      <c r="P758" s="47">
        <v>1.2350000000000001</v>
      </c>
      <c r="R758" s="32">
        <v>9.4E-2</v>
      </c>
      <c r="S758" s="47">
        <v>0.97199999999999998</v>
      </c>
      <c r="T758" s="31">
        <v>0</v>
      </c>
      <c r="V758">
        <v>756</v>
      </c>
      <c r="W758">
        <v>19</v>
      </c>
      <c r="X758">
        <v>0.79700000000000004</v>
      </c>
      <c r="Y758" s="32">
        <v>2.39</v>
      </c>
      <c r="Z758">
        <v>0</v>
      </c>
      <c r="AA758" s="32">
        <v>1.236</v>
      </c>
      <c r="AB758">
        <v>0</v>
      </c>
      <c r="AC758" s="34">
        <v>9.9000000000000005E-2</v>
      </c>
      <c r="AD758" s="32">
        <v>0.98599999999999999</v>
      </c>
    </row>
    <row r="759" spans="1:30">
      <c r="A759">
        <v>757</v>
      </c>
      <c r="B759">
        <v>20</v>
      </c>
      <c r="C759">
        <v>0.78600000000000003</v>
      </c>
      <c r="D759">
        <v>2.4</v>
      </c>
      <c r="E759">
        <v>0</v>
      </c>
      <c r="F759">
        <v>1.2350000000000001</v>
      </c>
      <c r="G759">
        <v>0</v>
      </c>
      <c r="H759">
        <v>9.4E-2</v>
      </c>
      <c r="I759">
        <v>0.97599999999999998</v>
      </c>
      <c r="K759">
        <v>757</v>
      </c>
      <c r="L759">
        <v>20</v>
      </c>
      <c r="M759" s="32">
        <v>0.78600000000000003</v>
      </c>
      <c r="N759" s="47">
        <v>2.39</v>
      </c>
      <c r="P759" s="32">
        <v>1.2350000000000001</v>
      </c>
      <c r="R759" s="32">
        <v>9.4E-2</v>
      </c>
      <c r="S759" s="47">
        <v>0.97299999999999998</v>
      </c>
      <c r="T759" s="31">
        <v>0</v>
      </c>
      <c r="V759">
        <v>757</v>
      </c>
      <c r="W759">
        <v>19</v>
      </c>
      <c r="X759">
        <v>0.79800000000000004</v>
      </c>
      <c r="Y759" s="32">
        <v>2.39</v>
      </c>
      <c r="Z759">
        <v>0</v>
      </c>
      <c r="AA759" s="32">
        <v>1.2370000000000001</v>
      </c>
      <c r="AB759">
        <v>0</v>
      </c>
      <c r="AC759" s="34">
        <v>9.9000000000000005E-2</v>
      </c>
      <c r="AD759" s="32">
        <v>0.98699999999999999</v>
      </c>
    </row>
    <row r="760" spans="1:30">
      <c r="A760">
        <v>758</v>
      </c>
      <c r="B760">
        <v>20</v>
      </c>
      <c r="C760">
        <v>0.78700000000000003</v>
      </c>
      <c r="D760">
        <v>2.4</v>
      </c>
      <c r="E760">
        <v>0</v>
      </c>
      <c r="F760">
        <v>1.2350000000000001</v>
      </c>
      <c r="G760">
        <v>0</v>
      </c>
      <c r="H760">
        <v>9.4E-2</v>
      </c>
      <c r="I760">
        <v>0.97699999999999998</v>
      </c>
      <c r="K760">
        <v>758</v>
      </c>
      <c r="L760">
        <v>20</v>
      </c>
      <c r="M760" s="32">
        <v>0.78700000000000003</v>
      </c>
      <c r="N760" s="47">
        <v>2.39</v>
      </c>
      <c r="P760" s="47">
        <v>1.236</v>
      </c>
      <c r="R760" s="32">
        <v>9.4E-2</v>
      </c>
      <c r="S760" s="47">
        <v>0.97399999999999998</v>
      </c>
      <c r="T760" s="31">
        <v>0</v>
      </c>
      <c r="V760">
        <v>758</v>
      </c>
      <c r="W760">
        <v>19</v>
      </c>
      <c r="X760">
        <v>0.79900000000000004</v>
      </c>
      <c r="Y760" s="32">
        <v>2.39</v>
      </c>
      <c r="Z760">
        <v>0</v>
      </c>
      <c r="AA760" s="32">
        <v>1.2370000000000001</v>
      </c>
      <c r="AB760">
        <v>0</v>
      </c>
      <c r="AC760" s="34">
        <v>9.9000000000000005E-2</v>
      </c>
      <c r="AD760" s="32">
        <v>0.98899999999999999</v>
      </c>
    </row>
    <row r="761" spans="1:30">
      <c r="A761">
        <v>759</v>
      </c>
      <c r="B761">
        <v>20</v>
      </c>
      <c r="C761">
        <v>0.78800000000000003</v>
      </c>
      <c r="D761">
        <v>2.4</v>
      </c>
      <c r="E761">
        <v>0</v>
      </c>
      <c r="F761">
        <v>1.236</v>
      </c>
      <c r="G761">
        <v>0</v>
      </c>
      <c r="H761">
        <v>9.4E-2</v>
      </c>
      <c r="I761">
        <v>0.97899999999999998</v>
      </c>
      <c r="K761">
        <v>759</v>
      </c>
      <c r="L761">
        <v>20</v>
      </c>
      <c r="M761" s="32">
        <v>0.78800000000000003</v>
      </c>
      <c r="N761" s="47">
        <v>2.39</v>
      </c>
      <c r="P761" s="32">
        <v>1.236</v>
      </c>
      <c r="R761" s="32">
        <v>9.4E-2</v>
      </c>
      <c r="S761" s="47">
        <v>0.97499999999999998</v>
      </c>
      <c r="T761" s="31">
        <v>0</v>
      </c>
      <c r="V761">
        <v>759</v>
      </c>
      <c r="W761">
        <v>19</v>
      </c>
      <c r="X761">
        <v>0.8</v>
      </c>
      <c r="Y761" s="32">
        <v>2.39</v>
      </c>
      <c r="Z761">
        <v>0</v>
      </c>
      <c r="AA761" s="32">
        <v>1.2370000000000001</v>
      </c>
      <c r="AB761">
        <v>0</v>
      </c>
      <c r="AC761" s="34">
        <v>9.9000000000000005E-2</v>
      </c>
      <c r="AD761" s="32">
        <v>0.99</v>
      </c>
    </row>
    <row r="762" spans="1:30">
      <c r="A762">
        <v>760</v>
      </c>
      <c r="B762">
        <v>20</v>
      </c>
      <c r="C762">
        <v>0.78900000000000003</v>
      </c>
      <c r="D762">
        <v>2.4</v>
      </c>
      <c r="E762">
        <v>0</v>
      </c>
      <c r="F762">
        <v>1.236</v>
      </c>
      <c r="G762">
        <v>0</v>
      </c>
      <c r="H762">
        <v>9.4E-2</v>
      </c>
      <c r="I762">
        <v>0.98099999999999998</v>
      </c>
      <c r="K762">
        <v>760</v>
      </c>
      <c r="L762">
        <v>20</v>
      </c>
      <c r="M762" s="32">
        <v>0.78900000000000003</v>
      </c>
      <c r="N762" s="47">
        <v>2.39</v>
      </c>
      <c r="P762" s="47">
        <v>1.2370000000000001</v>
      </c>
      <c r="R762" s="32">
        <v>9.4E-2</v>
      </c>
      <c r="S762" s="47">
        <v>0.97599999999999998</v>
      </c>
      <c r="T762" s="31">
        <v>0</v>
      </c>
      <c r="V762">
        <v>760</v>
      </c>
      <c r="W762">
        <v>19</v>
      </c>
      <c r="X762">
        <v>0.80100000000000005</v>
      </c>
      <c r="Y762" s="32">
        <v>2.39</v>
      </c>
      <c r="Z762">
        <v>0</v>
      </c>
      <c r="AA762" s="32">
        <v>1.2370000000000001</v>
      </c>
      <c r="AB762">
        <v>0</v>
      </c>
      <c r="AC762" s="34">
        <v>9.9000000000000005E-2</v>
      </c>
      <c r="AD762" s="32">
        <v>0.99099999999999999</v>
      </c>
    </row>
    <row r="763" spans="1:30">
      <c r="A763">
        <v>761</v>
      </c>
      <c r="B763">
        <v>20</v>
      </c>
      <c r="C763">
        <v>0.79</v>
      </c>
      <c r="D763">
        <v>2.39</v>
      </c>
      <c r="E763">
        <v>0</v>
      </c>
      <c r="F763">
        <v>1.2370000000000001</v>
      </c>
      <c r="G763">
        <v>0</v>
      </c>
      <c r="H763">
        <v>9.4E-2</v>
      </c>
      <c r="I763">
        <v>0.97699999999999998</v>
      </c>
      <c r="K763">
        <v>761</v>
      </c>
      <c r="L763">
        <v>20</v>
      </c>
      <c r="M763" s="32">
        <v>0.79</v>
      </c>
      <c r="N763" s="32">
        <v>2.39</v>
      </c>
      <c r="P763" s="32">
        <v>1.2370000000000001</v>
      </c>
      <c r="R763" s="47">
        <v>9.5000000000000001E-2</v>
      </c>
      <c r="S763" s="32">
        <v>0.97699999999999998</v>
      </c>
      <c r="T763" s="31">
        <v>0</v>
      </c>
      <c r="V763">
        <v>761</v>
      </c>
      <c r="W763">
        <v>19</v>
      </c>
      <c r="X763">
        <v>0.80200000000000005</v>
      </c>
      <c r="Y763" s="32">
        <v>2.39</v>
      </c>
      <c r="Z763">
        <v>0</v>
      </c>
      <c r="AA763" s="32">
        <v>1.2370000000000001</v>
      </c>
      <c r="AB763">
        <v>0</v>
      </c>
      <c r="AC763" s="34">
        <v>9.9000000000000005E-2</v>
      </c>
      <c r="AD763" s="32">
        <v>0.99299999999999999</v>
      </c>
    </row>
    <row r="764" spans="1:30">
      <c r="A764">
        <v>762</v>
      </c>
      <c r="B764">
        <v>20</v>
      </c>
      <c r="C764">
        <v>0.79100000000000004</v>
      </c>
      <c r="D764">
        <v>2.39</v>
      </c>
      <c r="E764">
        <v>0</v>
      </c>
      <c r="F764">
        <v>1.2370000000000001</v>
      </c>
      <c r="G764">
        <v>0</v>
      </c>
      <c r="H764">
        <v>9.4E-2</v>
      </c>
      <c r="I764">
        <v>0.995</v>
      </c>
      <c r="K764">
        <v>762</v>
      </c>
      <c r="L764">
        <v>20</v>
      </c>
      <c r="M764" s="32">
        <v>0.79100000000000004</v>
      </c>
      <c r="N764" s="32">
        <v>2.39</v>
      </c>
      <c r="P764" s="47">
        <v>1.238</v>
      </c>
      <c r="R764" s="47">
        <v>9.5000000000000001E-2</v>
      </c>
      <c r="S764" s="47">
        <v>0.97899999999999998</v>
      </c>
      <c r="T764" s="31">
        <v>0</v>
      </c>
      <c r="V764">
        <v>762</v>
      </c>
      <c r="W764">
        <v>19</v>
      </c>
      <c r="X764">
        <v>0.80300000000000005</v>
      </c>
      <c r="Y764" s="32">
        <v>2.39</v>
      </c>
      <c r="Z764">
        <v>0</v>
      </c>
      <c r="AA764" s="32">
        <v>1.238</v>
      </c>
      <c r="AB764">
        <v>0</v>
      </c>
      <c r="AC764" s="34">
        <v>9.9000000000000005E-2</v>
      </c>
      <c r="AD764" s="32">
        <v>0.99399999999999999</v>
      </c>
    </row>
    <row r="765" spans="1:30">
      <c r="A765">
        <v>763</v>
      </c>
      <c r="B765">
        <v>20</v>
      </c>
      <c r="C765">
        <v>0.79200000000000004</v>
      </c>
      <c r="D765">
        <v>2.39</v>
      </c>
      <c r="E765">
        <v>0</v>
      </c>
      <c r="F765">
        <v>1.2370000000000001</v>
      </c>
      <c r="G765">
        <v>0</v>
      </c>
      <c r="H765">
        <v>9.4E-2</v>
      </c>
      <c r="I765">
        <v>0.996</v>
      </c>
      <c r="K765">
        <v>763</v>
      </c>
      <c r="L765">
        <v>20</v>
      </c>
      <c r="M765" s="32">
        <v>0.79200000000000004</v>
      </c>
      <c r="N765" s="32">
        <v>2.39</v>
      </c>
      <c r="P765" s="47">
        <v>1.238</v>
      </c>
      <c r="R765" s="47">
        <v>9.5000000000000001E-2</v>
      </c>
      <c r="S765" s="47">
        <v>0.98</v>
      </c>
      <c r="T765" s="31">
        <v>0</v>
      </c>
      <c r="V765">
        <v>763</v>
      </c>
      <c r="W765">
        <v>19</v>
      </c>
      <c r="X765">
        <v>0.80400000000000005</v>
      </c>
      <c r="Y765" s="32">
        <v>2.39</v>
      </c>
      <c r="Z765">
        <v>0</v>
      </c>
      <c r="AA765" s="32">
        <v>1.238</v>
      </c>
      <c r="AB765">
        <v>0</v>
      </c>
      <c r="AC765" s="34">
        <v>9.9000000000000005E-2</v>
      </c>
      <c r="AD765" s="32">
        <v>0.996</v>
      </c>
    </row>
    <row r="766" spans="1:30">
      <c r="A766">
        <v>764</v>
      </c>
      <c r="B766">
        <v>20</v>
      </c>
      <c r="C766">
        <v>0.79300000000000004</v>
      </c>
      <c r="D766">
        <v>2.39</v>
      </c>
      <c r="E766">
        <v>0</v>
      </c>
      <c r="F766">
        <v>1.2370000000000001</v>
      </c>
      <c r="G766">
        <v>0</v>
      </c>
      <c r="H766">
        <v>9.4E-2</v>
      </c>
      <c r="I766">
        <v>0.998</v>
      </c>
      <c r="K766">
        <v>764</v>
      </c>
      <c r="L766">
        <v>20</v>
      </c>
      <c r="M766" s="32">
        <v>0.79300000000000004</v>
      </c>
      <c r="N766" s="32">
        <v>2.39</v>
      </c>
      <c r="P766" s="47">
        <v>1.2390000000000001</v>
      </c>
      <c r="R766" s="47">
        <v>9.5000000000000001E-2</v>
      </c>
      <c r="S766" s="47">
        <v>0.98199999999999998</v>
      </c>
      <c r="T766" s="31">
        <v>0</v>
      </c>
      <c r="V766">
        <v>764</v>
      </c>
      <c r="W766">
        <v>19</v>
      </c>
      <c r="X766">
        <v>0.80500000000000005</v>
      </c>
      <c r="Y766" s="32">
        <v>2.39</v>
      </c>
      <c r="Z766">
        <v>0</v>
      </c>
      <c r="AA766" s="32">
        <v>1.238</v>
      </c>
      <c r="AB766">
        <v>0</v>
      </c>
      <c r="AC766" s="34">
        <v>9.9000000000000005E-2</v>
      </c>
      <c r="AD766" s="32">
        <v>0.997</v>
      </c>
    </row>
    <row r="767" spans="1:30">
      <c r="A767">
        <v>765</v>
      </c>
      <c r="B767">
        <v>20</v>
      </c>
      <c r="C767">
        <v>0.79400000000000004</v>
      </c>
      <c r="D767">
        <v>2.39</v>
      </c>
      <c r="E767">
        <v>0</v>
      </c>
      <c r="F767">
        <v>1.2370000000000001</v>
      </c>
      <c r="G767">
        <v>0</v>
      </c>
      <c r="H767">
        <v>9.4E-2</v>
      </c>
      <c r="I767">
        <v>1</v>
      </c>
      <c r="K767">
        <v>765</v>
      </c>
      <c r="L767">
        <v>20</v>
      </c>
      <c r="M767" s="32">
        <v>0.79400000000000004</v>
      </c>
      <c r="N767" s="32">
        <v>2.39</v>
      </c>
      <c r="P767" s="47">
        <v>1.2390000000000001</v>
      </c>
      <c r="R767" s="47">
        <v>9.5000000000000001E-2</v>
      </c>
      <c r="S767" s="47">
        <v>0.98299999999999998</v>
      </c>
      <c r="T767" s="31">
        <v>0</v>
      </c>
      <c r="V767">
        <v>765</v>
      </c>
      <c r="W767">
        <v>19</v>
      </c>
      <c r="X767">
        <v>0.80600000000000005</v>
      </c>
      <c r="Y767" s="32">
        <v>2.39</v>
      </c>
      <c r="Z767">
        <v>0</v>
      </c>
      <c r="AA767" s="32">
        <v>1.238</v>
      </c>
      <c r="AB767">
        <v>0</v>
      </c>
      <c r="AC767" s="34">
        <v>9.9000000000000005E-2</v>
      </c>
      <c r="AD767" s="32">
        <v>0.998</v>
      </c>
    </row>
    <row r="768" spans="1:30">
      <c r="A768">
        <v>766</v>
      </c>
      <c r="B768">
        <v>20</v>
      </c>
      <c r="C768">
        <v>0.79500000000000004</v>
      </c>
      <c r="D768">
        <v>2.39</v>
      </c>
      <c r="E768">
        <v>0</v>
      </c>
      <c r="F768">
        <v>1.2370000000000001</v>
      </c>
      <c r="G768">
        <v>0</v>
      </c>
      <c r="H768">
        <v>9.4E-2</v>
      </c>
      <c r="I768">
        <v>1.0009999999999999</v>
      </c>
      <c r="K768">
        <v>766</v>
      </c>
      <c r="L768">
        <v>20</v>
      </c>
      <c r="M768" s="32">
        <v>0.79500000000000004</v>
      </c>
      <c r="N768" s="32">
        <v>2.39</v>
      </c>
      <c r="P768" s="47">
        <v>1.24</v>
      </c>
      <c r="R768" s="47">
        <v>9.5000000000000001E-2</v>
      </c>
      <c r="S768" s="47">
        <v>0.98499999999999999</v>
      </c>
      <c r="T768" s="31">
        <v>0</v>
      </c>
      <c r="V768">
        <v>766</v>
      </c>
      <c r="W768">
        <v>19</v>
      </c>
      <c r="X768">
        <v>0.80700000000000005</v>
      </c>
      <c r="Y768" s="32">
        <v>2.39</v>
      </c>
      <c r="Z768">
        <v>0</v>
      </c>
      <c r="AA768" s="32">
        <v>1.238</v>
      </c>
      <c r="AB768">
        <v>0</v>
      </c>
      <c r="AC768" s="34">
        <v>0.1</v>
      </c>
      <c r="AD768" s="32">
        <v>1</v>
      </c>
    </row>
    <row r="769" spans="1:30">
      <c r="A769">
        <v>767</v>
      </c>
      <c r="B769">
        <v>20</v>
      </c>
      <c r="C769">
        <v>0.79600000000000004</v>
      </c>
      <c r="D769">
        <v>2.39</v>
      </c>
      <c r="E769">
        <v>0</v>
      </c>
      <c r="F769">
        <v>1.2370000000000001</v>
      </c>
      <c r="G769">
        <v>0</v>
      </c>
      <c r="H769">
        <v>9.4E-2</v>
      </c>
      <c r="I769">
        <v>1.0029999999999999</v>
      </c>
      <c r="K769">
        <v>767</v>
      </c>
      <c r="L769">
        <v>20</v>
      </c>
      <c r="M769" s="32">
        <v>0.79600000000000004</v>
      </c>
      <c r="N769" s="32">
        <v>2.39</v>
      </c>
      <c r="P769" s="47">
        <v>1.24</v>
      </c>
      <c r="R769" s="47">
        <v>9.5000000000000001E-2</v>
      </c>
      <c r="S769" s="47">
        <v>0.98699999999999999</v>
      </c>
      <c r="T769" s="31">
        <v>0</v>
      </c>
      <c r="V769">
        <v>767</v>
      </c>
      <c r="W769">
        <v>19</v>
      </c>
      <c r="X769">
        <v>0.80800000000000005</v>
      </c>
      <c r="Y769" s="32">
        <v>2.39</v>
      </c>
      <c r="Z769">
        <v>0</v>
      </c>
      <c r="AA769" s="32">
        <v>1.2390000000000001</v>
      </c>
      <c r="AB769">
        <v>0</v>
      </c>
      <c r="AC769" s="34">
        <v>0.1</v>
      </c>
      <c r="AD769" s="32">
        <v>1.0009999999999999</v>
      </c>
    </row>
    <row r="770" spans="1:30">
      <c r="A770">
        <v>768</v>
      </c>
      <c r="B770">
        <v>20</v>
      </c>
      <c r="C770">
        <v>0.79700000000000004</v>
      </c>
      <c r="D770">
        <v>2.39</v>
      </c>
      <c r="E770">
        <v>0</v>
      </c>
      <c r="F770">
        <v>1.2370000000000001</v>
      </c>
      <c r="G770">
        <v>0</v>
      </c>
      <c r="H770">
        <v>9.4E-2</v>
      </c>
      <c r="I770">
        <v>1.004</v>
      </c>
      <c r="K770">
        <v>768</v>
      </c>
      <c r="L770">
        <v>20</v>
      </c>
      <c r="M770" s="32">
        <v>0.79700000000000004</v>
      </c>
      <c r="N770" s="32">
        <v>2.39</v>
      </c>
      <c r="P770" s="47">
        <v>1.2410000000000001</v>
      </c>
      <c r="R770" s="47">
        <v>9.5000000000000001E-2</v>
      </c>
      <c r="S770" s="47">
        <v>0.98799999999999999</v>
      </c>
      <c r="T770" s="31">
        <v>0</v>
      </c>
      <c r="V770">
        <v>768</v>
      </c>
      <c r="W770">
        <v>19</v>
      </c>
      <c r="X770">
        <v>0.80900000000000005</v>
      </c>
      <c r="Y770" s="32">
        <v>2.39</v>
      </c>
      <c r="Z770">
        <v>0</v>
      </c>
      <c r="AA770" s="32">
        <v>1.2390000000000001</v>
      </c>
      <c r="AB770">
        <v>0</v>
      </c>
      <c r="AC770" s="34">
        <v>0.1</v>
      </c>
      <c r="AD770" s="32">
        <v>1.0029999999999999</v>
      </c>
    </row>
    <row r="771" spans="1:30">
      <c r="A771">
        <v>769</v>
      </c>
      <c r="B771">
        <v>20</v>
      </c>
      <c r="C771">
        <v>0.79800000000000004</v>
      </c>
      <c r="D771">
        <v>2.39</v>
      </c>
      <c r="E771">
        <v>0</v>
      </c>
      <c r="F771">
        <v>1.2370000000000001</v>
      </c>
      <c r="G771">
        <v>0</v>
      </c>
      <c r="H771">
        <v>9.4E-2</v>
      </c>
      <c r="I771">
        <v>1.006</v>
      </c>
      <c r="K771">
        <v>769</v>
      </c>
      <c r="L771">
        <v>20</v>
      </c>
      <c r="M771" s="32">
        <v>0.79800000000000004</v>
      </c>
      <c r="N771" s="32">
        <v>2.39</v>
      </c>
      <c r="P771" s="47">
        <v>1.2410000000000001</v>
      </c>
      <c r="R771" s="47">
        <v>9.5000000000000001E-2</v>
      </c>
      <c r="S771" s="47">
        <v>0.99</v>
      </c>
      <c r="T771" s="31">
        <v>0</v>
      </c>
      <c r="V771">
        <v>769</v>
      </c>
      <c r="W771">
        <v>19</v>
      </c>
      <c r="X771">
        <v>0.81</v>
      </c>
      <c r="Y771" s="32">
        <v>2.39</v>
      </c>
      <c r="Z771">
        <v>0</v>
      </c>
      <c r="AA771" s="32">
        <v>1.2390000000000001</v>
      </c>
      <c r="AB771">
        <v>0</v>
      </c>
      <c r="AC771" s="34">
        <v>0.1</v>
      </c>
      <c r="AD771" s="32">
        <v>1.004</v>
      </c>
    </row>
    <row r="772" spans="1:30">
      <c r="A772">
        <v>770</v>
      </c>
      <c r="B772">
        <v>20</v>
      </c>
      <c r="C772">
        <v>0.79900000000000004</v>
      </c>
      <c r="D772">
        <v>2.39</v>
      </c>
      <c r="E772">
        <v>0</v>
      </c>
      <c r="F772">
        <v>1.2370000000000001</v>
      </c>
      <c r="G772">
        <v>0</v>
      </c>
      <c r="H772">
        <v>9.4E-2</v>
      </c>
      <c r="I772">
        <v>1.008</v>
      </c>
      <c r="K772">
        <v>770</v>
      </c>
      <c r="L772">
        <v>20</v>
      </c>
      <c r="M772" s="32">
        <v>0.79900000000000004</v>
      </c>
      <c r="N772" s="32">
        <v>2.39</v>
      </c>
      <c r="P772" s="47">
        <v>1.242</v>
      </c>
      <c r="R772" s="47">
        <v>9.5000000000000001E-2</v>
      </c>
      <c r="S772" s="47">
        <v>0.99099999999999999</v>
      </c>
      <c r="T772" s="31">
        <v>0</v>
      </c>
      <c r="V772">
        <v>770</v>
      </c>
      <c r="W772">
        <v>19</v>
      </c>
      <c r="X772">
        <v>0.81100000000000005</v>
      </c>
      <c r="Y772" s="32">
        <v>2.39</v>
      </c>
      <c r="Z772">
        <v>0</v>
      </c>
      <c r="AA772" s="32">
        <v>1.2390000000000001</v>
      </c>
      <c r="AB772">
        <v>0</v>
      </c>
      <c r="AC772" s="34">
        <v>0.1</v>
      </c>
      <c r="AD772" s="32">
        <v>1.0049999999999999</v>
      </c>
    </row>
    <row r="773" spans="1:30">
      <c r="A773">
        <v>771</v>
      </c>
      <c r="B773">
        <v>20</v>
      </c>
      <c r="C773">
        <v>0.8</v>
      </c>
      <c r="D773">
        <v>2.39</v>
      </c>
      <c r="E773">
        <v>0</v>
      </c>
      <c r="F773">
        <v>1.242</v>
      </c>
      <c r="G773">
        <v>0</v>
      </c>
      <c r="H773">
        <v>9.4E-2</v>
      </c>
      <c r="I773">
        <v>0.99299999999999999</v>
      </c>
      <c r="K773">
        <v>771</v>
      </c>
      <c r="L773">
        <v>20</v>
      </c>
      <c r="M773" s="32">
        <v>0.8</v>
      </c>
      <c r="N773" s="32">
        <v>2.39</v>
      </c>
      <c r="P773" s="32">
        <v>1.242</v>
      </c>
      <c r="R773" s="47">
        <v>9.5000000000000001E-2</v>
      </c>
      <c r="S773" s="32">
        <v>0.99299999999999999</v>
      </c>
      <c r="T773" s="31">
        <v>0</v>
      </c>
      <c r="V773">
        <v>771</v>
      </c>
      <c r="W773">
        <v>19</v>
      </c>
      <c r="X773">
        <v>0.81200000000000006</v>
      </c>
      <c r="Y773" s="32">
        <v>2.39</v>
      </c>
      <c r="Z773">
        <v>0</v>
      </c>
      <c r="AA773" s="32">
        <v>1.2390000000000001</v>
      </c>
      <c r="AB773">
        <v>0</v>
      </c>
      <c r="AC773" s="34">
        <v>0.1</v>
      </c>
      <c r="AD773" s="32">
        <v>1.0069999999999999</v>
      </c>
    </row>
    <row r="774" spans="1:30">
      <c r="A774">
        <v>772</v>
      </c>
      <c r="B774">
        <v>20</v>
      </c>
      <c r="C774">
        <v>0.80100000000000005</v>
      </c>
      <c r="D774">
        <v>2.39</v>
      </c>
      <c r="E774">
        <v>0</v>
      </c>
      <c r="F774">
        <v>1.242</v>
      </c>
      <c r="G774">
        <v>0</v>
      </c>
      <c r="H774">
        <v>9.4E-2</v>
      </c>
      <c r="I774">
        <v>1.0269999999999999</v>
      </c>
      <c r="K774">
        <v>772</v>
      </c>
      <c r="L774">
        <v>20</v>
      </c>
      <c r="M774" s="32">
        <v>0.80100000000000005</v>
      </c>
      <c r="N774" s="32">
        <v>2.39</v>
      </c>
      <c r="P774" s="32">
        <v>1.242</v>
      </c>
      <c r="R774" s="47">
        <v>9.5000000000000001E-2</v>
      </c>
      <c r="S774" s="47">
        <v>0.995</v>
      </c>
      <c r="T774" s="31">
        <v>0</v>
      </c>
      <c r="V774">
        <v>772</v>
      </c>
      <c r="W774">
        <v>19</v>
      </c>
      <c r="X774">
        <v>0.81299999999999994</v>
      </c>
      <c r="Y774" s="32">
        <v>2.39</v>
      </c>
      <c r="Z774">
        <v>0</v>
      </c>
      <c r="AA774" s="32">
        <v>1.24</v>
      </c>
      <c r="AB774">
        <v>0</v>
      </c>
      <c r="AC774" s="34">
        <v>0.1</v>
      </c>
      <c r="AD774" s="32">
        <v>1.008</v>
      </c>
    </row>
    <row r="775" spans="1:30">
      <c r="A775">
        <v>773</v>
      </c>
      <c r="B775">
        <v>20</v>
      </c>
      <c r="C775">
        <v>0.80200000000000005</v>
      </c>
      <c r="D775">
        <v>2.39</v>
      </c>
      <c r="E775">
        <v>0</v>
      </c>
      <c r="F775">
        <v>1.242</v>
      </c>
      <c r="G775">
        <v>0</v>
      </c>
      <c r="H775">
        <v>9.4E-2</v>
      </c>
      <c r="I775">
        <v>1.0289999999999999</v>
      </c>
      <c r="K775">
        <v>773</v>
      </c>
      <c r="L775">
        <v>20</v>
      </c>
      <c r="M775" s="32">
        <v>0.80200000000000005</v>
      </c>
      <c r="N775" s="32">
        <v>2.39</v>
      </c>
      <c r="P775" s="47">
        <v>1.2430000000000001</v>
      </c>
      <c r="R775" s="47">
        <v>9.5000000000000001E-2</v>
      </c>
      <c r="S775" s="47">
        <v>0.996</v>
      </c>
      <c r="T775" s="31">
        <v>0</v>
      </c>
      <c r="V775">
        <v>773</v>
      </c>
      <c r="W775">
        <v>19</v>
      </c>
      <c r="X775">
        <v>0.81399999999999995</v>
      </c>
      <c r="Y775" s="32">
        <v>2.39</v>
      </c>
      <c r="Z775">
        <v>0</v>
      </c>
      <c r="AA775" s="32">
        <v>1.24</v>
      </c>
      <c r="AB775">
        <v>0</v>
      </c>
      <c r="AC775" s="34">
        <v>0.1</v>
      </c>
      <c r="AD775" s="32">
        <v>1.01</v>
      </c>
    </row>
    <row r="776" spans="1:30">
      <c r="A776">
        <v>774</v>
      </c>
      <c r="B776">
        <v>20</v>
      </c>
      <c r="C776">
        <v>0.80300000000000005</v>
      </c>
      <c r="D776">
        <v>2.39</v>
      </c>
      <c r="E776">
        <v>0</v>
      </c>
      <c r="F776">
        <v>1.242</v>
      </c>
      <c r="G776">
        <v>0</v>
      </c>
      <c r="H776">
        <v>9.4E-2</v>
      </c>
      <c r="I776">
        <v>1.03</v>
      </c>
      <c r="K776">
        <v>774</v>
      </c>
      <c r="L776">
        <v>20</v>
      </c>
      <c r="M776" s="32">
        <v>0.80300000000000005</v>
      </c>
      <c r="N776" s="32">
        <v>2.39</v>
      </c>
      <c r="P776" s="47">
        <v>1.2430000000000001</v>
      </c>
      <c r="R776" s="47">
        <v>9.5000000000000001E-2</v>
      </c>
      <c r="S776" s="47">
        <v>0.998</v>
      </c>
      <c r="T776" s="31">
        <v>0</v>
      </c>
      <c r="V776">
        <v>774</v>
      </c>
      <c r="W776">
        <v>19</v>
      </c>
      <c r="X776">
        <v>0.81499999999999995</v>
      </c>
      <c r="Y776" s="32">
        <v>2.39</v>
      </c>
      <c r="Z776">
        <v>0</v>
      </c>
      <c r="AA776" s="32">
        <v>1.24</v>
      </c>
      <c r="AB776">
        <v>0</v>
      </c>
      <c r="AC776" s="34">
        <v>0.1</v>
      </c>
      <c r="AD776" s="32">
        <v>1.0109999999999999</v>
      </c>
    </row>
    <row r="777" spans="1:30">
      <c r="A777">
        <v>775</v>
      </c>
      <c r="B777">
        <v>20</v>
      </c>
      <c r="C777">
        <v>0.80400000000000005</v>
      </c>
      <c r="D777">
        <v>2.39</v>
      </c>
      <c r="E777">
        <v>0</v>
      </c>
      <c r="F777">
        <v>1.242</v>
      </c>
      <c r="G777">
        <v>0</v>
      </c>
      <c r="H777">
        <v>9.4E-2</v>
      </c>
      <c r="I777">
        <v>1.032</v>
      </c>
      <c r="K777">
        <v>775</v>
      </c>
      <c r="L777">
        <v>20</v>
      </c>
      <c r="M777" s="32">
        <v>0.80400000000000005</v>
      </c>
      <c r="N777" s="32">
        <v>2.39</v>
      </c>
      <c r="P777" s="47">
        <v>1.244</v>
      </c>
      <c r="R777" s="47">
        <v>9.5000000000000001E-2</v>
      </c>
      <c r="S777" s="47">
        <v>1</v>
      </c>
      <c r="T777" s="31">
        <v>0</v>
      </c>
      <c r="V777">
        <v>775</v>
      </c>
      <c r="W777">
        <v>19</v>
      </c>
      <c r="X777">
        <v>0.81599999999999995</v>
      </c>
      <c r="Y777" s="32">
        <v>2.39</v>
      </c>
      <c r="Z777">
        <v>0</v>
      </c>
      <c r="AA777" s="32">
        <v>1.24</v>
      </c>
      <c r="AB777">
        <v>0</v>
      </c>
      <c r="AC777" s="34">
        <v>0.1</v>
      </c>
      <c r="AD777" s="32">
        <v>1.012</v>
      </c>
    </row>
    <row r="778" spans="1:30">
      <c r="A778">
        <v>776</v>
      </c>
      <c r="B778">
        <v>20</v>
      </c>
      <c r="C778">
        <v>0.80500000000000005</v>
      </c>
      <c r="D778">
        <v>2.39</v>
      </c>
      <c r="E778">
        <v>0</v>
      </c>
      <c r="F778">
        <v>1.242</v>
      </c>
      <c r="G778">
        <v>0</v>
      </c>
      <c r="H778">
        <v>9.4E-2</v>
      </c>
      <c r="I778">
        <v>1.0329999999999999</v>
      </c>
      <c r="K778">
        <v>776</v>
      </c>
      <c r="L778">
        <v>20</v>
      </c>
      <c r="M778" s="32">
        <v>0.80500000000000005</v>
      </c>
      <c r="N778" s="32">
        <v>2.39</v>
      </c>
      <c r="P778" s="47">
        <v>1.244</v>
      </c>
      <c r="R778" s="47">
        <v>9.5000000000000001E-2</v>
      </c>
      <c r="S778" s="47">
        <v>1.002</v>
      </c>
      <c r="T778" s="31">
        <v>0</v>
      </c>
      <c r="V778">
        <v>776</v>
      </c>
      <c r="W778">
        <v>19</v>
      </c>
      <c r="X778">
        <v>0.81699999999999995</v>
      </c>
      <c r="Y778" s="32">
        <v>2.39</v>
      </c>
      <c r="Z778">
        <v>0</v>
      </c>
      <c r="AA778" s="32">
        <v>1.24</v>
      </c>
      <c r="AB778">
        <v>0</v>
      </c>
      <c r="AC778" s="34">
        <v>0.10100000000000001</v>
      </c>
      <c r="AD778" s="32">
        <v>1.014</v>
      </c>
    </row>
    <row r="779" spans="1:30">
      <c r="A779">
        <v>777</v>
      </c>
      <c r="B779">
        <v>20</v>
      </c>
      <c r="C779">
        <v>0.80600000000000005</v>
      </c>
      <c r="D779">
        <v>2.39</v>
      </c>
      <c r="E779">
        <v>0</v>
      </c>
      <c r="F779">
        <v>1.242</v>
      </c>
      <c r="G779">
        <v>0</v>
      </c>
      <c r="H779">
        <v>9.4E-2</v>
      </c>
      <c r="I779">
        <v>1.0349999999999999</v>
      </c>
      <c r="K779">
        <v>777</v>
      </c>
      <c r="L779">
        <v>20</v>
      </c>
      <c r="M779" s="32">
        <v>0.80600000000000005</v>
      </c>
      <c r="N779" s="32">
        <v>2.39</v>
      </c>
      <c r="P779" s="47">
        <v>1.244</v>
      </c>
      <c r="R779" s="47">
        <v>9.5000000000000001E-2</v>
      </c>
      <c r="S779" s="47">
        <v>1.0029999999999999</v>
      </c>
      <c r="T779" s="31">
        <v>0</v>
      </c>
      <c r="V779">
        <v>777</v>
      </c>
      <c r="W779">
        <v>19</v>
      </c>
      <c r="X779">
        <v>0.81799999999999995</v>
      </c>
      <c r="Y779" s="32">
        <v>2.39</v>
      </c>
      <c r="Z779">
        <v>0</v>
      </c>
      <c r="AA779" s="32">
        <v>1.2410000000000001</v>
      </c>
      <c r="AB779">
        <v>0</v>
      </c>
      <c r="AC779" s="34">
        <v>0.10100000000000001</v>
      </c>
      <c r="AD779" s="32">
        <v>1.0149999999999999</v>
      </c>
    </row>
    <row r="780" spans="1:30">
      <c r="A780">
        <v>778</v>
      </c>
      <c r="B780">
        <v>20</v>
      </c>
      <c r="C780">
        <v>0.80700000000000005</v>
      </c>
      <c r="D780">
        <v>2.39</v>
      </c>
      <c r="E780">
        <v>0</v>
      </c>
      <c r="F780">
        <v>1.242</v>
      </c>
      <c r="G780">
        <v>0</v>
      </c>
      <c r="H780">
        <v>9.4E-2</v>
      </c>
      <c r="I780">
        <v>1.0369999999999999</v>
      </c>
      <c r="K780">
        <v>778</v>
      </c>
      <c r="L780">
        <v>20</v>
      </c>
      <c r="M780" s="32">
        <v>0.80700000000000005</v>
      </c>
      <c r="N780" s="32">
        <v>2.39</v>
      </c>
      <c r="P780" s="47">
        <v>1.2450000000000001</v>
      </c>
      <c r="R780" s="47">
        <v>9.5000000000000001E-2</v>
      </c>
      <c r="S780" s="47">
        <v>1.0049999999999999</v>
      </c>
      <c r="T780" s="31">
        <v>0</v>
      </c>
      <c r="V780">
        <v>778</v>
      </c>
      <c r="W780">
        <v>19</v>
      </c>
      <c r="X780">
        <v>0.81899999999999995</v>
      </c>
      <c r="Y780" s="32">
        <v>2.39</v>
      </c>
      <c r="Z780">
        <v>0</v>
      </c>
      <c r="AA780" s="32">
        <v>1.2410000000000001</v>
      </c>
      <c r="AB780">
        <v>0</v>
      </c>
      <c r="AC780" s="34">
        <v>0.10100000000000001</v>
      </c>
      <c r="AD780" s="32">
        <v>1.0169999999999999</v>
      </c>
    </row>
    <row r="781" spans="1:30">
      <c r="A781">
        <v>779</v>
      </c>
      <c r="B781">
        <v>20</v>
      </c>
      <c r="C781">
        <v>0.80800000000000005</v>
      </c>
      <c r="D781">
        <v>2.39</v>
      </c>
      <c r="E781">
        <v>0</v>
      </c>
      <c r="F781">
        <v>1.242</v>
      </c>
      <c r="G781">
        <v>0</v>
      </c>
      <c r="H781">
        <v>9.4E-2</v>
      </c>
      <c r="I781">
        <v>1.038</v>
      </c>
      <c r="K781">
        <v>779</v>
      </c>
      <c r="L781">
        <v>20</v>
      </c>
      <c r="M781" s="32">
        <v>0.80800000000000005</v>
      </c>
      <c r="N781" s="32">
        <v>2.39</v>
      </c>
      <c r="P781" s="47">
        <v>1.2450000000000001</v>
      </c>
      <c r="R781" s="47">
        <v>9.5000000000000001E-2</v>
      </c>
      <c r="S781" s="47">
        <v>1.0069999999999999</v>
      </c>
      <c r="T781" s="31">
        <v>0</v>
      </c>
      <c r="V781">
        <v>779</v>
      </c>
      <c r="W781">
        <v>19</v>
      </c>
      <c r="X781">
        <v>0.82</v>
      </c>
      <c r="Y781" s="32">
        <v>2.39</v>
      </c>
      <c r="Z781">
        <v>0</v>
      </c>
      <c r="AA781" s="32">
        <v>1.2410000000000001</v>
      </c>
      <c r="AB781">
        <v>0</v>
      </c>
      <c r="AC781" s="34">
        <v>0.10100000000000001</v>
      </c>
      <c r="AD781" s="32">
        <v>1.018</v>
      </c>
    </row>
    <row r="782" spans="1:30">
      <c r="A782">
        <v>780</v>
      </c>
      <c r="B782">
        <v>20</v>
      </c>
      <c r="C782">
        <v>0.80900000000000005</v>
      </c>
      <c r="D782">
        <v>2.39</v>
      </c>
      <c r="E782">
        <v>0</v>
      </c>
      <c r="F782">
        <v>1.242</v>
      </c>
      <c r="G782">
        <v>0</v>
      </c>
      <c r="H782">
        <v>9.4E-2</v>
      </c>
      <c r="I782">
        <v>1.04</v>
      </c>
      <c r="K782">
        <v>780</v>
      </c>
      <c r="L782">
        <v>20</v>
      </c>
      <c r="M782" s="32">
        <v>0.80900000000000005</v>
      </c>
      <c r="N782" s="32">
        <v>2.39</v>
      </c>
      <c r="P782" s="47">
        <v>1.246</v>
      </c>
      <c r="R782" s="47">
        <v>9.5000000000000001E-2</v>
      </c>
      <c r="S782" s="47">
        <v>1.008</v>
      </c>
      <c r="T782" s="31">
        <v>0</v>
      </c>
      <c r="V782">
        <v>780</v>
      </c>
      <c r="W782">
        <v>19</v>
      </c>
      <c r="X782">
        <v>0.82099999999999995</v>
      </c>
      <c r="Y782" s="32">
        <v>2.39</v>
      </c>
      <c r="Z782">
        <v>0</v>
      </c>
      <c r="AA782" s="32">
        <v>1.2410000000000001</v>
      </c>
      <c r="AB782">
        <v>0</v>
      </c>
      <c r="AC782" s="34">
        <v>0.10100000000000001</v>
      </c>
      <c r="AD782" s="32">
        <v>1.0189999999999999</v>
      </c>
    </row>
    <row r="783" spans="1:30">
      <c r="A783">
        <v>781</v>
      </c>
      <c r="B783">
        <v>20</v>
      </c>
      <c r="C783">
        <v>0.81</v>
      </c>
      <c r="D783">
        <v>2.39</v>
      </c>
      <c r="E783">
        <v>0</v>
      </c>
      <c r="F783">
        <v>1.246</v>
      </c>
      <c r="G783">
        <v>0</v>
      </c>
      <c r="H783">
        <v>9.4E-2</v>
      </c>
      <c r="I783">
        <v>1.01</v>
      </c>
      <c r="K783">
        <v>781</v>
      </c>
      <c r="L783">
        <v>20</v>
      </c>
      <c r="M783" s="32">
        <v>0.81</v>
      </c>
      <c r="N783" s="32">
        <v>2.39</v>
      </c>
      <c r="P783" s="32">
        <v>1.246</v>
      </c>
      <c r="R783" s="47">
        <v>9.6000000000000002E-2</v>
      </c>
      <c r="S783" s="32">
        <v>1.01</v>
      </c>
      <c r="T783" s="31">
        <v>0</v>
      </c>
      <c r="V783">
        <v>781</v>
      </c>
      <c r="W783">
        <v>19</v>
      </c>
      <c r="X783">
        <v>0.82199999999999995</v>
      </c>
      <c r="Y783" s="32">
        <v>2.39</v>
      </c>
      <c r="Z783">
        <v>0</v>
      </c>
      <c r="AA783" s="32">
        <v>1.2410000000000001</v>
      </c>
      <c r="AB783">
        <v>0</v>
      </c>
      <c r="AC783" s="34">
        <v>0.10100000000000001</v>
      </c>
      <c r="AD783" s="32">
        <v>1.0209999999999999</v>
      </c>
    </row>
    <row r="784" spans="1:30">
      <c r="A784">
        <v>782</v>
      </c>
      <c r="B784">
        <v>20</v>
      </c>
      <c r="C784">
        <v>0.81100000000000005</v>
      </c>
      <c r="D784">
        <v>2.39</v>
      </c>
      <c r="E784">
        <v>0</v>
      </c>
      <c r="F784">
        <v>1.246</v>
      </c>
      <c r="G784">
        <v>0</v>
      </c>
      <c r="H784">
        <v>9.4E-2</v>
      </c>
      <c r="I784">
        <v>1.06</v>
      </c>
      <c r="K784">
        <v>782</v>
      </c>
      <c r="L784">
        <v>20</v>
      </c>
      <c r="M784" s="32">
        <v>0.81100000000000005</v>
      </c>
      <c r="N784" s="32">
        <v>2.39</v>
      </c>
      <c r="P784" s="47">
        <v>1.2470000000000001</v>
      </c>
      <c r="R784" s="47">
        <v>9.6000000000000002E-2</v>
      </c>
      <c r="S784" s="47">
        <v>1.012</v>
      </c>
      <c r="T784" s="31">
        <v>0</v>
      </c>
      <c r="V784">
        <v>782</v>
      </c>
      <c r="W784">
        <v>19</v>
      </c>
      <c r="X784">
        <v>0.82299999999999995</v>
      </c>
      <c r="Y784" s="32">
        <v>2.39</v>
      </c>
      <c r="Z784">
        <v>0</v>
      </c>
      <c r="AA784" s="32">
        <v>1.242</v>
      </c>
      <c r="AB784">
        <v>0</v>
      </c>
      <c r="AC784" s="34">
        <v>0.10100000000000001</v>
      </c>
      <c r="AD784" s="32">
        <v>1.022</v>
      </c>
    </row>
    <row r="785" spans="1:30">
      <c r="A785">
        <v>783</v>
      </c>
      <c r="B785">
        <v>20</v>
      </c>
      <c r="C785">
        <v>0.81200000000000006</v>
      </c>
      <c r="D785">
        <v>2.39</v>
      </c>
      <c r="E785">
        <v>0</v>
      </c>
      <c r="F785">
        <v>1.246</v>
      </c>
      <c r="G785">
        <v>0</v>
      </c>
      <c r="H785">
        <v>9.4E-2</v>
      </c>
      <c r="I785">
        <v>1.0620000000000001</v>
      </c>
      <c r="K785">
        <v>783</v>
      </c>
      <c r="L785">
        <v>20</v>
      </c>
      <c r="M785" s="32">
        <v>0.81200000000000006</v>
      </c>
      <c r="N785" s="32">
        <v>2.39</v>
      </c>
      <c r="P785" s="47">
        <v>1.2470000000000001</v>
      </c>
      <c r="R785" s="47">
        <v>9.6000000000000002E-2</v>
      </c>
      <c r="S785" s="47">
        <v>1.0129999999999999</v>
      </c>
      <c r="T785" s="31">
        <v>0</v>
      </c>
      <c r="V785">
        <v>783</v>
      </c>
      <c r="W785">
        <v>19</v>
      </c>
      <c r="X785">
        <v>0.82399999999999995</v>
      </c>
      <c r="Y785" s="32">
        <v>2.39</v>
      </c>
      <c r="Z785">
        <v>0</v>
      </c>
      <c r="AA785" s="32">
        <v>1.242</v>
      </c>
      <c r="AB785">
        <v>0</v>
      </c>
      <c r="AC785" s="34">
        <v>0.10100000000000001</v>
      </c>
      <c r="AD785" s="32">
        <v>1.024</v>
      </c>
    </row>
    <row r="786" spans="1:30">
      <c r="A786">
        <v>784</v>
      </c>
      <c r="B786">
        <v>20</v>
      </c>
      <c r="C786">
        <v>0.81299999999999994</v>
      </c>
      <c r="D786">
        <v>2.39</v>
      </c>
      <c r="E786">
        <v>0</v>
      </c>
      <c r="F786">
        <v>1.246</v>
      </c>
      <c r="G786">
        <v>0</v>
      </c>
      <c r="H786">
        <v>9.4E-2</v>
      </c>
      <c r="I786">
        <v>1.0629999999999999</v>
      </c>
      <c r="K786">
        <v>784</v>
      </c>
      <c r="L786">
        <v>20</v>
      </c>
      <c r="M786" s="32">
        <v>0.81299999999999994</v>
      </c>
      <c r="N786" s="32">
        <v>2.39</v>
      </c>
      <c r="P786" s="47">
        <v>1.248</v>
      </c>
      <c r="R786" s="47">
        <v>9.6000000000000002E-2</v>
      </c>
      <c r="S786" s="47">
        <v>1.0149999999999999</v>
      </c>
      <c r="T786" s="31">
        <v>0</v>
      </c>
      <c r="V786">
        <v>784</v>
      </c>
      <c r="W786">
        <v>19</v>
      </c>
      <c r="X786">
        <v>0.82499999999999996</v>
      </c>
      <c r="Y786" s="32">
        <v>2.39</v>
      </c>
      <c r="Z786">
        <v>0</v>
      </c>
      <c r="AA786" s="32">
        <v>1.242</v>
      </c>
      <c r="AB786">
        <v>0</v>
      </c>
      <c r="AC786" s="34">
        <v>0.10100000000000001</v>
      </c>
      <c r="AD786" s="32">
        <v>1.0249999999999999</v>
      </c>
    </row>
    <row r="787" spans="1:30">
      <c r="A787">
        <v>785</v>
      </c>
      <c r="B787">
        <v>20</v>
      </c>
      <c r="C787">
        <v>0.81399999999999995</v>
      </c>
      <c r="D787">
        <v>2.39</v>
      </c>
      <c r="E787">
        <v>0</v>
      </c>
      <c r="F787">
        <v>1.246</v>
      </c>
      <c r="G787">
        <v>0</v>
      </c>
      <c r="H787">
        <v>9.4E-2</v>
      </c>
      <c r="I787">
        <v>1.0649999999999999</v>
      </c>
      <c r="K787">
        <v>785</v>
      </c>
      <c r="L787">
        <v>20</v>
      </c>
      <c r="M787" s="32">
        <v>0.81399999999999995</v>
      </c>
      <c r="N787" s="32">
        <v>2.39</v>
      </c>
      <c r="P787" s="47">
        <v>1.248</v>
      </c>
      <c r="R787" s="47">
        <v>9.6000000000000002E-2</v>
      </c>
      <c r="S787" s="47">
        <v>1.016</v>
      </c>
      <c r="T787" s="31">
        <v>0</v>
      </c>
      <c r="V787">
        <v>785</v>
      </c>
      <c r="W787">
        <v>19</v>
      </c>
      <c r="X787">
        <v>0.82599999999999996</v>
      </c>
      <c r="Y787" s="32">
        <v>2.39</v>
      </c>
      <c r="Z787">
        <v>0</v>
      </c>
      <c r="AA787" s="32">
        <v>1.242</v>
      </c>
      <c r="AB787">
        <v>0</v>
      </c>
      <c r="AC787" s="34">
        <v>0.10100000000000001</v>
      </c>
      <c r="AD787" s="32">
        <v>1.026</v>
      </c>
    </row>
    <row r="788" spans="1:30">
      <c r="A788">
        <v>786</v>
      </c>
      <c r="B788">
        <v>20</v>
      </c>
      <c r="C788">
        <v>0.81499999999999995</v>
      </c>
      <c r="D788">
        <v>2.39</v>
      </c>
      <c r="E788">
        <v>0</v>
      </c>
      <c r="F788">
        <v>1.246</v>
      </c>
      <c r="G788">
        <v>0</v>
      </c>
      <c r="H788">
        <v>9.4E-2</v>
      </c>
      <c r="I788">
        <v>1.0669999999999999</v>
      </c>
      <c r="K788">
        <v>786</v>
      </c>
      <c r="L788">
        <v>20</v>
      </c>
      <c r="M788" s="32">
        <v>0.81499999999999995</v>
      </c>
      <c r="N788" s="32">
        <v>2.39</v>
      </c>
      <c r="P788" s="47">
        <v>1.2490000000000001</v>
      </c>
      <c r="R788" s="47">
        <v>9.6000000000000002E-2</v>
      </c>
      <c r="S788" s="47">
        <v>1.018</v>
      </c>
      <c r="T788" s="31">
        <v>0</v>
      </c>
      <c r="V788">
        <v>786</v>
      </c>
      <c r="W788">
        <v>19</v>
      </c>
      <c r="X788">
        <v>0.82699999999999996</v>
      </c>
      <c r="Y788" s="32">
        <v>2.39</v>
      </c>
      <c r="Z788">
        <v>0</v>
      </c>
      <c r="AA788" s="32">
        <v>1.242</v>
      </c>
      <c r="AB788">
        <v>0</v>
      </c>
      <c r="AC788" s="34">
        <v>0.10100000000000001</v>
      </c>
      <c r="AD788" s="32">
        <v>1.028</v>
      </c>
    </row>
    <row r="789" spans="1:30">
      <c r="A789">
        <v>787</v>
      </c>
      <c r="B789">
        <v>20</v>
      </c>
      <c r="C789">
        <v>0.81599999999999995</v>
      </c>
      <c r="D789">
        <v>2.39</v>
      </c>
      <c r="E789">
        <v>0</v>
      </c>
      <c r="F789">
        <v>1.246</v>
      </c>
      <c r="G789">
        <v>0</v>
      </c>
      <c r="H789">
        <v>9.4E-2</v>
      </c>
      <c r="I789">
        <v>1.0680000000000001</v>
      </c>
      <c r="K789">
        <v>787</v>
      </c>
      <c r="L789">
        <v>20</v>
      </c>
      <c r="M789" s="32">
        <v>0.81599999999999995</v>
      </c>
      <c r="N789" s="32">
        <v>2.39</v>
      </c>
      <c r="P789" s="47">
        <v>1.2490000000000001</v>
      </c>
      <c r="R789" s="47">
        <v>9.6000000000000002E-2</v>
      </c>
      <c r="S789" s="47">
        <v>1.02</v>
      </c>
      <c r="T789" s="31">
        <v>0</v>
      </c>
      <c r="V789">
        <v>787</v>
      </c>
      <c r="W789">
        <v>19</v>
      </c>
      <c r="X789">
        <v>0.82799999999999996</v>
      </c>
      <c r="Y789" s="32">
        <v>2.39</v>
      </c>
      <c r="Z789">
        <v>0</v>
      </c>
      <c r="AA789" s="32">
        <v>1.2430000000000001</v>
      </c>
      <c r="AB789">
        <v>0</v>
      </c>
      <c r="AC789" s="34">
        <v>0.10199999999999999</v>
      </c>
      <c r="AD789" s="32">
        <v>1.0289999999999999</v>
      </c>
    </row>
    <row r="790" spans="1:30">
      <c r="A790">
        <v>788</v>
      </c>
      <c r="B790">
        <v>20</v>
      </c>
      <c r="C790">
        <v>0.81699999999999995</v>
      </c>
      <c r="D790">
        <v>2.39</v>
      </c>
      <c r="E790">
        <v>0</v>
      </c>
      <c r="F790">
        <v>1.246</v>
      </c>
      <c r="G790">
        <v>0</v>
      </c>
      <c r="H790">
        <v>9.4E-2</v>
      </c>
      <c r="I790">
        <v>1.07</v>
      </c>
      <c r="K790">
        <v>788</v>
      </c>
      <c r="L790">
        <v>20</v>
      </c>
      <c r="M790" s="32">
        <v>0.81699999999999995</v>
      </c>
      <c r="N790" s="32">
        <v>2.39</v>
      </c>
      <c r="P790" s="47">
        <v>1.25</v>
      </c>
      <c r="R790" s="47">
        <v>9.6000000000000002E-2</v>
      </c>
      <c r="S790" s="47">
        <v>1.0209999999999999</v>
      </c>
      <c r="T790" s="31">
        <v>0</v>
      </c>
      <c r="V790">
        <v>788</v>
      </c>
      <c r="W790">
        <v>19</v>
      </c>
      <c r="X790">
        <v>0.82899999999999996</v>
      </c>
      <c r="Y790" s="32">
        <v>2.39</v>
      </c>
      <c r="Z790">
        <v>0</v>
      </c>
      <c r="AA790" s="32">
        <v>1.2430000000000001</v>
      </c>
      <c r="AB790">
        <v>0</v>
      </c>
      <c r="AC790" s="34">
        <v>0.10199999999999999</v>
      </c>
      <c r="AD790" s="32">
        <v>1.0309999999999999</v>
      </c>
    </row>
    <row r="791" spans="1:30">
      <c r="A791">
        <v>789</v>
      </c>
      <c r="B791">
        <v>20</v>
      </c>
      <c r="C791">
        <v>0.81799999999999995</v>
      </c>
      <c r="D791">
        <v>2.39</v>
      </c>
      <c r="E791">
        <v>0</v>
      </c>
      <c r="F791">
        <v>1.246</v>
      </c>
      <c r="G791">
        <v>0</v>
      </c>
      <c r="H791">
        <v>9.4E-2</v>
      </c>
      <c r="I791">
        <v>1.071</v>
      </c>
      <c r="K791">
        <v>789</v>
      </c>
      <c r="L791">
        <v>20</v>
      </c>
      <c r="M791" s="32">
        <v>0.81799999999999995</v>
      </c>
      <c r="N791" s="32">
        <v>2.39</v>
      </c>
      <c r="P791" s="47">
        <v>1.25</v>
      </c>
      <c r="R791" s="47">
        <v>9.6000000000000002E-2</v>
      </c>
      <c r="S791" s="47">
        <v>1.0229999999999999</v>
      </c>
      <c r="T791" s="31">
        <v>0</v>
      </c>
      <c r="V791">
        <v>789</v>
      </c>
      <c r="W791">
        <v>19</v>
      </c>
      <c r="X791">
        <v>0.83</v>
      </c>
      <c r="Y791" s="32">
        <v>2.39</v>
      </c>
      <c r="Z791">
        <v>0</v>
      </c>
      <c r="AA791" s="32">
        <v>1.2430000000000001</v>
      </c>
      <c r="AB791">
        <v>0</v>
      </c>
      <c r="AC791" s="34">
        <v>0.10199999999999999</v>
      </c>
      <c r="AD791" s="32">
        <v>1.032</v>
      </c>
    </row>
    <row r="792" spans="1:30">
      <c r="A792">
        <v>790</v>
      </c>
      <c r="B792">
        <v>20</v>
      </c>
      <c r="C792">
        <v>0.81899999999999995</v>
      </c>
      <c r="D792">
        <v>2.39</v>
      </c>
      <c r="E792">
        <v>0</v>
      </c>
      <c r="F792">
        <v>1.246</v>
      </c>
      <c r="G792">
        <v>0</v>
      </c>
      <c r="H792">
        <v>9.4E-2</v>
      </c>
      <c r="I792">
        <v>1.073</v>
      </c>
      <c r="K792">
        <v>790</v>
      </c>
      <c r="L792">
        <v>20</v>
      </c>
      <c r="M792" s="32">
        <v>0.81899999999999995</v>
      </c>
      <c r="N792" s="32">
        <v>2.39</v>
      </c>
      <c r="P792" s="47">
        <v>1.2509999999999999</v>
      </c>
      <c r="R792" s="47">
        <v>9.6000000000000002E-2</v>
      </c>
      <c r="S792" s="47">
        <v>1.024</v>
      </c>
      <c r="T792" s="31">
        <v>0</v>
      </c>
      <c r="V792">
        <v>790</v>
      </c>
      <c r="W792">
        <v>19</v>
      </c>
      <c r="X792">
        <v>0.83099999999999996</v>
      </c>
      <c r="Y792" s="32">
        <v>2.4009999999999998</v>
      </c>
      <c r="Z792">
        <v>0</v>
      </c>
      <c r="AA792" s="32">
        <v>1.2430000000000001</v>
      </c>
      <c r="AB792">
        <v>0</v>
      </c>
      <c r="AC792" s="34">
        <v>0.10199999999999999</v>
      </c>
      <c r="AD792" s="32">
        <v>1.0329999999999999</v>
      </c>
    </row>
    <row r="793" spans="1:30">
      <c r="A793">
        <v>791</v>
      </c>
      <c r="B793">
        <v>20</v>
      </c>
      <c r="C793">
        <v>0.82</v>
      </c>
      <c r="D793">
        <v>2.39</v>
      </c>
      <c r="E793">
        <v>0</v>
      </c>
      <c r="F793">
        <v>1.2509999999999999</v>
      </c>
      <c r="G793">
        <v>0</v>
      </c>
      <c r="H793">
        <v>9.4E-2</v>
      </c>
      <c r="I793">
        <v>1.091</v>
      </c>
      <c r="K793">
        <v>791</v>
      </c>
      <c r="L793">
        <v>20</v>
      </c>
      <c r="M793" s="32">
        <v>0.82</v>
      </c>
      <c r="N793" s="32">
        <v>2.39</v>
      </c>
      <c r="P793" s="32">
        <v>1.2509999999999999</v>
      </c>
      <c r="R793" s="47">
        <v>9.6000000000000002E-2</v>
      </c>
      <c r="S793" s="47">
        <v>1.026</v>
      </c>
      <c r="T793" s="31">
        <v>0</v>
      </c>
      <c r="V793">
        <v>791</v>
      </c>
      <c r="W793">
        <v>19</v>
      </c>
      <c r="X793">
        <v>0.83199999999999996</v>
      </c>
      <c r="Y793" s="32">
        <v>2.4119999999999999</v>
      </c>
      <c r="Z793">
        <v>0</v>
      </c>
      <c r="AA793" s="32">
        <v>1.2430000000000001</v>
      </c>
      <c r="AB793">
        <v>0</v>
      </c>
      <c r="AC793" s="34">
        <v>0.10199999999999999</v>
      </c>
      <c r="AD793" s="32">
        <v>1.0349999999999999</v>
      </c>
    </row>
    <row r="794" spans="1:30">
      <c r="A794">
        <v>792</v>
      </c>
      <c r="B794">
        <v>20</v>
      </c>
      <c r="C794">
        <v>0.82099999999999995</v>
      </c>
      <c r="D794">
        <v>2.39</v>
      </c>
      <c r="E794">
        <v>0</v>
      </c>
      <c r="F794">
        <v>1.2509999999999999</v>
      </c>
      <c r="G794">
        <v>0</v>
      </c>
      <c r="H794">
        <v>9.4E-2</v>
      </c>
      <c r="I794">
        <v>1.0920000000000001</v>
      </c>
      <c r="K794">
        <v>792</v>
      </c>
      <c r="L794">
        <v>20</v>
      </c>
      <c r="M794" s="32">
        <v>0.82099999999999995</v>
      </c>
      <c r="N794" s="32">
        <v>2.39</v>
      </c>
      <c r="P794" s="47">
        <v>1.252</v>
      </c>
      <c r="R794" s="47">
        <v>9.6000000000000002E-2</v>
      </c>
      <c r="S794" s="47">
        <v>1.028</v>
      </c>
      <c r="T794" s="31">
        <v>0</v>
      </c>
      <c r="V794">
        <v>792</v>
      </c>
      <c r="W794">
        <v>19</v>
      </c>
      <c r="X794">
        <v>0.83299999999999996</v>
      </c>
      <c r="Y794" s="32">
        <v>2.423</v>
      </c>
      <c r="Z794">
        <v>0</v>
      </c>
      <c r="AA794" s="32">
        <v>1.244</v>
      </c>
      <c r="AB794">
        <v>0</v>
      </c>
      <c r="AC794" s="34">
        <v>0.10199999999999999</v>
      </c>
      <c r="AD794" s="32">
        <v>1.036</v>
      </c>
    </row>
    <row r="795" spans="1:30">
      <c r="A795">
        <v>793</v>
      </c>
      <c r="B795">
        <v>20</v>
      </c>
      <c r="C795">
        <v>0.82199999999999995</v>
      </c>
      <c r="D795">
        <v>2.39</v>
      </c>
      <c r="E795">
        <v>0</v>
      </c>
      <c r="F795">
        <v>1.2509999999999999</v>
      </c>
      <c r="G795">
        <v>0</v>
      </c>
      <c r="H795">
        <v>9.4E-2</v>
      </c>
      <c r="I795">
        <v>1.0940000000000001</v>
      </c>
      <c r="K795">
        <v>793</v>
      </c>
      <c r="L795">
        <v>20</v>
      </c>
      <c r="M795" s="32">
        <v>0.82199999999999995</v>
      </c>
      <c r="N795" s="32">
        <v>2.39</v>
      </c>
      <c r="P795" s="47">
        <v>1.252</v>
      </c>
      <c r="R795" s="47">
        <v>9.6000000000000002E-2</v>
      </c>
      <c r="S795" s="47">
        <v>1.0289999999999999</v>
      </c>
      <c r="T795" s="31">
        <v>0</v>
      </c>
      <c r="V795">
        <v>793</v>
      </c>
      <c r="W795">
        <v>19</v>
      </c>
      <c r="X795">
        <v>0.83399999999999996</v>
      </c>
      <c r="Y795" s="32">
        <v>2.4340000000000002</v>
      </c>
      <c r="Z795">
        <v>0</v>
      </c>
      <c r="AA795" s="32">
        <v>1.244</v>
      </c>
      <c r="AB795">
        <v>0</v>
      </c>
      <c r="AC795" s="34">
        <v>0.10199999999999999</v>
      </c>
      <c r="AD795" s="32">
        <v>1.038</v>
      </c>
    </row>
    <row r="796" spans="1:30">
      <c r="A796">
        <v>794</v>
      </c>
      <c r="B796">
        <v>20</v>
      </c>
      <c r="C796">
        <v>0.82299999999999995</v>
      </c>
      <c r="D796">
        <v>2.39</v>
      </c>
      <c r="E796">
        <v>0</v>
      </c>
      <c r="F796">
        <v>1.2509999999999999</v>
      </c>
      <c r="G796">
        <v>0</v>
      </c>
      <c r="H796">
        <v>9.4E-2</v>
      </c>
      <c r="I796">
        <v>1.0960000000000001</v>
      </c>
      <c r="K796">
        <v>794</v>
      </c>
      <c r="L796">
        <v>20</v>
      </c>
      <c r="M796" s="32">
        <v>0.82299999999999995</v>
      </c>
      <c r="N796" s="32">
        <v>2.39</v>
      </c>
      <c r="P796" s="47">
        <v>1.2529999999999999</v>
      </c>
      <c r="R796" s="47">
        <v>9.6000000000000002E-2</v>
      </c>
      <c r="S796" s="47">
        <v>1.0309999999999999</v>
      </c>
      <c r="T796" s="31">
        <v>0</v>
      </c>
      <c r="V796">
        <v>794</v>
      </c>
      <c r="W796">
        <v>19</v>
      </c>
      <c r="X796">
        <v>0.83499999999999996</v>
      </c>
      <c r="Y796" s="32">
        <v>2.4449999999999998</v>
      </c>
      <c r="Z796">
        <v>0</v>
      </c>
      <c r="AA796" s="32">
        <v>1.244</v>
      </c>
      <c r="AB796">
        <v>0</v>
      </c>
      <c r="AC796" s="34">
        <v>0.10199999999999999</v>
      </c>
      <c r="AD796" s="32">
        <v>1.0389999999999999</v>
      </c>
    </row>
    <row r="797" spans="1:30">
      <c r="A797">
        <v>795</v>
      </c>
      <c r="B797">
        <v>20</v>
      </c>
      <c r="C797">
        <v>0.82399999999999995</v>
      </c>
      <c r="D797">
        <v>2.39</v>
      </c>
      <c r="E797">
        <v>0</v>
      </c>
      <c r="F797">
        <v>1.2509999999999999</v>
      </c>
      <c r="G797">
        <v>0</v>
      </c>
      <c r="H797">
        <v>9.4E-2</v>
      </c>
      <c r="I797">
        <v>1.097</v>
      </c>
      <c r="K797">
        <v>795</v>
      </c>
      <c r="L797">
        <v>20</v>
      </c>
      <c r="M797" s="32">
        <v>0.82399999999999995</v>
      </c>
      <c r="N797" s="32">
        <v>2.39</v>
      </c>
      <c r="P797" s="47">
        <v>1.2529999999999999</v>
      </c>
      <c r="R797" s="47">
        <v>9.6000000000000002E-2</v>
      </c>
      <c r="S797" s="47">
        <v>1.0329999999999999</v>
      </c>
      <c r="T797" s="31">
        <v>0</v>
      </c>
      <c r="V797">
        <v>795</v>
      </c>
      <c r="W797">
        <v>19</v>
      </c>
      <c r="X797">
        <v>0.83599999999999997</v>
      </c>
      <c r="Y797" s="32">
        <v>2.456</v>
      </c>
      <c r="Z797">
        <v>0</v>
      </c>
      <c r="AA797" s="32">
        <v>1.244</v>
      </c>
      <c r="AB797">
        <v>0</v>
      </c>
      <c r="AC797" s="34">
        <v>0.10199999999999999</v>
      </c>
      <c r="AD797" s="32">
        <v>1.04</v>
      </c>
    </row>
    <row r="798" spans="1:30">
      <c r="A798">
        <v>796</v>
      </c>
      <c r="B798">
        <v>20</v>
      </c>
      <c r="C798">
        <v>0.82499999999999996</v>
      </c>
      <c r="D798">
        <v>2.39</v>
      </c>
      <c r="E798">
        <v>0</v>
      </c>
      <c r="F798">
        <v>1.2509999999999999</v>
      </c>
      <c r="G798">
        <v>0</v>
      </c>
      <c r="H798">
        <v>9.4E-2</v>
      </c>
      <c r="I798">
        <v>1.099</v>
      </c>
      <c r="K798">
        <v>796</v>
      </c>
      <c r="L798">
        <v>20</v>
      </c>
      <c r="M798" s="32">
        <v>0.82499999999999996</v>
      </c>
      <c r="N798" s="32">
        <v>2.39</v>
      </c>
      <c r="P798" s="47">
        <v>1.254</v>
      </c>
      <c r="R798" s="47">
        <v>9.6000000000000002E-2</v>
      </c>
      <c r="S798" s="47">
        <v>1.0349999999999999</v>
      </c>
      <c r="T798" s="31">
        <v>0</v>
      </c>
      <c r="V798">
        <v>796</v>
      </c>
      <c r="W798">
        <v>19</v>
      </c>
      <c r="X798">
        <v>0.83699999999999997</v>
      </c>
      <c r="Y798" s="32">
        <v>2.4670000000000001</v>
      </c>
      <c r="Z798">
        <v>0</v>
      </c>
      <c r="AA798" s="32">
        <v>1.244</v>
      </c>
      <c r="AB798">
        <v>0</v>
      </c>
      <c r="AC798" s="34">
        <v>0.10199999999999999</v>
      </c>
      <c r="AD798" s="32">
        <v>1.042</v>
      </c>
    </row>
    <row r="799" spans="1:30">
      <c r="A799">
        <v>797</v>
      </c>
      <c r="B799">
        <v>20</v>
      </c>
      <c r="C799">
        <v>0.82599999999999996</v>
      </c>
      <c r="D799">
        <v>2.39</v>
      </c>
      <c r="E799">
        <v>0</v>
      </c>
      <c r="F799">
        <v>1.2509999999999999</v>
      </c>
      <c r="G799">
        <v>0</v>
      </c>
      <c r="H799">
        <v>9.4E-2</v>
      </c>
      <c r="I799">
        <v>1.1000000000000001</v>
      </c>
      <c r="K799">
        <v>797</v>
      </c>
      <c r="L799">
        <v>20</v>
      </c>
      <c r="M799" s="32">
        <v>0.82599999999999996</v>
      </c>
      <c r="N799" s="32">
        <v>2.39</v>
      </c>
      <c r="P799" s="47">
        <v>1.254</v>
      </c>
      <c r="R799" s="47">
        <v>9.6000000000000002E-2</v>
      </c>
      <c r="S799" s="47">
        <v>1.036</v>
      </c>
      <c r="T799" s="31">
        <v>0</v>
      </c>
      <c r="V799">
        <v>797</v>
      </c>
      <c r="W799">
        <v>19</v>
      </c>
      <c r="X799">
        <v>0.83799999999999997</v>
      </c>
      <c r="Y799" s="32">
        <v>2.4780000000000002</v>
      </c>
      <c r="Z799">
        <v>0</v>
      </c>
      <c r="AA799" s="32">
        <v>1.2450000000000001</v>
      </c>
      <c r="AB799">
        <v>0</v>
      </c>
      <c r="AC799" s="34">
        <v>0.10199999999999999</v>
      </c>
      <c r="AD799" s="32">
        <v>1.0429999999999999</v>
      </c>
    </row>
    <row r="800" spans="1:30">
      <c r="A800">
        <v>798</v>
      </c>
      <c r="B800">
        <v>20</v>
      </c>
      <c r="C800">
        <v>0.82699999999999996</v>
      </c>
      <c r="D800">
        <v>2.39</v>
      </c>
      <c r="E800">
        <v>0</v>
      </c>
      <c r="F800">
        <v>1.2509999999999999</v>
      </c>
      <c r="G800">
        <v>0</v>
      </c>
      <c r="H800">
        <v>9.4E-2</v>
      </c>
      <c r="I800">
        <v>1.1020000000000001</v>
      </c>
      <c r="K800">
        <v>798</v>
      </c>
      <c r="L800">
        <v>20</v>
      </c>
      <c r="M800" s="32">
        <v>0.82699999999999996</v>
      </c>
      <c r="N800" s="32">
        <v>2.39</v>
      </c>
      <c r="P800" s="47">
        <v>1.2549999999999999</v>
      </c>
      <c r="R800" s="47">
        <v>9.6000000000000002E-2</v>
      </c>
      <c r="S800" s="47">
        <v>1.038</v>
      </c>
      <c r="T800" s="31">
        <v>0</v>
      </c>
      <c r="V800">
        <v>798</v>
      </c>
      <c r="W800">
        <v>19</v>
      </c>
      <c r="X800">
        <v>0.83899999999999997</v>
      </c>
      <c r="Y800" s="32">
        <v>2.4889999999999999</v>
      </c>
      <c r="Z800">
        <v>0</v>
      </c>
      <c r="AA800" s="32">
        <v>1.2450000000000001</v>
      </c>
      <c r="AB800">
        <v>0</v>
      </c>
      <c r="AC800" s="34">
        <v>0.10299999999999999</v>
      </c>
      <c r="AD800" s="32">
        <v>1.0449999999999999</v>
      </c>
    </row>
    <row r="801" spans="1:30">
      <c r="A801">
        <v>799</v>
      </c>
      <c r="B801">
        <v>20</v>
      </c>
      <c r="C801">
        <v>0.82799999999999996</v>
      </c>
      <c r="D801">
        <v>2.39</v>
      </c>
      <c r="E801">
        <v>0</v>
      </c>
      <c r="F801">
        <v>1.2509999999999999</v>
      </c>
      <c r="G801">
        <v>0</v>
      </c>
      <c r="H801">
        <v>9.4E-2</v>
      </c>
      <c r="I801">
        <v>1.1040000000000001</v>
      </c>
      <c r="K801">
        <v>799</v>
      </c>
      <c r="L801">
        <v>20</v>
      </c>
      <c r="M801" s="32">
        <v>0.82799999999999996</v>
      </c>
      <c r="N801" s="32">
        <v>2.39</v>
      </c>
      <c r="P801" s="47">
        <v>1.2549999999999999</v>
      </c>
      <c r="R801" s="47">
        <v>9.6000000000000002E-2</v>
      </c>
      <c r="S801" s="47">
        <v>1.04</v>
      </c>
      <c r="T801" s="31">
        <v>0</v>
      </c>
      <c r="V801">
        <v>799</v>
      </c>
      <c r="W801">
        <v>19</v>
      </c>
      <c r="X801">
        <v>0.84</v>
      </c>
      <c r="Y801" s="32">
        <v>2.5</v>
      </c>
      <c r="Z801">
        <v>0</v>
      </c>
      <c r="AA801" s="32">
        <v>1.2450000000000001</v>
      </c>
      <c r="AB801">
        <v>0</v>
      </c>
      <c r="AC801" s="34">
        <v>0.10299999999999999</v>
      </c>
      <c r="AD801" s="32">
        <v>1.046</v>
      </c>
    </row>
    <row r="802" spans="1:30">
      <c r="A802">
        <v>800</v>
      </c>
      <c r="B802">
        <v>20</v>
      </c>
      <c r="C802">
        <v>0.82899999999999996</v>
      </c>
      <c r="D802">
        <v>2.39</v>
      </c>
      <c r="E802">
        <v>0</v>
      </c>
      <c r="F802">
        <v>1.2509999999999999</v>
      </c>
      <c r="G802">
        <v>0</v>
      </c>
      <c r="H802">
        <v>9.4E-2</v>
      </c>
      <c r="I802">
        <v>1.105</v>
      </c>
      <c r="K802">
        <v>800</v>
      </c>
      <c r="L802">
        <v>20</v>
      </c>
      <c r="M802" s="32">
        <v>0.82899999999999996</v>
      </c>
      <c r="N802" s="32">
        <v>2.39</v>
      </c>
      <c r="P802" s="47">
        <v>1.256</v>
      </c>
      <c r="R802" s="47">
        <v>9.6000000000000002E-2</v>
      </c>
      <c r="S802" s="47">
        <v>1.0409999999999999</v>
      </c>
      <c r="T802" s="31">
        <v>0</v>
      </c>
      <c r="V802">
        <v>800</v>
      </c>
      <c r="W802">
        <v>19</v>
      </c>
      <c r="X802">
        <v>0.84099999999999997</v>
      </c>
      <c r="Y802" s="32">
        <v>2.5</v>
      </c>
      <c r="Z802">
        <v>0</v>
      </c>
      <c r="AA802" s="32">
        <v>1.2450000000000001</v>
      </c>
      <c r="AB802">
        <v>0</v>
      </c>
      <c r="AC802" s="34">
        <v>0.10299999999999999</v>
      </c>
      <c r="AD802" s="32">
        <v>1.0469999999999999</v>
      </c>
    </row>
    <row r="803" spans="1:30">
      <c r="A803">
        <v>801</v>
      </c>
      <c r="B803">
        <v>20</v>
      </c>
      <c r="C803">
        <v>0.83</v>
      </c>
      <c r="D803">
        <v>2.39</v>
      </c>
      <c r="E803">
        <v>0</v>
      </c>
      <c r="F803">
        <v>1.256</v>
      </c>
      <c r="G803">
        <v>0</v>
      </c>
      <c r="H803">
        <v>9.4E-2</v>
      </c>
      <c r="I803">
        <v>1.1240000000000001</v>
      </c>
      <c r="K803">
        <v>801</v>
      </c>
      <c r="L803">
        <v>20</v>
      </c>
      <c r="M803" s="32">
        <v>0.83</v>
      </c>
      <c r="N803" s="32">
        <v>2.39</v>
      </c>
      <c r="P803" s="32">
        <v>1.256</v>
      </c>
      <c r="R803" s="47">
        <v>9.7000000000000003E-2</v>
      </c>
      <c r="S803" s="47">
        <v>1.0429999999999999</v>
      </c>
      <c r="T803" s="31">
        <v>0</v>
      </c>
      <c r="V803">
        <v>801</v>
      </c>
      <c r="W803">
        <v>19</v>
      </c>
      <c r="X803">
        <v>0.84199999999999997</v>
      </c>
      <c r="Y803" s="32">
        <v>2.5</v>
      </c>
      <c r="Z803">
        <v>0</v>
      </c>
      <c r="AA803" s="32">
        <v>1.2450000000000001</v>
      </c>
      <c r="AB803">
        <v>0</v>
      </c>
      <c r="AC803" s="34">
        <v>0.10299999999999999</v>
      </c>
      <c r="AD803" s="32">
        <v>1.0489999999999999</v>
      </c>
    </row>
    <row r="804" spans="1:30">
      <c r="A804">
        <v>802</v>
      </c>
      <c r="B804">
        <v>20</v>
      </c>
      <c r="C804">
        <v>0.83099999999999996</v>
      </c>
      <c r="D804">
        <v>2.39</v>
      </c>
      <c r="E804">
        <v>0</v>
      </c>
      <c r="F804">
        <v>1.256</v>
      </c>
      <c r="G804">
        <v>0</v>
      </c>
      <c r="H804">
        <v>9.4E-2</v>
      </c>
      <c r="I804">
        <v>1.125</v>
      </c>
      <c r="K804">
        <v>802</v>
      </c>
      <c r="L804">
        <v>20</v>
      </c>
      <c r="M804" s="32">
        <v>0.83099999999999996</v>
      </c>
      <c r="N804" s="47">
        <v>2.4009999999999998</v>
      </c>
      <c r="P804" s="47">
        <v>1.2569999999999999</v>
      </c>
      <c r="R804" s="47">
        <v>9.7000000000000003E-2</v>
      </c>
      <c r="S804" s="47">
        <v>1.0449999999999999</v>
      </c>
      <c r="T804" s="31">
        <v>0</v>
      </c>
      <c r="V804">
        <v>802</v>
      </c>
      <c r="W804">
        <v>19</v>
      </c>
      <c r="X804">
        <v>0.84299999999999997</v>
      </c>
      <c r="Y804" s="32">
        <v>2.5</v>
      </c>
      <c r="Z804">
        <v>0</v>
      </c>
      <c r="AA804" s="32">
        <v>1.246</v>
      </c>
      <c r="AB804">
        <v>0</v>
      </c>
      <c r="AC804" s="34">
        <v>0.10299999999999999</v>
      </c>
      <c r="AD804" s="32">
        <v>1.05</v>
      </c>
    </row>
    <row r="805" spans="1:30">
      <c r="A805">
        <v>803</v>
      </c>
      <c r="B805">
        <v>20</v>
      </c>
      <c r="C805">
        <v>0.83199999999999996</v>
      </c>
      <c r="D805">
        <v>2.39</v>
      </c>
      <c r="E805">
        <v>0</v>
      </c>
      <c r="F805">
        <v>1.256</v>
      </c>
      <c r="G805">
        <v>0</v>
      </c>
      <c r="H805">
        <v>9.4E-2</v>
      </c>
      <c r="I805">
        <v>1.127</v>
      </c>
      <c r="K805">
        <v>803</v>
      </c>
      <c r="L805">
        <v>20</v>
      </c>
      <c r="M805" s="32">
        <v>0.83199999999999996</v>
      </c>
      <c r="N805" s="47">
        <v>2.4119999999999999</v>
      </c>
      <c r="P805" s="47">
        <v>1.2569999999999999</v>
      </c>
      <c r="R805" s="47">
        <v>9.7000000000000003E-2</v>
      </c>
      <c r="S805" s="47">
        <v>1.0469999999999999</v>
      </c>
      <c r="T805" s="31">
        <v>0</v>
      </c>
      <c r="V805">
        <v>803</v>
      </c>
      <c r="W805">
        <v>19</v>
      </c>
      <c r="X805">
        <v>0.84399999999999997</v>
      </c>
      <c r="Y805" s="32">
        <v>2.5</v>
      </c>
      <c r="Z805">
        <v>0</v>
      </c>
      <c r="AA805" s="32">
        <v>1.246</v>
      </c>
      <c r="AB805">
        <v>0</v>
      </c>
      <c r="AC805" s="34">
        <v>0.10299999999999999</v>
      </c>
      <c r="AD805" s="32">
        <v>1.052</v>
      </c>
    </row>
    <row r="806" spans="1:30">
      <c r="A806">
        <v>804</v>
      </c>
      <c r="B806">
        <v>20</v>
      </c>
      <c r="C806">
        <v>0.83299999999999996</v>
      </c>
      <c r="D806">
        <v>2.39</v>
      </c>
      <c r="E806">
        <v>0</v>
      </c>
      <c r="F806">
        <v>1.256</v>
      </c>
      <c r="G806">
        <v>0</v>
      </c>
      <c r="H806">
        <v>9.4E-2</v>
      </c>
      <c r="I806">
        <v>1.129</v>
      </c>
      <c r="K806">
        <v>804</v>
      </c>
      <c r="L806">
        <v>20</v>
      </c>
      <c r="M806" s="32">
        <v>0.83299999999999996</v>
      </c>
      <c r="N806" s="47">
        <v>2.423</v>
      </c>
      <c r="P806" s="47">
        <v>1.258</v>
      </c>
      <c r="R806" s="47">
        <v>9.7000000000000003E-2</v>
      </c>
      <c r="S806" s="47">
        <v>1.0489999999999999</v>
      </c>
      <c r="T806" s="31">
        <v>0</v>
      </c>
      <c r="V806">
        <v>804</v>
      </c>
      <c r="W806">
        <v>19</v>
      </c>
      <c r="X806">
        <v>0.84499999999999997</v>
      </c>
      <c r="Y806" s="32">
        <v>2.5</v>
      </c>
      <c r="Z806">
        <v>0</v>
      </c>
      <c r="AA806" s="32">
        <v>1.246</v>
      </c>
      <c r="AB806">
        <v>0</v>
      </c>
      <c r="AC806" s="34">
        <v>0.10299999999999999</v>
      </c>
      <c r="AD806" s="32">
        <v>1.0529999999999999</v>
      </c>
    </row>
    <row r="807" spans="1:30">
      <c r="A807">
        <v>805</v>
      </c>
      <c r="B807">
        <v>20</v>
      </c>
      <c r="C807">
        <v>0.83399999999999996</v>
      </c>
      <c r="D807">
        <v>2.39</v>
      </c>
      <c r="E807">
        <v>0</v>
      </c>
      <c r="F807">
        <v>1.256</v>
      </c>
      <c r="G807">
        <v>0</v>
      </c>
      <c r="H807">
        <v>9.4E-2</v>
      </c>
      <c r="I807">
        <v>1.1299999999999999</v>
      </c>
      <c r="K807">
        <v>805</v>
      </c>
      <c r="L807">
        <v>20</v>
      </c>
      <c r="M807" s="32">
        <v>0.83399999999999996</v>
      </c>
      <c r="N807" s="47">
        <v>2.4340000000000002</v>
      </c>
      <c r="P807" s="47">
        <v>1.258</v>
      </c>
      <c r="R807" s="47">
        <v>9.7000000000000003E-2</v>
      </c>
      <c r="S807" s="47">
        <v>1.0509999999999999</v>
      </c>
      <c r="T807" s="31">
        <v>0</v>
      </c>
      <c r="V807">
        <v>805</v>
      </c>
      <c r="W807">
        <v>19</v>
      </c>
      <c r="X807">
        <v>0.84599999999999997</v>
      </c>
      <c r="Y807" s="32">
        <v>2.5</v>
      </c>
      <c r="Z807">
        <v>0</v>
      </c>
      <c r="AA807" s="32">
        <v>1.246</v>
      </c>
      <c r="AB807">
        <v>0</v>
      </c>
      <c r="AC807" s="34">
        <v>0.10299999999999999</v>
      </c>
      <c r="AD807" s="32">
        <v>1.054</v>
      </c>
    </row>
    <row r="808" spans="1:30">
      <c r="A808">
        <v>806</v>
      </c>
      <c r="B808">
        <v>20</v>
      </c>
      <c r="C808">
        <v>0.83499999999999996</v>
      </c>
      <c r="D808">
        <v>2.39</v>
      </c>
      <c r="E808">
        <v>0</v>
      </c>
      <c r="F808">
        <v>1.256</v>
      </c>
      <c r="G808">
        <v>0</v>
      </c>
      <c r="H808">
        <v>9.4E-2</v>
      </c>
      <c r="I808">
        <v>1.1319999999999999</v>
      </c>
      <c r="K808">
        <v>806</v>
      </c>
      <c r="L808">
        <v>20</v>
      </c>
      <c r="M808" s="32">
        <v>0.83499999999999996</v>
      </c>
      <c r="N808" s="47">
        <v>2.4449999999999998</v>
      </c>
      <c r="P808" s="47">
        <v>1.2589999999999999</v>
      </c>
      <c r="R808" s="47">
        <v>9.7000000000000003E-2</v>
      </c>
      <c r="S808" s="47">
        <v>1.0529999999999999</v>
      </c>
      <c r="T808" s="31">
        <v>0</v>
      </c>
      <c r="V808">
        <v>806</v>
      </c>
      <c r="W808">
        <v>19</v>
      </c>
      <c r="X808">
        <v>0.84699999999999998</v>
      </c>
      <c r="Y808" s="32">
        <v>2.5</v>
      </c>
      <c r="Z808">
        <v>0</v>
      </c>
      <c r="AA808" s="32">
        <v>1.246</v>
      </c>
      <c r="AB808">
        <v>0</v>
      </c>
      <c r="AC808" s="34">
        <v>0.10299999999999999</v>
      </c>
      <c r="AD808" s="32">
        <v>1.056</v>
      </c>
    </row>
    <row r="809" spans="1:30">
      <c r="A809">
        <v>807</v>
      </c>
      <c r="B809">
        <v>20</v>
      </c>
      <c r="C809">
        <v>0.83599999999999997</v>
      </c>
      <c r="D809">
        <v>2.39</v>
      </c>
      <c r="E809">
        <v>0</v>
      </c>
      <c r="F809">
        <v>1.256</v>
      </c>
      <c r="G809">
        <v>0</v>
      </c>
      <c r="H809">
        <v>9.4E-2</v>
      </c>
      <c r="I809">
        <v>1.1339999999999999</v>
      </c>
      <c r="K809">
        <v>807</v>
      </c>
      <c r="L809">
        <v>20</v>
      </c>
      <c r="M809" s="32">
        <v>0.83599999999999997</v>
      </c>
      <c r="N809" s="47">
        <v>2.456</v>
      </c>
      <c r="P809" s="47">
        <v>1.2589999999999999</v>
      </c>
      <c r="R809" s="47">
        <v>9.7000000000000003E-2</v>
      </c>
      <c r="S809" s="47">
        <v>1.0549999999999999</v>
      </c>
      <c r="T809" s="31">
        <v>0</v>
      </c>
      <c r="V809">
        <v>807</v>
      </c>
      <c r="W809">
        <v>19</v>
      </c>
      <c r="X809">
        <v>0.84799999999999998</v>
      </c>
      <c r="Y809" s="32">
        <v>2.5</v>
      </c>
      <c r="Z809">
        <v>0</v>
      </c>
      <c r="AA809" s="32">
        <v>1.2470000000000001</v>
      </c>
      <c r="AB809">
        <v>0</v>
      </c>
      <c r="AC809" s="34">
        <v>0.10299999999999999</v>
      </c>
      <c r="AD809" s="32">
        <v>1.0569999999999999</v>
      </c>
    </row>
    <row r="810" spans="1:30">
      <c r="A810">
        <v>808</v>
      </c>
      <c r="B810">
        <v>20</v>
      </c>
      <c r="C810">
        <v>0.83699999999999997</v>
      </c>
      <c r="D810">
        <v>2.39</v>
      </c>
      <c r="E810">
        <v>0</v>
      </c>
      <c r="F810">
        <v>1.256</v>
      </c>
      <c r="G810">
        <v>0</v>
      </c>
      <c r="H810">
        <v>9.4E-2</v>
      </c>
      <c r="I810">
        <v>1.135</v>
      </c>
      <c r="K810">
        <v>808</v>
      </c>
      <c r="L810">
        <v>20</v>
      </c>
      <c r="M810" s="32">
        <v>0.83699999999999997</v>
      </c>
      <c r="N810" s="47">
        <v>2.4670000000000001</v>
      </c>
      <c r="P810" s="47">
        <v>1.26</v>
      </c>
      <c r="R810" s="47">
        <v>9.7000000000000003E-2</v>
      </c>
      <c r="S810" s="47">
        <v>1.0569999999999999</v>
      </c>
      <c r="T810" s="31">
        <v>0</v>
      </c>
      <c r="V810">
        <v>808</v>
      </c>
      <c r="W810">
        <v>19</v>
      </c>
      <c r="X810">
        <v>0.84899999999999998</v>
      </c>
      <c r="Y810" s="32">
        <v>2.5</v>
      </c>
      <c r="Z810">
        <v>0</v>
      </c>
      <c r="AA810" s="32">
        <v>1.2470000000000001</v>
      </c>
      <c r="AB810">
        <v>0</v>
      </c>
      <c r="AC810" s="34">
        <v>0.104</v>
      </c>
      <c r="AD810" s="32">
        <v>1.0589999999999999</v>
      </c>
    </row>
    <row r="811" spans="1:30">
      <c r="A811">
        <v>809</v>
      </c>
      <c r="B811">
        <v>20</v>
      </c>
      <c r="C811">
        <v>0.83799999999999997</v>
      </c>
      <c r="D811">
        <v>2.39</v>
      </c>
      <c r="E811">
        <v>0</v>
      </c>
      <c r="F811">
        <v>1.256</v>
      </c>
      <c r="G811">
        <v>0</v>
      </c>
      <c r="H811">
        <v>9.4E-2</v>
      </c>
      <c r="I811">
        <v>1.137</v>
      </c>
      <c r="K811">
        <v>809</v>
      </c>
      <c r="L811">
        <v>20</v>
      </c>
      <c r="M811" s="32">
        <v>0.83799999999999997</v>
      </c>
      <c r="N811" s="47">
        <v>2.4780000000000002</v>
      </c>
      <c r="P811" s="47">
        <v>1.26</v>
      </c>
      <c r="R811" s="47">
        <v>9.7000000000000003E-2</v>
      </c>
      <c r="S811" s="47">
        <v>1.0589999999999999</v>
      </c>
      <c r="T811" s="31">
        <v>0</v>
      </c>
      <c r="V811">
        <v>809</v>
      </c>
      <c r="W811">
        <v>19</v>
      </c>
      <c r="X811">
        <v>0.85</v>
      </c>
      <c r="Y811" s="32">
        <v>2.5</v>
      </c>
      <c r="Z811">
        <v>0</v>
      </c>
      <c r="AA811" s="32">
        <v>1.2470000000000001</v>
      </c>
      <c r="AB811">
        <v>0</v>
      </c>
      <c r="AC811" s="34">
        <v>0.104</v>
      </c>
      <c r="AD811" s="32">
        <v>1.06</v>
      </c>
    </row>
    <row r="812" spans="1:30">
      <c r="A812">
        <v>810</v>
      </c>
      <c r="B812">
        <v>20</v>
      </c>
      <c r="C812">
        <v>0.83899999999999997</v>
      </c>
      <c r="D812">
        <v>2.39</v>
      </c>
      <c r="E812">
        <v>0</v>
      </c>
      <c r="F812">
        <v>1.256</v>
      </c>
      <c r="G812">
        <v>0</v>
      </c>
      <c r="H812">
        <v>9.4E-2</v>
      </c>
      <c r="I812">
        <v>1.1379999999999999</v>
      </c>
      <c r="K812">
        <v>810</v>
      </c>
      <c r="L812">
        <v>20</v>
      </c>
      <c r="M812" s="32">
        <v>0.83899999999999997</v>
      </c>
      <c r="N812" s="47">
        <v>2.4889999999999999</v>
      </c>
      <c r="P812" s="47">
        <v>1.2609999999999999</v>
      </c>
      <c r="R812" s="47">
        <v>9.7000000000000003E-2</v>
      </c>
      <c r="S812" s="47">
        <v>1.0609999999999999</v>
      </c>
      <c r="T812" s="31">
        <v>0</v>
      </c>
      <c r="V812">
        <v>810</v>
      </c>
      <c r="W812">
        <v>19</v>
      </c>
      <c r="X812">
        <v>0.85099999999999998</v>
      </c>
      <c r="Y812" s="32">
        <v>2.5</v>
      </c>
      <c r="Z812">
        <v>0</v>
      </c>
      <c r="AA812" s="32">
        <v>1.2470000000000001</v>
      </c>
      <c r="AB812">
        <v>0</v>
      </c>
      <c r="AC812" s="34">
        <v>0.104</v>
      </c>
      <c r="AD812" s="32">
        <v>1.0609999999999999</v>
      </c>
    </row>
    <row r="813" spans="1:30">
      <c r="A813">
        <v>811</v>
      </c>
      <c r="B813">
        <v>21</v>
      </c>
      <c r="C813">
        <v>0.84</v>
      </c>
      <c r="D813">
        <v>2.5</v>
      </c>
      <c r="E813">
        <v>0</v>
      </c>
      <c r="F813">
        <v>1.2609999999999999</v>
      </c>
      <c r="G813">
        <v>0</v>
      </c>
      <c r="H813">
        <v>9.7000000000000003E-2</v>
      </c>
      <c r="I813">
        <v>1.0629999999999999</v>
      </c>
      <c r="K813">
        <v>811</v>
      </c>
      <c r="L813">
        <v>21</v>
      </c>
      <c r="M813" s="32">
        <v>0.84</v>
      </c>
      <c r="N813" s="32">
        <v>2.5</v>
      </c>
      <c r="P813" s="32">
        <v>1.2609999999999999</v>
      </c>
      <c r="R813" s="32">
        <v>9.7000000000000003E-2</v>
      </c>
      <c r="S813" s="32">
        <v>1.0629999999999999</v>
      </c>
      <c r="T813" s="31">
        <v>0</v>
      </c>
      <c r="V813">
        <v>811</v>
      </c>
      <c r="W813">
        <v>19</v>
      </c>
      <c r="X813">
        <v>0.85199999999999998</v>
      </c>
      <c r="Y813" s="32">
        <v>2.5</v>
      </c>
      <c r="Z813">
        <v>0</v>
      </c>
      <c r="AA813" s="32">
        <v>1.2470000000000001</v>
      </c>
      <c r="AB813">
        <v>0</v>
      </c>
      <c r="AC813" s="34">
        <v>0.104</v>
      </c>
      <c r="AD813" s="32">
        <v>1.0629999999999999</v>
      </c>
    </row>
    <row r="814" spans="1:30">
      <c r="A814">
        <v>812</v>
      </c>
      <c r="B814">
        <v>21</v>
      </c>
      <c r="C814">
        <v>0.84099999999999997</v>
      </c>
      <c r="D814">
        <v>2.5</v>
      </c>
      <c r="E814">
        <v>0</v>
      </c>
      <c r="F814">
        <v>1.2609999999999999</v>
      </c>
      <c r="G814">
        <v>0</v>
      </c>
      <c r="H814">
        <v>9.7000000000000003E-2</v>
      </c>
      <c r="I814">
        <v>1.0649999999999999</v>
      </c>
      <c r="K814">
        <v>812</v>
      </c>
      <c r="L814">
        <v>21</v>
      </c>
      <c r="M814" s="32">
        <v>0.84099999999999997</v>
      </c>
      <c r="N814" s="32">
        <v>2.5</v>
      </c>
      <c r="P814" s="32">
        <v>1.2609999999999999</v>
      </c>
      <c r="R814" s="32">
        <v>9.7000000000000003E-2</v>
      </c>
      <c r="S814" s="47">
        <v>1.0640000000000001</v>
      </c>
      <c r="T814" s="31">
        <v>0</v>
      </c>
      <c r="V814">
        <v>812</v>
      </c>
      <c r="W814">
        <v>19</v>
      </c>
      <c r="X814">
        <v>0.85299999999999998</v>
      </c>
      <c r="Y814" s="32">
        <v>2.5</v>
      </c>
      <c r="Z814">
        <v>0</v>
      </c>
      <c r="AA814" s="32">
        <v>1.248</v>
      </c>
      <c r="AB814">
        <v>0</v>
      </c>
      <c r="AC814" s="34">
        <v>0.104</v>
      </c>
      <c r="AD814" s="32">
        <v>1.0640000000000001</v>
      </c>
    </row>
    <row r="815" spans="1:30">
      <c r="A815">
        <v>813</v>
      </c>
      <c r="B815">
        <v>21</v>
      </c>
      <c r="C815">
        <v>0.84199999999999997</v>
      </c>
      <c r="D815">
        <v>2.5</v>
      </c>
      <c r="E815">
        <v>0</v>
      </c>
      <c r="F815">
        <v>1.262</v>
      </c>
      <c r="G815">
        <v>0</v>
      </c>
      <c r="H815">
        <v>9.7000000000000003E-2</v>
      </c>
      <c r="I815">
        <v>1.0660000000000001</v>
      </c>
      <c r="K815">
        <v>813</v>
      </c>
      <c r="L815">
        <v>21</v>
      </c>
      <c r="M815" s="32">
        <v>0.84199999999999997</v>
      </c>
      <c r="N815" s="32">
        <v>2.5</v>
      </c>
      <c r="P815" s="32">
        <v>1.262</v>
      </c>
      <c r="R815" s="47">
        <v>9.8000000000000004E-2</v>
      </c>
      <c r="S815" s="47">
        <v>1.0649999999999999</v>
      </c>
      <c r="T815" s="31">
        <v>0</v>
      </c>
      <c r="V815">
        <v>813</v>
      </c>
      <c r="W815">
        <v>19</v>
      </c>
      <c r="X815">
        <v>0.85399999999999998</v>
      </c>
      <c r="Y815" s="32">
        <v>2.5</v>
      </c>
      <c r="Z815">
        <v>0</v>
      </c>
      <c r="AA815" s="32">
        <v>1.248</v>
      </c>
      <c r="AB815">
        <v>0</v>
      </c>
      <c r="AC815" s="34">
        <v>0.104</v>
      </c>
      <c r="AD815" s="32">
        <v>1.0660000000000001</v>
      </c>
    </row>
    <row r="816" spans="1:30">
      <c r="A816">
        <v>814</v>
      </c>
      <c r="B816">
        <v>21</v>
      </c>
      <c r="C816">
        <v>0.84299999999999997</v>
      </c>
      <c r="D816">
        <v>2.5</v>
      </c>
      <c r="E816">
        <v>0</v>
      </c>
      <c r="F816">
        <v>1.262</v>
      </c>
      <c r="G816">
        <v>0</v>
      </c>
      <c r="H816">
        <v>9.7000000000000003E-2</v>
      </c>
      <c r="I816">
        <v>1.0680000000000001</v>
      </c>
      <c r="K816">
        <v>814</v>
      </c>
      <c r="L816">
        <v>21</v>
      </c>
      <c r="M816" s="32">
        <v>0.84299999999999997</v>
      </c>
      <c r="N816" s="32">
        <v>2.5</v>
      </c>
      <c r="P816" s="32">
        <v>1.262</v>
      </c>
      <c r="R816" s="47">
        <v>9.8000000000000004E-2</v>
      </c>
      <c r="S816" s="47">
        <v>1.0669999999999999</v>
      </c>
      <c r="T816" s="31">
        <v>0</v>
      </c>
      <c r="V816">
        <v>814</v>
      </c>
      <c r="W816">
        <v>19</v>
      </c>
      <c r="X816">
        <v>0.85499999999999998</v>
      </c>
      <c r="Y816" s="32">
        <v>2.5</v>
      </c>
      <c r="Z816">
        <v>0</v>
      </c>
      <c r="AA816" s="32">
        <v>1.248</v>
      </c>
      <c r="AB816">
        <v>0</v>
      </c>
      <c r="AC816" s="34">
        <v>0.104</v>
      </c>
      <c r="AD816" s="32">
        <v>1.0669999999999999</v>
      </c>
    </row>
    <row r="817" spans="1:30">
      <c r="A817">
        <v>815</v>
      </c>
      <c r="B817">
        <v>21</v>
      </c>
      <c r="C817">
        <v>0.84399999999999997</v>
      </c>
      <c r="D817">
        <v>2.5099999999999998</v>
      </c>
      <c r="E817">
        <v>0</v>
      </c>
      <c r="F817">
        <v>1.262</v>
      </c>
      <c r="G817">
        <v>0</v>
      </c>
      <c r="H817">
        <v>9.7000000000000003E-2</v>
      </c>
      <c r="I817">
        <v>1.069</v>
      </c>
      <c r="K817">
        <v>815</v>
      </c>
      <c r="L817">
        <v>21</v>
      </c>
      <c r="M817" s="32">
        <v>0.84399999999999997</v>
      </c>
      <c r="N817" s="47">
        <v>2.5</v>
      </c>
      <c r="P817" s="32">
        <v>1.262</v>
      </c>
      <c r="R817" s="47">
        <v>9.8000000000000004E-2</v>
      </c>
      <c r="S817" s="47">
        <v>1.0680000000000001</v>
      </c>
      <c r="T817" s="31">
        <v>0</v>
      </c>
      <c r="V817">
        <v>815</v>
      </c>
      <c r="W817">
        <v>19</v>
      </c>
      <c r="X817">
        <v>0.85599999999999998</v>
      </c>
      <c r="Y817" s="32">
        <v>2.5</v>
      </c>
      <c r="Z817">
        <v>0</v>
      </c>
      <c r="AA817" s="32">
        <v>1.248</v>
      </c>
      <c r="AB817">
        <v>0</v>
      </c>
      <c r="AC817" s="34">
        <v>0.104</v>
      </c>
      <c r="AD817" s="32">
        <v>1.0680000000000001</v>
      </c>
    </row>
    <row r="818" spans="1:30">
      <c r="A818">
        <v>816</v>
      </c>
      <c r="B818">
        <v>21</v>
      </c>
      <c r="C818">
        <v>0.84499999999999997</v>
      </c>
      <c r="D818">
        <v>2.5099999999999998</v>
      </c>
      <c r="E818">
        <v>0</v>
      </c>
      <c r="F818">
        <v>1.2629999999999999</v>
      </c>
      <c r="G818">
        <v>0</v>
      </c>
      <c r="H818">
        <v>9.7000000000000003E-2</v>
      </c>
      <c r="I818">
        <v>1.071</v>
      </c>
      <c r="K818">
        <v>816</v>
      </c>
      <c r="L818">
        <v>21</v>
      </c>
      <c r="M818" s="32">
        <v>0.84499999999999997</v>
      </c>
      <c r="N818" s="47">
        <v>2.5</v>
      </c>
      <c r="P818" s="32">
        <v>1.2629999999999999</v>
      </c>
      <c r="R818" s="47">
        <v>9.9000000000000005E-2</v>
      </c>
      <c r="S818" s="47">
        <v>1.069</v>
      </c>
      <c r="T818" s="31">
        <v>0</v>
      </c>
      <c r="V818">
        <v>816</v>
      </c>
      <c r="W818">
        <v>19</v>
      </c>
      <c r="X818">
        <v>0.85699999999999998</v>
      </c>
      <c r="Y818" s="32">
        <v>2.5</v>
      </c>
      <c r="Z818">
        <v>0</v>
      </c>
      <c r="AA818" s="32">
        <v>1.248</v>
      </c>
      <c r="AB818">
        <v>0</v>
      </c>
      <c r="AC818" s="34">
        <v>0.104</v>
      </c>
      <c r="AD818" s="32">
        <v>1.07</v>
      </c>
    </row>
    <row r="819" spans="1:30">
      <c r="A819">
        <v>817</v>
      </c>
      <c r="B819">
        <v>21</v>
      </c>
      <c r="C819">
        <v>0.84599999999999997</v>
      </c>
      <c r="D819">
        <v>2.5099999999999998</v>
      </c>
      <c r="E819">
        <v>0</v>
      </c>
      <c r="F819">
        <v>1.2629999999999999</v>
      </c>
      <c r="G819">
        <v>0</v>
      </c>
      <c r="H819">
        <v>9.7000000000000003E-2</v>
      </c>
      <c r="I819">
        <v>1.0720000000000001</v>
      </c>
      <c r="K819">
        <v>817</v>
      </c>
      <c r="L819">
        <v>21</v>
      </c>
      <c r="M819" s="32">
        <v>0.84599999999999997</v>
      </c>
      <c r="N819" s="47">
        <v>2.5</v>
      </c>
      <c r="P819" s="32">
        <v>1.2629999999999999</v>
      </c>
      <c r="R819" s="47">
        <v>9.9000000000000005E-2</v>
      </c>
      <c r="S819" s="47">
        <v>1.07</v>
      </c>
      <c r="T819" s="31">
        <v>0</v>
      </c>
      <c r="V819">
        <v>817</v>
      </c>
      <c r="W819">
        <v>19</v>
      </c>
      <c r="X819">
        <v>0.85799999999999998</v>
      </c>
      <c r="Y819" s="32">
        <v>2.5</v>
      </c>
      <c r="Z819">
        <v>0</v>
      </c>
      <c r="AA819" s="32">
        <v>1.2490000000000001</v>
      </c>
      <c r="AB819">
        <v>0</v>
      </c>
      <c r="AC819" s="34">
        <v>0.104</v>
      </c>
      <c r="AD819" s="32">
        <v>1.071</v>
      </c>
    </row>
    <row r="820" spans="1:30">
      <c r="A820">
        <v>818</v>
      </c>
      <c r="B820">
        <v>21</v>
      </c>
      <c r="C820">
        <v>0.84699999999999998</v>
      </c>
      <c r="D820">
        <v>2.5099999999999998</v>
      </c>
      <c r="E820">
        <v>0</v>
      </c>
      <c r="F820">
        <v>1.2629999999999999</v>
      </c>
      <c r="G820">
        <v>0</v>
      </c>
      <c r="H820">
        <v>9.7000000000000003E-2</v>
      </c>
      <c r="I820">
        <v>1.0740000000000001</v>
      </c>
      <c r="K820">
        <v>818</v>
      </c>
      <c r="L820">
        <v>21</v>
      </c>
      <c r="M820" s="32">
        <v>0.84699999999999998</v>
      </c>
      <c r="N820" s="47">
        <v>2.5</v>
      </c>
      <c r="P820" s="32">
        <v>1.2629999999999999</v>
      </c>
      <c r="R820" s="47">
        <v>9.9000000000000005E-2</v>
      </c>
      <c r="S820" s="47">
        <v>1.071</v>
      </c>
      <c r="T820" s="31">
        <v>0</v>
      </c>
      <c r="V820">
        <v>818</v>
      </c>
      <c r="W820">
        <v>19</v>
      </c>
      <c r="X820">
        <v>0.85899999999999999</v>
      </c>
      <c r="Y820" s="32">
        <v>2.5</v>
      </c>
      <c r="Z820">
        <v>0</v>
      </c>
      <c r="AA820" s="32">
        <v>1.2490000000000001</v>
      </c>
      <c r="AB820">
        <v>0</v>
      </c>
      <c r="AC820" s="34">
        <v>0.104</v>
      </c>
      <c r="AD820" s="32">
        <v>1.073</v>
      </c>
    </row>
    <row r="821" spans="1:30">
      <c r="A821">
        <v>819</v>
      </c>
      <c r="B821">
        <v>21</v>
      </c>
      <c r="C821">
        <v>0.84799999999999998</v>
      </c>
      <c r="D821">
        <v>2.5099999999999998</v>
      </c>
      <c r="E821">
        <v>0</v>
      </c>
      <c r="F821">
        <v>1.264</v>
      </c>
      <c r="G821">
        <v>0</v>
      </c>
      <c r="H821">
        <v>9.7000000000000003E-2</v>
      </c>
      <c r="I821">
        <v>1.075</v>
      </c>
      <c r="K821">
        <v>819</v>
      </c>
      <c r="L821">
        <v>21</v>
      </c>
      <c r="M821" s="32">
        <v>0.84799999999999998</v>
      </c>
      <c r="N821" s="47">
        <v>2.5</v>
      </c>
      <c r="P821" s="47">
        <v>1.2629999999999999</v>
      </c>
      <c r="R821" s="47">
        <v>0.1</v>
      </c>
      <c r="S821" s="47">
        <v>1.073</v>
      </c>
      <c r="T821" s="31">
        <v>0</v>
      </c>
      <c r="V821">
        <v>819</v>
      </c>
      <c r="W821">
        <v>19</v>
      </c>
      <c r="X821">
        <v>0.86</v>
      </c>
      <c r="Y821" s="32">
        <v>2.5</v>
      </c>
      <c r="Z821">
        <v>0</v>
      </c>
      <c r="AA821" s="32">
        <v>1.2490000000000001</v>
      </c>
      <c r="AB821">
        <v>0</v>
      </c>
      <c r="AC821" s="34">
        <v>0.105</v>
      </c>
      <c r="AD821" s="32">
        <v>1.0740000000000001</v>
      </c>
    </row>
    <row r="822" spans="1:30">
      <c r="A822">
        <v>820</v>
      </c>
      <c r="B822">
        <v>21</v>
      </c>
      <c r="C822">
        <v>0.84899999999999998</v>
      </c>
      <c r="D822">
        <v>2.5099999999999998</v>
      </c>
      <c r="E822">
        <v>0</v>
      </c>
      <c r="F822">
        <v>1.264</v>
      </c>
      <c r="G822">
        <v>0</v>
      </c>
      <c r="H822">
        <v>9.7000000000000003E-2</v>
      </c>
      <c r="I822">
        <v>1.077</v>
      </c>
      <c r="K822">
        <v>820</v>
      </c>
      <c r="L822">
        <v>21</v>
      </c>
      <c r="M822" s="32">
        <v>0.84899999999999998</v>
      </c>
      <c r="N822" s="47">
        <v>2.5</v>
      </c>
      <c r="P822" s="32">
        <v>1.264</v>
      </c>
      <c r="R822" s="47">
        <v>0.1</v>
      </c>
      <c r="S822" s="47">
        <v>1.0740000000000001</v>
      </c>
      <c r="T822" s="31">
        <v>0</v>
      </c>
      <c r="V822">
        <v>820</v>
      </c>
      <c r="W822">
        <v>19</v>
      </c>
      <c r="X822">
        <v>0.86099999999999999</v>
      </c>
      <c r="Y822" s="32">
        <v>2.5</v>
      </c>
      <c r="Z822">
        <v>0</v>
      </c>
      <c r="AA822" s="32">
        <v>1.2490000000000001</v>
      </c>
      <c r="AB822">
        <v>0</v>
      </c>
      <c r="AC822" s="34">
        <v>0.105</v>
      </c>
      <c r="AD822" s="32">
        <v>1.075</v>
      </c>
    </row>
    <row r="823" spans="1:30">
      <c r="A823">
        <v>821</v>
      </c>
      <c r="B823">
        <v>21</v>
      </c>
      <c r="C823">
        <v>0.85</v>
      </c>
      <c r="D823">
        <v>2.5</v>
      </c>
      <c r="E823">
        <v>0</v>
      </c>
      <c r="F823">
        <v>1.264</v>
      </c>
      <c r="G823">
        <v>0</v>
      </c>
      <c r="H823">
        <v>9.7000000000000003E-2</v>
      </c>
      <c r="I823">
        <v>1.091</v>
      </c>
      <c r="K823">
        <v>821</v>
      </c>
      <c r="L823">
        <v>21</v>
      </c>
      <c r="M823" s="32">
        <v>0.85</v>
      </c>
      <c r="N823" s="32">
        <v>2.5</v>
      </c>
      <c r="P823" s="32">
        <v>1.264</v>
      </c>
      <c r="R823" s="47">
        <v>0.1</v>
      </c>
      <c r="S823" s="47">
        <v>1.075</v>
      </c>
      <c r="T823" s="31">
        <v>0</v>
      </c>
      <c r="V823">
        <v>821</v>
      </c>
      <c r="W823">
        <v>19</v>
      </c>
      <c r="X823">
        <v>0.86199999999999999</v>
      </c>
      <c r="Y823" s="32">
        <v>2.5</v>
      </c>
      <c r="Z823">
        <v>0</v>
      </c>
      <c r="AA823" s="32">
        <v>1.2490000000000001</v>
      </c>
      <c r="AB823">
        <v>0</v>
      </c>
      <c r="AC823" s="34">
        <v>0.105</v>
      </c>
      <c r="AD823" s="32">
        <v>1.077</v>
      </c>
    </row>
    <row r="824" spans="1:30">
      <c r="A824">
        <v>822</v>
      </c>
      <c r="B824">
        <v>21</v>
      </c>
      <c r="C824">
        <v>0.85099999999999998</v>
      </c>
      <c r="D824">
        <v>2.5</v>
      </c>
      <c r="E824">
        <v>0</v>
      </c>
      <c r="F824">
        <v>1.264</v>
      </c>
      <c r="G824">
        <v>0</v>
      </c>
      <c r="H824">
        <v>9.7000000000000003E-2</v>
      </c>
      <c r="I824">
        <v>1.0920000000000001</v>
      </c>
      <c r="K824">
        <v>822</v>
      </c>
      <c r="L824">
        <v>21</v>
      </c>
      <c r="M824" s="32">
        <v>0.85099999999999998</v>
      </c>
      <c r="N824" s="32">
        <v>2.5</v>
      </c>
      <c r="P824" s="32">
        <v>1.264</v>
      </c>
      <c r="R824" s="47">
        <v>0.10100000000000001</v>
      </c>
      <c r="S824" s="47">
        <v>1.077</v>
      </c>
      <c r="T824" s="31">
        <v>0</v>
      </c>
      <c r="V824">
        <v>822</v>
      </c>
      <c r="W824">
        <v>19</v>
      </c>
      <c r="X824">
        <v>0.86299999999999999</v>
      </c>
      <c r="Y824" s="32">
        <v>2.5</v>
      </c>
      <c r="Z824">
        <v>0</v>
      </c>
      <c r="AA824" s="32">
        <v>1.25</v>
      </c>
      <c r="AB824">
        <v>0</v>
      </c>
      <c r="AC824" s="34">
        <v>0.105</v>
      </c>
      <c r="AD824" s="32">
        <v>1.0780000000000001</v>
      </c>
    </row>
    <row r="825" spans="1:30">
      <c r="A825">
        <v>823</v>
      </c>
      <c r="B825">
        <v>21</v>
      </c>
      <c r="C825">
        <v>0.85199999999999998</v>
      </c>
      <c r="D825">
        <v>2.5</v>
      </c>
      <c r="E825">
        <v>0</v>
      </c>
      <c r="F825">
        <v>1.264</v>
      </c>
      <c r="G825">
        <v>0</v>
      </c>
      <c r="H825">
        <v>9.7000000000000003E-2</v>
      </c>
      <c r="I825">
        <v>1.0940000000000001</v>
      </c>
      <c r="K825">
        <v>823</v>
      </c>
      <c r="L825">
        <v>21</v>
      </c>
      <c r="M825" s="32">
        <v>0.85199999999999998</v>
      </c>
      <c r="N825" s="32">
        <v>2.5</v>
      </c>
      <c r="P825" s="47">
        <v>1.2649999999999999</v>
      </c>
      <c r="R825" s="47">
        <v>0.10100000000000001</v>
      </c>
      <c r="S825" s="47">
        <v>1.0780000000000001</v>
      </c>
      <c r="T825" s="31">
        <v>0</v>
      </c>
      <c r="V825">
        <v>823</v>
      </c>
      <c r="W825">
        <v>19</v>
      </c>
      <c r="X825">
        <v>0.86399999999999999</v>
      </c>
      <c r="Y825" s="32">
        <v>2.5</v>
      </c>
      <c r="Z825">
        <v>0</v>
      </c>
      <c r="AA825" s="32">
        <v>1.25</v>
      </c>
      <c r="AB825">
        <v>0</v>
      </c>
      <c r="AC825" s="34">
        <v>0.105</v>
      </c>
      <c r="AD825" s="32">
        <v>1.08</v>
      </c>
    </row>
    <row r="826" spans="1:30">
      <c r="A826">
        <v>824</v>
      </c>
      <c r="B826">
        <v>21</v>
      </c>
      <c r="C826">
        <v>0.85299999999999998</v>
      </c>
      <c r="D826">
        <v>2.5</v>
      </c>
      <c r="E826">
        <v>0</v>
      </c>
      <c r="F826">
        <v>1.264</v>
      </c>
      <c r="G826">
        <v>0</v>
      </c>
      <c r="H826">
        <v>9.7000000000000003E-2</v>
      </c>
      <c r="I826">
        <v>1.095</v>
      </c>
      <c r="K826">
        <v>824</v>
      </c>
      <c r="L826">
        <v>21</v>
      </c>
      <c r="M826" s="32">
        <v>0.85299999999999998</v>
      </c>
      <c r="N826" s="32">
        <v>2.5</v>
      </c>
      <c r="P826" s="47">
        <v>1.2649999999999999</v>
      </c>
      <c r="R826" s="47">
        <v>0.10100000000000001</v>
      </c>
      <c r="S826" s="47">
        <v>1.08</v>
      </c>
      <c r="T826" s="31">
        <v>0</v>
      </c>
      <c r="V826">
        <v>824</v>
      </c>
      <c r="W826">
        <v>20</v>
      </c>
      <c r="X826">
        <v>0.86499999999999999</v>
      </c>
      <c r="Y826" s="32">
        <v>2.5</v>
      </c>
      <c r="Z826">
        <v>0</v>
      </c>
      <c r="AA826" s="32">
        <v>1.25</v>
      </c>
      <c r="AB826">
        <v>0</v>
      </c>
      <c r="AC826" s="34">
        <v>0.105</v>
      </c>
      <c r="AD826" s="32">
        <v>1.081</v>
      </c>
    </row>
    <row r="827" spans="1:30">
      <c r="A827">
        <v>825</v>
      </c>
      <c r="B827">
        <v>21</v>
      </c>
      <c r="C827">
        <v>0.85399999999999998</v>
      </c>
      <c r="D827">
        <v>2.5</v>
      </c>
      <c r="E827">
        <v>0</v>
      </c>
      <c r="F827">
        <v>1.264</v>
      </c>
      <c r="G827">
        <v>0</v>
      </c>
      <c r="H827">
        <v>9.7000000000000003E-2</v>
      </c>
      <c r="I827">
        <v>1.097</v>
      </c>
      <c r="K827">
        <v>825</v>
      </c>
      <c r="L827">
        <v>21</v>
      </c>
      <c r="M827" s="32">
        <v>0.85399999999999998</v>
      </c>
      <c r="N827" s="32">
        <v>2.5</v>
      </c>
      <c r="P827" s="47">
        <v>1.266</v>
      </c>
      <c r="R827" s="47">
        <v>0.10199999999999999</v>
      </c>
      <c r="S827" s="47">
        <v>1.081</v>
      </c>
      <c r="T827" s="31">
        <v>0</v>
      </c>
      <c r="V827">
        <v>825</v>
      </c>
      <c r="W827">
        <v>20</v>
      </c>
      <c r="X827">
        <v>0.86599999999999999</v>
      </c>
      <c r="Y827" s="32">
        <v>2.5</v>
      </c>
      <c r="Z827">
        <v>0</v>
      </c>
      <c r="AA827" s="32">
        <v>1.25</v>
      </c>
      <c r="AB827">
        <v>0</v>
      </c>
      <c r="AC827" s="34">
        <v>0.105</v>
      </c>
      <c r="AD827" s="32">
        <v>1.0820000000000001</v>
      </c>
    </row>
    <row r="828" spans="1:30">
      <c r="A828">
        <v>826</v>
      </c>
      <c r="B828">
        <v>21</v>
      </c>
      <c r="C828">
        <v>0.85499999999999998</v>
      </c>
      <c r="D828">
        <v>2.5</v>
      </c>
      <c r="E828">
        <v>0</v>
      </c>
      <c r="F828">
        <v>1.264</v>
      </c>
      <c r="G828">
        <v>0</v>
      </c>
      <c r="H828">
        <v>9.7000000000000003E-2</v>
      </c>
      <c r="I828">
        <v>1.0980000000000001</v>
      </c>
      <c r="K828">
        <v>826</v>
      </c>
      <c r="L828">
        <v>21</v>
      </c>
      <c r="M828" s="32">
        <v>0.85499999999999998</v>
      </c>
      <c r="N828" s="32">
        <v>2.5</v>
      </c>
      <c r="P828" s="47">
        <v>1.266</v>
      </c>
      <c r="R828" s="47">
        <v>0.10199999999999999</v>
      </c>
      <c r="S828" s="47">
        <v>1.083</v>
      </c>
      <c r="T828" s="31">
        <v>0</v>
      </c>
      <c r="V828">
        <v>826</v>
      </c>
      <c r="W828">
        <v>20</v>
      </c>
      <c r="X828">
        <v>0.86699999999999999</v>
      </c>
      <c r="Y828" s="32">
        <v>2.5</v>
      </c>
      <c r="Z828">
        <v>0</v>
      </c>
      <c r="AA828" s="32">
        <v>1.25</v>
      </c>
      <c r="AB828">
        <v>0</v>
      </c>
      <c r="AC828" s="34">
        <v>0.105</v>
      </c>
      <c r="AD828" s="32">
        <v>1.0840000000000001</v>
      </c>
    </row>
    <row r="829" spans="1:30">
      <c r="A829">
        <v>827</v>
      </c>
      <c r="B829">
        <v>21</v>
      </c>
      <c r="C829">
        <v>0.85599999999999998</v>
      </c>
      <c r="D829">
        <v>2.5</v>
      </c>
      <c r="E829">
        <v>0</v>
      </c>
      <c r="F829">
        <v>1.264</v>
      </c>
      <c r="G829">
        <v>0</v>
      </c>
      <c r="H829">
        <v>9.7000000000000003E-2</v>
      </c>
      <c r="I829">
        <v>1.1000000000000001</v>
      </c>
      <c r="K829">
        <v>827</v>
      </c>
      <c r="L829">
        <v>21</v>
      </c>
      <c r="M829" s="32">
        <v>0.85599999999999998</v>
      </c>
      <c r="N829" s="32">
        <v>2.5</v>
      </c>
      <c r="P829" s="47">
        <v>1.266</v>
      </c>
      <c r="R829" s="47">
        <v>0.10199999999999999</v>
      </c>
      <c r="S829" s="47">
        <v>1.0840000000000001</v>
      </c>
      <c r="T829" s="31">
        <v>0</v>
      </c>
      <c r="V829">
        <v>827</v>
      </c>
      <c r="W829">
        <v>20</v>
      </c>
      <c r="X829">
        <v>0.86799999999999999</v>
      </c>
      <c r="Y829" s="32">
        <v>2.5</v>
      </c>
      <c r="Z829">
        <v>0</v>
      </c>
      <c r="AA829" s="32">
        <v>1.2509999999999999</v>
      </c>
      <c r="AB829">
        <v>0</v>
      </c>
      <c r="AC829" s="34">
        <v>0.105</v>
      </c>
      <c r="AD829" s="32">
        <v>1.085</v>
      </c>
    </row>
    <row r="830" spans="1:30">
      <c r="A830">
        <v>828</v>
      </c>
      <c r="B830">
        <v>21</v>
      </c>
      <c r="C830">
        <v>0.85699999999999998</v>
      </c>
      <c r="D830">
        <v>2.5</v>
      </c>
      <c r="E830">
        <v>0</v>
      </c>
      <c r="F830">
        <v>1.264</v>
      </c>
      <c r="G830">
        <v>0</v>
      </c>
      <c r="H830">
        <v>9.7000000000000003E-2</v>
      </c>
      <c r="I830">
        <v>1.101</v>
      </c>
      <c r="K830">
        <v>828</v>
      </c>
      <c r="L830">
        <v>21</v>
      </c>
      <c r="M830" s="32">
        <v>0.85699999999999998</v>
      </c>
      <c r="N830" s="32">
        <v>2.5</v>
      </c>
      <c r="P830" s="47">
        <v>1.2669999999999999</v>
      </c>
      <c r="R830" s="47">
        <v>0.10299999999999999</v>
      </c>
      <c r="S830" s="47">
        <v>1.0860000000000001</v>
      </c>
      <c r="T830" s="31">
        <v>0</v>
      </c>
      <c r="V830">
        <v>828</v>
      </c>
      <c r="W830">
        <v>20</v>
      </c>
      <c r="X830">
        <v>0.86899999999999999</v>
      </c>
      <c r="Y830" s="32">
        <v>2.5</v>
      </c>
      <c r="Z830">
        <v>0</v>
      </c>
      <c r="AA830" s="32">
        <v>1.2509999999999999</v>
      </c>
      <c r="AB830">
        <v>0</v>
      </c>
      <c r="AC830" s="34">
        <v>0.105</v>
      </c>
      <c r="AD830" s="32">
        <v>1.087</v>
      </c>
    </row>
    <row r="831" spans="1:30">
      <c r="A831">
        <v>829</v>
      </c>
      <c r="B831">
        <v>21</v>
      </c>
      <c r="C831">
        <v>0.85799999999999998</v>
      </c>
      <c r="D831">
        <v>2.5</v>
      </c>
      <c r="E831">
        <v>0</v>
      </c>
      <c r="F831">
        <v>1.264</v>
      </c>
      <c r="G831">
        <v>0</v>
      </c>
      <c r="H831">
        <v>9.7000000000000003E-2</v>
      </c>
      <c r="I831">
        <v>1.103</v>
      </c>
      <c r="K831">
        <v>829</v>
      </c>
      <c r="L831">
        <v>21</v>
      </c>
      <c r="M831" s="32">
        <v>0.85799999999999998</v>
      </c>
      <c r="N831" s="32">
        <v>2.5</v>
      </c>
      <c r="P831" s="47">
        <v>1.2669999999999999</v>
      </c>
      <c r="R831" s="47">
        <v>0.10299999999999999</v>
      </c>
      <c r="S831" s="47">
        <v>1.087</v>
      </c>
      <c r="T831" s="31">
        <v>0</v>
      </c>
      <c r="V831">
        <v>829</v>
      </c>
      <c r="W831">
        <v>20</v>
      </c>
      <c r="X831">
        <v>0.87</v>
      </c>
      <c r="Y831" s="32">
        <v>2.5</v>
      </c>
      <c r="Z831">
        <v>0</v>
      </c>
      <c r="AA831" s="32">
        <v>1.2509999999999999</v>
      </c>
      <c r="AB831">
        <v>0</v>
      </c>
      <c r="AC831" s="34">
        <v>0.105</v>
      </c>
      <c r="AD831" s="32">
        <v>1.0880000000000001</v>
      </c>
    </row>
    <row r="832" spans="1:30">
      <c r="A832">
        <v>830</v>
      </c>
      <c r="B832">
        <v>21</v>
      </c>
      <c r="C832">
        <v>0.85899999999999999</v>
      </c>
      <c r="D832">
        <v>2.5</v>
      </c>
      <c r="E832">
        <v>0</v>
      </c>
      <c r="F832">
        <v>1.264</v>
      </c>
      <c r="G832">
        <v>0</v>
      </c>
      <c r="H832">
        <v>9.7000000000000003E-2</v>
      </c>
      <c r="I832">
        <v>1.1040000000000001</v>
      </c>
      <c r="K832">
        <v>830</v>
      </c>
      <c r="L832">
        <v>21</v>
      </c>
      <c r="M832" s="32">
        <v>0.85899999999999999</v>
      </c>
      <c r="N832" s="32">
        <v>2.5</v>
      </c>
      <c r="P832" s="47">
        <v>1.268</v>
      </c>
      <c r="R832" s="47">
        <v>0.10299999999999999</v>
      </c>
      <c r="S832" s="47">
        <v>1.089</v>
      </c>
      <c r="T832" s="31">
        <v>0</v>
      </c>
      <c r="V832">
        <v>830</v>
      </c>
      <c r="W832">
        <v>20</v>
      </c>
      <c r="X832">
        <v>0.871</v>
      </c>
      <c r="Y832" s="32">
        <v>2.5</v>
      </c>
      <c r="Z832">
        <v>0</v>
      </c>
      <c r="AA832" s="32">
        <v>1.2509999999999999</v>
      </c>
      <c r="AB832">
        <v>0</v>
      </c>
      <c r="AC832" s="34">
        <v>0.105</v>
      </c>
      <c r="AD832" s="32">
        <v>1.0900000000000001</v>
      </c>
    </row>
    <row r="833" spans="1:30">
      <c r="A833">
        <v>831</v>
      </c>
      <c r="B833">
        <v>21</v>
      </c>
      <c r="C833">
        <v>0.86</v>
      </c>
      <c r="D833">
        <v>2.5</v>
      </c>
      <c r="E833">
        <v>0</v>
      </c>
      <c r="F833">
        <v>1.268</v>
      </c>
      <c r="G833">
        <v>0</v>
      </c>
      <c r="H833">
        <v>9.7000000000000003E-2</v>
      </c>
      <c r="I833">
        <v>1.121</v>
      </c>
      <c r="K833">
        <v>831</v>
      </c>
      <c r="L833">
        <v>21</v>
      </c>
      <c r="M833" s="32">
        <v>0.86</v>
      </c>
      <c r="N833" s="32">
        <v>2.5</v>
      </c>
      <c r="P833" s="32">
        <v>1.268</v>
      </c>
      <c r="R833" s="47">
        <v>0.104</v>
      </c>
      <c r="S833" s="47">
        <v>1.0900000000000001</v>
      </c>
      <c r="T833" s="31">
        <v>0</v>
      </c>
      <c r="V833">
        <v>831</v>
      </c>
      <c r="W833">
        <v>20</v>
      </c>
      <c r="X833">
        <v>0.872</v>
      </c>
      <c r="Y833" s="32">
        <v>2.5</v>
      </c>
      <c r="Z833">
        <v>0</v>
      </c>
      <c r="AA833" s="32">
        <v>1.2509999999999999</v>
      </c>
      <c r="AB833">
        <v>0</v>
      </c>
      <c r="AC833" s="34">
        <v>0.106</v>
      </c>
      <c r="AD833" s="32">
        <v>1.091</v>
      </c>
    </row>
    <row r="834" spans="1:30">
      <c r="A834">
        <v>832</v>
      </c>
      <c r="B834">
        <v>21</v>
      </c>
      <c r="C834">
        <v>0.86099999999999999</v>
      </c>
      <c r="D834">
        <v>2.5</v>
      </c>
      <c r="E834">
        <v>0</v>
      </c>
      <c r="F834">
        <v>1.268</v>
      </c>
      <c r="G834">
        <v>0</v>
      </c>
      <c r="H834">
        <v>9.7000000000000003E-2</v>
      </c>
      <c r="I834">
        <v>1.123</v>
      </c>
      <c r="K834">
        <v>832</v>
      </c>
      <c r="L834">
        <v>21</v>
      </c>
      <c r="M834" s="32">
        <v>0.86099999999999999</v>
      </c>
      <c r="N834" s="32">
        <v>2.5</v>
      </c>
      <c r="P834" s="32">
        <v>1.268</v>
      </c>
      <c r="R834" s="47">
        <v>0.104</v>
      </c>
      <c r="S834" s="47">
        <v>1.0920000000000001</v>
      </c>
      <c r="T834" s="31">
        <v>0</v>
      </c>
      <c r="V834">
        <v>832</v>
      </c>
      <c r="W834">
        <v>20</v>
      </c>
      <c r="X834">
        <v>0.873</v>
      </c>
      <c r="Y834" s="32">
        <v>2.5</v>
      </c>
      <c r="Z834">
        <v>0</v>
      </c>
      <c r="AA834" s="32">
        <v>1.2509999999999999</v>
      </c>
      <c r="AB834">
        <v>0</v>
      </c>
      <c r="AC834" s="34">
        <v>0.106</v>
      </c>
      <c r="AD834" s="32">
        <v>1.0920000000000001</v>
      </c>
    </row>
    <row r="835" spans="1:30">
      <c r="A835">
        <v>833</v>
      </c>
      <c r="B835">
        <v>21</v>
      </c>
      <c r="C835">
        <v>0.86199999999999999</v>
      </c>
      <c r="D835">
        <v>2.5</v>
      </c>
      <c r="E835">
        <v>0</v>
      </c>
      <c r="F835">
        <v>1.268</v>
      </c>
      <c r="G835">
        <v>0</v>
      </c>
      <c r="H835">
        <v>9.7000000000000003E-2</v>
      </c>
      <c r="I835">
        <v>1.1240000000000001</v>
      </c>
      <c r="K835">
        <v>833</v>
      </c>
      <c r="L835">
        <v>21</v>
      </c>
      <c r="M835" s="32">
        <v>0.86199999999999999</v>
      </c>
      <c r="N835" s="32">
        <v>2.5</v>
      </c>
      <c r="P835" s="47">
        <v>1.2689999999999999</v>
      </c>
      <c r="R835" s="47">
        <v>0.104</v>
      </c>
      <c r="S835" s="47">
        <v>1.093</v>
      </c>
      <c r="T835" s="31">
        <v>0</v>
      </c>
      <c r="V835">
        <v>833</v>
      </c>
      <c r="W835">
        <v>20</v>
      </c>
      <c r="X835">
        <v>0.874</v>
      </c>
      <c r="Y835" s="32">
        <v>2.5</v>
      </c>
      <c r="Z835">
        <v>0</v>
      </c>
      <c r="AA835" s="32">
        <v>1.252</v>
      </c>
      <c r="AB835">
        <v>0</v>
      </c>
      <c r="AC835" s="34">
        <v>0.106</v>
      </c>
      <c r="AD835" s="32">
        <v>1.0940000000000001</v>
      </c>
    </row>
    <row r="836" spans="1:30">
      <c r="A836">
        <v>834</v>
      </c>
      <c r="B836">
        <v>21</v>
      </c>
      <c r="C836">
        <v>0.86299999999999999</v>
      </c>
      <c r="D836">
        <v>2.5</v>
      </c>
      <c r="E836">
        <v>0</v>
      </c>
      <c r="F836">
        <v>1.268</v>
      </c>
      <c r="G836">
        <v>0</v>
      </c>
      <c r="H836">
        <v>9.7000000000000003E-2</v>
      </c>
      <c r="I836">
        <v>1.1259999999999999</v>
      </c>
      <c r="K836">
        <v>834</v>
      </c>
      <c r="L836">
        <v>21</v>
      </c>
      <c r="M836" s="32">
        <v>0.86299999999999999</v>
      </c>
      <c r="N836" s="32">
        <v>2.5</v>
      </c>
      <c r="P836" s="47">
        <v>1.2689999999999999</v>
      </c>
      <c r="R836" s="47">
        <v>0.105</v>
      </c>
      <c r="S836" s="47">
        <v>1.095</v>
      </c>
      <c r="T836" s="31">
        <v>0</v>
      </c>
      <c r="V836">
        <v>834</v>
      </c>
      <c r="W836">
        <v>20</v>
      </c>
      <c r="X836">
        <v>0.875</v>
      </c>
      <c r="Y836" s="32">
        <v>2.5</v>
      </c>
      <c r="Z836">
        <v>0</v>
      </c>
      <c r="AA836" s="32">
        <v>1.252</v>
      </c>
      <c r="AB836">
        <v>0</v>
      </c>
      <c r="AC836" s="34">
        <v>0.106</v>
      </c>
      <c r="AD836" s="32">
        <v>1.095</v>
      </c>
    </row>
    <row r="837" spans="1:30">
      <c r="A837">
        <v>835</v>
      </c>
      <c r="B837">
        <v>21</v>
      </c>
      <c r="C837">
        <v>0.86399999999999999</v>
      </c>
      <c r="D837">
        <v>2.5</v>
      </c>
      <c r="E837">
        <v>0</v>
      </c>
      <c r="F837">
        <v>1.268</v>
      </c>
      <c r="G837">
        <v>0</v>
      </c>
      <c r="H837">
        <v>9.7000000000000003E-2</v>
      </c>
      <c r="I837">
        <v>1.127</v>
      </c>
      <c r="K837">
        <v>835</v>
      </c>
      <c r="L837">
        <v>21</v>
      </c>
      <c r="M837" s="32">
        <v>0.86399999999999999</v>
      </c>
      <c r="N837" s="32">
        <v>2.5</v>
      </c>
      <c r="P837" s="47">
        <v>1.2689999999999999</v>
      </c>
      <c r="R837" s="47">
        <v>0.105</v>
      </c>
      <c r="S837" s="47">
        <v>1.0960000000000001</v>
      </c>
      <c r="T837" s="31">
        <v>0</v>
      </c>
      <c r="V837">
        <v>835</v>
      </c>
      <c r="W837">
        <v>20</v>
      </c>
      <c r="X837">
        <v>0.876</v>
      </c>
      <c r="Y837" s="32">
        <v>2.5</v>
      </c>
      <c r="Z837">
        <v>0</v>
      </c>
      <c r="AA837" s="32">
        <v>1.252</v>
      </c>
      <c r="AB837">
        <v>0</v>
      </c>
      <c r="AC837" s="34">
        <v>0.106</v>
      </c>
      <c r="AD837" s="32">
        <v>1.097</v>
      </c>
    </row>
    <row r="838" spans="1:30">
      <c r="A838">
        <v>836</v>
      </c>
      <c r="B838">
        <v>21</v>
      </c>
      <c r="C838">
        <v>0.86499999999999999</v>
      </c>
      <c r="D838">
        <v>2.5</v>
      </c>
      <c r="E838">
        <v>0</v>
      </c>
      <c r="F838">
        <v>1.268</v>
      </c>
      <c r="G838">
        <v>0</v>
      </c>
      <c r="H838">
        <v>9.7000000000000003E-2</v>
      </c>
      <c r="I838">
        <v>1.129</v>
      </c>
      <c r="K838">
        <v>836</v>
      </c>
      <c r="L838">
        <v>21</v>
      </c>
      <c r="M838" s="32">
        <v>0.86499999999999999</v>
      </c>
      <c r="N838" s="32">
        <v>2.5</v>
      </c>
      <c r="P838" s="47">
        <v>1.27</v>
      </c>
      <c r="R838" s="47">
        <v>0.105</v>
      </c>
      <c r="S838" s="47">
        <v>1.0980000000000001</v>
      </c>
      <c r="T838" s="31">
        <v>0</v>
      </c>
      <c r="V838">
        <v>836</v>
      </c>
      <c r="W838">
        <v>20</v>
      </c>
      <c r="X838">
        <v>0.877</v>
      </c>
      <c r="Y838" s="32">
        <v>2.5</v>
      </c>
      <c r="Z838">
        <v>0</v>
      </c>
      <c r="AA838" s="32">
        <v>1.252</v>
      </c>
      <c r="AB838">
        <v>0</v>
      </c>
      <c r="AC838" s="34">
        <v>0.106</v>
      </c>
      <c r="AD838" s="32">
        <v>1.0980000000000001</v>
      </c>
    </row>
    <row r="839" spans="1:30">
      <c r="A839">
        <v>837</v>
      </c>
      <c r="B839">
        <v>21</v>
      </c>
      <c r="C839">
        <v>0.86599999999999999</v>
      </c>
      <c r="D839">
        <v>2.5</v>
      </c>
      <c r="E839">
        <v>0</v>
      </c>
      <c r="F839">
        <v>1.268</v>
      </c>
      <c r="G839">
        <v>0</v>
      </c>
      <c r="H839">
        <v>9.7000000000000003E-2</v>
      </c>
      <c r="I839">
        <v>1.1299999999999999</v>
      </c>
      <c r="K839">
        <v>837</v>
      </c>
      <c r="L839">
        <v>21</v>
      </c>
      <c r="M839" s="32">
        <v>0.86599999999999999</v>
      </c>
      <c r="N839" s="32">
        <v>2.5</v>
      </c>
      <c r="P839" s="47">
        <v>1.27</v>
      </c>
      <c r="R839" s="47">
        <v>0.106</v>
      </c>
      <c r="S839" s="47">
        <v>1.1000000000000001</v>
      </c>
      <c r="T839" s="31">
        <v>0</v>
      </c>
      <c r="V839">
        <v>837</v>
      </c>
      <c r="W839">
        <v>20</v>
      </c>
      <c r="X839">
        <v>0.878</v>
      </c>
      <c r="Y839" s="32">
        <v>2.5</v>
      </c>
      <c r="Z839">
        <v>0</v>
      </c>
      <c r="AA839" s="32">
        <v>1.252</v>
      </c>
      <c r="AB839">
        <v>0</v>
      </c>
      <c r="AC839" s="34">
        <v>0.106</v>
      </c>
      <c r="AD839" s="32">
        <v>1.1000000000000001</v>
      </c>
    </row>
    <row r="840" spans="1:30">
      <c r="A840">
        <v>838</v>
      </c>
      <c r="B840">
        <v>21</v>
      </c>
      <c r="C840">
        <v>0.86699999999999999</v>
      </c>
      <c r="D840">
        <v>2.5</v>
      </c>
      <c r="E840">
        <v>0</v>
      </c>
      <c r="F840">
        <v>1.268</v>
      </c>
      <c r="G840">
        <v>0</v>
      </c>
      <c r="H840">
        <v>9.7000000000000003E-2</v>
      </c>
      <c r="I840">
        <v>1.1319999999999999</v>
      </c>
      <c r="K840">
        <v>838</v>
      </c>
      <c r="L840">
        <v>21</v>
      </c>
      <c r="M840" s="32">
        <v>0.86699999999999999</v>
      </c>
      <c r="N840" s="32">
        <v>2.5</v>
      </c>
      <c r="P840" s="47">
        <v>1.27</v>
      </c>
      <c r="R840" s="47">
        <v>0.106</v>
      </c>
      <c r="S840" s="47">
        <v>1.101</v>
      </c>
      <c r="T840" s="31">
        <v>0</v>
      </c>
      <c r="V840">
        <v>838</v>
      </c>
      <c r="W840">
        <v>20</v>
      </c>
      <c r="X840">
        <v>0.879</v>
      </c>
      <c r="Y840" s="32">
        <v>2.5</v>
      </c>
      <c r="Z840">
        <v>0</v>
      </c>
      <c r="AA840" s="32">
        <v>1.2529999999999999</v>
      </c>
      <c r="AB840">
        <v>0</v>
      </c>
      <c r="AC840" s="34">
        <v>0.106</v>
      </c>
      <c r="AD840" s="32">
        <v>1.101</v>
      </c>
    </row>
    <row r="841" spans="1:30">
      <c r="A841">
        <v>839</v>
      </c>
      <c r="B841">
        <v>21</v>
      </c>
      <c r="C841">
        <v>0.86799999999999999</v>
      </c>
      <c r="D841">
        <v>2.5</v>
      </c>
      <c r="E841">
        <v>0</v>
      </c>
      <c r="F841">
        <v>1.268</v>
      </c>
      <c r="G841">
        <v>0</v>
      </c>
      <c r="H841">
        <v>9.7000000000000003E-2</v>
      </c>
      <c r="I841">
        <v>1.133</v>
      </c>
      <c r="K841">
        <v>839</v>
      </c>
      <c r="L841">
        <v>21</v>
      </c>
      <c r="M841" s="32">
        <v>0.86799999999999999</v>
      </c>
      <c r="N841" s="32">
        <v>2.5</v>
      </c>
      <c r="P841" s="47">
        <v>1.27</v>
      </c>
      <c r="R841" s="47">
        <v>0.106</v>
      </c>
      <c r="S841" s="47">
        <v>1.103</v>
      </c>
      <c r="T841" s="31">
        <v>0</v>
      </c>
      <c r="V841">
        <v>839</v>
      </c>
      <c r="W841">
        <v>20</v>
      </c>
      <c r="X841">
        <v>0.88</v>
      </c>
      <c r="Y841" s="32">
        <v>2.5</v>
      </c>
      <c r="Z841">
        <v>0</v>
      </c>
      <c r="AA841" s="32">
        <v>1.2529999999999999</v>
      </c>
      <c r="AB841">
        <v>0</v>
      </c>
      <c r="AC841" s="34">
        <v>0.106</v>
      </c>
      <c r="AD841" s="32">
        <v>1.1020000000000001</v>
      </c>
    </row>
    <row r="842" spans="1:30">
      <c r="A842">
        <v>840</v>
      </c>
      <c r="B842">
        <v>21</v>
      </c>
      <c r="C842">
        <v>0.86899999999999999</v>
      </c>
      <c r="D842">
        <v>2.5</v>
      </c>
      <c r="E842">
        <v>0</v>
      </c>
      <c r="F842">
        <v>1.268</v>
      </c>
      <c r="G842">
        <v>0</v>
      </c>
      <c r="H842">
        <v>9.7000000000000003E-2</v>
      </c>
      <c r="I842">
        <v>1.135</v>
      </c>
      <c r="K842">
        <v>840</v>
      </c>
      <c r="L842">
        <v>21</v>
      </c>
      <c r="M842" s="32">
        <v>0.86899999999999999</v>
      </c>
      <c r="N842" s="32">
        <v>2.5</v>
      </c>
      <c r="P842" s="47">
        <v>1.2709999999999999</v>
      </c>
      <c r="R842" s="47">
        <v>0.107</v>
      </c>
      <c r="S842" s="47">
        <v>1.1040000000000001</v>
      </c>
      <c r="T842" s="31">
        <v>0</v>
      </c>
      <c r="V842">
        <v>840</v>
      </c>
      <c r="W842">
        <v>20</v>
      </c>
      <c r="X842">
        <v>0.88100000000000001</v>
      </c>
      <c r="Y842" s="32">
        <v>2.5</v>
      </c>
      <c r="Z842">
        <v>0</v>
      </c>
      <c r="AA842" s="32">
        <v>1.2529999999999999</v>
      </c>
      <c r="AB842">
        <v>0</v>
      </c>
      <c r="AC842" s="34">
        <v>0.106</v>
      </c>
      <c r="AD842" s="32">
        <v>1.1040000000000001</v>
      </c>
    </row>
    <row r="843" spans="1:30">
      <c r="A843">
        <v>841</v>
      </c>
      <c r="B843">
        <v>21</v>
      </c>
      <c r="C843">
        <v>0.87</v>
      </c>
      <c r="D843">
        <v>2.5</v>
      </c>
      <c r="E843">
        <v>0</v>
      </c>
      <c r="F843">
        <v>1.2709999999999999</v>
      </c>
      <c r="G843">
        <v>0</v>
      </c>
      <c r="H843">
        <v>9.7000000000000003E-2</v>
      </c>
      <c r="I843">
        <v>1.153</v>
      </c>
      <c r="K843">
        <v>841</v>
      </c>
      <c r="L843">
        <v>21</v>
      </c>
      <c r="M843" s="32">
        <v>0.87</v>
      </c>
      <c r="N843" s="32">
        <v>2.5</v>
      </c>
      <c r="P843" s="32">
        <v>1.2709999999999999</v>
      </c>
      <c r="R843" s="47">
        <v>0.107</v>
      </c>
      <c r="S843" s="47">
        <v>1.1060000000000001</v>
      </c>
      <c r="T843" s="31">
        <v>0</v>
      </c>
      <c r="V843">
        <v>841</v>
      </c>
      <c r="W843">
        <v>20</v>
      </c>
      <c r="X843">
        <v>0.88200000000000001</v>
      </c>
      <c r="Y843" s="32">
        <v>2.5</v>
      </c>
      <c r="Z843">
        <v>0</v>
      </c>
      <c r="AA843" s="32">
        <v>1.2529999999999999</v>
      </c>
      <c r="AB843">
        <v>0</v>
      </c>
      <c r="AC843" s="34">
        <v>0.106</v>
      </c>
      <c r="AD843" s="32">
        <v>1.105</v>
      </c>
    </row>
    <row r="844" spans="1:30">
      <c r="A844">
        <v>842</v>
      </c>
      <c r="B844">
        <v>21</v>
      </c>
      <c r="C844">
        <v>0.871</v>
      </c>
      <c r="D844">
        <v>2.5</v>
      </c>
      <c r="E844">
        <v>0</v>
      </c>
      <c r="F844">
        <v>1.2709999999999999</v>
      </c>
      <c r="G844">
        <v>0</v>
      </c>
      <c r="H844">
        <v>9.7000000000000003E-2</v>
      </c>
      <c r="I844">
        <v>1.1539999999999999</v>
      </c>
      <c r="K844">
        <v>842</v>
      </c>
      <c r="L844">
        <v>21</v>
      </c>
      <c r="M844" s="32">
        <v>0.871</v>
      </c>
      <c r="N844" s="32">
        <v>2.5</v>
      </c>
      <c r="P844" s="32">
        <v>1.2709999999999999</v>
      </c>
      <c r="R844" s="47">
        <v>0.107</v>
      </c>
      <c r="S844" s="47">
        <v>1.1080000000000001</v>
      </c>
      <c r="T844" s="31">
        <v>0</v>
      </c>
      <c r="V844">
        <v>842</v>
      </c>
      <c r="W844">
        <v>20</v>
      </c>
      <c r="X844">
        <v>0.88300000000000001</v>
      </c>
      <c r="Y844" s="32">
        <v>2.5</v>
      </c>
      <c r="Z844">
        <v>0</v>
      </c>
      <c r="AA844" s="32">
        <v>1.2529999999999999</v>
      </c>
      <c r="AB844">
        <v>0</v>
      </c>
      <c r="AC844" s="34">
        <v>0.106</v>
      </c>
      <c r="AD844" s="32">
        <v>1.107</v>
      </c>
    </row>
    <row r="845" spans="1:30">
      <c r="A845">
        <v>843</v>
      </c>
      <c r="B845">
        <v>21</v>
      </c>
      <c r="C845">
        <v>0.872</v>
      </c>
      <c r="D845">
        <v>2.5</v>
      </c>
      <c r="E845">
        <v>0</v>
      </c>
      <c r="F845">
        <v>1.2709999999999999</v>
      </c>
      <c r="G845">
        <v>0</v>
      </c>
      <c r="H845">
        <v>9.7000000000000003E-2</v>
      </c>
      <c r="I845">
        <v>1.1559999999999999</v>
      </c>
      <c r="K845">
        <v>843</v>
      </c>
      <c r="L845">
        <v>21</v>
      </c>
      <c r="M845" s="32">
        <v>0.872</v>
      </c>
      <c r="N845" s="32">
        <v>2.5</v>
      </c>
      <c r="P845" s="47">
        <v>1.272</v>
      </c>
      <c r="R845" s="47">
        <v>0.108</v>
      </c>
      <c r="S845" s="47">
        <v>1.109</v>
      </c>
      <c r="T845" s="31">
        <v>0</v>
      </c>
      <c r="V845">
        <v>843</v>
      </c>
      <c r="W845">
        <v>20</v>
      </c>
      <c r="X845">
        <v>0.88400000000000001</v>
      </c>
      <c r="Y845" s="32">
        <v>2.5</v>
      </c>
      <c r="Z845">
        <v>0</v>
      </c>
      <c r="AA845" s="32">
        <v>1.2529999999999999</v>
      </c>
      <c r="AB845">
        <v>0</v>
      </c>
      <c r="AC845" s="34">
        <v>0.106</v>
      </c>
      <c r="AD845" s="32">
        <v>1.1080000000000001</v>
      </c>
    </row>
    <row r="846" spans="1:30">
      <c r="A846">
        <v>844</v>
      </c>
      <c r="B846">
        <v>21</v>
      </c>
      <c r="C846">
        <v>0.873</v>
      </c>
      <c r="D846">
        <v>2.5</v>
      </c>
      <c r="E846">
        <v>0</v>
      </c>
      <c r="F846">
        <v>1.2709999999999999</v>
      </c>
      <c r="G846">
        <v>0</v>
      </c>
      <c r="H846">
        <v>9.7000000000000003E-2</v>
      </c>
      <c r="I846">
        <v>1.157</v>
      </c>
      <c r="K846">
        <v>844</v>
      </c>
      <c r="L846">
        <v>21</v>
      </c>
      <c r="M846" s="32">
        <v>0.873</v>
      </c>
      <c r="N846" s="32">
        <v>2.5</v>
      </c>
      <c r="P846" s="47">
        <v>1.272</v>
      </c>
      <c r="R846" s="47">
        <v>0.108</v>
      </c>
      <c r="S846" s="47">
        <v>1.111</v>
      </c>
      <c r="T846" s="31">
        <v>0</v>
      </c>
      <c r="V846">
        <v>844</v>
      </c>
      <c r="W846">
        <v>20</v>
      </c>
      <c r="X846">
        <v>0.88500000000000001</v>
      </c>
      <c r="Y846" s="32">
        <v>2.5</v>
      </c>
      <c r="Z846">
        <v>0</v>
      </c>
      <c r="AA846" s="32">
        <v>1.254</v>
      </c>
      <c r="AB846">
        <v>0</v>
      </c>
      <c r="AC846" s="34">
        <v>0.107</v>
      </c>
      <c r="AD846" s="32">
        <v>1.109</v>
      </c>
    </row>
    <row r="847" spans="1:30">
      <c r="A847">
        <v>845</v>
      </c>
      <c r="B847">
        <v>21</v>
      </c>
      <c r="C847">
        <v>0.874</v>
      </c>
      <c r="D847">
        <v>2.5</v>
      </c>
      <c r="E847">
        <v>0</v>
      </c>
      <c r="F847">
        <v>1.2709999999999999</v>
      </c>
      <c r="G847">
        <v>0</v>
      </c>
      <c r="H847">
        <v>9.7000000000000003E-2</v>
      </c>
      <c r="I847">
        <v>1.159</v>
      </c>
      <c r="K847">
        <v>845</v>
      </c>
      <c r="L847">
        <v>21</v>
      </c>
      <c r="M847" s="32">
        <v>0.874</v>
      </c>
      <c r="N847" s="32">
        <v>2.5</v>
      </c>
      <c r="P847" s="47">
        <v>1.272</v>
      </c>
      <c r="R847" s="47">
        <v>0.108</v>
      </c>
      <c r="S847" s="47">
        <v>1.1120000000000001</v>
      </c>
      <c r="T847" s="31">
        <v>0</v>
      </c>
      <c r="V847">
        <v>845</v>
      </c>
      <c r="W847">
        <v>20</v>
      </c>
      <c r="X847">
        <v>0.88600000000000001</v>
      </c>
      <c r="Y847" s="32">
        <v>2.5</v>
      </c>
      <c r="Z847">
        <v>0</v>
      </c>
      <c r="AA847" s="32">
        <v>1.254</v>
      </c>
      <c r="AB847">
        <v>0</v>
      </c>
      <c r="AC847" s="34">
        <v>0.107</v>
      </c>
      <c r="AD847" s="32">
        <v>1.111</v>
      </c>
    </row>
    <row r="848" spans="1:30">
      <c r="A848">
        <v>846</v>
      </c>
      <c r="B848">
        <v>21</v>
      </c>
      <c r="C848">
        <v>0.875</v>
      </c>
      <c r="D848">
        <v>2.5</v>
      </c>
      <c r="E848">
        <v>0</v>
      </c>
      <c r="F848">
        <v>1.2709999999999999</v>
      </c>
      <c r="G848">
        <v>0</v>
      </c>
      <c r="H848">
        <v>9.7000000000000003E-2</v>
      </c>
      <c r="I848">
        <v>1.1599999999999999</v>
      </c>
      <c r="K848">
        <v>846</v>
      </c>
      <c r="L848">
        <v>21</v>
      </c>
      <c r="M848" s="32">
        <v>0.875</v>
      </c>
      <c r="N848" s="32">
        <v>2.5</v>
      </c>
      <c r="P848" s="47">
        <v>1.2729999999999999</v>
      </c>
      <c r="R848" s="47">
        <v>0.109</v>
      </c>
      <c r="S848" s="47">
        <v>1.1140000000000001</v>
      </c>
      <c r="T848" s="31">
        <v>0</v>
      </c>
      <c r="V848">
        <v>846</v>
      </c>
      <c r="W848">
        <v>20</v>
      </c>
      <c r="X848">
        <v>0.88700000000000001</v>
      </c>
      <c r="Y848" s="32">
        <v>2.5</v>
      </c>
      <c r="Z848">
        <v>0</v>
      </c>
      <c r="AA848" s="32">
        <v>1.254</v>
      </c>
      <c r="AB848">
        <v>0</v>
      </c>
      <c r="AC848" s="34">
        <v>0.107</v>
      </c>
      <c r="AD848" s="32">
        <v>1.1120000000000001</v>
      </c>
    </row>
    <row r="849" spans="1:30">
      <c r="A849">
        <v>847</v>
      </c>
      <c r="B849">
        <v>21</v>
      </c>
      <c r="C849">
        <v>0.876</v>
      </c>
      <c r="D849">
        <v>2.5</v>
      </c>
      <c r="E849">
        <v>0</v>
      </c>
      <c r="F849">
        <v>1.2709999999999999</v>
      </c>
      <c r="G849">
        <v>0</v>
      </c>
      <c r="H849">
        <v>9.7000000000000003E-2</v>
      </c>
      <c r="I849">
        <v>1.1619999999999999</v>
      </c>
      <c r="K849">
        <v>847</v>
      </c>
      <c r="L849">
        <v>21</v>
      </c>
      <c r="M849" s="32">
        <v>0.876</v>
      </c>
      <c r="N849" s="32">
        <v>2.5</v>
      </c>
      <c r="P849" s="47">
        <v>1.2729999999999999</v>
      </c>
      <c r="R849" s="47">
        <v>0.109</v>
      </c>
      <c r="S849" s="47">
        <v>1.115</v>
      </c>
      <c r="T849" s="31">
        <v>0</v>
      </c>
      <c r="V849">
        <v>847</v>
      </c>
      <c r="W849">
        <v>20</v>
      </c>
      <c r="X849">
        <v>0.88800000000000001</v>
      </c>
      <c r="Y849" s="32">
        <v>2.5</v>
      </c>
      <c r="Z849">
        <v>0</v>
      </c>
      <c r="AA849" s="32">
        <v>1.254</v>
      </c>
      <c r="AB849">
        <v>0</v>
      </c>
      <c r="AC849" s="34">
        <v>0.107</v>
      </c>
      <c r="AD849" s="32">
        <v>1.1140000000000001</v>
      </c>
    </row>
    <row r="850" spans="1:30">
      <c r="A850">
        <v>848</v>
      </c>
      <c r="B850">
        <v>21</v>
      </c>
      <c r="C850">
        <v>0.877</v>
      </c>
      <c r="D850">
        <v>2.5</v>
      </c>
      <c r="E850">
        <v>0</v>
      </c>
      <c r="F850">
        <v>1.2709999999999999</v>
      </c>
      <c r="G850">
        <v>0</v>
      </c>
      <c r="H850">
        <v>9.7000000000000003E-2</v>
      </c>
      <c r="I850">
        <v>1.163</v>
      </c>
      <c r="K850">
        <v>848</v>
      </c>
      <c r="L850">
        <v>21</v>
      </c>
      <c r="M850" s="32">
        <v>0.877</v>
      </c>
      <c r="N850" s="32">
        <v>2.5</v>
      </c>
      <c r="P850" s="47">
        <v>1.2729999999999999</v>
      </c>
      <c r="R850" s="47">
        <v>0.109</v>
      </c>
      <c r="S850" s="47">
        <v>1.117</v>
      </c>
      <c r="T850" s="31">
        <v>0</v>
      </c>
      <c r="V850">
        <v>848</v>
      </c>
      <c r="W850">
        <v>20</v>
      </c>
      <c r="X850">
        <v>0.88900000000000001</v>
      </c>
      <c r="Y850" s="32">
        <v>2.5</v>
      </c>
      <c r="Z850">
        <v>0</v>
      </c>
      <c r="AA850" s="32">
        <v>1.254</v>
      </c>
      <c r="AB850">
        <v>0</v>
      </c>
      <c r="AC850" s="34">
        <v>0.107</v>
      </c>
      <c r="AD850" s="32">
        <v>1.115</v>
      </c>
    </row>
    <row r="851" spans="1:30">
      <c r="A851">
        <v>849</v>
      </c>
      <c r="B851">
        <v>21</v>
      </c>
      <c r="C851">
        <v>0.878</v>
      </c>
      <c r="D851">
        <v>2.5</v>
      </c>
      <c r="E851">
        <v>0</v>
      </c>
      <c r="F851">
        <v>1.2709999999999999</v>
      </c>
      <c r="G851">
        <v>0</v>
      </c>
      <c r="H851">
        <v>9.7000000000000003E-2</v>
      </c>
      <c r="I851">
        <v>1.165</v>
      </c>
      <c r="K851">
        <v>849</v>
      </c>
      <c r="L851">
        <v>21</v>
      </c>
      <c r="M851" s="32">
        <v>0.878</v>
      </c>
      <c r="N851" s="32">
        <v>2.5</v>
      </c>
      <c r="P851" s="47">
        <v>1.2729999999999999</v>
      </c>
      <c r="R851" s="47">
        <v>0.11</v>
      </c>
      <c r="S851" s="47">
        <v>1.1180000000000001</v>
      </c>
      <c r="T851" s="31">
        <v>0</v>
      </c>
      <c r="V851">
        <v>849</v>
      </c>
      <c r="W851">
        <v>20</v>
      </c>
      <c r="X851">
        <v>0.89</v>
      </c>
      <c r="Y851" s="32">
        <v>2.5</v>
      </c>
      <c r="Z851">
        <v>0</v>
      </c>
      <c r="AA851" s="32">
        <v>1.254</v>
      </c>
      <c r="AB851">
        <v>0</v>
      </c>
      <c r="AC851" s="34">
        <v>0.107</v>
      </c>
      <c r="AD851" s="32">
        <v>1.117</v>
      </c>
    </row>
    <row r="852" spans="1:30">
      <c r="A852">
        <v>850</v>
      </c>
      <c r="B852">
        <v>21</v>
      </c>
      <c r="C852">
        <v>0.879</v>
      </c>
      <c r="D852">
        <v>2.5</v>
      </c>
      <c r="E852">
        <v>0</v>
      </c>
      <c r="F852">
        <v>1.2709999999999999</v>
      </c>
      <c r="G852">
        <v>0</v>
      </c>
      <c r="H852">
        <v>9.7000000000000003E-2</v>
      </c>
      <c r="I852">
        <v>1.1659999999999999</v>
      </c>
      <c r="K852">
        <v>850</v>
      </c>
      <c r="L852">
        <v>21</v>
      </c>
      <c r="M852" s="32">
        <v>0.879</v>
      </c>
      <c r="N852" s="32">
        <v>2.5</v>
      </c>
      <c r="P852" s="47">
        <v>1.274</v>
      </c>
      <c r="R852" s="47">
        <v>0.11</v>
      </c>
      <c r="S852" s="47">
        <v>1.1200000000000001</v>
      </c>
      <c r="T852" s="31">
        <v>0</v>
      </c>
      <c r="V852">
        <v>850</v>
      </c>
      <c r="W852">
        <v>20</v>
      </c>
      <c r="X852">
        <v>0.89100000000000001</v>
      </c>
      <c r="Y852" s="32">
        <v>2.5</v>
      </c>
      <c r="Z852">
        <v>0</v>
      </c>
      <c r="AA852" s="32">
        <v>1.2549999999999999</v>
      </c>
      <c r="AB852">
        <v>0</v>
      </c>
      <c r="AC852" s="34">
        <v>0.107</v>
      </c>
      <c r="AD852" s="32">
        <v>1.1180000000000001</v>
      </c>
    </row>
    <row r="853" spans="1:30">
      <c r="A853">
        <v>851</v>
      </c>
      <c r="B853">
        <v>21</v>
      </c>
      <c r="C853">
        <v>0.88</v>
      </c>
      <c r="D853">
        <v>2.5</v>
      </c>
      <c r="E853">
        <v>0</v>
      </c>
      <c r="F853">
        <v>1.274</v>
      </c>
      <c r="G853">
        <v>0</v>
      </c>
      <c r="H853">
        <v>9.7000000000000003E-2</v>
      </c>
      <c r="I853">
        <v>1.121</v>
      </c>
      <c r="K853">
        <v>851</v>
      </c>
      <c r="L853">
        <v>21</v>
      </c>
      <c r="M853" s="32">
        <v>0.88</v>
      </c>
      <c r="N853" s="32">
        <v>2.5</v>
      </c>
      <c r="P853" s="32">
        <v>1.274</v>
      </c>
      <c r="R853" s="47">
        <v>0.111</v>
      </c>
      <c r="S853" s="32">
        <v>1.121</v>
      </c>
      <c r="T853" s="31">
        <v>0</v>
      </c>
      <c r="V853">
        <v>851</v>
      </c>
      <c r="W853">
        <v>20</v>
      </c>
      <c r="X853">
        <v>0.89200000000000002</v>
      </c>
      <c r="Y853" s="32">
        <v>2.5</v>
      </c>
      <c r="Z853">
        <v>0</v>
      </c>
      <c r="AA853" s="32">
        <v>1.2549999999999999</v>
      </c>
      <c r="AB853">
        <v>0</v>
      </c>
      <c r="AC853" s="34">
        <v>0.107</v>
      </c>
      <c r="AD853" s="32">
        <v>1.119</v>
      </c>
    </row>
    <row r="854" spans="1:30">
      <c r="A854">
        <v>852</v>
      </c>
      <c r="B854">
        <v>21</v>
      </c>
      <c r="C854">
        <v>0.88100000000000001</v>
      </c>
      <c r="D854">
        <v>2.5</v>
      </c>
      <c r="E854">
        <v>0</v>
      </c>
      <c r="F854">
        <v>1.274</v>
      </c>
      <c r="G854">
        <v>0</v>
      </c>
      <c r="H854">
        <v>9.7000000000000003E-2</v>
      </c>
      <c r="I854">
        <v>1.1850000000000001</v>
      </c>
      <c r="K854">
        <v>852</v>
      </c>
      <c r="L854">
        <v>21</v>
      </c>
      <c r="M854" s="32">
        <v>0.88100000000000001</v>
      </c>
      <c r="N854" s="32">
        <v>2.5</v>
      </c>
      <c r="P854" s="32">
        <v>1.274</v>
      </c>
      <c r="R854" s="47">
        <v>0.111</v>
      </c>
      <c r="S854" s="47">
        <v>1.123</v>
      </c>
      <c r="T854" s="31">
        <v>0</v>
      </c>
      <c r="V854">
        <v>852</v>
      </c>
      <c r="W854">
        <v>20</v>
      </c>
      <c r="X854">
        <v>0.89300000000000002</v>
      </c>
      <c r="Y854" s="32">
        <v>2.5</v>
      </c>
      <c r="Z854">
        <v>0</v>
      </c>
      <c r="AA854" s="32">
        <v>1.2549999999999999</v>
      </c>
      <c r="AB854">
        <v>0</v>
      </c>
      <c r="AC854" s="34">
        <v>0.107</v>
      </c>
      <c r="AD854" s="32">
        <v>1.121</v>
      </c>
    </row>
    <row r="855" spans="1:30">
      <c r="A855">
        <v>853</v>
      </c>
      <c r="B855">
        <v>21</v>
      </c>
      <c r="C855">
        <v>0.88200000000000001</v>
      </c>
      <c r="D855">
        <v>2.5</v>
      </c>
      <c r="E855">
        <v>0</v>
      </c>
      <c r="F855">
        <v>1.274</v>
      </c>
      <c r="G855">
        <v>0</v>
      </c>
      <c r="H855">
        <v>9.7000000000000003E-2</v>
      </c>
      <c r="I855">
        <v>1.1859999999999999</v>
      </c>
      <c r="K855">
        <v>853</v>
      </c>
      <c r="L855">
        <v>21</v>
      </c>
      <c r="M855" s="32">
        <v>0.88200000000000001</v>
      </c>
      <c r="N855" s="32">
        <v>2.5</v>
      </c>
      <c r="P855" s="47">
        <v>1.2749999999999999</v>
      </c>
      <c r="R855" s="47">
        <v>0.111</v>
      </c>
      <c r="S855" s="47">
        <v>1.1240000000000001</v>
      </c>
      <c r="T855" s="31">
        <v>0</v>
      </c>
      <c r="V855">
        <v>853</v>
      </c>
      <c r="W855">
        <v>20</v>
      </c>
      <c r="X855">
        <v>0.89400000000000002</v>
      </c>
      <c r="Y855" s="32">
        <v>2.5</v>
      </c>
      <c r="Z855">
        <v>0</v>
      </c>
      <c r="AA855" s="32">
        <v>1.2549999999999999</v>
      </c>
      <c r="AB855">
        <v>0</v>
      </c>
      <c r="AC855" s="34">
        <v>0.107</v>
      </c>
      <c r="AD855" s="32">
        <v>1.1220000000000001</v>
      </c>
    </row>
    <row r="856" spans="1:30">
      <c r="A856">
        <v>854</v>
      </c>
      <c r="B856">
        <v>21</v>
      </c>
      <c r="C856">
        <v>0.88300000000000001</v>
      </c>
      <c r="D856">
        <v>2.5</v>
      </c>
      <c r="E856">
        <v>0</v>
      </c>
      <c r="F856">
        <v>1.274</v>
      </c>
      <c r="G856">
        <v>0</v>
      </c>
      <c r="H856">
        <v>9.7000000000000003E-2</v>
      </c>
      <c r="I856">
        <v>1.1879999999999999</v>
      </c>
      <c r="K856">
        <v>854</v>
      </c>
      <c r="L856">
        <v>21</v>
      </c>
      <c r="M856" s="32">
        <v>0.88300000000000001</v>
      </c>
      <c r="N856" s="32">
        <v>2.5</v>
      </c>
      <c r="P856" s="47">
        <v>1.2749999999999999</v>
      </c>
      <c r="R856" s="47">
        <v>0.112</v>
      </c>
      <c r="S856" s="47">
        <v>1.1259999999999999</v>
      </c>
      <c r="T856" s="31">
        <v>0</v>
      </c>
      <c r="V856">
        <v>854</v>
      </c>
      <c r="W856">
        <v>20</v>
      </c>
      <c r="X856">
        <v>0.89500000000000002</v>
      </c>
      <c r="Y856" s="32">
        <v>2.5</v>
      </c>
      <c r="Z856">
        <v>0</v>
      </c>
      <c r="AA856" s="32">
        <v>1.2549999999999999</v>
      </c>
      <c r="AB856">
        <v>0</v>
      </c>
      <c r="AC856" s="34">
        <v>0.107</v>
      </c>
      <c r="AD856" s="32">
        <v>1.1240000000000001</v>
      </c>
    </row>
    <row r="857" spans="1:30">
      <c r="A857">
        <v>855</v>
      </c>
      <c r="B857">
        <v>21</v>
      </c>
      <c r="C857">
        <v>0.88400000000000001</v>
      </c>
      <c r="D857">
        <v>2.5</v>
      </c>
      <c r="E857">
        <v>0</v>
      </c>
      <c r="F857">
        <v>1.274</v>
      </c>
      <c r="G857">
        <v>0</v>
      </c>
      <c r="H857">
        <v>9.7000000000000003E-2</v>
      </c>
      <c r="I857">
        <v>1.1890000000000001</v>
      </c>
      <c r="K857">
        <v>855</v>
      </c>
      <c r="L857">
        <v>21</v>
      </c>
      <c r="M857" s="32">
        <v>0.88400000000000001</v>
      </c>
      <c r="N857" s="32">
        <v>2.5</v>
      </c>
      <c r="P857" s="47">
        <v>1.2749999999999999</v>
      </c>
      <c r="R857" s="47">
        <v>0.112</v>
      </c>
      <c r="S857" s="47">
        <v>1.127</v>
      </c>
      <c r="T857" s="31">
        <v>0</v>
      </c>
      <c r="V857">
        <v>855</v>
      </c>
      <c r="W857">
        <v>20</v>
      </c>
      <c r="X857">
        <v>0.89600000000000002</v>
      </c>
      <c r="Y857" s="32">
        <v>2.5</v>
      </c>
      <c r="Z857">
        <v>0</v>
      </c>
      <c r="AA857" s="32">
        <v>1.256</v>
      </c>
      <c r="AB857">
        <v>0</v>
      </c>
      <c r="AC857" s="34">
        <v>0.107</v>
      </c>
      <c r="AD857" s="32">
        <v>1.125</v>
      </c>
    </row>
    <row r="858" spans="1:30">
      <c r="A858">
        <v>856</v>
      </c>
      <c r="B858">
        <v>21</v>
      </c>
      <c r="C858">
        <v>0.88500000000000001</v>
      </c>
      <c r="D858">
        <v>2.5</v>
      </c>
      <c r="E858">
        <v>0</v>
      </c>
      <c r="F858">
        <v>1.274</v>
      </c>
      <c r="G858">
        <v>0</v>
      </c>
      <c r="H858">
        <v>9.7000000000000003E-2</v>
      </c>
      <c r="I858">
        <v>1.1910000000000001</v>
      </c>
      <c r="K858">
        <v>856</v>
      </c>
      <c r="L858">
        <v>21</v>
      </c>
      <c r="M858" s="32">
        <v>0.88500000000000001</v>
      </c>
      <c r="N858" s="32">
        <v>2.5</v>
      </c>
      <c r="P858" s="47">
        <v>1.276</v>
      </c>
      <c r="R858" s="47">
        <v>0.112</v>
      </c>
      <c r="S858" s="47">
        <v>1.129</v>
      </c>
      <c r="T858" s="31">
        <v>0</v>
      </c>
      <c r="V858">
        <v>856</v>
      </c>
      <c r="W858">
        <v>20</v>
      </c>
      <c r="X858">
        <v>0.89700000000000002</v>
      </c>
      <c r="Y858" s="32">
        <v>2.5</v>
      </c>
      <c r="Z858">
        <v>0</v>
      </c>
      <c r="AA858" s="32">
        <v>1.256</v>
      </c>
      <c r="AB858">
        <v>0</v>
      </c>
      <c r="AC858" s="34">
        <v>0.107</v>
      </c>
      <c r="AD858" s="32">
        <v>1.127</v>
      </c>
    </row>
    <row r="859" spans="1:30">
      <c r="A859">
        <v>857</v>
      </c>
      <c r="B859">
        <v>21</v>
      </c>
      <c r="C859">
        <v>0.88600000000000001</v>
      </c>
      <c r="D859">
        <v>2.5</v>
      </c>
      <c r="E859">
        <v>0</v>
      </c>
      <c r="F859">
        <v>1.274</v>
      </c>
      <c r="G859">
        <v>0</v>
      </c>
      <c r="H859">
        <v>9.7000000000000003E-2</v>
      </c>
      <c r="I859">
        <v>1.1919999999999999</v>
      </c>
      <c r="K859">
        <v>857</v>
      </c>
      <c r="L859">
        <v>21</v>
      </c>
      <c r="M859" s="32">
        <v>0.88600000000000001</v>
      </c>
      <c r="N859" s="32">
        <v>2.5</v>
      </c>
      <c r="P859" s="47">
        <v>1.276</v>
      </c>
      <c r="R859" s="47">
        <v>0.113</v>
      </c>
      <c r="S859" s="47">
        <v>1.131</v>
      </c>
      <c r="T859" s="31">
        <v>0</v>
      </c>
      <c r="V859">
        <v>857</v>
      </c>
      <c r="W859">
        <v>20</v>
      </c>
      <c r="X859">
        <v>0.89800000000000002</v>
      </c>
      <c r="Y859" s="32">
        <v>2.5</v>
      </c>
      <c r="Z859">
        <v>0</v>
      </c>
      <c r="AA859" s="32">
        <v>1.256</v>
      </c>
      <c r="AB859">
        <v>0</v>
      </c>
      <c r="AC859" s="34">
        <v>0.108</v>
      </c>
      <c r="AD859" s="32">
        <v>1.1279999999999999</v>
      </c>
    </row>
    <row r="860" spans="1:30">
      <c r="A860">
        <v>858</v>
      </c>
      <c r="B860">
        <v>21</v>
      </c>
      <c r="C860">
        <v>0.88700000000000001</v>
      </c>
      <c r="D860">
        <v>2.5</v>
      </c>
      <c r="E860">
        <v>0</v>
      </c>
      <c r="F860">
        <v>1.274</v>
      </c>
      <c r="G860">
        <v>0</v>
      </c>
      <c r="H860">
        <v>9.7000000000000003E-2</v>
      </c>
      <c r="I860">
        <v>1.194</v>
      </c>
      <c r="K860">
        <v>858</v>
      </c>
      <c r="L860">
        <v>21</v>
      </c>
      <c r="M860" s="32">
        <v>0.88700000000000001</v>
      </c>
      <c r="N860" s="32">
        <v>2.5</v>
      </c>
      <c r="P860" s="47">
        <v>1.276</v>
      </c>
      <c r="R860" s="47">
        <v>0.113</v>
      </c>
      <c r="S860" s="47">
        <v>1.1319999999999999</v>
      </c>
      <c r="T860" s="31">
        <v>0</v>
      </c>
      <c r="V860">
        <v>858</v>
      </c>
      <c r="W860">
        <v>20</v>
      </c>
      <c r="X860">
        <v>0.89900000000000002</v>
      </c>
      <c r="Y860" s="32">
        <v>2.5</v>
      </c>
      <c r="Z860">
        <v>0</v>
      </c>
      <c r="AA860" s="32">
        <v>1.256</v>
      </c>
      <c r="AB860">
        <v>0</v>
      </c>
      <c r="AC860" s="34">
        <v>0.108</v>
      </c>
      <c r="AD860" s="32">
        <v>1.129</v>
      </c>
    </row>
    <row r="861" spans="1:30">
      <c r="A861">
        <v>859</v>
      </c>
      <c r="B861">
        <v>21</v>
      </c>
      <c r="C861">
        <v>0.88800000000000001</v>
      </c>
      <c r="D861">
        <v>2.5</v>
      </c>
      <c r="E861">
        <v>0</v>
      </c>
      <c r="F861">
        <v>1.274</v>
      </c>
      <c r="G861">
        <v>0</v>
      </c>
      <c r="H861">
        <v>9.7000000000000003E-2</v>
      </c>
      <c r="I861">
        <v>1.1950000000000001</v>
      </c>
      <c r="K861">
        <v>859</v>
      </c>
      <c r="L861">
        <v>21</v>
      </c>
      <c r="M861" s="32">
        <v>0.88800000000000001</v>
      </c>
      <c r="N861" s="32">
        <v>2.5</v>
      </c>
      <c r="P861" s="47">
        <v>1.276</v>
      </c>
      <c r="R861" s="47">
        <v>0.113</v>
      </c>
      <c r="S861" s="47">
        <v>1.1339999999999999</v>
      </c>
      <c r="T861" s="31">
        <v>0</v>
      </c>
      <c r="V861">
        <v>859</v>
      </c>
      <c r="W861">
        <v>20</v>
      </c>
      <c r="X861">
        <v>0.9</v>
      </c>
      <c r="Y861" s="32">
        <v>2.5</v>
      </c>
      <c r="Z861">
        <v>0</v>
      </c>
      <c r="AA861" s="32">
        <v>1.256</v>
      </c>
      <c r="AB861">
        <v>0</v>
      </c>
      <c r="AC861" s="34">
        <v>0.108</v>
      </c>
      <c r="AD861" s="32">
        <v>1.131</v>
      </c>
    </row>
    <row r="862" spans="1:30">
      <c r="A862">
        <v>860</v>
      </c>
      <c r="B862">
        <v>21</v>
      </c>
      <c r="C862">
        <v>0.88900000000000001</v>
      </c>
      <c r="D862">
        <v>2.5</v>
      </c>
      <c r="E862">
        <v>0</v>
      </c>
      <c r="F862">
        <v>1.274</v>
      </c>
      <c r="G862">
        <v>0</v>
      </c>
      <c r="H862">
        <v>9.7000000000000003E-2</v>
      </c>
      <c r="I862">
        <v>1.1970000000000001</v>
      </c>
      <c r="K862">
        <v>860</v>
      </c>
      <c r="L862">
        <v>21</v>
      </c>
      <c r="M862" s="32">
        <v>0.88900000000000001</v>
      </c>
      <c r="N862" s="32">
        <v>2.5</v>
      </c>
      <c r="P862" s="47">
        <v>1.2769999999999999</v>
      </c>
      <c r="R862" s="47">
        <v>0.114</v>
      </c>
      <c r="S862" s="47">
        <v>1.135</v>
      </c>
      <c r="T862" s="31">
        <v>0</v>
      </c>
      <c r="V862">
        <v>860</v>
      </c>
      <c r="W862">
        <v>20</v>
      </c>
      <c r="X862">
        <v>0.90100000000000002</v>
      </c>
      <c r="Y862" s="32">
        <v>2.5</v>
      </c>
      <c r="Z862">
        <v>0</v>
      </c>
      <c r="AA862" s="32">
        <v>1.256</v>
      </c>
      <c r="AB862">
        <v>0</v>
      </c>
      <c r="AC862" s="34">
        <v>0.108</v>
      </c>
      <c r="AD862" s="32">
        <v>1.1319999999999999</v>
      </c>
    </row>
    <row r="863" spans="1:30">
      <c r="A863">
        <v>861</v>
      </c>
      <c r="B863">
        <v>21</v>
      </c>
      <c r="C863">
        <v>0.89</v>
      </c>
      <c r="D863">
        <v>2.5</v>
      </c>
      <c r="E863">
        <v>0</v>
      </c>
      <c r="F863">
        <v>1.2769999999999999</v>
      </c>
      <c r="G863">
        <v>0</v>
      </c>
      <c r="H863">
        <v>9.7000000000000003E-2</v>
      </c>
      <c r="I863">
        <v>1.137</v>
      </c>
      <c r="K863">
        <v>861</v>
      </c>
      <c r="L863">
        <v>21</v>
      </c>
      <c r="M863" s="32">
        <v>0.89</v>
      </c>
      <c r="N863" s="32">
        <v>2.5</v>
      </c>
      <c r="P863" s="32">
        <v>1.2769999999999999</v>
      </c>
      <c r="R863" s="47">
        <v>0.114</v>
      </c>
      <c r="S863" s="32">
        <v>1.137</v>
      </c>
      <c r="T863" s="31">
        <v>0</v>
      </c>
      <c r="V863">
        <v>861</v>
      </c>
      <c r="W863">
        <v>20</v>
      </c>
      <c r="X863">
        <v>0.90200000000000002</v>
      </c>
      <c r="Y863" s="32">
        <v>2.5</v>
      </c>
      <c r="Z863">
        <v>0</v>
      </c>
      <c r="AA863" s="32">
        <v>1.2569999999999999</v>
      </c>
      <c r="AB863">
        <v>0</v>
      </c>
      <c r="AC863" s="34">
        <v>0.108</v>
      </c>
      <c r="AD863" s="32">
        <v>1.1339999999999999</v>
      </c>
    </row>
    <row r="864" spans="1:30">
      <c r="A864">
        <v>862</v>
      </c>
      <c r="B864">
        <v>21</v>
      </c>
      <c r="C864">
        <v>0.89100000000000001</v>
      </c>
      <c r="D864">
        <v>2.5</v>
      </c>
      <c r="E864">
        <v>0</v>
      </c>
      <c r="F864">
        <v>1.2769999999999999</v>
      </c>
      <c r="G864">
        <v>0</v>
      </c>
      <c r="H864">
        <v>9.7000000000000003E-2</v>
      </c>
      <c r="I864">
        <v>1.216</v>
      </c>
      <c r="K864">
        <v>862</v>
      </c>
      <c r="L864">
        <v>21</v>
      </c>
      <c r="M864" s="32">
        <v>0.89100000000000001</v>
      </c>
      <c r="N864" s="32">
        <v>2.5</v>
      </c>
      <c r="P864" s="32">
        <v>1.2769999999999999</v>
      </c>
      <c r="R864" s="47">
        <v>0.114</v>
      </c>
      <c r="S864" s="47">
        <v>1.139</v>
      </c>
      <c r="T864" s="31">
        <v>0</v>
      </c>
      <c r="V864">
        <v>862</v>
      </c>
      <c r="W864">
        <v>20</v>
      </c>
      <c r="X864">
        <v>0.90300000000000002</v>
      </c>
      <c r="Y864" s="32">
        <v>2.5</v>
      </c>
      <c r="Z864">
        <v>0</v>
      </c>
      <c r="AA864" s="32">
        <v>1.2569999999999999</v>
      </c>
      <c r="AB864">
        <v>0</v>
      </c>
      <c r="AC864" s="34">
        <v>0.108</v>
      </c>
      <c r="AD864" s="32">
        <v>1.135</v>
      </c>
    </row>
    <row r="865" spans="1:30">
      <c r="A865">
        <v>863</v>
      </c>
      <c r="B865">
        <v>21</v>
      </c>
      <c r="C865">
        <v>0.89200000000000002</v>
      </c>
      <c r="D865">
        <v>2.5</v>
      </c>
      <c r="E865">
        <v>0</v>
      </c>
      <c r="F865">
        <v>1.2769999999999999</v>
      </c>
      <c r="G865">
        <v>0</v>
      </c>
      <c r="H865">
        <v>9.7000000000000003E-2</v>
      </c>
      <c r="I865">
        <v>1.218</v>
      </c>
      <c r="K865">
        <v>863</v>
      </c>
      <c r="L865">
        <v>21</v>
      </c>
      <c r="M865" s="32">
        <v>0.89200000000000002</v>
      </c>
      <c r="N865" s="32">
        <v>2.5</v>
      </c>
      <c r="P865" s="47">
        <v>1.278</v>
      </c>
      <c r="R865" s="47">
        <v>0.115</v>
      </c>
      <c r="S865" s="47">
        <v>1.1399999999999999</v>
      </c>
      <c r="T865" s="31">
        <v>0</v>
      </c>
      <c r="V865">
        <v>863</v>
      </c>
      <c r="W865">
        <v>20</v>
      </c>
      <c r="X865">
        <v>0.90400000000000003</v>
      </c>
      <c r="Y865" s="32">
        <v>2.5</v>
      </c>
      <c r="Z865">
        <v>0</v>
      </c>
      <c r="AA865" s="32">
        <v>1.2569999999999999</v>
      </c>
      <c r="AB865">
        <v>0</v>
      </c>
      <c r="AC865" s="34">
        <v>0.108</v>
      </c>
      <c r="AD865" s="32">
        <v>1.137</v>
      </c>
    </row>
    <row r="866" spans="1:30">
      <c r="A866">
        <v>864</v>
      </c>
      <c r="B866">
        <v>21</v>
      </c>
      <c r="C866">
        <v>0.89300000000000002</v>
      </c>
      <c r="D866">
        <v>2.5</v>
      </c>
      <c r="E866">
        <v>0</v>
      </c>
      <c r="F866">
        <v>1.2769999999999999</v>
      </c>
      <c r="G866">
        <v>0</v>
      </c>
      <c r="H866">
        <v>9.7000000000000003E-2</v>
      </c>
      <c r="I866">
        <v>1.2190000000000001</v>
      </c>
      <c r="K866">
        <v>864</v>
      </c>
      <c r="L866">
        <v>21</v>
      </c>
      <c r="M866" s="32">
        <v>0.89300000000000002</v>
      </c>
      <c r="N866" s="32">
        <v>2.5</v>
      </c>
      <c r="P866" s="47">
        <v>1.278</v>
      </c>
      <c r="R866" s="47">
        <v>0.115</v>
      </c>
      <c r="S866" s="47">
        <v>1.1419999999999999</v>
      </c>
      <c r="T866" s="31">
        <v>0</v>
      </c>
      <c r="V866">
        <v>864</v>
      </c>
      <c r="W866">
        <v>20</v>
      </c>
      <c r="X866">
        <v>0.90500000000000003</v>
      </c>
      <c r="Y866" s="32">
        <v>2.5</v>
      </c>
      <c r="Z866">
        <v>0</v>
      </c>
      <c r="AA866" s="32">
        <v>1.2569999999999999</v>
      </c>
      <c r="AB866">
        <v>0</v>
      </c>
      <c r="AC866" s="34">
        <v>0.108</v>
      </c>
      <c r="AD866" s="32">
        <v>1.1379999999999999</v>
      </c>
    </row>
    <row r="867" spans="1:30">
      <c r="A867">
        <v>865</v>
      </c>
      <c r="B867">
        <v>21</v>
      </c>
      <c r="C867">
        <v>0.89400000000000002</v>
      </c>
      <c r="D867">
        <v>2.5</v>
      </c>
      <c r="E867">
        <v>0</v>
      </c>
      <c r="F867">
        <v>1.2769999999999999</v>
      </c>
      <c r="G867">
        <v>0</v>
      </c>
      <c r="H867">
        <v>9.7000000000000003E-2</v>
      </c>
      <c r="I867">
        <v>1.2210000000000001</v>
      </c>
      <c r="K867">
        <v>865</v>
      </c>
      <c r="L867">
        <v>21</v>
      </c>
      <c r="M867" s="32">
        <v>0.89400000000000002</v>
      </c>
      <c r="N867" s="32">
        <v>2.5</v>
      </c>
      <c r="P867" s="47">
        <v>1.2789999999999999</v>
      </c>
      <c r="R867" s="47">
        <v>0.115</v>
      </c>
      <c r="S867" s="47">
        <v>1.143</v>
      </c>
      <c r="T867" s="31">
        <v>0</v>
      </c>
      <c r="V867">
        <v>865</v>
      </c>
      <c r="W867">
        <v>20</v>
      </c>
      <c r="X867">
        <v>0.90600000000000003</v>
      </c>
      <c r="Y867" s="32">
        <v>2.5</v>
      </c>
      <c r="Z867">
        <v>0</v>
      </c>
      <c r="AA867" s="32">
        <v>1.2569999999999999</v>
      </c>
      <c r="AB867">
        <v>0</v>
      </c>
      <c r="AC867" s="34">
        <v>0.108</v>
      </c>
      <c r="AD867" s="32">
        <v>1.139</v>
      </c>
    </row>
    <row r="868" spans="1:30">
      <c r="A868">
        <v>866</v>
      </c>
      <c r="B868">
        <v>21</v>
      </c>
      <c r="C868">
        <v>0.89500000000000002</v>
      </c>
      <c r="D868">
        <v>2.5</v>
      </c>
      <c r="E868">
        <v>0</v>
      </c>
      <c r="F868">
        <v>1.2769999999999999</v>
      </c>
      <c r="G868">
        <v>0</v>
      </c>
      <c r="H868">
        <v>9.7000000000000003E-2</v>
      </c>
      <c r="I868">
        <v>1.222</v>
      </c>
      <c r="K868">
        <v>866</v>
      </c>
      <c r="L868">
        <v>21</v>
      </c>
      <c r="M868" s="32">
        <v>0.89500000000000002</v>
      </c>
      <c r="N868" s="32">
        <v>2.5</v>
      </c>
      <c r="P868" s="47">
        <v>1.2789999999999999</v>
      </c>
      <c r="R868" s="47">
        <v>0.11600000000000001</v>
      </c>
      <c r="S868" s="47">
        <v>1.145</v>
      </c>
      <c r="T868" s="31">
        <v>0</v>
      </c>
      <c r="V868">
        <v>866</v>
      </c>
      <c r="W868">
        <v>20</v>
      </c>
      <c r="X868">
        <v>0.90700000000000003</v>
      </c>
      <c r="Y868" s="32">
        <v>2.5</v>
      </c>
      <c r="Z868">
        <v>0</v>
      </c>
      <c r="AA868" s="32">
        <v>1.258</v>
      </c>
      <c r="AB868">
        <v>0</v>
      </c>
      <c r="AC868" s="34">
        <v>0.108</v>
      </c>
      <c r="AD868" s="32">
        <v>1.141</v>
      </c>
    </row>
    <row r="869" spans="1:30">
      <c r="A869">
        <v>867</v>
      </c>
      <c r="B869">
        <v>21</v>
      </c>
      <c r="C869">
        <v>0.89600000000000002</v>
      </c>
      <c r="D869">
        <v>2.5</v>
      </c>
      <c r="E869">
        <v>0</v>
      </c>
      <c r="F869">
        <v>1.2769999999999999</v>
      </c>
      <c r="G869">
        <v>0</v>
      </c>
      <c r="H869">
        <v>9.7000000000000003E-2</v>
      </c>
      <c r="I869">
        <v>1.224</v>
      </c>
      <c r="K869">
        <v>867</v>
      </c>
      <c r="L869">
        <v>21</v>
      </c>
      <c r="M869" s="32">
        <v>0.89600000000000002</v>
      </c>
      <c r="N869" s="32">
        <v>2.5</v>
      </c>
      <c r="P869" s="47">
        <v>1.2789999999999999</v>
      </c>
      <c r="R869" s="47">
        <v>0.11600000000000001</v>
      </c>
      <c r="S869" s="47">
        <v>1.1459999999999999</v>
      </c>
      <c r="T869" s="31">
        <v>0</v>
      </c>
      <c r="V869">
        <v>867</v>
      </c>
      <c r="W869">
        <v>20</v>
      </c>
      <c r="X869">
        <v>0.90800000000000003</v>
      </c>
      <c r="Y869" s="32">
        <v>2.5</v>
      </c>
      <c r="Z869">
        <v>0</v>
      </c>
      <c r="AA869" s="32">
        <v>1.258</v>
      </c>
      <c r="AB869">
        <v>0</v>
      </c>
      <c r="AC869" s="34">
        <v>0.108</v>
      </c>
      <c r="AD869" s="32">
        <v>1.1419999999999999</v>
      </c>
    </row>
    <row r="870" spans="1:30">
      <c r="A870">
        <v>868</v>
      </c>
      <c r="B870">
        <v>21</v>
      </c>
      <c r="C870">
        <v>0.89700000000000002</v>
      </c>
      <c r="D870">
        <v>2.5</v>
      </c>
      <c r="E870">
        <v>0</v>
      </c>
      <c r="F870">
        <v>1.2769999999999999</v>
      </c>
      <c r="G870">
        <v>0</v>
      </c>
      <c r="H870">
        <v>9.7000000000000003E-2</v>
      </c>
      <c r="I870">
        <v>1.2250000000000001</v>
      </c>
      <c r="K870">
        <v>868</v>
      </c>
      <c r="L870">
        <v>21</v>
      </c>
      <c r="M870" s="32">
        <v>0.89700000000000002</v>
      </c>
      <c r="N870" s="32">
        <v>2.5</v>
      </c>
      <c r="P870" s="47">
        <v>1.28</v>
      </c>
      <c r="R870" s="47">
        <v>0.11600000000000001</v>
      </c>
      <c r="S870" s="47">
        <v>1.1479999999999999</v>
      </c>
      <c r="T870" s="31">
        <v>0</v>
      </c>
      <c r="V870">
        <v>868</v>
      </c>
      <c r="W870">
        <v>20</v>
      </c>
      <c r="X870">
        <v>0.90900000000000003</v>
      </c>
      <c r="Y870" s="32">
        <v>2.5</v>
      </c>
      <c r="Z870">
        <v>0</v>
      </c>
      <c r="AA870" s="32">
        <v>1.258</v>
      </c>
      <c r="AB870">
        <v>0</v>
      </c>
      <c r="AC870" s="34">
        <v>0.108</v>
      </c>
      <c r="AD870" s="32">
        <v>1.1439999999999999</v>
      </c>
    </row>
    <row r="871" spans="1:30">
      <c r="A871">
        <v>869</v>
      </c>
      <c r="B871">
        <v>21</v>
      </c>
      <c r="C871">
        <v>0.89800000000000002</v>
      </c>
      <c r="D871">
        <v>2.5</v>
      </c>
      <c r="E871">
        <v>0</v>
      </c>
      <c r="F871">
        <v>1.2769999999999999</v>
      </c>
      <c r="G871">
        <v>0</v>
      </c>
      <c r="H871">
        <v>9.7000000000000003E-2</v>
      </c>
      <c r="I871">
        <v>1.2270000000000001</v>
      </c>
      <c r="K871">
        <v>869</v>
      </c>
      <c r="L871">
        <v>21</v>
      </c>
      <c r="M871" s="32">
        <v>0.89800000000000002</v>
      </c>
      <c r="N871" s="32">
        <v>2.5</v>
      </c>
      <c r="P871" s="47">
        <v>1.28</v>
      </c>
      <c r="R871" s="47">
        <v>0.11700000000000001</v>
      </c>
      <c r="S871" s="47">
        <v>1.149</v>
      </c>
      <c r="T871" s="31">
        <v>0</v>
      </c>
      <c r="V871">
        <v>869</v>
      </c>
      <c r="W871">
        <v>20</v>
      </c>
      <c r="X871">
        <v>0.91</v>
      </c>
      <c r="Y871" s="32">
        <v>2.5</v>
      </c>
      <c r="Z871">
        <v>0</v>
      </c>
      <c r="AA871" s="32">
        <v>1.258</v>
      </c>
      <c r="AB871">
        <v>0</v>
      </c>
      <c r="AC871" s="34">
        <v>0.108</v>
      </c>
      <c r="AD871" s="32">
        <v>1.145</v>
      </c>
    </row>
    <row r="872" spans="1:30">
      <c r="A872">
        <v>870</v>
      </c>
      <c r="B872">
        <v>21</v>
      </c>
      <c r="C872">
        <v>0.89900000000000002</v>
      </c>
      <c r="D872">
        <v>2.5</v>
      </c>
      <c r="E872">
        <v>0</v>
      </c>
      <c r="F872">
        <v>1.2769999999999999</v>
      </c>
      <c r="G872">
        <v>0</v>
      </c>
      <c r="H872">
        <v>9.7000000000000003E-2</v>
      </c>
      <c r="I872">
        <v>1.228</v>
      </c>
      <c r="K872">
        <v>870</v>
      </c>
      <c r="L872">
        <v>21</v>
      </c>
      <c r="M872" s="32">
        <v>0.89900000000000002</v>
      </c>
      <c r="N872" s="32">
        <v>2.5</v>
      </c>
      <c r="P872" s="47">
        <v>1.2809999999999999</v>
      </c>
      <c r="R872" s="47">
        <v>0.11700000000000001</v>
      </c>
      <c r="S872" s="47">
        <v>1.151</v>
      </c>
      <c r="T872" s="31">
        <v>0</v>
      </c>
      <c r="V872">
        <v>870</v>
      </c>
      <c r="W872">
        <v>20</v>
      </c>
      <c r="X872">
        <v>0.91100000000000003</v>
      </c>
      <c r="Y872" s="32">
        <v>2.5110000000000001</v>
      </c>
      <c r="Z872">
        <v>0</v>
      </c>
      <c r="AA872" s="32">
        <v>1.258</v>
      </c>
      <c r="AB872">
        <v>0</v>
      </c>
      <c r="AC872" s="34">
        <v>0.109</v>
      </c>
      <c r="AD872" s="32">
        <v>1.1459999999999999</v>
      </c>
    </row>
    <row r="873" spans="1:30">
      <c r="A873">
        <v>871</v>
      </c>
      <c r="B873">
        <v>21</v>
      </c>
      <c r="C873">
        <v>0.9</v>
      </c>
      <c r="D873">
        <v>2.5</v>
      </c>
      <c r="E873">
        <v>0</v>
      </c>
      <c r="F873">
        <v>1.2809999999999999</v>
      </c>
      <c r="G873">
        <v>0</v>
      </c>
      <c r="H873">
        <v>9.7000000000000003E-2</v>
      </c>
      <c r="I873">
        <v>1.1519999999999999</v>
      </c>
      <c r="K873">
        <v>871</v>
      </c>
      <c r="L873">
        <v>21</v>
      </c>
      <c r="M873" s="32">
        <v>0.9</v>
      </c>
      <c r="N873" s="32">
        <v>2.5</v>
      </c>
      <c r="P873" s="32">
        <v>1.2809999999999999</v>
      </c>
      <c r="R873" s="47">
        <v>0.11700000000000001</v>
      </c>
      <c r="S873" s="32">
        <v>1.1519999999999999</v>
      </c>
      <c r="T873" s="31">
        <v>0</v>
      </c>
      <c r="V873">
        <v>871</v>
      </c>
      <c r="W873">
        <v>20</v>
      </c>
      <c r="X873">
        <v>0.91200000000000003</v>
      </c>
      <c r="Y873" s="32">
        <v>2.5219999999999998</v>
      </c>
      <c r="Z873">
        <v>0</v>
      </c>
      <c r="AA873" s="32">
        <v>1.258</v>
      </c>
      <c r="AB873">
        <v>0</v>
      </c>
      <c r="AC873" s="34">
        <v>0.109</v>
      </c>
      <c r="AD873" s="32">
        <v>1.1479999999999999</v>
      </c>
    </row>
    <row r="874" spans="1:30">
      <c r="A874">
        <v>872</v>
      </c>
      <c r="B874">
        <v>21</v>
      </c>
      <c r="C874">
        <v>0.90100000000000002</v>
      </c>
      <c r="D874">
        <v>2.5</v>
      </c>
      <c r="E874">
        <v>0</v>
      </c>
      <c r="F874">
        <v>1.2809999999999999</v>
      </c>
      <c r="G874">
        <v>0</v>
      </c>
      <c r="H874">
        <v>9.7000000000000003E-2</v>
      </c>
      <c r="I874">
        <v>1.2470000000000001</v>
      </c>
      <c r="K874">
        <v>872</v>
      </c>
      <c r="L874">
        <v>21</v>
      </c>
      <c r="M874" s="32">
        <v>0.90100000000000002</v>
      </c>
      <c r="N874" s="32">
        <v>2.5</v>
      </c>
      <c r="P874" s="32">
        <v>1.2809999999999999</v>
      </c>
      <c r="R874" s="47">
        <v>0.11799999999999999</v>
      </c>
      <c r="S874" s="47">
        <v>1.1539999999999999</v>
      </c>
      <c r="T874" s="31">
        <v>0</v>
      </c>
      <c r="V874">
        <v>872</v>
      </c>
      <c r="W874">
        <v>20</v>
      </c>
      <c r="X874">
        <v>0.91300000000000003</v>
      </c>
      <c r="Y874" s="32">
        <v>2.5329999999999999</v>
      </c>
      <c r="Z874">
        <v>0</v>
      </c>
      <c r="AA874" s="32">
        <v>1.2589999999999999</v>
      </c>
      <c r="AB874">
        <v>0</v>
      </c>
      <c r="AC874" s="34">
        <v>0.109</v>
      </c>
      <c r="AD874" s="32">
        <v>1.149</v>
      </c>
    </row>
    <row r="875" spans="1:30">
      <c r="A875">
        <v>873</v>
      </c>
      <c r="B875">
        <v>21</v>
      </c>
      <c r="C875">
        <v>0.90200000000000002</v>
      </c>
      <c r="D875">
        <v>2.5</v>
      </c>
      <c r="E875">
        <v>0</v>
      </c>
      <c r="F875">
        <v>1.2809999999999999</v>
      </c>
      <c r="G875">
        <v>0</v>
      </c>
      <c r="H875">
        <v>9.7000000000000003E-2</v>
      </c>
      <c r="I875">
        <v>1.248</v>
      </c>
      <c r="K875">
        <v>873</v>
      </c>
      <c r="L875">
        <v>21</v>
      </c>
      <c r="M875" s="32">
        <v>0.90200000000000002</v>
      </c>
      <c r="N875" s="32">
        <v>2.5</v>
      </c>
      <c r="P875" s="47">
        <v>1.282</v>
      </c>
      <c r="R875" s="47">
        <v>0.11799999999999999</v>
      </c>
      <c r="S875" s="47">
        <v>1.155</v>
      </c>
      <c r="T875" s="31">
        <v>0</v>
      </c>
      <c r="V875">
        <v>873</v>
      </c>
      <c r="W875">
        <v>20</v>
      </c>
      <c r="X875">
        <v>0.91400000000000003</v>
      </c>
      <c r="Y875" s="32">
        <v>2.544</v>
      </c>
      <c r="Z875">
        <v>0</v>
      </c>
      <c r="AA875" s="32">
        <v>1.2589999999999999</v>
      </c>
      <c r="AB875">
        <v>0</v>
      </c>
      <c r="AC875" s="34">
        <v>0.109</v>
      </c>
      <c r="AD875" s="32">
        <v>1.151</v>
      </c>
    </row>
    <row r="876" spans="1:30">
      <c r="A876">
        <v>874</v>
      </c>
      <c r="B876">
        <v>21</v>
      </c>
      <c r="C876">
        <v>0.90300000000000002</v>
      </c>
      <c r="D876">
        <v>2.5</v>
      </c>
      <c r="E876">
        <v>0</v>
      </c>
      <c r="F876">
        <v>1.2809999999999999</v>
      </c>
      <c r="G876">
        <v>0</v>
      </c>
      <c r="H876">
        <v>9.7000000000000003E-2</v>
      </c>
      <c r="I876">
        <v>1.25</v>
      </c>
      <c r="K876">
        <v>874</v>
      </c>
      <c r="L876">
        <v>21</v>
      </c>
      <c r="M876" s="32">
        <v>0.90300000000000002</v>
      </c>
      <c r="N876" s="32">
        <v>2.5</v>
      </c>
      <c r="P876" s="47">
        <v>1.282</v>
      </c>
      <c r="R876" s="47">
        <v>0.11799999999999999</v>
      </c>
      <c r="S876" s="47">
        <v>1.157</v>
      </c>
      <c r="T876" s="31">
        <v>0</v>
      </c>
      <c r="V876">
        <v>874</v>
      </c>
      <c r="W876">
        <v>20</v>
      </c>
      <c r="X876">
        <v>0.91500000000000004</v>
      </c>
      <c r="Y876" s="32">
        <v>2.5550000000000002</v>
      </c>
      <c r="Z876">
        <v>0</v>
      </c>
      <c r="AA876" s="32">
        <v>1.2589999999999999</v>
      </c>
      <c r="AB876">
        <v>0</v>
      </c>
      <c r="AC876" s="34">
        <v>0.109</v>
      </c>
      <c r="AD876" s="32">
        <v>1.1519999999999999</v>
      </c>
    </row>
    <row r="877" spans="1:30">
      <c r="A877">
        <v>875</v>
      </c>
      <c r="B877">
        <v>21</v>
      </c>
      <c r="C877">
        <v>0.90400000000000003</v>
      </c>
      <c r="D877">
        <v>2.5</v>
      </c>
      <c r="E877">
        <v>0</v>
      </c>
      <c r="F877">
        <v>1.2809999999999999</v>
      </c>
      <c r="G877">
        <v>0</v>
      </c>
      <c r="H877">
        <v>9.7000000000000003E-2</v>
      </c>
      <c r="I877">
        <v>1.2509999999999999</v>
      </c>
      <c r="K877">
        <v>875</v>
      </c>
      <c r="L877">
        <v>21</v>
      </c>
      <c r="M877" s="32">
        <v>0.90400000000000003</v>
      </c>
      <c r="N877" s="32">
        <v>2.5</v>
      </c>
      <c r="P877" s="47">
        <v>1.282</v>
      </c>
      <c r="R877" s="47">
        <v>0.11899999999999999</v>
      </c>
      <c r="S877" s="47">
        <v>1.1579999999999999</v>
      </c>
      <c r="T877" s="31">
        <v>0</v>
      </c>
      <c r="V877">
        <v>875</v>
      </c>
      <c r="W877">
        <v>20</v>
      </c>
      <c r="X877">
        <v>0.91600000000000004</v>
      </c>
      <c r="Y877" s="32">
        <v>2.5659999999999998</v>
      </c>
      <c r="Z877">
        <v>0</v>
      </c>
      <c r="AA877" s="32">
        <v>1.2589999999999999</v>
      </c>
      <c r="AB877">
        <v>0</v>
      </c>
      <c r="AC877" s="34">
        <v>0.109</v>
      </c>
      <c r="AD877" s="32">
        <v>1.1539999999999999</v>
      </c>
    </row>
    <row r="878" spans="1:30">
      <c r="A878">
        <v>876</v>
      </c>
      <c r="B878">
        <v>21</v>
      </c>
      <c r="C878">
        <v>0.90500000000000003</v>
      </c>
      <c r="D878">
        <v>2.5</v>
      </c>
      <c r="E878">
        <v>0</v>
      </c>
      <c r="F878">
        <v>1.2809999999999999</v>
      </c>
      <c r="G878">
        <v>0</v>
      </c>
      <c r="H878">
        <v>9.7000000000000003E-2</v>
      </c>
      <c r="I878">
        <v>1.2529999999999999</v>
      </c>
      <c r="K878">
        <v>876</v>
      </c>
      <c r="L878">
        <v>21</v>
      </c>
      <c r="M878" s="32">
        <v>0.90500000000000003</v>
      </c>
      <c r="N878" s="32">
        <v>2.5</v>
      </c>
      <c r="P878" s="47">
        <v>1.2829999999999999</v>
      </c>
      <c r="R878" s="47">
        <v>0.11899999999999999</v>
      </c>
      <c r="S878" s="47">
        <v>1.1599999999999999</v>
      </c>
      <c r="T878" s="31">
        <v>0</v>
      </c>
      <c r="V878">
        <v>876</v>
      </c>
      <c r="W878">
        <v>20</v>
      </c>
      <c r="X878">
        <v>0.91700000000000004</v>
      </c>
      <c r="Y878" s="32">
        <v>2.577</v>
      </c>
      <c r="Z878">
        <v>0</v>
      </c>
      <c r="AA878" s="32">
        <v>1.2589999999999999</v>
      </c>
      <c r="AB878">
        <v>0</v>
      </c>
      <c r="AC878" s="34">
        <v>0.109</v>
      </c>
      <c r="AD878" s="32">
        <v>1.155</v>
      </c>
    </row>
    <row r="879" spans="1:30">
      <c r="A879">
        <v>877</v>
      </c>
      <c r="B879">
        <v>21</v>
      </c>
      <c r="C879">
        <v>0.90600000000000003</v>
      </c>
      <c r="D879">
        <v>2.5</v>
      </c>
      <c r="E879">
        <v>0</v>
      </c>
      <c r="F879">
        <v>1.2809999999999999</v>
      </c>
      <c r="G879">
        <v>0</v>
      </c>
      <c r="H879">
        <v>9.7000000000000003E-2</v>
      </c>
      <c r="I879">
        <v>1.254</v>
      </c>
      <c r="K879">
        <v>877</v>
      </c>
      <c r="L879">
        <v>21</v>
      </c>
      <c r="M879" s="32">
        <v>0.90600000000000003</v>
      </c>
      <c r="N879" s="32">
        <v>2.5</v>
      </c>
      <c r="P879" s="47">
        <v>1.2829999999999999</v>
      </c>
      <c r="R879" s="47">
        <v>0.11899999999999999</v>
      </c>
      <c r="S879" s="47">
        <v>1.1619999999999999</v>
      </c>
      <c r="T879" s="31">
        <v>0</v>
      </c>
      <c r="V879">
        <v>877</v>
      </c>
      <c r="W879">
        <v>20</v>
      </c>
      <c r="X879">
        <v>0.91800000000000004</v>
      </c>
      <c r="Y879" s="32">
        <v>2.5880000000000001</v>
      </c>
      <c r="Z879">
        <v>0</v>
      </c>
      <c r="AA879" s="32">
        <v>1.26</v>
      </c>
      <c r="AB879">
        <v>0</v>
      </c>
      <c r="AC879" s="34">
        <v>0.109</v>
      </c>
      <c r="AD879" s="32">
        <v>1.1559999999999999</v>
      </c>
    </row>
    <row r="880" spans="1:30">
      <c r="A880">
        <v>878</v>
      </c>
      <c r="B880">
        <v>21</v>
      </c>
      <c r="C880">
        <v>0.90700000000000003</v>
      </c>
      <c r="D880">
        <v>2.5</v>
      </c>
      <c r="E880">
        <v>0</v>
      </c>
      <c r="F880">
        <v>1.2809999999999999</v>
      </c>
      <c r="G880">
        <v>0</v>
      </c>
      <c r="H880">
        <v>9.7000000000000003E-2</v>
      </c>
      <c r="I880">
        <v>1.256</v>
      </c>
      <c r="K880">
        <v>878</v>
      </c>
      <c r="L880">
        <v>21</v>
      </c>
      <c r="M880" s="32">
        <v>0.90700000000000003</v>
      </c>
      <c r="N880" s="32">
        <v>2.5</v>
      </c>
      <c r="P880" s="47">
        <v>1.2829999999999999</v>
      </c>
      <c r="R880" s="47">
        <v>0.12</v>
      </c>
      <c r="S880" s="47">
        <v>1.163</v>
      </c>
      <c r="T880" s="31">
        <v>0</v>
      </c>
      <c r="V880">
        <v>878</v>
      </c>
      <c r="W880">
        <v>20</v>
      </c>
      <c r="X880">
        <v>0.91900000000000004</v>
      </c>
      <c r="Y880" s="32">
        <v>2.5990000000000002</v>
      </c>
      <c r="Z880">
        <v>0</v>
      </c>
      <c r="AA880" s="32">
        <v>1.26</v>
      </c>
      <c r="AB880">
        <v>0</v>
      </c>
      <c r="AC880" s="34">
        <v>0.109</v>
      </c>
      <c r="AD880" s="32">
        <v>1.1579999999999999</v>
      </c>
    </row>
    <row r="881" spans="1:30">
      <c r="A881">
        <v>879</v>
      </c>
      <c r="B881">
        <v>21</v>
      </c>
      <c r="C881">
        <v>0.90800000000000003</v>
      </c>
      <c r="D881">
        <v>2.5</v>
      </c>
      <c r="E881">
        <v>0</v>
      </c>
      <c r="F881">
        <v>1.2809999999999999</v>
      </c>
      <c r="G881">
        <v>0</v>
      </c>
      <c r="H881">
        <v>9.7000000000000003E-2</v>
      </c>
      <c r="I881">
        <v>1.2569999999999999</v>
      </c>
      <c r="K881">
        <v>879</v>
      </c>
      <c r="L881">
        <v>21</v>
      </c>
      <c r="M881" s="32">
        <v>0.90800000000000003</v>
      </c>
      <c r="N881" s="32">
        <v>2.5</v>
      </c>
      <c r="P881" s="47">
        <v>1.2829999999999999</v>
      </c>
      <c r="R881" s="47">
        <v>0.12</v>
      </c>
      <c r="S881" s="47">
        <v>1.165</v>
      </c>
      <c r="T881" s="31">
        <v>0</v>
      </c>
      <c r="V881">
        <v>879</v>
      </c>
      <c r="W881">
        <v>20</v>
      </c>
      <c r="X881">
        <v>0.92</v>
      </c>
      <c r="Y881" s="32">
        <v>2.61</v>
      </c>
      <c r="Z881">
        <v>0</v>
      </c>
      <c r="AA881" s="32">
        <v>1.26</v>
      </c>
      <c r="AB881">
        <v>0</v>
      </c>
      <c r="AC881" s="34">
        <v>0.109</v>
      </c>
      <c r="AD881" s="32">
        <v>1.159</v>
      </c>
    </row>
    <row r="882" spans="1:30">
      <c r="A882">
        <v>880</v>
      </c>
      <c r="B882">
        <v>21</v>
      </c>
      <c r="C882">
        <v>0.90900000000000003</v>
      </c>
      <c r="D882">
        <v>2.5</v>
      </c>
      <c r="E882">
        <v>0</v>
      </c>
      <c r="F882">
        <v>1.2809999999999999</v>
      </c>
      <c r="G882">
        <v>0</v>
      </c>
      <c r="H882">
        <v>9.7000000000000003E-2</v>
      </c>
      <c r="I882">
        <v>1.2589999999999999</v>
      </c>
      <c r="K882">
        <v>880</v>
      </c>
      <c r="L882">
        <v>21</v>
      </c>
      <c r="M882" s="32">
        <v>0.90900000000000003</v>
      </c>
      <c r="N882" s="32">
        <v>2.5</v>
      </c>
      <c r="P882" s="47">
        <v>1.284</v>
      </c>
      <c r="R882" s="47">
        <v>0.12</v>
      </c>
      <c r="S882" s="47">
        <v>1.1659999999999999</v>
      </c>
      <c r="T882" s="31">
        <v>0</v>
      </c>
      <c r="V882">
        <v>880</v>
      </c>
      <c r="W882">
        <v>20</v>
      </c>
      <c r="X882">
        <v>0.92100000000000004</v>
      </c>
      <c r="Y882" s="32">
        <v>2.61</v>
      </c>
      <c r="Z882">
        <v>0</v>
      </c>
      <c r="AA882" s="32">
        <v>1.26</v>
      </c>
      <c r="AB882">
        <v>0</v>
      </c>
      <c r="AC882" s="34">
        <v>0.109</v>
      </c>
      <c r="AD882" s="32">
        <v>1.161</v>
      </c>
    </row>
    <row r="883" spans="1:30">
      <c r="A883">
        <v>881</v>
      </c>
      <c r="B883">
        <v>21</v>
      </c>
      <c r="C883">
        <v>0.91</v>
      </c>
      <c r="D883">
        <v>2.5</v>
      </c>
      <c r="E883">
        <v>0</v>
      </c>
      <c r="F883">
        <v>1.284</v>
      </c>
      <c r="G883">
        <v>0</v>
      </c>
      <c r="H883">
        <v>9.7000000000000003E-2</v>
      </c>
      <c r="I883">
        <v>1.1679999999999999</v>
      </c>
      <c r="K883">
        <v>881</v>
      </c>
      <c r="L883">
        <v>21</v>
      </c>
      <c r="M883" s="32">
        <v>0.91</v>
      </c>
      <c r="N883" s="32">
        <v>2.5</v>
      </c>
      <c r="P883" s="32">
        <v>1.284</v>
      </c>
      <c r="R883" s="47">
        <v>0.121</v>
      </c>
      <c r="S883" s="32">
        <v>1.1679999999999999</v>
      </c>
      <c r="T883" s="31">
        <v>0</v>
      </c>
      <c r="V883">
        <v>881</v>
      </c>
      <c r="W883">
        <v>20</v>
      </c>
      <c r="X883">
        <v>0.92200000000000004</v>
      </c>
      <c r="Y883" s="32">
        <v>2.61</v>
      </c>
      <c r="Z883">
        <v>0</v>
      </c>
      <c r="AA883" s="32">
        <v>1.26</v>
      </c>
      <c r="AB883">
        <v>0</v>
      </c>
      <c r="AC883" s="34">
        <v>0.109</v>
      </c>
      <c r="AD883" s="32">
        <v>1.1619999999999999</v>
      </c>
    </row>
    <row r="884" spans="1:30">
      <c r="A884">
        <v>882</v>
      </c>
      <c r="B884">
        <v>21</v>
      </c>
      <c r="C884">
        <v>0.91100000000000003</v>
      </c>
      <c r="D884">
        <v>2.5</v>
      </c>
      <c r="E884">
        <v>0</v>
      </c>
      <c r="F884">
        <v>1.284</v>
      </c>
      <c r="G884">
        <v>0</v>
      </c>
      <c r="H884">
        <v>9.7000000000000003E-2</v>
      </c>
      <c r="I884">
        <v>1.278</v>
      </c>
      <c r="K884">
        <v>882</v>
      </c>
      <c r="L884">
        <v>21</v>
      </c>
      <c r="M884" s="32">
        <v>0.91100000000000003</v>
      </c>
      <c r="N884" s="47">
        <v>2.5110000000000001</v>
      </c>
      <c r="P884" s="32">
        <v>1.284</v>
      </c>
      <c r="R884" s="47">
        <v>0.121</v>
      </c>
      <c r="S884" s="47">
        <v>1.17</v>
      </c>
      <c r="T884" s="31">
        <v>0</v>
      </c>
      <c r="V884">
        <v>882</v>
      </c>
      <c r="W884">
        <v>20</v>
      </c>
      <c r="X884">
        <v>0.92300000000000004</v>
      </c>
      <c r="Y884" s="32">
        <v>2.61</v>
      </c>
      <c r="Z884">
        <v>0</v>
      </c>
      <c r="AA884" s="32">
        <v>1.26</v>
      </c>
      <c r="AB884">
        <v>0</v>
      </c>
      <c r="AC884" s="34">
        <v>0.109</v>
      </c>
      <c r="AD884" s="32">
        <v>1.1639999999999999</v>
      </c>
    </row>
    <row r="885" spans="1:30">
      <c r="A885">
        <v>883</v>
      </c>
      <c r="B885">
        <v>21</v>
      </c>
      <c r="C885">
        <v>0.91200000000000003</v>
      </c>
      <c r="D885">
        <v>2.5</v>
      </c>
      <c r="E885">
        <v>0</v>
      </c>
      <c r="F885">
        <v>1.284</v>
      </c>
      <c r="G885">
        <v>0</v>
      </c>
      <c r="H885">
        <v>9.7000000000000003E-2</v>
      </c>
      <c r="I885">
        <v>1.28</v>
      </c>
      <c r="K885">
        <v>883</v>
      </c>
      <c r="L885">
        <v>21</v>
      </c>
      <c r="M885" s="32">
        <v>0.91200000000000003</v>
      </c>
      <c r="N885" s="47">
        <v>2.5219999999999998</v>
      </c>
      <c r="P885" s="47">
        <v>1.2849999999999999</v>
      </c>
      <c r="R885" s="47">
        <v>0.121</v>
      </c>
      <c r="S885" s="47">
        <v>1.1719999999999999</v>
      </c>
      <c r="T885" s="31">
        <v>0</v>
      </c>
      <c r="V885">
        <v>883</v>
      </c>
      <c r="W885">
        <v>20</v>
      </c>
      <c r="X885">
        <v>0.92400000000000004</v>
      </c>
      <c r="Y885" s="32">
        <v>2.61</v>
      </c>
      <c r="Z885">
        <v>0</v>
      </c>
      <c r="AA885" s="32">
        <v>1.2609999999999999</v>
      </c>
      <c r="AB885">
        <v>0</v>
      </c>
      <c r="AC885" s="34">
        <v>0.11</v>
      </c>
      <c r="AD885" s="32">
        <v>1.165</v>
      </c>
    </row>
    <row r="886" spans="1:30">
      <c r="A886">
        <v>884</v>
      </c>
      <c r="B886">
        <v>21</v>
      </c>
      <c r="C886">
        <v>0.91300000000000003</v>
      </c>
      <c r="D886">
        <v>2.5</v>
      </c>
      <c r="E886">
        <v>0</v>
      </c>
      <c r="F886">
        <v>1.284</v>
      </c>
      <c r="G886">
        <v>0</v>
      </c>
      <c r="H886">
        <v>9.7000000000000003E-2</v>
      </c>
      <c r="I886">
        <v>1.2809999999999999</v>
      </c>
      <c r="K886">
        <v>884</v>
      </c>
      <c r="L886">
        <v>21</v>
      </c>
      <c r="M886" s="32">
        <v>0.91300000000000003</v>
      </c>
      <c r="N886" s="47">
        <v>2.5329999999999999</v>
      </c>
      <c r="P886" s="47">
        <v>1.2849999999999999</v>
      </c>
      <c r="R886" s="47">
        <v>0.122</v>
      </c>
      <c r="S886" s="47">
        <v>1.1739999999999999</v>
      </c>
      <c r="T886" s="31">
        <v>0</v>
      </c>
      <c r="V886">
        <v>884</v>
      </c>
      <c r="W886">
        <v>20</v>
      </c>
      <c r="X886">
        <v>0.92500000000000004</v>
      </c>
      <c r="Y886" s="32">
        <v>2.61</v>
      </c>
      <c r="Z886">
        <v>0</v>
      </c>
      <c r="AA886" s="32">
        <v>1.2609999999999999</v>
      </c>
      <c r="AB886">
        <v>0</v>
      </c>
      <c r="AC886" s="34">
        <v>0.11</v>
      </c>
      <c r="AD886" s="32">
        <v>1.1659999999999999</v>
      </c>
    </row>
    <row r="887" spans="1:30">
      <c r="A887">
        <v>885</v>
      </c>
      <c r="B887">
        <v>21</v>
      </c>
      <c r="C887">
        <v>0.91400000000000003</v>
      </c>
      <c r="D887">
        <v>2.5</v>
      </c>
      <c r="E887">
        <v>0</v>
      </c>
      <c r="F887">
        <v>1.284</v>
      </c>
      <c r="G887">
        <v>0</v>
      </c>
      <c r="H887">
        <v>9.7000000000000003E-2</v>
      </c>
      <c r="I887">
        <v>1.2829999999999999</v>
      </c>
      <c r="K887">
        <v>885</v>
      </c>
      <c r="L887">
        <v>21</v>
      </c>
      <c r="M887" s="32">
        <v>0.91400000000000003</v>
      </c>
      <c r="N887" s="47">
        <v>2.544</v>
      </c>
      <c r="P887" s="47">
        <v>1.2849999999999999</v>
      </c>
      <c r="R887" s="47">
        <v>0.122</v>
      </c>
      <c r="S887" s="47">
        <v>1.1759999999999999</v>
      </c>
      <c r="T887" s="31">
        <v>0</v>
      </c>
      <c r="V887">
        <v>885</v>
      </c>
      <c r="W887">
        <v>20</v>
      </c>
      <c r="X887">
        <v>0.92600000000000005</v>
      </c>
      <c r="Y887" s="32">
        <v>2.61</v>
      </c>
      <c r="Z887">
        <v>0</v>
      </c>
      <c r="AA887" s="32">
        <v>1.2609999999999999</v>
      </c>
      <c r="AB887">
        <v>0</v>
      </c>
      <c r="AC887" s="34">
        <v>0.11</v>
      </c>
      <c r="AD887" s="32">
        <v>1.1679999999999999</v>
      </c>
    </row>
    <row r="888" spans="1:30">
      <c r="A888">
        <v>886</v>
      </c>
      <c r="B888">
        <v>21</v>
      </c>
      <c r="C888">
        <v>0.91500000000000004</v>
      </c>
      <c r="D888">
        <v>2.5</v>
      </c>
      <c r="E888">
        <v>0</v>
      </c>
      <c r="F888">
        <v>1.284</v>
      </c>
      <c r="G888">
        <v>0</v>
      </c>
      <c r="H888">
        <v>9.7000000000000003E-2</v>
      </c>
      <c r="I888">
        <v>1.284</v>
      </c>
      <c r="K888">
        <v>886</v>
      </c>
      <c r="L888">
        <v>21</v>
      </c>
      <c r="M888" s="32">
        <v>0.91500000000000004</v>
      </c>
      <c r="N888" s="47">
        <v>2.5550000000000002</v>
      </c>
      <c r="P888" s="47">
        <v>1.286</v>
      </c>
      <c r="R888" s="47">
        <v>0.122</v>
      </c>
      <c r="S888" s="47">
        <v>1.1779999999999999</v>
      </c>
      <c r="T888" s="31">
        <v>0</v>
      </c>
      <c r="V888">
        <v>886</v>
      </c>
      <c r="W888">
        <v>20</v>
      </c>
      <c r="X888">
        <v>0.92700000000000005</v>
      </c>
      <c r="Y888" s="32">
        <v>2.61</v>
      </c>
      <c r="Z888">
        <v>0</v>
      </c>
      <c r="AA888" s="32">
        <v>1.2609999999999999</v>
      </c>
      <c r="AB888">
        <v>0</v>
      </c>
      <c r="AC888" s="34">
        <v>0.11</v>
      </c>
      <c r="AD888" s="32">
        <v>1.169</v>
      </c>
    </row>
    <row r="889" spans="1:30">
      <c r="A889">
        <v>887</v>
      </c>
      <c r="B889">
        <v>21</v>
      </c>
      <c r="C889">
        <v>0.91600000000000004</v>
      </c>
      <c r="D889">
        <v>2.5</v>
      </c>
      <c r="E889">
        <v>0</v>
      </c>
      <c r="F889">
        <v>1.284</v>
      </c>
      <c r="G889">
        <v>0</v>
      </c>
      <c r="H889">
        <v>9.7000000000000003E-2</v>
      </c>
      <c r="I889">
        <v>1.286</v>
      </c>
      <c r="K889">
        <v>887</v>
      </c>
      <c r="L889">
        <v>21</v>
      </c>
      <c r="M889" s="32">
        <v>0.91600000000000004</v>
      </c>
      <c r="N889" s="47">
        <v>2.5659999999999998</v>
      </c>
      <c r="P889" s="47">
        <v>1.286</v>
      </c>
      <c r="R889" s="47">
        <v>0.123</v>
      </c>
      <c r="S889" s="47">
        <v>1.179</v>
      </c>
      <c r="T889" s="31">
        <v>0</v>
      </c>
      <c r="V889">
        <v>887</v>
      </c>
      <c r="W889">
        <v>20</v>
      </c>
      <c r="X889">
        <v>0.92800000000000005</v>
      </c>
      <c r="Y889" s="32">
        <v>2.61</v>
      </c>
      <c r="Z889">
        <v>0</v>
      </c>
      <c r="AA889" s="32">
        <v>1.2609999999999999</v>
      </c>
      <c r="AB889">
        <v>0</v>
      </c>
      <c r="AC889" s="34">
        <v>0.11</v>
      </c>
      <c r="AD889" s="32">
        <v>1.171</v>
      </c>
    </row>
    <row r="890" spans="1:30">
      <c r="A890">
        <v>888</v>
      </c>
      <c r="B890">
        <v>21</v>
      </c>
      <c r="C890">
        <v>0.91700000000000004</v>
      </c>
      <c r="D890">
        <v>2.5</v>
      </c>
      <c r="E890">
        <v>0</v>
      </c>
      <c r="F890">
        <v>1.284</v>
      </c>
      <c r="G890">
        <v>0</v>
      </c>
      <c r="H890">
        <v>9.7000000000000003E-2</v>
      </c>
      <c r="I890">
        <v>1.2869999999999999</v>
      </c>
      <c r="K890">
        <v>888</v>
      </c>
      <c r="L890">
        <v>21</v>
      </c>
      <c r="M890" s="32">
        <v>0.91700000000000004</v>
      </c>
      <c r="N890" s="47">
        <v>2.577</v>
      </c>
      <c r="P890" s="47">
        <v>1.286</v>
      </c>
      <c r="R890" s="47">
        <v>0.123</v>
      </c>
      <c r="S890" s="47">
        <v>1.181</v>
      </c>
      <c r="T890" s="31">
        <v>0</v>
      </c>
      <c r="V890">
        <v>888</v>
      </c>
      <c r="W890">
        <v>20</v>
      </c>
      <c r="X890">
        <v>0.92900000000000005</v>
      </c>
      <c r="Y890" s="32">
        <v>2.61</v>
      </c>
      <c r="Z890">
        <v>0</v>
      </c>
      <c r="AA890" s="32">
        <v>1.2609999999999999</v>
      </c>
      <c r="AB890">
        <v>0</v>
      </c>
      <c r="AC890" s="34">
        <v>0.11</v>
      </c>
      <c r="AD890" s="32">
        <v>1.1719999999999999</v>
      </c>
    </row>
    <row r="891" spans="1:30">
      <c r="A891">
        <v>889</v>
      </c>
      <c r="B891">
        <v>21</v>
      </c>
      <c r="C891">
        <v>0.91800000000000004</v>
      </c>
      <c r="D891">
        <v>2.5</v>
      </c>
      <c r="E891">
        <v>0</v>
      </c>
      <c r="F891">
        <v>1.284</v>
      </c>
      <c r="G891">
        <v>0</v>
      </c>
      <c r="H891">
        <v>9.7000000000000003E-2</v>
      </c>
      <c r="I891">
        <v>1.2889999999999999</v>
      </c>
      <c r="K891">
        <v>889</v>
      </c>
      <c r="L891">
        <v>21</v>
      </c>
      <c r="M891" s="32">
        <v>0.91800000000000004</v>
      </c>
      <c r="N891" s="47">
        <v>2.5880000000000001</v>
      </c>
      <c r="P891" s="47">
        <v>1.286</v>
      </c>
      <c r="R891" s="47">
        <v>0.123</v>
      </c>
      <c r="S891" s="47">
        <v>1.1830000000000001</v>
      </c>
      <c r="T891" s="31">
        <v>0</v>
      </c>
      <c r="V891">
        <v>889</v>
      </c>
      <c r="W891">
        <v>20</v>
      </c>
      <c r="X891">
        <v>0.93</v>
      </c>
      <c r="Y891" s="32">
        <v>2.61</v>
      </c>
      <c r="Z891">
        <v>0</v>
      </c>
      <c r="AA891" s="32">
        <v>1.262</v>
      </c>
      <c r="AB891">
        <v>0</v>
      </c>
      <c r="AC891" s="34">
        <v>0.11</v>
      </c>
      <c r="AD891" s="32">
        <v>1.1739999999999999</v>
      </c>
    </row>
    <row r="892" spans="1:30">
      <c r="A892">
        <v>890</v>
      </c>
      <c r="B892">
        <v>21</v>
      </c>
      <c r="C892">
        <v>0.91900000000000004</v>
      </c>
      <c r="D892">
        <v>2.5</v>
      </c>
      <c r="E892">
        <v>0</v>
      </c>
      <c r="F892">
        <v>1.284</v>
      </c>
      <c r="G892">
        <v>0</v>
      </c>
      <c r="H892">
        <v>9.7000000000000003E-2</v>
      </c>
      <c r="I892">
        <v>1.29</v>
      </c>
      <c r="K892">
        <v>890</v>
      </c>
      <c r="L892">
        <v>21</v>
      </c>
      <c r="M892" s="32">
        <v>0.91900000000000004</v>
      </c>
      <c r="N892" s="47">
        <v>2.5990000000000002</v>
      </c>
      <c r="P892" s="47">
        <v>1.2869999999999999</v>
      </c>
      <c r="R892" s="47">
        <v>0.124</v>
      </c>
      <c r="S892" s="47">
        <v>1.1850000000000001</v>
      </c>
      <c r="T892" s="31">
        <v>0</v>
      </c>
      <c r="V892">
        <v>890</v>
      </c>
      <c r="W892">
        <v>20</v>
      </c>
      <c r="X892">
        <v>0.93100000000000005</v>
      </c>
      <c r="Y892" s="32">
        <v>2.61</v>
      </c>
      <c r="Z892">
        <v>0</v>
      </c>
      <c r="AA892" s="32">
        <v>1.262</v>
      </c>
      <c r="AB892">
        <v>0</v>
      </c>
      <c r="AC892" s="34">
        <v>0.11</v>
      </c>
      <c r="AD892" s="32">
        <v>1.175</v>
      </c>
    </row>
    <row r="893" spans="1:30">
      <c r="A893">
        <v>891</v>
      </c>
      <c r="B893">
        <v>22</v>
      </c>
      <c r="C893">
        <v>0.92</v>
      </c>
      <c r="D893">
        <v>2.61</v>
      </c>
      <c r="E893">
        <v>0</v>
      </c>
      <c r="F893">
        <v>1.2869999999999999</v>
      </c>
      <c r="G893">
        <v>0</v>
      </c>
      <c r="H893">
        <v>0.124</v>
      </c>
      <c r="I893">
        <v>1.1870000000000001</v>
      </c>
      <c r="K893">
        <v>891</v>
      </c>
      <c r="L893">
        <v>22</v>
      </c>
      <c r="M893" s="32">
        <v>0.92</v>
      </c>
      <c r="N893" s="32">
        <v>2.61</v>
      </c>
      <c r="P893" s="32">
        <v>1.2869999999999999</v>
      </c>
      <c r="R893" s="32">
        <v>0.124</v>
      </c>
      <c r="S893" s="32">
        <v>1.1870000000000001</v>
      </c>
      <c r="T893" s="31">
        <v>0</v>
      </c>
      <c r="V893">
        <v>891</v>
      </c>
      <c r="W893">
        <v>20</v>
      </c>
      <c r="X893">
        <v>0.93200000000000005</v>
      </c>
      <c r="Y893" s="32">
        <v>2.61</v>
      </c>
      <c r="Z893">
        <v>0</v>
      </c>
      <c r="AA893" s="32">
        <v>1.262</v>
      </c>
      <c r="AB893">
        <v>0</v>
      </c>
      <c r="AC893" s="34">
        <v>0.11</v>
      </c>
      <c r="AD893" s="32">
        <v>1.1759999999999999</v>
      </c>
    </row>
    <row r="894" spans="1:30">
      <c r="A894">
        <v>892</v>
      </c>
      <c r="B894">
        <v>22</v>
      </c>
      <c r="C894">
        <v>0.92100000000000004</v>
      </c>
      <c r="D894">
        <v>2.61</v>
      </c>
      <c r="E894">
        <v>0</v>
      </c>
      <c r="F894">
        <v>1.2869999999999999</v>
      </c>
      <c r="G894">
        <v>0</v>
      </c>
      <c r="H894">
        <v>0.124</v>
      </c>
      <c r="I894">
        <v>1.1890000000000001</v>
      </c>
      <c r="K894">
        <v>892</v>
      </c>
      <c r="L894">
        <v>22</v>
      </c>
      <c r="M894" s="32">
        <v>0.92100000000000004</v>
      </c>
      <c r="N894" s="32">
        <v>2.61</v>
      </c>
      <c r="P894" s="32">
        <v>1.2869999999999999</v>
      </c>
      <c r="R894" s="32">
        <v>0.124</v>
      </c>
      <c r="S894" s="47">
        <v>1.1879999999999999</v>
      </c>
      <c r="T894" s="31">
        <v>0</v>
      </c>
      <c r="V894">
        <v>892</v>
      </c>
      <c r="W894">
        <v>20</v>
      </c>
      <c r="X894">
        <v>0.93300000000000005</v>
      </c>
      <c r="Y894" s="32">
        <v>2.61</v>
      </c>
      <c r="Z894">
        <v>0</v>
      </c>
      <c r="AA894" s="32">
        <v>1.262</v>
      </c>
      <c r="AB894">
        <v>0</v>
      </c>
      <c r="AC894" s="34">
        <v>0.11</v>
      </c>
      <c r="AD894" s="32">
        <v>1.1779999999999999</v>
      </c>
    </row>
    <row r="895" spans="1:30">
      <c r="A895">
        <v>893</v>
      </c>
      <c r="B895">
        <v>22</v>
      </c>
      <c r="C895">
        <v>0.92200000000000004</v>
      </c>
      <c r="D895">
        <v>2.61</v>
      </c>
      <c r="E895">
        <v>0</v>
      </c>
      <c r="F895">
        <v>1.288</v>
      </c>
      <c r="G895">
        <v>0</v>
      </c>
      <c r="H895">
        <v>0.124</v>
      </c>
      <c r="I895">
        <v>1.19</v>
      </c>
      <c r="K895">
        <v>893</v>
      </c>
      <c r="L895">
        <v>22</v>
      </c>
      <c r="M895" s="32">
        <v>0.92200000000000004</v>
      </c>
      <c r="N895" s="32">
        <v>2.61</v>
      </c>
      <c r="P895" s="32">
        <v>1.288</v>
      </c>
      <c r="R895" s="32">
        <v>0.124</v>
      </c>
      <c r="S895" s="32">
        <v>1.19</v>
      </c>
      <c r="T895" s="31">
        <v>0</v>
      </c>
      <c r="V895">
        <v>893</v>
      </c>
      <c r="W895">
        <v>20</v>
      </c>
      <c r="X895">
        <v>0.93400000000000005</v>
      </c>
      <c r="Y895" s="32">
        <v>2.61</v>
      </c>
      <c r="Z895">
        <v>0</v>
      </c>
      <c r="AA895" s="32">
        <v>1.262</v>
      </c>
      <c r="AB895">
        <v>0</v>
      </c>
      <c r="AC895" s="34">
        <v>0.11</v>
      </c>
      <c r="AD895" s="32">
        <v>1.179</v>
      </c>
    </row>
    <row r="896" spans="1:30">
      <c r="A896">
        <v>894</v>
      </c>
      <c r="B896">
        <v>22</v>
      </c>
      <c r="C896">
        <v>0.92300000000000004</v>
      </c>
      <c r="D896">
        <v>2.61</v>
      </c>
      <c r="E896">
        <v>0</v>
      </c>
      <c r="F896">
        <v>1.288</v>
      </c>
      <c r="G896">
        <v>0</v>
      </c>
      <c r="H896">
        <v>0.124</v>
      </c>
      <c r="I896">
        <v>1.1919999999999999</v>
      </c>
      <c r="K896">
        <v>894</v>
      </c>
      <c r="L896">
        <v>22</v>
      </c>
      <c r="M896" s="32">
        <v>0.92300000000000004</v>
      </c>
      <c r="N896" s="32">
        <v>2.61</v>
      </c>
      <c r="P896" s="32">
        <v>1.288</v>
      </c>
      <c r="R896" s="47">
        <v>0.125</v>
      </c>
      <c r="S896" s="47">
        <v>1.1910000000000001</v>
      </c>
      <c r="T896" s="31">
        <v>0</v>
      </c>
      <c r="V896">
        <v>894</v>
      </c>
      <c r="W896">
        <v>20</v>
      </c>
      <c r="X896">
        <v>0.93500000000000005</v>
      </c>
      <c r="Y896" s="32">
        <v>2.61</v>
      </c>
      <c r="Z896">
        <v>0</v>
      </c>
      <c r="AA896" s="32">
        <v>1.2629999999999999</v>
      </c>
      <c r="AB896">
        <v>0</v>
      </c>
      <c r="AC896" s="34">
        <v>0.11</v>
      </c>
      <c r="AD896" s="32">
        <v>1.181</v>
      </c>
    </row>
    <row r="897" spans="1:30">
      <c r="A897">
        <v>895</v>
      </c>
      <c r="B897">
        <v>22</v>
      </c>
      <c r="C897">
        <v>0.92400000000000004</v>
      </c>
      <c r="D897">
        <v>2.62</v>
      </c>
      <c r="E897">
        <v>0</v>
      </c>
      <c r="F897">
        <v>1.288</v>
      </c>
      <c r="G897">
        <v>0</v>
      </c>
      <c r="H897">
        <v>0.124</v>
      </c>
      <c r="I897">
        <v>1.1930000000000001</v>
      </c>
      <c r="K897">
        <v>895</v>
      </c>
      <c r="L897">
        <v>22</v>
      </c>
      <c r="M897" s="32">
        <v>0.92400000000000004</v>
      </c>
      <c r="N897" s="47">
        <v>2.61</v>
      </c>
      <c r="P897" s="32">
        <v>1.288</v>
      </c>
      <c r="R897" s="47">
        <v>0.125</v>
      </c>
      <c r="S897" s="47">
        <v>1.1919999999999999</v>
      </c>
      <c r="T897" s="31">
        <v>0</v>
      </c>
      <c r="V897">
        <v>895</v>
      </c>
      <c r="W897">
        <v>20</v>
      </c>
      <c r="X897">
        <v>0.93600000000000005</v>
      </c>
      <c r="Y897" s="32">
        <v>2.61</v>
      </c>
      <c r="Z897">
        <v>0</v>
      </c>
      <c r="AA897" s="32">
        <v>1.2629999999999999</v>
      </c>
      <c r="AB897">
        <v>0</v>
      </c>
      <c r="AC897" s="34">
        <v>0.11</v>
      </c>
      <c r="AD897" s="32">
        <v>1.1819999999999999</v>
      </c>
    </row>
    <row r="898" spans="1:30">
      <c r="A898">
        <v>896</v>
      </c>
      <c r="B898">
        <v>22</v>
      </c>
      <c r="C898">
        <v>0.92500000000000004</v>
      </c>
      <c r="D898">
        <v>2.62</v>
      </c>
      <c r="E898">
        <v>0</v>
      </c>
      <c r="F898">
        <v>1.2889999999999999</v>
      </c>
      <c r="G898">
        <v>0</v>
      </c>
      <c r="H898">
        <v>0.124</v>
      </c>
      <c r="I898">
        <v>1.1950000000000001</v>
      </c>
      <c r="K898">
        <v>896</v>
      </c>
      <c r="L898">
        <v>22</v>
      </c>
      <c r="M898" s="32">
        <v>0.92500000000000004</v>
      </c>
      <c r="N898" s="47">
        <v>2.61</v>
      </c>
      <c r="P898" s="32">
        <v>1.2889999999999999</v>
      </c>
      <c r="R898" s="47">
        <v>0.125</v>
      </c>
      <c r="S898" s="47">
        <v>1.194</v>
      </c>
      <c r="T898" s="31">
        <v>0</v>
      </c>
      <c r="V898">
        <v>896</v>
      </c>
      <c r="W898">
        <v>20</v>
      </c>
      <c r="X898">
        <v>0.93700000000000006</v>
      </c>
      <c r="Y898" s="32">
        <v>2.61</v>
      </c>
      <c r="Z898">
        <v>0</v>
      </c>
      <c r="AA898" s="32">
        <v>1.2629999999999999</v>
      </c>
      <c r="AB898">
        <v>0</v>
      </c>
      <c r="AC898" s="34">
        <v>0.111</v>
      </c>
      <c r="AD898" s="32">
        <v>1.1830000000000001</v>
      </c>
    </row>
    <row r="899" spans="1:30">
      <c r="A899">
        <v>897</v>
      </c>
      <c r="B899">
        <v>22</v>
      </c>
      <c r="C899">
        <v>0.92600000000000005</v>
      </c>
      <c r="D899">
        <v>2.62</v>
      </c>
      <c r="E899">
        <v>0</v>
      </c>
      <c r="F899">
        <v>1.2889999999999999</v>
      </c>
      <c r="G899">
        <v>0</v>
      </c>
      <c r="H899">
        <v>0.124</v>
      </c>
      <c r="I899">
        <v>1.1970000000000001</v>
      </c>
      <c r="K899">
        <v>897</v>
      </c>
      <c r="L899">
        <v>22</v>
      </c>
      <c r="M899" s="32">
        <v>0.92600000000000005</v>
      </c>
      <c r="N899" s="47">
        <v>2.61</v>
      </c>
      <c r="P899" s="32">
        <v>1.2889999999999999</v>
      </c>
      <c r="R899" s="47">
        <v>0.125</v>
      </c>
      <c r="S899" s="47">
        <v>1.1950000000000001</v>
      </c>
      <c r="T899" s="31">
        <v>0</v>
      </c>
      <c r="V899">
        <v>897</v>
      </c>
      <c r="W899">
        <v>20</v>
      </c>
      <c r="X899">
        <v>0.93799999999999994</v>
      </c>
      <c r="Y899" s="32">
        <v>2.61</v>
      </c>
      <c r="Z899">
        <v>0</v>
      </c>
      <c r="AA899" s="32">
        <v>1.2629999999999999</v>
      </c>
      <c r="AB899">
        <v>0</v>
      </c>
      <c r="AC899" s="34">
        <v>0.111</v>
      </c>
      <c r="AD899" s="32">
        <v>1.1850000000000001</v>
      </c>
    </row>
    <row r="900" spans="1:30">
      <c r="A900">
        <v>898</v>
      </c>
      <c r="B900">
        <v>22</v>
      </c>
      <c r="C900">
        <v>0.92700000000000005</v>
      </c>
      <c r="D900">
        <v>2.62</v>
      </c>
      <c r="E900">
        <v>0</v>
      </c>
      <c r="F900">
        <v>1.2889999999999999</v>
      </c>
      <c r="G900">
        <v>0</v>
      </c>
      <c r="H900">
        <v>0.124</v>
      </c>
      <c r="I900">
        <v>1.198</v>
      </c>
      <c r="K900">
        <v>898</v>
      </c>
      <c r="L900">
        <v>22</v>
      </c>
      <c r="M900" s="32">
        <v>0.92700000000000005</v>
      </c>
      <c r="N900" s="47">
        <v>2.61</v>
      </c>
      <c r="P900" s="32">
        <v>1.2889999999999999</v>
      </c>
      <c r="R900" s="47">
        <v>0.125</v>
      </c>
      <c r="S900" s="47">
        <v>1.196</v>
      </c>
      <c r="T900" s="31">
        <v>0</v>
      </c>
      <c r="V900">
        <v>898</v>
      </c>
      <c r="W900">
        <v>20</v>
      </c>
      <c r="X900">
        <v>0.93899999999999995</v>
      </c>
      <c r="Y900" s="32">
        <v>2.61</v>
      </c>
      <c r="Z900">
        <v>0</v>
      </c>
      <c r="AA900" s="32">
        <v>1.2629999999999999</v>
      </c>
      <c r="AB900">
        <v>0</v>
      </c>
      <c r="AC900" s="34">
        <v>0.111</v>
      </c>
      <c r="AD900" s="32">
        <v>1.1859999999999999</v>
      </c>
    </row>
    <row r="901" spans="1:30">
      <c r="A901">
        <v>899</v>
      </c>
      <c r="B901">
        <v>22</v>
      </c>
      <c r="C901">
        <v>0.92800000000000005</v>
      </c>
      <c r="D901">
        <v>2.62</v>
      </c>
      <c r="E901">
        <v>0</v>
      </c>
      <c r="F901">
        <v>1.29</v>
      </c>
      <c r="G901">
        <v>0</v>
      </c>
      <c r="H901">
        <v>0.124</v>
      </c>
      <c r="I901">
        <v>1.2</v>
      </c>
      <c r="K901">
        <v>899</v>
      </c>
      <c r="L901">
        <v>22</v>
      </c>
      <c r="M901" s="32">
        <v>0.92800000000000005</v>
      </c>
      <c r="N901" s="47">
        <v>2.61</v>
      </c>
      <c r="P901" s="47">
        <v>1.2889999999999999</v>
      </c>
      <c r="R901" s="47">
        <v>0.126</v>
      </c>
      <c r="S901" s="47">
        <v>1.1970000000000001</v>
      </c>
      <c r="T901" s="31">
        <v>0</v>
      </c>
      <c r="V901">
        <v>899</v>
      </c>
      <c r="W901">
        <v>20</v>
      </c>
      <c r="X901">
        <v>0.94</v>
      </c>
      <c r="Y901" s="32">
        <v>2.61</v>
      </c>
      <c r="Z901">
        <v>0</v>
      </c>
      <c r="AA901" s="32">
        <v>1.2629999999999999</v>
      </c>
      <c r="AB901">
        <v>0</v>
      </c>
      <c r="AC901" s="34">
        <v>0.111</v>
      </c>
      <c r="AD901" s="32">
        <v>1.1879999999999999</v>
      </c>
    </row>
    <row r="902" spans="1:30">
      <c r="A902">
        <v>900</v>
      </c>
      <c r="B902">
        <v>22</v>
      </c>
      <c r="C902">
        <v>0.92900000000000005</v>
      </c>
      <c r="D902">
        <v>2.62</v>
      </c>
      <c r="E902">
        <v>0</v>
      </c>
      <c r="F902">
        <v>1.29</v>
      </c>
      <c r="G902">
        <v>0</v>
      </c>
      <c r="H902">
        <v>0.124</v>
      </c>
      <c r="I902">
        <v>1.2010000000000001</v>
      </c>
      <c r="K902">
        <v>900</v>
      </c>
      <c r="L902">
        <v>22</v>
      </c>
      <c r="M902" s="32">
        <v>0.92900000000000005</v>
      </c>
      <c r="N902" s="47">
        <v>2.61</v>
      </c>
      <c r="P902" s="32">
        <v>1.29</v>
      </c>
      <c r="R902" s="47">
        <v>0.126</v>
      </c>
      <c r="S902" s="47">
        <v>1.1990000000000001</v>
      </c>
      <c r="T902" s="31">
        <v>0</v>
      </c>
      <c r="V902">
        <v>900</v>
      </c>
      <c r="W902">
        <v>20</v>
      </c>
      <c r="X902">
        <v>0.94099999999999995</v>
      </c>
      <c r="Y902" s="32">
        <v>2.61</v>
      </c>
      <c r="Z902">
        <v>0</v>
      </c>
      <c r="AA902" s="32">
        <v>1.264</v>
      </c>
      <c r="AB902">
        <v>0</v>
      </c>
      <c r="AC902" s="34">
        <v>0.111</v>
      </c>
      <c r="AD902" s="32">
        <v>1.1890000000000001</v>
      </c>
    </row>
    <row r="903" spans="1:30">
      <c r="A903">
        <v>901</v>
      </c>
      <c r="B903">
        <v>22</v>
      </c>
      <c r="C903">
        <v>0.93</v>
      </c>
      <c r="D903">
        <v>2.61</v>
      </c>
      <c r="E903">
        <v>0</v>
      </c>
      <c r="F903">
        <v>1.29</v>
      </c>
      <c r="G903">
        <v>0</v>
      </c>
      <c r="H903">
        <v>0.124</v>
      </c>
      <c r="I903">
        <v>1.2</v>
      </c>
      <c r="K903">
        <v>901</v>
      </c>
      <c r="L903">
        <v>22</v>
      </c>
      <c r="M903" s="32">
        <v>0.93</v>
      </c>
      <c r="N903" s="32">
        <v>2.61</v>
      </c>
      <c r="P903" s="32">
        <v>1.29</v>
      </c>
      <c r="R903" s="47">
        <v>0.126</v>
      </c>
      <c r="S903" s="32">
        <v>1.2</v>
      </c>
      <c r="T903" s="31">
        <v>0</v>
      </c>
      <c r="V903">
        <v>901</v>
      </c>
      <c r="W903">
        <v>20</v>
      </c>
      <c r="X903">
        <v>0.94199999999999995</v>
      </c>
      <c r="Y903" s="32">
        <v>2.61</v>
      </c>
      <c r="Z903">
        <v>0</v>
      </c>
      <c r="AA903" s="32">
        <v>1.264</v>
      </c>
      <c r="AB903">
        <v>0</v>
      </c>
      <c r="AC903" s="34">
        <v>0.111</v>
      </c>
      <c r="AD903" s="32">
        <v>1.1910000000000001</v>
      </c>
    </row>
    <row r="904" spans="1:30">
      <c r="A904">
        <v>902</v>
      </c>
      <c r="B904">
        <v>22</v>
      </c>
      <c r="C904">
        <v>0.93100000000000005</v>
      </c>
      <c r="D904">
        <v>2.61</v>
      </c>
      <c r="E904">
        <v>0</v>
      </c>
      <c r="F904">
        <v>1.29</v>
      </c>
      <c r="G904">
        <v>0</v>
      </c>
      <c r="H904">
        <v>0.124</v>
      </c>
      <c r="I904">
        <v>1.2170000000000001</v>
      </c>
      <c r="K904">
        <v>902</v>
      </c>
      <c r="L904">
        <v>22</v>
      </c>
      <c r="M904" s="32">
        <v>0.93100000000000005</v>
      </c>
      <c r="N904" s="32">
        <v>2.61</v>
      </c>
      <c r="P904" s="32">
        <v>1.29</v>
      </c>
      <c r="R904" s="47">
        <v>0.126</v>
      </c>
      <c r="S904" s="47">
        <v>1.202</v>
      </c>
      <c r="T904" s="31">
        <v>0</v>
      </c>
      <c r="V904">
        <v>902</v>
      </c>
      <c r="W904">
        <v>21</v>
      </c>
      <c r="X904">
        <v>0.94299999999999995</v>
      </c>
      <c r="Y904" s="32">
        <v>2.61</v>
      </c>
      <c r="Z904">
        <v>0</v>
      </c>
      <c r="AA904" s="32">
        <v>1.264</v>
      </c>
      <c r="AB904">
        <v>0</v>
      </c>
      <c r="AC904" s="34">
        <v>0.111</v>
      </c>
      <c r="AD904" s="32">
        <v>1.1919999999999999</v>
      </c>
    </row>
    <row r="905" spans="1:30">
      <c r="A905">
        <v>903</v>
      </c>
      <c r="B905">
        <v>22</v>
      </c>
      <c r="C905">
        <v>0.93200000000000005</v>
      </c>
      <c r="D905">
        <v>2.61</v>
      </c>
      <c r="E905">
        <v>0</v>
      </c>
      <c r="F905">
        <v>1.29</v>
      </c>
      <c r="G905">
        <v>0</v>
      </c>
      <c r="H905">
        <v>0.124</v>
      </c>
      <c r="I905">
        <v>1.2190000000000001</v>
      </c>
      <c r="K905">
        <v>903</v>
      </c>
      <c r="L905">
        <v>22</v>
      </c>
      <c r="M905" s="32">
        <v>0.93200000000000005</v>
      </c>
      <c r="N905" s="32">
        <v>2.61</v>
      </c>
      <c r="P905" s="47">
        <v>1.2909999999999999</v>
      </c>
      <c r="R905" s="47">
        <v>0.127</v>
      </c>
      <c r="S905" s="47">
        <v>1.2030000000000001</v>
      </c>
      <c r="T905" s="31">
        <v>0</v>
      </c>
      <c r="V905">
        <v>903</v>
      </c>
      <c r="W905">
        <v>21</v>
      </c>
      <c r="X905">
        <v>0.94399999999999995</v>
      </c>
      <c r="Y905" s="32">
        <v>2.61</v>
      </c>
      <c r="Z905">
        <v>0</v>
      </c>
      <c r="AA905" s="32">
        <v>1.264</v>
      </c>
      <c r="AB905">
        <v>0</v>
      </c>
      <c r="AC905" s="34">
        <v>0.111</v>
      </c>
      <c r="AD905" s="32">
        <v>1.1930000000000001</v>
      </c>
    </row>
    <row r="906" spans="1:30">
      <c r="A906">
        <v>904</v>
      </c>
      <c r="B906">
        <v>22</v>
      </c>
      <c r="C906">
        <v>0.93300000000000005</v>
      </c>
      <c r="D906">
        <v>2.61</v>
      </c>
      <c r="E906">
        <v>0</v>
      </c>
      <c r="F906">
        <v>1.29</v>
      </c>
      <c r="G906">
        <v>0</v>
      </c>
      <c r="H906">
        <v>0.124</v>
      </c>
      <c r="I906">
        <v>1.2210000000000001</v>
      </c>
      <c r="K906">
        <v>904</v>
      </c>
      <c r="L906">
        <v>22</v>
      </c>
      <c r="M906" s="32">
        <v>0.93300000000000005</v>
      </c>
      <c r="N906" s="32">
        <v>2.61</v>
      </c>
      <c r="P906" s="47">
        <v>1.2909999999999999</v>
      </c>
      <c r="R906" s="47">
        <v>0.127</v>
      </c>
      <c r="S906" s="47">
        <v>1.2050000000000001</v>
      </c>
      <c r="T906" s="31">
        <v>0</v>
      </c>
      <c r="V906">
        <v>904</v>
      </c>
      <c r="W906">
        <v>21</v>
      </c>
      <c r="X906">
        <v>0.94499999999999995</v>
      </c>
      <c r="Y906" s="32">
        <v>2.61</v>
      </c>
      <c r="Z906">
        <v>0</v>
      </c>
      <c r="AA906" s="32">
        <v>1.2649999999999999</v>
      </c>
      <c r="AB906">
        <v>0</v>
      </c>
      <c r="AC906" s="34">
        <v>0.111</v>
      </c>
      <c r="AD906" s="32">
        <v>1.1950000000000001</v>
      </c>
    </row>
    <row r="907" spans="1:30">
      <c r="A907">
        <v>905</v>
      </c>
      <c r="B907">
        <v>22</v>
      </c>
      <c r="C907">
        <v>0.93400000000000005</v>
      </c>
      <c r="D907">
        <v>2.61</v>
      </c>
      <c r="E907">
        <v>0</v>
      </c>
      <c r="F907">
        <v>1.29</v>
      </c>
      <c r="G907">
        <v>0</v>
      </c>
      <c r="H907">
        <v>0.124</v>
      </c>
      <c r="I907">
        <v>1.222</v>
      </c>
      <c r="K907">
        <v>905</v>
      </c>
      <c r="L907">
        <v>22</v>
      </c>
      <c r="M907" s="32">
        <v>0.93400000000000005</v>
      </c>
      <c r="N907" s="32">
        <v>2.61</v>
      </c>
      <c r="P907" s="47">
        <v>1.292</v>
      </c>
      <c r="R907" s="47">
        <v>0.127</v>
      </c>
      <c r="S907" s="47">
        <v>1.206</v>
      </c>
      <c r="T907" s="31">
        <v>0</v>
      </c>
      <c r="V907">
        <v>905</v>
      </c>
      <c r="W907">
        <v>21</v>
      </c>
      <c r="X907">
        <v>0.94599999999999995</v>
      </c>
      <c r="Y907" s="32">
        <v>2.61</v>
      </c>
      <c r="Z907">
        <v>0</v>
      </c>
      <c r="AA907" s="32">
        <v>1.2649999999999999</v>
      </c>
      <c r="AB907">
        <v>0</v>
      </c>
      <c r="AC907" s="34">
        <v>0.111</v>
      </c>
      <c r="AD907" s="32">
        <v>1.196</v>
      </c>
    </row>
    <row r="908" spans="1:30">
      <c r="A908">
        <v>906</v>
      </c>
      <c r="B908">
        <v>22</v>
      </c>
      <c r="C908">
        <v>0.93500000000000005</v>
      </c>
      <c r="D908">
        <v>2.61</v>
      </c>
      <c r="E908">
        <v>0</v>
      </c>
      <c r="F908">
        <v>1.29</v>
      </c>
      <c r="G908">
        <v>0</v>
      </c>
      <c r="H908">
        <v>0.124</v>
      </c>
      <c r="I908">
        <v>1.224</v>
      </c>
      <c r="K908">
        <v>906</v>
      </c>
      <c r="L908">
        <v>22</v>
      </c>
      <c r="M908" s="32">
        <v>0.93500000000000005</v>
      </c>
      <c r="N908" s="32">
        <v>2.61</v>
      </c>
      <c r="P908" s="47">
        <v>1.292</v>
      </c>
      <c r="R908" s="47">
        <v>0.127</v>
      </c>
      <c r="S908" s="47">
        <v>1.208</v>
      </c>
      <c r="T908" s="31">
        <v>0</v>
      </c>
      <c r="V908">
        <v>906</v>
      </c>
      <c r="W908">
        <v>21</v>
      </c>
      <c r="X908">
        <v>0.94699999999999995</v>
      </c>
      <c r="Y908" s="32">
        <v>2.61</v>
      </c>
      <c r="Z908">
        <v>0</v>
      </c>
      <c r="AA908" s="32">
        <v>1.2649999999999999</v>
      </c>
      <c r="AB908">
        <v>0</v>
      </c>
      <c r="AC908" s="34">
        <v>0.111</v>
      </c>
      <c r="AD908" s="32">
        <v>1.198</v>
      </c>
    </row>
    <row r="909" spans="1:30">
      <c r="A909">
        <v>907</v>
      </c>
      <c r="B909">
        <v>22</v>
      </c>
      <c r="C909">
        <v>0.93600000000000005</v>
      </c>
      <c r="D909">
        <v>2.61</v>
      </c>
      <c r="E909">
        <v>0</v>
      </c>
      <c r="F909">
        <v>1.29</v>
      </c>
      <c r="G909">
        <v>0</v>
      </c>
      <c r="H909">
        <v>0.124</v>
      </c>
      <c r="I909">
        <v>1.2250000000000001</v>
      </c>
      <c r="K909">
        <v>907</v>
      </c>
      <c r="L909">
        <v>22</v>
      </c>
      <c r="M909" s="32">
        <v>0.93600000000000005</v>
      </c>
      <c r="N909" s="32">
        <v>2.61</v>
      </c>
      <c r="P909" s="47">
        <v>1.292</v>
      </c>
      <c r="R909" s="47">
        <v>0.127</v>
      </c>
      <c r="S909" s="47">
        <v>1.21</v>
      </c>
      <c r="T909" s="31">
        <v>0</v>
      </c>
      <c r="V909">
        <v>907</v>
      </c>
      <c r="W909">
        <v>21</v>
      </c>
      <c r="X909">
        <v>0.94799999999999995</v>
      </c>
      <c r="Y909" s="32">
        <v>2.61</v>
      </c>
      <c r="Z909">
        <v>0</v>
      </c>
      <c r="AA909" s="32">
        <v>1.2649999999999999</v>
      </c>
      <c r="AB909">
        <v>0</v>
      </c>
      <c r="AC909" s="34">
        <v>0.111</v>
      </c>
      <c r="AD909" s="32">
        <v>1.1990000000000001</v>
      </c>
    </row>
    <row r="910" spans="1:30">
      <c r="A910">
        <v>908</v>
      </c>
      <c r="B910">
        <v>22</v>
      </c>
      <c r="C910">
        <v>0.93700000000000006</v>
      </c>
      <c r="D910">
        <v>2.61</v>
      </c>
      <c r="E910">
        <v>0</v>
      </c>
      <c r="F910">
        <v>1.29</v>
      </c>
      <c r="G910">
        <v>0</v>
      </c>
      <c r="H910">
        <v>0.124</v>
      </c>
      <c r="I910">
        <v>1.2270000000000001</v>
      </c>
      <c r="K910">
        <v>908</v>
      </c>
      <c r="L910">
        <v>22</v>
      </c>
      <c r="M910" s="32">
        <v>0.93700000000000006</v>
      </c>
      <c r="N910" s="32">
        <v>2.61</v>
      </c>
      <c r="P910" s="47">
        <v>1.2929999999999999</v>
      </c>
      <c r="R910" s="47">
        <v>0.128</v>
      </c>
      <c r="S910" s="47">
        <v>1.2110000000000001</v>
      </c>
      <c r="T910" s="31">
        <v>0</v>
      </c>
      <c r="V910">
        <v>908</v>
      </c>
      <c r="W910">
        <v>21</v>
      </c>
      <c r="X910">
        <v>0.94899999999999995</v>
      </c>
      <c r="Y910" s="32">
        <v>2.61</v>
      </c>
      <c r="Z910">
        <v>0</v>
      </c>
      <c r="AA910" s="32">
        <v>1.266</v>
      </c>
      <c r="AB910">
        <v>0</v>
      </c>
      <c r="AC910" s="34">
        <v>0.111</v>
      </c>
      <c r="AD910" s="32">
        <v>1.2010000000000001</v>
      </c>
    </row>
    <row r="911" spans="1:30">
      <c r="A911">
        <v>909</v>
      </c>
      <c r="B911">
        <v>22</v>
      </c>
      <c r="C911">
        <v>0.93799999999999994</v>
      </c>
      <c r="D911">
        <v>2.61</v>
      </c>
      <c r="E911">
        <v>0</v>
      </c>
      <c r="F911">
        <v>1.29</v>
      </c>
      <c r="G911">
        <v>0</v>
      </c>
      <c r="H911">
        <v>0.124</v>
      </c>
      <c r="I911">
        <v>1.2290000000000001</v>
      </c>
      <c r="K911">
        <v>909</v>
      </c>
      <c r="L911">
        <v>22</v>
      </c>
      <c r="M911" s="32">
        <v>0.93799999999999994</v>
      </c>
      <c r="N911" s="32">
        <v>2.61</v>
      </c>
      <c r="P911" s="47">
        <v>1.2929999999999999</v>
      </c>
      <c r="R911" s="47">
        <v>0.128</v>
      </c>
      <c r="S911" s="47">
        <v>1.2130000000000001</v>
      </c>
      <c r="T911" s="31">
        <v>0</v>
      </c>
      <c r="V911">
        <v>909</v>
      </c>
      <c r="W911">
        <v>21</v>
      </c>
      <c r="X911">
        <v>0.95</v>
      </c>
      <c r="Y911" s="32">
        <v>2.61</v>
      </c>
      <c r="Z911">
        <v>0</v>
      </c>
      <c r="AA911" s="32">
        <v>1.266</v>
      </c>
      <c r="AB911">
        <v>0</v>
      </c>
      <c r="AC911" s="34">
        <v>0.112</v>
      </c>
      <c r="AD911" s="32">
        <v>1.202</v>
      </c>
    </row>
    <row r="912" spans="1:30">
      <c r="A912">
        <v>910</v>
      </c>
      <c r="B912">
        <v>22</v>
      </c>
      <c r="C912">
        <v>0.93899999999999995</v>
      </c>
      <c r="D912">
        <v>2.61</v>
      </c>
      <c r="E912">
        <v>0</v>
      </c>
      <c r="F912">
        <v>1.29</v>
      </c>
      <c r="G912">
        <v>0</v>
      </c>
      <c r="H912">
        <v>0.124</v>
      </c>
      <c r="I912">
        <v>1.23</v>
      </c>
      <c r="K912">
        <v>910</v>
      </c>
      <c r="L912">
        <v>22</v>
      </c>
      <c r="M912" s="32">
        <v>0.93899999999999995</v>
      </c>
      <c r="N912" s="32">
        <v>2.61</v>
      </c>
      <c r="P912" s="47">
        <v>1.294</v>
      </c>
      <c r="R912" s="47">
        <v>0.128</v>
      </c>
      <c r="S912" s="47">
        <v>1.214</v>
      </c>
      <c r="T912" s="31">
        <v>0</v>
      </c>
      <c r="V912">
        <v>910</v>
      </c>
      <c r="W912">
        <v>21</v>
      </c>
      <c r="X912">
        <v>0.95099999999999996</v>
      </c>
      <c r="Y912" s="32">
        <v>2.61</v>
      </c>
      <c r="Z912">
        <v>0</v>
      </c>
      <c r="AA912" s="32">
        <v>1.266</v>
      </c>
      <c r="AB912">
        <v>0</v>
      </c>
      <c r="AC912" s="34">
        <v>0.112</v>
      </c>
      <c r="AD912" s="32">
        <v>1.204</v>
      </c>
    </row>
    <row r="913" spans="1:30">
      <c r="A913">
        <v>911</v>
      </c>
      <c r="B913">
        <v>22</v>
      </c>
      <c r="C913">
        <v>0.94</v>
      </c>
      <c r="D913">
        <v>2.61</v>
      </c>
      <c r="E913">
        <v>0</v>
      </c>
      <c r="F913">
        <v>1.294</v>
      </c>
      <c r="G913">
        <v>0</v>
      </c>
      <c r="H913">
        <v>0.124</v>
      </c>
      <c r="I913">
        <v>1.248</v>
      </c>
      <c r="K913">
        <v>911</v>
      </c>
      <c r="L913">
        <v>22</v>
      </c>
      <c r="M913" s="32">
        <v>0.94</v>
      </c>
      <c r="N913" s="32">
        <v>2.61</v>
      </c>
      <c r="P913" s="32">
        <v>1.294</v>
      </c>
      <c r="R913" s="47">
        <v>0.128</v>
      </c>
      <c r="S913" s="47">
        <v>1.216</v>
      </c>
      <c r="T913" s="31">
        <v>0</v>
      </c>
      <c r="V913">
        <v>911</v>
      </c>
      <c r="W913">
        <v>21</v>
      </c>
      <c r="X913">
        <v>0.95199999999999996</v>
      </c>
      <c r="Y913" s="32">
        <v>2.61</v>
      </c>
      <c r="Z913">
        <v>0</v>
      </c>
      <c r="AA913" s="32">
        <v>1.266</v>
      </c>
      <c r="AB913">
        <v>0</v>
      </c>
      <c r="AC913" s="34">
        <v>0.112</v>
      </c>
      <c r="AD913" s="32">
        <v>1.2050000000000001</v>
      </c>
    </row>
    <row r="914" spans="1:30">
      <c r="A914">
        <v>912</v>
      </c>
      <c r="B914">
        <v>22</v>
      </c>
      <c r="C914">
        <v>0.94099999999999995</v>
      </c>
      <c r="D914">
        <v>2.61</v>
      </c>
      <c r="E914">
        <v>0</v>
      </c>
      <c r="F914">
        <v>1.294</v>
      </c>
      <c r="G914">
        <v>0</v>
      </c>
      <c r="H914">
        <v>0.124</v>
      </c>
      <c r="I914">
        <v>1.2490000000000001</v>
      </c>
      <c r="K914">
        <v>912</v>
      </c>
      <c r="L914">
        <v>22</v>
      </c>
      <c r="M914" s="32">
        <v>0.94099999999999995</v>
      </c>
      <c r="N914" s="32">
        <v>2.61</v>
      </c>
      <c r="P914" s="32">
        <v>1.294</v>
      </c>
      <c r="R914" s="47">
        <v>0.128</v>
      </c>
      <c r="S914" s="47">
        <v>1.218</v>
      </c>
      <c r="T914" s="31">
        <v>0</v>
      </c>
      <c r="V914">
        <v>912</v>
      </c>
      <c r="W914">
        <v>21</v>
      </c>
      <c r="X914">
        <v>0.95299999999999996</v>
      </c>
      <c r="Y914" s="32">
        <v>2.61</v>
      </c>
      <c r="Z914">
        <v>0</v>
      </c>
      <c r="AA914" s="32">
        <v>1.2669999999999999</v>
      </c>
      <c r="AB914">
        <v>0</v>
      </c>
      <c r="AC914" s="34">
        <v>0.112</v>
      </c>
      <c r="AD914" s="32">
        <v>1.2070000000000001</v>
      </c>
    </row>
    <row r="915" spans="1:30">
      <c r="A915">
        <v>913</v>
      </c>
      <c r="B915">
        <v>22</v>
      </c>
      <c r="C915">
        <v>0.94199999999999995</v>
      </c>
      <c r="D915">
        <v>2.61</v>
      </c>
      <c r="E915">
        <v>0</v>
      </c>
      <c r="F915">
        <v>1.294</v>
      </c>
      <c r="G915">
        <v>0</v>
      </c>
      <c r="H915">
        <v>0.124</v>
      </c>
      <c r="I915">
        <v>1.2509999999999999</v>
      </c>
      <c r="K915">
        <v>913</v>
      </c>
      <c r="L915">
        <v>22</v>
      </c>
      <c r="M915" s="32">
        <v>0.94199999999999995</v>
      </c>
      <c r="N915" s="32">
        <v>2.61</v>
      </c>
      <c r="P915" s="47">
        <v>1.2949999999999999</v>
      </c>
      <c r="R915" s="47">
        <v>0.129</v>
      </c>
      <c r="S915" s="47">
        <v>1.2190000000000001</v>
      </c>
      <c r="T915" s="31">
        <v>0</v>
      </c>
      <c r="V915">
        <v>913</v>
      </c>
      <c r="W915">
        <v>21</v>
      </c>
      <c r="X915">
        <v>0.95399999999999996</v>
      </c>
      <c r="Y915" s="32">
        <v>2.61</v>
      </c>
      <c r="Z915">
        <v>0</v>
      </c>
      <c r="AA915" s="32">
        <v>1.2669999999999999</v>
      </c>
      <c r="AB915">
        <v>0</v>
      </c>
      <c r="AC915" s="34">
        <v>0.112</v>
      </c>
      <c r="AD915" s="32">
        <v>1.208</v>
      </c>
    </row>
    <row r="916" spans="1:30">
      <c r="A916">
        <v>914</v>
      </c>
      <c r="B916">
        <v>22</v>
      </c>
      <c r="C916">
        <v>0.94299999999999995</v>
      </c>
      <c r="D916">
        <v>2.61</v>
      </c>
      <c r="E916">
        <v>0</v>
      </c>
      <c r="F916">
        <v>1.294</v>
      </c>
      <c r="G916">
        <v>0</v>
      </c>
      <c r="H916">
        <v>0.124</v>
      </c>
      <c r="I916">
        <v>1.2529999999999999</v>
      </c>
      <c r="K916">
        <v>914</v>
      </c>
      <c r="L916">
        <v>22</v>
      </c>
      <c r="M916" s="32">
        <v>0.94299999999999995</v>
      </c>
      <c r="N916" s="32">
        <v>2.61</v>
      </c>
      <c r="P916" s="47">
        <v>1.2949999999999999</v>
      </c>
      <c r="R916" s="47">
        <v>0.129</v>
      </c>
      <c r="S916" s="47">
        <v>1.2210000000000001</v>
      </c>
      <c r="T916" s="31">
        <v>0</v>
      </c>
      <c r="V916">
        <v>914</v>
      </c>
      <c r="W916">
        <v>21</v>
      </c>
      <c r="X916">
        <v>0.95499999999999996</v>
      </c>
      <c r="Y916" s="32">
        <v>2.61</v>
      </c>
      <c r="Z916">
        <v>0</v>
      </c>
      <c r="AA916" s="32">
        <v>1.2669999999999999</v>
      </c>
      <c r="AB916">
        <v>0</v>
      </c>
      <c r="AC916" s="34">
        <v>0.112</v>
      </c>
      <c r="AD916" s="32">
        <v>1.21</v>
      </c>
    </row>
    <row r="917" spans="1:30">
      <c r="A917">
        <v>915</v>
      </c>
      <c r="B917">
        <v>22</v>
      </c>
      <c r="C917">
        <v>0.94399999999999995</v>
      </c>
      <c r="D917">
        <v>2.61</v>
      </c>
      <c r="E917">
        <v>0</v>
      </c>
      <c r="F917">
        <v>1.294</v>
      </c>
      <c r="G917">
        <v>0</v>
      </c>
      <c r="H917">
        <v>0.124</v>
      </c>
      <c r="I917">
        <v>1.254</v>
      </c>
      <c r="K917">
        <v>915</v>
      </c>
      <c r="L917">
        <v>22</v>
      </c>
      <c r="M917" s="32">
        <v>0.94399999999999995</v>
      </c>
      <c r="N917" s="32">
        <v>2.61</v>
      </c>
      <c r="P917" s="47">
        <v>1.2949999999999999</v>
      </c>
      <c r="R917" s="47">
        <v>0.129</v>
      </c>
      <c r="S917" s="47">
        <v>1.222</v>
      </c>
      <c r="T917" s="31">
        <v>0</v>
      </c>
      <c r="V917">
        <v>915</v>
      </c>
      <c r="W917">
        <v>21</v>
      </c>
      <c r="X917">
        <v>0.95599999999999996</v>
      </c>
      <c r="Y917" s="32">
        <v>2.61</v>
      </c>
      <c r="Z917">
        <v>0</v>
      </c>
      <c r="AA917" s="32">
        <v>1.2669999999999999</v>
      </c>
      <c r="AB917">
        <v>0</v>
      </c>
      <c r="AC917" s="34">
        <v>0.112</v>
      </c>
      <c r="AD917" s="32">
        <v>1.2110000000000001</v>
      </c>
    </row>
    <row r="918" spans="1:30">
      <c r="A918">
        <v>916</v>
      </c>
      <c r="B918">
        <v>22</v>
      </c>
      <c r="C918">
        <v>0.94499999999999995</v>
      </c>
      <c r="D918">
        <v>2.61</v>
      </c>
      <c r="E918">
        <v>0</v>
      </c>
      <c r="F918">
        <v>1.294</v>
      </c>
      <c r="G918">
        <v>0</v>
      </c>
      <c r="H918">
        <v>0.124</v>
      </c>
      <c r="I918">
        <v>1.256</v>
      </c>
      <c r="K918">
        <v>916</v>
      </c>
      <c r="L918">
        <v>22</v>
      </c>
      <c r="M918" s="32">
        <v>0.94499999999999995</v>
      </c>
      <c r="N918" s="32">
        <v>2.61</v>
      </c>
      <c r="P918" s="47">
        <v>1.296</v>
      </c>
      <c r="R918" s="47">
        <v>0.129</v>
      </c>
      <c r="S918" s="47">
        <v>1.224</v>
      </c>
      <c r="T918" s="31">
        <v>0</v>
      </c>
      <c r="V918">
        <v>916</v>
      </c>
      <c r="W918">
        <v>21</v>
      </c>
      <c r="X918">
        <v>0.95699999999999996</v>
      </c>
      <c r="Y918" s="32">
        <v>2.61</v>
      </c>
      <c r="Z918">
        <v>0</v>
      </c>
      <c r="AA918" s="32">
        <v>1.268</v>
      </c>
      <c r="AB918">
        <v>0</v>
      </c>
      <c r="AC918" s="34">
        <v>0.112</v>
      </c>
      <c r="AD918" s="32">
        <v>1.212</v>
      </c>
    </row>
    <row r="919" spans="1:30">
      <c r="A919">
        <v>917</v>
      </c>
      <c r="B919">
        <v>22</v>
      </c>
      <c r="C919">
        <v>0.94599999999999995</v>
      </c>
      <c r="D919">
        <v>2.61</v>
      </c>
      <c r="E919">
        <v>0</v>
      </c>
      <c r="F919">
        <v>1.294</v>
      </c>
      <c r="G919">
        <v>0</v>
      </c>
      <c r="H919">
        <v>0.124</v>
      </c>
      <c r="I919">
        <v>1.2569999999999999</v>
      </c>
      <c r="K919">
        <v>917</v>
      </c>
      <c r="L919">
        <v>22</v>
      </c>
      <c r="M919" s="32">
        <v>0.94599999999999995</v>
      </c>
      <c r="N919" s="32">
        <v>2.61</v>
      </c>
      <c r="P919" s="47">
        <v>1.296</v>
      </c>
      <c r="R919" s="47">
        <v>0.129</v>
      </c>
      <c r="S919" s="47">
        <v>1.226</v>
      </c>
      <c r="T919" s="31">
        <v>0</v>
      </c>
      <c r="V919">
        <v>917</v>
      </c>
      <c r="W919">
        <v>21</v>
      </c>
      <c r="X919">
        <v>0.95799999999999996</v>
      </c>
      <c r="Y919" s="32">
        <v>2.61</v>
      </c>
      <c r="Z919">
        <v>0</v>
      </c>
      <c r="AA919" s="32">
        <v>1.268</v>
      </c>
      <c r="AB919">
        <v>0</v>
      </c>
      <c r="AC919" s="34">
        <v>0.112</v>
      </c>
      <c r="AD919" s="32">
        <v>1.214</v>
      </c>
    </row>
    <row r="920" spans="1:30">
      <c r="A920">
        <v>918</v>
      </c>
      <c r="B920">
        <v>22</v>
      </c>
      <c r="C920">
        <v>0.94699999999999995</v>
      </c>
      <c r="D920">
        <v>2.61</v>
      </c>
      <c r="E920">
        <v>0</v>
      </c>
      <c r="F920">
        <v>1.294</v>
      </c>
      <c r="G920">
        <v>0</v>
      </c>
      <c r="H920">
        <v>0.124</v>
      </c>
      <c r="I920">
        <v>1.2589999999999999</v>
      </c>
      <c r="K920">
        <v>918</v>
      </c>
      <c r="L920">
        <v>22</v>
      </c>
      <c r="M920" s="32">
        <v>0.94699999999999995</v>
      </c>
      <c r="N920" s="32">
        <v>2.61</v>
      </c>
      <c r="P920" s="47">
        <v>1.296</v>
      </c>
      <c r="R920" s="47">
        <v>0.13</v>
      </c>
      <c r="S920" s="47">
        <v>1.2270000000000001</v>
      </c>
      <c r="T920" s="31">
        <v>0</v>
      </c>
      <c r="V920">
        <v>918</v>
      </c>
      <c r="W920">
        <v>21</v>
      </c>
      <c r="X920">
        <v>0.95899999999999996</v>
      </c>
      <c r="Y920" s="32">
        <v>2.61</v>
      </c>
      <c r="Z920">
        <v>0</v>
      </c>
      <c r="AA920" s="32">
        <v>1.268</v>
      </c>
      <c r="AB920">
        <v>0</v>
      </c>
      <c r="AC920" s="34">
        <v>0.112</v>
      </c>
      <c r="AD920" s="32">
        <v>1.2150000000000001</v>
      </c>
    </row>
    <row r="921" spans="1:30">
      <c r="A921">
        <v>919</v>
      </c>
      <c r="B921">
        <v>22</v>
      </c>
      <c r="C921">
        <v>0.94799999999999995</v>
      </c>
      <c r="D921">
        <v>2.61</v>
      </c>
      <c r="E921">
        <v>0</v>
      </c>
      <c r="F921">
        <v>1.294</v>
      </c>
      <c r="G921">
        <v>0</v>
      </c>
      <c r="H921">
        <v>0.124</v>
      </c>
      <c r="I921">
        <v>1.26</v>
      </c>
      <c r="K921">
        <v>919</v>
      </c>
      <c r="L921">
        <v>22</v>
      </c>
      <c r="M921" s="32">
        <v>0.94799999999999995</v>
      </c>
      <c r="N921" s="32">
        <v>2.61</v>
      </c>
      <c r="P921" s="47">
        <v>1.296</v>
      </c>
      <c r="R921" s="47">
        <v>0.13</v>
      </c>
      <c r="S921" s="47">
        <v>1.2290000000000001</v>
      </c>
      <c r="T921" s="31">
        <v>0</v>
      </c>
      <c r="V921">
        <v>919</v>
      </c>
      <c r="W921">
        <v>21</v>
      </c>
      <c r="X921">
        <v>0.96</v>
      </c>
      <c r="Y921" s="32">
        <v>2.61</v>
      </c>
      <c r="Z921">
        <v>0</v>
      </c>
      <c r="AA921" s="32">
        <v>1.268</v>
      </c>
      <c r="AB921">
        <v>0</v>
      </c>
      <c r="AC921" s="34">
        <v>0.112</v>
      </c>
      <c r="AD921" s="32">
        <v>1.2170000000000001</v>
      </c>
    </row>
    <row r="922" spans="1:30">
      <c r="A922">
        <v>920</v>
      </c>
      <c r="B922">
        <v>22</v>
      </c>
      <c r="C922">
        <v>0.94899999999999995</v>
      </c>
      <c r="D922">
        <v>2.61</v>
      </c>
      <c r="E922">
        <v>0</v>
      </c>
      <c r="F922">
        <v>1.294</v>
      </c>
      <c r="G922">
        <v>0</v>
      </c>
      <c r="H922">
        <v>0.124</v>
      </c>
      <c r="I922">
        <v>1.262</v>
      </c>
      <c r="K922">
        <v>920</v>
      </c>
      <c r="L922">
        <v>22</v>
      </c>
      <c r="M922" s="32">
        <v>0.94899999999999995</v>
      </c>
      <c r="N922" s="32">
        <v>2.61</v>
      </c>
      <c r="P922" s="47">
        <v>1.2969999999999999</v>
      </c>
      <c r="R922" s="47">
        <v>0.13</v>
      </c>
      <c r="S922" s="47">
        <v>1.23</v>
      </c>
      <c r="T922" s="31">
        <v>0</v>
      </c>
      <c r="V922">
        <v>920</v>
      </c>
      <c r="W922">
        <v>21</v>
      </c>
      <c r="X922">
        <v>0.96099999999999997</v>
      </c>
      <c r="Y922" s="32">
        <v>2.61</v>
      </c>
      <c r="Z922">
        <v>0</v>
      </c>
      <c r="AA922" s="32">
        <v>1.2689999999999999</v>
      </c>
      <c r="AB922">
        <v>0</v>
      </c>
      <c r="AC922" s="34">
        <v>0.112</v>
      </c>
      <c r="AD922" s="32">
        <v>1.218</v>
      </c>
    </row>
    <row r="923" spans="1:30">
      <c r="A923">
        <v>921</v>
      </c>
      <c r="B923">
        <v>22</v>
      </c>
      <c r="C923">
        <v>0.95</v>
      </c>
      <c r="D923">
        <v>2.61</v>
      </c>
      <c r="E923">
        <v>0</v>
      </c>
      <c r="F923">
        <v>1.2969999999999999</v>
      </c>
      <c r="G923">
        <v>0</v>
      </c>
      <c r="H923">
        <v>0.124</v>
      </c>
      <c r="I923">
        <v>1.28</v>
      </c>
      <c r="K923">
        <v>921</v>
      </c>
      <c r="L923">
        <v>22</v>
      </c>
      <c r="M923" s="32">
        <v>0.95</v>
      </c>
      <c r="N923" s="32">
        <v>2.61</v>
      </c>
      <c r="P923" s="32">
        <v>1.2969999999999999</v>
      </c>
      <c r="R923" s="47">
        <v>0.13</v>
      </c>
      <c r="S923" s="47">
        <v>1.232</v>
      </c>
      <c r="T923" s="31">
        <v>0</v>
      </c>
      <c r="V923">
        <v>921</v>
      </c>
      <c r="W923">
        <v>21</v>
      </c>
      <c r="X923">
        <v>0.96199999999999997</v>
      </c>
      <c r="Y923" s="32">
        <v>2.61</v>
      </c>
      <c r="Z923">
        <v>0</v>
      </c>
      <c r="AA923" s="32">
        <v>1.2689999999999999</v>
      </c>
      <c r="AB923">
        <v>0</v>
      </c>
      <c r="AC923" s="34">
        <v>0.112</v>
      </c>
      <c r="AD923" s="32">
        <v>1.22</v>
      </c>
    </row>
    <row r="924" spans="1:30">
      <c r="A924">
        <v>922</v>
      </c>
      <c r="B924">
        <v>22</v>
      </c>
      <c r="C924">
        <v>0.95099999999999996</v>
      </c>
      <c r="D924">
        <v>2.61</v>
      </c>
      <c r="E924">
        <v>0</v>
      </c>
      <c r="F924">
        <v>1.2969999999999999</v>
      </c>
      <c r="G924">
        <v>0</v>
      </c>
      <c r="H924">
        <v>0.124</v>
      </c>
      <c r="I924">
        <v>1.2809999999999999</v>
      </c>
      <c r="K924">
        <v>922</v>
      </c>
      <c r="L924">
        <v>22</v>
      </c>
      <c r="M924" s="32">
        <v>0.95099999999999996</v>
      </c>
      <c r="N924" s="32">
        <v>2.61</v>
      </c>
      <c r="P924" s="32">
        <v>1.2969999999999999</v>
      </c>
      <c r="R924" s="47">
        <v>0.13100000000000001</v>
      </c>
      <c r="S924" s="47">
        <v>1.234</v>
      </c>
      <c r="T924" s="31">
        <v>0</v>
      </c>
      <c r="V924">
        <v>922</v>
      </c>
      <c r="W924">
        <v>21</v>
      </c>
      <c r="X924">
        <v>0.96299999999999997</v>
      </c>
      <c r="Y924" s="32">
        <v>2.61</v>
      </c>
      <c r="Z924">
        <v>0</v>
      </c>
      <c r="AA924" s="32">
        <v>1.2689999999999999</v>
      </c>
      <c r="AB924">
        <v>0</v>
      </c>
      <c r="AC924" s="34">
        <v>0.113</v>
      </c>
      <c r="AD924" s="32">
        <v>1.2210000000000001</v>
      </c>
    </row>
    <row r="925" spans="1:30">
      <c r="A925">
        <v>923</v>
      </c>
      <c r="B925">
        <v>22</v>
      </c>
      <c r="C925">
        <v>0.95199999999999996</v>
      </c>
      <c r="D925">
        <v>2.61</v>
      </c>
      <c r="E925">
        <v>0</v>
      </c>
      <c r="F925">
        <v>1.2969999999999999</v>
      </c>
      <c r="G925">
        <v>0</v>
      </c>
      <c r="H925">
        <v>0.124</v>
      </c>
      <c r="I925">
        <v>1.2829999999999999</v>
      </c>
      <c r="K925">
        <v>923</v>
      </c>
      <c r="L925">
        <v>22</v>
      </c>
      <c r="M925" s="32">
        <v>0.95199999999999996</v>
      </c>
      <c r="N925" s="32">
        <v>2.61</v>
      </c>
      <c r="P925" s="47">
        <v>1.298</v>
      </c>
      <c r="R925" s="47">
        <v>0.13100000000000001</v>
      </c>
      <c r="S925" s="47">
        <v>1.2350000000000001</v>
      </c>
      <c r="T925" s="31">
        <v>0</v>
      </c>
      <c r="V925">
        <v>923</v>
      </c>
      <c r="W925">
        <v>21</v>
      </c>
      <c r="X925">
        <v>0.96399999999999997</v>
      </c>
      <c r="Y925" s="32">
        <v>2.61</v>
      </c>
      <c r="Z925">
        <v>0</v>
      </c>
      <c r="AA925" s="32">
        <v>1.2689999999999999</v>
      </c>
      <c r="AB925">
        <v>0</v>
      </c>
      <c r="AC925" s="34">
        <v>0.113</v>
      </c>
      <c r="AD925" s="32">
        <v>1.2230000000000001</v>
      </c>
    </row>
    <row r="926" spans="1:30">
      <c r="A926">
        <v>924</v>
      </c>
      <c r="B926">
        <v>22</v>
      </c>
      <c r="C926">
        <v>0.95299999999999996</v>
      </c>
      <c r="D926">
        <v>2.61</v>
      </c>
      <c r="E926">
        <v>0</v>
      </c>
      <c r="F926">
        <v>1.2969999999999999</v>
      </c>
      <c r="G926">
        <v>0</v>
      </c>
      <c r="H926">
        <v>0.124</v>
      </c>
      <c r="I926">
        <v>1.284</v>
      </c>
      <c r="K926">
        <v>924</v>
      </c>
      <c r="L926">
        <v>22</v>
      </c>
      <c r="M926" s="32">
        <v>0.95299999999999996</v>
      </c>
      <c r="N926" s="32">
        <v>2.61</v>
      </c>
      <c r="P926" s="47">
        <v>1.298</v>
      </c>
      <c r="R926" s="47">
        <v>0.13100000000000001</v>
      </c>
      <c r="S926" s="47">
        <v>1.2370000000000001</v>
      </c>
      <c r="T926" s="31">
        <v>0</v>
      </c>
      <c r="V926">
        <v>924</v>
      </c>
      <c r="W926">
        <v>21</v>
      </c>
      <c r="X926">
        <v>0.96499999999999997</v>
      </c>
      <c r="Y926" s="32">
        <v>2.61</v>
      </c>
      <c r="Z926">
        <v>0</v>
      </c>
      <c r="AA926" s="32">
        <v>1.27</v>
      </c>
      <c r="AB926">
        <v>0</v>
      </c>
      <c r="AC926" s="34">
        <v>0.113</v>
      </c>
      <c r="AD926" s="32">
        <v>1.224</v>
      </c>
    </row>
    <row r="927" spans="1:30">
      <c r="A927">
        <v>925</v>
      </c>
      <c r="B927">
        <v>22</v>
      </c>
      <c r="C927">
        <v>0.95399999999999996</v>
      </c>
      <c r="D927">
        <v>2.61</v>
      </c>
      <c r="E927">
        <v>0</v>
      </c>
      <c r="F927">
        <v>1.2969999999999999</v>
      </c>
      <c r="G927">
        <v>0</v>
      </c>
      <c r="H927">
        <v>0.124</v>
      </c>
      <c r="I927">
        <v>1.286</v>
      </c>
      <c r="K927">
        <v>925</v>
      </c>
      <c r="L927">
        <v>22</v>
      </c>
      <c r="M927" s="32">
        <v>0.95399999999999996</v>
      </c>
      <c r="N927" s="32">
        <v>2.61</v>
      </c>
      <c r="P927" s="47">
        <v>1.2989999999999999</v>
      </c>
      <c r="R927" s="47">
        <v>0.13100000000000001</v>
      </c>
      <c r="S927" s="47">
        <v>1.238</v>
      </c>
      <c r="T927" s="31">
        <v>0</v>
      </c>
      <c r="V927">
        <v>925</v>
      </c>
      <c r="W927">
        <v>21</v>
      </c>
      <c r="X927">
        <v>0.96599999999999997</v>
      </c>
      <c r="Y927" s="32">
        <v>2.61</v>
      </c>
      <c r="Z927">
        <v>0</v>
      </c>
      <c r="AA927" s="32">
        <v>1.27</v>
      </c>
      <c r="AB927">
        <v>0</v>
      </c>
      <c r="AC927" s="34">
        <v>0.113</v>
      </c>
      <c r="AD927" s="32">
        <v>1.226</v>
      </c>
    </row>
    <row r="928" spans="1:30">
      <c r="A928">
        <v>926</v>
      </c>
      <c r="B928">
        <v>22</v>
      </c>
      <c r="C928">
        <v>0.95499999999999996</v>
      </c>
      <c r="D928">
        <v>2.61</v>
      </c>
      <c r="E928">
        <v>0</v>
      </c>
      <c r="F928">
        <v>1.2969999999999999</v>
      </c>
      <c r="G928">
        <v>0</v>
      </c>
      <c r="H928">
        <v>0.124</v>
      </c>
      <c r="I928">
        <v>1.288</v>
      </c>
      <c r="K928">
        <v>926</v>
      </c>
      <c r="L928">
        <v>22</v>
      </c>
      <c r="M928" s="32">
        <v>0.95499999999999996</v>
      </c>
      <c r="N928" s="32">
        <v>2.61</v>
      </c>
      <c r="P928" s="47">
        <v>1.2989999999999999</v>
      </c>
      <c r="R928" s="47">
        <v>0.13100000000000001</v>
      </c>
      <c r="S928" s="47">
        <v>1.24</v>
      </c>
      <c r="T928" s="31">
        <v>0</v>
      </c>
      <c r="V928">
        <v>926</v>
      </c>
      <c r="W928">
        <v>21</v>
      </c>
      <c r="X928">
        <v>0.96699999999999997</v>
      </c>
      <c r="Y928" s="32">
        <v>2.61</v>
      </c>
      <c r="Z928">
        <v>0</v>
      </c>
      <c r="AA928" s="32">
        <v>1.27</v>
      </c>
      <c r="AB928">
        <v>0</v>
      </c>
      <c r="AC928" s="34">
        <v>0.113</v>
      </c>
      <c r="AD928" s="32">
        <v>1.2270000000000001</v>
      </c>
    </row>
    <row r="929" spans="1:30">
      <c r="A929">
        <v>927</v>
      </c>
      <c r="B929">
        <v>22</v>
      </c>
      <c r="C929">
        <v>0.95599999999999996</v>
      </c>
      <c r="D929">
        <v>2.61</v>
      </c>
      <c r="E929">
        <v>0</v>
      </c>
      <c r="F929">
        <v>1.2969999999999999</v>
      </c>
      <c r="G929">
        <v>0</v>
      </c>
      <c r="H929">
        <v>0.124</v>
      </c>
      <c r="I929">
        <v>1.2889999999999999</v>
      </c>
      <c r="K929">
        <v>927</v>
      </c>
      <c r="L929">
        <v>22</v>
      </c>
      <c r="M929" s="32">
        <v>0.95599999999999996</v>
      </c>
      <c r="N929" s="32">
        <v>2.61</v>
      </c>
      <c r="P929" s="47">
        <v>1.2989999999999999</v>
      </c>
      <c r="R929" s="47">
        <v>0.13200000000000001</v>
      </c>
      <c r="S929" s="47">
        <v>1.242</v>
      </c>
      <c r="T929" s="31">
        <v>0</v>
      </c>
      <c r="V929">
        <v>927</v>
      </c>
      <c r="W929">
        <v>21</v>
      </c>
      <c r="X929">
        <v>0.96799999999999997</v>
      </c>
      <c r="Y929" s="32">
        <v>2.61</v>
      </c>
      <c r="Z929">
        <v>0</v>
      </c>
      <c r="AA929" s="32">
        <v>1.27</v>
      </c>
      <c r="AB929">
        <v>0</v>
      </c>
      <c r="AC929" s="34">
        <v>0.113</v>
      </c>
      <c r="AD929" s="32">
        <v>1.2290000000000001</v>
      </c>
    </row>
    <row r="930" spans="1:30">
      <c r="A930">
        <v>928</v>
      </c>
      <c r="B930">
        <v>22</v>
      </c>
      <c r="C930">
        <v>0.95699999999999996</v>
      </c>
      <c r="D930">
        <v>2.61</v>
      </c>
      <c r="E930">
        <v>0</v>
      </c>
      <c r="F930">
        <v>1.2969999999999999</v>
      </c>
      <c r="G930">
        <v>0</v>
      </c>
      <c r="H930">
        <v>0.124</v>
      </c>
      <c r="I930">
        <v>1.2909999999999999</v>
      </c>
      <c r="K930">
        <v>928</v>
      </c>
      <c r="L930">
        <v>22</v>
      </c>
      <c r="M930" s="32">
        <v>0.95699999999999996</v>
      </c>
      <c r="N930" s="32">
        <v>2.61</v>
      </c>
      <c r="P930" s="47">
        <v>1.3</v>
      </c>
      <c r="R930" s="47">
        <v>0.13200000000000001</v>
      </c>
      <c r="S930" s="47">
        <v>1.2430000000000001</v>
      </c>
      <c r="T930" s="31">
        <v>0</v>
      </c>
      <c r="V930">
        <v>928</v>
      </c>
      <c r="W930">
        <v>21</v>
      </c>
      <c r="X930">
        <v>0.96899999999999997</v>
      </c>
      <c r="Y930" s="32">
        <v>2.61</v>
      </c>
      <c r="Z930">
        <v>0</v>
      </c>
      <c r="AA930" s="32">
        <v>1.2709999999999999</v>
      </c>
      <c r="AB930">
        <v>0</v>
      </c>
      <c r="AC930" s="34">
        <v>0.113</v>
      </c>
      <c r="AD930" s="32">
        <v>1.23</v>
      </c>
    </row>
    <row r="931" spans="1:30">
      <c r="A931">
        <v>929</v>
      </c>
      <c r="B931">
        <v>22</v>
      </c>
      <c r="C931">
        <v>0.95799999999999996</v>
      </c>
      <c r="D931">
        <v>2.61</v>
      </c>
      <c r="E931">
        <v>0</v>
      </c>
      <c r="F931">
        <v>1.2969999999999999</v>
      </c>
      <c r="G931">
        <v>0</v>
      </c>
      <c r="H931">
        <v>0.124</v>
      </c>
      <c r="I931">
        <v>1.292</v>
      </c>
      <c r="K931">
        <v>929</v>
      </c>
      <c r="L931">
        <v>22</v>
      </c>
      <c r="M931" s="32">
        <v>0.95799999999999996</v>
      </c>
      <c r="N931" s="32">
        <v>2.61</v>
      </c>
      <c r="P931" s="47">
        <v>1.3</v>
      </c>
      <c r="R931" s="47">
        <v>0.13200000000000001</v>
      </c>
      <c r="S931" s="47">
        <v>1.2450000000000001</v>
      </c>
      <c r="T931" s="31">
        <v>0</v>
      </c>
      <c r="V931">
        <v>929</v>
      </c>
      <c r="W931">
        <v>21</v>
      </c>
      <c r="X931">
        <v>0.97</v>
      </c>
      <c r="Y931" s="32">
        <v>2.61</v>
      </c>
      <c r="Z931">
        <v>0</v>
      </c>
      <c r="AA931" s="32">
        <v>1.2709999999999999</v>
      </c>
      <c r="AB931">
        <v>0</v>
      </c>
      <c r="AC931" s="34">
        <v>0.113</v>
      </c>
      <c r="AD931" s="32">
        <v>1.2310000000000001</v>
      </c>
    </row>
    <row r="932" spans="1:30">
      <c r="A932">
        <v>930</v>
      </c>
      <c r="B932">
        <v>22</v>
      </c>
      <c r="C932">
        <v>0.95899999999999996</v>
      </c>
      <c r="D932">
        <v>2.61</v>
      </c>
      <c r="E932">
        <v>0</v>
      </c>
      <c r="F932">
        <v>1.2969999999999999</v>
      </c>
      <c r="G932">
        <v>0</v>
      </c>
      <c r="H932">
        <v>0.124</v>
      </c>
      <c r="I932">
        <v>1.294</v>
      </c>
      <c r="K932">
        <v>930</v>
      </c>
      <c r="L932">
        <v>22</v>
      </c>
      <c r="M932" s="32">
        <v>0.95899999999999996</v>
      </c>
      <c r="N932" s="32">
        <v>2.61</v>
      </c>
      <c r="P932" s="47">
        <v>1.3009999999999999</v>
      </c>
      <c r="R932" s="47">
        <v>0.13200000000000001</v>
      </c>
      <c r="S932" s="47">
        <v>1.246</v>
      </c>
      <c r="T932" s="31">
        <v>0</v>
      </c>
      <c r="V932">
        <v>930</v>
      </c>
      <c r="W932">
        <v>21</v>
      </c>
      <c r="X932">
        <v>0.97099999999999997</v>
      </c>
      <c r="Y932" s="32">
        <v>2.61</v>
      </c>
      <c r="Z932">
        <v>0</v>
      </c>
      <c r="AA932" s="32">
        <v>1.2709999999999999</v>
      </c>
      <c r="AB932">
        <v>0</v>
      </c>
      <c r="AC932" s="34">
        <v>0.113</v>
      </c>
      <c r="AD932" s="32">
        <v>1.2330000000000001</v>
      </c>
    </row>
    <row r="933" spans="1:30">
      <c r="A933">
        <v>931</v>
      </c>
      <c r="B933">
        <v>22</v>
      </c>
      <c r="C933">
        <v>0.96</v>
      </c>
      <c r="D933">
        <v>2.61</v>
      </c>
      <c r="E933">
        <v>0</v>
      </c>
      <c r="F933">
        <v>1.3009999999999999</v>
      </c>
      <c r="G933">
        <v>0</v>
      </c>
      <c r="H933">
        <v>0.124</v>
      </c>
      <c r="I933">
        <v>1.3120000000000001</v>
      </c>
      <c r="K933">
        <v>931</v>
      </c>
      <c r="L933">
        <v>22</v>
      </c>
      <c r="M933" s="32">
        <v>0.96</v>
      </c>
      <c r="N933" s="32">
        <v>2.61</v>
      </c>
      <c r="P933" s="32">
        <v>1.3009999999999999</v>
      </c>
      <c r="R933" s="47">
        <v>0.13200000000000001</v>
      </c>
      <c r="S933" s="47">
        <v>1.248</v>
      </c>
      <c r="T933" s="31">
        <v>0</v>
      </c>
      <c r="V933">
        <v>931</v>
      </c>
      <c r="W933">
        <v>21</v>
      </c>
      <c r="X933">
        <v>0.97199999999999998</v>
      </c>
      <c r="Y933" s="32">
        <v>2.61</v>
      </c>
      <c r="Z933">
        <v>0</v>
      </c>
      <c r="AA933" s="32">
        <v>1.2709999999999999</v>
      </c>
      <c r="AB933">
        <v>0</v>
      </c>
      <c r="AC933" s="34">
        <v>0.113</v>
      </c>
      <c r="AD933" s="32">
        <v>1.234</v>
      </c>
    </row>
    <row r="934" spans="1:30">
      <c r="A934">
        <v>932</v>
      </c>
      <c r="B934">
        <v>22</v>
      </c>
      <c r="C934">
        <v>0.96099999999999997</v>
      </c>
      <c r="D934">
        <v>2.61</v>
      </c>
      <c r="E934">
        <v>0</v>
      </c>
      <c r="F934">
        <v>1.3009999999999999</v>
      </c>
      <c r="G934">
        <v>0</v>
      </c>
      <c r="H934">
        <v>0.124</v>
      </c>
      <c r="I934">
        <v>1.3129999999999999</v>
      </c>
      <c r="K934">
        <v>932</v>
      </c>
      <c r="L934">
        <v>22</v>
      </c>
      <c r="M934" s="32">
        <v>0.96099999999999997</v>
      </c>
      <c r="N934" s="32">
        <v>2.61</v>
      </c>
      <c r="P934" s="32">
        <v>1.3009999999999999</v>
      </c>
      <c r="R934" s="47">
        <v>0.13300000000000001</v>
      </c>
      <c r="S934" s="47">
        <v>1.25</v>
      </c>
      <c r="T934" s="31">
        <v>0</v>
      </c>
      <c r="V934">
        <v>932</v>
      </c>
      <c r="W934">
        <v>21</v>
      </c>
      <c r="X934">
        <v>0.97299999999999998</v>
      </c>
      <c r="Y934" s="32">
        <v>2.61</v>
      </c>
      <c r="Z934">
        <v>0</v>
      </c>
      <c r="AA934" s="32">
        <v>1.272</v>
      </c>
      <c r="AB934">
        <v>0</v>
      </c>
      <c r="AC934" s="34">
        <v>0.113</v>
      </c>
      <c r="AD934" s="32">
        <v>1.236</v>
      </c>
    </row>
    <row r="935" spans="1:30">
      <c r="A935">
        <v>933</v>
      </c>
      <c r="B935">
        <v>22</v>
      </c>
      <c r="C935">
        <v>0.96199999999999997</v>
      </c>
      <c r="D935">
        <v>2.61</v>
      </c>
      <c r="E935">
        <v>0</v>
      </c>
      <c r="F935">
        <v>1.3009999999999999</v>
      </c>
      <c r="G935">
        <v>0</v>
      </c>
      <c r="H935">
        <v>0.124</v>
      </c>
      <c r="I935">
        <v>1.3149999999999999</v>
      </c>
      <c r="K935">
        <v>933</v>
      </c>
      <c r="L935">
        <v>22</v>
      </c>
      <c r="M935" s="32">
        <v>0.96199999999999997</v>
      </c>
      <c r="N935" s="32">
        <v>2.61</v>
      </c>
      <c r="P935" s="47">
        <v>1.302</v>
      </c>
      <c r="R935" s="47">
        <v>0.13300000000000001</v>
      </c>
      <c r="S935" s="47">
        <v>1.2509999999999999</v>
      </c>
      <c r="T935" s="31">
        <v>0</v>
      </c>
      <c r="V935">
        <v>933</v>
      </c>
      <c r="W935">
        <v>21</v>
      </c>
      <c r="X935">
        <v>0.97399999999999998</v>
      </c>
      <c r="Y935" s="32">
        <v>2.61</v>
      </c>
      <c r="Z935">
        <v>0</v>
      </c>
      <c r="AA935" s="32">
        <v>1.272</v>
      </c>
      <c r="AB935">
        <v>0</v>
      </c>
      <c r="AC935" s="34">
        <v>0.113</v>
      </c>
      <c r="AD935" s="32">
        <v>1.2370000000000001</v>
      </c>
    </row>
    <row r="936" spans="1:30">
      <c r="A936">
        <v>934</v>
      </c>
      <c r="B936">
        <v>22</v>
      </c>
      <c r="C936">
        <v>0.96299999999999997</v>
      </c>
      <c r="D936">
        <v>2.61</v>
      </c>
      <c r="E936">
        <v>0</v>
      </c>
      <c r="F936">
        <v>1.3009999999999999</v>
      </c>
      <c r="G936">
        <v>0</v>
      </c>
      <c r="H936">
        <v>0.124</v>
      </c>
      <c r="I936">
        <v>1.3160000000000001</v>
      </c>
      <c r="K936">
        <v>934</v>
      </c>
      <c r="L936">
        <v>22</v>
      </c>
      <c r="M936" s="32">
        <v>0.96299999999999997</v>
      </c>
      <c r="N936" s="32">
        <v>2.61</v>
      </c>
      <c r="P936" s="47">
        <v>1.302</v>
      </c>
      <c r="R936" s="47">
        <v>0.13300000000000001</v>
      </c>
      <c r="S936" s="47">
        <v>1.2529999999999999</v>
      </c>
      <c r="T936" s="31">
        <v>0</v>
      </c>
      <c r="V936">
        <v>934</v>
      </c>
      <c r="W936">
        <v>21</v>
      </c>
      <c r="X936">
        <v>0.97499999999999998</v>
      </c>
      <c r="Y936" s="32">
        <v>2.61</v>
      </c>
      <c r="Z936">
        <v>0</v>
      </c>
      <c r="AA936" s="32">
        <v>1.272</v>
      </c>
      <c r="AB936">
        <v>0</v>
      </c>
      <c r="AC936" s="34">
        <v>0.113</v>
      </c>
      <c r="AD936" s="32">
        <v>1.2390000000000001</v>
      </c>
    </row>
    <row r="937" spans="1:30">
      <c r="A937">
        <v>935</v>
      </c>
      <c r="B937">
        <v>22</v>
      </c>
      <c r="C937">
        <v>0.96399999999999997</v>
      </c>
      <c r="D937">
        <v>2.61</v>
      </c>
      <c r="E937">
        <v>0</v>
      </c>
      <c r="F937">
        <v>1.3009999999999999</v>
      </c>
      <c r="G937">
        <v>0</v>
      </c>
      <c r="H937">
        <v>0.124</v>
      </c>
      <c r="I937">
        <v>1.3180000000000001</v>
      </c>
      <c r="K937">
        <v>935</v>
      </c>
      <c r="L937">
        <v>22</v>
      </c>
      <c r="M937" s="32">
        <v>0.96399999999999997</v>
      </c>
      <c r="N937" s="32">
        <v>2.61</v>
      </c>
      <c r="P937" s="47">
        <v>1.302</v>
      </c>
      <c r="R937" s="47">
        <v>0.13300000000000001</v>
      </c>
      <c r="S937" s="47">
        <v>1.2549999999999999</v>
      </c>
      <c r="T937" s="31">
        <v>0</v>
      </c>
      <c r="V937">
        <v>935</v>
      </c>
      <c r="W937">
        <v>21</v>
      </c>
      <c r="X937">
        <v>0.97599999999999998</v>
      </c>
      <c r="Y937" s="32">
        <v>2.61</v>
      </c>
      <c r="Z937">
        <v>0</v>
      </c>
      <c r="AA937" s="32">
        <v>1.272</v>
      </c>
      <c r="AB937">
        <v>0</v>
      </c>
      <c r="AC937" s="34">
        <v>0.113</v>
      </c>
      <c r="AD937" s="32">
        <v>1.24</v>
      </c>
    </row>
    <row r="938" spans="1:30">
      <c r="A938">
        <v>936</v>
      </c>
      <c r="B938">
        <v>22</v>
      </c>
      <c r="C938">
        <v>0.96499999999999997</v>
      </c>
      <c r="D938">
        <v>2.61</v>
      </c>
      <c r="E938">
        <v>0</v>
      </c>
      <c r="F938">
        <v>1.3009999999999999</v>
      </c>
      <c r="G938">
        <v>0</v>
      </c>
      <c r="H938">
        <v>0.124</v>
      </c>
      <c r="I938">
        <v>1.32</v>
      </c>
      <c r="K938">
        <v>936</v>
      </c>
      <c r="L938">
        <v>22</v>
      </c>
      <c r="M938" s="32">
        <v>0.96499999999999997</v>
      </c>
      <c r="N938" s="32">
        <v>2.61</v>
      </c>
      <c r="P938" s="47">
        <v>1.3029999999999999</v>
      </c>
      <c r="R938" s="47">
        <v>0.13400000000000001</v>
      </c>
      <c r="S938" s="47">
        <v>1.2569999999999999</v>
      </c>
      <c r="T938" s="31">
        <v>0</v>
      </c>
      <c r="V938">
        <v>936</v>
      </c>
      <c r="W938">
        <v>21</v>
      </c>
      <c r="X938">
        <v>0.97699999999999998</v>
      </c>
      <c r="Y938" s="32">
        <v>2.61</v>
      </c>
      <c r="Z938">
        <v>0</v>
      </c>
      <c r="AA938" s="32">
        <v>1.2729999999999999</v>
      </c>
      <c r="AB938">
        <v>0</v>
      </c>
      <c r="AC938" s="34">
        <v>0.114</v>
      </c>
      <c r="AD938" s="32">
        <v>1.242</v>
      </c>
    </row>
    <row r="939" spans="1:30">
      <c r="A939">
        <v>937</v>
      </c>
      <c r="B939">
        <v>22</v>
      </c>
      <c r="C939">
        <v>0.96599999999999997</v>
      </c>
      <c r="D939">
        <v>2.61</v>
      </c>
      <c r="E939">
        <v>0</v>
      </c>
      <c r="F939">
        <v>1.3009999999999999</v>
      </c>
      <c r="G939">
        <v>0</v>
      </c>
      <c r="H939">
        <v>0.124</v>
      </c>
      <c r="I939">
        <v>1.321</v>
      </c>
      <c r="K939">
        <v>937</v>
      </c>
      <c r="L939">
        <v>22</v>
      </c>
      <c r="M939" s="32">
        <v>0.96599999999999997</v>
      </c>
      <c r="N939" s="32">
        <v>2.61</v>
      </c>
      <c r="P939" s="47">
        <v>1.3029999999999999</v>
      </c>
      <c r="R939" s="47">
        <v>0.13400000000000001</v>
      </c>
      <c r="S939" s="47">
        <v>1.258</v>
      </c>
      <c r="T939" s="31">
        <v>0</v>
      </c>
      <c r="V939">
        <v>937</v>
      </c>
      <c r="W939">
        <v>21</v>
      </c>
      <c r="X939">
        <v>0.97799999999999998</v>
      </c>
      <c r="Y939" s="32">
        <v>2.61</v>
      </c>
      <c r="Z939">
        <v>0</v>
      </c>
      <c r="AA939" s="32">
        <v>1.2729999999999999</v>
      </c>
      <c r="AB939">
        <v>0</v>
      </c>
      <c r="AC939" s="34">
        <v>0.114</v>
      </c>
      <c r="AD939" s="32">
        <v>1.2430000000000001</v>
      </c>
    </row>
    <row r="940" spans="1:30">
      <c r="A940">
        <v>938</v>
      </c>
      <c r="B940">
        <v>22</v>
      </c>
      <c r="C940">
        <v>0.96699999999999997</v>
      </c>
      <c r="D940">
        <v>2.61</v>
      </c>
      <c r="E940">
        <v>0</v>
      </c>
      <c r="F940">
        <v>1.3009999999999999</v>
      </c>
      <c r="G940">
        <v>0</v>
      </c>
      <c r="H940">
        <v>0.124</v>
      </c>
      <c r="I940">
        <v>1.323</v>
      </c>
      <c r="K940">
        <v>938</v>
      </c>
      <c r="L940">
        <v>22</v>
      </c>
      <c r="M940" s="32">
        <v>0.96699999999999997</v>
      </c>
      <c r="N940" s="32">
        <v>2.61</v>
      </c>
      <c r="P940" s="47">
        <v>1.3029999999999999</v>
      </c>
      <c r="R940" s="47">
        <v>0.13400000000000001</v>
      </c>
      <c r="S940" s="47">
        <v>1.26</v>
      </c>
      <c r="T940" s="31">
        <v>0</v>
      </c>
      <c r="V940">
        <v>938</v>
      </c>
      <c r="W940">
        <v>21</v>
      </c>
      <c r="X940">
        <v>0.97899999999999998</v>
      </c>
      <c r="Y940" s="32">
        <v>2.61</v>
      </c>
      <c r="Z940">
        <v>0</v>
      </c>
      <c r="AA940" s="32">
        <v>1.2729999999999999</v>
      </c>
      <c r="AB940">
        <v>0</v>
      </c>
      <c r="AC940" s="34">
        <v>0.114</v>
      </c>
      <c r="AD940" s="32">
        <v>1.2450000000000001</v>
      </c>
    </row>
    <row r="941" spans="1:30">
      <c r="A941">
        <v>939</v>
      </c>
      <c r="B941">
        <v>22</v>
      </c>
      <c r="C941">
        <v>0.96799999999999997</v>
      </c>
      <c r="D941">
        <v>2.61</v>
      </c>
      <c r="E941">
        <v>0</v>
      </c>
      <c r="F941">
        <v>1.3009999999999999</v>
      </c>
      <c r="G941">
        <v>0</v>
      </c>
      <c r="H941">
        <v>0.124</v>
      </c>
      <c r="I941">
        <v>1.3240000000000001</v>
      </c>
      <c r="K941">
        <v>939</v>
      </c>
      <c r="L941">
        <v>22</v>
      </c>
      <c r="M941" s="32">
        <v>0.96799999999999997</v>
      </c>
      <c r="N941" s="32">
        <v>2.61</v>
      </c>
      <c r="P941" s="47">
        <v>1.3029999999999999</v>
      </c>
      <c r="R941" s="47">
        <v>0.13400000000000001</v>
      </c>
      <c r="S941" s="47">
        <v>1.262</v>
      </c>
      <c r="T941" s="31">
        <v>0</v>
      </c>
      <c r="V941">
        <v>939</v>
      </c>
      <c r="W941">
        <v>21</v>
      </c>
      <c r="X941">
        <v>0.98</v>
      </c>
      <c r="Y941" s="32">
        <v>2.61</v>
      </c>
      <c r="Z941">
        <v>0</v>
      </c>
      <c r="AA941" s="32">
        <v>1.2729999999999999</v>
      </c>
      <c r="AB941">
        <v>0</v>
      </c>
      <c r="AC941" s="34">
        <v>0.114</v>
      </c>
      <c r="AD941" s="32">
        <v>1.246</v>
      </c>
    </row>
    <row r="942" spans="1:30">
      <c r="A942">
        <v>940</v>
      </c>
      <c r="B942">
        <v>22</v>
      </c>
      <c r="C942">
        <v>0.96899999999999997</v>
      </c>
      <c r="D942">
        <v>2.61</v>
      </c>
      <c r="E942">
        <v>0</v>
      </c>
      <c r="F942">
        <v>1.3009999999999999</v>
      </c>
      <c r="G942">
        <v>0</v>
      </c>
      <c r="H942">
        <v>0.124</v>
      </c>
      <c r="I942">
        <v>1.3260000000000001</v>
      </c>
      <c r="K942">
        <v>940</v>
      </c>
      <c r="L942">
        <v>22</v>
      </c>
      <c r="M942" s="32">
        <v>0.96899999999999997</v>
      </c>
      <c r="N942" s="32">
        <v>2.61</v>
      </c>
      <c r="P942" s="47">
        <v>1.304</v>
      </c>
      <c r="R942" s="47">
        <v>0.13400000000000001</v>
      </c>
      <c r="S942" s="47">
        <v>1.2629999999999999</v>
      </c>
      <c r="T942" s="31">
        <v>0</v>
      </c>
      <c r="V942">
        <v>940</v>
      </c>
      <c r="W942">
        <v>21</v>
      </c>
      <c r="X942">
        <v>0.98099999999999998</v>
      </c>
      <c r="Y942" s="32">
        <v>2.61</v>
      </c>
      <c r="Z942">
        <v>0</v>
      </c>
      <c r="AA942" s="32">
        <v>1.274</v>
      </c>
      <c r="AB942">
        <v>0</v>
      </c>
      <c r="AC942" s="34">
        <v>0.114</v>
      </c>
      <c r="AD942" s="32">
        <v>1.248</v>
      </c>
    </row>
    <row r="943" spans="1:30">
      <c r="A943">
        <v>941</v>
      </c>
      <c r="B943">
        <v>22</v>
      </c>
      <c r="C943">
        <v>0.97</v>
      </c>
      <c r="D943">
        <v>2.61</v>
      </c>
      <c r="E943">
        <v>0</v>
      </c>
      <c r="F943">
        <v>1.304</v>
      </c>
      <c r="G943">
        <v>0</v>
      </c>
      <c r="H943">
        <v>0.124</v>
      </c>
      <c r="I943">
        <v>1.3440000000000001</v>
      </c>
      <c r="K943">
        <v>941</v>
      </c>
      <c r="L943">
        <v>22</v>
      </c>
      <c r="M943" s="32">
        <v>0.97</v>
      </c>
      <c r="N943" s="32">
        <v>2.61</v>
      </c>
      <c r="P943" s="32">
        <v>1.304</v>
      </c>
      <c r="R943" s="47">
        <v>0.13500000000000001</v>
      </c>
      <c r="S943" s="47">
        <v>1.2649999999999999</v>
      </c>
      <c r="T943" s="31">
        <v>0</v>
      </c>
      <c r="V943">
        <v>941</v>
      </c>
      <c r="W943">
        <v>21</v>
      </c>
      <c r="X943">
        <v>0.98199999999999998</v>
      </c>
      <c r="Y943" s="32">
        <v>2.61</v>
      </c>
      <c r="Z943">
        <v>0</v>
      </c>
      <c r="AA943" s="32">
        <v>1.274</v>
      </c>
      <c r="AB943">
        <v>0</v>
      </c>
      <c r="AC943" s="34">
        <v>0.114</v>
      </c>
      <c r="AD943" s="32">
        <v>1.2490000000000001</v>
      </c>
    </row>
    <row r="944" spans="1:30">
      <c r="A944">
        <v>942</v>
      </c>
      <c r="B944">
        <v>22</v>
      </c>
      <c r="C944">
        <v>0.97099999999999997</v>
      </c>
      <c r="D944">
        <v>2.61</v>
      </c>
      <c r="E944">
        <v>0</v>
      </c>
      <c r="F944">
        <v>1.304</v>
      </c>
      <c r="G944">
        <v>0</v>
      </c>
      <c r="H944">
        <v>0.124</v>
      </c>
      <c r="I944">
        <v>1.3460000000000001</v>
      </c>
      <c r="K944">
        <v>942</v>
      </c>
      <c r="L944">
        <v>22</v>
      </c>
      <c r="M944" s="32">
        <v>0.97099999999999997</v>
      </c>
      <c r="N944" s="32">
        <v>2.61</v>
      </c>
      <c r="P944" s="32">
        <v>1.304</v>
      </c>
      <c r="R944" s="47">
        <v>0.13500000000000001</v>
      </c>
      <c r="S944" s="47">
        <v>1.2669999999999999</v>
      </c>
      <c r="T944" s="31">
        <v>0</v>
      </c>
      <c r="V944">
        <v>942</v>
      </c>
      <c r="W944">
        <v>21</v>
      </c>
      <c r="X944">
        <v>0.98299999999999998</v>
      </c>
      <c r="Y944" s="32">
        <v>2.61</v>
      </c>
      <c r="Z944">
        <v>0</v>
      </c>
      <c r="AA944" s="32">
        <v>1.274</v>
      </c>
      <c r="AB944">
        <v>0</v>
      </c>
      <c r="AC944" s="34">
        <v>0.114</v>
      </c>
      <c r="AD944" s="32">
        <v>1.2509999999999999</v>
      </c>
    </row>
    <row r="945" spans="1:30">
      <c r="A945">
        <v>943</v>
      </c>
      <c r="B945">
        <v>22</v>
      </c>
      <c r="C945">
        <v>0.97199999999999998</v>
      </c>
      <c r="D945">
        <v>2.61</v>
      </c>
      <c r="E945">
        <v>0</v>
      </c>
      <c r="F945">
        <v>1.304</v>
      </c>
      <c r="G945">
        <v>0</v>
      </c>
      <c r="H945">
        <v>0.124</v>
      </c>
      <c r="I945">
        <v>1.3480000000000001</v>
      </c>
      <c r="K945">
        <v>943</v>
      </c>
      <c r="L945">
        <v>22</v>
      </c>
      <c r="M945" s="32">
        <v>0.97199999999999998</v>
      </c>
      <c r="N945" s="32">
        <v>2.61</v>
      </c>
      <c r="P945" s="47">
        <v>1.3049999999999999</v>
      </c>
      <c r="R945" s="47">
        <v>0.13500000000000001</v>
      </c>
      <c r="S945" s="47">
        <v>1.268</v>
      </c>
      <c r="T945" s="31">
        <v>0</v>
      </c>
      <c r="V945">
        <v>943</v>
      </c>
      <c r="W945">
        <v>21</v>
      </c>
      <c r="X945">
        <v>0.98399999999999999</v>
      </c>
      <c r="Y945" s="32">
        <v>2.61</v>
      </c>
      <c r="Z945">
        <v>0</v>
      </c>
      <c r="AA945" s="32">
        <v>1.274</v>
      </c>
      <c r="AB945">
        <v>0</v>
      </c>
      <c r="AC945" s="34">
        <v>0.114</v>
      </c>
      <c r="AD945" s="32">
        <v>1.252</v>
      </c>
    </row>
    <row r="946" spans="1:30">
      <c r="A946">
        <v>944</v>
      </c>
      <c r="B946">
        <v>22</v>
      </c>
      <c r="C946">
        <v>0.97299999999999998</v>
      </c>
      <c r="D946">
        <v>2.61</v>
      </c>
      <c r="E946">
        <v>0</v>
      </c>
      <c r="F946">
        <v>1.304</v>
      </c>
      <c r="G946">
        <v>0</v>
      </c>
      <c r="H946">
        <v>0.124</v>
      </c>
      <c r="I946">
        <v>1.349</v>
      </c>
      <c r="K946">
        <v>944</v>
      </c>
      <c r="L946">
        <v>22</v>
      </c>
      <c r="M946" s="32">
        <v>0.97299999999999998</v>
      </c>
      <c r="N946" s="32">
        <v>2.61</v>
      </c>
      <c r="P946" s="47">
        <v>1.3049999999999999</v>
      </c>
      <c r="R946" s="47">
        <v>0.13500000000000001</v>
      </c>
      <c r="S946" s="47">
        <v>1.27</v>
      </c>
      <c r="T946" s="31">
        <v>0</v>
      </c>
      <c r="V946">
        <v>944</v>
      </c>
      <c r="W946">
        <v>21</v>
      </c>
      <c r="X946">
        <v>0.98499999999999999</v>
      </c>
      <c r="Y946" s="32">
        <v>2.61</v>
      </c>
      <c r="Z946">
        <v>0</v>
      </c>
      <c r="AA946" s="32">
        <v>1.2749999999999999</v>
      </c>
      <c r="AB946">
        <v>0</v>
      </c>
      <c r="AC946" s="34">
        <v>0.114</v>
      </c>
      <c r="AD946" s="32">
        <v>1.2529999999999999</v>
      </c>
    </row>
    <row r="947" spans="1:30">
      <c r="A947">
        <v>945</v>
      </c>
      <c r="B947">
        <v>22</v>
      </c>
      <c r="C947">
        <v>0.97399999999999998</v>
      </c>
      <c r="D947">
        <v>2.61</v>
      </c>
      <c r="E947">
        <v>0</v>
      </c>
      <c r="F947">
        <v>1.304</v>
      </c>
      <c r="G947">
        <v>0</v>
      </c>
      <c r="H947">
        <v>0.124</v>
      </c>
      <c r="I947">
        <v>1.351</v>
      </c>
      <c r="K947">
        <v>945</v>
      </c>
      <c r="L947">
        <v>22</v>
      </c>
      <c r="M947" s="32">
        <v>0.97399999999999998</v>
      </c>
      <c r="N947" s="32">
        <v>2.61</v>
      </c>
      <c r="P947" s="47">
        <v>1.3049999999999999</v>
      </c>
      <c r="R947" s="47">
        <v>0.13500000000000001</v>
      </c>
      <c r="S947" s="47">
        <v>1.2709999999999999</v>
      </c>
      <c r="T947" s="31">
        <v>0</v>
      </c>
      <c r="V947">
        <v>945</v>
      </c>
      <c r="W947">
        <v>21</v>
      </c>
      <c r="X947">
        <v>0.98599999999999999</v>
      </c>
      <c r="Y947" s="32">
        <v>2.61</v>
      </c>
      <c r="Z947">
        <v>0</v>
      </c>
      <c r="AA947" s="32">
        <v>1.2749999999999999</v>
      </c>
      <c r="AB947">
        <v>0</v>
      </c>
      <c r="AC947" s="34">
        <v>0.114</v>
      </c>
      <c r="AD947" s="32">
        <v>1.2549999999999999</v>
      </c>
    </row>
    <row r="948" spans="1:30">
      <c r="A948">
        <v>946</v>
      </c>
      <c r="B948">
        <v>22</v>
      </c>
      <c r="C948">
        <v>0.97499999999999998</v>
      </c>
      <c r="D948">
        <v>2.61</v>
      </c>
      <c r="E948">
        <v>0</v>
      </c>
      <c r="F948">
        <v>1.304</v>
      </c>
      <c r="G948">
        <v>0</v>
      </c>
      <c r="H948">
        <v>0.124</v>
      </c>
      <c r="I948">
        <v>1.3520000000000001</v>
      </c>
      <c r="K948">
        <v>946</v>
      </c>
      <c r="L948">
        <v>22</v>
      </c>
      <c r="M948" s="32">
        <v>0.97499999999999998</v>
      </c>
      <c r="N948" s="32">
        <v>2.61</v>
      </c>
      <c r="P948" s="47">
        <v>1.306</v>
      </c>
      <c r="R948" s="47">
        <v>0.13600000000000001</v>
      </c>
      <c r="S948" s="47">
        <v>1.2729999999999999</v>
      </c>
      <c r="T948" s="31">
        <v>0</v>
      </c>
      <c r="V948">
        <v>946</v>
      </c>
      <c r="W948">
        <v>21</v>
      </c>
      <c r="X948">
        <v>0.98699999999999999</v>
      </c>
      <c r="Y948" s="32">
        <v>2.61</v>
      </c>
      <c r="Z948">
        <v>0</v>
      </c>
      <c r="AA948" s="32">
        <v>1.2749999999999999</v>
      </c>
      <c r="AB948">
        <v>0</v>
      </c>
      <c r="AC948" s="34">
        <v>0.114</v>
      </c>
      <c r="AD948" s="32">
        <v>1.256</v>
      </c>
    </row>
    <row r="949" spans="1:30">
      <c r="A949">
        <v>947</v>
      </c>
      <c r="B949">
        <v>22</v>
      </c>
      <c r="C949">
        <v>0.97599999999999998</v>
      </c>
      <c r="D949">
        <v>2.61</v>
      </c>
      <c r="E949">
        <v>0</v>
      </c>
      <c r="F949">
        <v>1.304</v>
      </c>
      <c r="G949">
        <v>0</v>
      </c>
      <c r="H949">
        <v>0.124</v>
      </c>
      <c r="I949">
        <v>1.3540000000000001</v>
      </c>
      <c r="K949">
        <v>947</v>
      </c>
      <c r="L949">
        <v>22</v>
      </c>
      <c r="M949" s="32">
        <v>0.97599999999999998</v>
      </c>
      <c r="N949" s="32">
        <v>2.61</v>
      </c>
      <c r="P949" s="47">
        <v>1.306</v>
      </c>
      <c r="R949" s="47">
        <v>0.13600000000000001</v>
      </c>
      <c r="S949" s="47">
        <v>1.2749999999999999</v>
      </c>
      <c r="T949" s="31">
        <v>0</v>
      </c>
      <c r="V949">
        <v>947</v>
      </c>
      <c r="W949">
        <v>21</v>
      </c>
      <c r="X949">
        <v>0.98799999999999999</v>
      </c>
      <c r="Y949" s="32">
        <v>2.61</v>
      </c>
      <c r="Z949">
        <v>0</v>
      </c>
      <c r="AA949" s="32">
        <v>1.2749999999999999</v>
      </c>
      <c r="AB949">
        <v>0</v>
      </c>
      <c r="AC949" s="34">
        <v>0.114</v>
      </c>
      <c r="AD949" s="32">
        <v>1.258</v>
      </c>
    </row>
    <row r="950" spans="1:30">
      <c r="A950">
        <v>948</v>
      </c>
      <c r="B950">
        <v>22</v>
      </c>
      <c r="C950">
        <v>0.97699999999999998</v>
      </c>
      <c r="D950">
        <v>2.61</v>
      </c>
      <c r="E950">
        <v>0</v>
      </c>
      <c r="F950">
        <v>1.304</v>
      </c>
      <c r="G950">
        <v>0</v>
      </c>
      <c r="H950">
        <v>0.124</v>
      </c>
      <c r="I950">
        <v>1.3560000000000001</v>
      </c>
      <c r="K950">
        <v>948</v>
      </c>
      <c r="L950">
        <v>22</v>
      </c>
      <c r="M950" s="32">
        <v>0.97699999999999998</v>
      </c>
      <c r="N950" s="32">
        <v>2.61</v>
      </c>
      <c r="P950" s="47">
        <v>1.306</v>
      </c>
      <c r="R950" s="47">
        <v>0.13600000000000001</v>
      </c>
      <c r="S950" s="47">
        <v>1.276</v>
      </c>
      <c r="T950" s="31">
        <v>0</v>
      </c>
      <c r="V950">
        <v>948</v>
      </c>
      <c r="W950">
        <v>21</v>
      </c>
      <c r="X950">
        <v>0.98899999999999999</v>
      </c>
      <c r="Y950" s="32">
        <v>2.61</v>
      </c>
      <c r="Z950">
        <v>0</v>
      </c>
      <c r="AA950" s="32">
        <v>1.276</v>
      </c>
      <c r="AB950">
        <v>0</v>
      </c>
      <c r="AC950" s="34">
        <v>0.114</v>
      </c>
      <c r="AD950" s="32">
        <v>1.2589999999999999</v>
      </c>
    </row>
    <row r="951" spans="1:30">
      <c r="A951">
        <v>949</v>
      </c>
      <c r="B951">
        <v>22</v>
      </c>
      <c r="C951">
        <v>0.97799999999999998</v>
      </c>
      <c r="D951">
        <v>2.61</v>
      </c>
      <c r="E951">
        <v>0</v>
      </c>
      <c r="F951">
        <v>1.304</v>
      </c>
      <c r="G951">
        <v>0</v>
      </c>
      <c r="H951">
        <v>0.124</v>
      </c>
      <c r="I951">
        <v>1.357</v>
      </c>
      <c r="K951">
        <v>949</v>
      </c>
      <c r="L951">
        <v>22</v>
      </c>
      <c r="M951" s="32">
        <v>0.97799999999999998</v>
      </c>
      <c r="N951" s="32">
        <v>2.61</v>
      </c>
      <c r="P951" s="47">
        <v>1.306</v>
      </c>
      <c r="R951" s="47">
        <v>0.13600000000000001</v>
      </c>
      <c r="S951" s="47">
        <v>1.278</v>
      </c>
      <c r="T951" s="31">
        <v>0</v>
      </c>
      <c r="V951">
        <v>949</v>
      </c>
      <c r="W951">
        <v>21</v>
      </c>
      <c r="X951">
        <v>0.99</v>
      </c>
      <c r="Y951" s="32">
        <v>2.61</v>
      </c>
      <c r="Z951">
        <v>0</v>
      </c>
      <c r="AA951" s="32">
        <v>1.276</v>
      </c>
      <c r="AB951">
        <v>0</v>
      </c>
      <c r="AC951" s="34">
        <v>0.115</v>
      </c>
      <c r="AD951" s="32">
        <v>1.2609999999999999</v>
      </c>
    </row>
    <row r="952" spans="1:30">
      <c r="A952">
        <v>950</v>
      </c>
      <c r="B952">
        <v>22</v>
      </c>
      <c r="C952">
        <v>0.97899999999999998</v>
      </c>
      <c r="D952">
        <v>2.61</v>
      </c>
      <c r="E952">
        <v>0</v>
      </c>
      <c r="F952">
        <v>1.304</v>
      </c>
      <c r="G952">
        <v>0</v>
      </c>
      <c r="H952">
        <v>0.124</v>
      </c>
      <c r="I952">
        <v>1.359</v>
      </c>
      <c r="K952">
        <v>950</v>
      </c>
      <c r="L952">
        <v>22</v>
      </c>
      <c r="M952" s="32">
        <v>0.97899999999999998</v>
      </c>
      <c r="N952" s="32">
        <v>2.61</v>
      </c>
      <c r="P952" s="47">
        <v>1.3069999999999999</v>
      </c>
      <c r="R952" s="47">
        <v>0.13600000000000001</v>
      </c>
      <c r="S952" s="47">
        <v>1.2789999999999999</v>
      </c>
      <c r="T952" s="31">
        <v>0</v>
      </c>
      <c r="V952">
        <v>950</v>
      </c>
      <c r="W952">
        <v>21</v>
      </c>
      <c r="X952">
        <v>0.99099999999999999</v>
      </c>
      <c r="Y952" s="32">
        <v>2.6150000000000002</v>
      </c>
      <c r="Z952">
        <v>0</v>
      </c>
      <c r="AA952" s="32">
        <v>1.276</v>
      </c>
      <c r="AB952">
        <v>0</v>
      </c>
      <c r="AC952" s="34">
        <v>0.115</v>
      </c>
      <c r="AD952" s="32">
        <v>1.262</v>
      </c>
    </row>
    <row r="953" spans="1:30">
      <c r="A953">
        <v>951</v>
      </c>
      <c r="B953">
        <v>22</v>
      </c>
      <c r="C953">
        <v>0.98</v>
      </c>
      <c r="D953">
        <v>2.61</v>
      </c>
      <c r="E953">
        <v>0</v>
      </c>
      <c r="F953">
        <v>1.3069999999999999</v>
      </c>
      <c r="G953">
        <v>0</v>
      </c>
      <c r="H953">
        <v>0.124</v>
      </c>
      <c r="I953">
        <v>1.3759999999999999</v>
      </c>
      <c r="K953">
        <v>951</v>
      </c>
      <c r="L953">
        <v>22</v>
      </c>
      <c r="M953" s="32">
        <v>0.98</v>
      </c>
      <c r="N953" s="32">
        <v>2.61</v>
      </c>
      <c r="P953" s="32">
        <v>1.3069999999999999</v>
      </c>
      <c r="R953" s="47">
        <v>0.13700000000000001</v>
      </c>
      <c r="S953" s="47">
        <v>1.2809999999999999</v>
      </c>
      <c r="T953" s="31">
        <v>0</v>
      </c>
      <c r="V953">
        <v>951</v>
      </c>
      <c r="W953">
        <v>21</v>
      </c>
      <c r="X953">
        <v>0.99199999999999999</v>
      </c>
      <c r="Y953" s="32">
        <v>2.62</v>
      </c>
      <c r="Z953">
        <v>0</v>
      </c>
      <c r="AA953" s="32">
        <v>1.276</v>
      </c>
      <c r="AB953">
        <v>0</v>
      </c>
      <c r="AC953" s="34">
        <v>0.115</v>
      </c>
      <c r="AD953" s="32">
        <v>1.264</v>
      </c>
    </row>
    <row r="954" spans="1:30">
      <c r="A954">
        <v>952</v>
      </c>
      <c r="B954">
        <v>22</v>
      </c>
      <c r="C954">
        <v>0.98099999999999998</v>
      </c>
      <c r="D954">
        <v>2.61</v>
      </c>
      <c r="E954">
        <v>0</v>
      </c>
      <c r="F954">
        <v>1.3069999999999999</v>
      </c>
      <c r="G954">
        <v>0</v>
      </c>
      <c r="H954">
        <v>0.124</v>
      </c>
      <c r="I954">
        <v>1.3779999999999999</v>
      </c>
      <c r="K954">
        <v>952</v>
      </c>
      <c r="L954">
        <v>22</v>
      </c>
      <c r="M954" s="32">
        <v>0.98099999999999998</v>
      </c>
      <c r="N954" s="32">
        <v>2.61</v>
      </c>
      <c r="P954" s="32">
        <v>1.3069999999999999</v>
      </c>
      <c r="R954" s="47">
        <v>0.13700000000000001</v>
      </c>
      <c r="S954" s="47">
        <v>1.2829999999999999</v>
      </c>
      <c r="T954" s="31">
        <v>0</v>
      </c>
      <c r="V954">
        <v>952</v>
      </c>
      <c r="W954">
        <v>21</v>
      </c>
      <c r="X954">
        <v>0.99299999999999999</v>
      </c>
      <c r="Y954" s="32">
        <v>2.625</v>
      </c>
      <c r="Z954">
        <v>0</v>
      </c>
      <c r="AA954" s="32">
        <v>1.2769999999999999</v>
      </c>
      <c r="AB954">
        <v>0</v>
      </c>
      <c r="AC954" s="34">
        <v>0.115</v>
      </c>
      <c r="AD954" s="32">
        <v>1.2649999999999999</v>
      </c>
    </row>
    <row r="955" spans="1:30">
      <c r="A955">
        <v>953</v>
      </c>
      <c r="B955">
        <v>22</v>
      </c>
      <c r="C955">
        <v>0.98199999999999998</v>
      </c>
      <c r="D955">
        <v>2.61</v>
      </c>
      <c r="E955">
        <v>0</v>
      </c>
      <c r="F955">
        <v>1.3069999999999999</v>
      </c>
      <c r="G955">
        <v>0</v>
      </c>
      <c r="H955">
        <v>0.124</v>
      </c>
      <c r="I955">
        <v>1.38</v>
      </c>
      <c r="K955">
        <v>953</v>
      </c>
      <c r="L955">
        <v>22</v>
      </c>
      <c r="M955" s="32">
        <v>0.98199999999999998</v>
      </c>
      <c r="N955" s="32">
        <v>2.61</v>
      </c>
      <c r="P955" s="47">
        <v>1.3080000000000001</v>
      </c>
      <c r="R955" s="47">
        <v>0.13700000000000001</v>
      </c>
      <c r="S955" s="47">
        <v>1.284</v>
      </c>
      <c r="T955" s="31">
        <v>0</v>
      </c>
      <c r="V955">
        <v>953</v>
      </c>
      <c r="W955">
        <v>21</v>
      </c>
      <c r="X955">
        <v>0.99399999999999999</v>
      </c>
      <c r="Y955" s="32">
        <v>2.63</v>
      </c>
      <c r="Z955">
        <v>0</v>
      </c>
      <c r="AA955" s="32">
        <v>1.2769999999999999</v>
      </c>
      <c r="AB955">
        <v>0</v>
      </c>
      <c r="AC955" s="34">
        <v>0.115</v>
      </c>
      <c r="AD955" s="32">
        <v>1.2669999999999999</v>
      </c>
    </row>
    <row r="956" spans="1:30">
      <c r="A956">
        <v>954</v>
      </c>
      <c r="B956">
        <v>22</v>
      </c>
      <c r="C956">
        <v>0.98299999999999998</v>
      </c>
      <c r="D956">
        <v>2.61</v>
      </c>
      <c r="E956">
        <v>0</v>
      </c>
      <c r="F956">
        <v>1.3069999999999999</v>
      </c>
      <c r="G956">
        <v>0</v>
      </c>
      <c r="H956">
        <v>0.124</v>
      </c>
      <c r="I956">
        <v>1.381</v>
      </c>
      <c r="K956">
        <v>954</v>
      </c>
      <c r="L956">
        <v>22</v>
      </c>
      <c r="M956" s="32">
        <v>0.98299999999999998</v>
      </c>
      <c r="N956" s="32">
        <v>2.61</v>
      </c>
      <c r="P956" s="47">
        <v>1.3080000000000001</v>
      </c>
      <c r="R956" s="47">
        <v>0.13700000000000001</v>
      </c>
      <c r="S956" s="47">
        <v>1.286</v>
      </c>
      <c r="T956" s="31">
        <v>0</v>
      </c>
      <c r="V956">
        <v>954</v>
      </c>
      <c r="W956">
        <v>21</v>
      </c>
      <c r="X956">
        <v>0.995</v>
      </c>
      <c r="Y956" s="32">
        <v>2.6349999999999998</v>
      </c>
      <c r="Z956">
        <v>0</v>
      </c>
      <c r="AA956" s="32">
        <v>1.2769999999999999</v>
      </c>
      <c r="AB956">
        <v>0</v>
      </c>
      <c r="AC956" s="34">
        <v>0.115</v>
      </c>
      <c r="AD956" s="32">
        <v>1.268</v>
      </c>
    </row>
    <row r="957" spans="1:30">
      <c r="A957">
        <v>955</v>
      </c>
      <c r="B957">
        <v>22</v>
      </c>
      <c r="C957">
        <v>0.98399999999999999</v>
      </c>
      <c r="D957">
        <v>2.61</v>
      </c>
      <c r="E957">
        <v>0</v>
      </c>
      <c r="F957">
        <v>1.3069999999999999</v>
      </c>
      <c r="G957">
        <v>0</v>
      </c>
      <c r="H957">
        <v>0.124</v>
      </c>
      <c r="I957">
        <v>1.383</v>
      </c>
      <c r="K957">
        <v>955</v>
      </c>
      <c r="L957">
        <v>22</v>
      </c>
      <c r="M957" s="32">
        <v>0.98399999999999999</v>
      </c>
      <c r="N957" s="32">
        <v>2.61</v>
      </c>
      <c r="P957" s="47">
        <v>1.3089999999999999</v>
      </c>
      <c r="R957" s="47">
        <v>0.13800000000000001</v>
      </c>
      <c r="S957" s="47">
        <v>1.288</v>
      </c>
      <c r="T957" s="31">
        <v>0</v>
      </c>
      <c r="V957">
        <v>955</v>
      </c>
      <c r="W957">
        <v>21</v>
      </c>
      <c r="X957">
        <v>0.996</v>
      </c>
      <c r="Y957" s="32">
        <v>2.64</v>
      </c>
      <c r="Z957">
        <v>0</v>
      </c>
      <c r="AA957" s="32">
        <v>1.2769999999999999</v>
      </c>
      <c r="AB957">
        <v>0</v>
      </c>
      <c r="AC957" s="34">
        <v>0.115</v>
      </c>
      <c r="AD957" s="32">
        <v>1.27</v>
      </c>
    </row>
    <row r="958" spans="1:30">
      <c r="A958">
        <v>956</v>
      </c>
      <c r="B958">
        <v>22</v>
      </c>
      <c r="C958">
        <v>0.98499999999999999</v>
      </c>
      <c r="D958">
        <v>2.61</v>
      </c>
      <c r="E958">
        <v>0</v>
      </c>
      <c r="F958">
        <v>1.3069999999999999</v>
      </c>
      <c r="G958">
        <v>0</v>
      </c>
      <c r="H958">
        <v>0.124</v>
      </c>
      <c r="I958">
        <v>1.3839999999999999</v>
      </c>
      <c r="K958">
        <v>956</v>
      </c>
      <c r="L958">
        <v>22</v>
      </c>
      <c r="M958" s="32">
        <v>0.98499999999999999</v>
      </c>
      <c r="N958" s="32">
        <v>2.61</v>
      </c>
      <c r="P958" s="47">
        <v>1.3089999999999999</v>
      </c>
      <c r="R958" s="47">
        <v>0.13800000000000001</v>
      </c>
      <c r="S958" s="47">
        <v>1.29</v>
      </c>
      <c r="T958" s="31">
        <v>0</v>
      </c>
      <c r="V958">
        <v>956</v>
      </c>
      <c r="W958">
        <v>21</v>
      </c>
      <c r="X958">
        <v>0.997</v>
      </c>
      <c r="Y958" s="32">
        <v>2.645</v>
      </c>
      <c r="Z958">
        <v>0</v>
      </c>
      <c r="AA958" s="32">
        <v>1.278</v>
      </c>
      <c r="AB958">
        <v>0</v>
      </c>
      <c r="AC958" s="34">
        <v>0.115</v>
      </c>
      <c r="AD958" s="32">
        <v>1.2709999999999999</v>
      </c>
    </row>
    <row r="959" spans="1:30">
      <c r="A959">
        <v>957</v>
      </c>
      <c r="B959">
        <v>22</v>
      </c>
      <c r="C959">
        <v>0.98599999999999999</v>
      </c>
      <c r="D959">
        <v>2.61</v>
      </c>
      <c r="E959">
        <v>0</v>
      </c>
      <c r="F959">
        <v>1.3069999999999999</v>
      </c>
      <c r="G959">
        <v>0</v>
      </c>
      <c r="H959">
        <v>0.124</v>
      </c>
      <c r="I959">
        <v>1.3859999999999999</v>
      </c>
      <c r="K959">
        <v>957</v>
      </c>
      <c r="L959">
        <v>22</v>
      </c>
      <c r="M959" s="32">
        <v>0.98599999999999999</v>
      </c>
      <c r="N959" s="32">
        <v>2.61</v>
      </c>
      <c r="P959" s="47">
        <v>1.3089999999999999</v>
      </c>
      <c r="R959" s="47">
        <v>0.13800000000000001</v>
      </c>
      <c r="S959" s="47">
        <v>1.2909999999999999</v>
      </c>
      <c r="T959" s="31">
        <v>0</v>
      </c>
      <c r="V959">
        <v>957</v>
      </c>
      <c r="W959">
        <v>21</v>
      </c>
      <c r="X959">
        <v>0.998</v>
      </c>
      <c r="Y959" s="32">
        <v>2.65</v>
      </c>
      <c r="Z959">
        <v>0</v>
      </c>
      <c r="AA959" s="32">
        <v>1.278</v>
      </c>
      <c r="AB959">
        <v>0</v>
      </c>
      <c r="AC959" s="34">
        <v>0.115</v>
      </c>
      <c r="AD959" s="32">
        <v>1.272</v>
      </c>
    </row>
    <row r="960" spans="1:30">
      <c r="A960">
        <v>958</v>
      </c>
      <c r="B960">
        <v>22</v>
      </c>
      <c r="C960">
        <v>0.98699999999999999</v>
      </c>
      <c r="D960">
        <v>2.61</v>
      </c>
      <c r="E960">
        <v>0</v>
      </c>
      <c r="F960">
        <v>1.3069999999999999</v>
      </c>
      <c r="G960">
        <v>0</v>
      </c>
      <c r="H960">
        <v>0.124</v>
      </c>
      <c r="I960">
        <v>1.387</v>
      </c>
      <c r="K960">
        <v>958</v>
      </c>
      <c r="L960">
        <v>22</v>
      </c>
      <c r="M960" s="32">
        <v>0.98699999999999999</v>
      </c>
      <c r="N960" s="32">
        <v>2.61</v>
      </c>
      <c r="P960" s="47">
        <v>1.31</v>
      </c>
      <c r="R960" s="47">
        <v>0.13800000000000001</v>
      </c>
      <c r="S960" s="47">
        <v>1.2929999999999999</v>
      </c>
      <c r="T960" s="31">
        <v>0</v>
      </c>
      <c r="V960">
        <v>958</v>
      </c>
      <c r="W960">
        <v>21</v>
      </c>
      <c r="X960">
        <v>0.999</v>
      </c>
      <c r="Y960" s="32">
        <v>2.6549999999999998</v>
      </c>
      <c r="Z960">
        <v>0</v>
      </c>
      <c r="AA960" s="32">
        <v>1.278</v>
      </c>
      <c r="AB960">
        <v>0</v>
      </c>
      <c r="AC960" s="34">
        <v>0.115</v>
      </c>
      <c r="AD960" s="32">
        <v>1.274</v>
      </c>
    </row>
    <row r="961" spans="1:30">
      <c r="A961">
        <v>959</v>
      </c>
      <c r="B961">
        <v>22</v>
      </c>
      <c r="C961">
        <v>0.98799999999999999</v>
      </c>
      <c r="D961">
        <v>2.61</v>
      </c>
      <c r="E961">
        <v>0</v>
      </c>
      <c r="F961">
        <v>1.3069999999999999</v>
      </c>
      <c r="G961">
        <v>0</v>
      </c>
      <c r="H961">
        <v>0.124</v>
      </c>
      <c r="I961">
        <v>1.389</v>
      </c>
      <c r="K961">
        <v>959</v>
      </c>
      <c r="L961">
        <v>22</v>
      </c>
      <c r="M961" s="32">
        <v>0.98799999999999999</v>
      </c>
      <c r="N961" s="32">
        <v>2.61</v>
      </c>
      <c r="P961" s="47">
        <v>1.31</v>
      </c>
      <c r="R961" s="47">
        <v>0.13800000000000001</v>
      </c>
      <c r="S961" s="47">
        <v>1.2949999999999999</v>
      </c>
      <c r="T961" s="31">
        <v>0</v>
      </c>
      <c r="V961">
        <v>959</v>
      </c>
      <c r="W961">
        <v>21</v>
      </c>
      <c r="X961">
        <v>1</v>
      </c>
      <c r="Y961" s="32">
        <v>2.66</v>
      </c>
      <c r="Z961">
        <v>0</v>
      </c>
      <c r="AA961" s="32">
        <v>1.278</v>
      </c>
      <c r="AB961">
        <v>0</v>
      </c>
      <c r="AC961" s="34">
        <v>0.115</v>
      </c>
      <c r="AD961" s="32">
        <v>1.2749999999999999</v>
      </c>
    </row>
    <row r="962" spans="1:30">
      <c r="A962">
        <v>960</v>
      </c>
      <c r="B962">
        <v>22</v>
      </c>
      <c r="C962">
        <v>0.98899999999999999</v>
      </c>
      <c r="D962">
        <v>2.61</v>
      </c>
      <c r="E962">
        <v>0</v>
      </c>
      <c r="F962">
        <v>1.3069999999999999</v>
      </c>
      <c r="G962">
        <v>0</v>
      </c>
      <c r="H962">
        <v>0.124</v>
      </c>
      <c r="I962">
        <v>1.391</v>
      </c>
      <c r="K962">
        <v>960</v>
      </c>
      <c r="L962">
        <v>22</v>
      </c>
      <c r="M962" s="32">
        <v>0.98899999999999999</v>
      </c>
      <c r="N962" s="32">
        <v>2.61</v>
      </c>
      <c r="P962" s="47">
        <v>1.3109999999999999</v>
      </c>
      <c r="R962" s="47">
        <v>0.13900000000000001</v>
      </c>
      <c r="S962" s="47">
        <v>1.296</v>
      </c>
      <c r="T962" s="31">
        <v>0</v>
      </c>
      <c r="V962">
        <v>960</v>
      </c>
      <c r="W962">
        <v>21</v>
      </c>
      <c r="X962">
        <v>1.0009999999999999</v>
      </c>
      <c r="Y962" s="32">
        <v>2.665</v>
      </c>
      <c r="Z962">
        <v>0</v>
      </c>
      <c r="AA962" s="32">
        <v>1.2789999999999999</v>
      </c>
      <c r="AB962">
        <v>0</v>
      </c>
      <c r="AC962" s="34">
        <v>0.115</v>
      </c>
      <c r="AD962" s="32">
        <v>1.2769999999999999</v>
      </c>
    </row>
    <row r="963" spans="1:30">
      <c r="A963">
        <v>961</v>
      </c>
      <c r="B963">
        <v>22</v>
      </c>
      <c r="C963">
        <v>0.99</v>
      </c>
      <c r="D963">
        <v>2.61</v>
      </c>
      <c r="E963">
        <v>0</v>
      </c>
      <c r="F963">
        <v>1.3109999999999999</v>
      </c>
      <c r="G963">
        <v>0</v>
      </c>
      <c r="H963">
        <v>0.124</v>
      </c>
      <c r="I963">
        <v>1.409</v>
      </c>
      <c r="K963">
        <v>961</v>
      </c>
      <c r="L963">
        <v>22</v>
      </c>
      <c r="M963" s="32">
        <v>0.99</v>
      </c>
      <c r="N963" s="32">
        <v>2.61</v>
      </c>
      <c r="P963" s="32">
        <v>1.3109999999999999</v>
      </c>
      <c r="R963" s="47">
        <v>0.13900000000000001</v>
      </c>
      <c r="S963" s="47">
        <v>1.298</v>
      </c>
      <c r="T963" s="31">
        <v>0</v>
      </c>
      <c r="V963">
        <v>961</v>
      </c>
      <c r="W963">
        <v>21</v>
      </c>
      <c r="X963">
        <v>1.002</v>
      </c>
      <c r="Y963" s="32">
        <v>2.67</v>
      </c>
      <c r="Z963">
        <v>0</v>
      </c>
      <c r="AA963" s="32">
        <v>1.2789999999999999</v>
      </c>
      <c r="AB963">
        <v>0</v>
      </c>
      <c r="AC963" s="34">
        <v>0.115</v>
      </c>
      <c r="AD963" s="32">
        <v>1.278</v>
      </c>
    </row>
    <row r="964" spans="1:30">
      <c r="A964">
        <v>962</v>
      </c>
      <c r="B964">
        <v>22</v>
      </c>
      <c r="C964">
        <v>0.99099999999999999</v>
      </c>
      <c r="D964">
        <v>2.61</v>
      </c>
      <c r="E964">
        <v>0</v>
      </c>
      <c r="F964">
        <v>1.3109999999999999</v>
      </c>
      <c r="G964">
        <v>0</v>
      </c>
      <c r="H964">
        <v>0.124</v>
      </c>
      <c r="I964">
        <v>1.411</v>
      </c>
      <c r="K964">
        <v>962</v>
      </c>
      <c r="L964">
        <v>22</v>
      </c>
      <c r="M964" s="32">
        <v>0.99099999999999999</v>
      </c>
      <c r="N964" s="47">
        <v>2.6150000000000002</v>
      </c>
      <c r="P964" s="32">
        <v>1.3109999999999999</v>
      </c>
      <c r="R964" s="47">
        <v>0.13900000000000001</v>
      </c>
      <c r="S964" s="47">
        <v>1.3</v>
      </c>
      <c r="T964" s="31">
        <v>0</v>
      </c>
      <c r="V964">
        <v>962</v>
      </c>
      <c r="W964">
        <v>21</v>
      </c>
      <c r="X964">
        <v>1.0029999999999999</v>
      </c>
      <c r="Y964" s="32">
        <v>2.6749999999999998</v>
      </c>
      <c r="Z964">
        <v>0</v>
      </c>
      <c r="AA964" s="32">
        <v>1.2789999999999999</v>
      </c>
      <c r="AB964">
        <v>0</v>
      </c>
      <c r="AC964" s="34">
        <v>0.11600000000000001</v>
      </c>
      <c r="AD964" s="32">
        <v>1.28</v>
      </c>
    </row>
    <row r="965" spans="1:30">
      <c r="A965">
        <v>963</v>
      </c>
      <c r="B965">
        <v>22</v>
      </c>
      <c r="C965">
        <v>0.99199999999999999</v>
      </c>
      <c r="D965">
        <v>2.61</v>
      </c>
      <c r="E965">
        <v>0</v>
      </c>
      <c r="F965">
        <v>1.3109999999999999</v>
      </c>
      <c r="G965">
        <v>0</v>
      </c>
      <c r="H965">
        <v>0.124</v>
      </c>
      <c r="I965">
        <v>1.4119999999999999</v>
      </c>
      <c r="K965">
        <v>963</v>
      </c>
      <c r="L965">
        <v>22</v>
      </c>
      <c r="M965" s="32">
        <v>0.99199999999999999</v>
      </c>
      <c r="N965" s="47">
        <v>2.62</v>
      </c>
      <c r="P965" s="47">
        <v>1.3120000000000001</v>
      </c>
      <c r="R965" s="47">
        <v>0.13900000000000001</v>
      </c>
      <c r="S965" s="47">
        <v>1.3009999999999999</v>
      </c>
      <c r="T965" s="31">
        <v>0</v>
      </c>
      <c r="V965">
        <v>963</v>
      </c>
      <c r="W965">
        <v>21</v>
      </c>
      <c r="X965">
        <v>1.004</v>
      </c>
      <c r="Y965" s="32">
        <v>2.68</v>
      </c>
      <c r="Z965">
        <v>0</v>
      </c>
      <c r="AA965" s="32">
        <v>1.2789999999999999</v>
      </c>
      <c r="AB965">
        <v>0</v>
      </c>
      <c r="AC965" s="34">
        <v>0.11600000000000001</v>
      </c>
      <c r="AD965" s="32">
        <v>1.2809999999999999</v>
      </c>
    </row>
    <row r="966" spans="1:30">
      <c r="A966">
        <v>964</v>
      </c>
      <c r="B966">
        <v>22</v>
      </c>
      <c r="C966">
        <v>0.99299999999999999</v>
      </c>
      <c r="D966">
        <v>2.61</v>
      </c>
      <c r="E966">
        <v>0</v>
      </c>
      <c r="F966">
        <v>1.3109999999999999</v>
      </c>
      <c r="G966">
        <v>0</v>
      </c>
      <c r="H966">
        <v>0.124</v>
      </c>
      <c r="I966">
        <v>1.4139999999999999</v>
      </c>
      <c r="K966">
        <v>964</v>
      </c>
      <c r="L966">
        <v>22</v>
      </c>
      <c r="M966" s="32">
        <v>0.99299999999999999</v>
      </c>
      <c r="N966" s="47">
        <v>2.625</v>
      </c>
      <c r="P966" s="47">
        <v>1.3120000000000001</v>
      </c>
      <c r="R966" s="47">
        <v>0.13900000000000001</v>
      </c>
      <c r="S966" s="47">
        <v>1.3029999999999999</v>
      </c>
      <c r="T966" s="31">
        <v>0</v>
      </c>
      <c r="V966">
        <v>964</v>
      </c>
      <c r="W966">
        <v>21</v>
      </c>
      <c r="X966">
        <v>1.0049999999999999</v>
      </c>
      <c r="Y966" s="32">
        <v>2.6850000000000001</v>
      </c>
      <c r="Z966">
        <v>0</v>
      </c>
      <c r="AA966" s="32">
        <v>1.28</v>
      </c>
      <c r="AB966">
        <v>0</v>
      </c>
      <c r="AC966" s="34">
        <v>0.11600000000000001</v>
      </c>
      <c r="AD966" s="32">
        <v>1.2829999999999999</v>
      </c>
    </row>
    <row r="967" spans="1:30">
      <c r="A967">
        <v>965</v>
      </c>
      <c r="B967">
        <v>22</v>
      </c>
      <c r="C967">
        <v>0.99399999999999999</v>
      </c>
      <c r="D967">
        <v>2.61</v>
      </c>
      <c r="E967">
        <v>0</v>
      </c>
      <c r="F967">
        <v>1.3109999999999999</v>
      </c>
      <c r="G967">
        <v>0</v>
      </c>
      <c r="H967">
        <v>0.124</v>
      </c>
      <c r="I967">
        <v>1.4159999999999999</v>
      </c>
      <c r="K967">
        <v>965</v>
      </c>
      <c r="L967">
        <v>22</v>
      </c>
      <c r="M967" s="32">
        <v>0.99399999999999999</v>
      </c>
      <c r="N967" s="47">
        <v>2.63</v>
      </c>
      <c r="P967" s="47">
        <v>1.3120000000000001</v>
      </c>
      <c r="R967" s="47">
        <v>0.14000000000000001</v>
      </c>
      <c r="S967" s="47">
        <v>1.304</v>
      </c>
      <c r="T967" s="31">
        <v>0</v>
      </c>
      <c r="V967">
        <v>965</v>
      </c>
      <c r="W967">
        <v>21</v>
      </c>
      <c r="X967">
        <v>1.006</v>
      </c>
      <c r="Y967" s="32">
        <v>2.69</v>
      </c>
      <c r="Z967">
        <v>0</v>
      </c>
      <c r="AA967" s="32">
        <v>1.28</v>
      </c>
      <c r="AB967">
        <v>0</v>
      </c>
      <c r="AC967" s="34">
        <v>0.11600000000000001</v>
      </c>
      <c r="AD967" s="32">
        <v>1.284</v>
      </c>
    </row>
    <row r="968" spans="1:30">
      <c r="A968">
        <v>966</v>
      </c>
      <c r="B968">
        <v>22</v>
      </c>
      <c r="C968">
        <v>0.995</v>
      </c>
      <c r="D968">
        <v>2.61</v>
      </c>
      <c r="E968">
        <v>0</v>
      </c>
      <c r="F968">
        <v>1.3109999999999999</v>
      </c>
      <c r="G968">
        <v>0</v>
      </c>
      <c r="H968">
        <v>0.124</v>
      </c>
      <c r="I968">
        <v>1.417</v>
      </c>
      <c r="K968">
        <v>966</v>
      </c>
      <c r="L968">
        <v>22</v>
      </c>
      <c r="M968" s="32">
        <v>0.995</v>
      </c>
      <c r="N968" s="47">
        <v>2.6349999999999998</v>
      </c>
      <c r="P968" s="47">
        <v>1.3129999999999999</v>
      </c>
      <c r="R968" s="47">
        <v>0.14000000000000001</v>
      </c>
      <c r="S968" s="47">
        <v>1.306</v>
      </c>
      <c r="T968" s="31">
        <v>0</v>
      </c>
      <c r="V968">
        <v>966</v>
      </c>
      <c r="W968">
        <v>21</v>
      </c>
      <c r="X968">
        <v>1.0069999999999999</v>
      </c>
      <c r="Y968" s="32">
        <v>2.6949999999999998</v>
      </c>
      <c r="Z968">
        <v>0</v>
      </c>
      <c r="AA968" s="32">
        <v>1.28</v>
      </c>
      <c r="AB968">
        <v>0</v>
      </c>
      <c r="AC968" s="34">
        <v>0.11600000000000001</v>
      </c>
      <c r="AD968" s="32">
        <v>1.286</v>
      </c>
    </row>
    <row r="969" spans="1:30">
      <c r="A969">
        <v>967</v>
      </c>
      <c r="B969">
        <v>22</v>
      </c>
      <c r="C969">
        <v>0.996</v>
      </c>
      <c r="D969">
        <v>2.61</v>
      </c>
      <c r="E969">
        <v>0</v>
      </c>
      <c r="F969">
        <v>1.3109999999999999</v>
      </c>
      <c r="G969">
        <v>0</v>
      </c>
      <c r="H969">
        <v>0.124</v>
      </c>
      <c r="I969">
        <v>1.419</v>
      </c>
      <c r="K969">
        <v>967</v>
      </c>
      <c r="L969">
        <v>22</v>
      </c>
      <c r="M969" s="32">
        <v>0.996</v>
      </c>
      <c r="N969" s="47">
        <v>2.64</v>
      </c>
      <c r="P969" s="47">
        <v>1.3129999999999999</v>
      </c>
      <c r="R969" s="47">
        <v>0.14000000000000001</v>
      </c>
      <c r="S969" s="47">
        <v>1.3080000000000001</v>
      </c>
      <c r="T969" s="31">
        <v>0</v>
      </c>
      <c r="V969">
        <v>967</v>
      </c>
      <c r="W969">
        <v>21</v>
      </c>
      <c r="X969">
        <v>1.008</v>
      </c>
      <c r="Y969" s="32">
        <v>2.7</v>
      </c>
      <c r="Z969">
        <v>0</v>
      </c>
      <c r="AA969" s="32">
        <v>1.28</v>
      </c>
      <c r="AB969">
        <v>0</v>
      </c>
      <c r="AC969" s="34">
        <v>0.11600000000000001</v>
      </c>
      <c r="AD969" s="32">
        <v>1.2869999999999999</v>
      </c>
    </row>
    <row r="970" spans="1:30">
      <c r="A970">
        <v>968</v>
      </c>
      <c r="B970">
        <v>22</v>
      </c>
      <c r="C970">
        <v>0.997</v>
      </c>
      <c r="D970">
        <v>2.61</v>
      </c>
      <c r="E970">
        <v>0</v>
      </c>
      <c r="F970">
        <v>1.3109999999999999</v>
      </c>
      <c r="G970">
        <v>0</v>
      </c>
      <c r="H970">
        <v>0.124</v>
      </c>
      <c r="I970">
        <v>1.42</v>
      </c>
      <c r="K970">
        <v>968</v>
      </c>
      <c r="L970">
        <v>22</v>
      </c>
      <c r="M970" s="32">
        <v>0.997</v>
      </c>
      <c r="N970" s="47">
        <v>2.645</v>
      </c>
      <c r="P970" s="47">
        <v>1.3129999999999999</v>
      </c>
      <c r="R970" s="47">
        <v>0.14000000000000001</v>
      </c>
      <c r="S970" s="47">
        <v>1.3089999999999999</v>
      </c>
      <c r="T970" s="31">
        <v>0</v>
      </c>
      <c r="V970">
        <v>968</v>
      </c>
      <c r="W970">
        <v>21</v>
      </c>
      <c r="X970">
        <v>1.0089999999999999</v>
      </c>
      <c r="Y970" s="32">
        <v>2.7050000000000001</v>
      </c>
      <c r="Z970">
        <v>0</v>
      </c>
      <c r="AA970" s="32">
        <v>1.2809999999999999</v>
      </c>
      <c r="AB970">
        <v>0</v>
      </c>
      <c r="AC970" s="34">
        <v>0.11600000000000001</v>
      </c>
      <c r="AD970" s="32">
        <v>1.2889999999999999</v>
      </c>
    </row>
    <row r="971" spans="1:30">
      <c r="A971">
        <v>969</v>
      </c>
      <c r="B971">
        <v>22</v>
      </c>
      <c r="C971">
        <v>0.998</v>
      </c>
      <c r="D971">
        <v>2.61</v>
      </c>
      <c r="E971">
        <v>0</v>
      </c>
      <c r="F971">
        <v>1.3109999999999999</v>
      </c>
      <c r="G971">
        <v>0</v>
      </c>
      <c r="H971">
        <v>0.124</v>
      </c>
      <c r="I971">
        <v>1.4219999999999999</v>
      </c>
      <c r="K971">
        <v>969</v>
      </c>
      <c r="L971">
        <v>22</v>
      </c>
      <c r="M971" s="32">
        <v>0.998</v>
      </c>
      <c r="N971" s="47">
        <v>2.65</v>
      </c>
      <c r="P971" s="47">
        <v>1.3129999999999999</v>
      </c>
      <c r="R971" s="47">
        <v>0.14000000000000001</v>
      </c>
      <c r="S971" s="47">
        <v>1.3109999999999999</v>
      </c>
      <c r="T971" s="31">
        <v>0</v>
      </c>
      <c r="V971">
        <v>969</v>
      </c>
      <c r="W971">
        <v>21</v>
      </c>
      <c r="X971">
        <v>1.01</v>
      </c>
      <c r="Y971" s="32">
        <v>2.71</v>
      </c>
      <c r="Z971">
        <v>0</v>
      </c>
      <c r="AA971" s="32">
        <v>1.2809999999999999</v>
      </c>
      <c r="AB971">
        <v>0</v>
      </c>
      <c r="AC971" s="34">
        <v>0.11600000000000001</v>
      </c>
      <c r="AD971" s="32">
        <v>1.29</v>
      </c>
    </row>
    <row r="972" spans="1:30">
      <c r="A972">
        <v>970</v>
      </c>
      <c r="B972">
        <v>22</v>
      </c>
      <c r="C972">
        <v>0.999</v>
      </c>
      <c r="D972">
        <v>2.61</v>
      </c>
      <c r="E972">
        <v>0</v>
      </c>
      <c r="F972">
        <v>1.3109999999999999</v>
      </c>
      <c r="G972">
        <v>0</v>
      </c>
      <c r="H972">
        <v>0.124</v>
      </c>
      <c r="I972">
        <v>1.4239999999999999</v>
      </c>
      <c r="K972">
        <v>970</v>
      </c>
      <c r="L972">
        <v>22</v>
      </c>
      <c r="M972" s="32">
        <v>0.999</v>
      </c>
      <c r="N972" s="47">
        <v>2.6549999999999998</v>
      </c>
      <c r="P972" s="47">
        <v>1.3140000000000001</v>
      </c>
      <c r="R972" s="47">
        <v>0.14099999999999999</v>
      </c>
      <c r="S972" s="47">
        <v>1.3120000000000001</v>
      </c>
      <c r="T972" s="31">
        <v>0</v>
      </c>
      <c r="V972">
        <v>970</v>
      </c>
      <c r="W972">
        <v>21</v>
      </c>
      <c r="X972">
        <v>1.0109999999999999</v>
      </c>
      <c r="Y972" s="32">
        <v>2.71</v>
      </c>
      <c r="Z972">
        <v>0</v>
      </c>
      <c r="AA972" s="32">
        <v>1.2809999999999999</v>
      </c>
      <c r="AB972">
        <v>0</v>
      </c>
      <c r="AC972" s="34">
        <v>0.11600000000000001</v>
      </c>
      <c r="AD972" s="32">
        <v>1.2909999999999999</v>
      </c>
    </row>
    <row r="973" spans="1:30">
      <c r="A973">
        <v>971</v>
      </c>
      <c r="B973">
        <v>22</v>
      </c>
      <c r="C973">
        <v>1</v>
      </c>
      <c r="D973">
        <v>2.61</v>
      </c>
      <c r="E973">
        <v>0</v>
      </c>
      <c r="F973">
        <v>1.3109999999999999</v>
      </c>
      <c r="G973">
        <v>0</v>
      </c>
      <c r="H973">
        <v>0.124</v>
      </c>
      <c r="I973">
        <v>1.425</v>
      </c>
      <c r="K973">
        <v>971</v>
      </c>
      <c r="L973">
        <v>22</v>
      </c>
      <c r="M973" s="32">
        <v>1</v>
      </c>
      <c r="N973" s="47">
        <v>2.66</v>
      </c>
      <c r="P973" s="47">
        <v>1.3140000000000001</v>
      </c>
      <c r="R973" s="47">
        <v>0.14099999999999999</v>
      </c>
      <c r="S973" s="47">
        <v>1.3140000000000001</v>
      </c>
      <c r="T973" s="31">
        <v>0</v>
      </c>
      <c r="V973">
        <v>971</v>
      </c>
      <c r="W973">
        <v>21</v>
      </c>
      <c r="X973">
        <v>1.012</v>
      </c>
      <c r="Y973" s="32">
        <v>2.71</v>
      </c>
      <c r="Z973">
        <v>0</v>
      </c>
      <c r="AA973" s="32">
        <v>1.2809999999999999</v>
      </c>
      <c r="AB973">
        <v>0</v>
      </c>
      <c r="AC973" s="34">
        <v>0.11600000000000001</v>
      </c>
      <c r="AD973" s="32">
        <v>1.2929999999999999</v>
      </c>
    </row>
    <row r="974" spans="1:30">
      <c r="A974">
        <v>972</v>
      </c>
      <c r="B974">
        <v>22</v>
      </c>
      <c r="C974">
        <v>1.0009999999999999</v>
      </c>
      <c r="D974">
        <v>2.61</v>
      </c>
      <c r="E974">
        <v>0</v>
      </c>
      <c r="F974">
        <v>1.3109999999999999</v>
      </c>
      <c r="G974">
        <v>0</v>
      </c>
      <c r="H974">
        <v>0.124</v>
      </c>
      <c r="I974">
        <v>1.427</v>
      </c>
      <c r="K974">
        <v>972</v>
      </c>
      <c r="L974">
        <v>22</v>
      </c>
      <c r="M974" s="32">
        <v>1.0009999999999999</v>
      </c>
      <c r="N974" s="47">
        <v>2.665</v>
      </c>
      <c r="P974" s="47">
        <v>1.3140000000000001</v>
      </c>
      <c r="R974" s="47">
        <v>0.14099999999999999</v>
      </c>
      <c r="S974" s="47">
        <v>1.3160000000000001</v>
      </c>
      <c r="T974" s="31">
        <v>0</v>
      </c>
      <c r="V974">
        <v>972</v>
      </c>
      <c r="W974">
        <v>21</v>
      </c>
      <c r="X974">
        <v>1.0129999999999999</v>
      </c>
      <c r="Y974" s="32">
        <v>2.71</v>
      </c>
      <c r="Z974">
        <v>0</v>
      </c>
      <c r="AA974" s="32">
        <v>1.282</v>
      </c>
      <c r="AB974">
        <v>0</v>
      </c>
      <c r="AC974" s="34">
        <v>0.11600000000000001</v>
      </c>
      <c r="AD974" s="32">
        <v>1.294</v>
      </c>
    </row>
    <row r="975" spans="1:30">
      <c r="A975">
        <v>973</v>
      </c>
      <c r="B975">
        <v>22</v>
      </c>
      <c r="C975">
        <v>1.002</v>
      </c>
      <c r="D975">
        <v>2.61</v>
      </c>
      <c r="E975">
        <v>0</v>
      </c>
      <c r="F975">
        <v>1.3109999999999999</v>
      </c>
      <c r="G975">
        <v>0</v>
      </c>
      <c r="H975">
        <v>0.124</v>
      </c>
      <c r="I975">
        <v>1.4279999999999999</v>
      </c>
      <c r="K975">
        <v>973</v>
      </c>
      <c r="L975">
        <v>22</v>
      </c>
      <c r="M975" s="32">
        <v>1.002</v>
      </c>
      <c r="N975" s="47">
        <v>2.67</v>
      </c>
      <c r="P975" s="47">
        <v>1.3149999999999999</v>
      </c>
      <c r="R975" s="47">
        <v>0.14099999999999999</v>
      </c>
      <c r="S975" s="47">
        <v>1.3169999999999999</v>
      </c>
      <c r="T975" s="31">
        <v>0</v>
      </c>
      <c r="V975">
        <v>973</v>
      </c>
      <c r="W975">
        <v>21</v>
      </c>
      <c r="X975">
        <v>1.014</v>
      </c>
      <c r="Y975" s="32">
        <v>2.71</v>
      </c>
      <c r="Z975">
        <v>0</v>
      </c>
      <c r="AA975" s="32">
        <v>1.282</v>
      </c>
      <c r="AB975">
        <v>0</v>
      </c>
      <c r="AC975" s="34">
        <v>0.11600000000000001</v>
      </c>
      <c r="AD975" s="32">
        <v>1.296</v>
      </c>
    </row>
    <row r="976" spans="1:30">
      <c r="A976">
        <v>974</v>
      </c>
      <c r="B976">
        <v>22</v>
      </c>
      <c r="C976">
        <v>1.0029999999999999</v>
      </c>
      <c r="D976">
        <v>2.61</v>
      </c>
      <c r="E976">
        <v>0</v>
      </c>
      <c r="F976">
        <v>1.3109999999999999</v>
      </c>
      <c r="G976">
        <v>0</v>
      </c>
      <c r="H976">
        <v>0.124</v>
      </c>
      <c r="I976">
        <v>1.43</v>
      </c>
      <c r="K976">
        <v>974</v>
      </c>
      <c r="L976">
        <v>22</v>
      </c>
      <c r="M976" s="32">
        <v>1.0029999999999999</v>
      </c>
      <c r="N976" s="47">
        <v>2.6749999999999998</v>
      </c>
      <c r="P976" s="47">
        <v>1.3149999999999999</v>
      </c>
      <c r="R976" s="47">
        <v>0.14199999999999999</v>
      </c>
      <c r="S976" s="47">
        <v>1.319</v>
      </c>
      <c r="T976" s="31">
        <v>0</v>
      </c>
      <c r="V976">
        <v>974</v>
      </c>
      <c r="W976">
        <v>21</v>
      </c>
      <c r="X976">
        <v>1.0149999999999999</v>
      </c>
      <c r="Y976" s="32">
        <v>2.71</v>
      </c>
      <c r="Z976">
        <v>0</v>
      </c>
      <c r="AA976" s="32">
        <v>1.282</v>
      </c>
      <c r="AB976">
        <v>0</v>
      </c>
      <c r="AC976" s="34">
        <v>0.11600000000000001</v>
      </c>
      <c r="AD976" s="32">
        <v>1.2969999999999999</v>
      </c>
    </row>
    <row r="977" spans="1:30">
      <c r="A977">
        <v>975</v>
      </c>
      <c r="B977">
        <v>22</v>
      </c>
      <c r="C977">
        <v>1.004</v>
      </c>
      <c r="D977">
        <v>2.61</v>
      </c>
      <c r="E977">
        <v>0</v>
      </c>
      <c r="F977">
        <v>1.3109999999999999</v>
      </c>
      <c r="G977">
        <v>0</v>
      </c>
      <c r="H977">
        <v>0.124</v>
      </c>
      <c r="I977">
        <v>1.431</v>
      </c>
      <c r="K977">
        <v>975</v>
      </c>
      <c r="L977">
        <v>22</v>
      </c>
      <c r="M977" s="32">
        <v>1.004</v>
      </c>
      <c r="N977" s="47">
        <v>2.68</v>
      </c>
      <c r="P977" s="47">
        <v>1.3149999999999999</v>
      </c>
      <c r="R977" s="47">
        <v>0.14199999999999999</v>
      </c>
      <c r="S977" s="47">
        <v>1.32</v>
      </c>
      <c r="T977" s="31">
        <v>0</v>
      </c>
      <c r="V977">
        <v>975</v>
      </c>
      <c r="W977">
        <v>21</v>
      </c>
      <c r="X977">
        <v>1.016</v>
      </c>
      <c r="Y977" s="32">
        <v>2.71</v>
      </c>
      <c r="Z977">
        <v>0</v>
      </c>
      <c r="AA977" s="32">
        <v>1.282</v>
      </c>
      <c r="AB977">
        <v>0</v>
      </c>
      <c r="AC977" s="34">
        <v>0.11600000000000001</v>
      </c>
      <c r="AD977" s="32">
        <v>1.2989999999999999</v>
      </c>
    </row>
    <row r="978" spans="1:30">
      <c r="A978">
        <v>976</v>
      </c>
      <c r="B978">
        <v>22</v>
      </c>
      <c r="C978">
        <v>1.0049999999999999</v>
      </c>
      <c r="D978">
        <v>2.61</v>
      </c>
      <c r="E978">
        <v>0</v>
      </c>
      <c r="F978">
        <v>1.3109999999999999</v>
      </c>
      <c r="G978">
        <v>0</v>
      </c>
      <c r="H978">
        <v>0.124</v>
      </c>
      <c r="I978">
        <v>1.4330000000000001</v>
      </c>
      <c r="K978">
        <v>976</v>
      </c>
      <c r="L978">
        <v>22</v>
      </c>
      <c r="M978" s="32">
        <v>1.0049999999999999</v>
      </c>
      <c r="N978" s="47">
        <v>2.6850000000000001</v>
      </c>
      <c r="P978" s="47">
        <v>1.3160000000000001</v>
      </c>
      <c r="R978" s="47">
        <v>0.14199999999999999</v>
      </c>
      <c r="S978" s="47">
        <v>1.3220000000000001</v>
      </c>
      <c r="T978" s="31">
        <v>0</v>
      </c>
      <c r="V978">
        <v>976</v>
      </c>
      <c r="W978">
        <v>21</v>
      </c>
      <c r="X978">
        <v>1.0169999999999999</v>
      </c>
      <c r="Y978" s="32">
        <v>2.71</v>
      </c>
      <c r="Z978">
        <v>0</v>
      </c>
      <c r="AA978" s="32">
        <v>1.2829999999999999</v>
      </c>
      <c r="AB978">
        <v>0</v>
      </c>
      <c r="AC978" s="34">
        <v>0.11700000000000001</v>
      </c>
      <c r="AD978" s="32">
        <v>1.3</v>
      </c>
    </row>
    <row r="979" spans="1:30">
      <c r="A979">
        <v>977</v>
      </c>
      <c r="B979">
        <v>22</v>
      </c>
      <c r="C979">
        <v>1.006</v>
      </c>
      <c r="D979">
        <v>2.61</v>
      </c>
      <c r="E979">
        <v>0</v>
      </c>
      <c r="F979">
        <v>1.3109999999999999</v>
      </c>
      <c r="G979">
        <v>0</v>
      </c>
      <c r="H979">
        <v>0.124</v>
      </c>
      <c r="I979">
        <v>1.4350000000000001</v>
      </c>
      <c r="K979">
        <v>977</v>
      </c>
      <c r="L979">
        <v>22</v>
      </c>
      <c r="M979" s="32">
        <v>1.006</v>
      </c>
      <c r="N979" s="47">
        <v>2.69</v>
      </c>
      <c r="P979" s="47">
        <v>1.3160000000000001</v>
      </c>
      <c r="R979" s="47">
        <v>0.14199999999999999</v>
      </c>
      <c r="S979" s="47">
        <v>1.3240000000000001</v>
      </c>
      <c r="T979" s="31">
        <v>0</v>
      </c>
      <c r="V979">
        <v>977</v>
      </c>
      <c r="W979">
        <v>21</v>
      </c>
      <c r="X979">
        <v>1.018</v>
      </c>
      <c r="Y979" s="32">
        <v>2.71</v>
      </c>
      <c r="Z979">
        <v>0</v>
      </c>
      <c r="AA979" s="32">
        <v>1.2829999999999999</v>
      </c>
      <c r="AB979">
        <v>0</v>
      </c>
      <c r="AC979" s="34">
        <v>0.11700000000000001</v>
      </c>
      <c r="AD979" s="32">
        <v>1.302</v>
      </c>
    </row>
    <row r="980" spans="1:30">
      <c r="A980">
        <v>978</v>
      </c>
      <c r="B980">
        <v>22</v>
      </c>
      <c r="C980">
        <v>1.0069999999999999</v>
      </c>
      <c r="D980">
        <v>2.61</v>
      </c>
      <c r="E980">
        <v>0</v>
      </c>
      <c r="F980">
        <v>1.3109999999999999</v>
      </c>
      <c r="G980">
        <v>0</v>
      </c>
      <c r="H980">
        <v>0.124</v>
      </c>
      <c r="I980">
        <v>1.4359999999999999</v>
      </c>
      <c r="K980">
        <v>978</v>
      </c>
      <c r="L980">
        <v>22</v>
      </c>
      <c r="M980" s="32">
        <v>1.0069999999999999</v>
      </c>
      <c r="N980" s="47">
        <v>2.6949999999999998</v>
      </c>
      <c r="P980" s="47">
        <v>1.3160000000000001</v>
      </c>
      <c r="R980" s="47">
        <v>0.14199999999999999</v>
      </c>
      <c r="S980" s="47">
        <v>1.325</v>
      </c>
      <c r="T980" s="31">
        <v>0</v>
      </c>
      <c r="V980">
        <v>978</v>
      </c>
      <c r="W980">
        <v>21</v>
      </c>
      <c r="X980">
        <v>1.0189999999999999</v>
      </c>
      <c r="Y980" s="32">
        <v>2.71</v>
      </c>
      <c r="Z980">
        <v>0</v>
      </c>
      <c r="AA980" s="32">
        <v>1.2829999999999999</v>
      </c>
      <c r="AB980">
        <v>0</v>
      </c>
      <c r="AC980" s="34">
        <v>0.11700000000000001</v>
      </c>
      <c r="AD980" s="32">
        <v>1.3029999999999999</v>
      </c>
    </row>
    <row r="981" spans="1:30">
      <c r="A981">
        <v>979</v>
      </c>
      <c r="B981">
        <v>22</v>
      </c>
      <c r="C981">
        <v>1.008</v>
      </c>
      <c r="D981">
        <v>2.61</v>
      </c>
      <c r="E981">
        <v>0</v>
      </c>
      <c r="F981">
        <v>1.3109999999999999</v>
      </c>
      <c r="G981">
        <v>0</v>
      </c>
      <c r="H981">
        <v>0.124</v>
      </c>
      <c r="I981">
        <v>1.4379999999999999</v>
      </c>
      <c r="K981">
        <v>979</v>
      </c>
      <c r="L981">
        <v>22</v>
      </c>
      <c r="M981" s="32">
        <v>1.008</v>
      </c>
      <c r="N981" s="47">
        <v>2.7</v>
      </c>
      <c r="P981" s="47">
        <v>1.3160000000000001</v>
      </c>
      <c r="R981" s="47">
        <v>0.14299999999999999</v>
      </c>
      <c r="S981" s="47">
        <v>1.327</v>
      </c>
      <c r="T981" s="31">
        <v>0</v>
      </c>
      <c r="V981">
        <v>979</v>
      </c>
      <c r="W981">
        <v>21</v>
      </c>
      <c r="X981">
        <v>1.02</v>
      </c>
      <c r="Y981" s="32">
        <v>2.71</v>
      </c>
      <c r="Z981">
        <v>0</v>
      </c>
      <c r="AA981" s="32">
        <v>1.2829999999999999</v>
      </c>
      <c r="AB981">
        <v>0</v>
      </c>
      <c r="AC981" s="34">
        <v>0.11700000000000001</v>
      </c>
      <c r="AD981" s="32">
        <v>1.3049999999999999</v>
      </c>
    </row>
    <row r="982" spans="1:30">
      <c r="A982">
        <v>980</v>
      </c>
      <c r="B982">
        <v>22</v>
      </c>
      <c r="C982">
        <v>1.0089999999999999</v>
      </c>
      <c r="D982">
        <v>2.61</v>
      </c>
      <c r="E982">
        <v>0</v>
      </c>
      <c r="F982">
        <v>1.3109999999999999</v>
      </c>
      <c r="G982">
        <v>0</v>
      </c>
      <c r="H982">
        <v>0.124</v>
      </c>
      <c r="I982">
        <v>1.4390000000000001</v>
      </c>
      <c r="K982">
        <v>980</v>
      </c>
      <c r="L982">
        <v>22</v>
      </c>
      <c r="M982" s="32">
        <v>1.0089999999999999</v>
      </c>
      <c r="N982" s="47">
        <v>2.7050000000000001</v>
      </c>
      <c r="P982" s="47">
        <v>1.3169999999999999</v>
      </c>
      <c r="R982" s="47">
        <v>0.14299999999999999</v>
      </c>
      <c r="S982" s="47">
        <v>1.3280000000000001</v>
      </c>
      <c r="T982" s="31">
        <v>0</v>
      </c>
      <c r="V982">
        <v>980</v>
      </c>
      <c r="W982">
        <v>21</v>
      </c>
      <c r="X982">
        <v>1.0209999999999999</v>
      </c>
      <c r="Y982" s="32">
        <v>2.71</v>
      </c>
      <c r="Z982">
        <v>0</v>
      </c>
      <c r="AA982" s="32">
        <v>1.284</v>
      </c>
      <c r="AB982">
        <v>0</v>
      </c>
      <c r="AC982" s="34">
        <v>0.11700000000000001</v>
      </c>
      <c r="AD982" s="32">
        <v>1.306</v>
      </c>
    </row>
    <row r="983" spans="1:30">
      <c r="A983">
        <v>981</v>
      </c>
      <c r="B983">
        <v>23</v>
      </c>
      <c r="C983">
        <v>1.01</v>
      </c>
      <c r="D983">
        <v>2.71</v>
      </c>
      <c r="E983">
        <v>0</v>
      </c>
      <c r="F983">
        <v>1.3169999999999999</v>
      </c>
      <c r="G983">
        <v>0</v>
      </c>
      <c r="H983">
        <v>0.14299999999999999</v>
      </c>
      <c r="I983">
        <v>1.33</v>
      </c>
      <c r="K983">
        <v>981</v>
      </c>
      <c r="L983">
        <v>23</v>
      </c>
      <c r="M983" s="32">
        <v>1.01</v>
      </c>
      <c r="N983" s="32">
        <v>2.71</v>
      </c>
      <c r="P983" s="32">
        <v>1.3169999999999999</v>
      </c>
      <c r="R983" s="32">
        <v>0.14299999999999999</v>
      </c>
      <c r="S983" s="32">
        <v>1.33</v>
      </c>
      <c r="T983" s="31">
        <v>0</v>
      </c>
      <c r="V983">
        <v>981</v>
      </c>
      <c r="W983">
        <v>21</v>
      </c>
      <c r="X983">
        <v>1.022</v>
      </c>
      <c r="Y983" s="32">
        <v>2.71</v>
      </c>
      <c r="Z983">
        <v>0</v>
      </c>
      <c r="AA983" s="32">
        <v>1.284</v>
      </c>
      <c r="AB983">
        <v>0</v>
      </c>
      <c r="AC983" s="34">
        <v>0.11700000000000001</v>
      </c>
      <c r="AD983" s="32">
        <v>1.3080000000000001</v>
      </c>
    </row>
    <row r="984" spans="1:30">
      <c r="A984">
        <v>982</v>
      </c>
      <c r="B984">
        <v>23</v>
      </c>
      <c r="C984">
        <v>1.0109999999999999</v>
      </c>
      <c r="D984">
        <v>2.71</v>
      </c>
      <c r="E984">
        <v>0</v>
      </c>
      <c r="F984">
        <v>1.3169999999999999</v>
      </c>
      <c r="G984">
        <v>0</v>
      </c>
      <c r="H984">
        <v>0.14299999999999999</v>
      </c>
      <c r="I984">
        <v>1.3320000000000001</v>
      </c>
      <c r="K984">
        <v>982</v>
      </c>
      <c r="L984">
        <v>23</v>
      </c>
      <c r="M984" s="32">
        <v>1.0109999999999999</v>
      </c>
      <c r="N984" s="32">
        <v>2.71</v>
      </c>
      <c r="P984" s="32">
        <v>1.3169999999999999</v>
      </c>
      <c r="R984" s="32">
        <v>0.14299999999999999</v>
      </c>
      <c r="S984" s="32">
        <v>1.3320000000000001</v>
      </c>
      <c r="T984" s="31">
        <v>0</v>
      </c>
      <c r="V984">
        <v>982</v>
      </c>
      <c r="W984">
        <v>22</v>
      </c>
      <c r="X984">
        <v>1.0229999999999999</v>
      </c>
      <c r="Y984" s="32">
        <v>2.71</v>
      </c>
      <c r="Z984">
        <v>0</v>
      </c>
      <c r="AA984" s="32">
        <v>1.284</v>
      </c>
      <c r="AB984">
        <v>0</v>
      </c>
      <c r="AC984" s="34">
        <v>0.11700000000000001</v>
      </c>
      <c r="AD984" s="32">
        <v>1.3089999999999999</v>
      </c>
    </row>
    <row r="985" spans="1:30">
      <c r="A985">
        <v>983</v>
      </c>
      <c r="B985">
        <v>23</v>
      </c>
      <c r="C985">
        <v>1.012</v>
      </c>
      <c r="D985">
        <v>2.71</v>
      </c>
      <c r="E985">
        <v>0</v>
      </c>
      <c r="F985">
        <v>1.3180000000000001</v>
      </c>
      <c r="G985">
        <v>0</v>
      </c>
      <c r="H985">
        <v>0.14299999999999999</v>
      </c>
      <c r="I985">
        <v>1.333</v>
      </c>
      <c r="K985">
        <v>983</v>
      </c>
      <c r="L985">
        <v>23</v>
      </c>
      <c r="M985" s="32">
        <v>1.012</v>
      </c>
      <c r="N985" s="32">
        <v>2.71</v>
      </c>
      <c r="P985" s="32">
        <v>1.3180000000000001</v>
      </c>
      <c r="R985" s="47">
        <v>0.14199999999999999</v>
      </c>
      <c r="S985" s="32">
        <v>1.333</v>
      </c>
      <c r="T985" s="31">
        <v>0</v>
      </c>
      <c r="V985">
        <v>983</v>
      </c>
      <c r="W985">
        <v>22</v>
      </c>
      <c r="X985">
        <v>1.024</v>
      </c>
      <c r="Y985" s="32">
        <v>2.71</v>
      </c>
      <c r="Z985">
        <v>0</v>
      </c>
      <c r="AA985" s="32">
        <v>1.284</v>
      </c>
      <c r="AB985">
        <v>0</v>
      </c>
      <c r="AC985" s="34">
        <v>0.11700000000000001</v>
      </c>
      <c r="AD985" s="32">
        <v>1.3109999999999999</v>
      </c>
    </row>
    <row r="986" spans="1:30">
      <c r="A986">
        <v>984</v>
      </c>
      <c r="B986">
        <v>23</v>
      </c>
      <c r="C986">
        <v>1.0129999999999999</v>
      </c>
      <c r="D986">
        <v>2.72</v>
      </c>
      <c r="E986">
        <v>0</v>
      </c>
      <c r="F986">
        <v>1.3180000000000001</v>
      </c>
      <c r="G986">
        <v>0</v>
      </c>
      <c r="H986">
        <v>0.14299999999999999</v>
      </c>
      <c r="I986">
        <v>1.335</v>
      </c>
      <c r="K986">
        <v>984</v>
      </c>
      <c r="L986">
        <v>23</v>
      </c>
      <c r="M986" s="32">
        <v>1.0129999999999999</v>
      </c>
      <c r="N986" s="47">
        <v>2.71</v>
      </c>
      <c r="P986" s="32">
        <v>1.3180000000000001</v>
      </c>
      <c r="R986" s="47">
        <v>0.14199999999999999</v>
      </c>
      <c r="S986" s="32">
        <v>1.335</v>
      </c>
      <c r="T986" s="31">
        <v>0</v>
      </c>
      <c r="V986">
        <v>984</v>
      </c>
      <c r="W986">
        <v>22</v>
      </c>
      <c r="X986">
        <v>1.0249999999999999</v>
      </c>
      <c r="Y986" s="32">
        <v>2.71</v>
      </c>
      <c r="Z986">
        <v>0</v>
      </c>
      <c r="AA986" s="32">
        <v>1.284</v>
      </c>
      <c r="AB986">
        <v>0</v>
      </c>
      <c r="AC986" s="34">
        <v>0.11700000000000001</v>
      </c>
      <c r="AD986" s="32">
        <v>1.3120000000000001</v>
      </c>
    </row>
    <row r="987" spans="1:30">
      <c r="A987">
        <v>985</v>
      </c>
      <c r="B987">
        <v>23</v>
      </c>
      <c r="C987">
        <v>1.014</v>
      </c>
      <c r="D987">
        <v>2.72</v>
      </c>
      <c r="E987">
        <v>0</v>
      </c>
      <c r="F987">
        <v>1.3180000000000001</v>
      </c>
      <c r="G987">
        <v>0</v>
      </c>
      <c r="H987">
        <v>0.14299999999999999</v>
      </c>
      <c r="I987">
        <v>1.337</v>
      </c>
      <c r="K987">
        <v>985</v>
      </c>
      <c r="L987">
        <v>23</v>
      </c>
      <c r="M987" s="32">
        <v>1.014</v>
      </c>
      <c r="N987" s="47">
        <v>2.71</v>
      </c>
      <c r="P987" s="47">
        <v>1.319</v>
      </c>
      <c r="R987" s="47">
        <v>0.14199999999999999</v>
      </c>
      <c r="S987" s="32">
        <v>1.337</v>
      </c>
      <c r="T987" s="31">
        <v>0</v>
      </c>
      <c r="V987">
        <v>985</v>
      </c>
      <c r="W987">
        <v>22</v>
      </c>
      <c r="X987">
        <v>1.026</v>
      </c>
      <c r="Y987" s="32">
        <v>2.71</v>
      </c>
      <c r="Z987">
        <v>0</v>
      </c>
      <c r="AA987" s="32">
        <v>1.2849999999999999</v>
      </c>
      <c r="AB987">
        <v>0</v>
      </c>
      <c r="AC987" s="34">
        <v>0.11700000000000001</v>
      </c>
      <c r="AD987" s="32">
        <v>1.3140000000000001</v>
      </c>
    </row>
    <row r="988" spans="1:30">
      <c r="A988">
        <v>986</v>
      </c>
      <c r="B988">
        <v>23</v>
      </c>
      <c r="C988">
        <v>1.0149999999999999</v>
      </c>
      <c r="D988">
        <v>2.72</v>
      </c>
      <c r="E988">
        <v>0</v>
      </c>
      <c r="F988">
        <v>1.319</v>
      </c>
      <c r="G988">
        <v>0</v>
      </c>
      <c r="H988">
        <v>0.14299999999999999</v>
      </c>
      <c r="I988">
        <v>1.3380000000000001</v>
      </c>
      <c r="K988">
        <v>986</v>
      </c>
      <c r="L988">
        <v>23</v>
      </c>
      <c r="M988" s="32">
        <v>1.0149999999999999</v>
      </c>
      <c r="N988" s="47">
        <v>2.71</v>
      </c>
      <c r="P988" s="32">
        <v>1.319</v>
      </c>
      <c r="R988" s="47">
        <v>0.14099999999999999</v>
      </c>
      <c r="S988" s="47">
        <v>1.339</v>
      </c>
      <c r="T988" s="31">
        <v>0</v>
      </c>
      <c r="V988">
        <v>986</v>
      </c>
      <c r="W988">
        <v>22</v>
      </c>
      <c r="X988">
        <v>1.0269999999999999</v>
      </c>
      <c r="Y988" s="32">
        <v>2.71</v>
      </c>
      <c r="Z988">
        <v>0</v>
      </c>
      <c r="AA988" s="32">
        <v>1.2849999999999999</v>
      </c>
      <c r="AB988">
        <v>0</v>
      </c>
      <c r="AC988" s="34">
        <v>0.11700000000000001</v>
      </c>
      <c r="AD988" s="32">
        <v>1.3149999999999999</v>
      </c>
    </row>
    <row r="989" spans="1:30">
      <c r="A989">
        <v>987</v>
      </c>
      <c r="B989">
        <v>23</v>
      </c>
      <c r="C989">
        <v>1.016</v>
      </c>
      <c r="D989">
        <v>2.72</v>
      </c>
      <c r="E989">
        <v>0</v>
      </c>
      <c r="F989">
        <v>1.319</v>
      </c>
      <c r="G989">
        <v>0</v>
      </c>
      <c r="H989">
        <v>0.14299999999999999</v>
      </c>
      <c r="I989">
        <v>1.34</v>
      </c>
      <c r="K989">
        <v>987</v>
      </c>
      <c r="L989">
        <v>23</v>
      </c>
      <c r="M989" s="32">
        <v>1.016</v>
      </c>
      <c r="N989" s="47">
        <v>2.71</v>
      </c>
      <c r="P989" s="32">
        <v>1.319</v>
      </c>
      <c r="R989" s="47">
        <v>0.14099999999999999</v>
      </c>
      <c r="S989" s="32">
        <v>1.34</v>
      </c>
      <c r="T989" s="31">
        <v>0</v>
      </c>
      <c r="V989">
        <v>987</v>
      </c>
      <c r="W989">
        <v>22</v>
      </c>
      <c r="X989">
        <v>1.028</v>
      </c>
      <c r="Y989" s="32">
        <v>2.71</v>
      </c>
      <c r="Z989">
        <v>0</v>
      </c>
      <c r="AA989" s="32">
        <v>1.2849999999999999</v>
      </c>
      <c r="AB989">
        <v>0</v>
      </c>
      <c r="AC989" s="34">
        <v>0.11700000000000001</v>
      </c>
      <c r="AD989" s="32">
        <v>1.3169999999999999</v>
      </c>
    </row>
    <row r="990" spans="1:30">
      <c r="A990">
        <v>988</v>
      </c>
      <c r="B990">
        <v>23</v>
      </c>
      <c r="C990">
        <v>1.0169999999999999</v>
      </c>
      <c r="D990">
        <v>2.72</v>
      </c>
      <c r="E990">
        <v>0</v>
      </c>
      <c r="F990">
        <v>1.319</v>
      </c>
      <c r="G990">
        <v>0</v>
      </c>
      <c r="H990">
        <v>0.14299999999999999</v>
      </c>
      <c r="I990">
        <v>1.3420000000000001</v>
      </c>
      <c r="K990">
        <v>988</v>
      </c>
      <c r="L990">
        <v>23</v>
      </c>
      <c r="M990" s="32">
        <v>1.0169999999999999</v>
      </c>
      <c r="N990" s="47">
        <v>2.71</v>
      </c>
      <c r="P990" s="47">
        <v>1.32</v>
      </c>
      <c r="R990" s="47">
        <v>0.14000000000000001</v>
      </c>
      <c r="S990" s="32">
        <v>1.3420000000000001</v>
      </c>
      <c r="T990" s="31">
        <v>0</v>
      </c>
      <c r="V990">
        <v>988</v>
      </c>
      <c r="W990">
        <v>22</v>
      </c>
      <c r="X990">
        <v>1.0289999999999999</v>
      </c>
      <c r="Y990" s="32">
        <v>2.71</v>
      </c>
      <c r="Z990">
        <v>0</v>
      </c>
      <c r="AA990" s="32">
        <v>1.2849999999999999</v>
      </c>
      <c r="AB990">
        <v>0</v>
      </c>
      <c r="AC990" s="34">
        <v>0.11700000000000001</v>
      </c>
      <c r="AD990" s="32">
        <v>1.3180000000000001</v>
      </c>
    </row>
    <row r="991" spans="1:30">
      <c r="A991">
        <v>989</v>
      </c>
      <c r="B991">
        <v>23</v>
      </c>
      <c r="C991">
        <v>1.018</v>
      </c>
      <c r="D991">
        <v>2.72</v>
      </c>
      <c r="E991">
        <v>0</v>
      </c>
      <c r="F991">
        <v>1.32</v>
      </c>
      <c r="G991">
        <v>0</v>
      </c>
      <c r="H991">
        <v>0.14299999999999999</v>
      </c>
      <c r="I991">
        <v>1.343</v>
      </c>
      <c r="K991">
        <v>989</v>
      </c>
      <c r="L991">
        <v>23</v>
      </c>
      <c r="M991" s="32">
        <v>1.018</v>
      </c>
      <c r="N991" s="47">
        <v>2.71</v>
      </c>
      <c r="P991" s="32">
        <v>1.32</v>
      </c>
      <c r="R991" s="47">
        <v>0.14000000000000001</v>
      </c>
      <c r="S991" s="47">
        <v>1.3440000000000001</v>
      </c>
      <c r="T991" s="31">
        <v>0</v>
      </c>
      <c r="V991">
        <v>989</v>
      </c>
      <c r="W991">
        <v>22</v>
      </c>
      <c r="X991">
        <v>1.03</v>
      </c>
      <c r="Y991" s="32">
        <v>2.71</v>
      </c>
      <c r="Z991">
        <v>0</v>
      </c>
      <c r="AA991" s="32">
        <v>1.286</v>
      </c>
      <c r="AB991">
        <v>0</v>
      </c>
      <c r="AC991" s="34">
        <v>0.11799999999999999</v>
      </c>
      <c r="AD991" s="32">
        <v>1.32</v>
      </c>
    </row>
    <row r="992" spans="1:30">
      <c r="A992">
        <v>990</v>
      </c>
      <c r="B992">
        <v>23</v>
      </c>
      <c r="C992">
        <v>1.0189999999999999</v>
      </c>
      <c r="D992">
        <v>2.73</v>
      </c>
      <c r="E992">
        <v>0</v>
      </c>
      <c r="F992">
        <v>1.32</v>
      </c>
      <c r="G992">
        <v>0</v>
      </c>
      <c r="H992">
        <v>0.14299999999999999</v>
      </c>
      <c r="I992">
        <v>1.345</v>
      </c>
      <c r="K992">
        <v>990</v>
      </c>
      <c r="L992">
        <v>23</v>
      </c>
      <c r="M992" s="32">
        <v>1.0189999999999999</v>
      </c>
      <c r="N992" s="47">
        <v>2.71</v>
      </c>
      <c r="P992" s="47">
        <v>1.321</v>
      </c>
      <c r="R992" s="47">
        <v>0.14000000000000001</v>
      </c>
      <c r="S992" s="32">
        <v>1.345</v>
      </c>
      <c r="T992" s="31">
        <v>0</v>
      </c>
      <c r="V992">
        <v>990</v>
      </c>
      <c r="W992">
        <v>22</v>
      </c>
      <c r="X992">
        <v>1.0309999999999999</v>
      </c>
      <c r="Y992" s="32">
        <v>2.71</v>
      </c>
      <c r="Z992">
        <v>0</v>
      </c>
      <c r="AA992" s="32">
        <v>1.286</v>
      </c>
      <c r="AB992">
        <v>0</v>
      </c>
      <c r="AC992" s="34">
        <v>0.11799999999999999</v>
      </c>
      <c r="AD992" s="32">
        <v>1.321</v>
      </c>
    </row>
    <row r="993" spans="1:30">
      <c r="A993">
        <v>991</v>
      </c>
      <c r="B993">
        <v>23</v>
      </c>
      <c r="C993">
        <v>1.02</v>
      </c>
      <c r="D993">
        <v>2.71</v>
      </c>
      <c r="E993">
        <v>0</v>
      </c>
      <c r="F993">
        <v>1.321</v>
      </c>
      <c r="G993">
        <v>0</v>
      </c>
      <c r="H993">
        <v>0.14299999999999999</v>
      </c>
      <c r="I993">
        <v>1.347</v>
      </c>
      <c r="K993">
        <v>991</v>
      </c>
      <c r="L993">
        <v>23</v>
      </c>
      <c r="M993" s="32">
        <v>1.02</v>
      </c>
      <c r="N993" s="32">
        <v>2.71</v>
      </c>
      <c r="P993" s="32">
        <v>1.321</v>
      </c>
      <c r="R993" s="47">
        <v>0.13900000000000001</v>
      </c>
      <c r="S993" s="32">
        <v>1.347</v>
      </c>
      <c r="T993" s="31">
        <v>0</v>
      </c>
      <c r="V993">
        <v>991</v>
      </c>
      <c r="W993">
        <v>22</v>
      </c>
      <c r="X993">
        <v>1.032</v>
      </c>
      <c r="Y993" s="32">
        <v>2.71</v>
      </c>
      <c r="Z993">
        <v>0</v>
      </c>
      <c r="AA993" s="32">
        <v>1.286</v>
      </c>
      <c r="AB993">
        <v>0</v>
      </c>
      <c r="AC993" s="34">
        <v>0.11799999999999999</v>
      </c>
      <c r="AD993" s="32">
        <v>1.323</v>
      </c>
    </row>
    <row r="994" spans="1:30">
      <c r="A994">
        <v>992</v>
      </c>
      <c r="B994">
        <v>23</v>
      </c>
      <c r="C994">
        <v>1.0209999999999999</v>
      </c>
      <c r="D994">
        <v>2.71</v>
      </c>
      <c r="E994">
        <v>0</v>
      </c>
      <c r="F994">
        <v>1.321</v>
      </c>
      <c r="G994">
        <v>0</v>
      </c>
      <c r="H994">
        <v>0.14299999999999999</v>
      </c>
      <c r="I994">
        <v>1.365</v>
      </c>
      <c r="K994">
        <v>992</v>
      </c>
      <c r="L994">
        <v>23</v>
      </c>
      <c r="M994" s="32">
        <v>1.0209999999999999</v>
      </c>
      <c r="N994" s="32">
        <v>2.71</v>
      </c>
      <c r="P994" s="32">
        <v>1.321</v>
      </c>
      <c r="R994" s="47">
        <v>0.13900000000000001</v>
      </c>
      <c r="S994" s="47">
        <v>1.349</v>
      </c>
      <c r="T994" s="31">
        <v>0</v>
      </c>
      <c r="V994">
        <v>992</v>
      </c>
      <c r="W994">
        <v>22</v>
      </c>
      <c r="X994">
        <v>1.0329999999999999</v>
      </c>
      <c r="Y994" s="32">
        <v>2.71</v>
      </c>
      <c r="Z994">
        <v>0</v>
      </c>
      <c r="AA994" s="32">
        <v>1.286</v>
      </c>
      <c r="AB994">
        <v>0</v>
      </c>
      <c r="AC994" s="34">
        <v>0.11799999999999999</v>
      </c>
      <c r="AD994" s="32">
        <v>1.3240000000000001</v>
      </c>
    </row>
    <row r="995" spans="1:30">
      <c r="A995">
        <v>993</v>
      </c>
      <c r="B995">
        <v>23</v>
      </c>
      <c r="C995">
        <v>1.022</v>
      </c>
      <c r="D995">
        <v>2.71</v>
      </c>
      <c r="E995">
        <v>0</v>
      </c>
      <c r="F995">
        <v>1.321</v>
      </c>
      <c r="G995">
        <v>0</v>
      </c>
      <c r="H995">
        <v>0.14299999999999999</v>
      </c>
      <c r="I995">
        <v>1.367</v>
      </c>
      <c r="K995">
        <v>993</v>
      </c>
      <c r="L995">
        <v>23</v>
      </c>
      <c r="M995" s="32">
        <v>1.022</v>
      </c>
      <c r="N995" s="32">
        <v>2.71</v>
      </c>
      <c r="P995" s="47">
        <v>1.3220000000000001</v>
      </c>
      <c r="R995" s="47">
        <v>0.13900000000000001</v>
      </c>
      <c r="S995" s="47">
        <v>1.35</v>
      </c>
      <c r="T995" s="31">
        <v>0</v>
      </c>
      <c r="V995">
        <v>993</v>
      </c>
      <c r="W995">
        <v>22</v>
      </c>
      <c r="X995">
        <v>1.034</v>
      </c>
      <c r="Y995" s="32">
        <v>2.71</v>
      </c>
      <c r="Z995">
        <v>0</v>
      </c>
      <c r="AA995" s="32">
        <v>1.2869999999999999</v>
      </c>
      <c r="AB995">
        <v>0</v>
      </c>
      <c r="AC995" s="34">
        <v>0.11799999999999999</v>
      </c>
      <c r="AD995" s="32">
        <v>1.3260000000000001</v>
      </c>
    </row>
    <row r="996" spans="1:30">
      <c r="A996">
        <v>994</v>
      </c>
      <c r="B996">
        <v>23</v>
      </c>
      <c r="C996">
        <v>1.0229999999999999</v>
      </c>
      <c r="D996">
        <v>2.71</v>
      </c>
      <c r="E996">
        <v>0</v>
      </c>
      <c r="F996">
        <v>1.321</v>
      </c>
      <c r="G996">
        <v>0</v>
      </c>
      <c r="H996">
        <v>0.14299999999999999</v>
      </c>
      <c r="I996">
        <v>1.369</v>
      </c>
      <c r="K996">
        <v>994</v>
      </c>
      <c r="L996">
        <v>23</v>
      </c>
      <c r="M996" s="32">
        <v>1.0229999999999999</v>
      </c>
      <c r="N996" s="32">
        <v>2.71</v>
      </c>
      <c r="P996" s="47">
        <v>1.3220000000000001</v>
      </c>
      <c r="R996" s="47">
        <v>0.13800000000000001</v>
      </c>
      <c r="S996" s="47">
        <v>1.3520000000000001</v>
      </c>
      <c r="T996" s="31">
        <v>0</v>
      </c>
      <c r="V996">
        <v>994</v>
      </c>
      <c r="W996">
        <v>22</v>
      </c>
      <c r="X996">
        <v>1.0349999999999999</v>
      </c>
      <c r="Y996" s="32">
        <v>2.71</v>
      </c>
      <c r="Z996">
        <v>0</v>
      </c>
      <c r="AA996" s="32">
        <v>1.2869999999999999</v>
      </c>
      <c r="AB996">
        <v>0</v>
      </c>
      <c r="AC996" s="34">
        <v>0.11799999999999999</v>
      </c>
      <c r="AD996" s="32">
        <v>1.327</v>
      </c>
    </row>
    <row r="997" spans="1:30">
      <c r="A997">
        <v>995</v>
      </c>
      <c r="B997">
        <v>23</v>
      </c>
      <c r="C997">
        <v>1.024</v>
      </c>
      <c r="D997">
        <v>2.71</v>
      </c>
      <c r="E997">
        <v>0</v>
      </c>
      <c r="F997">
        <v>1.321</v>
      </c>
      <c r="G997">
        <v>0</v>
      </c>
      <c r="H997">
        <v>0.14299999999999999</v>
      </c>
      <c r="I997">
        <v>1.37</v>
      </c>
      <c r="K997">
        <v>995</v>
      </c>
      <c r="L997">
        <v>23</v>
      </c>
      <c r="M997" s="32">
        <v>1.024</v>
      </c>
      <c r="N997" s="32">
        <v>2.71</v>
      </c>
      <c r="P997" s="47">
        <v>1.3220000000000001</v>
      </c>
      <c r="R997" s="47">
        <v>0.13800000000000001</v>
      </c>
      <c r="S997" s="47">
        <v>1.353</v>
      </c>
      <c r="T997" s="31">
        <v>0</v>
      </c>
      <c r="V997">
        <v>995</v>
      </c>
      <c r="W997">
        <v>22</v>
      </c>
      <c r="X997">
        <v>1.036</v>
      </c>
      <c r="Y997" s="32">
        <v>2.71</v>
      </c>
      <c r="Z997">
        <v>0</v>
      </c>
      <c r="AA997" s="32">
        <v>1.2869999999999999</v>
      </c>
      <c r="AB997">
        <v>0</v>
      </c>
      <c r="AC997" s="34">
        <v>0.11799999999999999</v>
      </c>
      <c r="AD997" s="32">
        <v>1.329</v>
      </c>
    </row>
    <row r="998" spans="1:30">
      <c r="A998">
        <v>996</v>
      </c>
      <c r="B998">
        <v>23</v>
      </c>
      <c r="C998">
        <v>1.0249999999999999</v>
      </c>
      <c r="D998">
        <v>2.71</v>
      </c>
      <c r="E998">
        <v>0</v>
      </c>
      <c r="F998">
        <v>1.321</v>
      </c>
      <c r="G998">
        <v>0</v>
      </c>
      <c r="H998">
        <v>0.14299999999999999</v>
      </c>
      <c r="I998">
        <v>1.3720000000000001</v>
      </c>
      <c r="K998">
        <v>996</v>
      </c>
      <c r="L998">
        <v>23</v>
      </c>
      <c r="M998" s="32">
        <v>1.0249999999999999</v>
      </c>
      <c r="N998" s="32">
        <v>2.71</v>
      </c>
      <c r="P998" s="47">
        <v>1.323</v>
      </c>
      <c r="R998" s="47">
        <v>0.13700000000000001</v>
      </c>
      <c r="S998" s="47">
        <v>1.355</v>
      </c>
      <c r="T998" s="31">
        <v>0</v>
      </c>
      <c r="V998">
        <v>996</v>
      </c>
      <c r="W998">
        <v>22</v>
      </c>
      <c r="X998">
        <v>1.0369999999999999</v>
      </c>
      <c r="Y998" s="32">
        <v>2.71</v>
      </c>
      <c r="Z998">
        <v>0</v>
      </c>
      <c r="AA998" s="32">
        <v>1.2869999999999999</v>
      </c>
      <c r="AB998">
        <v>0</v>
      </c>
      <c r="AC998" s="34">
        <v>0.11799999999999999</v>
      </c>
      <c r="AD998" s="32">
        <v>1.33</v>
      </c>
    </row>
    <row r="999" spans="1:30">
      <c r="A999">
        <v>997</v>
      </c>
      <c r="B999">
        <v>23</v>
      </c>
      <c r="C999">
        <v>1.026</v>
      </c>
      <c r="D999">
        <v>2.71</v>
      </c>
      <c r="E999">
        <v>0</v>
      </c>
      <c r="F999">
        <v>1.321</v>
      </c>
      <c r="G999">
        <v>0</v>
      </c>
      <c r="H999">
        <v>0.14299999999999999</v>
      </c>
      <c r="I999">
        <v>1.3740000000000001</v>
      </c>
      <c r="K999">
        <v>997</v>
      </c>
      <c r="L999">
        <v>23</v>
      </c>
      <c r="M999" s="32">
        <v>1.026</v>
      </c>
      <c r="N999" s="32">
        <v>2.71</v>
      </c>
      <c r="P999" s="47">
        <v>1.323</v>
      </c>
      <c r="R999" s="47">
        <v>0.13700000000000001</v>
      </c>
      <c r="S999" s="47">
        <v>1.357</v>
      </c>
      <c r="T999" s="31">
        <v>0</v>
      </c>
      <c r="V999">
        <v>997</v>
      </c>
      <c r="W999">
        <v>22</v>
      </c>
      <c r="X999">
        <v>1.038</v>
      </c>
      <c r="Y999" s="32">
        <v>2.71</v>
      </c>
      <c r="Z999">
        <v>0</v>
      </c>
      <c r="AA999" s="32">
        <v>1.288</v>
      </c>
      <c r="AB999">
        <v>0</v>
      </c>
      <c r="AC999" s="34">
        <v>0.11799999999999999</v>
      </c>
      <c r="AD999" s="32">
        <v>1.3320000000000001</v>
      </c>
    </row>
    <row r="1000" spans="1:30">
      <c r="A1000">
        <v>998</v>
      </c>
      <c r="B1000">
        <v>23</v>
      </c>
      <c r="C1000">
        <v>1.0269999999999999</v>
      </c>
      <c r="D1000">
        <v>2.71</v>
      </c>
      <c r="E1000">
        <v>0</v>
      </c>
      <c r="F1000">
        <v>1.321</v>
      </c>
      <c r="G1000">
        <v>0</v>
      </c>
      <c r="H1000">
        <v>0.14299999999999999</v>
      </c>
      <c r="I1000">
        <v>1.375</v>
      </c>
      <c r="K1000">
        <v>998</v>
      </c>
      <c r="L1000">
        <v>23</v>
      </c>
      <c r="M1000" s="32">
        <v>1.0269999999999999</v>
      </c>
      <c r="N1000" s="32">
        <v>2.71</v>
      </c>
      <c r="P1000" s="47">
        <v>1.323</v>
      </c>
      <c r="R1000" s="47">
        <v>0.13700000000000001</v>
      </c>
      <c r="S1000" s="47">
        <v>1.3580000000000001</v>
      </c>
      <c r="T1000" s="31">
        <v>0</v>
      </c>
      <c r="V1000">
        <v>998</v>
      </c>
      <c r="W1000">
        <v>22</v>
      </c>
      <c r="X1000">
        <v>1.0389999999999999</v>
      </c>
      <c r="Y1000" s="32">
        <v>2.71</v>
      </c>
      <c r="Z1000">
        <v>0</v>
      </c>
      <c r="AA1000" s="32">
        <v>1.288</v>
      </c>
      <c r="AB1000">
        <v>0</v>
      </c>
      <c r="AC1000" s="34">
        <v>0.11799999999999999</v>
      </c>
      <c r="AD1000" s="32">
        <v>1.333</v>
      </c>
    </row>
    <row r="1001" spans="1:30">
      <c r="A1001">
        <v>999</v>
      </c>
      <c r="B1001">
        <v>23</v>
      </c>
      <c r="C1001">
        <v>1.028</v>
      </c>
      <c r="D1001">
        <v>2.71</v>
      </c>
      <c r="E1001">
        <v>0</v>
      </c>
      <c r="F1001">
        <v>1.321</v>
      </c>
      <c r="G1001">
        <v>0</v>
      </c>
      <c r="H1001">
        <v>0.14299999999999999</v>
      </c>
      <c r="I1001">
        <v>1.377</v>
      </c>
      <c r="K1001">
        <v>999</v>
      </c>
      <c r="L1001">
        <v>23</v>
      </c>
      <c r="M1001" s="32">
        <v>1.028</v>
      </c>
      <c r="N1001" s="32">
        <v>2.71</v>
      </c>
      <c r="P1001" s="47">
        <v>1.323</v>
      </c>
      <c r="R1001" s="47">
        <v>0.13600000000000001</v>
      </c>
      <c r="S1001" s="47">
        <v>1.36</v>
      </c>
      <c r="T1001" s="31">
        <v>0</v>
      </c>
      <c r="V1001">
        <v>999</v>
      </c>
      <c r="W1001">
        <v>22</v>
      </c>
      <c r="X1001">
        <v>1.04</v>
      </c>
      <c r="Y1001" s="32">
        <v>2.71</v>
      </c>
      <c r="Z1001">
        <v>0</v>
      </c>
      <c r="AA1001" s="32">
        <v>1.288</v>
      </c>
      <c r="AB1001">
        <v>0</v>
      </c>
      <c r="AC1001" s="34">
        <v>0.11799999999999999</v>
      </c>
      <c r="AD1001" s="32">
        <v>1.335</v>
      </c>
    </row>
    <row r="1002" spans="1:30">
      <c r="A1002">
        <v>1000</v>
      </c>
      <c r="B1002">
        <v>23</v>
      </c>
      <c r="C1002">
        <v>1.0289999999999999</v>
      </c>
      <c r="D1002">
        <v>2.71</v>
      </c>
      <c r="E1002">
        <v>0</v>
      </c>
      <c r="F1002">
        <v>1.321</v>
      </c>
      <c r="G1002">
        <v>0</v>
      </c>
      <c r="H1002">
        <v>0.14299999999999999</v>
      </c>
      <c r="I1002">
        <v>1.379</v>
      </c>
      <c r="K1002">
        <v>1000</v>
      </c>
      <c r="L1002">
        <v>23</v>
      </c>
      <c r="M1002" s="32">
        <v>1.0289999999999999</v>
      </c>
      <c r="N1002" s="32">
        <v>2.71</v>
      </c>
      <c r="P1002" s="47">
        <v>1.3240000000000001</v>
      </c>
      <c r="R1002" s="47">
        <v>0.13600000000000001</v>
      </c>
      <c r="S1002" s="47">
        <v>1.361</v>
      </c>
      <c r="T1002" s="31">
        <v>0</v>
      </c>
      <c r="V1002">
        <v>1000</v>
      </c>
      <c r="W1002">
        <v>22</v>
      </c>
      <c r="X1002">
        <v>1.0409999999999999</v>
      </c>
      <c r="Y1002" s="32">
        <v>2.71</v>
      </c>
      <c r="Z1002">
        <v>0</v>
      </c>
      <c r="AA1002" s="32">
        <v>1.288</v>
      </c>
      <c r="AB1002">
        <v>0</v>
      </c>
      <c r="AC1002" s="34">
        <v>0.11799999999999999</v>
      </c>
      <c r="AD1002" s="32">
        <v>1.3360000000000001</v>
      </c>
    </row>
    <row r="1003" spans="1:30">
      <c r="A1003">
        <v>1001</v>
      </c>
      <c r="B1003">
        <v>23</v>
      </c>
      <c r="C1003">
        <v>1.03</v>
      </c>
      <c r="D1003">
        <v>2.71</v>
      </c>
      <c r="E1003">
        <v>0</v>
      </c>
      <c r="F1003">
        <v>1.3240000000000001</v>
      </c>
      <c r="G1003">
        <v>0</v>
      </c>
      <c r="H1003">
        <v>0.14299999999999999</v>
      </c>
      <c r="I1003">
        <v>1.363</v>
      </c>
      <c r="K1003">
        <v>1001</v>
      </c>
      <c r="L1003">
        <v>23</v>
      </c>
      <c r="M1003" s="32">
        <v>1.03</v>
      </c>
      <c r="N1003" s="32">
        <v>2.71</v>
      </c>
      <c r="P1003" s="32">
        <v>1.3240000000000001</v>
      </c>
      <c r="R1003" s="47">
        <v>0.13600000000000001</v>
      </c>
      <c r="S1003" s="32">
        <v>1.363</v>
      </c>
      <c r="T1003" s="31">
        <v>0</v>
      </c>
      <c r="V1003">
        <v>1001</v>
      </c>
      <c r="W1003">
        <v>22</v>
      </c>
      <c r="X1003">
        <v>1.042</v>
      </c>
      <c r="Y1003" s="32">
        <v>2.71</v>
      </c>
      <c r="Z1003">
        <v>0</v>
      </c>
      <c r="AA1003" s="32">
        <v>1.288</v>
      </c>
      <c r="AB1003">
        <v>0</v>
      </c>
      <c r="AC1003" s="34">
        <v>0.11799999999999999</v>
      </c>
      <c r="AD1003" s="32">
        <v>1.3380000000000001</v>
      </c>
    </row>
    <row r="1004" spans="1:30">
      <c r="A1004">
        <v>1002</v>
      </c>
      <c r="B1004">
        <v>23</v>
      </c>
      <c r="C1004">
        <v>1.0309999999999999</v>
      </c>
      <c r="D1004">
        <v>2.71</v>
      </c>
      <c r="E1004">
        <v>0</v>
      </c>
      <c r="F1004">
        <v>1.3240000000000001</v>
      </c>
      <c r="G1004">
        <v>0</v>
      </c>
      <c r="H1004">
        <v>0.14299999999999999</v>
      </c>
      <c r="I1004">
        <v>1.3979999999999999</v>
      </c>
      <c r="K1004">
        <v>1002</v>
      </c>
      <c r="L1004">
        <v>23</v>
      </c>
      <c r="M1004" s="32">
        <v>1.0309999999999999</v>
      </c>
      <c r="N1004" s="32">
        <v>2.71</v>
      </c>
      <c r="P1004" s="32">
        <v>1.3240000000000001</v>
      </c>
      <c r="R1004" s="47">
        <v>0.13500000000000001</v>
      </c>
      <c r="S1004" s="47">
        <v>1.365</v>
      </c>
      <c r="T1004" s="31">
        <v>0</v>
      </c>
      <c r="V1004">
        <v>1002</v>
      </c>
      <c r="W1004">
        <v>22</v>
      </c>
      <c r="X1004">
        <v>1.0429999999999999</v>
      </c>
      <c r="Y1004" s="32">
        <v>2.71</v>
      </c>
      <c r="Z1004">
        <v>0</v>
      </c>
      <c r="AA1004" s="32">
        <v>1.2889999999999999</v>
      </c>
      <c r="AB1004">
        <v>0</v>
      </c>
      <c r="AC1004" s="34">
        <v>0.11799999999999999</v>
      </c>
      <c r="AD1004" s="32">
        <v>1.339</v>
      </c>
    </row>
    <row r="1005" spans="1:30">
      <c r="A1005">
        <v>1003</v>
      </c>
      <c r="B1005">
        <v>23</v>
      </c>
      <c r="C1005">
        <v>1.032</v>
      </c>
      <c r="D1005">
        <v>2.71</v>
      </c>
      <c r="E1005">
        <v>0</v>
      </c>
      <c r="F1005">
        <v>1.3240000000000001</v>
      </c>
      <c r="G1005">
        <v>0</v>
      </c>
      <c r="H1005">
        <v>0.14299999999999999</v>
      </c>
      <c r="I1005">
        <v>1.4</v>
      </c>
      <c r="K1005">
        <v>1003</v>
      </c>
      <c r="L1005">
        <v>23</v>
      </c>
      <c r="M1005" s="32">
        <v>1.032</v>
      </c>
      <c r="N1005" s="32">
        <v>2.71</v>
      </c>
      <c r="P1005" s="47">
        <v>1.325</v>
      </c>
      <c r="R1005" s="47">
        <v>0.13500000000000001</v>
      </c>
      <c r="S1005" s="47">
        <v>1.3660000000000001</v>
      </c>
      <c r="T1005" s="31">
        <v>0</v>
      </c>
      <c r="V1005">
        <v>1003</v>
      </c>
      <c r="W1005">
        <v>22</v>
      </c>
      <c r="X1005">
        <v>1.044</v>
      </c>
      <c r="Y1005" s="32">
        <v>2.71</v>
      </c>
      <c r="Z1005">
        <v>0</v>
      </c>
      <c r="AA1005" s="32">
        <v>1.2889999999999999</v>
      </c>
      <c r="AB1005">
        <v>0</v>
      </c>
      <c r="AC1005" s="34">
        <v>0.11899999999999999</v>
      </c>
      <c r="AD1005" s="32">
        <v>1.341</v>
      </c>
    </row>
    <row r="1006" spans="1:30">
      <c r="A1006">
        <v>1004</v>
      </c>
      <c r="B1006">
        <v>23</v>
      </c>
      <c r="C1006">
        <v>1.0329999999999999</v>
      </c>
      <c r="D1006">
        <v>2.71</v>
      </c>
      <c r="E1006">
        <v>0</v>
      </c>
      <c r="F1006">
        <v>1.3240000000000001</v>
      </c>
      <c r="G1006">
        <v>0</v>
      </c>
      <c r="H1006">
        <v>0.14299999999999999</v>
      </c>
      <c r="I1006">
        <v>1.401</v>
      </c>
      <c r="K1006">
        <v>1004</v>
      </c>
      <c r="L1006">
        <v>23</v>
      </c>
      <c r="M1006" s="32">
        <v>1.0329999999999999</v>
      </c>
      <c r="N1006" s="32">
        <v>2.71</v>
      </c>
      <c r="P1006" s="47">
        <v>1.325</v>
      </c>
      <c r="R1006" s="47">
        <v>0.13400000000000001</v>
      </c>
      <c r="S1006" s="47">
        <v>1.3680000000000001</v>
      </c>
      <c r="T1006" s="31">
        <v>0</v>
      </c>
      <c r="V1006">
        <v>1004</v>
      </c>
      <c r="W1006">
        <v>22</v>
      </c>
      <c r="X1006">
        <v>1.0449999999999999</v>
      </c>
      <c r="Y1006" s="32">
        <v>2.71</v>
      </c>
      <c r="Z1006">
        <v>0</v>
      </c>
      <c r="AA1006" s="32">
        <v>1.2889999999999999</v>
      </c>
      <c r="AB1006">
        <v>0</v>
      </c>
      <c r="AC1006" s="34">
        <v>0.11899999999999999</v>
      </c>
      <c r="AD1006" s="32">
        <v>1.3420000000000001</v>
      </c>
    </row>
    <row r="1007" spans="1:30">
      <c r="A1007">
        <v>1005</v>
      </c>
      <c r="B1007">
        <v>23</v>
      </c>
      <c r="C1007">
        <v>1.034</v>
      </c>
      <c r="D1007">
        <v>2.71</v>
      </c>
      <c r="E1007">
        <v>0</v>
      </c>
      <c r="F1007">
        <v>1.3240000000000001</v>
      </c>
      <c r="G1007">
        <v>0</v>
      </c>
      <c r="H1007">
        <v>0.14299999999999999</v>
      </c>
      <c r="I1007">
        <v>1.403</v>
      </c>
      <c r="K1007">
        <v>1005</v>
      </c>
      <c r="L1007">
        <v>23</v>
      </c>
      <c r="M1007" s="32">
        <v>1.034</v>
      </c>
      <c r="N1007" s="32">
        <v>2.71</v>
      </c>
      <c r="P1007" s="47">
        <v>1.325</v>
      </c>
      <c r="R1007" s="47">
        <v>0.13400000000000001</v>
      </c>
      <c r="S1007" s="47">
        <v>1.37</v>
      </c>
      <c r="T1007" s="31">
        <v>0</v>
      </c>
      <c r="V1007">
        <v>1005</v>
      </c>
      <c r="W1007">
        <v>22</v>
      </c>
      <c r="X1007">
        <v>1.046</v>
      </c>
      <c r="Y1007" s="32">
        <v>2.71</v>
      </c>
      <c r="Z1007">
        <v>0</v>
      </c>
      <c r="AA1007" s="32">
        <v>1.2889999999999999</v>
      </c>
      <c r="AB1007">
        <v>0</v>
      </c>
      <c r="AC1007" s="34">
        <v>0.11899999999999999</v>
      </c>
      <c r="AD1007" s="32">
        <v>1.3440000000000001</v>
      </c>
    </row>
    <row r="1008" spans="1:30">
      <c r="A1008">
        <v>1006</v>
      </c>
      <c r="B1008">
        <v>23</v>
      </c>
      <c r="C1008">
        <v>1.0349999999999999</v>
      </c>
      <c r="D1008">
        <v>2.71</v>
      </c>
      <c r="E1008">
        <v>0</v>
      </c>
      <c r="F1008">
        <v>1.3240000000000001</v>
      </c>
      <c r="G1008">
        <v>0</v>
      </c>
      <c r="H1008">
        <v>0.14299999999999999</v>
      </c>
      <c r="I1008">
        <v>1.405</v>
      </c>
      <c r="K1008">
        <v>1006</v>
      </c>
      <c r="L1008">
        <v>23</v>
      </c>
      <c r="M1008" s="32">
        <v>1.0349999999999999</v>
      </c>
      <c r="N1008" s="32">
        <v>2.71</v>
      </c>
      <c r="P1008" s="47">
        <v>1.3260000000000001</v>
      </c>
      <c r="R1008" s="47">
        <v>0.13400000000000001</v>
      </c>
      <c r="S1008" s="47">
        <v>1.3720000000000001</v>
      </c>
      <c r="T1008" s="31">
        <v>0</v>
      </c>
      <c r="V1008">
        <v>1006</v>
      </c>
      <c r="W1008">
        <v>22</v>
      </c>
      <c r="X1008">
        <v>1.0469999999999999</v>
      </c>
      <c r="Y1008" s="32">
        <v>2.71</v>
      </c>
      <c r="Z1008">
        <v>0</v>
      </c>
      <c r="AA1008" s="32">
        <v>1.29</v>
      </c>
      <c r="AB1008">
        <v>0</v>
      </c>
      <c r="AC1008" s="34">
        <v>0.11899999999999999</v>
      </c>
      <c r="AD1008" s="32">
        <v>1.345</v>
      </c>
    </row>
    <row r="1009" spans="1:30">
      <c r="A1009">
        <v>1007</v>
      </c>
      <c r="B1009">
        <v>23</v>
      </c>
      <c r="C1009">
        <v>1.036</v>
      </c>
      <c r="D1009">
        <v>2.71</v>
      </c>
      <c r="E1009">
        <v>0</v>
      </c>
      <c r="F1009">
        <v>1.3240000000000001</v>
      </c>
      <c r="G1009">
        <v>0</v>
      </c>
      <c r="H1009">
        <v>0.14299999999999999</v>
      </c>
      <c r="I1009">
        <v>1.4059999999999999</v>
      </c>
      <c r="K1009">
        <v>1007</v>
      </c>
      <c r="L1009">
        <v>23</v>
      </c>
      <c r="M1009" s="32">
        <v>1.036</v>
      </c>
      <c r="N1009" s="32">
        <v>2.71</v>
      </c>
      <c r="P1009" s="47">
        <v>1.3260000000000001</v>
      </c>
      <c r="R1009" s="47">
        <v>0.13300000000000001</v>
      </c>
      <c r="S1009" s="47">
        <v>1.373</v>
      </c>
      <c r="T1009" s="31">
        <v>0</v>
      </c>
      <c r="V1009">
        <v>1007</v>
      </c>
      <c r="W1009">
        <v>22</v>
      </c>
      <c r="X1009">
        <v>1.048</v>
      </c>
      <c r="Y1009" s="32">
        <v>2.71</v>
      </c>
      <c r="Z1009">
        <v>0</v>
      </c>
      <c r="AA1009" s="32">
        <v>1.29</v>
      </c>
      <c r="AB1009">
        <v>0</v>
      </c>
      <c r="AC1009" s="34">
        <v>0.11899999999999999</v>
      </c>
      <c r="AD1009" s="32">
        <v>1.347</v>
      </c>
    </row>
    <row r="1010" spans="1:30">
      <c r="A1010">
        <v>1008</v>
      </c>
      <c r="B1010">
        <v>23</v>
      </c>
      <c r="C1010">
        <v>1.0369999999999999</v>
      </c>
      <c r="D1010">
        <v>2.71</v>
      </c>
      <c r="E1010">
        <v>0</v>
      </c>
      <c r="F1010">
        <v>1.3240000000000001</v>
      </c>
      <c r="G1010">
        <v>0</v>
      </c>
      <c r="H1010">
        <v>0.14299999999999999</v>
      </c>
      <c r="I1010">
        <v>1.4079999999999999</v>
      </c>
      <c r="K1010">
        <v>1008</v>
      </c>
      <c r="L1010">
        <v>23</v>
      </c>
      <c r="M1010" s="32">
        <v>1.0369999999999999</v>
      </c>
      <c r="N1010" s="32">
        <v>2.71</v>
      </c>
      <c r="P1010" s="47">
        <v>1.3260000000000001</v>
      </c>
      <c r="R1010" s="47">
        <v>0.13300000000000001</v>
      </c>
      <c r="S1010" s="47">
        <v>1.375</v>
      </c>
      <c r="T1010" s="31">
        <v>0</v>
      </c>
      <c r="V1010">
        <v>1008</v>
      </c>
      <c r="W1010">
        <v>22</v>
      </c>
      <c r="X1010">
        <v>1.0489999999999999</v>
      </c>
      <c r="Y1010" s="32">
        <v>2.71</v>
      </c>
      <c r="Z1010">
        <v>0</v>
      </c>
      <c r="AA1010" s="32">
        <v>1.29</v>
      </c>
      <c r="AB1010">
        <v>0</v>
      </c>
      <c r="AC1010" s="34">
        <v>0.11899999999999999</v>
      </c>
      <c r="AD1010" s="32">
        <v>1.3480000000000001</v>
      </c>
    </row>
    <row r="1011" spans="1:30">
      <c r="A1011">
        <v>1009</v>
      </c>
      <c r="B1011">
        <v>23</v>
      </c>
      <c r="C1011">
        <v>1.038</v>
      </c>
      <c r="D1011">
        <v>2.71</v>
      </c>
      <c r="E1011">
        <v>0</v>
      </c>
      <c r="F1011">
        <v>1.3240000000000001</v>
      </c>
      <c r="G1011">
        <v>0</v>
      </c>
      <c r="H1011">
        <v>0.14299999999999999</v>
      </c>
      <c r="I1011">
        <v>1.41</v>
      </c>
      <c r="K1011">
        <v>1009</v>
      </c>
      <c r="L1011">
        <v>23</v>
      </c>
      <c r="M1011" s="32">
        <v>1.038</v>
      </c>
      <c r="N1011" s="32">
        <v>2.71</v>
      </c>
      <c r="P1011" s="47">
        <v>1.3260000000000001</v>
      </c>
      <c r="R1011" s="47">
        <v>0.13300000000000001</v>
      </c>
      <c r="S1011" s="47">
        <v>1.377</v>
      </c>
      <c r="T1011" s="31">
        <v>0</v>
      </c>
      <c r="V1011">
        <v>1009</v>
      </c>
      <c r="W1011">
        <v>22</v>
      </c>
      <c r="X1011">
        <v>1.05</v>
      </c>
      <c r="Y1011" s="32">
        <v>2.71</v>
      </c>
      <c r="Z1011">
        <v>0</v>
      </c>
      <c r="AA1011" s="32">
        <v>1.29</v>
      </c>
      <c r="AB1011">
        <v>0</v>
      </c>
      <c r="AC1011" s="34">
        <v>0.11899999999999999</v>
      </c>
      <c r="AD1011" s="32">
        <v>1.35</v>
      </c>
    </row>
    <row r="1012" spans="1:30">
      <c r="A1012">
        <v>1010</v>
      </c>
      <c r="B1012">
        <v>23</v>
      </c>
      <c r="C1012">
        <v>1.0389999999999999</v>
      </c>
      <c r="D1012">
        <v>2.71</v>
      </c>
      <c r="E1012">
        <v>0</v>
      </c>
      <c r="F1012">
        <v>1.3240000000000001</v>
      </c>
      <c r="G1012">
        <v>0</v>
      </c>
      <c r="H1012">
        <v>0.14299999999999999</v>
      </c>
      <c r="I1012">
        <v>1.411</v>
      </c>
      <c r="K1012">
        <v>1010</v>
      </c>
      <c r="L1012">
        <v>23</v>
      </c>
      <c r="M1012" s="32">
        <v>1.0389999999999999</v>
      </c>
      <c r="N1012" s="32">
        <v>2.71</v>
      </c>
      <c r="P1012" s="47">
        <v>1.327</v>
      </c>
      <c r="R1012" s="47">
        <v>0.13200000000000001</v>
      </c>
      <c r="S1012" s="47">
        <v>1.3779999999999999</v>
      </c>
      <c r="T1012" s="31">
        <v>0</v>
      </c>
      <c r="V1012">
        <v>1010</v>
      </c>
      <c r="W1012">
        <v>22</v>
      </c>
      <c r="X1012">
        <v>1.0509999999999999</v>
      </c>
      <c r="Y1012" s="32">
        <v>2.71</v>
      </c>
      <c r="Z1012">
        <v>0</v>
      </c>
      <c r="AA1012" s="32">
        <v>1.2909999999999999</v>
      </c>
      <c r="AB1012">
        <v>0</v>
      </c>
      <c r="AC1012" s="34">
        <v>0.11899999999999999</v>
      </c>
      <c r="AD1012" s="32">
        <v>1.3520000000000001</v>
      </c>
    </row>
    <row r="1013" spans="1:30">
      <c r="A1013">
        <v>1011</v>
      </c>
      <c r="B1013">
        <v>23</v>
      </c>
      <c r="C1013">
        <v>1.04</v>
      </c>
      <c r="D1013">
        <v>2.71</v>
      </c>
      <c r="E1013">
        <v>0</v>
      </c>
      <c r="F1013">
        <v>1.327</v>
      </c>
      <c r="G1013">
        <v>0</v>
      </c>
      <c r="H1013">
        <v>0.14299999999999999</v>
      </c>
      <c r="I1013">
        <v>1.38</v>
      </c>
      <c r="K1013">
        <v>1011</v>
      </c>
      <c r="L1013">
        <v>23</v>
      </c>
      <c r="M1013" s="32">
        <v>1.04</v>
      </c>
      <c r="N1013" s="32">
        <v>2.71</v>
      </c>
      <c r="P1013" s="32">
        <v>1.327</v>
      </c>
      <c r="R1013" s="47">
        <v>0.13200000000000001</v>
      </c>
      <c r="S1013" s="32">
        <v>1.38</v>
      </c>
      <c r="T1013" s="31">
        <v>0</v>
      </c>
      <c r="V1013">
        <v>1011</v>
      </c>
      <c r="W1013">
        <v>22</v>
      </c>
      <c r="X1013">
        <v>1.052</v>
      </c>
      <c r="Y1013" s="32">
        <v>2.71</v>
      </c>
      <c r="Z1013">
        <v>0</v>
      </c>
      <c r="AA1013" s="32">
        <v>1.2909999999999999</v>
      </c>
      <c r="AB1013">
        <v>0</v>
      </c>
      <c r="AC1013" s="34">
        <v>0.11899999999999999</v>
      </c>
      <c r="AD1013" s="32">
        <v>1.353</v>
      </c>
    </row>
    <row r="1014" spans="1:30">
      <c r="A1014">
        <v>1012</v>
      </c>
      <c r="B1014">
        <v>23</v>
      </c>
      <c r="C1014">
        <v>1.0409999999999999</v>
      </c>
      <c r="D1014">
        <v>2.71</v>
      </c>
      <c r="E1014">
        <v>0</v>
      </c>
      <c r="F1014">
        <v>1.327</v>
      </c>
      <c r="G1014">
        <v>0</v>
      </c>
      <c r="H1014">
        <v>0.14299999999999999</v>
      </c>
      <c r="I1014">
        <v>1.4319999999999999</v>
      </c>
      <c r="K1014">
        <v>1012</v>
      </c>
      <c r="L1014">
        <v>23</v>
      </c>
      <c r="M1014" s="32">
        <v>1.0409999999999999</v>
      </c>
      <c r="N1014" s="32">
        <v>2.71</v>
      </c>
      <c r="P1014" s="32">
        <v>1.327</v>
      </c>
      <c r="R1014" s="47">
        <v>0.13100000000000001</v>
      </c>
      <c r="S1014" s="47">
        <v>1.3819999999999999</v>
      </c>
      <c r="T1014" s="31">
        <v>0</v>
      </c>
      <c r="V1014">
        <v>1012</v>
      </c>
      <c r="W1014">
        <v>22</v>
      </c>
      <c r="X1014">
        <v>1.0529999999999999</v>
      </c>
      <c r="Y1014" s="32">
        <v>2.71</v>
      </c>
      <c r="Z1014">
        <v>0</v>
      </c>
      <c r="AA1014" s="32">
        <v>1.2909999999999999</v>
      </c>
      <c r="AB1014">
        <v>0</v>
      </c>
      <c r="AC1014" s="34">
        <v>0.11899999999999999</v>
      </c>
      <c r="AD1014" s="32">
        <v>1.355</v>
      </c>
    </row>
    <row r="1015" spans="1:30">
      <c r="A1015">
        <v>1013</v>
      </c>
      <c r="B1015">
        <v>23</v>
      </c>
      <c r="C1015">
        <v>1.042</v>
      </c>
      <c r="D1015">
        <v>2.71</v>
      </c>
      <c r="E1015">
        <v>0</v>
      </c>
      <c r="F1015">
        <v>1.327</v>
      </c>
      <c r="G1015">
        <v>0</v>
      </c>
      <c r="H1015">
        <v>0.14299999999999999</v>
      </c>
      <c r="I1015">
        <v>1.4330000000000001</v>
      </c>
      <c r="K1015">
        <v>1013</v>
      </c>
      <c r="L1015">
        <v>23</v>
      </c>
      <c r="M1015" s="32">
        <v>1.042</v>
      </c>
      <c r="N1015" s="32">
        <v>2.71</v>
      </c>
      <c r="P1015" s="47">
        <v>1.3280000000000001</v>
      </c>
      <c r="R1015" s="47">
        <v>0.13100000000000001</v>
      </c>
      <c r="S1015" s="47">
        <v>1.383</v>
      </c>
      <c r="T1015" s="31">
        <v>0</v>
      </c>
      <c r="V1015">
        <v>1013</v>
      </c>
      <c r="W1015">
        <v>22</v>
      </c>
      <c r="X1015">
        <v>1.054</v>
      </c>
      <c r="Y1015" s="32">
        <v>2.71</v>
      </c>
      <c r="Z1015">
        <v>0</v>
      </c>
      <c r="AA1015" s="32">
        <v>1.2909999999999999</v>
      </c>
      <c r="AB1015">
        <v>0</v>
      </c>
      <c r="AC1015" s="34">
        <v>0.11899999999999999</v>
      </c>
      <c r="AD1015" s="32">
        <v>1.3560000000000001</v>
      </c>
    </row>
    <row r="1016" spans="1:30">
      <c r="A1016">
        <v>1014</v>
      </c>
      <c r="B1016">
        <v>23</v>
      </c>
      <c r="C1016">
        <v>1.0429999999999999</v>
      </c>
      <c r="D1016">
        <v>2.71</v>
      </c>
      <c r="E1016">
        <v>0</v>
      </c>
      <c r="F1016">
        <v>1.327</v>
      </c>
      <c r="G1016">
        <v>0</v>
      </c>
      <c r="H1016">
        <v>0.14299999999999999</v>
      </c>
      <c r="I1016">
        <v>1.4350000000000001</v>
      </c>
      <c r="K1016">
        <v>1014</v>
      </c>
      <c r="L1016">
        <v>23</v>
      </c>
      <c r="M1016" s="32">
        <v>1.0429999999999999</v>
      </c>
      <c r="N1016" s="32">
        <v>2.71</v>
      </c>
      <c r="P1016" s="47">
        <v>1.3280000000000001</v>
      </c>
      <c r="R1016" s="47">
        <v>0.13100000000000001</v>
      </c>
      <c r="S1016" s="47">
        <v>1.385</v>
      </c>
      <c r="T1016" s="31">
        <v>0</v>
      </c>
      <c r="V1016">
        <v>1014</v>
      </c>
      <c r="W1016">
        <v>22</v>
      </c>
      <c r="X1016">
        <v>1.0549999999999999</v>
      </c>
      <c r="Y1016" s="32">
        <v>2.71</v>
      </c>
      <c r="Z1016">
        <v>0</v>
      </c>
      <c r="AA1016" s="32">
        <v>1.292</v>
      </c>
      <c r="AB1016">
        <v>0</v>
      </c>
      <c r="AC1016" s="34">
        <v>0.11899999999999999</v>
      </c>
      <c r="AD1016" s="32">
        <v>1.3580000000000001</v>
      </c>
    </row>
    <row r="1017" spans="1:30">
      <c r="A1017">
        <v>1015</v>
      </c>
      <c r="B1017">
        <v>23</v>
      </c>
      <c r="C1017">
        <v>1.044</v>
      </c>
      <c r="D1017">
        <v>2.71</v>
      </c>
      <c r="E1017">
        <v>0</v>
      </c>
      <c r="F1017">
        <v>1.327</v>
      </c>
      <c r="G1017">
        <v>0</v>
      </c>
      <c r="H1017">
        <v>0.14299999999999999</v>
      </c>
      <c r="I1017">
        <v>1.4370000000000001</v>
      </c>
      <c r="K1017">
        <v>1015</v>
      </c>
      <c r="L1017">
        <v>23</v>
      </c>
      <c r="M1017" s="32">
        <v>1.044</v>
      </c>
      <c r="N1017" s="32">
        <v>2.71</v>
      </c>
      <c r="P1017" s="47">
        <v>1.3280000000000001</v>
      </c>
      <c r="R1017" s="47">
        <v>0.13</v>
      </c>
      <c r="S1017" s="47">
        <v>1.387</v>
      </c>
      <c r="T1017" s="31">
        <v>0</v>
      </c>
      <c r="V1017">
        <v>1015</v>
      </c>
      <c r="W1017">
        <v>22</v>
      </c>
      <c r="X1017">
        <v>1.056</v>
      </c>
      <c r="Y1017" s="32">
        <v>2.71</v>
      </c>
      <c r="Z1017">
        <v>0</v>
      </c>
      <c r="AA1017" s="32">
        <v>1.292</v>
      </c>
      <c r="AB1017">
        <v>0</v>
      </c>
      <c r="AC1017" s="34">
        <v>0.11899999999999999</v>
      </c>
      <c r="AD1017" s="32">
        <v>1.359</v>
      </c>
    </row>
    <row r="1018" spans="1:30">
      <c r="A1018">
        <v>1016</v>
      </c>
      <c r="B1018">
        <v>23</v>
      </c>
      <c r="C1018">
        <v>1.0449999999999999</v>
      </c>
      <c r="D1018">
        <v>2.71</v>
      </c>
      <c r="E1018">
        <v>0</v>
      </c>
      <c r="F1018">
        <v>1.327</v>
      </c>
      <c r="G1018">
        <v>0</v>
      </c>
      <c r="H1018">
        <v>0.14299999999999999</v>
      </c>
      <c r="I1018">
        <v>1.4390000000000001</v>
      </c>
      <c r="K1018">
        <v>1016</v>
      </c>
      <c r="L1018">
        <v>23</v>
      </c>
      <c r="M1018" s="32">
        <v>1.0449999999999999</v>
      </c>
      <c r="N1018" s="32">
        <v>2.71</v>
      </c>
      <c r="P1018" s="47">
        <v>1.329</v>
      </c>
      <c r="R1018" s="47">
        <v>0.13</v>
      </c>
      <c r="S1018" s="47">
        <v>1.389</v>
      </c>
      <c r="T1018" s="31">
        <v>0</v>
      </c>
      <c r="V1018">
        <v>1016</v>
      </c>
      <c r="W1018">
        <v>22</v>
      </c>
      <c r="X1018">
        <v>1.0569999999999999</v>
      </c>
      <c r="Y1018" s="32">
        <v>2.71</v>
      </c>
      <c r="Z1018">
        <v>0</v>
      </c>
      <c r="AA1018" s="32">
        <v>1.292</v>
      </c>
      <c r="AB1018">
        <v>0</v>
      </c>
      <c r="AC1018" s="34">
        <v>0.12</v>
      </c>
      <c r="AD1018" s="32">
        <v>1.361</v>
      </c>
    </row>
    <row r="1019" spans="1:30">
      <c r="A1019">
        <v>1017</v>
      </c>
      <c r="B1019">
        <v>23</v>
      </c>
      <c r="C1019">
        <v>1.046</v>
      </c>
      <c r="D1019">
        <v>2.71</v>
      </c>
      <c r="E1019">
        <v>0</v>
      </c>
      <c r="F1019">
        <v>1.327</v>
      </c>
      <c r="G1019">
        <v>0</v>
      </c>
      <c r="H1019">
        <v>0.14299999999999999</v>
      </c>
      <c r="I1019">
        <v>1.44</v>
      </c>
      <c r="K1019">
        <v>1017</v>
      </c>
      <c r="L1019">
        <v>23</v>
      </c>
      <c r="M1019" s="32">
        <v>1.046</v>
      </c>
      <c r="N1019" s="32">
        <v>2.71</v>
      </c>
      <c r="P1019" s="47">
        <v>1.329</v>
      </c>
      <c r="R1019" s="47">
        <v>0.13</v>
      </c>
      <c r="S1019" s="47">
        <v>1.39</v>
      </c>
      <c r="T1019" s="31">
        <v>0</v>
      </c>
      <c r="V1019">
        <v>1017</v>
      </c>
      <c r="W1019">
        <v>22</v>
      </c>
      <c r="X1019">
        <v>1.0580000000000001</v>
      </c>
      <c r="Y1019" s="32">
        <v>2.71</v>
      </c>
      <c r="Z1019">
        <v>0</v>
      </c>
      <c r="AA1019" s="32">
        <v>1.292</v>
      </c>
      <c r="AB1019">
        <v>0</v>
      </c>
      <c r="AC1019" s="34">
        <v>0.12</v>
      </c>
      <c r="AD1019" s="32">
        <v>1.3620000000000001</v>
      </c>
    </row>
    <row r="1020" spans="1:30">
      <c r="A1020">
        <v>1018</v>
      </c>
      <c r="B1020">
        <v>23</v>
      </c>
      <c r="C1020">
        <v>1.0469999999999999</v>
      </c>
      <c r="D1020">
        <v>2.71</v>
      </c>
      <c r="E1020">
        <v>0</v>
      </c>
      <c r="F1020">
        <v>1.327</v>
      </c>
      <c r="G1020">
        <v>0</v>
      </c>
      <c r="H1020">
        <v>0.14299999999999999</v>
      </c>
      <c r="I1020">
        <v>1.4419999999999999</v>
      </c>
      <c r="K1020">
        <v>1018</v>
      </c>
      <c r="L1020">
        <v>23</v>
      </c>
      <c r="M1020" s="32">
        <v>1.0469999999999999</v>
      </c>
      <c r="N1020" s="32">
        <v>2.71</v>
      </c>
      <c r="P1020" s="47">
        <v>1.329</v>
      </c>
      <c r="R1020" s="47">
        <v>0.129</v>
      </c>
      <c r="S1020" s="47">
        <v>1.3919999999999999</v>
      </c>
      <c r="T1020" s="31">
        <v>0</v>
      </c>
      <c r="V1020">
        <v>1018</v>
      </c>
      <c r="W1020">
        <v>22</v>
      </c>
      <c r="X1020">
        <v>1.0589999999999999</v>
      </c>
      <c r="Y1020" s="32">
        <v>2.71</v>
      </c>
      <c r="Z1020">
        <v>0</v>
      </c>
      <c r="AA1020" s="32">
        <v>1.292</v>
      </c>
      <c r="AB1020">
        <v>0</v>
      </c>
      <c r="AC1020" s="34">
        <v>0.12</v>
      </c>
      <c r="AD1020" s="32">
        <v>1.3640000000000001</v>
      </c>
    </row>
    <row r="1021" spans="1:30">
      <c r="A1021">
        <v>1019</v>
      </c>
      <c r="B1021">
        <v>23</v>
      </c>
      <c r="C1021">
        <v>1.048</v>
      </c>
      <c r="D1021">
        <v>2.71</v>
      </c>
      <c r="E1021">
        <v>0</v>
      </c>
      <c r="F1021">
        <v>1.327</v>
      </c>
      <c r="G1021">
        <v>0</v>
      </c>
      <c r="H1021">
        <v>0.14299999999999999</v>
      </c>
      <c r="I1021">
        <v>1.444</v>
      </c>
      <c r="K1021">
        <v>1019</v>
      </c>
      <c r="L1021">
        <v>23</v>
      </c>
      <c r="M1021" s="32">
        <v>1.048</v>
      </c>
      <c r="N1021" s="32">
        <v>2.71</v>
      </c>
      <c r="P1021" s="47">
        <v>1.329</v>
      </c>
      <c r="R1021" s="47">
        <v>0.129</v>
      </c>
      <c r="S1021" s="47">
        <v>1.3939999999999999</v>
      </c>
      <c r="T1021" s="31">
        <v>0</v>
      </c>
      <c r="V1021">
        <v>1019</v>
      </c>
      <c r="W1021">
        <v>22</v>
      </c>
      <c r="X1021">
        <v>1.06</v>
      </c>
      <c r="Y1021" s="32">
        <v>2.71</v>
      </c>
      <c r="Z1021">
        <v>0</v>
      </c>
      <c r="AA1021" s="32">
        <v>1.2929999999999999</v>
      </c>
      <c r="AB1021">
        <v>0</v>
      </c>
      <c r="AC1021" s="34">
        <v>0.12</v>
      </c>
      <c r="AD1021" s="32">
        <v>1.365</v>
      </c>
    </row>
    <row r="1022" spans="1:30">
      <c r="A1022">
        <v>1020</v>
      </c>
      <c r="B1022">
        <v>23</v>
      </c>
      <c r="C1022">
        <v>1.0489999999999999</v>
      </c>
      <c r="D1022">
        <v>2.71</v>
      </c>
      <c r="E1022">
        <v>0</v>
      </c>
      <c r="F1022">
        <v>1.327</v>
      </c>
      <c r="G1022">
        <v>0</v>
      </c>
      <c r="H1022">
        <v>0.14299999999999999</v>
      </c>
      <c r="I1022">
        <v>1.4450000000000001</v>
      </c>
      <c r="K1022">
        <v>1020</v>
      </c>
      <c r="L1022">
        <v>23</v>
      </c>
      <c r="M1022" s="32">
        <v>1.0489999999999999</v>
      </c>
      <c r="N1022" s="32">
        <v>2.71</v>
      </c>
      <c r="P1022" s="47">
        <v>1.33</v>
      </c>
      <c r="R1022" s="47">
        <v>0.129</v>
      </c>
      <c r="S1022" s="47">
        <v>1.395</v>
      </c>
      <c r="T1022" s="31">
        <v>0</v>
      </c>
      <c r="V1022">
        <v>1020</v>
      </c>
      <c r="W1022">
        <v>22</v>
      </c>
      <c r="X1022">
        <v>1.0609999999999999</v>
      </c>
      <c r="Y1022" s="32">
        <v>2.71</v>
      </c>
      <c r="Z1022">
        <v>0</v>
      </c>
      <c r="AA1022" s="32">
        <v>1.2929999999999999</v>
      </c>
      <c r="AB1022">
        <v>0</v>
      </c>
      <c r="AC1022" s="34">
        <v>0.12</v>
      </c>
      <c r="AD1022" s="32">
        <v>1.367</v>
      </c>
    </row>
    <row r="1023" spans="1:30">
      <c r="A1023">
        <v>1021</v>
      </c>
      <c r="B1023">
        <v>23</v>
      </c>
      <c r="C1023">
        <v>1.05</v>
      </c>
      <c r="D1023">
        <v>2.71</v>
      </c>
      <c r="E1023">
        <v>0</v>
      </c>
      <c r="F1023">
        <v>1.33</v>
      </c>
      <c r="G1023">
        <v>0</v>
      </c>
      <c r="H1023">
        <v>0.14299999999999999</v>
      </c>
      <c r="I1023">
        <v>1.397</v>
      </c>
      <c r="K1023">
        <v>1021</v>
      </c>
      <c r="L1023">
        <v>23</v>
      </c>
      <c r="M1023" s="32">
        <v>1.05</v>
      </c>
      <c r="N1023" s="32">
        <v>2.71</v>
      </c>
      <c r="P1023" s="32">
        <v>1.33</v>
      </c>
      <c r="R1023" s="47">
        <v>0.128</v>
      </c>
      <c r="S1023" s="32">
        <v>1.397</v>
      </c>
      <c r="T1023" s="31">
        <v>0</v>
      </c>
      <c r="V1023">
        <v>1021</v>
      </c>
      <c r="W1023">
        <v>22</v>
      </c>
      <c r="X1023">
        <v>1.0620000000000001</v>
      </c>
      <c r="Y1023" s="32">
        <v>2.71</v>
      </c>
      <c r="Z1023">
        <v>0</v>
      </c>
      <c r="AA1023" s="32">
        <v>1.2929999999999999</v>
      </c>
      <c r="AB1023">
        <v>0</v>
      </c>
      <c r="AC1023" s="34">
        <v>0.12</v>
      </c>
      <c r="AD1023" s="32">
        <v>1.3680000000000001</v>
      </c>
    </row>
    <row r="1024" spans="1:30">
      <c r="A1024">
        <v>1022</v>
      </c>
      <c r="B1024">
        <v>23</v>
      </c>
      <c r="C1024">
        <v>1.0509999999999999</v>
      </c>
      <c r="D1024">
        <v>2.71</v>
      </c>
      <c r="E1024">
        <v>0</v>
      </c>
      <c r="F1024">
        <v>1.33</v>
      </c>
      <c r="G1024">
        <v>0</v>
      </c>
      <c r="H1024">
        <v>0.14299999999999999</v>
      </c>
      <c r="I1024">
        <v>1.466</v>
      </c>
      <c r="K1024">
        <v>1022</v>
      </c>
      <c r="L1024">
        <v>23</v>
      </c>
      <c r="M1024" s="32">
        <v>1.0509999999999999</v>
      </c>
      <c r="N1024" s="32">
        <v>2.71</v>
      </c>
      <c r="P1024" s="32">
        <v>1.33</v>
      </c>
      <c r="R1024" s="47">
        <v>0.128</v>
      </c>
      <c r="S1024" s="47">
        <v>1.399</v>
      </c>
      <c r="T1024" s="31">
        <v>0</v>
      </c>
      <c r="V1024">
        <v>1022</v>
      </c>
      <c r="W1024">
        <v>22</v>
      </c>
      <c r="X1024">
        <v>1.0629999999999999</v>
      </c>
      <c r="Y1024" s="32">
        <v>2.71</v>
      </c>
      <c r="Z1024">
        <v>0</v>
      </c>
      <c r="AA1024" s="32">
        <v>1.2929999999999999</v>
      </c>
      <c r="AB1024">
        <v>0</v>
      </c>
      <c r="AC1024" s="34">
        <v>0.12</v>
      </c>
      <c r="AD1024" s="32">
        <v>1.37</v>
      </c>
    </row>
    <row r="1025" spans="1:30">
      <c r="A1025">
        <v>1023</v>
      </c>
      <c r="B1025">
        <v>23</v>
      </c>
      <c r="C1025">
        <v>1.052</v>
      </c>
      <c r="D1025">
        <v>2.71</v>
      </c>
      <c r="E1025">
        <v>0</v>
      </c>
      <c r="F1025">
        <v>1.33</v>
      </c>
      <c r="G1025">
        <v>0</v>
      </c>
      <c r="H1025">
        <v>0.14299999999999999</v>
      </c>
      <c r="I1025">
        <v>1.4670000000000001</v>
      </c>
      <c r="K1025">
        <v>1023</v>
      </c>
      <c r="L1025">
        <v>23</v>
      </c>
      <c r="M1025" s="32">
        <v>1.052</v>
      </c>
      <c r="N1025" s="32">
        <v>2.71</v>
      </c>
      <c r="P1025" s="47">
        <v>1.331</v>
      </c>
      <c r="R1025" s="47">
        <v>0.127</v>
      </c>
      <c r="S1025" s="47">
        <v>1.4</v>
      </c>
      <c r="T1025" s="31">
        <v>0</v>
      </c>
      <c r="V1025">
        <v>1023</v>
      </c>
      <c r="W1025">
        <v>22</v>
      </c>
      <c r="X1025">
        <v>1.0640000000000001</v>
      </c>
      <c r="Y1025" s="32">
        <v>2.71</v>
      </c>
      <c r="Z1025">
        <v>0</v>
      </c>
      <c r="AA1025" s="32">
        <v>1.294</v>
      </c>
      <c r="AB1025">
        <v>0</v>
      </c>
      <c r="AC1025" s="34">
        <v>0.12</v>
      </c>
      <c r="AD1025" s="32">
        <v>1.371</v>
      </c>
    </row>
    <row r="1026" spans="1:30">
      <c r="A1026">
        <v>1024</v>
      </c>
      <c r="B1026">
        <v>23</v>
      </c>
      <c r="C1026">
        <v>1.0529999999999999</v>
      </c>
      <c r="D1026">
        <v>2.71</v>
      </c>
      <c r="E1026">
        <v>0</v>
      </c>
      <c r="F1026">
        <v>1.33</v>
      </c>
      <c r="G1026">
        <v>0</v>
      </c>
      <c r="H1026">
        <v>0.14299999999999999</v>
      </c>
      <c r="I1026">
        <v>1.4690000000000001</v>
      </c>
      <c r="K1026">
        <v>1024</v>
      </c>
      <c r="L1026">
        <v>23</v>
      </c>
      <c r="M1026" s="32">
        <v>1.0529999999999999</v>
      </c>
      <c r="N1026" s="32">
        <v>2.71</v>
      </c>
      <c r="P1026" s="47">
        <v>1.331</v>
      </c>
      <c r="R1026" s="47">
        <v>0.127</v>
      </c>
      <c r="S1026" s="47">
        <v>1.4019999999999999</v>
      </c>
      <c r="T1026" s="31">
        <v>0</v>
      </c>
      <c r="V1026">
        <v>1024</v>
      </c>
      <c r="W1026">
        <v>22</v>
      </c>
      <c r="X1026">
        <v>1.0649999999999999</v>
      </c>
      <c r="Y1026" s="32">
        <v>2.71</v>
      </c>
      <c r="Z1026">
        <v>0</v>
      </c>
      <c r="AA1026" s="32">
        <v>1.294</v>
      </c>
      <c r="AB1026">
        <v>0</v>
      </c>
      <c r="AC1026" s="34">
        <v>0.12</v>
      </c>
      <c r="AD1026" s="32">
        <v>1.373</v>
      </c>
    </row>
    <row r="1027" spans="1:30">
      <c r="A1027">
        <v>1025</v>
      </c>
      <c r="B1027">
        <v>23</v>
      </c>
      <c r="C1027">
        <v>1.054</v>
      </c>
      <c r="D1027">
        <v>2.71</v>
      </c>
      <c r="E1027">
        <v>0</v>
      </c>
      <c r="F1027">
        <v>1.33</v>
      </c>
      <c r="G1027">
        <v>0</v>
      </c>
      <c r="H1027">
        <v>0.14299999999999999</v>
      </c>
      <c r="I1027">
        <v>1.4710000000000001</v>
      </c>
      <c r="K1027">
        <v>1025</v>
      </c>
      <c r="L1027">
        <v>23</v>
      </c>
      <c r="M1027" s="32">
        <v>1.054</v>
      </c>
      <c r="N1027" s="32">
        <v>2.71</v>
      </c>
      <c r="P1027" s="47">
        <v>1.3320000000000001</v>
      </c>
      <c r="R1027" s="47">
        <v>0.127</v>
      </c>
      <c r="S1027" s="47">
        <v>1.4039999999999999</v>
      </c>
      <c r="T1027" s="31">
        <v>0</v>
      </c>
      <c r="V1027">
        <v>1025</v>
      </c>
      <c r="W1027">
        <v>22</v>
      </c>
      <c r="X1027">
        <v>1.0660000000000001</v>
      </c>
      <c r="Y1027" s="32">
        <v>2.71</v>
      </c>
      <c r="Z1027">
        <v>0</v>
      </c>
      <c r="AA1027" s="32">
        <v>1.294</v>
      </c>
      <c r="AB1027">
        <v>0</v>
      </c>
      <c r="AC1027" s="34">
        <v>0.12</v>
      </c>
      <c r="AD1027" s="32">
        <v>1.3740000000000001</v>
      </c>
    </row>
    <row r="1028" spans="1:30">
      <c r="A1028">
        <v>1026</v>
      </c>
      <c r="B1028">
        <v>23</v>
      </c>
      <c r="C1028">
        <v>1.0549999999999999</v>
      </c>
      <c r="D1028">
        <v>2.71</v>
      </c>
      <c r="E1028">
        <v>0</v>
      </c>
      <c r="F1028">
        <v>1.33</v>
      </c>
      <c r="G1028">
        <v>0</v>
      </c>
      <c r="H1028">
        <v>0.14299999999999999</v>
      </c>
      <c r="I1028">
        <v>1.472</v>
      </c>
      <c r="K1028">
        <v>1026</v>
      </c>
      <c r="L1028">
        <v>23</v>
      </c>
      <c r="M1028" s="32">
        <v>1.0549999999999999</v>
      </c>
      <c r="N1028" s="32">
        <v>2.71</v>
      </c>
      <c r="P1028" s="47">
        <v>1.3320000000000001</v>
      </c>
      <c r="R1028" s="47">
        <v>0.126</v>
      </c>
      <c r="S1028" s="47">
        <v>1.4059999999999999</v>
      </c>
      <c r="T1028" s="31">
        <v>0</v>
      </c>
      <c r="V1028">
        <v>1026</v>
      </c>
      <c r="W1028">
        <v>22</v>
      </c>
      <c r="X1028">
        <v>1.0669999999999999</v>
      </c>
      <c r="Y1028" s="32">
        <v>2.71</v>
      </c>
      <c r="Z1028">
        <v>0</v>
      </c>
      <c r="AA1028" s="32">
        <v>1.294</v>
      </c>
      <c r="AB1028">
        <v>0</v>
      </c>
      <c r="AC1028" s="34">
        <v>0.12</v>
      </c>
      <c r="AD1028" s="32">
        <v>1.3759999999999999</v>
      </c>
    </row>
    <row r="1029" spans="1:30">
      <c r="A1029">
        <v>1027</v>
      </c>
      <c r="B1029">
        <v>23</v>
      </c>
      <c r="C1029">
        <v>1.056</v>
      </c>
      <c r="D1029">
        <v>2.71</v>
      </c>
      <c r="E1029">
        <v>0</v>
      </c>
      <c r="F1029">
        <v>1.33</v>
      </c>
      <c r="G1029">
        <v>0</v>
      </c>
      <c r="H1029">
        <v>0.14299999999999999</v>
      </c>
      <c r="I1029">
        <v>1.474</v>
      </c>
      <c r="K1029">
        <v>1027</v>
      </c>
      <c r="L1029">
        <v>23</v>
      </c>
      <c r="M1029" s="32">
        <v>1.056</v>
      </c>
      <c r="N1029" s="32">
        <v>2.71</v>
      </c>
      <c r="P1029" s="47">
        <v>1.3320000000000001</v>
      </c>
      <c r="R1029" s="47">
        <v>0.126</v>
      </c>
      <c r="S1029" s="47">
        <v>1.407</v>
      </c>
      <c r="T1029" s="31">
        <v>0</v>
      </c>
      <c r="V1029">
        <v>1027</v>
      </c>
      <c r="W1029">
        <v>22</v>
      </c>
      <c r="X1029">
        <v>1.0680000000000001</v>
      </c>
      <c r="Y1029" s="32">
        <v>2.71</v>
      </c>
      <c r="Z1029">
        <v>0</v>
      </c>
      <c r="AA1029" s="32">
        <v>1.2949999999999999</v>
      </c>
      <c r="AB1029">
        <v>0</v>
      </c>
      <c r="AC1029" s="34">
        <v>0.12</v>
      </c>
      <c r="AD1029" s="32">
        <v>1.377</v>
      </c>
    </row>
    <row r="1030" spans="1:30">
      <c r="A1030">
        <v>1028</v>
      </c>
      <c r="B1030">
        <v>23</v>
      </c>
      <c r="C1030">
        <v>1.0569999999999999</v>
      </c>
      <c r="D1030">
        <v>2.71</v>
      </c>
      <c r="E1030">
        <v>0</v>
      </c>
      <c r="F1030">
        <v>1.33</v>
      </c>
      <c r="G1030">
        <v>0</v>
      </c>
      <c r="H1030">
        <v>0.14299999999999999</v>
      </c>
      <c r="I1030">
        <v>1.476</v>
      </c>
      <c r="K1030">
        <v>1028</v>
      </c>
      <c r="L1030">
        <v>23</v>
      </c>
      <c r="M1030" s="32">
        <v>1.0569999999999999</v>
      </c>
      <c r="N1030" s="32">
        <v>2.71</v>
      </c>
      <c r="P1030" s="47">
        <v>1.333</v>
      </c>
      <c r="R1030" s="47">
        <v>0.126</v>
      </c>
      <c r="S1030" s="47">
        <v>1.409</v>
      </c>
      <c r="T1030" s="31">
        <v>0</v>
      </c>
      <c r="V1030">
        <v>1028</v>
      </c>
      <c r="W1030">
        <v>22</v>
      </c>
      <c r="X1030">
        <v>1.069</v>
      </c>
      <c r="Y1030" s="32">
        <v>2.71</v>
      </c>
      <c r="Z1030">
        <v>0</v>
      </c>
      <c r="AA1030" s="32">
        <v>1.2949999999999999</v>
      </c>
      <c r="AB1030">
        <v>0</v>
      </c>
      <c r="AC1030" s="34">
        <v>0.12</v>
      </c>
      <c r="AD1030" s="32">
        <v>1.379</v>
      </c>
    </row>
    <row r="1031" spans="1:30">
      <c r="A1031">
        <v>1029</v>
      </c>
      <c r="B1031">
        <v>23</v>
      </c>
      <c r="C1031">
        <v>1.0580000000000001</v>
      </c>
      <c r="D1031">
        <v>2.71</v>
      </c>
      <c r="E1031">
        <v>0</v>
      </c>
      <c r="F1031">
        <v>1.33</v>
      </c>
      <c r="G1031">
        <v>0</v>
      </c>
      <c r="H1031">
        <v>0.14299999999999999</v>
      </c>
      <c r="I1031">
        <v>1.4770000000000001</v>
      </c>
      <c r="K1031">
        <v>1029</v>
      </c>
      <c r="L1031">
        <v>23</v>
      </c>
      <c r="M1031" s="32">
        <v>1.0580000000000001</v>
      </c>
      <c r="N1031" s="32">
        <v>2.71</v>
      </c>
      <c r="P1031" s="47">
        <v>1.333</v>
      </c>
      <c r="R1031" s="47">
        <v>0.125</v>
      </c>
      <c r="S1031" s="47">
        <v>1.411</v>
      </c>
      <c r="T1031" s="31">
        <v>0</v>
      </c>
      <c r="V1031">
        <v>1029</v>
      </c>
      <c r="W1031">
        <v>22</v>
      </c>
      <c r="X1031">
        <v>1.07</v>
      </c>
      <c r="Y1031" s="32">
        <v>2.71</v>
      </c>
      <c r="Z1031">
        <v>0</v>
      </c>
      <c r="AA1031" s="32">
        <v>1.2949999999999999</v>
      </c>
      <c r="AB1031">
        <v>0</v>
      </c>
      <c r="AC1031" s="34">
        <v>0.12</v>
      </c>
      <c r="AD1031" s="32">
        <v>1.38</v>
      </c>
    </row>
    <row r="1032" spans="1:30">
      <c r="A1032">
        <v>1030</v>
      </c>
      <c r="B1032">
        <v>23</v>
      </c>
      <c r="C1032">
        <v>1.0589999999999999</v>
      </c>
      <c r="D1032">
        <v>2.71</v>
      </c>
      <c r="E1032">
        <v>0</v>
      </c>
      <c r="F1032">
        <v>1.33</v>
      </c>
      <c r="G1032">
        <v>0</v>
      </c>
      <c r="H1032">
        <v>0.14299999999999999</v>
      </c>
      <c r="I1032">
        <v>1.4790000000000001</v>
      </c>
      <c r="K1032">
        <v>1030</v>
      </c>
      <c r="L1032">
        <v>23</v>
      </c>
      <c r="M1032" s="32">
        <v>1.0589999999999999</v>
      </c>
      <c r="N1032" s="32">
        <v>2.71</v>
      </c>
      <c r="P1032" s="47">
        <v>1.3340000000000001</v>
      </c>
      <c r="R1032" s="47">
        <v>0.125</v>
      </c>
      <c r="S1032" s="47">
        <v>1.4119999999999999</v>
      </c>
      <c r="T1032" s="31">
        <v>0</v>
      </c>
      <c r="V1032">
        <v>1030</v>
      </c>
      <c r="W1032">
        <v>22</v>
      </c>
      <c r="X1032">
        <v>1.071</v>
      </c>
      <c r="Y1032" s="32">
        <v>2.7210000000000001</v>
      </c>
      <c r="Z1032">
        <v>0</v>
      </c>
      <c r="AA1032" s="32">
        <v>1.2949999999999999</v>
      </c>
      <c r="AB1032">
        <v>0</v>
      </c>
      <c r="AC1032" s="34">
        <v>0.121</v>
      </c>
      <c r="AD1032" s="32">
        <v>1.3819999999999999</v>
      </c>
    </row>
    <row r="1033" spans="1:30">
      <c r="A1033">
        <v>1031</v>
      </c>
      <c r="B1033">
        <v>23</v>
      </c>
      <c r="C1033">
        <v>1.06</v>
      </c>
      <c r="D1033">
        <v>2.71</v>
      </c>
      <c r="E1033">
        <v>0</v>
      </c>
      <c r="F1033">
        <v>1.3340000000000001</v>
      </c>
      <c r="G1033">
        <v>0</v>
      </c>
      <c r="H1033">
        <v>0.14299999999999999</v>
      </c>
      <c r="I1033">
        <v>1.4139999999999999</v>
      </c>
      <c r="K1033">
        <v>1031</v>
      </c>
      <c r="L1033">
        <v>23</v>
      </c>
      <c r="M1033" s="32">
        <v>1.06</v>
      </c>
      <c r="N1033" s="32">
        <v>2.71</v>
      </c>
      <c r="P1033" s="32">
        <v>1.3340000000000001</v>
      </c>
      <c r="R1033" s="47">
        <v>0.124</v>
      </c>
      <c r="S1033" s="32">
        <v>1.4139999999999999</v>
      </c>
      <c r="T1033" s="31">
        <v>0</v>
      </c>
      <c r="V1033">
        <v>1031</v>
      </c>
      <c r="W1033">
        <v>22</v>
      </c>
      <c r="X1033">
        <v>1.0720000000000001</v>
      </c>
      <c r="Y1033" s="32">
        <v>2.7320000000000002</v>
      </c>
      <c r="Z1033">
        <v>0</v>
      </c>
      <c r="AA1033" s="32">
        <v>1.2949999999999999</v>
      </c>
      <c r="AB1033">
        <v>0</v>
      </c>
      <c r="AC1033" s="34">
        <v>0.121</v>
      </c>
      <c r="AD1033" s="32">
        <v>1.383</v>
      </c>
    </row>
    <row r="1034" spans="1:30">
      <c r="A1034">
        <v>1032</v>
      </c>
      <c r="B1034">
        <v>23</v>
      </c>
      <c r="C1034">
        <v>1.0609999999999999</v>
      </c>
      <c r="D1034">
        <v>2.71</v>
      </c>
      <c r="E1034">
        <v>0</v>
      </c>
      <c r="F1034">
        <v>1.3340000000000001</v>
      </c>
      <c r="G1034">
        <v>0</v>
      </c>
      <c r="H1034">
        <v>0.14299999999999999</v>
      </c>
      <c r="I1034">
        <v>1.4990000000000001</v>
      </c>
      <c r="K1034">
        <v>1032</v>
      </c>
      <c r="L1034">
        <v>23</v>
      </c>
      <c r="M1034" s="32">
        <v>1.0609999999999999</v>
      </c>
      <c r="N1034" s="32">
        <v>2.71</v>
      </c>
      <c r="P1034" s="32">
        <v>1.3340000000000001</v>
      </c>
      <c r="R1034" s="47">
        <v>0.124</v>
      </c>
      <c r="S1034" s="47">
        <v>1.4159999999999999</v>
      </c>
      <c r="T1034" s="31">
        <v>0</v>
      </c>
      <c r="V1034">
        <v>1032</v>
      </c>
      <c r="W1034">
        <v>22</v>
      </c>
      <c r="X1034">
        <v>1.073</v>
      </c>
      <c r="Y1034" s="32">
        <v>2.7429999999999999</v>
      </c>
      <c r="Z1034">
        <v>0</v>
      </c>
      <c r="AA1034" s="32">
        <v>1.296</v>
      </c>
      <c r="AB1034">
        <v>0</v>
      </c>
      <c r="AC1034" s="34">
        <v>0.121</v>
      </c>
      <c r="AD1034" s="32">
        <v>1.385</v>
      </c>
    </row>
    <row r="1035" spans="1:30">
      <c r="A1035">
        <v>1033</v>
      </c>
      <c r="B1035">
        <v>23</v>
      </c>
      <c r="C1035">
        <v>1.0620000000000001</v>
      </c>
      <c r="D1035">
        <v>2.71</v>
      </c>
      <c r="E1035">
        <v>0</v>
      </c>
      <c r="F1035">
        <v>1.3340000000000001</v>
      </c>
      <c r="G1035">
        <v>0</v>
      </c>
      <c r="H1035">
        <v>0.14299999999999999</v>
      </c>
      <c r="I1035">
        <v>1.5009999999999999</v>
      </c>
      <c r="K1035">
        <v>1033</v>
      </c>
      <c r="L1035">
        <v>23</v>
      </c>
      <c r="M1035" s="32">
        <v>1.0620000000000001</v>
      </c>
      <c r="N1035" s="32">
        <v>2.71</v>
      </c>
      <c r="P1035" s="47">
        <v>1.335</v>
      </c>
      <c r="R1035" s="47">
        <v>0.124</v>
      </c>
      <c r="S1035" s="47">
        <v>1.417</v>
      </c>
      <c r="T1035" s="31">
        <v>0</v>
      </c>
      <c r="V1035">
        <v>1033</v>
      </c>
      <c r="W1035">
        <v>22</v>
      </c>
      <c r="X1035">
        <v>1.0740000000000001</v>
      </c>
      <c r="Y1035" s="32">
        <v>2.754</v>
      </c>
      <c r="Z1035">
        <v>0</v>
      </c>
      <c r="AA1035" s="32">
        <v>1.296</v>
      </c>
      <c r="AB1035">
        <v>0</v>
      </c>
      <c r="AC1035" s="34">
        <v>0.121</v>
      </c>
      <c r="AD1035" s="32">
        <v>1.3859999999999999</v>
      </c>
    </row>
    <row r="1036" spans="1:30">
      <c r="A1036">
        <v>1034</v>
      </c>
      <c r="B1036">
        <v>23</v>
      </c>
      <c r="C1036">
        <v>1.0629999999999999</v>
      </c>
      <c r="D1036">
        <v>2.71</v>
      </c>
      <c r="E1036">
        <v>0</v>
      </c>
      <c r="F1036">
        <v>1.3340000000000001</v>
      </c>
      <c r="G1036">
        <v>0</v>
      </c>
      <c r="H1036">
        <v>0.14299999999999999</v>
      </c>
      <c r="I1036">
        <v>1.5029999999999999</v>
      </c>
      <c r="K1036">
        <v>1034</v>
      </c>
      <c r="L1036">
        <v>23</v>
      </c>
      <c r="M1036" s="32">
        <v>1.0629999999999999</v>
      </c>
      <c r="N1036" s="32">
        <v>2.71</v>
      </c>
      <c r="P1036" s="47">
        <v>1.335</v>
      </c>
      <c r="R1036" s="47">
        <v>0.123</v>
      </c>
      <c r="S1036" s="47">
        <v>1.419</v>
      </c>
      <c r="T1036" s="31">
        <v>0</v>
      </c>
      <c r="V1036">
        <v>1034</v>
      </c>
      <c r="W1036">
        <v>22</v>
      </c>
      <c r="X1036">
        <v>1.075</v>
      </c>
      <c r="Y1036" s="32">
        <v>2.7650000000000001</v>
      </c>
      <c r="Z1036">
        <v>0</v>
      </c>
      <c r="AA1036" s="32">
        <v>1.296</v>
      </c>
      <c r="AB1036">
        <v>0</v>
      </c>
      <c r="AC1036" s="34">
        <v>0.121</v>
      </c>
      <c r="AD1036" s="32">
        <v>1.3879999999999999</v>
      </c>
    </row>
    <row r="1037" spans="1:30">
      <c r="A1037">
        <v>1035</v>
      </c>
      <c r="B1037">
        <v>23</v>
      </c>
      <c r="C1037">
        <v>1.0640000000000001</v>
      </c>
      <c r="D1037">
        <v>2.71</v>
      </c>
      <c r="E1037">
        <v>0</v>
      </c>
      <c r="F1037">
        <v>1.3340000000000001</v>
      </c>
      <c r="G1037">
        <v>0</v>
      </c>
      <c r="H1037">
        <v>0.14299999999999999</v>
      </c>
      <c r="I1037">
        <v>1.504</v>
      </c>
      <c r="K1037">
        <v>1035</v>
      </c>
      <c r="L1037">
        <v>23</v>
      </c>
      <c r="M1037" s="32">
        <v>1.0640000000000001</v>
      </c>
      <c r="N1037" s="32">
        <v>2.71</v>
      </c>
      <c r="P1037" s="47">
        <v>1.335</v>
      </c>
      <c r="R1037" s="47">
        <v>0.123</v>
      </c>
      <c r="S1037" s="47">
        <v>1.42</v>
      </c>
      <c r="T1037" s="31">
        <v>0</v>
      </c>
      <c r="V1037">
        <v>1035</v>
      </c>
      <c r="W1037">
        <v>22</v>
      </c>
      <c r="X1037">
        <v>1.0760000000000001</v>
      </c>
      <c r="Y1037" s="32">
        <v>2.7759999999999998</v>
      </c>
      <c r="Z1037">
        <v>0</v>
      </c>
      <c r="AA1037" s="32">
        <v>1.296</v>
      </c>
      <c r="AB1037">
        <v>0</v>
      </c>
      <c r="AC1037" s="34">
        <v>0.121</v>
      </c>
      <c r="AD1037" s="32">
        <v>1.389</v>
      </c>
    </row>
    <row r="1038" spans="1:30">
      <c r="A1038">
        <v>1036</v>
      </c>
      <c r="B1038">
        <v>23</v>
      </c>
      <c r="C1038">
        <v>1.0649999999999999</v>
      </c>
      <c r="D1038">
        <v>2.71</v>
      </c>
      <c r="E1038">
        <v>0</v>
      </c>
      <c r="F1038">
        <v>1.3340000000000001</v>
      </c>
      <c r="G1038">
        <v>0</v>
      </c>
      <c r="H1038">
        <v>0.14299999999999999</v>
      </c>
      <c r="I1038">
        <v>1.506</v>
      </c>
      <c r="K1038">
        <v>1036</v>
      </c>
      <c r="L1038">
        <v>23</v>
      </c>
      <c r="M1038" s="32">
        <v>1.0649999999999999</v>
      </c>
      <c r="N1038" s="32">
        <v>2.71</v>
      </c>
      <c r="P1038" s="47">
        <v>1.3360000000000001</v>
      </c>
      <c r="R1038" s="47">
        <v>0.123</v>
      </c>
      <c r="S1038" s="47">
        <v>1.4219999999999999</v>
      </c>
      <c r="T1038" s="31">
        <v>0</v>
      </c>
      <c r="V1038">
        <v>1036</v>
      </c>
      <c r="W1038">
        <v>22</v>
      </c>
      <c r="X1038">
        <v>1.077</v>
      </c>
      <c r="Y1038" s="32">
        <v>2.7869999999999999</v>
      </c>
      <c r="Z1038">
        <v>0</v>
      </c>
      <c r="AA1038" s="32">
        <v>1.2969999999999999</v>
      </c>
      <c r="AB1038">
        <v>0</v>
      </c>
      <c r="AC1038" s="34">
        <v>0.121</v>
      </c>
      <c r="AD1038" s="32">
        <v>1.391</v>
      </c>
    </row>
    <row r="1039" spans="1:30">
      <c r="A1039">
        <v>1037</v>
      </c>
      <c r="B1039">
        <v>23</v>
      </c>
      <c r="C1039">
        <v>1.0660000000000001</v>
      </c>
      <c r="D1039">
        <v>2.71</v>
      </c>
      <c r="E1039">
        <v>0</v>
      </c>
      <c r="F1039">
        <v>1.3340000000000001</v>
      </c>
      <c r="G1039">
        <v>0</v>
      </c>
      <c r="H1039">
        <v>0.14299999999999999</v>
      </c>
      <c r="I1039">
        <v>1.508</v>
      </c>
      <c r="K1039">
        <v>1037</v>
      </c>
      <c r="L1039">
        <v>23</v>
      </c>
      <c r="M1039" s="32">
        <v>1.0660000000000001</v>
      </c>
      <c r="N1039" s="32">
        <v>2.71</v>
      </c>
      <c r="P1039" s="47">
        <v>1.3360000000000001</v>
      </c>
      <c r="R1039" s="47">
        <v>0.122</v>
      </c>
      <c r="S1039" s="47">
        <v>1.4239999999999999</v>
      </c>
      <c r="T1039" s="31">
        <v>0</v>
      </c>
      <c r="V1039">
        <v>1037</v>
      </c>
      <c r="W1039">
        <v>22</v>
      </c>
      <c r="X1039">
        <v>1.0780000000000001</v>
      </c>
      <c r="Y1039" s="32">
        <v>2.798</v>
      </c>
      <c r="Z1039">
        <v>0</v>
      </c>
      <c r="AA1039" s="32">
        <v>1.2969999999999999</v>
      </c>
      <c r="AB1039">
        <v>0</v>
      </c>
      <c r="AC1039" s="34">
        <v>0.121</v>
      </c>
      <c r="AD1039" s="32">
        <v>1.393</v>
      </c>
    </row>
    <row r="1040" spans="1:30">
      <c r="A1040">
        <v>1038</v>
      </c>
      <c r="B1040">
        <v>23</v>
      </c>
      <c r="C1040">
        <v>1.0669999999999999</v>
      </c>
      <c r="D1040">
        <v>2.71</v>
      </c>
      <c r="E1040">
        <v>0</v>
      </c>
      <c r="F1040">
        <v>1.3340000000000001</v>
      </c>
      <c r="G1040">
        <v>0</v>
      </c>
      <c r="H1040">
        <v>0.14299999999999999</v>
      </c>
      <c r="I1040">
        <v>1.5089999999999999</v>
      </c>
      <c r="K1040">
        <v>1038</v>
      </c>
      <c r="L1040">
        <v>23</v>
      </c>
      <c r="M1040" s="32">
        <v>1.0669999999999999</v>
      </c>
      <c r="N1040" s="32">
        <v>2.71</v>
      </c>
      <c r="P1040" s="47">
        <v>1.3360000000000001</v>
      </c>
      <c r="R1040" s="47">
        <v>0.122</v>
      </c>
      <c r="S1040" s="47">
        <v>1.425</v>
      </c>
      <c r="T1040" s="31">
        <v>0</v>
      </c>
      <c r="V1040">
        <v>1038</v>
      </c>
      <c r="W1040">
        <v>22</v>
      </c>
      <c r="X1040">
        <v>1.079</v>
      </c>
      <c r="Y1040" s="32">
        <v>2.8090000000000002</v>
      </c>
      <c r="Z1040">
        <v>0</v>
      </c>
      <c r="AA1040" s="32">
        <v>1.2969999999999999</v>
      </c>
      <c r="AB1040">
        <v>0</v>
      </c>
      <c r="AC1040" s="34">
        <v>0.121</v>
      </c>
      <c r="AD1040" s="32">
        <v>1.3939999999999999</v>
      </c>
    </row>
    <row r="1041" spans="1:30">
      <c r="A1041">
        <v>1039</v>
      </c>
      <c r="B1041">
        <v>23</v>
      </c>
      <c r="C1041">
        <v>1.0680000000000001</v>
      </c>
      <c r="D1041">
        <v>2.71</v>
      </c>
      <c r="E1041">
        <v>0</v>
      </c>
      <c r="F1041">
        <v>1.3340000000000001</v>
      </c>
      <c r="G1041">
        <v>0</v>
      </c>
      <c r="H1041">
        <v>0.14299999999999999</v>
      </c>
      <c r="I1041">
        <v>1.5109999999999999</v>
      </c>
      <c r="K1041">
        <v>1039</v>
      </c>
      <c r="L1041">
        <v>23</v>
      </c>
      <c r="M1041" s="32">
        <v>1.0680000000000001</v>
      </c>
      <c r="N1041" s="32">
        <v>2.71</v>
      </c>
      <c r="P1041" s="47">
        <v>1.3360000000000001</v>
      </c>
      <c r="R1041" s="47">
        <v>0.121</v>
      </c>
      <c r="S1041" s="47">
        <v>1.427</v>
      </c>
      <c r="T1041" s="31">
        <v>0</v>
      </c>
      <c r="V1041">
        <v>1039</v>
      </c>
      <c r="W1041">
        <v>22</v>
      </c>
      <c r="X1041">
        <v>1.08</v>
      </c>
      <c r="Y1041" s="32">
        <v>2.82</v>
      </c>
      <c r="Z1041">
        <v>0</v>
      </c>
      <c r="AA1041" s="32">
        <v>1.2969999999999999</v>
      </c>
      <c r="AB1041">
        <v>0</v>
      </c>
      <c r="AC1041" s="34">
        <v>0.121</v>
      </c>
      <c r="AD1041" s="32">
        <v>1.3959999999999999</v>
      </c>
    </row>
    <row r="1042" spans="1:30">
      <c r="A1042">
        <v>1040</v>
      </c>
      <c r="B1042">
        <v>23</v>
      </c>
      <c r="C1042">
        <v>1.069</v>
      </c>
      <c r="D1042">
        <v>2.71</v>
      </c>
      <c r="E1042">
        <v>0</v>
      </c>
      <c r="F1042">
        <v>1.3340000000000001</v>
      </c>
      <c r="G1042">
        <v>0</v>
      </c>
      <c r="H1042">
        <v>0.14299999999999999</v>
      </c>
      <c r="I1042">
        <v>1.5129999999999999</v>
      </c>
      <c r="K1042">
        <v>1040</v>
      </c>
      <c r="L1042">
        <v>23</v>
      </c>
      <c r="M1042" s="32">
        <v>1.069</v>
      </c>
      <c r="N1042" s="32">
        <v>2.71</v>
      </c>
      <c r="P1042" s="47">
        <v>1.337</v>
      </c>
      <c r="R1042" s="47">
        <v>0.121</v>
      </c>
      <c r="S1042" s="47">
        <v>1.4279999999999999</v>
      </c>
      <c r="T1042" s="31">
        <v>0</v>
      </c>
      <c r="V1042">
        <v>1040</v>
      </c>
      <c r="W1042">
        <v>22</v>
      </c>
      <c r="X1042">
        <v>1.081</v>
      </c>
      <c r="Y1042" s="32">
        <v>2.82</v>
      </c>
      <c r="Z1042">
        <v>0</v>
      </c>
      <c r="AA1042" s="32">
        <v>1.298</v>
      </c>
      <c r="AB1042">
        <v>0</v>
      </c>
      <c r="AC1042" s="34">
        <v>0.121</v>
      </c>
      <c r="AD1042" s="32">
        <v>1.397</v>
      </c>
    </row>
    <row r="1043" spans="1:30">
      <c r="A1043">
        <v>1041</v>
      </c>
      <c r="B1043">
        <v>23</v>
      </c>
      <c r="C1043">
        <v>1.07</v>
      </c>
      <c r="D1043">
        <v>2.71</v>
      </c>
      <c r="E1043">
        <v>0</v>
      </c>
      <c r="F1043">
        <v>1.337</v>
      </c>
      <c r="G1043">
        <v>0</v>
      </c>
      <c r="H1043">
        <v>0.14299999999999999</v>
      </c>
      <c r="I1043">
        <v>1.43</v>
      </c>
      <c r="K1043">
        <v>1041</v>
      </c>
      <c r="L1043">
        <v>23</v>
      </c>
      <c r="M1043" s="32">
        <v>1.07</v>
      </c>
      <c r="N1043" s="32">
        <v>2.71</v>
      </c>
      <c r="P1043" s="32">
        <v>1.337</v>
      </c>
      <c r="R1043" s="47">
        <v>0.121</v>
      </c>
      <c r="S1043" s="32">
        <v>1.43</v>
      </c>
      <c r="T1043" s="31">
        <v>0</v>
      </c>
      <c r="V1043">
        <v>1041</v>
      </c>
      <c r="W1043">
        <v>22</v>
      </c>
      <c r="X1043">
        <v>1.0820000000000001</v>
      </c>
      <c r="Y1043" s="32">
        <v>2.82</v>
      </c>
      <c r="Z1043">
        <v>0</v>
      </c>
      <c r="AA1043" s="32">
        <v>1.298</v>
      </c>
      <c r="AB1043">
        <v>0</v>
      </c>
      <c r="AC1043" s="34">
        <v>0.121</v>
      </c>
      <c r="AD1043" s="32">
        <v>1.399</v>
      </c>
    </row>
    <row r="1044" spans="1:30">
      <c r="A1044">
        <v>1042</v>
      </c>
      <c r="B1044">
        <v>23</v>
      </c>
      <c r="C1044">
        <v>1.071</v>
      </c>
      <c r="D1044">
        <v>2.71</v>
      </c>
      <c r="E1044">
        <v>0</v>
      </c>
      <c r="F1044">
        <v>1.337</v>
      </c>
      <c r="G1044">
        <v>0</v>
      </c>
      <c r="H1044">
        <v>0.14299999999999999</v>
      </c>
      <c r="I1044">
        <v>1.532</v>
      </c>
      <c r="K1044">
        <v>1042</v>
      </c>
      <c r="L1044">
        <v>23</v>
      </c>
      <c r="M1044" s="32">
        <v>1.071</v>
      </c>
      <c r="N1044" s="47">
        <v>2.7210000000000001</v>
      </c>
      <c r="P1044" s="32">
        <v>1.337</v>
      </c>
      <c r="R1044" s="47">
        <v>0.12</v>
      </c>
      <c r="S1044" s="47">
        <v>1.4319999999999999</v>
      </c>
      <c r="T1044" s="31">
        <v>0</v>
      </c>
      <c r="V1044">
        <v>1042</v>
      </c>
      <c r="W1044">
        <v>22</v>
      </c>
      <c r="X1044">
        <v>1.083</v>
      </c>
      <c r="Y1044" s="32">
        <v>2.82</v>
      </c>
      <c r="Z1044">
        <v>0</v>
      </c>
      <c r="AA1044" s="32">
        <v>1.298</v>
      </c>
      <c r="AB1044">
        <v>0</v>
      </c>
      <c r="AC1044" s="34">
        <v>0.121</v>
      </c>
      <c r="AD1044" s="32">
        <v>1.4</v>
      </c>
    </row>
    <row r="1045" spans="1:30">
      <c r="A1045">
        <v>1043</v>
      </c>
      <c r="B1045">
        <v>23</v>
      </c>
      <c r="C1045">
        <v>1.0720000000000001</v>
      </c>
      <c r="D1045">
        <v>2.71</v>
      </c>
      <c r="E1045">
        <v>0</v>
      </c>
      <c r="F1045">
        <v>1.337</v>
      </c>
      <c r="G1045">
        <v>0</v>
      </c>
      <c r="H1045">
        <v>0.14299999999999999</v>
      </c>
      <c r="I1045">
        <v>1.534</v>
      </c>
      <c r="K1045">
        <v>1043</v>
      </c>
      <c r="L1045">
        <v>23</v>
      </c>
      <c r="M1045" s="32">
        <v>1.0720000000000001</v>
      </c>
      <c r="N1045" s="47">
        <v>2.7320000000000002</v>
      </c>
      <c r="P1045" s="47">
        <v>1.3380000000000001</v>
      </c>
      <c r="R1045" s="47">
        <v>0.12</v>
      </c>
      <c r="S1045" s="47">
        <v>1.4330000000000001</v>
      </c>
      <c r="T1045" s="31">
        <v>0</v>
      </c>
      <c r="V1045">
        <v>1043</v>
      </c>
      <c r="W1045">
        <v>22</v>
      </c>
      <c r="X1045">
        <v>1.0840000000000001</v>
      </c>
      <c r="Y1045" s="32">
        <v>2.82</v>
      </c>
      <c r="Z1045">
        <v>0</v>
      </c>
      <c r="AA1045" s="32">
        <v>1.298</v>
      </c>
      <c r="AB1045">
        <v>0</v>
      </c>
      <c r="AC1045" s="34">
        <v>0.122</v>
      </c>
      <c r="AD1045" s="32">
        <v>1.4019999999999999</v>
      </c>
    </row>
    <row r="1046" spans="1:30">
      <c r="A1046">
        <v>1044</v>
      </c>
      <c r="B1046">
        <v>23</v>
      </c>
      <c r="C1046">
        <v>1.073</v>
      </c>
      <c r="D1046">
        <v>2.71</v>
      </c>
      <c r="E1046">
        <v>0</v>
      </c>
      <c r="F1046">
        <v>1.337</v>
      </c>
      <c r="G1046">
        <v>0</v>
      </c>
      <c r="H1046">
        <v>0.14299999999999999</v>
      </c>
      <c r="I1046">
        <v>1.5349999999999999</v>
      </c>
      <c r="K1046">
        <v>1044</v>
      </c>
      <c r="L1046">
        <v>23</v>
      </c>
      <c r="M1046" s="32">
        <v>1.073</v>
      </c>
      <c r="N1046" s="47">
        <v>2.7429999999999999</v>
      </c>
      <c r="P1046" s="47">
        <v>1.3380000000000001</v>
      </c>
      <c r="R1046" s="47">
        <v>0.12</v>
      </c>
      <c r="S1046" s="47">
        <v>1.4350000000000001</v>
      </c>
      <c r="T1046" s="31">
        <v>0</v>
      </c>
      <c r="V1046">
        <v>1044</v>
      </c>
      <c r="W1046">
        <v>22</v>
      </c>
      <c r="X1046">
        <v>1.085</v>
      </c>
      <c r="Y1046" s="32">
        <v>2.82</v>
      </c>
      <c r="Z1046">
        <v>0</v>
      </c>
      <c r="AA1046" s="32">
        <v>1.2989999999999999</v>
      </c>
      <c r="AB1046">
        <v>0</v>
      </c>
      <c r="AC1046" s="34">
        <v>0.122</v>
      </c>
      <c r="AD1046" s="32">
        <v>1.403</v>
      </c>
    </row>
    <row r="1047" spans="1:30">
      <c r="A1047">
        <v>1045</v>
      </c>
      <c r="B1047">
        <v>23</v>
      </c>
      <c r="C1047">
        <v>1.0740000000000001</v>
      </c>
      <c r="D1047">
        <v>2.71</v>
      </c>
      <c r="E1047">
        <v>0</v>
      </c>
      <c r="F1047">
        <v>1.337</v>
      </c>
      <c r="G1047">
        <v>0</v>
      </c>
      <c r="H1047">
        <v>0.14299999999999999</v>
      </c>
      <c r="I1047">
        <v>1.5369999999999999</v>
      </c>
      <c r="K1047">
        <v>1045</v>
      </c>
      <c r="L1047">
        <v>23</v>
      </c>
      <c r="M1047" s="32">
        <v>1.0740000000000001</v>
      </c>
      <c r="N1047" s="47">
        <v>2.754</v>
      </c>
      <c r="P1047" s="47">
        <v>1.3380000000000001</v>
      </c>
      <c r="R1047" s="47">
        <v>0.11899999999999999</v>
      </c>
      <c r="S1047" s="47">
        <v>1.4370000000000001</v>
      </c>
      <c r="T1047" s="31">
        <v>0</v>
      </c>
      <c r="V1047">
        <v>1045</v>
      </c>
      <c r="W1047">
        <v>22</v>
      </c>
      <c r="X1047">
        <v>1.0860000000000001</v>
      </c>
      <c r="Y1047" s="32">
        <v>2.82</v>
      </c>
      <c r="Z1047">
        <v>0</v>
      </c>
      <c r="AA1047" s="32">
        <v>1.2989999999999999</v>
      </c>
      <c r="AB1047">
        <v>0</v>
      </c>
      <c r="AC1047" s="34">
        <v>0.122</v>
      </c>
      <c r="AD1047" s="32">
        <v>1.405</v>
      </c>
    </row>
    <row r="1048" spans="1:30">
      <c r="A1048">
        <v>1046</v>
      </c>
      <c r="B1048">
        <v>23</v>
      </c>
      <c r="C1048">
        <v>1.075</v>
      </c>
      <c r="D1048">
        <v>2.71</v>
      </c>
      <c r="E1048">
        <v>0</v>
      </c>
      <c r="F1048">
        <v>1.337</v>
      </c>
      <c r="G1048">
        <v>0</v>
      </c>
      <c r="H1048">
        <v>0.14299999999999999</v>
      </c>
      <c r="I1048">
        <v>1.5389999999999999</v>
      </c>
      <c r="K1048">
        <v>1046</v>
      </c>
      <c r="L1048">
        <v>23</v>
      </c>
      <c r="M1048" s="32">
        <v>1.075</v>
      </c>
      <c r="N1048" s="47">
        <v>2.7650000000000001</v>
      </c>
      <c r="P1048" s="47">
        <v>1.339</v>
      </c>
      <c r="R1048" s="47">
        <v>0.11899999999999999</v>
      </c>
      <c r="S1048" s="47">
        <v>1.4390000000000001</v>
      </c>
      <c r="T1048" s="31">
        <v>0</v>
      </c>
      <c r="V1048">
        <v>1046</v>
      </c>
      <c r="W1048">
        <v>22</v>
      </c>
      <c r="X1048">
        <v>1.087</v>
      </c>
      <c r="Y1048" s="32">
        <v>2.82</v>
      </c>
      <c r="Z1048">
        <v>0</v>
      </c>
      <c r="AA1048" s="32">
        <v>1.2989999999999999</v>
      </c>
      <c r="AB1048">
        <v>0</v>
      </c>
      <c r="AC1048" s="34">
        <v>0.122</v>
      </c>
      <c r="AD1048" s="32">
        <v>1.4059999999999999</v>
      </c>
    </row>
    <row r="1049" spans="1:30">
      <c r="A1049">
        <v>1047</v>
      </c>
      <c r="B1049">
        <v>23</v>
      </c>
      <c r="C1049">
        <v>1.0760000000000001</v>
      </c>
      <c r="D1049">
        <v>2.71</v>
      </c>
      <c r="E1049">
        <v>0</v>
      </c>
      <c r="F1049">
        <v>1.337</v>
      </c>
      <c r="G1049">
        <v>0</v>
      </c>
      <c r="H1049">
        <v>0.14299999999999999</v>
      </c>
      <c r="I1049">
        <v>1.54</v>
      </c>
      <c r="K1049">
        <v>1047</v>
      </c>
      <c r="L1049">
        <v>23</v>
      </c>
      <c r="M1049" s="32">
        <v>1.0760000000000001</v>
      </c>
      <c r="N1049" s="47">
        <v>2.7759999999999998</v>
      </c>
      <c r="P1049" s="47">
        <v>1.339</v>
      </c>
      <c r="R1049" s="47">
        <v>0.11799999999999999</v>
      </c>
      <c r="S1049" s="47">
        <v>1.44</v>
      </c>
      <c r="T1049" s="31">
        <v>0</v>
      </c>
      <c r="V1049">
        <v>1047</v>
      </c>
      <c r="W1049">
        <v>22</v>
      </c>
      <c r="X1049">
        <v>1.0880000000000001</v>
      </c>
      <c r="Y1049" s="32">
        <v>2.82</v>
      </c>
      <c r="Z1049">
        <v>0</v>
      </c>
      <c r="AA1049" s="32">
        <v>1.2989999999999999</v>
      </c>
      <c r="AB1049">
        <v>0</v>
      </c>
      <c r="AC1049" s="34">
        <v>0.122</v>
      </c>
      <c r="AD1049" s="32">
        <v>1.4079999999999999</v>
      </c>
    </row>
    <row r="1050" spans="1:30">
      <c r="A1050">
        <v>1048</v>
      </c>
      <c r="B1050">
        <v>23</v>
      </c>
      <c r="C1050">
        <v>1.077</v>
      </c>
      <c r="D1050">
        <v>2.71</v>
      </c>
      <c r="E1050">
        <v>0</v>
      </c>
      <c r="F1050">
        <v>1.337</v>
      </c>
      <c r="G1050">
        <v>0</v>
      </c>
      <c r="H1050">
        <v>0.14299999999999999</v>
      </c>
      <c r="I1050">
        <v>1.542</v>
      </c>
      <c r="K1050">
        <v>1048</v>
      </c>
      <c r="L1050">
        <v>23</v>
      </c>
      <c r="M1050" s="32">
        <v>1.077</v>
      </c>
      <c r="N1050" s="47">
        <v>2.7869999999999999</v>
      </c>
      <c r="P1050" s="47">
        <v>1.339</v>
      </c>
      <c r="R1050" s="47">
        <v>0.11799999999999999</v>
      </c>
      <c r="S1050" s="47">
        <v>1.4419999999999999</v>
      </c>
      <c r="T1050" s="31">
        <v>0</v>
      </c>
      <c r="V1050">
        <v>1048</v>
      </c>
      <c r="W1050">
        <v>22</v>
      </c>
      <c r="X1050">
        <v>1.089</v>
      </c>
      <c r="Y1050" s="32">
        <v>2.82</v>
      </c>
      <c r="Z1050">
        <v>0</v>
      </c>
      <c r="AA1050" s="32">
        <v>1.2989999999999999</v>
      </c>
      <c r="AB1050">
        <v>0</v>
      </c>
      <c r="AC1050" s="34">
        <v>0.122</v>
      </c>
      <c r="AD1050" s="32">
        <v>1.409</v>
      </c>
    </row>
    <row r="1051" spans="1:30">
      <c r="A1051">
        <v>1049</v>
      </c>
      <c r="B1051">
        <v>23</v>
      </c>
      <c r="C1051">
        <v>1.0780000000000001</v>
      </c>
      <c r="D1051">
        <v>2.71</v>
      </c>
      <c r="E1051">
        <v>0</v>
      </c>
      <c r="F1051">
        <v>1.337</v>
      </c>
      <c r="G1051">
        <v>0</v>
      </c>
      <c r="H1051">
        <v>0.14299999999999999</v>
      </c>
      <c r="I1051">
        <v>1.544</v>
      </c>
      <c r="K1051">
        <v>1049</v>
      </c>
      <c r="L1051">
        <v>23</v>
      </c>
      <c r="M1051" s="32">
        <v>1.0780000000000001</v>
      </c>
      <c r="N1051" s="47">
        <v>2.798</v>
      </c>
      <c r="P1051" s="47">
        <v>1.339</v>
      </c>
      <c r="R1051" s="47">
        <v>0.11799999999999999</v>
      </c>
      <c r="S1051" s="47">
        <v>1.444</v>
      </c>
      <c r="T1051" s="31">
        <v>0</v>
      </c>
      <c r="V1051">
        <v>1049</v>
      </c>
      <c r="W1051">
        <v>22</v>
      </c>
      <c r="X1051">
        <v>1.0900000000000001</v>
      </c>
      <c r="Y1051" s="32">
        <v>2.82</v>
      </c>
      <c r="Z1051">
        <v>0</v>
      </c>
      <c r="AA1051" s="32">
        <v>1.3</v>
      </c>
      <c r="AB1051">
        <v>0</v>
      </c>
      <c r="AC1051" s="34">
        <v>0.122</v>
      </c>
      <c r="AD1051" s="32">
        <v>1.411</v>
      </c>
    </row>
    <row r="1052" spans="1:30">
      <c r="A1052">
        <v>1050</v>
      </c>
      <c r="B1052">
        <v>23</v>
      </c>
      <c r="C1052">
        <v>1.079</v>
      </c>
      <c r="D1052">
        <v>2.71</v>
      </c>
      <c r="E1052">
        <v>0</v>
      </c>
      <c r="F1052">
        <v>1.337</v>
      </c>
      <c r="G1052">
        <v>0</v>
      </c>
      <c r="H1052">
        <v>0.14299999999999999</v>
      </c>
      <c r="I1052">
        <v>1.5449999999999999</v>
      </c>
      <c r="K1052">
        <v>1050</v>
      </c>
      <c r="L1052">
        <v>23</v>
      </c>
      <c r="M1052" s="32">
        <v>1.079</v>
      </c>
      <c r="N1052" s="47">
        <v>2.8090000000000002</v>
      </c>
      <c r="P1052" s="47">
        <v>1.34</v>
      </c>
      <c r="R1052" s="47">
        <v>0.11700000000000001</v>
      </c>
      <c r="S1052" s="47">
        <v>1.4450000000000001</v>
      </c>
      <c r="T1052" s="31">
        <v>0</v>
      </c>
      <c r="V1052">
        <v>1050</v>
      </c>
      <c r="W1052">
        <v>22</v>
      </c>
      <c r="X1052">
        <v>1.091</v>
      </c>
      <c r="Y1052" s="32">
        <v>2.82</v>
      </c>
      <c r="Z1052">
        <v>0</v>
      </c>
      <c r="AA1052" s="32">
        <v>1.3</v>
      </c>
      <c r="AB1052">
        <v>0</v>
      </c>
      <c r="AC1052" s="34">
        <v>0.122</v>
      </c>
      <c r="AD1052" s="32">
        <v>1.4119999999999999</v>
      </c>
    </row>
    <row r="1053" spans="1:30">
      <c r="A1053">
        <v>1051</v>
      </c>
      <c r="B1053">
        <v>24</v>
      </c>
      <c r="C1053">
        <v>1.08</v>
      </c>
      <c r="D1053">
        <v>2.82</v>
      </c>
      <c r="E1053">
        <v>0</v>
      </c>
      <c r="F1053">
        <v>1.34</v>
      </c>
      <c r="G1053">
        <v>0</v>
      </c>
      <c r="H1053">
        <v>0.11700000000000001</v>
      </c>
      <c r="I1053">
        <v>1.4470000000000001</v>
      </c>
      <c r="K1053">
        <v>1051</v>
      </c>
      <c r="L1053">
        <v>24</v>
      </c>
      <c r="M1053" s="32">
        <v>1.08</v>
      </c>
      <c r="N1053" s="32">
        <v>2.82</v>
      </c>
      <c r="P1053" s="32">
        <v>1.34</v>
      </c>
      <c r="R1053" s="32">
        <v>0.11700000000000001</v>
      </c>
      <c r="S1053" s="32">
        <v>1.4470000000000001</v>
      </c>
      <c r="T1053" s="31">
        <v>0</v>
      </c>
      <c r="V1053">
        <v>1051</v>
      </c>
      <c r="W1053">
        <v>22</v>
      </c>
      <c r="X1053">
        <v>1.0920000000000001</v>
      </c>
      <c r="Y1053" s="32">
        <v>2.82</v>
      </c>
      <c r="Z1053">
        <v>0</v>
      </c>
      <c r="AA1053" s="32">
        <v>1.3</v>
      </c>
      <c r="AB1053">
        <v>0</v>
      </c>
      <c r="AC1053" s="34">
        <v>0.122</v>
      </c>
      <c r="AD1053" s="32">
        <v>1.4139999999999999</v>
      </c>
    </row>
    <row r="1054" spans="1:30">
      <c r="A1054">
        <v>1052</v>
      </c>
      <c r="B1054">
        <v>24</v>
      </c>
      <c r="C1054">
        <v>1.081</v>
      </c>
      <c r="D1054">
        <v>2.82</v>
      </c>
      <c r="E1054">
        <v>0</v>
      </c>
      <c r="F1054">
        <v>1.34</v>
      </c>
      <c r="G1054">
        <v>0</v>
      </c>
      <c r="H1054">
        <v>0.11700000000000001</v>
      </c>
      <c r="I1054">
        <v>1.4490000000000001</v>
      </c>
      <c r="K1054">
        <v>1052</v>
      </c>
      <c r="L1054">
        <v>24</v>
      </c>
      <c r="M1054" s="32">
        <v>1.081</v>
      </c>
      <c r="N1054" s="32">
        <v>2.82</v>
      </c>
      <c r="P1054" s="32">
        <v>1.34</v>
      </c>
      <c r="R1054" s="32">
        <v>0.11700000000000001</v>
      </c>
      <c r="S1054" s="32">
        <v>1.4490000000000001</v>
      </c>
      <c r="T1054" s="31">
        <v>0</v>
      </c>
      <c r="V1054">
        <v>1052</v>
      </c>
      <c r="W1054">
        <v>22</v>
      </c>
      <c r="X1054">
        <v>1.093</v>
      </c>
      <c r="Y1054" s="32">
        <v>2.82</v>
      </c>
      <c r="Z1054">
        <v>0</v>
      </c>
      <c r="AA1054" s="32">
        <v>1.3</v>
      </c>
      <c r="AB1054">
        <v>0</v>
      </c>
      <c r="AC1054" s="34">
        <v>0.122</v>
      </c>
      <c r="AD1054" s="32">
        <v>1.415</v>
      </c>
    </row>
    <row r="1055" spans="1:30">
      <c r="A1055">
        <v>1053</v>
      </c>
      <c r="B1055">
        <v>24</v>
      </c>
      <c r="C1055">
        <v>1.0820000000000001</v>
      </c>
      <c r="D1055">
        <v>2.82</v>
      </c>
      <c r="E1055">
        <v>0</v>
      </c>
      <c r="F1055">
        <v>1.341</v>
      </c>
      <c r="G1055">
        <v>0</v>
      </c>
      <c r="H1055">
        <v>0.11700000000000001</v>
      </c>
      <c r="I1055">
        <v>1.45</v>
      </c>
      <c r="K1055">
        <v>1053</v>
      </c>
      <c r="L1055">
        <v>24</v>
      </c>
      <c r="M1055" s="32">
        <v>1.0820000000000001</v>
      </c>
      <c r="N1055" s="32">
        <v>2.82</v>
      </c>
      <c r="P1055" s="32">
        <v>1.341</v>
      </c>
      <c r="R1055" s="47">
        <v>0.11799999999999999</v>
      </c>
      <c r="S1055" s="32">
        <v>1.45</v>
      </c>
      <c r="T1055" s="31">
        <v>0</v>
      </c>
      <c r="V1055">
        <v>1053</v>
      </c>
      <c r="W1055">
        <v>22</v>
      </c>
      <c r="X1055">
        <v>1.0940000000000001</v>
      </c>
      <c r="Y1055" s="32">
        <v>2.82</v>
      </c>
      <c r="Z1055">
        <v>0</v>
      </c>
      <c r="AA1055" s="32">
        <v>1.3009999999999999</v>
      </c>
      <c r="AB1055">
        <v>0</v>
      </c>
      <c r="AC1055" s="34">
        <v>0.122</v>
      </c>
      <c r="AD1055" s="32">
        <v>1.417</v>
      </c>
    </row>
    <row r="1056" spans="1:30">
      <c r="A1056">
        <v>1054</v>
      </c>
      <c r="B1056">
        <v>24</v>
      </c>
      <c r="C1056">
        <v>1.083</v>
      </c>
      <c r="D1056">
        <v>2.83</v>
      </c>
      <c r="E1056">
        <v>0</v>
      </c>
      <c r="F1056">
        <v>1.341</v>
      </c>
      <c r="G1056">
        <v>0</v>
      </c>
      <c r="H1056">
        <v>0.11700000000000001</v>
      </c>
      <c r="I1056">
        <v>1.452</v>
      </c>
      <c r="K1056">
        <v>1054</v>
      </c>
      <c r="L1056">
        <v>24</v>
      </c>
      <c r="M1056" s="32">
        <v>1.083</v>
      </c>
      <c r="N1056" s="47">
        <v>2.82</v>
      </c>
      <c r="P1056" s="32">
        <v>1.341</v>
      </c>
      <c r="R1056" s="47">
        <v>0.11799999999999999</v>
      </c>
      <c r="S1056" s="32">
        <v>1.452</v>
      </c>
      <c r="T1056" s="31">
        <v>0</v>
      </c>
      <c r="V1056">
        <v>1054</v>
      </c>
      <c r="W1056">
        <v>22</v>
      </c>
      <c r="X1056">
        <v>1.095</v>
      </c>
      <c r="Y1056" s="32">
        <v>2.82</v>
      </c>
      <c r="Z1056">
        <v>0</v>
      </c>
      <c r="AA1056" s="32">
        <v>1.3009999999999999</v>
      </c>
      <c r="AB1056">
        <v>0</v>
      </c>
      <c r="AC1056" s="34">
        <v>0.122</v>
      </c>
      <c r="AD1056" s="32">
        <v>1.4179999999999999</v>
      </c>
    </row>
    <row r="1057" spans="1:30">
      <c r="A1057">
        <v>1055</v>
      </c>
      <c r="B1057">
        <v>24</v>
      </c>
      <c r="C1057">
        <v>1.0840000000000001</v>
      </c>
      <c r="D1057">
        <v>2.83</v>
      </c>
      <c r="E1057">
        <v>0</v>
      </c>
      <c r="F1057">
        <v>1.341</v>
      </c>
      <c r="G1057">
        <v>0</v>
      </c>
      <c r="H1057">
        <v>0.11700000000000001</v>
      </c>
      <c r="I1057">
        <v>1.454</v>
      </c>
      <c r="K1057">
        <v>1055</v>
      </c>
      <c r="L1057">
        <v>24</v>
      </c>
      <c r="M1057" s="32">
        <v>1.0840000000000001</v>
      </c>
      <c r="N1057" s="47">
        <v>2.82</v>
      </c>
      <c r="P1057" s="32">
        <v>1.341</v>
      </c>
      <c r="R1057" s="47">
        <v>0.11799999999999999</v>
      </c>
      <c r="S1057" s="32">
        <v>1.454</v>
      </c>
      <c r="T1057" s="31">
        <v>0</v>
      </c>
      <c r="V1057">
        <v>1055</v>
      </c>
      <c r="W1057">
        <v>22</v>
      </c>
      <c r="X1057">
        <v>1.0960000000000001</v>
      </c>
      <c r="Y1057" s="32">
        <v>2.82</v>
      </c>
      <c r="Z1057">
        <v>0</v>
      </c>
      <c r="AA1057" s="32">
        <v>1.3009999999999999</v>
      </c>
      <c r="AB1057">
        <v>0</v>
      </c>
      <c r="AC1057" s="34">
        <v>0.122</v>
      </c>
      <c r="AD1057" s="32">
        <v>1.42</v>
      </c>
    </row>
    <row r="1058" spans="1:30">
      <c r="A1058">
        <v>1056</v>
      </c>
      <c r="B1058">
        <v>24</v>
      </c>
      <c r="C1058">
        <v>1.085</v>
      </c>
      <c r="D1058">
        <v>2.83</v>
      </c>
      <c r="E1058">
        <v>0</v>
      </c>
      <c r="F1058">
        <v>1.3420000000000001</v>
      </c>
      <c r="G1058">
        <v>0</v>
      </c>
      <c r="H1058">
        <v>0.11700000000000001</v>
      </c>
      <c r="I1058">
        <v>1.456</v>
      </c>
      <c r="K1058">
        <v>1056</v>
      </c>
      <c r="L1058">
        <v>24</v>
      </c>
      <c r="M1058" s="32">
        <v>1.085</v>
      </c>
      <c r="N1058" s="47">
        <v>2.82</v>
      </c>
      <c r="P1058" s="32">
        <v>1.3420000000000001</v>
      </c>
      <c r="R1058" s="47">
        <v>0.11799999999999999</v>
      </c>
      <c r="S1058" s="32">
        <v>1.456</v>
      </c>
      <c r="T1058" s="31">
        <v>0</v>
      </c>
      <c r="V1058">
        <v>1056</v>
      </c>
      <c r="W1058">
        <v>22</v>
      </c>
      <c r="X1058">
        <v>1.097</v>
      </c>
      <c r="Y1058" s="32">
        <v>2.82</v>
      </c>
      <c r="Z1058">
        <v>0</v>
      </c>
      <c r="AA1058" s="32">
        <v>1.3009999999999999</v>
      </c>
      <c r="AB1058">
        <v>0</v>
      </c>
      <c r="AC1058" s="34">
        <v>0.122</v>
      </c>
      <c r="AD1058" s="32">
        <v>1.421</v>
      </c>
    </row>
    <row r="1059" spans="1:30">
      <c r="A1059">
        <v>1057</v>
      </c>
      <c r="B1059">
        <v>24</v>
      </c>
      <c r="C1059">
        <v>1.0860000000000001</v>
      </c>
      <c r="D1059">
        <v>2.83</v>
      </c>
      <c r="E1059">
        <v>0</v>
      </c>
      <c r="F1059">
        <v>1.3420000000000001</v>
      </c>
      <c r="G1059">
        <v>0</v>
      </c>
      <c r="H1059">
        <v>0.11700000000000001</v>
      </c>
      <c r="I1059">
        <v>1.4570000000000001</v>
      </c>
      <c r="K1059">
        <v>1057</v>
      </c>
      <c r="L1059">
        <v>24</v>
      </c>
      <c r="M1059" s="32">
        <v>1.0860000000000001</v>
      </c>
      <c r="N1059" s="47">
        <v>2.82</v>
      </c>
      <c r="P1059" s="32">
        <v>1.3420000000000001</v>
      </c>
      <c r="R1059" s="47">
        <v>0.11899999999999999</v>
      </c>
      <c r="S1059" s="32">
        <v>1.4570000000000001</v>
      </c>
      <c r="T1059" s="31">
        <v>0</v>
      </c>
      <c r="V1059">
        <v>1057</v>
      </c>
      <c r="W1059">
        <v>22</v>
      </c>
      <c r="X1059">
        <v>1.0980000000000001</v>
      </c>
      <c r="Y1059" s="32">
        <v>2.82</v>
      </c>
      <c r="Z1059">
        <v>0</v>
      </c>
      <c r="AA1059" s="32">
        <v>1.302</v>
      </c>
      <c r="AB1059">
        <v>0</v>
      </c>
      <c r="AC1059" s="34">
        <v>0.123</v>
      </c>
      <c r="AD1059" s="32">
        <v>1.423</v>
      </c>
    </row>
    <row r="1060" spans="1:30">
      <c r="A1060">
        <v>1058</v>
      </c>
      <c r="B1060">
        <v>24</v>
      </c>
      <c r="C1060">
        <v>1.087</v>
      </c>
      <c r="D1060">
        <v>2.83</v>
      </c>
      <c r="E1060">
        <v>0</v>
      </c>
      <c r="F1060">
        <v>1.3420000000000001</v>
      </c>
      <c r="G1060">
        <v>0</v>
      </c>
      <c r="H1060">
        <v>0.11700000000000001</v>
      </c>
      <c r="I1060">
        <v>1.4590000000000001</v>
      </c>
      <c r="K1060">
        <v>1058</v>
      </c>
      <c r="L1060">
        <v>24</v>
      </c>
      <c r="M1060" s="32">
        <v>1.087</v>
      </c>
      <c r="N1060" s="47">
        <v>2.82</v>
      </c>
      <c r="P1060" s="32">
        <v>1.3420000000000001</v>
      </c>
      <c r="R1060" s="47">
        <v>0.11899999999999999</v>
      </c>
      <c r="S1060" s="32">
        <v>1.4590000000000001</v>
      </c>
      <c r="T1060" s="31">
        <v>0</v>
      </c>
      <c r="V1060">
        <v>1058</v>
      </c>
      <c r="W1060">
        <v>22</v>
      </c>
      <c r="X1060">
        <v>1.099</v>
      </c>
      <c r="Y1060" s="32">
        <v>2.82</v>
      </c>
      <c r="Z1060">
        <v>0</v>
      </c>
      <c r="AA1060" s="32">
        <v>1.302</v>
      </c>
      <c r="AB1060">
        <v>0</v>
      </c>
      <c r="AC1060" s="34">
        <v>0.123</v>
      </c>
      <c r="AD1060" s="32">
        <v>1.4239999999999999</v>
      </c>
    </row>
    <row r="1061" spans="1:30">
      <c r="A1061">
        <v>1059</v>
      </c>
      <c r="B1061">
        <v>24</v>
      </c>
      <c r="C1061">
        <v>1.0880000000000001</v>
      </c>
      <c r="D1061">
        <v>2.83</v>
      </c>
      <c r="E1061">
        <v>0</v>
      </c>
      <c r="F1061">
        <v>1.343</v>
      </c>
      <c r="G1061">
        <v>0</v>
      </c>
      <c r="H1061">
        <v>0.11700000000000001</v>
      </c>
      <c r="I1061">
        <v>1.4610000000000001</v>
      </c>
      <c r="K1061">
        <v>1059</v>
      </c>
      <c r="L1061">
        <v>24</v>
      </c>
      <c r="M1061" s="32">
        <v>1.0880000000000001</v>
      </c>
      <c r="N1061" s="47">
        <v>2.82</v>
      </c>
      <c r="P1061" s="47">
        <v>1.3420000000000001</v>
      </c>
      <c r="R1061" s="47">
        <v>0.11899999999999999</v>
      </c>
      <c r="S1061" s="32">
        <v>1.4610000000000001</v>
      </c>
      <c r="T1061" s="31">
        <v>0</v>
      </c>
      <c r="V1061">
        <v>1059</v>
      </c>
      <c r="W1061">
        <v>22</v>
      </c>
      <c r="X1061">
        <v>1.1000000000000001</v>
      </c>
      <c r="Y1061" s="32">
        <v>2.82</v>
      </c>
      <c r="Z1061">
        <v>0</v>
      </c>
      <c r="AA1061" s="32">
        <v>1.302</v>
      </c>
      <c r="AB1061">
        <v>0</v>
      </c>
      <c r="AC1061" s="34">
        <v>0.123</v>
      </c>
      <c r="AD1061" s="32">
        <v>1.4259999999999999</v>
      </c>
    </row>
    <row r="1062" spans="1:30">
      <c r="A1062">
        <v>1060</v>
      </c>
      <c r="B1062">
        <v>24</v>
      </c>
      <c r="C1062">
        <v>1.089</v>
      </c>
      <c r="D1062">
        <v>2.84</v>
      </c>
      <c r="E1062">
        <v>0</v>
      </c>
      <c r="F1062">
        <v>1.343</v>
      </c>
      <c r="G1062">
        <v>0</v>
      </c>
      <c r="H1062">
        <v>0.11700000000000001</v>
      </c>
      <c r="I1062">
        <v>1.462</v>
      </c>
      <c r="K1062">
        <v>1060</v>
      </c>
      <c r="L1062">
        <v>24</v>
      </c>
      <c r="M1062" s="32">
        <v>1.089</v>
      </c>
      <c r="N1062" s="47">
        <v>2.82</v>
      </c>
      <c r="P1062" s="32">
        <v>1.343</v>
      </c>
      <c r="R1062" s="47">
        <v>0.11899999999999999</v>
      </c>
      <c r="S1062" s="32">
        <v>1.462</v>
      </c>
      <c r="T1062" s="31">
        <v>0</v>
      </c>
      <c r="V1062">
        <v>1060</v>
      </c>
      <c r="W1062">
        <v>22</v>
      </c>
      <c r="X1062">
        <v>1.101</v>
      </c>
      <c r="Y1062" s="32">
        <v>2.82</v>
      </c>
      <c r="Z1062">
        <v>0</v>
      </c>
      <c r="AA1062" s="32">
        <v>1.302</v>
      </c>
      <c r="AB1062">
        <v>0</v>
      </c>
      <c r="AC1062" s="34">
        <v>0.123</v>
      </c>
      <c r="AD1062" s="32">
        <v>1.427</v>
      </c>
    </row>
    <row r="1063" spans="1:30">
      <c r="A1063">
        <v>1061</v>
      </c>
      <c r="B1063">
        <v>24</v>
      </c>
      <c r="C1063">
        <v>1.0900000000000001</v>
      </c>
      <c r="D1063">
        <v>2.82</v>
      </c>
      <c r="E1063">
        <v>0</v>
      </c>
      <c r="F1063">
        <v>1.343</v>
      </c>
      <c r="G1063">
        <v>0</v>
      </c>
      <c r="H1063">
        <v>0.11700000000000001</v>
      </c>
      <c r="I1063">
        <v>1.464</v>
      </c>
      <c r="K1063">
        <v>1061</v>
      </c>
      <c r="L1063">
        <v>24</v>
      </c>
      <c r="M1063" s="32">
        <v>1.0900000000000001</v>
      </c>
      <c r="N1063" s="32">
        <v>2.82</v>
      </c>
      <c r="P1063" s="32">
        <v>1.343</v>
      </c>
      <c r="R1063" s="47">
        <v>0.12</v>
      </c>
      <c r="S1063" s="32">
        <v>1.464</v>
      </c>
      <c r="T1063" s="31">
        <v>0</v>
      </c>
      <c r="V1063">
        <v>1061</v>
      </c>
      <c r="W1063">
        <v>22</v>
      </c>
      <c r="X1063">
        <v>1.1020000000000001</v>
      </c>
      <c r="Y1063" s="32">
        <v>2.82</v>
      </c>
      <c r="Z1063">
        <v>0</v>
      </c>
      <c r="AA1063" s="32">
        <v>1.3029999999999999</v>
      </c>
      <c r="AB1063">
        <v>0</v>
      </c>
      <c r="AC1063" s="34">
        <v>0.123</v>
      </c>
      <c r="AD1063" s="32">
        <v>1.429</v>
      </c>
    </row>
    <row r="1064" spans="1:30">
      <c r="A1064">
        <v>1062</v>
      </c>
      <c r="B1064">
        <v>24</v>
      </c>
      <c r="C1064">
        <v>1.091</v>
      </c>
      <c r="D1064">
        <v>2.82</v>
      </c>
      <c r="E1064">
        <v>0</v>
      </c>
      <c r="F1064">
        <v>1.343</v>
      </c>
      <c r="G1064">
        <v>0</v>
      </c>
      <c r="H1064">
        <v>0.11700000000000001</v>
      </c>
      <c r="I1064">
        <v>1.4830000000000001</v>
      </c>
      <c r="K1064">
        <v>1062</v>
      </c>
      <c r="L1064">
        <v>24</v>
      </c>
      <c r="M1064" s="32">
        <v>1.091</v>
      </c>
      <c r="N1064" s="32">
        <v>2.82</v>
      </c>
      <c r="P1064" s="32">
        <v>1.343</v>
      </c>
      <c r="R1064" s="47">
        <v>0.12</v>
      </c>
      <c r="S1064" s="47">
        <v>1.466</v>
      </c>
      <c r="T1064" s="31">
        <v>0</v>
      </c>
      <c r="V1064">
        <v>1062</v>
      </c>
      <c r="W1064">
        <v>22</v>
      </c>
      <c r="X1064">
        <v>1.103</v>
      </c>
      <c r="Y1064" s="32">
        <v>2.82</v>
      </c>
      <c r="Z1064">
        <v>0</v>
      </c>
      <c r="AA1064" s="32">
        <v>1.3029999999999999</v>
      </c>
      <c r="AB1064">
        <v>0</v>
      </c>
      <c r="AC1064" s="34">
        <v>0.123</v>
      </c>
      <c r="AD1064" s="32">
        <v>1.43</v>
      </c>
    </row>
    <row r="1065" spans="1:30">
      <c r="A1065">
        <v>1063</v>
      </c>
      <c r="B1065">
        <v>24</v>
      </c>
      <c r="C1065">
        <v>1.0920000000000001</v>
      </c>
      <c r="D1065">
        <v>2.82</v>
      </c>
      <c r="E1065">
        <v>0</v>
      </c>
      <c r="F1065">
        <v>1.343</v>
      </c>
      <c r="G1065">
        <v>0</v>
      </c>
      <c r="H1065">
        <v>0.11700000000000001</v>
      </c>
      <c r="I1065">
        <v>1.4850000000000001</v>
      </c>
      <c r="K1065">
        <v>1063</v>
      </c>
      <c r="L1065">
        <v>24</v>
      </c>
      <c r="M1065" s="32">
        <v>1.0920000000000001</v>
      </c>
      <c r="N1065" s="32">
        <v>2.82</v>
      </c>
      <c r="P1065" s="47">
        <v>1.3440000000000001</v>
      </c>
      <c r="R1065" s="47">
        <v>0.12</v>
      </c>
      <c r="S1065" s="47">
        <v>1.4670000000000001</v>
      </c>
      <c r="T1065" s="31">
        <v>0</v>
      </c>
      <c r="V1065">
        <v>1063</v>
      </c>
      <c r="W1065">
        <v>23</v>
      </c>
      <c r="X1065">
        <v>1.1040000000000001</v>
      </c>
      <c r="Y1065" s="32">
        <v>2.82</v>
      </c>
      <c r="Z1065">
        <v>0</v>
      </c>
      <c r="AA1065" s="32">
        <v>1.3029999999999999</v>
      </c>
      <c r="AB1065">
        <v>0</v>
      </c>
      <c r="AC1065" s="34">
        <v>0.123</v>
      </c>
      <c r="AD1065" s="32">
        <v>1.4319999999999999</v>
      </c>
    </row>
    <row r="1066" spans="1:30">
      <c r="A1066">
        <v>1064</v>
      </c>
      <c r="B1066">
        <v>24</v>
      </c>
      <c r="C1066">
        <v>1.093</v>
      </c>
      <c r="D1066">
        <v>2.82</v>
      </c>
      <c r="E1066">
        <v>0</v>
      </c>
      <c r="F1066">
        <v>1.343</v>
      </c>
      <c r="G1066">
        <v>0</v>
      </c>
      <c r="H1066">
        <v>0.11700000000000001</v>
      </c>
      <c r="I1066">
        <v>1.486</v>
      </c>
      <c r="K1066">
        <v>1064</v>
      </c>
      <c r="L1066">
        <v>24</v>
      </c>
      <c r="M1066" s="32">
        <v>1.093</v>
      </c>
      <c r="N1066" s="32">
        <v>2.82</v>
      </c>
      <c r="P1066" s="47">
        <v>1.3440000000000001</v>
      </c>
      <c r="R1066" s="47">
        <v>0.12</v>
      </c>
      <c r="S1066" s="47">
        <v>1.4690000000000001</v>
      </c>
      <c r="T1066" s="31">
        <v>0</v>
      </c>
      <c r="V1066">
        <v>1064</v>
      </c>
      <c r="W1066">
        <v>23</v>
      </c>
      <c r="X1066">
        <v>1.105</v>
      </c>
      <c r="Y1066" s="32">
        <v>2.82</v>
      </c>
      <c r="Z1066">
        <v>0</v>
      </c>
      <c r="AA1066" s="32">
        <v>1.3029999999999999</v>
      </c>
      <c r="AB1066">
        <v>0</v>
      </c>
      <c r="AC1066" s="34">
        <v>0.123</v>
      </c>
      <c r="AD1066" s="32">
        <v>1.4339999999999999</v>
      </c>
    </row>
    <row r="1067" spans="1:30">
      <c r="A1067">
        <v>1065</v>
      </c>
      <c r="B1067">
        <v>24</v>
      </c>
      <c r="C1067">
        <v>1.0940000000000001</v>
      </c>
      <c r="D1067">
        <v>2.82</v>
      </c>
      <c r="E1067">
        <v>0</v>
      </c>
      <c r="F1067">
        <v>1.343</v>
      </c>
      <c r="G1067">
        <v>0</v>
      </c>
      <c r="H1067">
        <v>0.11700000000000001</v>
      </c>
      <c r="I1067">
        <v>1.488</v>
      </c>
      <c r="K1067">
        <v>1065</v>
      </c>
      <c r="L1067">
        <v>24</v>
      </c>
      <c r="M1067" s="32">
        <v>1.0940000000000001</v>
      </c>
      <c r="N1067" s="32">
        <v>2.82</v>
      </c>
      <c r="P1067" s="47">
        <v>1.345</v>
      </c>
      <c r="R1067" s="47">
        <v>0.121</v>
      </c>
      <c r="S1067" s="47">
        <v>1.4710000000000001</v>
      </c>
      <c r="T1067" s="31">
        <v>0</v>
      </c>
      <c r="V1067">
        <v>1065</v>
      </c>
      <c r="W1067">
        <v>23</v>
      </c>
      <c r="X1067">
        <v>1.1060000000000001</v>
      </c>
      <c r="Y1067" s="32">
        <v>2.82</v>
      </c>
      <c r="Z1067">
        <v>0</v>
      </c>
      <c r="AA1067" s="32">
        <v>1.3029999999999999</v>
      </c>
      <c r="AB1067">
        <v>0</v>
      </c>
      <c r="AC1067" s="34">
        <v>0.123</v>
      </c>
      <c r="AD1067" s="32">
        <v>1.4350000000000001</v>
      </c>
    </row>
    <row r="1068" spans="1:30">
      <c r="A1068">
        <v>1066</v>
      </c>
      <c r="B1068">
        <v>24</v>
      </c>
      <c r="C1068">
        <v>1.095</v>
      </c>
      <c r="D1068">
        <v>2.82</v>
      </c>
      <c r="E1068">
        <v>0</v>
      </c>
      <c r="F1068">
        <v>1.343</v>
      </c>
      <c r="G1068">
        <v>0</v>
      </c>
      <c r="H1068">
        <v>0.11700000000000001</v>
      </c>
      <c r="I1068">
        <v>1.49</v>
      </c>
      <c r="K1068">
        <v>1066</v>
      </c>
      <c r="L1068">
        <v>24</v>
      </c>
      <c r="M1068" s="32">
        <v>1.095</v>
      </c>
      <c r="N1068" s="32">
        <v>2.82</v>
      </c>
      <c r="P1068" s="47">
        <v>1.345</v>
      </c>
      <c r="R1068" s="47">
        <v>0.121</v>
      </c>
      <c r="S1068" s="47">
        <v>1.4730000000000001</v>
      </c>
      <c r="T1068" s="31">
        <v>0</v>
      </c>
      <c r="V1068">
        <v>1066</v>
      </c>
      <c r="W1068">
        <v>23</v>
      </c>
      <c r="X1068">
        <v>1.107</v>
      </c>
      <c r="Y1068" s="32">
        <v>2.82</v>
      </c>
      <c r="Z1068">
        <v>0</v>
      </c>
      <c r="AA1068" s="32">
        <v>1.304</v>
      </c>
      <c r="AB1068">
        <v>0</v>
      </c>
      <c r="AC1068" s="34">
        <v>0.123</v>
      </c>
      <c r="AD1068" s="32">
        <v>1.4370000000000001</v>
      </c>
    </row>
    <row r="1069" spans="1:30">
      <c r="A1069">
        <v>1067</v>
      </c>
      <c r="B1069">
        <v>24</v>
      </c>
      <c r="C1069">
        <v>1.0960000000000001</v>
      </c>
      <c r="D1069">
        <v>2.82</v>
      </c>
      <c r="E1069">
        <v>0</v>
      </c>
      <c r="F1069">
        <v>1.343</v>
      </c>
      <c r="G1069">
        <v>0</v>
      </c>
      <c r="H1069">
        <v>0.11700000000000001</v>
      </c>
      <c r="I1069">
        <v>1.4910000000000001</v>
      </c>
      <c r="K1069">
        <v>1067</v>
      </c>
      <c r="L1069">
        <v>24</v>
      </c>
      <c r="M1069" s="32">
        <v>1.0960000000000001</v>
      </c>
      <c r="N1069" s="32">
        <v>2.82</v>
      </c>
      <c r="P1069" s="47">
        <v>1.345</v>
      </c>
      <c r="R1069" s="47">
        <v>0.121</v>
      </c>
      <c r="S1069" s="47">
        <v>1.474</v>
      </c>
      <c r="T1069" s="31">
        <v>0</v>
      </c>
      <c r="V1069">
        <v>1067</v>
      </c>
      <c r="W1069">
        <v>23</v>
      </c>
      <c r="X1069">
        <v>1.1080000000000001</v>
      </c>
      <c r="Y1069" s="32">
        <v>2.82</v>
      </c>
      <c r="Z1069">
        <v>0</v>
      </c>
      <c r="AA1069" s="32">
        <v>1.304</v>
      </c>
      <c r="AB1069">
        <v>0</v>
      </c>
      <c r="AC1069" s="34">
        <v>0.123</v>
      </c>
      <c r="AD1069" s="32">
        <v>1.4379999999999999</v>
      </c>
    </row>
    <row r="1070" spans="1:30">
      <c r="A1070">
        <v>1068</v>
      </c>
      <c r="B1070">
        <v>24</v>
      </c>
      <c r="C1070">
        <v>1.097</v>
      </c>
      <c r="D1070">
        <v>2.82</v>
      </c>
      <c r="E1070">
        <v>0</v>
      </c>
      <c r="F1070">
        <v>1.343</v>
      </c>
      <c r="G1070">
        <v>0</v>
      </c>
      <c r="H1070">
        <v>0.11700000000000001</v>
      </c>
      <c r="I1070">
        <v>1.4930000000000001</v>
      </c>
      <c r="K1070">
        <v>1068</v>
      </c>
      <c r="L1070">
        <v>24</v>
      </c>
      <c r="M1070" s="32">
        <v>1.097</v>
      </c>
      <c r="N1070" s="32">
        <v>2.82</v>
      </c>
      <c r="P1070" s="47">
        <v>1.3460000000000001</v>
      </c>
      <c r="R1070" s="47">
        <v>0.121</v>
      </c>
      <c r="S1070" s="47">
        <v>1.476</v>
      </c>
      <c r="T1070" s="31">
        <v>0</v>
      </c>
      <c r="V1070">
        <v>1068</v>
      </c>
      <c r="W1070">
        <v>23</v>
      </c>
      <c r="X1070">
        <v>1.109</v>
      </c>
      <c r="Y1070" s="32">
        <v>2.82</v>
      </c>
      <c r="Z1070">
        <v>0</v>
      </c>
      <c r="AA1070" s="32">
        <v>1.304</v>
      </c>
      <c r="AB1070">
        <v>0</v>
      </c>
      <c r="AC1070" s="34">
        <v>0.123</v>
      </c>
      <c r="AD1070" s="32">
        <v>1.44</v>
      </c>
    </row>
    <row r="1071" spans="1:30">
      <c r="A1071">
        <v>1069</v>
      </c>
      <c r="B1071">
        <v>24</v>
      </c>
      <c r="C1071">
        <v>1.0980000000000001</v>
      </c>
      <c r="D1071">
        <v>2.82</v>
      </c>
      <c r="E1071">
        <v>0</v>
      </c>
      <c r="F1071">
        <v>1.343</v>
      </c>
      <c r="G1071">
        <v>0</v>
      </c>
      <c r="H1071">
        <v>0.11700000000000001</v>
      </c>
      <c r="I1071">
        <v>1.4950000000000001</v>
      </c>
      <c r="K1071">
        <v>1069</v>
      </c>
      <c r="L1071">
        <v>24</v>
      </c>
      <c r="M1071" s="32">
        <v>1.0980000000000001</v>
      </c>
      <c r="N1071" s="32">
        <v>2.82</v>
      </c>
      <c r="P1071" s="47">
        <v>1.3460000000000001</v>
      </c>
      <c r="R1071" s="47">
        <v>0.122</v>
      </c>
      <c r="S1071" s="47">
        <v>1.478</v>
      </c>
      <c r="T1071" s="31">
        <v>0</v>
      </c>
      <c r="V1071">
        <v>1069</v>
      </c>
      <c r="W1071">
        <v>23</v>
      </c>
      <c r="X1071">
        <v>1.1100000000000001</v>
      </c>
      <c r="Y1071" s="32">
        <v>2.82</v>
      </c>
      <c r="Z1071">
        <v>0</v>
      </c>
      <c r="AA1071" s="32">
        <v>1.304</v>
      </c>
      <c r="AB1071">
        <v>0</v>
      </c>
      <c r="AC1071" s="34">
        <v>0.124</v>
      </c>
      <c r="AD1071" s="32">
        <v>1.4419999999999999</v>
      </c>
    </row>
    <row r="1072" spans="1:30">
      <c r="A1072">
        <v>1070</v>
      </c>
      <c r="B1072">
        <v>24</v>
      </c>
      <c r="C1072">
        <v>1.099</v>
      </c>
      <c r="D1072">
        <v>2.82</v>
      </c>
      <c r="E1072">
        <v>0</v>
      </c>
      <c r="F1072">
        <v>1.343</v>
      </c>
      <c r="G1072">
        <v>0</v>
      </c>
      <c r="H1072">
        <v>0.11700000000000001</v>
      </c>
      <c r="I1072">
        <v>1.4970000000000001</v>
      </c>
      <c r="K1072">
        <v>1070</v>
      </c>
      <c r="L1072">
        <v>24</v>
      </c>
      <c r="M1072" s="32">
        <v>1.099</v>
      </c>
      <c r="N1072" s="32">
        <v>2.82</v>
      </c>
      <c r="P1072" s="47">
        <v>1.347</v>
      </c>
      <c r="R1072" s="47">
        <v>0.122</v>
      </c>
      <c r="S1072" s="47">
        <v>1.4790000000000001</v>
      </c>
      <c r="T1072" s="31">
        <v>0</v>
      </c>
      <c r="V1072">
        <v>1070</v>
      </c>
      <c r="W1072">
        <v>23</v>
      </c>
      <c r="X1072">
        <v>1.111</v>
      </c>
      <c r="Y1072" s="32">
        <v>2.82</v>
      </c>
      <c r="Z1072">
        <v>0</v>
      </c>
      <c r="AA1072" s="32">
        <v>1.3049999999999999</v>
      </c>
      <c r="AB1072">
        <v>0</v>
      </c>
      <c r="AC1072" s="34">
        <v>0.124</v>
      </c>
      <c r="AD1072" s="32">
        <v>1.4430000000000001</v>
      </c>
    </row>
    <row r="1073" spans="1:30">
      <c r="A1073">
        <v>1071</v>
      </c>
      <c r="B1073">
        <v>24</v>
      </c>
      <c r="C1073">
        <v>1.1000000000000001</v>
      </c>
      <c r="D1073">
        <v>2.82</v>
      </c>
      <c r="E1073">
        <v>0</v>
      </c>
      <c r="F1073">
        <v>1.347</v>
      </c>
      <c r="G1073">
        <v>0</v>
      </c>
      <c r="H1073">
        <v>0.11700000000000001</v>
      </c>
      <c r="I1073">
        <v>1.4810000000000001</v>
      </c>
      <c r="K1073">
        <v>1071</v>
      </c>
      <c r="L1073">
        <v>24</v>
      </c>
      <c r="M1073" s="32">
        <v>1.1000000000000001</v>
      </c>
      <c r="N1073" s="32">
        <v>2.82</v>
      </c>
      <c r="P1073" s="32">
        <v>1.347</v>
      </c>
      <c r="R1073" s="47">
        <v>0.122</v>
      </c>
      <c r="S1073" s="32">
        <v>1.4810000000000001</v>
      </c>
      <c r="T1073" s="31">
        <v>0</v>
      </c>
      <c r="V1073">
        <v>1071</v>
      </c>
      <c r="W1073">
        <v>23</v>
      </c>
      <c r="X1073">
        <v>1.1120000000000001</v>
      </c>
      <c r="Y1073" s="32">
        <v>2.82</v>
      </c>
      <c r="Z1073">
        <v>0</v>
      </c>
      <c r="AA1073" s="32">
        <v>1.3049999999999999</v>
      </c>
      <c r="AB1073">
        <v>0</v>
      </c>
      <c r="AC1073" s="34">
        <v>0.124</v>
      </c>
      <c r="AD1073" s="32">
        <v>1.4450000000000001</v>
      </c>
    </row>
    <row r="1074" spans="1:30">
      <c r="A1074">
        <v>1072</v>
      </c>
      <c r="B1074">
        <v>24</v>
      </c>
      <c r="C1074">
        <v>1.101</v>
      </c>
      <c r="D1074">
        <v>2.82</v>
      </c>
      <c r="E1074">
        <v>0</v>
      </c>
      <c r="F1074">
        <v>1.347</v>
      </c>
      <c r="G1074">
        <v>0</v>
      </c>
      <c r="H1074">
        <v>0.11700000000000001</v>
      </c>
      <c r="I1074">
        <v>1.5169999999999999</v>
      </c>
      <c r="K1074">
        <v>1072</v>
      </c>
      <c r="L1074">
        <v>24</v>
      </c>
      <c r="M1074" s="32">
        <v>1.101</v>
      </c>
      <c r="N1074" s="32">
        <v>2.82</v>
      </c>
      <c r="P1074" s="32">
        <v>1.347</v>
      </c>
      <c r="R1074" s="47">
        <v>0.122</v>
      </c>
      <c r="S1074" s="47">
        <v>1.4830000000000001</v>
      </c>
      <c r="T1074" s="31">
        <v>0</v>
      </c>
      <c r="V1074">
        <v>1072</v>
      </c>
      <c r="W1074">
        <v>23</v>
      </c>
      <c r="X1074">
        <v>1.113</v>
      </c>
      <c r="Y1074" s="32">
        <v>2.82</v>
      </c>
      <c r="Z1074">
        <v>0</v>
      </c>
      <c r="AA1074" s="32">
        <v>1.3049999999999999</v>
      </c>
      <c r="AB1074">
        <v>0</v>
      </c>
      <c r="AC1074" s="34">
        <v>0.124</v>
      </c>
      <c r="AD1074" s="32">
        <v>1.446</v>
      </c>
    </row>
    <row r="1075" spans="1:30">
      <c r="A1075">
        <v>1073</v>
      </c>
      <c r="B1075">
        <v>24</v>
      </c>
      <c r="C1075">
        <v>1.1020000000000001</v>
      </c>
      <c r="D1075">
        <v>2.82</v>
      </c>
      <c r="E1075">
        <v>0</v>
      </c>
      <c r="F1075">
        <v>1.347</v>
      </c>
      <c r="G1075">
        <v>0</v>
      </c>
      <c r="H1075">
        <v>0.11700000000000001</v>
      </c>
      <c r="I1075">
        <v>1.5189999999999999</v>
      </c>
      <c r="K1075">
        <v>1073</v>
      </c>
      <c r="L1075">
        <v>24</v>
      </c>
      <c r="M1075" s="32">
        <v>1.1020000000000001</v>
      </c>
      <c r="N1075" s="32">
        <v>2.82</v>
      </c>
      <c r="P1075" s="47">
        <v>1.3480000000000001</v>
      </c>
      <c r="R1075" s="47">
        <v>0.123</v>
      </c>
      <c r="S1075" s="47">
        <v>1.4850000000000001</v>
      </c>
      <c r="T1075" s="31">
        <v>0</v>
      </c>
      <c r="V1075">
        <v>1073</v>
      </c>
      <c r="W1075">
        <v>23</v>
      </c>
      <c r="X1075">
        <v>1.1140000000000001</v>
      </c>
      <c r="Y1075" s="32">
        <v>2.82</v>
      </c>
      <c r="Z1075">
        <v>0</v>
      </c>
      <c r="AA1075" s="32">
        <v>1.3049999999999999</v>
      </c>
      <c r="AB1075">
        <v>0</v>
      </c>
      <c r="AC1075" s="34">
        <v>0.124</v>
      </c>
      <c r="AD1075" s="32">
        <v>1.448</v>
      </c>
    </row>
    <row r="1076" spans="1:30">
      <c r="A1076">
        <v>1074</v>
      </c>
      <c r="B1076">
        <v>24</v>
      </c>
      <c r="C1076">
        <v>1.103</v>
      </c>
      <c r="D1076">
        <v>2.82</v>
      </c>
      <c r="E1076">
        <v>0</v>
      </c>
      <c r="F1076">
        <v>1.347</v>
      </c>
      <c r="G1076">
        <v>0</v>
      </c>
      <c r="H1076">
        <v>0.11700000000000001</v>
      </c>
      <c r="I1076">
        <v>1.52</v>
      </c>
      <c r="K1076">
        <v>1074</v>
      </c>
      <c r="L1076">
        <v>24</v>
      </c>
      <c r="M1076" s="32">
        <v>1.103</v>
      </c>
      <c r="N1076" s="32">
        <v>2.82</v>
      </c>
      <c r="P1076" s="47">
        <v>1.3480000000000001</v>
      </c>
      <c r="R1076" s="47">
        <v>0.123</v>
      </c>
      <c r="S1076" s="47">
        <v>1.486</v>
      </c>
      <c r="T1076" s="31">
        <v>0</v>
      </c>
      <c r="V1076">
        <v>1074</v>
      </c>
      <c r="W1076">
        <v>23</v>
      </c>
      <c r="X1076">
        <v>1.115</v>
      </c>
      <c r="Y1076" s="32">
        <v>2.82</v>
      </c>
      <c r="Z1076">
        <v>0</v>
      </c>
      <c r="AA1076" s="32">
        <v>1.3049999999999999</v>
      </c>
      <c r="AB1076">
        <v>0</v>
      </c>
      <c r="AC1076" s="34">
        <v>0.124</v>
      </c>
      <c r="AD1076" s="32">
        <v>1.4490000000000001</v>
      </c>
    </row>
    <row r="1077" spans="1:30">
      <c r="A1077">
        <v>1075</v>
      </c>
      <c r="B1077">
        <v>24</v>
      </c>
      <c r="C1077">
        <v>1.1040000000000001</v>
      </c>
      <c r="D1077">
        <v>2.82</v>
      </c>
      <c r="E1077">
        <v>0</v>
      </c>
      <c r="F1077">
        <v>1.347</v>
      </c>
      <c r="G1077">
        <v>0</v>
      </c>
      <c r="H1077">
        <v>0.11700000000000001</v>
      </c>
      <c r="I1077">
        <v>1.522</v>
      </c>
      <c r="K1077">
        <v>1075</v>
      </c>
      <c r="L1077">
        <v>24</v>
      </c>
      <c r="M1077" s="32">
        <v>1.1040000000000001</v>
      </c>
      <c r="N1077" s="32">
        <v>2.82</v>
      </c>
      <c r="P1077" s="47">
        <v>1.3480000000000001</v>
      </c>
      <c r="R1077" s="47">
        <v>0.123</v>
      </c>
      <c r="S1077" s="47">
        <v>1.488</v>
      </c>
      <c r="T1077" s="31">
        <v>0</v>
      </c>
      <c r="V1077">
        <v>1075</v>
      </c>
      <c r="W1077">
        <v>23</v>
      </c>
      <c r="X1077">
        <v>1.1160000000000001</v>
      </c>
      <c r="Y1077" s="32">
        <v>2.82</v>
      </c>
      <c r="Z1077">
        <v>0</v>
      </c>
      <c r="AA1077" s="32">
        <v>1.306</v>
      </c>
      <c r="AB1077">
        <v>0</v>
      </c>
      <c r="AC1077" s="34">
        <v>0.124</v>
      </c>
      <c r="AD1077" s="32">
        <v>1.4510000000000001</v>
      </c>
    </row>
    <row r="1078" spans="1:30">
      <c r="A1078">
        <v>1076</v>
      </c>
      <c r="B1078">
        <v>24</v>
      </c>
      <c r="C1078">
        <v>1.105</v>
      </c>
      <c r="D1078">
        <v>2.82</v>
      </c>
      <c r="E1078">
        <v>0</v>
      </c>
      <c r="F1078">
        <v>1.347</v>
      </c>
      <c r="G1078">
        <v>0</v>
      </c>
      <c r="H1078">
        <v>0.11700000000000001</v>
      </c>
      <c r="I1078">
        <v>1.524</v>
      </c>
      <c r="K1078">
        <v>1076</v>
      </c>
      <c r="L1078">
        <v>24</v>
      </c>
      <c r="M1078" s="32">
        <v>1.105</v>
      </c>
      <c r="N1078" s="32">
        <v>2.82</v>
      </c>
      <c r="P1078" s="47">
        <v>1.349</v>
      </c>
      <c r="R1078" s="47">
        <v>0.123</v>
      </c>
      <c r="S1078" s="47">
        <v>1.49</v>
      </c>
      <c r="T1078" s="31">
        <v>0</v>
      </c>
      <c r="V1078">
        <v>1076</v>
      </c>
      <c r="W1078">
        <v>23</v>
      </c>
      <c r="X1078">
        <v>1.117</v>
      </c>
      <c r="Y1078" s="32">
        <v>2.82</v>
      </c>
      <c r="Z1078">
        <v>0</v>
      </c>
      <c r="AA1078" s="32">
        <v>1.306</v>
      </c>
      <c r="AB1078">
        <v>0</v>
      </c>
      <c r="AC1078" s="34">
        <v>0.124</v>
      </c>
      <c r="AD1078" s="32">
        <v>1.4530000000000001</v>
      </c>
    </row>
    <row r="1079" spans="1:30">
      <c r="A1079">
        <v>1077</v>
      </c>
      <c r="B1079">
        <v>24</v>
      </c>
      <c r="C1079">
        <v>1.1060000000000001</v>
      </c>
      <c r="D1079">
        <v>2.82</v>
      </c>
      <c r="E1079">
        <v>0</v>
      </c>
      <c r="F1079">
        <v>1.347</v>
      </c>
      <c r="G1079">
        <v>0</v>
      </c>
      <c r="H1079">
        <v>0.11700000000000001</v>
      </c>
      <c r="I1079">
        <v>1.526</v>
      </c>
      <c r="K1079">
        <v>1077</v>
      </c>
      <c r="L1079">
        <v>24</v>
      </c>
      <c r="M1079" s="32">
        <v>1.1060000000000001</v>
      </c>
      <c r="N1079" s="32">
        <v>2.82</v>
      </c>
      <c r="P1079" s="47">
        <v>1.349</v>
      </c>
      <c r="R1079" s="47">
        <v>0.124</v>
      </c>
      <c r="S1079" s="47">
        <v>1.492</v>
      </c>
      <c r="T1079" s="31">
        <v>0</v>
      </c>
      <c r="V1079">
        <v>1077</v>
      </c>
      <c r="W1079">
        <v>23</v>
      </c>
      <c r="X1079">
        <v>1.1180000000000001</v>
      </c>
      <c r="Y1079" s="32">
        <v>2.82</v>
      </c>
      <c r="Z1079">
        <v>0</v>
      </c>
      <c r="AA1079" s="32">
        <v>1.306</v>
      </c>
      <c r="AB1079">
        <v>0</v>
      </c>
      <c r="AC1079" s="34">
        <v>0.124</v>
      </c>
      <c r="AD1079" s="32">
        <v>1.454</v>
      </c>
    </row>
    <row r="1080" spans="1:30">
      <c r="A1080">
        <v>1078</v>
      </c>
      <c r="B1080">
        <v>24</v>
      </c>
      <c r="C1080">
        <v>1.107</v>
      </c>
      <c r="D1080">
        <v>2.82</v>
      </c>
      <c r="E1080">
        <v>0</v>
      </c>
      <c r="F1080">
        <v>1.347</v>
      </c>
      <c r="G1080">
        <v>0</v>
      </c>
      <c r="H1080">
        <v>0.11700000000000001</v>
      </c>
      <c r="I1080">
        <v>1.5269999999999999</v>
      </c>
      <c r="K1080">
        <v>1078</v>
      </c>
      <c r="L1080">
        <v>24</v>
      </c>
      <c r="M1080" s="32">
        <v>1.107</v>
      </c>
      <c r="N1080" s="32">
        <v>2.82</v>
      </c>
      <c r="P1080" s="47">
        <v>1.349</v>
      </c>
      <c r="R1080" s="47">
        <v>0.124</v>
      </c>
      <c r="S1080" s="47">
        <v>1.494</v>
      </c>
      <c r="T1080" s="31">
        <v>0</v>
      </c>
      <c r="V1080">
        <v>1078</v>
      </c>
      <c r="W1080">
        <v>23</v>
      </c>
      <c r="X1080">
        <v>1.119</v>
      </c>
      <c r="Y1080" s="32">
        <v>2.82</v>
      </c>
      <c r="Z1080">
        <v>0</v>
      </c>
      <c r="AA1080" s="32">
        <v>1.306</v>
      </c>
      <c r="AB1080">
        <v>0</v>
      </c>
      <c r="AC1080" s="34">
        <v>0.124</v>
      </c>
      <c r="AD1080" s="32">
        <v>1.456</v>
      </c>
    </row>
    <row r="1081" spans="1:30">
      <c r="A1081">
        <v>1079</v>
      </c>
      <c r="B1081">
        <v>24</v>
      </c>
      <c r="C1081">
        <v>1.1080000000000001</v>
      </c>
      <c r="D1081">
        <v>2.82</v>
      </c>
      <c r="E1081">
        <v>0</v>
      </c>
      <c r="F1081">
        <v>1.347</v>
      </c>
      <c r="G1081">
        <v>0</v>
      </c>
      <c r="H1081">
        <v>0.11700000000000001</v>
      </c>
      <c r="I1081">
        <v>1.5289999999999999</v>
      </c>
      <c r="K1081">
        <v>1079</v>
      </c>
      <c r="L1081">
        <v>24</v>
      </c>
      <c r="M1081" s="32">
        <v>1.1080000000000001</v>
      </c>
      <c r="N1081" s="32">
        <v>2.82</v>
      </c>
      <c r="P1081" s="47">
        <v>1.349</v>
      </c>
      <c r="R1081" s="47">
        <v>0.124</v>
      </c>
      <c r="S1081" s="47">
        <v>1.4950000000000001</v>
      </c>
      <c r="T1081" s="31">
        <v>0</v>
      </c>
      <c r="V1081">
        <v>1079</v>
      </c>
      <c r="W1081">
        <v>23</v>
      </c>
      <c r="X1081">
        <v>1.1200000000000001</v>
      </c>
      <c r="Y1081" s="32">
        <v>2.82</v>
      </c>
      <c r="Z1081">
        <v>0</v>
      </c>
      <c r="AA1081" s="32">
        <v>1.3069999999999999</v>
      </c>
      <c r="AB1081">
        <v>0</v>
      </c>
      <c r="AC1081" s="34">
        <v>0.124</v>
      </c>
      <c r="AD1081" s="32">
        <v>1.4570000000000001</v>
      </c>
    </row>
    <row r="1082" spans="1:30">
      <c r="A1082">
        <v>1080</v>
      </c>
      <c r="B1082">
        <v>24</v>
      </c>
      <c r="C1082">
        <v>1.109</v>
      </c>
      <c r="D1082">
        <v>2.82</v>
      </c>
      <c r="E1082">
        <v>0</v>
      </c>
      <c r="F1082">
        <v>1.347</v>
      </c>
      <c r="G1082">
        <v>0</v>
      </c>
      <c r="H1082">
        <v>0.11700000000000001</v>
      </c>
      <c r="I1082">
        <v>1.5309999999999999</v>
      </c>
      <c r="K1082">
        <v>1080</v>
      </c>
      <c r="L1082">
        <v>24</v>
      </c>
      <c r="M1082" s="32">
        <v>1.109</v>
      </c>
      <c r="N1082" s="32">
        <v>2.82</v>
      </c>
      <c r="P1082" s="47">
        <v>1.35</v>
      </c>
      <c r="R1082" s="47">
        <v>0.124</v>
      </c>
      <c r="S1082" s="47">
        <v>1.4970000000000001</v>
      </c>
      <c r="T1082" s="31">
        <v>0</v>
      </c>
      <c r="V1082">
        <v>1080</v>
      </c>
      <c r="W1082">
        <v>23</v>
      </c>
      <c r="X1082">
        <v>1.121</v>
      </c>
      <c r="Y1082" s="32">
        <v>2.82</v>
      </c>
      <c r="Z1082">
        <v>0</v>
      </c>
      <c r="AA1082" s="32">
        <v>1.3069999999999999</v>
      </c>
      <c r="AB1082">
        <v>0</v>
      </c>
      <c r="AC1082" s="34">
        <v>0.124</v>
      </c>
      <c r="AD1082" s="32">
        <v>1.4590000000000001</v>
      </c>
    </row>
    <row r="1083" spans="1:30">
      <c r="A1083">
        <v>1081</v>
      </c>
      <c r="B1083">
        <v>24</v>
      </c>
      <c r="C1083">
        <v>1.1100000000000001</v>
      </c>
      <c r="D1083">
        <v>2.82</v>
      </c>
      <c r="E1083">
        <v>0</v>
      </c>
      <c r="F1083">
        <v>1.35</v>
      </c>
      <c r="G1083">
        <v>0</v>
      </c>
      <c r="H1083">
        <v>0.11700000000000001</v>
      </c>
      <c r="I1083">
        <v>1.4990000000000001</v>
      </c>
      <c r="K1083">
        <v>1081</v>
      </c>
      <c r="L1083">
        <v>24</v>
      </c>
      <c r="M1083" s="32">
        <v>1.1100000000000001</v>
      </c>
      <c r="N1083" s="32">
        <v>2.82</v>
      </c>
      <c r="P1083" s="32">
        <v>1.35</v>
      </c>
      <c r="R1083" s="47">
        <v>0.125</v>
      </c>
      <c r="S1083" s="32">
        <v>1.4990000000000001</v>
      </c>
      <c r="T1083" s="31">
        <v>0</v>
      </c>
      <c r="V1083">
        <v>1081</v>
      </c>
      <c r="W1083">
        <v>23</v>
      </c>
      <c r="X1083">
        <v>1.1220000000000001</v>
      </c>
      <c r="Y1083" s="32">
        <v>2.82</v>
      </c>
      <c r="Z1083">
        <v>0</v>
      </c>
      <c r="AA1083" s="32">
        <v>1.3069999999999999</v>
      </c>
      <c r="AB1083">
        <v>0</v>
      </c>
      <c r="AC1083" s="34">
        <v>0.125</v>
      </c>
      <c r="AD1083" s="32">
        <v>1.4610000000000001</v>
      </c>
    </row>
    <row r="1084" spans="1:30">
      <c r="A1084">
        <v>1082</v>
      </c>
      <c r="B1084">
        <v>24</v>
      </c>
      <c r="C1084">
        <v>1.111</v>
      </c>
      <c r="D1084">
        <v>2.82</v>
      </c>
      <c r="E1084">
        <v>0</v>
      </c>
      <c r="F1084">
        <v>1.35</v>
      </c>
      <c r="G1084">
        <v>0</v>
      </c>
      <c r="H1084">
        <v>0.11700000000000001</v>
      </c>
      <c r="I1084">
        <v>1.552</v>
      </c>
      <c r="K1084">
        <v>1082</v>
      </c>
      <c r="L1084">
        <v>24</v>
      </c>
      <c r="M1084" s="32">
        <v>1.111</v>
      </c>
      <c r="N1084" s="32">
        <v>2.82</v>
      </c>
      <c r="P1084" s="32">
        <v>1.35</v>
      </c>
      <c r="R1084" s="47">
        <v>0.125</v>
      </c>
      <c r="S1084" s="47">
        <v>1.5009999999999999</v>
      </c>
      <c r="T1084" s="31">
        <v>0</v>
      </c>
      <c r="V1084">
        <v>1082</v>
      </c>
      <c r="W1084">
        <v>23</v>
      </c>
      <c r="X1084">
        <v>1.123</v>
      </c>
      <c r="Y1084" s="32">
        <v>2.82</v>
      </c>
      <c r="Z1084">
        <v>0</v>
      </c>
      <c r="AA1084" s="32">
        <v>1.3069999999999999</v>
      </c>
      <c r="AB1084">
        <v>0</v>
      </c>
      <c r="AC1084" s="34">
        <v>0.125</v>
      </c>
      <c r="AD1084" s="32">
        <v>1.462</v>
      </c>
    </row>
    <row r="1085" spans="1:30">
      <c r="A1085">
        <v>1083</v>
      </c>
      <c r="B1085">
        <v>24</v>
      </c>
      <c r="C1085">
        <v>1.1120000000000001</v>
      </c>
      <c r="D1085">
        <v>2.82</v>
      </c>
      <c r="E1085">
        <v>0</v>
      </c>
      <c r="F1085">
        <v>1.35</v>
      </c>
      <c r="G1085">
        <v>0</v>
      </c>
      <c r="H1085">
        <v>0.11700000000000001</v>
      </c>
      <c r="I1085">
        <v>1.554</v>
      </c>
      <c r="K1085">
        <v>1083</v>
      </c>
      <c r="L1085">
        <v>24</v>
      </c>
      <c r="M1085" s="32">
        <v>1.1120000000000001</v>
      </c>
      <c r="N1085" s="32">
        <v>2.82</v>
      </c>
      <c r="P1085" s="47">
        <v>1.351</v>
      </c>
      <c r="R1085" s="47">
        <v>0.125</v>
      </c>
      <c r="S1085" s="47">
        <v>1.502</v>
      </c>
      <c r="T1085" s="31">
        <v>0</v>
      </c>
      <c r="V1085">
        <v>1083</v>
      </c>
      <c r="W1085">
        <v>23</v>
      </c>
      <c r="X1085">
        <v>1.1240000000000001</v>
      </c>
      <c r="Y1085" s="32">
        <v>2.82</v>
      </c>
      <c r="Z1085">
        <v>0</v>
      </c>
      <c r="AA1085" s="32">
        <v>1.3069999999999999</v>
      </c>
      <c r="AB1085">
        <v>0</v>
      </c>
      <c r="AC1085" s="34">
        <v>0.125</v>
      </c>
      <c r="AD1085" s="32">
        <v>1.464</v>
      </c>
    </row>
    <row r="1086" spans="1:30">
      <c r="A1086">
        <v>1084</v>
      </c>
      <c r="B1086">
        <v>24</v>
      </c>
      <c r="C1086">
        <v>1.113</v>
      </c>
      <c r="D1086">
        <v>2.82</v>
      </c>
      <c r="E1086">
        <v>0</v>
      </c>
      <c r="F1086">
        <v>1.35</v>
      </c>
      <c r="G1086">
        <v>0</v>
      </c>
      <c r="H1086">
        <v>0.11700000000000001</v>
      </c>
      <c r="I1086">
        <v>1.556</v>
      </c>
      <c r="K1086">
        <v>1084</v>
      </c>
      <c r="L1086">
        <v>24</v>
      </c>
      <c r="M1086" s="32">
        <v>1.113</v>
      </c>
      <c r="N1086" s="32">
        <v>2.82</v>
      </c>
      <c r="P1086" s="47">
        <v>1.351</v>
      </c>
      <c r="R1086" s="47">
        <v>0.125</v>
      </c>
      <c r="S1086" s="47">
        <v>1.504</v>
      </c>
      <c r="T1086" s="31">
        <v>0</v>
      </c>
      <c r="V1086">
        <v>1084</v>
      </c>
      <c r="W1086">
        <v>23</v>
      </c>
      <c r="X1086">
        <v>1.125</v>
      </c>
      <c r="Y1086" s="32">
        <v>2.82</v>
      </c>
      <c r="Z1086">
        <v>0</v>
      </c>
      <c r="AA1086" s="32">
        <v>1.3080000000000001</v>
      </c>
      <c r="AB1086">
        <v>0</v>
      </c>
      <c r="AC1086" s="34">
        <v>0.125</v>
      </c>
      <c r="AD1086" s="32">
        <v>1.4650000000000001</v>
      </c>
    </row>
    <row r="1087" spans="1:30">
      <c r="A1087">
        <v>1085</v>
      </c>
      <c r="B1087">
        <v>24</v>
      </c>
      <c r="C1087">
        <v>1.1140000000000001</v>
      </c>
      <c r="D1087">
        <v>2.82</v>
      </c>
      <c r="E1087">
        <v>0</v>
      </c>
      <c r="F1087">
        <v>1.35</v>
      </c>
      <c r="G1087">
        <v>0</v>
      </c>
      <c r="H1087">
        <v>0.11700000000000001</v>
      </c>
      <c r="I1087">
        <v>1.5569999999999999</v>
      </c>
      <c r="K1087">
        <v>1085</v>
      </c>
      <c r="L1087">
        <v>24</v>
      </c>
      <c r="M1087" s="32">
        <v>1.1140000000000001</v>
      </c>
      <c r="N1087" s="32">
        <v>2.82</v>
      </c>
      <c r="P1087" s="47">
        <v>1.3520000000000001</v>
      </c>
      <c r="R1087" s="47">
        <v>0.126</v>
      </c>
      <c r="S1087" s="47">
        <v>1.506</v>
      </c>
      <c r="T1087" s="31">
        <v>0</v>
      </c>
      <c r="V1087">
        <v>1085</v>
      </c>
      <c r="W1087">
        <v>23</v>
      </c>
      <c r="X1087">
        <v>1.1259999999999999</v>
      </c>
      <c r="Y1087" s="32">
        <v>2.82</v>
      </c>
      <c r="Z1087">
        <v>0</v>
      </c>
      <c r="AA1087" s="32">
        <v>1.3080000000000001</v>
      </c>
      <c r="AB1087">
        <v>0</v>
      </c>
      <c r="AC1087" s="34">
        <v>0.125</v>
      </c>
      <c r="AD1087" s="32">
        <v>1.4670000000000001</v>
      </c>
    </row>
    <row r="1088" spans="1:30">
      <c r="A1088">
        <v>1086</v>
      </c>
      <c r="B1088">
        <v>24</v>
      </c>
      <c r="C1088">
        <v>1.115</v>
      </c>
      <c r="D1088">
        <v>2.82</v>
      </c>
      <c r="E1088">
        <v>0</v>
      </c>
      <c r="F1088">
        <v>1.35</v>
      </c>
      <c r="G1088">
        <v>0</v>
      </c>
      <c r="H1088">
        <v>0.11700000000000001</v>
      </c>
      <c r="I1088">
        <v>1.5589999999999999</v>
      </c>
      <c r="K1088">
        <v>1086</v>
      </c>
      <c r="L1088">
        <v>24</v>
      </c>
      <c r="M1088" s="32">
        <v>1.115</v>
      </c>
      <c r="N1088" s="32">
        <v>2.82</v>
      </c>
      <c r="P1088" s="47">
        <v>1.3520000000000001</v>
      </c>
      <c r="R1088" s="47">
        <v>0.126</v>
      </c>
      <c r="S1088" s="47">
        <v>1.508</v>
      </c>
      <c r="T1088" s="31">
        <v>0</v>
      </c>
      <c r="V1088">
        <v>1086</v>
      </c>
      <c r="W1088">
        <v>23</v>
      </c>
      <c r="X1088">
        <v>1.127</v>
      </c>
      <c r="Y1088" s="32">
        <v>2.82</v>
      </c>
      <c r="Z1088">
        <v>0</v>
      </c>
      <c r="AA1088" s="32">
        <v>1.3080000000000001</v>
      </c>
      <c r="AB1088">
        <v>0</v>
      </c>
      <c r="AC1088" s="34">
        <v>0.125</v>
      </c>
      <c r="AD1088" s="32">
        <v>1.468</v>
      </c>
    </row>
    <row r="1089" spans="1:30">
      <c r="A1089">
        <v>1087</v>
      </c>
      <c r="B1089">
        <v>24</v>
      </c>
      <c r="C1089">
        <v>1.1160000000000001</v>
      </c>
      <c r="D1089">
        <v>2.82</v>
      </c>
      <c r="E1089">
        <v>0</v>
      </c>
      <c r="F1089">
        <v>1.35</v>
      </c>
      <c r="G1089">
        <v>0</v>
      </c>
      <c r="H1089">
        <v>0.11700000000000001</v>
      </c>
      <c r="I1089">
        <v>1.5609999999999999</v>
      </c>
      <c r="K1089">
        <v>1087</v>
      </c>
      <c r="L1089">
        <v>24</v>
      </c>
      <c r="M1089" s="32">
        <v>1.1160000000000001</v>
      </c>
      <c r="N1089" s="32">
        <v>2.82</v>
      </c>
      <c r="P1089" s="47">
        <v>1.3520000000000001</v>
      </c>
      <c r="R1089" s="47">
        <v>0.126</v>
      </c>
      <c r="S1089" s="47">
        <v>1.5089999999999999</v>
      </c>
      <c r="T1089" s="31">
        <v>0</v>
      </c>
      <c r="V1089">
        <v>1087</v>
      </c>
      <c r="W1089">
        <v>23</v>
      </c>
      <c r="X1089">
        <v>1.1279999999999999</v>
      </c>
      <c r="Y1089" s="32">
        <v>2.82</v>
      </c>
      <c r="Z1089">
        <v>0</v>
      </c>
      <c r="AA1089" s="32">
        <v>1.3080000000000001</v>
      </c>
      <c r="AB1089">
        <v>0</v>
      </c>
      <c r="AC1089" s="34">
        <v>0.125</v>
      </c>
      <c r="AD1089" s="32">
        <v>1.47</v>
      </c>
    </row>
    <row r="1090" spans="1:30">
      <c r="A1090">
        <v>1088</v>
      </c>
      <c r="B1090">
        <v>24</v>
      </c>
      <c r="C1090">
        <v>1.117</v>
      </c>
      <c r="D1090">
        <v>2.82</v>
      </c>
      <c r="E1090">
        <v>0</v>
      </c>
      <c r="F1090">
        <v>1.35</v>
      </c>
      <c r="G1090">
        <v>0</v>
      </c>
      <c r="H1090">
        <v>0.11700000000000001</v>
      </c>
      <c r="I1090">
        <v>1.5620000000000001</v>
      </c>
      <c r="K1090">
        <v>1088</v>
      </c>
      <c r="L1090">
        <v>24</v>
      </c>
      <c r="M1090" s="32">
        <v>1.117</v>
      </c>
      <c r="N1090" s="32">
        <v>2.82</v>
      </c>
      <c r="P1090" s="47">
        <v>1.353</v>
      </c>
      <c r="R1090" s="47">
        <v>0.126</v>
      </c>
      <c r="S1090" s="47">
        <v>1.5109999999999999</v>
      </c>
      <c r="T1090" s="31">
        <v>0</v>
      </c>
      <c r="V1090">
        <v>1088</v>
      </c>
      <c r="W1090">
        <v>23</v>
      </c>
      <c r="X1090">
        <v>1.129</v>
      </c>
      <c r="Y1090" s="32">
        <v>2.82</v>
      </c>
      <c r="Z1090">
        <v>0</v>
      </c>
      <c r="AA1090" s="32">
        <v>1.3080000000000001</v>
      </c>
      <c r="AB1090">
        <v>0</v>
      </c>
      <c r="AC1090" s="34">
        <v>0.125</v>
      </c>
      <c r="AD1090" s="32">
        <v>1.472</v>
      </c>
    </row>
    <row r="1091" spans="1:30">
      <c r="A1091">
        <v>1089</v>
      </c>
      <c r="B1091">
        <v>24</v>
      </c>
      <c r="C1091">
        <v>1.1180000000000001</v>
      </c>
      <c r="D1091">
        <v>2.82</v>
      </c>
      <c r="E1091">
        <v>0</v>
      </c>
      <c r="F1091">
        <v>1.35</v>
      </c>
      <c r="G1091">
        <v>0</v>
      </c>
      <c r="H1091">
        <v>0.11700000000000001</v>
      </c>
      <c r="I1091">
        <v>1.5640000000000001</v>
      </c>
      <c r="K1091">
        <v>1089</v>
      </c>
      <c r="L1091">
        <v>24</v>
      </c>
      <c r="M1091" s="32">
        <v>1.1180000000000001</v>
      </c>
      <c r="N1091" s="32">
        <v>2.82</v>
      </c>
      <c r="P1091" s="47">
        <v>1.353</v>
      </c>
      <c r="R1091" s="47">
        <v>0.127</v>
      </c>
      <c r="S1091" s="47">
        <v>1.5129999999999999</v>
      </c>
      <c r="T1091" s="31">
        <v>0</v>
      </c>
      <c r="V1091">
        <v>1089</v>
      </c>
      <c r="W1091">
        <v>23</v>
      </c>
      <c r="X1091">
        <v>1.1299999999999999</v>
      </c>
      <c r="Y1091" s="32">
        <v>2.82</v>
      </c>
      <c r="Z1091">
        <v>0</v>
      </c>
      <c r="AA1091" s="32">
        <v>1.3089999999999999</v>
      </c>
      <c r="AB1091">
        <v>0</v>
      </c>
      <c r="AC1091" s="34">
        <v>0.125</v>
      </c>
      <c r="AD1091" s="32">
        <v>1.4730000000000001</v>
      </c>
    </row>
    <row r="1092" spans="1:30">
      <c r="A1092">
        <v>1090</v>
      </c>
      <c r="B1092">
        <v>24</v>
      </c>
      <c r="C1092">
        <v>1.119</v>
      </c>
      <c r="D1092">
        <v>2.82</v>
      </c>
      <c r="E1092">
        <v>0</v>
      </c>
      <c r="F1092">
        <v>1.35</v>
      </c>
      <c r="G1092">
        <v>0</v>
      </c>
      <c r="H1092">
        <v>0.11700000000000001</v>
      </c>
      <c r="I1092">
        <v>1.5660000000000001</v>
      </c>
      <c r="K1092">
        <v>1090</v>
      </c>
      <c r="L1092">
        <v>24</v>
      </c>
      <c r="M1092" s="32">
        <v>1.119</v>
      </c>
      <c r="N1092" s="32">
        <v>2.82</v>
      </c>
      <c r="P1092" s="47">
        <v>1.3540000000000001</v>
      </c>
      <c r="R1092" s="47">
        <v>0.127</v>
      </c>
      <c r="S1092" s="47">
        <v>1.514</v>
      </c>
      <c r="T1092" s="31">
        <v>0</v>
      </c>
      <c r="V1092">
        <v>1090</v>
      </c>
      <c r="W1092">
        <v>23</v>
      </c>
      <c r="X1092">
        <v>1.131</v>
      </c>
      <c r="Y1092" s="32">
        <v>2.82</v>
      </c>
      <c r="Z1092">
        <v>0</v>
      </c>
      <c r="AA1092" s="32">
        <v>1.3089999999999999</v>
      </c>
      <c r="AB1092">
        <v>0</v>
      </c>
      <c r="AC1092" s="34">
        <v>0.125</v>
      </c>
      <c r="AD1092" s="32">
        <v>1.4750000000000001</v>
      </c>
    </row>
    <row r="1093" spans="1:30">
      <c r="A1093">
        <v>1091</v>
      </c>
      <c r="B1093">
        <v>24</v>
      </c>
      <c r="C1093">
        <v>1.1200000000000001</v>
      </c>
      <c r="D1093">
        <v>2.82</v>
      </c>
      <c r="E1093">
        <v>0</v>
      </c>
      <c r="F1093">
        <v>1.3540000000000001</v>
      </c>
      <c r="G1093">
        <v>0</v>
      </c>
      <c r="H1093">
        <v>0.11700000000000001</v>
      </c>
      <c r="I1093">
        <v>1.516</v>
      </c>
      <c r="K1093">
        <v>1091</v>
      </c>
      <c r="L1093">
        <v>24</v>
      </c>
      <c r="M1093" s="32">
        <v>1.1200000000000001</v>
      </c>
      <c r="N1093" s="32">
        <v>2.82</v>
      </c>
      <c r="P1093" s="32">
        <v>1.3540000000000001</v>
      </c>
      <c r="R1093" s="47">
        <v>0.127</v>
      </c>
      <c r="S1093" s="32">
        <v>1.516</v>
      </c>
      <c r="T1093" s="31">
        <v>0</v>
      </c>
      <c r="V1093">
        <v>1091</v>
      </c>
      <c r="W1093">
        <v>23</v>
      </c>
      <c r="X1093">
        <v>1.1319999999999999</v>
      </c>
      <c r="Y1093" s="32">
        <v>2.82</v>
      </c>
      <c r="Z1093">
        <v>0</v>
      </c>
      <c r="AA1093" s="32">
        <v>1.3089999999999999</v>
      </c>
      <c r="AB1093">
        <v>0</v>
      </c>
      <c r="AC1093" s="34">
        <v>0.125</v>
      </c>
      <c r="AD1093" s="32">
        <v>1.476</v>
      </c>
    </row>
    <row r="1094" spans="1:30">
      <c r="A1094">
        <v>1092</v>
      </c>
      <c r="B1094">
        <v>24</v>
      </c>
      <c r="C1094">
        <v>1.121</v>
      </c>
      <c r="D1094">
        <v>2.82</v>
      </c>
      <c r="E1094">
        <v>0</v>
      </c>
      <c r="F1094">
        <v>1.3540000000000001</v>
      </c>
      <c r="G1094">
        <v>0</v>
      </c>
      <c r="H1094">
        <v>0.11700000000000001</v>
      </c>
      <c r="I1094">
        <v>1.5860000000000001</v>
      </c>
      <c r="K1094">
        <v>1092</v>
      </c>
      <c r="L1094">
        <v>24</v>
      </c>
      <c r="M1094" s="32">
        <v>1.121</v>
      </c>
      <c r="N1094" s="32">
        <v>2.82</v>
      </c>
      <c r="P1094" s="32">
        <v>1.3540000000000001</v>
      </c>
      <c r="R1094" s="47">
        <v>0.127</v>
      </c>
      <c r="S1094" s="47">
        <v>1.518</v>
      </c>
      <c r="T1094" s="31">
        <v>0</v>
      </c>
      <c r="V1094">
        <v>1092</v>
      </c>
      <c r="W1094">
        <v>23</v>
      </c>
      <c r="X1094">
        <v>1.133</v>
      </c>
      <c r="Y1094" s="32">
        <v>2.82</v>
      </c>
      <c r="Z1094">
        <v>0</v>
      </c>
      <c r="AA1094" s="32">
        <v>1.3089999999999999</v>
      </c>
      <c r="AB1094">
        <v>0</v>
      </c>
      <c r="AC1094" s="34">
        <v>0.125</v>
      </c>
      <c r="AD1094" s="32">
        <v>1.478</v>
      </c>
    </row>
    <row r="1095" spans="1:30">
      <c r="A1095">
        <v>1093</v>
      </c>
      <c r="B1095">
        <v>24</v>
      </c>
      <c r="C1095">
        <v>1.1220000000000001</v>
      </c>
      <c r="D1095">
        <v>2.82</v>
      </c>
      <c r="E1095">
        <v>0</v>
      </c>
      <c r="F1095">
        <v>1.3540000000000001</v>
      </c>
      <c r="G1095">
        <v>0</v>
      </c>
      <c r="H1095">
        <v>0.11700000000000001</v>
      </c>
      <c r="I1095">
        <v>1.5880000000000001</v>
      </c>
      <c r="K1095">
        <v>1093</v>
      </c>
      <c r="L1095">
        <v>24</v>
      </c>
      <c r="M1095" s="32">
        <v>1.1220000000000001</v>
      </c>
      <c r="N1095" s="32">
        <v>2.82</v>
      </c>
      <c r="P1095" s="47">
        <v>1.355</v>
      </c>
      <c r="R1095" s="47">
        <v>0.128</v>
      </c>
      <c r="S1095" s="47">
        <v>1.5189999999999999</v>
      </c>
      <c r="T1095" s="31">
        <v>0</v>
      </c>
      <c r="V1095">
        <v>1093</v>
      </c>
      <c r="W1095">
        <v>23</v>
      </c>
      <c r="X1095">
        <v>1.1339999999999999</v>
      </c>
      <c r="Y1095" s="32">
        <v>2.82</v>
      </c>
      <c r="Z1095">
        <v>0</v>
      </c>
      <c r="AA1095" s="32">
        <v>1.31</v>
      </c>
      <c r="AB1095">
        <v>0</v>
      </c>
      <c r="AC1095" s="34">
        <v>0.126</v>
      </c>
      <c r="AD1095" s="32">
        <v>1.48</v>
      </c>
    </row>
    <row r="1096" spans="1:30">
      <c r="A1096">
        <v>1094</v>
      </c>
      <c r="B1096">
        <v>24</v>
      </c>
      <c r="C1096">
        <v>1.123</v>
      </c>
      <c r="D1096">
        <v>2.82</v>
      </c>
      <c r="E1096">
        <v>0</v>
      </c>
      <c r="F1096">
        <v>1.3540000000000001</v>
      </c>
      <c r="G1096">
        <v>0</v>
      </c>
      <c r="H1096">
        <v>0.11700000000000001</v>
      </c>
      <c r="I1096">
        <v>1.59</v>
      </c>
      <c r="K1096">
        <v>1094</v>
      </c>
      <c r="L1096">
        <v>24</v>
      </c>
      <c r="M1096" s="32">
        <v>1.123</v>
      </c>
      <c r="N1096" s="32">
        <v>2.82</v>
      </c>
      <c r="P1096" s="47">
        <v>1.355</v>
      </c>
      <c r="R1096" s="47">
        <v>0.128</v>
      </c>
      <c r="S1096" s="47">
        <v>1.5209999999999999</v>
      </c>
      <c r="T1096" s="31">
        <v>0</v>
      </c>
      <c r="V1096">
        <v>1094</v>
      </c>
      <c r="W1096">
        <v>23</v>
      </c>
      <c r="X1096">
        <v>1.135</v>
      </c>
      <c r="Y1096" s="32">
        <v>2.82</v>
      </c>
      <c r="Z1096">
        <v>0</v>
      </c>
      <c r="AA1096" s="32">
        <v>1.31</v>
      </c>
      <c r="AB1096">
        <v>0</v>
      </c>
      <c r="AC1096" s="34">
        <v>0.126</v>
      </c>
      <c r="AD1096" s="32">
        <v>1.4810000000000001</v>
      </c>
    </row>
    <row r="1097" spans="1:30">
      <c r="A1097">
        <v>1095</v>
      </c>
      <c r="B1097">
        <v>24</v>
      </c>
      <c r="C1097">
        <v>1.1240000000000001</v>
      </c>
      <c r="D1097">
        <v>2.82</v>
      </c>
      <c r="E1097">
        <v>0</v>
      </c>
      <c r="F1097">
        <v>1.3540000000000001</v>
      </c>
      <c r="G1097">
        <v>0</v>
      </c>
      <c r="H1097">
        <v>0.11700000000000001</v>
      </c>
      <c r="I1097">
        <v>1.591</v>
      </c>
      <c r="K1097">
        <v>1095</v>
      </c>
      <c r="L1097">
        <v>24</v>
      </c>
      <c r="M1097" s="32">
        <v>1.1240000000000001</v>
      </c>
      <c r="N1097" s="32">
        <v>2.82</v>
      </c>
      <c r="P1097" s="47">
        <v>1.355</v>
      </c>
      <c r="R1097" s="47">
        <v>0.128</v>
      </c>
      <c r="S1097" s="47">
        <v>1.5229999999999999</v>
      </c>
      <c r="T1097" s="31">
        <v>0</v>
      </c>
      <c r="V1097">
        <v>1095</v>
      </c>
      <c r="W1097">
        <v>23</v>
      </c>
      <c r="X1097">
        <v>1.1359999999999999</v>
      </c>
      <c r="Y1097" s="32">
        <v>2.82</v>
      </c>
      <c r="Z1097">
        <v>0</v>
      </c>
      <c r="AA1097" s="32">
        <v>1.31</v>
      </c>
      <c r="AB1097">
        <v>0</v>
      </c>
      <c r="AC1097" s="34">
        <v>0.126</v>
      </c>
      <c r="AD1097" s="32">
        <v>1.4830000000000001</v>
      </c>
    </row>
    <row r="1098" spans="1:30">
      <c r="A1098">
        <v>1096</v>
      </c>
      <c r="B1098">
        <v>24</v>
      </c>
      <c r="C1098">
        <v>1.125</v>
      </c>
      <c r="D1098">
        <v>2.82</v>
      </c>
      <c r="E1098">
        <v>0</v>
      </c>
      <c r="F1098">
        <v>1.3540000000000001</v>
      </c>
      <c r="G1098">
        <v>0</v>
      </c>
      <c r="H1098">
        <v>0.11700000000000001</v>
      </c>
      <c r="I1098">
        <v>1.593</v>
      </c>
      <c r="K1098">
        <v>1096</v>
      </c>
      <c r="L1098">
        <v>24</v>
      </c>
      <c r="M1098" s="32">
        <v>1.125</v>
      </c>
      <c r="N1098" s="32">
        <v>2.82</v>
      </c>
      <c r="P1098" s="47">
        <v>1.3560000000000001</v>
      </c>
      <c r="R1098" s="47">
        <v>0.128</v>
      </c>
      <c r="S1098" s="47">
        <v>1.5249999999999999</v>
      </c>
      <c r="T1098" s="31">
        <v>0</v>
      </c>
      <c r="V1098">
        <v>1096</v>
      </c>
      <c r="W1098">
        <v>23</v>
      </c>
      <c r="X1098">
        <v>1.137</v>
      </c>
      <c r="Y1098" s="32">
        <v>2.82</v>
      </c>
      <c r="Z1098">
        <v>0</v>
      </c>
      <c r="AA1098" s="32">
        <v>1.31</v>
      </c>
      <c r="AB1098">
        <v>0</v>
      </c>
      <c r="AC1098" s="34">
        <v>0.126</v>
      </c>
      <c r="AD1098" s="32">
        <v>1.484</v>
      </c>
    </row>
    <row r="1099" spans="1:30">
      <c r="A1099">
        <v>1097</v>
      </c>
      <c r="B1099">
        <v>24</v>
      </c>
      <c r="C1099">
        <v>1.1259999999999999</v>
      </c>
      <c r="D1099">
        <v>2.82</v>
      </c>
      <c r="E1099">
        <v>0</v>
      </c>
      <c r="F1099">
        <v>1.3540000000000001</v>
      </c>
      <c r="G1099">
        <v>0</v>
      </c>
      <c r="H1099">
        <v>0.11700000000000001</v>
      </c>
      <c r="I1099">
        <v>1.595</v>
      </c>
      <c r="K1099">
        <v>1097</v>
      </c>
      <c r="L1099">
        <v>24</v>
      </c>
      <c r="M1099" s="32">
        <v>1.1259999999999999</v>
      </c>
      <c r="N1099" s="32">
        <v>2.82</v>
      </c>
      <c r="P1099" s="47">
        <v>1.3560000000000001</v>
      </c>
      <c r="R1099" s="47">
        <v>0.129</v>
      </c>
      <c r="S1099" s="47">
        <v>1.526</v>
      </c>
      <c r="T1099" s="31">
        <v>0</v>
      </c>
      <c r="V1099">
        <v>1097</v>
      </c>
      <c r="W1099">
        <v>23</v>
      </c>
      <c r="X1099">
        <v>1.1379999999999999</v>
      </c>
      <c r="Y1099" s="32">
        <v>2.82</v>
      </c>
      <c r="Z1099">
        <v>0</v>
      </c>
      <c r="AA1099" s="32">
        <v>1.31</v>
      </c>
      <c r="AB1099">
        <v>0</v>
      </c>
      <c r="AC1099" s="34">
        <v>0.126</v>
      </c>
      <c r="AD1099" s="32">
        <v>1.486</v>
      </c>
    </row>
    <row r="1100" spans="1:30">
      <c r="A1100">
        <v>1098</v>
      </c>
      <c r="B1100">
        <v>24</v>
      </c>
      <c r="C1100">
        <v>1.127</v>
      </c>
      <c r="D1100">
        <v>2.82</v>
      </c>
      <c r="E1100">
        <v>0</v>
      </c>
      <c r="F1100">
        <v>1.3540000000000001</v>
      </c>
      <c r="G1100">
        <v>0</v>
      </c>
      <c r="H1100">
        <v>0.11700000000000001</v>
      </c>
      <c r="I1100">
        <v>1.5960000000000001</v>
      </c>
      <c r="K1100">
        <v>1098</v>
      </c>
      <c r="L1100">
        <v>24</v>
      </c>
      <c r="M1100" s="32">
        <v>1.127</v>
      </c>
      <c r="N1100" s="32">
        <v>2.82</v>
      </c>
      <c r="P1100" s="47">
        <v>1.3560000000000001</v>
      </c>
      <c r="R1100" s="47">
        <v>0.129</v>
      </c>
      <c r="S1100" s="47">
        <v>1.528</v>
      </c>
      <c r="T1100" s="31">
        <v>0</v>
      </c>
      <c r="V1100">
        <v>1098</v>
      </c>
      <c r="W1100">
        <v>23</v>
      </c>
      <c r="X1100">
        <v>1.139</v>
      </c>
      <c r="Y1100" s="32">
        <v>2.82</v>
      </c>
      <c r="Z1100">
        <v>0</v>
      </c>
      <c r="AA1100" s="32">
        <v>1.3109999999999999</v>
      </c>
      <c r="AB1100">
        <v>0</v>
      </c>
      <c r="AC1100" s="34">
        <v>0.126</v>
      </c>
      <c r="AD1100" s="32">
        <v>1.4870000000000001</v>
      </c>
    </row>
    <row r="1101" spans="1:30">
      <c r="A1101">
        <v>1099</v>
      </c>
      <c r="B1101">
        <v>24</v>
      </c>
      <c r="C1101">
        <v>1.1279999999999999</v>
      </c>
      <c r="D1101">
        <v>2.82</v>
      </c>
      <c r="E1101">
        <v>0</v>
      </c>
      <c r="F1101">
        <v>1.3540000000000001</v>
      </c>
      <c r="G1101">
        <v>0</v>
      </c>
      <c r="H1101">
        <v>0.11700000000000001</v>
      </c>
      <c r="I1101">
        <v>1.5980000000000001</v>
      </c>
      <c r="K1101">
        <v>1099</v>
      </c>
      <c r="L1101">
        <v>24</v>
      </c>
      <c r="M1101" s="32">
        <v>1.1279999999999999</v>
      </c>
      <c r="N1101" s="32">
        <v>2.82</v>
      </c>
      <c r="P1101" s="47">
        <v>1.3560000000000001</v>
      </c>
      <c r="R1101" s="47">
        <v>0.129</v>
      </c>
      <c r="S1101" s="47">
        <v>1.53</v>
      </c>
      <c r="T1101" s="31">
        <v>0</v>
      </c>
      <c r="V1101">
        <v>1099</v>
      </c>
      <c r="W1101">
        <v>23</v>
      </c>
      <c r="X1101">
        <v>1.1399999999999999</v>
      </c>
      <c r="Y1101" s="32">
        <v>2.82</v>
      </c>
      <c r="Z1101">
        <v>0</v>
      </c>
      <c r="AA1101" s="32">
        <v>1.3109999999999999</v>
      </c>
      <c r="AB1101">
        <v>0</v>
      </c>
      <c r="AC1101" s="34">
        <v>0.126</v>
      </c>
      <c r="AD1101" s="32">
        <v>1.4890000000000001</v>
      </c>
    </row>
    <row r="1102" spans="1:30">
      <c r="A1102">
        <v>1100</v>
      </c>
      <c r="B1102">
        <v>24</v>
      </c>
      <c r="C1102">
        <v>1.129</v>
      </c>
      <c r="D1102">
        <v>2.82</v>
      </c>
      <c r="E1102">
        <v>0</v>
      </c>
      <c r="F1102">
        <v>1.3540000000000001</v>
      </c>
      <c r="G1102">
        <v>0</v>
      </c>
      <c r="H1102">
        <v>0.11700000000000001</v>
      </c>
      <c r="I1102">
        <v>1.6</v>
      </c>
      <c r="K1102">
        <v>1100</v>
      </c>
      <c r="L1102">
        <v>24</v>
      </c>
      <c r="M1102" s="32">
        <v>1.129</v>
      </c>
      <c r="N1102" s="32">
        <v>2.82</v>
      </c>
      <c r="P1102" s="47">
        <v>1.357</v>
      </c>
      <c r="R1102" s="47">
        <v>0.129</v>
      </c>
      <c r="S1102" s="47">
        <v>1.5309999999999999</v>
      </c>
      <c r="T1102" s="31">
        <v>0</v>
      </c>
      <c r="V1102">
        <v>1100</v>
      </c>
      <c r="W1102">
        <v>23</v>
      </c>
      <c r="X1102">
        <v>1.141</v>
      </c>
      <c r="Y1102" s="32">
        <v>2.82</v>
      </c>
      <c r="Z1102">
        <v>0</v>
      </c>
      <c r="AA1102" s="32">
        <v>1.3109999999999999</v>
      </c>
      <c r="AB1102">
        <v>0</v>
      </c>
      <c r="AC1102" s="34">
        <v>0.126</v>
      </c>
      <c r="AD1102" s="32">
        <v>1.4910000000000001</v>
      </c>
    </row>
    <row r="1103" spans="1:30">
      <c r="A1103">
        <v>1101</v>
      </c>
      <c r="B1103">
        <v>24</v>
      </c>
      <c r="C1103">
        <v>1.1299999999999999</v>
      </c>
      <c r="D1103">
        <v>2.82</v>
      </c>
      <c r="E1103">
        <v>0</v>
      </c>
      <c r="F1103">
        <v>1.357</v>
      </c>
      <c r="G1103">
        <v>0</v>
      </c>
      <c r="H1103">
        <v>0.11700000000000001</v>
      </c>
      <c r="I1103">
        <v>1.5329999999999999</v>
      </c>
      <c r="K1103">
        <v>1101</v>
      </c>
      <c r="L1103">
        <v>24</v>
      </c>
      <c r="M1103" s="32">
        <v>1.1299999999999999</v>
      </c>
      <c r="N1103" s="32">
        <v>2.82</v>
      </c>
      <c r="P1103" s="32">
        <v>1.357</v>
      </c>
      <c r="R1103" s="47">
        <v>0.13</v>
      </c>
      <c r="S1103" s="32">
        <v>1.5329999999999999</v>
      </c>
      <c r="T1103" s="31">
        <v>0</v>
      </c>
      <c r="V1103">
        <v>1101</v>
      </c>
      <c r="W1103">
        <v>23</v>
      </c>
      <c r="X1103">
        <v>1.1419999999999999</v>
      </c>
      <c r="Y1103" s="32">
        <v>2.82</v>
      </c>
      <c r="Z1103">
        <v>0</v>
      </c>
      <c r="AA1103" s="32">
        <v>1.3109999999999999</v>
      </c>
      <c r="AB1103">
        <v>0</v>
      </c>
      <c r="AC1103" s="34">
        <v>0.126</v>
      </c>
      <c r="AD1103" s="32">
        <v>1.492</v>
      </c>
    </row>
    <row r="1104" spans="1:30">
      <c r="A1104">
        <v>1102</v>
      </c>
      <c r="B1104">
        <v>24</v>
      </c>
      <c r="C1104">
        <v>1.131</v>
      </c>
      <c r="D1104">
        <v>2.82</v>
      </c>
      <c r="E1104">
        <v>0</v>
      </c>
      <c r="F1104">
        <v>1.357</v>
      </c>
      <c r="G1104">
        <v>0</v>
      </c>
      <c r="H1104">
        <v>0.11700000000000001</v>
      </c>
      <c r="I1104">
        <v>1.62</v>
      </c>
      <c r="K1104">
        <v>1102</v>
      </c>
      <c r="L1104">
        <v>24</v>
      </c>
      <c r="M1104" s="32">
        <v>1.131</v>
      </c>
      <c r="N1104" s="32">
        <v>2.82</v>
      </c>
      <c r="P1104" s="32">
        <v>1.357</v>
      </c>
      <c r="R1104" s="47">
        <v>0.13</v>
      </c>
      <c r="S1104" s="47">
        <v>1.5349999999999999</v>
      </c>
      <c r="T1104" s="31">
        <v>0</v>
      </c>
      <c r="V1104">
        <v>1102</v>
      </c>
      <c r="W1104">
        <v>23</v>
      </c>
      <c r="X1104">
        <v>1.143</v>
      </c>
      <c r="Y1104" s="32">
        <v>2.82</v>
      </c>
      <c r="Z1104">
        <v>0</v>
      </c>
      <c r="AA1104" s="32">
        <v>1.3120000000000001</v>
      </c>
      <c r="AB1104">
        <v>0</v>
      </c>
      <c r="AC1104" s="34">
        <v>0.126</v>
      </c>
      <c r="AD1104" s="32">
        <v>1.494</v>
      </c>
    </row>
    <row r="1105" spans="1:30">
      <c r="A1105">
        <v>1103</v>
      </c>
      <c r="B1105">
        <v>24</v>
      </c>
      <c r="C1105">
        <v>1.1319999999999999</v>
      </c>
      <c r="D1105">
        <v>2.82</v>
      </c>
      <c r="E1105">
        <v>0</v>
      </c>
      <c r="F1105">
        <v>1.357</v>
      </c>
      <c r="G1105">
        <v>0</v>
      </c>
      <c r="H1105">
        <v>0.11700000000000001</v>
      </c>
      <c r="I1105">
        <v>1.6220000000000001</v>
      </c>
      <c r="K1105">
        <v>1103</v>
      </c>
      <c r="L1105">
        <v>24</v>
      </c>
      <c r="M1105" s="32">
        <v>1.1319999999999999</v>
      </c>
      <c r="N1105" s="32">
        <v>2.82</v>
      </c>
      <c r="P1105" s="47">
        <v>1.3580000000000001</v>
      </c>
      <c r="R1105" s="47">
        <v>0.13</v>
      </c>
      <c r="S1105" s="47">
        <v>1.5369999999999999</v>
      </c>
      <c r="T1105" s="31">
        <v>0</v>
      </c>
      <c r="V1105">
        <v>1103</v>
      </c>
      <c r="W1105">
        <v>23</v>
      </c>
      <c r="X1105">
        <v>1.1439999999999999</v>
      </c>
      <c r="Y1105" s="32">
        <v>2.82</v>
      </c>
      <c r="Z1105">
        <v>0</v>
      </c>
      <c r="AA1105" s="32">
        <v>1.3120000000000001</v>
      </c>
      <c r="AB1105">
        <v>0</v>
      </c>
      <c r="AC1105" s="34">
        <v>0.126</v>
      </c>
      <c r="AD1105" s="32">
        <v>1.4950000000000001</v>
      </c>
    </row>
    <row r="1106" spans="1:30">
      <c r="A1106">
        <v>1104</v>
      </c>
      <c r="B1106">
        <v>24</v>
      </c>
      <c r="C1106">
        <v>1.133</v>
      </c>
      <c r="D1106">
        <v>2.82</v>
      </c>
      <c r="E1106">
        <v>0</v>
      </c>
      <c r="F1106">
        <v>1.357</v>
      </c>
      <c r="G1106">
        <v>0</v>
      </c>
      <c r="H1106">
        <v>0.11700000000000001</v>
      </c>
      <c r="I1106">
        <v>1.6240000000000001</v>
      </c>
      <c r="K1106">
        <v>1104</v>
      </c>
      <c r="L1106">
        <v>24</v>
      </c>
      <c r="M1106" s="32">
        <v>1.133</v>
      </c>
      <c r="N1106" s="32">
        <v>2.82</v>
      </c>
      <c r="P1106" s="47">
        <v>1.3580000000000001</v>
      </c>
      <c r="R1106" s="47">
        <v>0.13</v>
      </c>
      <c r="S1106" s="47">
        <v>1.538</v>
      </c>
      <c r="T1106" s="31">
        <v>0</v>
      </c>
      <c r="V1106">
        <v>1104</v>
      </c>
      <c r="W1106">
        <v>23</v>
      </c>
      <c r="X1106">
        <v>1.145</v>
      </c>
      <c r="Y1106" s="32">
        <v>2.82</v>
      </c>
      <c r="Z1106">
        <v>0</v>
      </c>
      <c r="AA1106" s="32">
        <v>1.3120000000000001</v>
      </c>
      <c r="AB1106">
        <v>0</v>
      </c>
      <c r="AC1106" s="34">
        <v>0.127</v>
      </c>
      <c r="AD1106" s="32">
        <v>1.4970000000000001</v>
      </c>
    </row>
    <row r="1107" spans="1:30">
      <c r="A1107">
        <v>1105</v>
      </c>
      <c r="B1107">
        <v>24</v>
      </c>
      <c r="C1107">
        <v>1.1339999999999999</v>
      </c>
      <c r="D1107">
        <v>2.82</v>
      </c>
      <c r="E1107">
        <v>0</v>
      </c>
      <c r="F1107">
        <v>1.357</v>
      </c>
      <c r="G1107">
        <v>0</v>
      </c>
      <c r="H1107">
        <v>0.11700000000000001</v>
      </c>
      <c r="I1107">
        <v>1.625</v>
      </c>
      <c r="K1107">
        <v>1105</v>
      </c>
      <c r="L1107">
        <v>24</v>
      </c>
      <c r="M1107" s="32">
        <v>1.1339999999999999</v>
      </c>
      <c r="N1107" s="32">
        <v>2.82</v>
      </c>
      <c r="P1107" s="47">
        <v>1.3580000000000001</v>
      </c>
      <c r="R1107" s="47">
        <v>0.13100000000000001</v>
      </c>
      <c r="S1107" s="47">
        <v>1.54</v>
      </c>
      <c r="T1107" s="31">
        <v>0</v>
      </c>
      <c r="V1107">
        <v>1105</v>
      </c>
      <c r="W1107">
        <v>23</v>
      </c>
      <c r="X1107">
        <v>1.1459999999999999</v>
      </c>
      <c r="Y1107" s="32">
        <v>2.82</v>
      </c>
      <c r="Z1107">
        <v>0</v>
      </c>
      <c r="AA1107" s="32">
        <v>1.3120000000000001</v>
      </c>
      <c r="AB1107">
        <v>0</v>
      </c>
      <c r="AC1107" s="34">
        <v>0.127</v>
      </c>
      <c r="AD1107" s="32">
        <v>1.4990000000000001</v>
      </c>
    </row>
    <row r="1108" spans="1:30">
      <c r="A1108">
        <v>1106</v>
      </c>
      <c r="B1108">
        <v>24</v>
      </c>
      <c r="C1108">
        <v>1.135</v>
      </c>
      <c r="D1108">
        <v>2.82</v>
      </c>
      <c r="E1108">
        <v>0</v>
      </c>
      <c r="F1108">
        <v>1.357</v>
      </c>
      <c r="G1108">
        <v>0</v>
      </c>
      <c r="H1108">
        <v>0.11700000000000001</v>
      </c>
      <c r="I1108">
        <v>1.627</v>
      </c>
      <c r="K1108">
        <v>1106</v>
      </c>
      <c r="L1108">
        <v>24</v>
      </c>
      <c r="M1108" s="32">
        <v>1.135</v>
      </c>
      <c r="N1108" s="32">
        <v>2.82</v>
      </c>
      <c r="P1108" s="47">
        <v>1.359</v>
      </c>
      <c r="R1108" s="47">
        <v>0.13100000000000001</v>
      </c>
      <c r="S1108" s="47">
        <v>1.542</v>
      </c>
      <c r="T1108" s="31">
        <v>0</v>
      </c>
      <c r="V1108">
        <v>1106</v>
      </c>
      <c r="W1108">
        <v>23</v>
      </c>
      <c r="X1108">
        <v>1.147</v>
      </c>
      <c r="Y1108" s="32">
        <v>2.82</v>
      </c>
      <c r="Z1108">
        <v>0</v>
      </c>
      <c r="AA1108" s="32">
        <v>1.3120000000000001</v>
      </c>
      <c r="AB1108">
        <v>0</v>
      </c>
      <c r="AC1108" s="34">
        <v>0.127</v>
      </c>
      <c r="AD1108" s="32">
        <v>1.5</v>
      </c>
    </row>
    <row r="1109" spans="1:30">
      <c r="A1109">
        <v>1107</v>
      </c>
      <c r="B1109">
        <v>24</v>
      </c>
      <c r="C1109">
        <v>1.1359999999999999</v>
      </c>
      <c r="D1109">
        <v>2.82</v>
      </c>
      <c r="E1109">
        <v>0</v>
      </c>
      <c r="F1109">
        <v>1.357</v>
      </c>
      <c r="G1109">
        <v>0</v>
      </c>
      <c r="H1109">
        <v>0.11700000000000001</v>
      </c>
      <c r="I1109">
        <v>1.629</v>
      </c>
      <c r="K1109">
        <v>1107</v>
      </c>
      <c r="L1109">
        <v>24</v>
      </c>
      <c r="M1109" s="32">
        <v>1.1359999999999999</v>
      </c>
      <c r="N1109" s="32">
        <v>2.82</v>
      </c>
      <c r="P1109" s="47">
        <v>1.359</v>
      </c>
      <c r="R1109" s="47">
        <v>0.13100000000000001</v>
      </c>
      <c r="S1109" s="47">
        <v>1.544</v>
      </c>
      <c r="T1109" s="31">
        <v>0</v>
      </c>
      <c r="V1109">
        <v>1107</v>
      </c>
      <c r="W1109">
        <v>23</v>
      </c>
      <c r="X1109">
        <v>1.1479999999999999</v>
      </c>
      <c r="Y1109" s="32">
        <v>2.82</v>
      </c>
      <c r="Z1109">
        <v>0</v>
      </c>
      <c r="AA1109" s="32">
        <v>1.3129999999999999</v>
      </c>
      <c r="AB1109">
        <v>0</v>
      </c>
      <c r="AC1109" s="34">
        <v>0.127</v>
      </c>
      <c r="AD1109" s="32">
        <v>1.502</v>
      </c>
    </row>
    <row r="1110" spans="1:30">
      <c r="A1110">
        <v>1108</v>
      </c>
      <c r="B1110">
        <v>24</v>
      </c>
      <c r="C1110">
        <v>1.137</v>
      </c>
      <c r="D1110">
        <v>2.82</v>
      </c>
      <c r="E1110">
        <v>0</v>
      </c>
      <c r="F1110">
        <v>1.357</v>
      </c>
      <c r="G1110">
        <v>0</v>
      </c>
      <c r="H1110">
        <v>0.11700000000000001</v>
      </c>
      <c r="I1110">
        <v>1.631</v>
      </c>
      <c r="K1110">
        <v>1108</v>
      </c>
      <c r="L1110">
        <v>24</v>
      </c>
      <c r="M1110" s="32">
        <v>1.137</v>
      </c>
      <c r="N1110" s="32">
        <v>2.82</v>
      </c>
      <c r="P1110" s="47">
        <v>1.359</v>
      </c>
      <c r="R1110" s="47">
        <v>0.13100000000000001</v>
      </c>
      <c r="S1110" s="47">
        <v>1.546</v>
      </c>
      <c r="T1110" s="31">
        <v>0</v>
      </c>
      <c r="V1110">
        <v>1108</v>
      </c>
      <c r="W1110">
        <v>23</v>
      </c>
      <c r="X1110">
        <v>1.149</v>
      </c>
      <c r="Y1110" s="32">
        <v>2.82</v>
      </c>
      <c r="Z1110">
        <v>0</v>
      </c>
      <c r="AA1110" s="32">
        <v>1.3129999999999999</v>
      </c>
      <c r="AB1110">
        <v>0</v>
      </c>
      <c r="AC1110" s="34">
        <v>0.127</v>
      </c>
      <c r="AD1110" s="32">
        <v>1.5029999999999999</v>
      </c>
    </row>
    <row r="1111" spans="1:30">
      <c r="A1111">
        <v>1109</v>
      </c>
      <c r="B1111">
        <v>24</v>
      </c>
      <c r="C1111">
        <v>1.1379999999999999</v>
      </c>
      <c r="D1111">
        <v>2.82</v>
      </c>
      <c r="E1111">
        <v>0</v>
      </c>
      <c r="F1111">
        <v>1.357</v>
      </c>
      <c r="G1111">
        <v>0</v>
      </c>
      <c r="H1111">
        <v>0.11700000000000001</v>
      </c>
      <c r="I1111">
        <v>1.6319999999999999</v>
      </c>
      <c r="K1111">
        <v>1109</v>
      </c>
      <c r="L1111">
        <v>24</v>
      </c>
      <c r="M1111" s="32">
        <v>1.1379999999999999</v>
      </c>
      <c r="N1111" s="32">
        <v>2.82</v>
      </c>
      <c r="P1111" s="47">
        <v>1.359</v>
      </c>
      <c r="R1111" s="47">
        <v>0.13200000000000001</v>
      </c>
      <c r="S1111" s="47">
        <v>1.5469999999999999</v>
      </c>
      <c r="T1111" s="31">
        <v>0</v>
      </c>
      <c r="V1111">
        <v>1109</v>
      </c>
      <c r="W1111">
        <v>23</v>
      </c>
      <c r="X1111">
        <v>1.1499999999999999</v>
      </c>
      <c r="Y1111" s="32">
        <v>2.82</v>
      </c>
      <c r="Z1111">
        <v>0</v>
      </c>
      <c r="AA1111" s="32">
        <v>1.3129999999999999</v>
      </c>
      <c r="AB1111">
        <v>0</v>
      </c>
      <c r="AC1111" s="34">
        <v>0.127</v>
      </c>
      <c r="AD1111" s="32">
        <v>1.5049999999999999</v>
      </c>
    </row>
    <row r="1112" spans="1:30">
      <c r="A1112">
        <v>1110</v>
      </c>
      <c r="B1112">
        <v>24</v>
      </c>
      <c r="C1112">
        <v>1.139</v>
      </c>
      <c r="D1112">
        <v>2.82</v>
      </c>
      <c r="E1112">
        <v>0</v>
      </c>
      <c r="F1112">
        <v>1.357</v>
      </c>
      <c r="G1112">
        <v>0</v>
      </c>
      <c r="H1112">
        <v>0.11700000000000001</v>
      </c>
      <c r="I1112">
        <v>1.6339999999999999</v>
      </c>
      <c r="K1112">
        <v>1110</v>
      </c>
      <c r="L1112">
        <v>24</v>
      </c>
      <c r="M1112" s="32">
        <v>1.139</v>
      </c>
      <c r="N1112" s="32">
        <v>2.82</v>
      </c>
      <c r="P1112" s="47">
        <v>1.36</v>
      </c>
      <c r="R1112" s="47">
        <v>0.13200000000000001</v>
      </c>
      <c r="S1112" s="47">
        <v>1.5489999999999999</v>
      </c>
      <c r="T1112" s="31">
        <v>0</v>
      </c>
      <c r="V1112">
        <v>1110</v>
      </c>
      <c r="W1112">
        <v>23</v>
      </c>
      <c r="X1112">
        <v>1.151</v>
      </c>
      <c r="Y1112" s="32">
        <v>2.831</v>
      </c>
      <c r="Z1112">
        <v>0</v>
      </c>
      <c r="AA1112" s="32">
        <v>1.3129999999999999</v>
      </c>
      <c r="AB1112">
        <v>0</v>
      </c>
      <c r="AC1112" s="34">
        <v>0.127</v>
      </c>
      <c r="AD1112" s="32">
        <v>1.5069999999999999</v>
      </c>
    </row>
    <row r="1113" spans="1:30">
      <c r="A1113">
        <v>1111</v>
      </c>
      <c r="B1113">
        <v>24</v>
      </c>
      <c r="C1113">
        <v>1.1399999999999999</v>
      </c>
      <c r="D1113">
        <v>2.82</v>
      </c>
      <c r="E1113">
        <v>0</v>
      </c>
      <c r="F1113">
        <v>1.36</v>
      </c>
      <c r="G1113">
        <v>0</v>
      </c>
      <c r="H1113">
        <v>0.11700000000000001</v>
      </c>
      <c r="I1113">
        <v>1.5509999999999999</v>
      </c>
      <c r="K1113">
        <v>1111</v>
      </c>
      <c r="L1113">
        <v>24</v>
      </c>
      <c r="M1113" s="32">
        <v>1.1399999999999999</v>
      </c>
      <c r="N1113" s="32">
        <v>2.82</v>
      </c>
      <c r="P1113" s="32">
        <v>1.36</v>
      </c>
      <c r="R1113" s="47">
        <v>0.13200000000000001</v>
      </c>
      <c r="S1113" s="32">
        <v>1.5509999999999999</v>
      </c>
      <c r="T1113" s="31">
        <v>0</v>
      </c>
      <c r="V1113">
        <v>1111</v>
      </c>
      <c r="W1113">
        <v>23</v>
      </c>
      <c r="X1113">
        <v>1.1519999999999999</v>
      </c>
      <c r="Y1113" s="32">
        <v>2.8420000000000001</v>
      </c>
      <c r="Z1113">
        <v>0</v>
      </c>
      <c r="AA1113" s="32">
        <v>1.3140000000000001</v>
      </c>
      <c r="AB1113">
        <v>0</v>
      </c>
      <c r="AC1113" s="34">
        <v>0.127</v>
      </c>
      <c r="AD1113" s="32">
        <v>1.508</v>
      </c>
    </row>
    <row r="1114" spans="1:30">
      <c r="A1114">
        <v>1112</v>
      </c>
      <c r="B1114">
        <v>24</v>
      </c>
      <c r="C1114">
        <v>1.141</v>
      </c>
      <c r="D1114">
        <v>2.82</v>
      </c>
      <c r="E1114">
        <v>0</v>
      </c>
      <c r="F1114">
        <v>1.36</v>
      </c>
      <c r="G1114">
        <v>0</v>
      </c>
      <c r="H1114">
        <v>0.11700000000000001</v>
      </c>
      <c r="I1114">
        <v>1.655</v>
      </c>
      <c r="K1114">
        <v>1112</v>
      </c>
      <c r="L1114">
        <v>24</v>
      </c>
      <c r="M1114" s="32">
        <v>1.141</v>
      </c>
      <c r="N1114" s="32">
        <v>2.82</v>
      </c>
      <c r="P1114" s="32">
        <v>1.36</v>
      </c>
      <c r="R1114" s="47">
        <v>0.13200000000000001</v>
      </c>
      <c r="S1114" s="47">
        <v>1.5529999999999999</v>
      </c>
      <c r="T1114" s="31">
        <v>0</v>
      </c>
      <c r="V1114">
        <v>1112</v>
      </c>
      <c r="W1114">
        <v>23</v>
      </c>
      <c r="X1114">
        <v>1.153</v>
      </c>
      <c r="Y1114" s="32">
        <v>2.8530000000000002</v>
      </c>
      <c r="Z1114">
        <v>0</v>
      </c>
      <c r="AA1114" s="32">
        <v>1.3140000000000001</v>
      </c>
      <c r="AB1114">
        <v>0</v>
      </c>
      <c r="AC1114" s="34">
        <v>0.127</v>
      </c>
      <c r="AD1114" s="32">
        <v>1.51</v>
      </c>
    </row>
    <row r="1115" spans="1:30">
      <c r="A1115">
        <v>1113</v>
      </c>
      <c r="B1115">
        <v>24</v>
      </c>
      <c r="C1115">
        <v>1.1419999999999999</v>
      </c>
      <c r="D1115">
        <v>2.82</v>
      </c>
      <c r="E1115">
        <v>0</v>
      </c>
      <c r="F1115">
        <v>1.36</v>
      </c>
      <c r="G1115">
        <v>0</v>
      </c>
      <c r="H1115">
        <v>0.11700000000000001</v>
      </c>
      <c r="I1115">
        <v>1.657</v>
      </c>
      <c r="K1115">
        <v>1113</v>
      </c>
      <c r="L1115">
        <v>24</v>
      </c>
      <c r="M1115" s="32">
        <v>1.1419999999999999</v>
      </c>
      <c r="N1115" s="32">
        <v>2.82</v>
      </c>
      <c r="P1115" s="47">
        <v>1.361</v>
      </c>
      <c r="R1115" s="47">
        <v>0.13300000000000001</v>
      </c>
      <c r="S1115" s="47">
        <v>1.5549999999999999</v>
      </c>
      <c r="T1115" s="31">
        <v>0</v>
      </c>
      <c r="V1115">
        <v>1113</v>
      </c>
      <c r="W1115">
        <v>23</v>
      </c>
      <c r="X1115">
        <v>1.1539999999999999</v>
      </c>
      <c r="Y1115" s="32">
        <v>2.8639999999999999</v>
      </c>
      <c r="Z1115">
        <v>0</v>
      </c>
      <c r="AA1115" s="32">
        <v>1.3140000000000001</v>
      </c>
      <c r="AB1115">
        <v>0</v>
      </c>
      <c r="AC1115" s="34">
        <v>0.127</v>
      </c>
      <c r="AD1115" s="32">
        <v>1.5109999999999999</v>
      </c>
    </row>
    <row r="1116" spans="1:30">
      <c r="A1116">
        <v>1114</v>
      </c>
      <c r="B1116">
        <v>24</v>
      </c>
      <c r="C1116">
        <v>1.143</v>
      </c>
      <c r="D1116">
        <v>2.82</v>
      </c>
      <c r="E1116">
        <v>0</v>
      </c>
      <c r="F1116">
        <v>1.36</v>
      </c>
      <c r="G1116">
        <v>0</v>
      </c>
      <c r="H1116">
        <v>0.11700000000000001</v>
      </c>
      <c r="I1116">
        <v>1.659</v>
      </c>
      <c r="K1116">
        <v>1114</v>
      </c>
      <c r="L1116">
        <v>24</v>
      </c>
      <c r="M1116" s="32">
        <v>1.143</v>
      </c>
      <c r="N1116" s="32">
        <v>2.82</v>
      </c>
      <c r="P1116" s="47">
        <v>1.361</v>
      </c>
      <c r="R1116" s="47">
        <v>0.13300000000000001</v>
      </c>
      <c r="S1116" s="47">
        <v>1.5580000000000001</v>
      </c>
      <c r="T1116" s="31">
        <v>0</v>
      </c>
      <c r="V1116">
        <v>1114</v>
      </c>
      <c r="W1116">
        <v>23</v>
      </c>
      <c r="X1116">
        <v>1.155</v>
      </c>
      <c r="Y1116" s="32">
        <v>2.875</v>
      </c>
      <c r="Z1116">
        <v>0</v>
      </c>
      <c r="AA1116" s="32">
        <v>1.3140000000000001</v>
      </c>
      <c r="AB1116">
        <v>0</v>
      </c>
      <c r="AC1116" s="34">
        <v>0.127</v>
      </c>
      <c r="AD1116" s="32">
        <v>1.5129999999999999</v>
      </c>
    </row>
    <row r="1117" spans="1:30">
      <c r="A1117">
        <v>1115</v>
      </c>
      <c r="B1117">
        <v>24</v>
      </c>
      <c r="C1117">
        <v>1.1439999999999999</v>
      </c>
      <c r="D1117">
        <v>2.82</v>
      </c>
      <c r="E1117">
        <v>0</v>
      </c>
      <c r="F1117">
        <v>1.36</v>
      </c>
      <c r="G1117">
        <v>0</v>
      </c>
      <c r="H1117">
        <v>0.11700000000000001</v>
      </c>
      <c r="I1117">
        <v>1.661</v>
      </c>
      <c r="K1117">
        <v>1115</v>
      </c>
      <c r="L1117">
        <v>24</v>
      </c>
      <c r="M1117" s="32">
        <v>1.1439999999999999</v>
      </c>
      <c r="N1117" s="32">
        <v>2.82</v>
      </c>
      <c r="P1117" s="47">
        <v>1.361</v>
      </c>
      <c r="R1117" s="47">
        <v>0.13300000000000001</v>
      </c>
      <c r="S1117" s="47">
        <v>1.56</v>
      </c>
      <c r="T1117" s="31">
        <v>0</v>
      </c>
      <c r="V1117">
        <v>1115</v>
      </c>
      <c r="W1117">
        <v>23</v>
      </c>
      <c r="X1117">
        <v>1.1559999999999999</v>
      </c>
      <c r="Y1117" s="32">
        <v>2.8860000000000001</v>
      </c>
      <c r="Z1117">
        <v>0</v>
      </c>
      <c r="AA1117" s="32">
        <v>1.3140000000000001</v>
      </c>
      <c r="AB1117">
        <v>0</v>
      </c>
      <c r="AC1117" s="34">
        <v>0.127</v>
      </c>
      <c r="AD1117" s="32">
        <v>1.514</v>
      </c>
    </row>
    <row r="1118" spans="1:30">
      <c r="A1118">
        <v>1116</v>
      </c>
      <c r="B1118">
        <v>24</v>
      </c>
      <c r="C1118">
        <v>1.145</v>
      </c>
      <c r="D1118">
        <v>2.82</v>
      </c>
      <c r="E1118">
        <v>0</v>
      </c>
      <c r="F1118">
        <v>1.36</v>
      </c>
      <c r="G1118">
        <v>0</v>
      </c>
      <c r="H1118">
        <v>0.11700000000000001</v>
      </c>
      <c r="I1118">
        <v>1.6619999999999999</v>
      </c>
      <c r="K1118">
        <v>1116</v>
      </c>
      <c r="L1118">
        <v>24</v>
      </c>
      <c r="M1118" s="32">
        <v>1.145</v>
      </c>
      <c r="N1118" s="32">
        <v>2.82</v>
      </c>
      <c r="P1118" s="47">
        <v>1.3620000000000001</v>
      </c>
      <c r="R1118" s="47">
        <v>0.13300000000000001</v>
      </c>
      <c r="S1118" s="47">
        <v>1.5620000000000001</v>
      </c>
      <c r="T1118" s="31">
        <v>0</v>
      </c>
      <c r="V1118">
        <v>1116</v>
      </c>
      <c r="W1118">
        <v>23</v>
      </c>
      <c r="X1118">
        <v>1.157</v>
      </c>
      <c r="Y1118" s="32">
        <v>2.8969999999999998</v>
      </c>
      <c r="Z1118">
        <v>0</v>
      </c>
      <c r="AA1118" s="32">
        <v>1.3149999999999999</v>
      </c>
      <c r="AB1118">
        <v>0</v>
      </c>
      <c r="AC1118" s="34">
        <v>0.128</v>
      </c>
      <c r="AD1118" s="32">
        <v>1.516</v>
      </c>
    </row>
    <row r="1119" spans="1:30">
      <c r="A1119">
        <v>1117</v>
      </c>
      <c r="B1119">
        <v>24</v>
      </c>
      <c r="C1119">
        <v>1.1459999999999999</v>
      </c>
      <c r="D1119">
        <v>2.82</v>
      </c>
      <c r="E1119">
        <v>0</v>
      </c>
      <c r="F1119">
        <v>1.36</v>
      </c>
      <c r="G1119">
        <v>0</v>
      </c>
      <c r="H1119">
        <v>0.11700000000000001</v>
      </c>
      <c r="I1119">
        <v>1.6639999999999999</v>
      </c>
      <c r="K1119">
        <v>1117</v>
      </c>
      <c r="L1119">
        <v>24</v>
      </c>
      <c r="M1119" s="32">
        <v>1.1459999999999999</v>
      </c>
      <c r="N1119" s="32">
        <v>2.82</v>
      </c>
      <c r="P1119" s="47">
        <v>1.3620000000000001</v>
      </c>
      <c r="R1119" s="47">
        <v>0.13400000000000001</v>
      </c>
      <c r="S1119" s="47">
        <v>1.5640000000000001</v>
      </c>
      <c r="T1119" s="31">
        <v>0</v>
      </c>
      <c r="V1119">
        <v>1117</v>
      </c>
      <c r="W1119">
        <v>23</v>
      </c>
      <c r="X1119">
        <v>1.1579999999999999</v>
      </c>
      <c r="Y1119" s="32">
        <v>2.9079999999999999</v>
      </c>
      <c r="Z1119">
        <v>0</v>
      </c>
      <c r="AA1119" s="32">
        <v>1.3149999999999999</v>
      </c>
      <c r="AB1119">
        <v>0</v>
      </c>
      <c r="AC1119" s="34">
        <v>0.128</v>
      </c>
      <c r="AD1119" s="32">
        <v>1.518</v>
      </c>
    </row>
    <row r="1120" spans="1:30">
      <c r="A1120">
        <v>1118</v>
      </c>
      <c r="B1120">
        <v>24</v>
      </c>
      <c r="C1120">
        <v>1.147</v>
      </c>
      <c r="D1120">
        <v>2.82</v>
      </c>
      <c r="E1120">
        <v>0</v>
      </c>
      <c r="F1120">
        <v>1.36</v>
      </c>
      <c r="G1120">
        <v>0</v>
      </c>
      <c r="H1120">
        <v>0.11700000000000001</v>
      </c>
      <c r="I1120">
        <v>1.6659999999999999</v>
      </c>
      <c r="K1120">
        <v>1118</v>
      </c>
      <c r="L1120">
        <v>24</v>
      </c>
      <c r="M1120" s="32">
        <v>1.147</v>
      </c>
      <c r="N1120" s="32">
        <v>2.82</v>
      </c>
      <c r="P1120" s="47">
        <v>1.3620000000000001</v>
      </c>
      <c r="R1120" s="47">
        <v>0.13400000000000001</v>
      </c>
      <c r="S1120" s="47">
        <v>1.5660000000000001</v>
      </c>
      <c r="T1120" s="31">
        <v>0</v>
      </c>
      <c r="V1120">
        <v>1118</v>
      </c>
      <c r="W1120">
        <v>23</v>
      </c>
      <c r="X1120">
        <v>1.159</v>
      </c>
      <c r="Y1120" s="32">
        <v>2.919</v>
      </c>
      <c r="Z1120">
        <v>0</v>
      </c>
      <c r="AA1120" s="32">
        <v>1.3149999999999999</v>
      </c>
      <c r="AB1120">
        <v>0</v>
      </c>
      <c r="AC1120" s="34">
        <v>0.128</v>
      </c>
      <c r="AD1120" s="32">
        <v>1.5189999999999999</v>
      </c>
    </row>
    <row r="1121" spans="1:30">
      <c r="A1121">
        <v>1119</v>
      </c>
      <c r="B1121">
        <v>24</v>
      </c>
      <c r="C1121">
        <v>1.1479999999999999</v>
      </c>
      <c r="D1121">
        <v>2.82</v>
      </c>
      <c r="E1121">
        <v>0</v>
      </c>
      <c r="F1121">
        <v>1.36</v>
      </c>
      <c r="G1121">
        <v>0</v>
      </c>
      <c r="H1121">
        <v>0.11700000000000001</v>
      </c>
      <c r="I1121">
        <v>1.667</v>
      </c>
      <c r="K1121">
        <v>1119</v>
      </c>
      <c r="L1121">
        <v>24</v>
      </c>
      <c r="M1121" s="32">
        <v>1.1479999999999999</v>
      </c>
      <c r="N1121" s="32">
        <v>2.82</v>
      </c>
      <c r="P1121" s="47">
        <v>1.3620000000000001</v>
      </c>
      <c r="R1121" s="47">
        <v>0.13400000000000001</v>
      </c>
      <c r="S1121" s="47">
        <v>1.569</v>
      </c>
      <c r="T1121" s="31">
        <v>0</v>
      </c>
      <c r="V1121">
        <v>1119</v>
      </c>
      <c r="W1121">
        <v>23</v>
      </c>
      <c r="X1121">
        <v>1.1599999999999999</v>
      </c>
      <c r="Y1121" s="32">
        <v>2.93</v>
      </c>
      <c r="Z1121">
        <v>0</v>
      </c>
      <c r="AA1121" s="32">
        <v>1.3149999999999999</v>
      </c>
      <c r="AB1121">
        <v>0</v>
      </c>
      <c r="AC1121" s="34">
        <v>0.128</v>
      </c>
      <c r="AD1121" s="32">
        <v>1.5209999999999999</v>
      </c>
    </row>
    <row r="1122" spans="1:30">
      <c r="A1122">
        <v>1120</v>
      </c>
      <c r="B1122">
        <v>24</v>
      </c>
      <c r="C1122">
        <v>1.149</v>
      </c>
      <c r="D1122">
        <v>2.82</v>
      </c>
      <c r="E1122">
        <v>0</v>
      </c>
      <c r="F1122">
        <v>1.36</v>
      </c>
      <c r="G1122">
        <v>0</v>
      </c>
      <c r="H1122">
        <v>0.11700000000000001</v>
      </c>
      <c r="I1122">
        <v>1.669</v>
      </c>
      <c r="K1122">
        <v>1120</v>
      </c>
      <c r="L1122">
        <v>24</v>
      </c>
      <c r="M1122" s="32">
        <v>1.149</v>
      </c>
      <c r="N1122" s="32">
        <v>2.82</v>
      </c>
      <c r="P1122" s="47">
        <v>1.363</v>
      </c>
      <c r="R1122" s="47">
        <v>0.13400000000000001</v>
      </c>
      <c r="S1122" s="47">
        <v>1.571</v>
      </c>
      <c r="T1122" s="31">
        <v>0</v>
      </c>
      <c r="V1122">
        <v>1120</v>
      </c>
      <c r="W1122">
        <v>23</v>
      </c>
      <c r="X1122">
        <v>1.161</v>
      </c>
      <c r="Y1122" s="32">
        <v>2.93</v>
      </c>
      <c r="Z1122">
        <v>0</v>
      </c>
      <c r="AA1122" s="32">
        <v>1.3160000000000001</v>
      </c>
      <c r="AB1122">
        <v>0</v>
      </c>
      <c r="AC1122" s="34">
        <v>0.128</v>
      </c>
      <c r="AD1122" s="32">
        <v>1.522</v>
      </c>
    </row>
    <row r="1123" spans="1:30">
      <c r="A1123">
        <v>1121</v>
      </c>
      <c r="B1123">
        <v>24</v>
      </c>
      <c r="C1123">
        <v>1.1499999999999999</v>
      </c>
      <c r="D1123">
        <v>2.82</v>
      </c>
      <c r="E1123">
        <v>0</v>
      </c>
      <c r="F1123">
        <v>1.363</v>
      </c>
      <c r="G1123">
        <v>0</v>
      </c>
      <c r="H1123">
        <v>0.11700000000000001</v>
      </c>
      <c r="I1123">
        <v>1.573</v>
      </c>
      <c r="K1123">
        <v>1121</v>
      </c>
      <c r="L1123">
        <v>24</v>
      </c>
      <c r="M1123" s="32">
        <v>1.1499999999999999</v>
      </c>
      <c r="N1123" s="32">
        <v>2.82</v>
      </c>
      <c r="P1123" s="32">
        <v>1.363</v>
      </c>
      <c r="R1123" s="47">
        <v>0.13500000000000001</v>
      </c>
      <c r="S1123" s="32">
        <v>1.573</v>
      </c>
      <c r="T1123" s="31">
        <v>0</v>
      </c>
      <c r="V1123">
        <v>1121</v>
      </c>
      <c r="W1123">
        <v>23</v>
      </c>
      <c r="X1123">
        <v>1.1619999999999999</v>
      </c>
      <c r="Y1123" s="32">
        <v>2.93</v>
      </c>
      <c r="Z1123">
        <v>0</v>
      </c>
      <c r="AA1123" s="32">
        <v>1.3160000000000001</v>
      </c>
      <c r="AB1123">
        <v>0</v>
      </c>
      <c r="AC1123" s="34">
        <v>0.128</v>
      </c>
      <c r="AD1123" s="32">
        <v>1.524</v>
      </c>
    </row>
    <row r="1124" spans="1:30">
      <c r="A1124">
        <v>1122</v>
      </c>
      <c r="B1124">
        <v>24</v>
      </c>
      <c r="C1124">
        <v>1.151</v>
      </c>
      <c r="D1124">
        <v>2.82</v>
      </c>
      <c r="E1124">
        <v>0</v>
      </c>
      <c r="F1124">
        <v>1.363</v>
      </c>
      <c r="G1124">
        <v>0</v>
      </c>
      <c r="H1124">
        <v>0.11700000000000001</v>
      </c>
      <c r="I1124">
        <v>1.6950000000000001</v>
      </c>
      <c r="K1124">
        <v>1122</v>
      </c>
      <c r="L1124">
        <v>24</v>
      </c>
      <c r="M1124" s="32">
        <v>1.151</v>
      </c>
      <c r="N1124" s="47">
        <v>2.831</v>
      </c>
      <c r="P1124" s="32">
        <v>1.363</v>
      </c>
      <c r="R1124" s="47">
        <v>0.13500000000000001</v>
      </c>
      <c r="S1124" s="47">
        <v>1.5740000000000001</v>
      </c>
      <c r="T1124" s="31">
        <v>0</v>
      </c>
      <c r="V1124">
        <v>1122</v>
      </c>
      <c r="W1124">
        <v>23</v>
      </c>
      <c r="X1124">
        <v>1.163</v>
      </c>
      <c r="Y1124" s="32">
        <v>2.93</v>
      </c>
      <c r="Z1124">
        <v>0</v>
      </c>
      <c r="AA1124" s="32">
        <v>1.3160000000000001</v>
      </c>
      <c r="AB1124">
        <v>0</v>
      </c>
      <c r="AC1124" s="34">
        <v>0.128</v>
      </c>
      <c r="AD1124" s="32">
        <v>1.526</v>
      </c>
    </row>
    <row r="1125" spans="1:30">
      <c r="A1125">
        <v>1123</v>
      </c>
      <c r="B1125">
        <v>24</v>
      </c>
      <c r="C1125">
        <v>1.1519999999999999</v>
      </c>
      <c r="D1125">
        <v>2.82</v>
      </c>
      <c r="E1125">
        <v>0</v>
      </c>
      <c r="F1125">
        <v>1.363</v>
      </c>
      <c r="G1125">
        <v>0</v>
      </c>
      <c r="H1125">
        <v>0.11700000000000001</v>
      </c>
      <c r="I1125">
        <v>1.696</v>
      </c>
      <c r="K1125">
        <v>1123</v>
      </c>
      <c r="L1125">
        <v>24</v>
      </c>
      <c r="M1125" s="32">
        <v>1.1519999999999999</v>
      </c>
      <c r="N1125" s="47">
        <v>2.8420000000000001</v>
      </c>
      <c r="P1125" s="47">
        <v>1.3640000000000001</v>
      </c>
      <c r="R1125" s="47">
        <v>0.13500000000000001</v>
      </c>
      <c r="S1125" s="47">
        <v>1.575</v>
      </c>
      <c r="T1125" s="31">
        <v>0</v>
      </c>
      <c r="V1125">
        <v>1123</v>
      </c>
      <c r="W1125">
        <v>23</v>
      </c>
      <c r="X1125">
        <v>1.1639999999999999</v>
      </c>
      <c r="Y1125" s="32">
        <v>2.93</v>
      </c>
      <c r="Z1125">
        <v>0</v>
      </c>
      <c r="AA1125" s="32">
        <v>1.3160000000000001</v>
      </c>
      <c r="AB1125">
        <v>0</v>
      </c>
      <c r="AC1125" s="34">
        <v>0.128</v>
      </c>
      <c r="AD1125" s="32">
        <v>1.5269999999999999</v>
      </c>
    </row>
    <row r="1126" spans="1:30">
      <c r="A1126">
        <v>1124</v>
      </c>
      <c r="B1126">
        <v>24</v>
      </c>
      <c r="C1126">
        <v>1.153</v>
      </c>
      <c r="D1126">
        <v>2.82</v>
      </c>
      <c r="E1126">
        <v>0</v>
      </c>
      <c r="F1126">
        <v>1.363</v>
      </c>
      <c r="G1126">
        <v>0</v>
      </c>
      <c r="H1126">
        <v>0.11700000000000001</v>
      </c>
      <c r="I1126">
        <v>1.698</v>
      </c>
      <c r="K1126">
        <v>1124</v>
      </c>
      <c r="L1126">
        <v>24</v>
      </c>
      <c r="M1126" s="32">
        <v>1.153</v>
      </c>
      <c r="N1126" s="47">
        <v>2.8530000000000002</v>
      </c>
      <c r="P1126" s="47">
        <v>1.3640000000000001</v>
      </c>
      <c r="R1126" s="47">
        <v>0.13500000000000001</v>
      </c>
      <c r="S1126" s="47">
        <v>1.5760000000000001</v>
      </c>
      <c r="T1126" s="31">
        <v>0</v>
      </c>
      <c r="V1126">
        <v>1124</v>
      </c>
      <c r="W1126">
        <v>23</v>
      </c>
      <c r="X1126">
        <v>1.165</v>
      </c>
      <c r="Y1126" s="32">
        <v>2.93</v>
      </c>
      <c r="Z1126">
        <v>0</v>
      </c>
      <c r="AA1126" s="32">
        <v>1.3160000000000001</v>
      </c>
      <c r="AB1126">
        <v>0</v>
      </c>
      <c r="AC1126" s="34">
        <v>0.128</v>
      </c>
      <c r="AD1126" s="32">
        <v>1.5289999999999999</v>
      </c>
    </row>
    <row r="1127" spans="1:30">
      <c r="A1127">
        <v>1125</v>
      </c>
      <c r="B1127">
        <v>24</v>
      </c>
      <c r="C1127">
        <v>1.1539999999999999</v>
      </c>
      <c r="D1127">
        <v>2.82</v>
      </c>
      <c r="E1127">
        <v>0</v>
      </c>
      <c r="F1127">
        <v>1.363</v>
      </c>
      <c r="G1127">
        <v>0</v>
      </c>
      <c r="H1127">
        <v>0.11700000000000001</v>
      </c>
      <c r="I1127">
        <v>1.7</v>
      </c>
      <c r="K1127">
        <v>1125</v>
      </c>
      <c r="L1127">
        <v>24</v>
      </c>
      <c r="M1127" s="32">
        <v>1.1539999999999999</v>
      </c>
      <c r="N1127" s="47">
        <v>2.8639999999999999</v>
      </c>
      <c r="P1127" s="47">
        <v>1.365</v>
      </c>
      <c r="R1127" s="47">
        <v>0.13600000000000001</v>
      </c>
      <c r="S1127" s="47">
        <v>1.577</v>
      </c>
      <c r="T1127" s="31">
        <v>0</v>
      </c>
      <c r="V1127">
        <v>1125</v>
      </c>
      <c r="W1127">
        <v>23</v>
      </c>
      <c r="X1127">
        <v>1.1659999999999999</v>
      </c>
      <c r="Y1127" s="32">
        <v>2.93</v>
      </c>
      <c r="Z1127">
        <v>0</v>
      </c>
      <c r="AA1127" s="32">
        <v>1.3169999999999999</v>
      </c>
      <c r="AB1127">
        <v>0</v>
      </c>
      <c r="AC1127" s="34">
        <v>0.128</v>
      </c>
      <c r="AD1127" s="32">
        <v>1.53</v>
      </c>
    </row>
    <row r="1128" spans="1:30">
      <c r="A1128">
        <v>1126</v>
      </c>
      <c r="B1128">
        <v>24</v>
      </c>
      <c r="C1128">
        <v>1.155</v>
      </c>
      <c r="D1128">
        <v>2.82</v>
      </c>
      <c r="E1128">
        <v>0</v>
      </c>
      <c r="F1128">
        <v>1.363</v>
      </c>
      <c r="G1128">
        <v>0</v>
      </c>
      <c r="H1128">
        <v>0.11700000000000001</v>
      </c>
      <c r="I1128">
        <v>1.7010000000000001</v>
      </c>
      <c r="K1128">
        <v>1126</v>
      </c>
      <c r="L1128">
        <v>24</v>
      </c>
      <c r="M1128" s="32">
        <v>1.155</v>
      </c>
      <c r="N1128" s="47">
        <v>2.875</v>
      </c>
      <c r="P1128" s="47">
        <v>1.365</v>
      </c>
      <c r="R1128" s="47">
        <v>0.13600000000000001</v>
      </c>
      <c r="S1128" s="47">
        <v>1.579</v>
      </c>
      <c r="T1128" s="31">
        <v>0</v>
      </c>
      <c r="V1128">
        <v>1126</v>
      </c>
      <c r="W1128">
        <v>23</v>
      </c>
      <c r="X1128">
        <v>1.167</v>
      </c>
      <c r="Y1128" s="32">
        <v>2.93</v>
      </c>
      <c r="Z1128">
        <v>0</v>
      </c>
      <c r="AA1128" s="32">
        <v>1.3169999999999999</v>
      </c>
      <c r="AB1128">
        <v>0</v>
      </c>
      <c r="AC1128" s="34">
        <v>0.128</v>
      </c>
      <c r="AD1128" s="32">
        <v>1.532</v>
      </c>
    </row>
    <row r="1129" spans="1:30">
      <c r="A1129">
        <v>1127</v>
      </c>
      <c r="B1129">
        <v>24</v>
      </c>
      <c r="C1129">
        <v>1.1559999999999999</v>
      </c>
      <c r="D1129">
        <v>2.82</v>
      </c>
      <c r="E1129">
        <v>0</v>
      </c>
      <c r="F1129">
        <v>1.363</v>
      </c>
      <c r="G1129">
        <v>0</v>
      </c>
      <c r="H1129">
        <v>0.11700000000000001</v>
      </c>
      <c r="I1129">
        <v>1.7030000000000001</v>
      </c>
      <c r="K1129">
        <v>1127</v>
      </c>
      <c r="L1129">
        <v>24</v>
      </c>
      <c r="M1129" s="32">
        <v>1.1559999999999999</v>
      </c>
      <c r="N1129" s="47">
        <v>2.8860000000000001</v>
      </c>
      <c r="P1129" s="47">
        <v>1.365</v>
      </c>
      <c r="R1129" s="47">
        <v>0.13600000000000001</v>
      </c>
      <c r="S1129" s="47">
        <v>1.58</v>
      </c>
      <c r="T1129" s="31">
        <v>0</v>
      </c>
      <c r="V1129">
        <v>1127</v>
      </c>
      <c r="W1129">
        <v>23</v>
      </c>
      <c r="X1129">
        <v>1.1679999999999999</v>
      </c>
      <c r="Y1129" s="32">
        <v>2.93</v>
      </c>
      <c r="Z1129">
        <v>0</v>
      </c>
      <c r="AA1129" s="32">
        <v>1.3169999999999999</v>
      </c>
      <c r="AB1129">
        <v>0</v>
      </c>
      <c r="AC1129" s="34">
        <v>0.128</v>
      </c>
      <c r="AD1129" s="32">
        <v>1.5329999999999999</v>
      </c>
    </row>
    <row r="1130" spans="1:30">
      <c r="A1130">
        <v>1128</v>
      </c>
      <c r="B1130">
        <v>24</v>
      </c>
      <c r="C1130">
        <v>1.157</v>
      </c>
      <c r="D1130">
        <v>2.82</v>
      </c>
      <c r="E1130">
        <v>0</v>
      </c>
      <c r="F1130">
        <v>1.363</v>
      </c>
      <c r="G1130">
        <v>0</v>
      </c>
      <c r="H1130">
        <v>0.11700000000000001</v>
      </c>
      <c r="I1130">
        <v>1.7050000000000001</v>
      </c>
      <c r="K1130">
        <v>1128</v>
      </c>
      <c r="L1130">
        <v>24</v>
      </c>
      <c r="M1130" s="32">
        <v>1.157</v>
      </c>
      <c r="N1130" s="47">
        <v>2.8969999999999998</v>
      </c>
      <c r="P1130" s="47">
        <v>1.3660000000000001</v>
      </c>
      <c r="R1130" s="47">
        <v>0.13600000000000001</v>
      </c>
      <c r="S1130" s="47">
        <v>1.581</v>
      </c>
      <c r="T1130" s="31">
        <v>0</v>
      </c>
      <c r="V1130">
        <v>1128</v>
      </c>
      <c r="W1130">
        <v>23</v>
      </c>
      <c r="X1130">
        <v>1.169</v>
      </c>
      <c r="Y1130" s="32">
        <v>2.93</v>
      </c>
      <c r="Z1130">
        <v>0</v>
      </c>
      <c r="AA1130" s="32">
        <v>1.3169999999999999</v>
      </c>
      <c r="AB1130">
        <v>0</v>
      </c>
      <c r="AC1130" s="34">
        <v>0.129</v>
      </c>
      <c r="AD1130" s="32">
        <v>1.5349999999999999</v>
      </c>
    </row>
    <row r="1131" spans="1:30">
      <c r="A1131">
        <v>1129</v>
      </c>
      <c r="B1131">
        <v>24</v>
      </c>
      <c r="C1131">
        <v>1.1579999999999999</v>
      </c>
      <c r="D1131">
        <v>2.82</v>
      </c>
      <c r="E1131">
        <v>0</v>
      </c>
      <c r="F1131">
        <v>1.363</v>
      </c>
      <c r="G1131">
        <v>0</v>
      </c>
      <c r="H1131">
        <v>0.11700000000000001</v>
      </c>
      <c r="I1131">
        <v>1.7070000000000001</v>
      </c>
      <c r="K1131">
        <v>1129</v>
      </c>
      <c r="L1131">
        <v>24</v>
      </c>
      <c r="M1131" s="32">
        <v>1.1579999999999999</v>
      </c>
      <c r="N1131" s="47">
        <v>2.9079999999999999</v>
      </c>
      <c r="P1131" s="47">
        <v>1.3660000000000001</v>
      </c>
      <c r="R1131" s="47">
        <v>0.13700000000000001</v>
      </c>
      <c r="S1131" s="47">
        <v>1.5820000000000001</v>
      </c>
      <c r="T1131" s="31">
        <v>0</v>
      </c>
      <c r="V1131">
        <v>1129</v>
      </c>
      <c r="W1131">
        <v>23</v>
      </c>
      <c r="X1131">
        <v>1.17</v>
      </c>
      <c r="Y1131" s="32">
        <v>2.93</v>
      </c>
      <c r="Z1131">
        <v>0</v>
      </c>
      <c r="AA1131" s="32">
        <v>1.3169999999999999</v>
      </c>
      <c r="AB1131">
        <v>0</v>
      </c>
      <c r="AC1131" s="34">
        <v>0.129</v>
      </c>
      <c r="AD1131" s="32">
        <v>1.5369999999999999</v>
      </c>
    </row>
    <row r="1132" spans="1:30">
      <c r="A1132">
        <v>1130</v>
      </c>
      <c r="B1132">
        <v>24</v>
      </c>
      <c r="C1132">
        <v>1.159</v>
      </c>
      <c r="D1132">
        <v>2.82</v>
      </c>
      <c r="E1132">
        <v>0</v>
      </c>
      <c r="F1132">
        <v>1.363</v>
      </c>
      <c r="G1132">
        <v>0</v>
      </c>
      <c r="H1132">
        <v>0.11700000000000001</v>
      </c>
      <c r="I1132">
        <v>1.708</v>
      </c>
      <c r="K1132">
        <v>1130</v>
      </c>
      <c r="L1132">
        <v>24</v>
      </c>
      <c r="M1132" s="32">
        <v>1.159</v>
      </c>
      <c r="N1132" s="47">
        <v>2.919</v>
      </c>
      <c r="P1132" s="47">
        <v>1.367</v>
      </c>
      <c r="R1132" s="47">
        <v>0.13700000000000001</v>
      </c>
      <c r="S1132" s="47">
        <v>1.583</v>
      </c>
      <c r="T1132" s="31">
        <v>0</v>
      </c>
      <c r="V1132">
        <v>1130</v>
      </c>
      <c r="W1132">
        <v>23</v>
      </c>
      <c r="X1132">
        <v>1.171</v>
      </c>
      <c r="Y1132" s="32">
        <v>2.93</v>
      </c>
      <c r="Z1132">
        <v>0</v>
      </c>
      <c r="AA1132" s="32">
        <v>1.3180000000000001</v>
      </c>
      <c r="AB1132">
        <v>0</v>
      </c>
      <c r="AC1132" s="34">
        <v>0.129</v>
      </c>
      <c r="AD1132" s="32">
        <v>1.538</v>
      </c>
    </row>
    <row r="1133" spans="1:30">
      <c r="A1133">
        <v>1131</v>
      </c>
      <c r="B1133">
        <v>25</v>
      </c>
      <c r="C1133">
        <v>1.1599999999999999</v>
      </c>
      <c r="D1133">
        <v>2.93</v>
      </c>
      <c r="E1133">
        <v>0</v>
      </c>
      <c r="F1133">
        <v>1.367</v>
      </c>
      <c r="G1133">
        <v>0</v>
      </c>
      <c r="H1133">
        <v>0.13700000000000001</v>
      </c>
      <c r="I1133">
        <v>1.5840000000000001</v>
      </c>
      <c r="K1133">
        <v>1131</v>
      </c>
      <c r="L1133">
        <v>25</v>
      </c>
      <c r="M1133" s="32">
        <v>1.1599999999999999</v>
      </c>
      <c r="N1133" s="32">
        <v>2.93</v>
      </c>
      <c r="P1133" s="32">
        <v>1.367</v>
      </c>
      <c r="R1133" s="32">
        <v>0.13700000000000001</v>
      </c>
      <c r="S1133" s="32">
        <v>1.5840000000000001</v>
      </c>
      <c r="T1133" s="31">
        <v>0</v>
      </c>
      <c r="V1133">
        <v>1131</v>
      </c>
      <c r="W1133">
        <v>23</v>
      </c>
      <c r="X1133">
        <v>1.1719999999999999</v>
      </c>
      <c r="Y1133" s="32">
        <v>2.93</v>
      </c>
      <c r="Z1133">
        <v>0</v>
      </c>
      <c r="AA1133" s="32">
        <v>1.3180000000000001</v>
      </c>
      <c r="AB1133">
        <v>0</v>
      </c>
      <c r="AC1133" s="34">
        <v>0.129</v>
      </c>
      <c r="AD1133" s="32">
        <v>1.54</v>
      </c>
    </row>
    <row r="1134" spans="1:30">
      <c r="A1134">
        <v>1132</v>
      </c>
      <c r="B1134">
        <v>25</v>
      </c>
      <c r="C1134">
        <v>1.161</v>
      </c>
      <c r="D1134">
        <v>2.93</v>
      </c>
      <c r="E1134">
        <v>0</v>
      </c>
      <c r="F1134">
        <v>1.367</v>
      </c>
      <c r="G1134">
        <v>0</v>
      </c>
      <c r="H1134">
        <v>0.13700000000000001</v>
      </c>
      <c r="I1134">
        <v>1.5860000000000001</v>
      </c>
      <c r="K1134">
        <v>1132</v>
      </c>
      <c r="L1134">
        <v>25</v>
      </c>
      <c r="M1134" s="32">
        <v>1.161</v>
      </c>
      <c r="N1134" s="32">
        <v>2.93</v>
      </c>
      <c r="P1134" s="32">
        <v>1.367</v>
      </c>
      <c r="R1134" s="32">
        <v>0.13700000000000001</v>
      </c>
      <c r="S1134" s="32">
        <v>1.5860000000000001</v>
      </c>
      <c r="T1134" s="31">
        <v>0</v>
      </c>
      <c r="V1134">
        <v>1132</v>
      </c>
      <c r="W1134">
        <v>23</v>
      </c>
      <c r="X1134">
        <v>1.173</v>
      </c>
      <c r="Y1134" s="32">
        <v>2.93</v>
      </c>
      <c r="Z1134">
        <v>0</v>
      </c>
      <c r="AA1134" s="32">
        <v>1.3180000000000001</v>
      </c>
      <c r="AB1134">
        <v>0</v>
      </c>
      <c r="AC1134" s="34">
        <v>0.129</v>
      </c>
      <c r="AD1134" s="32">
        <v>1.5409999999999999</v>
      </c>
    </row>
    <row r="1135" spans="1:30">
      <c r="A1135">
        <v>1133</v>
      </c>
      <c r="B1135">
        <v>25</v>
      </c>
      <c r="C1135">
        <v>1.1619999999999999</v>
      </c>
      <c r="D1135">
        <v>2.93</v>
      </c>
      <c r="E1135">
        <v>0</v>
      </c>
      <c r="F1135">
        <v>1.3680000000000001</v>
      </c>
      <c r="G1135">
        <v>0</v>
      </c>
      <c r="H1135">
        <v>0.13700000000000001</v>
      </c>
      <c r="I1135">
        <v>1.5880000000000001</v>
      </c>
      <c r="K1135">
        <v>1133</v>
      </c>
      <c r="L1135">
        <v>25</v>
      </c>
      <c r="M1135" s="32">
        <v>1.1619999999999999</v>
      </c>
      <c r="N1135" s="32">
        <v>2.93</v>
      </c>
      <c r="P1135" s="32">
        <v>1.3680000000000001</v>
      </c>
      <c r="R1135" s="32">
        <v>0.13700000000000001</v>
      </c>
      <c r="S1135" s="32">
        <v>1.5880000000000001</v>
      </c>
      <c r="T1135" s="31">
        <v>0</v>
      </c>
      <c r="V1135">
        <v>1133</v>
      </c>
      <c r="W1135">
        <v>23</v>
      </c>
      <c r="X1135">
        <v>1.1739999999999999</v>
      </c>
      <c r="Y1135" s="32">
        <v>2.93</v>
      </c>
      <c r="Z1135">
        <v>0</v>
      </c>
      <c r="AA1135" s="32">
        <v>1.3180000000000001</v>
      </c>
      <c r="AB1135">
        <v>0</v>
      </c>
      <c r="AC1135" s="34">
        <v>0.129</v>
      </c>
      <c r="AD1135" s="32">
        <v>1.5429999999999999</v>
      </c>
    </row>
    <row r="1136" spans="1:30">
      <c r="A1136">
        <v>1134</v>
      </c>
      <c r="B1136">
        <v>25</v>
      </c>
      <c r="C1136">
        <v>1.163</v>
      </c>
      <c r="D1136">
        <v>2.94</v>
      </c>
      <c r="E1136">
        <v>0</v>
      </c>
      <c r="F1136">
        <v>1.3680000000000001</v>
      </c>
      <c r="G1136">
        <v>0</v>
      </c>
      <c r="H1136">
        <v>0.13700000000000001</v>
      </c>
      <c r="I1136">
        <v>1.589</v>
      </c>
      <c r="K1136">
        <v>1134</v>
      </c>
      <c r="L1136">
        <v>25</v>
      </c>
      <c r="M1136" s="32">
        <v>1.163</v>
      </c>
      <c r="N1136" s="47">
        <v>2.93</v>
      </c>
      <c r="P1136" s="32">
        <v>1.3680000000000001</v>
      </c>
      <c r="R1136" s="32">
        <v>0.13700000000000001</v>
      </c>
      <c r="S1136" s="47">
        <v>1.59</v>
      </c>
      <c r="T1136" s="31">
        <v>0</v>
      </c>
      <c r="V1136">
        <v>1134</v>
      </c>
      <c r="W1136">
        <v>23</v>
      </c>
      <c r="X1136">
        <v>1.175</v>
      </c>
      <c r="Y1136" s="32">
        <v>2.93</v>
      </c>
      <c r="Z1136">
        <v>0</v>
      </c>
      <c r="AA1136" s="32">
        <v>1.319</v>
      </c>
      <c r="AB1136">
        <v>0</v>
      </c>
      <c r="AC1136" s="34">
        <v>0.129</v>
      </c>
      <c r="AD1136" s="32">
        <v>1.5449999999999999</v>
      </c>
    </row>
    <row r="1137" spans="1:30">
      <c r="A1137">
        <v>1135</v>
      </c>
      <c r="B1137">
        <v>25</v>
      </c>
      <c r="C1137">
        <v>1.1639999999999999</v>
      </c>
      <c r="D1137">
        <v>2.94</v>
      </c>
      <c r="E1137">
        <v>0</v>
      </c>
      <c r="F1137">
        <v>1.3680000000000001</v>
      </c>
      <c r="G1137">
        <v>0</v>
      </c>
      <c r="H1137">
        <v>0.13700000000000001</v>
      </c>
      <c r="I1137">
        <v>1.591</v>
      </c>
      <c r="K1137">
        <v>1135</v>
      </c>
      <c r="L1137">
        <v>25</v>
      </c>
      <c r="M1137" s="32">
        <v>1.1639999999999999</v>
      </c>
      <c r="N1137" s="47">
        <v>2.93</v>
      </c>
      <c r="P1137" s="32">
        <v>1.3680000000000001</v>
      </c>
      <c r="R1137" s="32">
        <v>0.13700000000000001</v>
      </c>
      <c r="S1137" s="47">
        <v>1.5920000000000001</v>
      </c>
      <c r="T1137" s="31">
        <v>0</v>
      </c>
      <c r="V1137">
        <v>1135</v>
      </c>
      <c r="W1137">
        <v>23</v>
      </c>
      <c r="X1137">
        <v>1.1759999999999999</v>
      </c>
      <c r="Y1137" s="32">
        <v>2.93</v>
      </c>
      <c r="Z1137">
        <v>0</v>
      </c>
      <c r="AA1137" s="32">
        <v>1.319</v>
      </c>
      <c r="AB1137">
        <v>0</v>
      </c>
      <c r="AC1137" s="34">
        <v>0.129</v>
      </c>
      <c r="AD1137" s="32">
        <v>1.546</v>
      </c>
    </row>
    <row r="1138" spans="1:30">
      <c r="A1138">
        <v>1136</v>
      </c>
      <c r="B1138">
        <v>25</v>
      </c>
      <c r="C1138">
        <v>1.165</v>
      </c>
      <c r="D1138">
        <v>2.94</v>
      </c>
      <c r="E1138">
        <v>0</v>
      </c>
      <c r="F1138">
        <v>1.369</v>
      </c>
      <c r="G1138">
        <v>0</v>
      </c>
      <c r="H1138">
        <v>0.13700000000000001</v>
      </c>
      <c r="I1138">
        <v>1.593</v>
      </c>
      <c r="K1138">
        <v>1136</v>
      </c>
      <c r="L1138">
        <v>25</v>
      </c>
      <c r="M1138" s="32">
        <v>1.165</v>
      </c>
      <c r="N1138" s="47">
        <v>2.93</v>
      </c>
      <c r="P1138" s="32">
        <v>1.369</v>
      </c>
      <c r="R1138" s="32">
        <v>0.13700000000000001</v>
      </c>
      <c r="S1138" s="47">
        <v>1.5940000000000001</v>
      </c>
      <c r="T1138" s="31">
        <v>0</v>
      </c>
      <c r="V1138">
        <v>1136</v>
      </c>
      <c r="W1138">
        <v>23</v>
      </c>
      <c r="X1138">
        <v>1.177</v>
      </c>
      <c r="Y1138" s="32">
        <v>2.93</v>
      </c>
      <c r="Z1138">
        <v>0</v>
      </c>
      <c r="AA1138" s="32">
        <v>1.319</v>
      </c>
      <c r="AB1138">
        <v>0</v>
      </c>
      <c r="AC1138" s="34">
        <v>0.129</v>
      </c>
      <c r="AD1138" s="32">
        <v>1.548</v>
      </c>
    </row>
    <row r="1139" spans="1:30">
      <c r="A1139">
        <v>1137</v>
      </c>
      <c r="B1139">
        <v>25</v>
      </c>
      <c r="C1139">
        <v>1.1659999999999999</v>
      </c>
      <c r="D1139">
        <v>2.94</v>
      </c>
      <c r="E1139">
        <v>0</v>
      </c>
      <c r="F1139">
        <v>1.369</v>
      </c>
      <c r="G1139">
        <v>0</v>
      </c>
      <c r="H1139">
        <v>0.13700000000000001</v>
      </c>
      <c r="I1139">
        <v>1.595</v>
      </c>
      <c r="K1139">
        <v>1137</v>
      </c>
      <c r="L1139">
        <v>25</v>
      </c>
      <c r="M1139" s="32">
        <v>1.1659999999999999</v>
      </c>
      <c r="N1139" s="47">
        <v>2.93</v>
      </c>
      <c r="P1139" s="32">
        <v>1.369</v>
      </c>
      <c r="R1139" s="32">
        <v>0.13700000000000001</v>
      </c>
      <c r="S1139" s="32">
        <v>1.595</v>
      </c>
      <c r="T1139" s="31">
        <v>0</v>
      </c>
      <c r="V1139">
        <v>1137</v>
      </c>
      <c r="W1139">
        <v>23</v>
      </c>
      <c r="X1139">
        <v>1.1779999999999999</v>
      </c>
      <c r="Y1139" s="32">
        <v>2.93</v>
      </c>
      <c r="Z1139">
        <v>0</v>
      </c>
      <c r="AA1139" s="32">
        <v>1.319</v>
      </c>
      <c r="AB1139">
        <v>0</v>
      </c>
      <c r="AC1139" s="34">
        <v>0.129</v>
      </c>
      <c r="AD1139" s="32">
        <v>1.5489999999999999</v>
      </c>
    </row>
    <row r="1140" spans="1:30">
      <c r="A1140">
        <v>1138</v>
      </c>
      <c r="B1140">
        <v>25</v>
      </c>
      <c r="C1140">
        <v>1.167</v>
      </c>
      <c r="D1140">
        <v>2.94</v>
      </c>
      <c r="E1140">
        <v>0</v>
      </c>
      <c r="F1140">
        <v>1.369</v>
      </c>
      <c r="G1140">
        <v>0</v>
      </c>
      <c r="H1140">
        <v>0.13700000000000001</v>
      </c>
      <c r="I1140">
        <v>1.5960000000000001</v>
      </c>
      <c r="K1140">
        <v>1138</v>
      </c>
      <c r="L1140">
        <v>25</v>
      </c>
      <c r="M1140" s="32">
        <v>1.167</v>
      </c>
      <c r="N1140" s="47">
        <v>2.93</v>
      </c>
      <c r="P1140" s="32">
        <v>1.369</v>
      </c>
      <c r="R1140" s="32">
        <v>0.13700000000000001</v>
      </c>
      <c r="S1140" s="47">
        <v>1.597</v>
      </c>
      <c r="T1140" s="31">
        <v>0</v>
      </c>
      <c r="V1140">
        <v>1138</v>
      </c>
      <c r="W1140">
        <v>23</v>
      </c>
      <c r="X1140">
        <v>1.179</v>
      </c>
      <c r="Y1140" s="32">
        <v>2.93</v>
      </c>
      <c r="Z1140">
        <v>0</v>
      </c>
      <c r="AA1140" s="32">
        <v>1.319</v>
      </c>
      <c r="AB1140">
        <v>0</v>
      </c>
      <c r="AC1140" s="34">
        <v>0.129</v>
      </c>
      <c r="AD1140" s="32">
        <v>1.5509999999999999</v>
      </c>
    </row>
    <row r="1141" spans="1:30">
      <c r="A1141">
        <v>1139</v>
      </c>
      <c r="B1141">
        <v>25</v>
      </c>
      <c r="C1141">
        <v>1.1679999999999999</v>
      </c>
      <c r="D1141">
        <v>2.94</v>
      </c>
      <c r="E1141">
        <v>0</v>
      </c>
      <c r="F1141">
        <v>1.37</v>
      </c>
      <c r="G1141">
        <v>0</v>
      </c>
      <c r="H1141">
        <v>0.13700000000000001</v>
      </c>
      <c r="I1141">
        <v>1.5980000000000001</v>
      </c>
      <c r="K1141">
        <v>1139</v>
      </c>
      <c r="L1141">
        <v>25</v>
      </c>
      <c r="M1141" s="32">
        <v>1.1679999999999999</v>
      </c>
      <c r="N1141" s="47">
        <v>2.93</v>
      </c>
      <c r="P1141" s="47">
        <v>1.369</v>
      </c>
      <c r="R1141" s="32">
        <v>0.13700000000000001</v>
      </c>
      <c r="S1141" s="47">
        <v>1.599</v>
      </c>
      <c r="T1141" s="31">
        <v>0</v>
      </c>
      <c r="V1141">
        <v>1139</v>
      </c>
      <c r="W1141">
        <v>23</v>
      </c>
      <c r="X1141">
        <v>1.18</v>
      </c>
      <c r="Y1141" s="32">
        <v>2.93</v>
      </c>
      <c r="Z1141">
        <v>0</v>
      </c>
      <c r="AA1141" s="32">
        <v>1.32</v>
      </c>
      <c r="AB1141">
        <v>0</v>
      </c>
      <c r="AC1141" s="34">
        <v>0.129</v>
      </c>
      <c r="AD1141" s="32">
        <v>1.552</v>
      </c>
    </row>
    <row r="1142" spans="1:30">
      <c r="A1142">
        <v>1140</v>
      </c>
      <c r="B1142">
        <v>25</v>
      </c>
      <c r="C1142">
        <v>1.169</v>
      </c>
      <c r="D1142">
        <v>2.95</v>
      </c>
      <c r="E1142">
        <v>0</v>
      </c>
      <c r="F1142">
        <v>1.37</v>
      </c>
      <c r="G1142">
        <v>0</v>
      </c>
      <c r="H1142">
        <v>0.13700000000000001</v>
      </c>
      <c r="I1142">
        <v>1.6</v>
      </c>
      <c r="K1142">
        <v>1140</v>
      </c>
      <c r="L1142">
        <v>25</v>
      </c>
      <c r="M1142" s="32">
        <v>1.169</v>
      </c>
      <c r="N1142" s="47">
        <v>2.93</v>
      </c>
      <c r="P1142" s="32">
        <v>1.37</v>
      </c>
      <c r="R1142" s="32">
        <v>0.13700000000000001</v>
      </c>
      <c r="S1142" s="47">
        <v>1.601</v>
      </c>
      <c r="T1142" s="31">
        <v>0</v>
      </c>
      <c r="V1142">
        <v>1140</v>
      </c>
      <c r="W1142">
        <v>23</v>
      </c>
      <c r="X1142">
        <v>1.181</v>
      </c>
      <c r="Y1142" s="32">
        <v>2.93</v>
      </c>
      <c r="Z1142">
        <v>0</v>
      </c>
      <c r="AA1142" s="32">
        <v>1.32</v>
      </c>
      <c r="AB1142">
        <v>0</v>
      </c>
      <c r="AC1142" s="34">
        <v>0.13</v>
      </c>
      <c r="AD1142" s="32">
        <v>1.554</v>
      </c>
    </row>
    <row r="1143" spans="1:30">
      <c r="A1143">
        <v>1141</v>
      </c>
      <c r="B1143">
        <v>25</v>
      </c>
      <c r="C1143">
        <v>1.17</v>
      </c>
      <c r="D1143">
        <v>2.93</v>
      </c>
      <c r="E1143">
        <v>0</v>
      </c>
      <c r="F1143">
        <v>1.37</v>
      </c>
      <c r="G1143">
        <v>0</v>
      </c>
      <c r="H1143">
        <v>0.13700000000000001</v>
      </c>
      <c r="I1143">
        <v>1.621</v>
      </c>
      <c r="K1143">
        <v>1141</v>
      </c>
      <c r="L1143">
        <v>25</v>
      </c>
      <c r="M1143" s="32">
        <v>1.17</v>
      </c>
      <c r="N1143" s="32">
        <v>2.93</v>
      </c>
      <c r="P1143" s="32">
        <v>1.37</v>
      </c>
      <c r="R1143" s="47">
        <v>0.13800000000000001</v>
      </c>
      <c r="S1143" s="47">
        <v>1.603</v>
      </c>
      <c r="T1143" s="31">
        <v>0</v>
      </c>
      <c r="V1143">
        <v>1141</v>
      </c>
      <c r="W1143">
        <v>23</v>
      </c>
      <c r="X1143">
        <v>1.1819999999999999</v>
      </c>
      <c r="Y1143" s="32">
        <v>2.93</v>
      </c>
      <c r="Z1143">
        <v>0</v>
      </c>
      <c r="AA1143" s="32">
        <v>1.32</v>
      </c>
      <c r="AB1143">
        <v>0</v>
      </c>
      <c r="AC1143" s="34">
        <v>0.13</v>
      </c>
      <c r="AD1143" s="32">
        <v>1.556</v>
      </c>
    </row>
    <row r="1144" spans="1:30">
      <c r="A1144">
        <v>1142</v>
      </c>
      <c r="B1144">
        <v>25</v>
      </c>
      <c r="C1144">
        <v>1.171</v>
      </c>
      <c r="D1144">
        <v>2.93</v>
      </c>
      <c r="E1144">
        <v>0</v>
      </c>
      <c r="F1144">
        <v>1.37</v>
      </c>
      <c r="G1144">
        <v>0</v>
      </c>
      <c r="H1144">
        <v>0.13700000000000001</v>
      </c>
      <c r="I1144">
        <v>1.6220000000000001</v>
      </c>
      <c r="K1144">
        <v>1142</v>
      </c>
      <c r="L1144">
        <v>25</v>
      </c>
      <c r="M1144" s="32">
        <v>1.171</v>
      </c>
      <c r="N1144" s="32">
        <v>2.93</v>
      </c>
      <c r="P1144" s="32">
        <v>1.37</v>
      </c>
      <c r="R1144" s="47">
        <v>0.13800000000000001</v>
      </c>
      <c r="S1144" s="47">
        <v>1.605</v>
      </c>
      <c r="T1144" s="31">
        <v>0</v>
      </c>
      <c r="V1144">
        <v>1142</v>
      </c>
      <c r="W1144">
        <v>23</v>
      </c>
      <c r="X1144">
        <v>1.1830000000000001</v>
      </c>
      <c r="Y1144" s="32">
        <v>2.93</v>
      </c>
      <c r="Z1144">
        <v>0</v>
      </c>
      <c r="AA1144" s="32">
        <v>1.32</v>
      </c>
      <c r="AB1144">
        <v>0</v>
      </c>
      <c r="AC1144" s="34">
        <v>0.13</v>
      </c>
      <c r="AD1144" s="32">
        <v>1.5569999999999999</v>
      </c>
    </row>
    <row r="1145" spans="1:30">
      <c r="A1145">
        <v>1143</v>
      </c>
      <c r="B1145">
        <v>25</v>
      </c>
      <c r="C1145">
        <v>1.1719999999999999</v>
      </c>
      <c r="D1145">
        <v>2.93</v>
      </c>
      <c r="E1145">
        <v>0</v>
      </c>
      <c r="F1145">
        <v>1.37</v>
      </c>
      <c r="G1145">
        <v>0</v>
      </c>
      <c r="H1145">
        <v>0.13700000000000001</v>
      </c>
      <c r="I1145">
        <v>1.6240000000000001</v>
      </c>
      <c r="K1145">
        <v>1143</v>
      </c>
      <c r="L1145">
        <v>25</v>
      </c>
      <c r="M1145" s="32">
        <v>1.1719999999999999</v>
      </c>
      <c r="N1145" s="32">
        <v>2.93</v>
      </c>
      <c r="P1145" s="47">
        <v>1.371</v>
      </c>
      <c r="R1145" s="47">
        <v>0.13800000000000001</v>
      </c>
      <c r="S1145" s="47">
        <v>1.607</v>
      </c>
      <c r="T1145" s="31">
        <v>0</v>
      </c>
      <c r="V1145">
        <v>1143</v>
      </c>
      <c r="W1145">
        <v>23</v>
      </c>
      <c r="X1145">
        <v>1.1839999999999999</v>
      </c>
      <c r="Y1145" s="32">
        <v>2.93</v>
      </c>
      <c r="Z1145">
        <v>0</v>
      </c>
      <c r="AA1145" s="32">
        <v>1.321</v>
      </c>
      <c r="AB1145">
        <v>0</v>
      </c>
      <c r="AC1145" s="34">
        <v>0.13</v>
      </c>
      <c r="AD1145" s="32">
        <v>1.5589999999999999</v>
      </c>
    </row>
    <row r="1146" spans="1:30">
      <c r="A1146">
        <v>1144</v>
      </c>
      <c r="B1146">
        <v>25</v>
      </c>
      <c r="C1146">
        <v>1.173</v>
      </c>
      <c r="D1146">
        <v>2.93</v>
      </c>
      <c r="E1146">
        <v>0</v>
      </c>
      <c r="F1146">
        <v>1.37</v>
      </c>
      <c r="G1146">
        <v>0</v>
      </c>
      <c r="H1146">
        <v>0.13700000000000001</v>
      </c>
      <c r="I1146">
        <v>1.6259999999999999</v>
      </c>
      <c r="K1146">
        <v>1144</v>
      </c>
      <c r="L1146">
        <v>25</v>
      </c>
      <c r="M1146" s="32">
        <v>1.173</v>
      </c>
      <c r="N1146" s="32">
        <v>2.93</v>
      </c>
      <c r="P1146" s="47">
        <v>1.371</v>
      </c>
      <c r="R1146" s="47">
        <v>0.13800000000000001</v>
      </c>
      <c r="S1146" s="47">
        <v>1.6080000000000001</v>
      </c>
      <c r="T1146" s="31">
        <v>0</v>
      </c>
      <c r="V1146">
        <v>1144</v>
      </c>
      <c r="W1146">
        <v>23</v>
      </c>
      <c r="X1146">
        <v>1.1850000000000001</v>
      </c>
      <c r="Y1146" s="32">
        <v>2.93</v>
      </c>
      <c r="Z1146">
        <v>0</v>
      </c>
      <c r="AA1146" s="32">
        <v>1.321</v>
      </c>
      <c r="AB1146">
        <v>0</v>
      </c>
      <c r="AC1146" s="34">
        <v>0.13</v>
      </c>
      <c r="AD1146" s="32">
        <v>1.56</v>
      </c>
    </row>
    <row r="1147" spans="1:30">
      <c r="A1147">
        <v>1145</v>
      </c>
      <c r="B1147">
        <v>25</v>
      </c>
      <c r="C1147">
        <v>1.1739999999999999</v>
      </c>
      <c r="D1147">
        <v>2.93</v>
      </c>
      <c r="E1147">
        <v>0</v>
      </c>
      <c r="F1147">
        <v>1.37</v>
      </c>
      <c r="G1147">
        <v>0</v>
      </c>
      <c r="H1147">
        <v>0.13700000000000001</v>
      </c>
      <c r="I1147">
        <v>1.6279999999999999</v>
      </c>
      <c r="K1147">
        <v>1145</v>
      </c>
      <c r="L1147">
        <v>25</v>
      </c>
      <c r="M1147" s="32">
        <v>1.1739999999999999</v>
      </c>
      <c r="N1147" s="32">
        <v>2.93</v>
      </c>
      <c r="P1147" s="47">
        <v>1.3720000000000001</v>
      </c>
      <c r="R1147" s="47">
        <v>0.13800000000000001</v>
      </c>
      <c r="S1147" s="47">
        <v>1.61</v>
      </c>
      <c r="T1147" s="31">
        <v>0</v>
      </c>
      <c r="V1147">
        <v>1145</v>
      </c>
      <c r="W1147">
        <v>24</v>
      </c>
      <c r="X1147">
        <v>1.1859999999999999</v>
      </c>
      <c r="Y1147" s="32">
        <v>2.93</v>
      </c>
      <c r="Z1147">
        <v>0</v>
      </c>
      <c r="AA1147" s="32">
        <v>1.321</v>
      </c>
      <c r="AB1147">
        <v>0</v>
      </c>
      <c r="AC1147" s="34">
        <v>0.13</v>
      </c>
      <c r="AD1147" s="32">
        <v>1.5620000000000001</v>
      </c>
    </row>
    <row r="1148" spans="1:30">
      <c r="A1148">
        <v>1146</v>
      </c>
      <c r="B1148">
        <v>25</v>
      </c>
      <c r="C1148">
        <v>1.175</v>
      </c>
      <c r="D1148">
        <v>2.93</v>
      </c>
      <c r="E1148">
        <v>0</v>
      </c>
      <c r="F1148">
        <v>1.37</v>
      </c>
      <c r="G1148">
        <v>0</v>
      </c>
      <c r="H1148">
        <v>0.13700000000000001</v>
      </c>
      <c r="I1148">
        <v>1.629</v>
      </c>
      <c r="K1148">
        <v>1146</v>
      </c>
      <c r="L1148">
        <v>25</v>
      </c>
      <c r="M1148" s="32">
        <v>1.175</v>
      </c>
      <c r="N1148" s="32">
        <v>2.93</v>
      </c>
      <c r="P1148" s="47">
        <v>1.3720000000000001</v>
      </c>
      <c r="R1148" s="47">
        <v>0.13800000000000001</v>
      </c>
      <c r="S1148" s="47">
        <v>1.6120000000000001</v>
      </c>
      <c r="T1148" s="31">
        <v>0</v>
      </c>
      <c r="V1148">
        <v>1146</v>
      </c>
      <c r="W1148">
        <v>24</v>
      </c>
      <c r="X1148">
        <v>1.1870000000000001</v>
      </c>
      <c r="Y1148" s="32">
        <v>2.93</v>
      </c>
      <c r="Z1148">
        <v>0</v>
      </c>
      <c r="AA1148" s="32">
        <v>1.321</v>
      </c>
      <c r="AB1148">
        <v>0</v>
      </c>
      <c r="AC1148" s="34">
        <v>0.13</v>
      </c>
      <c r="AD1148" s="32">
        <v>1.5640000000000001</v>
      </c>
    </row>
    <row r="1149" spans="1:30">
      <c r="A1149">
        <v>1147</v>
      </c>
      <c r="B1149">
        <v>25</v>
      </c>
      <c r="C1149">
        <v>1.1759999999999999</v>
      </c>
      <c r="D1149">
        <v>2.93</v>
      </c>
      <c r="E1149">
        <v>0</v>
      </c>
      <c r="F1149">
        <v>1.37</v>
      </c>
      <c r="G1149">
        <v>0</v>
      </c>
      <c r="H1149">
        <v>0.13700000000000001</v>
      </c>
      <c r="I1149">
        <v>1.631</v>
      </c>
      <c r="K1149">
        <v>1147</v>
      </c>
      <c r="L1149">
        <v>25</v>
      </c>
      <c r="M1149" s="32">
        <v>1.1759999999999999</v>
      </c>
      <c r="N1149" s="32">
        <v>2.93</v>
      </c>
      <c r="P1149" s="47">
        <v>1.3720000000000001</v>
      </c>
      <c r="R1149" s="47">
        <v>0.13800000000000001</v>
      </c>
      <c r="S1149" s="47">
        <v>1.6140000000000001</v>
      </c>
      <c r="T1149" s="31">
        <v>0</v>
      </c>
      <c r="V1149">
        <v>1147</v>
      </c>
      <c r="W1149">
        <v>24</v>
      </c>
      <c r="X1149">
        <v>1.1879999999999999</v>
      </c>
      <c r="Y1149" s="32">
        <v>2.93</v>
      </c>
      <c r="Z1149">
        <v>0</v>
      </c>
      <c r="AA1149" s="32">
        <v>1.321</v>
      </c>
      <c r="AB1149">
        <v>0</v>
      </c>
      <c r="AC1149" s="34">
        <v>0.13</v>
      </c>
      <c r="AD1149" s="32">
        <v>1.5649999999999999</v>
      </c>
    </row>
    <row r="1150" spans="1:30">
      <c r="A1150">
        <v>1148</v>
      </c>
      <c r="B1150">
        <v>25</v>
      </c>
      <c r="C1150">
        <v>1.177</v>
      </c>
      <c r="D1150">
        <v>2.93</v>
      </c>
      <c r="E1150">
        <v>0</v>
      </c>
      <c r="F1150">
        <v>1.37</v>
      </c>
      <c r="G1150">
        <v>0</v>
      </c>
      <c r="H1150">
        <v>0.13700000000000001</v>
      </c>
      <c r="I1150">
        <v>1.633</v>
      </c>
      <c r="K1150">
        <v>1148</v>
      </c>
      <c r="L1150">
        <v>25</v>
      </c>
      <c r="M1150" s="32">
        <v>1.177</v>
      </c>
      <c r="N1150" s="32">
        <v>2.93</v>
      </c>
      <c r="P1150" s="47">
        <v>1.373</v>
      </c>
      <c r="R1150" s="47">
        <v>0.13800000000000001</v>
      </c>
      <c r="S1150" s="47">
        <v>1.6160000000000001</v>
      </c>
      <c r="T1150" s="31">
        <v>0</v>
      </c>
      <c r="V1150">
        <v>1148</v>
      </c>
      <c r="W1150">
        <v>24</v>
      </c>
      <c r="X1150">
        <v>1.1890000000000001</v>
      </c>
      <c r="Y1150" s="32">
        <v>2.93</v>
      </c>
      <c r="Z1150">
        <v>0</v>
      </c>
      <c r="AA1150" s="32">
        <v>1.3220000000000001</v>
      </c>
      <c r="AB1150">
        <v>0</v>
      </c>
      <c r="AC1150" s="34">
        <v>0.13</v>
      </c>
      <c r="AD1150" s="32">
        <v>1.5669999999999999</v>
      </c>
    </row>
    <row r="1151" spans="1:30">
      <c r="A1151">
        <v>1149</v>
      </c>
      <c r="B1151">
        <v>25</v>
      </c>
      <c r="C1151">
        <v>1.1779999999999999</v>
      </c>
      <c r="D1151">
        <v>2.93</v>
      </c>
      <c r="E1151">
        <v>0</v>
      </c>
      <c r="F1151">
        <v>1.37</v>
      </c>
      <c r="G1151">
        <v>0</v>
      </c>
      <c r="H1151">
        <v>0.13700000000000001</v>
      </c>
      <c r="I1151">
        <v>1.635</v>
      </c>
      <c r="K1151">
        <v>1149</v>
      </c>
      <c r="L1151">
        <v>25</v>
      </c>
      <c r="M1151" s="32">
        <v>1.1779999999999999</v>
      </c>
      <c r="N1151" s="32">
        <v>2.93</v>
      </c>
      <c r="P1151" s="47">
        <v>1.373</v>
      </c>
      <c r="R1151" s="47">
        <v>0.13800000000000001</v>
      </c>
      <c r="S1151" s="47">
        <v>1.617</v>
      </c>
      <c r="T1151" s="31">
        <v>0</v>
      </c>
      <c r="V1151">
        <v>1149</v>
      </c>
      <c r="W1151">
        <v>24</v>
      </c>
      <c r="X1151">
        <v>1.19</v>
      </c>
      <c r="Y1151" s="32">
        <v>2.93</v>
      </c>
      <c r="Z1151">
        <v>0</v>
      </c>
      <c r="AA1151" s="32">
        <v>1.3220000000000001</v>
      </c>
      <c r="AB1151">
        <v>0</v>
      </c>
      <c r="AC1151" s="34">
        <v>0.13</v>
      </c>
      <c r="AD1151" s="32">
        <v>1.5680000000000001</v>
      </c>
    </row>
    <row r="1152" spans="1:30">
      <c r="A1152">
        <v>1150</v>
      </c>
      <c r="B1152">
        <v>25</v>
      </c>
      <c r="C1152">
        <v>1.179</v>
      </c>
      <c r="D1152">
        <v>2.93</v>
      </c>
      <c r="E1152">
        <v>0</v>
      </c>
      <c r="F1152">
        <v>1.37</v>
      </c>
      <c r="G1152">
        <v>0</v>
      </c>
      <c r="H1152">
        <v>0.13700000000000001</v>
      </c>
      <c r="I1152">
        <v>1.6359999999999999</v>
      </c>
      <c r="K1152">
        <v>1150</v>
      </c>
      <c r="L1152">
        <v>25</v>
      </c>
      <c r="M1152" s="32">
        <v>1.179</v>
      </c>
      <c r="N1152" s="32">
        <v>2.93</v>
      </c>
      <c r="P1152" s="47">
        <v>1.3740000000000001</v>
      </c>
      <c r="R1152" s="47">
        <v>0.13800000000000001</v>
      </c>
      <c r="S1152" s="47">
        <v>1.619</v>
      </c>
      <c r="T1152" s="31">
        <v>0</v>
      </c>
      <c r="V1152">
        <v>1150</v>
      </c>
      <c r="W1152">
        <v>24</v>
      </c>
      <c r="X1152">
        <v>1.1910000000000001</v>
      </c>
      <c r="Y1152" s="32">
        <v>2.93</v>
      </c>
      <c r="Z1152">
        <v>0</v>
      </c>
      <c r="AA1152" s="32">
        <v>1.3220000000000001</v>
      </c>
      <c r="AB1152">
        <v>0</v>
      </c>
      <c r="AC1152" s="34">
        <v>0.13</v>
      </c>
      <c r="AD1152" s="32">
        <v>1.57</v>
      </c>
    </row>
    <row r="1153" spans="1:30">
      <c r="A1153">
        <v>1151</v>
      </c>
      <c r="B1153">
        <v>25</v>
      </c>
      <c r="C1153">
        <v>1.18</v>
      </c>
      <c r="D1153">
        <v>2.93</v>
      </c>
      <c r="E1153">
        <v>0</v>
      </c>
      <c r="F1153">
        <v>1.3740000000000001</v>
      </c>
      <c r="G1153">
        <v>0</v>
      </c>
      <c r="H1153">
        <v>0.13700000000000001</v>
      </c>
      <c r="I1153">
        <v>1.6559999999999999</v>
      </c>
      <c r="K1153">
        <v>1151</v>
      </c>
      <c r="L1153">
        <v>25</v>
      </c>
      <c r="M1153" s="32">
        <v>1.18</v>
      </c>
      <c r="N1153" s="32">
        <v>2.93</v>
      </c>
      <c r="P1153" s="32">
        <v>1.3740000000000001</v>
      </c>
      <c r="R1153" s="47">
        <v>0.13800000000000001</v>
      </c>
      <c r="S1153" s="47">
        <v>1.621</v>
      </c>
      <c r="T1153" s="31">
        <v>0</v>
      </c>
      <c r="V1153">
        <v>1151</v>
      </c>
      <c r="W1153">
        <v>24</v>
      </c>
      <c r="X1153">
        <v>1.1919999999999999</v>
      </c>
      <c r="Y1153" s="32">
        <v>2.93</v>
      </c>
      <c r="Z1153">
        <v>0</v>
      </c>
      <c r="AA1153" s="32">
        <v>1.3220000000000001</v>
      </c>
      <c r="AB1153">
        <v>0</v>
      </c>
      <c r="AC1153" s="34">
        <v>0.13</v>
      </c>
      <c r="AD1153" s="32">
        <v>1.5720000000000001</v>
      </c>
    </row>
    <row r="1154" spans="1:30">
      <c r="A1154">
        <v>1152</v>
      </c>
      <c r="B1154">
        <v>25</v>
      </c>
      <c r="C1154">
        <v>1.181</v>
      </c>
      <c r="D1154">
        <v>2.93</v>
      </c>
      <c r="E1154">
        <v>0</v>
      </c>
      <c r="F1154">
        <v>1.3740000000000001</v>
      </c>
      <c r="G1154">
        <v>0</v>
      </c>
      <c r="H1154">
        <v>0.13700000000000001</v>
      </c>
      <c r="I1154">
        <v>1.6579999999999999</v>
      </c>
      <c r="K1154">
        <v>1152</v>
      </c>
      <c r="L1154">
        <v>25</v>
      </c>
      <c r="M1154" s="32">
        <v>1.181</v>
      </c>
      <c r="N1154" s="32">
        <v>2.93</v>
      </c>
      <c r="P1154" s="32">
        <v>1.3740000000000001</v>
      </c>
      <c r="R1154" s="47">
        <v>0.13800000000000001</v>
      </c>
      <c r="S1154" s="47">
        <v>1.6220000000000001</v>
      </c>
      <c r="T1154" s="31">
        <v>0</v>
      </c>
      <c r="V1154">
        <v>1152</v>
      </c>
      <c r="W1154">
        <v>24</v>
      </c>
      <c r="X1154">
        <v>1.1930000000000001</v>
      </c>
      <c r="Y1154" s="32">
        <v>2.93</v>
      </c>
      <c r="Z1154">
        <v>0</v>
      </c>
      <c r="AA1154" s="32">
        <v>1.3220000000000001</v>
      </c>
      <c r="AB1154">
        <v>0</v>
      </c>
      <c r="AC1154" s="34">
        <v>0.13</v>
      </c>
      <c r="AD1154" s="32">
        <v>1.573</v>
      </c>
    </row>
    <row r="1155" spans="1:30">
      <c r="A1155">
        <v>1153</v>
      </c>
      <c r="B1155">
        <v>25</v>
      </c>
      <c r="C1155">
        <v>1.1819999999999999</v>
      </c>
      <c r="D1155">
        <v>2.93</v>
      </c>
      <c r="E1155">
        <v>0</v>
      </c>
      <c r="F1155">
        <v>1.3740000000000001</v>
      </c>
      <c r="G1155">
        <v>0</v>
      </c>
      <c r="H1155">
        <v>0.13700000000000001</v>
      </c>
      <c r="I1155">
        <v>1.66</v>
      </c>
      <c r="K1155">
        <v>1153</v>
      </c>
      <c r="L1155">
        <v>25</v>
      </c>
      <c r="M1155" s="32">
        <v>1.1819999999999999</v>
      </c>
      <c r="N1155" s="32">
        <v>2.93</v>
      </c>
      <c r="P1155" s="47">
        <v>1.375</v>
      </c>
      <c r="R1155" s="47">
        <v>0.13800000000000001</v>
      </c>
      <c r="S1155" s="47">
        <v>1.6220000000000001</v>
      </c>
      <c r="T1155" s="31">
        <v>0</v>
      </c>
      <c r="V1155">
        <v>1153</v>
      </c>
      <c r="W1155">
        <v>24</v>
      </c>
      <c r="X1155">
        <v>1.194</v>
      </c>
      <c r="Y1155" s="32">
        <v>2.93</v>
      </c>
      <c r="Z1155">
        <v>0</v>
      </c>
      <c r="AA1155" s="32">
        <v>1.323</v>
      </c>
      <c r="AB1155">
        <v>0</v>
      </c>
      <c r="AC1155" s="34">
        <v>0.13</v>
      </c>
      <c r="AD1155" s="32">
        <v>1.575</v>
      </c>
    </row>
    <row r="1156" spans="1:30">
      <c r="A1156">
        <v>1154</v>
      </c>
      <c r="B1156">
        <v>25</v>
      </c>
      <c r="C1156">
        <v>1.1830000000000001</v>
      </c>
      <c r="D1156">
        <v>2.93</v>
      </c>
      <c r="E1156">
        <v>0</v>
      </c>
      <c r="F1156">
        <v>1.3740000000000001</v>
      </c>
      <c r="G1156">
        <v>0</v>
      </c>
      <c r="H1156">
        <v>0.13700000000000001</v>
      </c>
      <c r="I1156">
        <v>1.6619999999999999</v>
      </c>
      <c r="K1156">
        <v>1154</v>
      </c>
      <c r="L1156">
        <v>25</v>
      </c>
      <c r="M1156" s="32">
        <v>1.1830000000000001</v>
      </c>
      <c r="N1156" s="32">
        <v>2.93</v>
      </c>
      <c r="P1156" s="47">
        <v>1.375</v>
      </c>
      <c r="R1156" s="47">
        <v>0.13800000000000001</v>
      </c>
      <c r="S1156" s="47">
        <v>1.623</v>
      </c>
      <c r="T1156" s="31">
        <v>0</v>
      </c>
      <c r="V1156">
        <v>1154</v>
      </c>
      <c r="W1156">
        <v>24</v>
      </c>
      <c r="X1156">
        <v>1.1950000000000001</v>
      </c>
      <c r="Y1156" s="32">
        <v>2.93</v>
      </c>
      <c r="Z1156">
        <v>0</v>
      </c>
      <c r="AA1156" s="32">
        <v>1.323</v>
      </c>
      <c r="AB1156">
        <v>0</v>
      </c>
      <c r="AC1156" s="34">
        <v>0.13</v>
      </c>
      <c r="AD1156" s="32">
        <v>1.577</v>
      </c>
    </row>
    <row r="1157" spans="1:30">
      <c r="A1157">
        <v>1155</v>
      </c>
      <c r="B1157">
        <v>25</v>
      </c>
      <c r="C1157">
        <v>1.1839999999999999</v>
      </c>
      <c r="D1157">
        <v>2.93</v>
      </c>
      <c r="E1157">
        <v>0</v>
      </c>
      <c r="F1157">
        <v>1.3740000000000001</v>
      </c>
      <c r="G1157">
        <v>0</v>
      </c>
      <c r="H1157">
        <v>0.13700000000000001</v>
      </c>
      <c r="I1157">
        <v>1.663</v>
      </c>
      <c r="K1157">
        <v>1155</v>
      </c>
      <c r="L1157">
        <v>25</v>
      </c>
      <c r="M1157" s="32">
        <v>1.1839999999999999</v>
      </c>
      <c r="N1157" s="32">
        <v>2.93</v>
      </c>
      <c r="P1157" s="47">
        <v>1.3759999999999999</v>
      </c>
      <c r="R1157" s="47">
        <v>0.13800000000000001</v>
      </c>
      <c r="S1157" s="47">
        <v>1.623</v>
      </c>
      <c r="T1157" s="31">
        <v>0</v>
      </c>
      <c r="V1157">
        <v>1155</v>
      </c>
      <c r="W1157">
        <v>24</v>
      </c>
      <c r="X1157">
        <v>1.196</v>
      </c>
      <c r="Y1157" s="32">
        <v>2.93</v>
      </c>
      <c r="Z1157">
        <v>0</v>
      </c>
      <c r="AA1157" s="32">
        <v>1.323</v>
      </c>
      <c r="AB1157">
        <v>0</v>
      </c>
      <c r="AC1157" s="34">
        <v>0.13</v>
      </c>
      <c r="AD1157" s="32">
        <v>1.5780000000000001</v>
      </c>
    </row>
    <row r="1158" spans="1:30">
      <c r="A1158">
        <v>1156</v>
      </c>
      <c r="B1158">
        <v>25</v>
      </c>
      <c r="C1158">
        <v>1.1850000000000001</v>
      </c>
      <c r="D1158">
        <v>2.93</v>
      </c>
      <c r="E1158">
        <v>0</v>
      </c>
      <c r="F1158">
        <v>1.3740000000000001</v>
      </c>
      <c r="G1158">
        <v>0</v>
      </c>
      <c r="H1158">
        <v>0.13700000000000001</v>
      </c>
      <c r="I1158">
        <v>1.665</v>
      </c>
      <c r="K1158">
        <v>1156</v>
      </c>
      <c r="L1158">
        <v>25</v>
      </c>
      <c r="M1158" s="32">
        <v>1.1850000000000001</v>
      </c>
      <c r="N1158" s="32">
        <v>2.93</v>
      </c>
      <c r="P1158" s="47">
        <v>1.3759999999999999</v>
      </c>
      <c r="R1158" s="47">
        <v>0.13800000000000001</v>
      </c>
      <c r="S1158" s="47">
        <v>1.6240000000000001</v>
      </c>
      <c r="T1158" s="31">
        <v>0</v>
      </c>
      <c r="V1158">
        <v>1156</v>
      </c>
      <c r="W1158">
        <v>24</v>
      </c>
      <c r="X1158">
        <v>1.1970000000000001</v>
      </c>
      <c r="Y1158" s="32">
        <v>2.93</v>
      </c>
      <c r="Z1158">
        <v>0</v>
      </c>
      <c r="AA1158" s="32">
        <v>1.323</v>
      </c>
      <c r="AB1158">
        <v>0</v>
      </c>
      <c r="AC1158" s="34">
        <v>0.13100000000000001</v>
      </c>
      <c r="AD1158" s="32">
        <v>1.58</v>
      </c>
    </row>
    <row r="1159" spans="1:30">
      <c r="A1159">
        <v>1157</v>
      </c>
      <c r="B1159">
        <v>25</v>
      </c>
      <c r="C1159">
        <v>1.1859999999999999</v>
      </c>
      <c r="D1159">
        <v>2.93</v>
      </c>
      <c r="E1159">
        <v>0</v>
      </c>
      <c r="F1159">
        <v>1.3740000000000001</v>
      </c>
      <c r="G1159">
        <v>0</v>
      </c>
      <c r="H1159">
        <v>0.13700000000000001</v>
      </c>
      <c r="I1159">
        <v>1.667</v>
      </c>
      <c r="K1159">
        <v>1157</v>
      </c>
      <c r="L1159">
        <v>25</v>
      </c>
      <c r="M1159" s="32">
        <v>1.1859999999999999</v>
      </c>
      <c r="N1159" s="32">
        <v>2.93</v>
      </c>
      <c r="P1159" s="47">
        <v>1.3759999999999999</v>
      </c>
      <c r="R1159" s="47">
        <v>0.13800000000000001</v>
      </c>
      <c r="S1159" s="47">
        <v>1.625</v>
      </c>
      <c r="T1159" s="31">
        <v>0</v>
      </c>
      <c r="V1159">
        <v>1157</v>
      </c>
      <c r="W1159">
        <v>24</v>
      </c>
      <c r="X1159">
        <v>1.198</v>
      </c>
      <c r="Y1159" s="32">
        <v>2.93</v>
      </c>
      <c r="Z1159">
        <v>0</v>
      </c>
      <c r="AA1159" s="32">
        <v>1.323</v>
      </c>
      <c r="AB1159">
        <v>0</v>
      </c>
      <c r="AC1159" s="34">
        <v>0.13100000000000001</v>
      </c>
      <c r="AD1159" s="32">
        <v>1.581</v>
      </c>
    </row>
    <row r="1160" spans="1:30">
      <c r="A1160">
        <v>1158</v>
      </c>
      <c r="B1160">
        <v>25</v>
      </c>
      <c r="C1160">
        <v>1.1870000000000001</v>
      </c>
      <c r="D1160">
        <v>2.93</v>
      </c>
      <c r="E1160">
        <v>0</v>
      </c>
      <c r="F1160">
        <v>1.3740000000000001</v>
      </c>
      <c r="G1160">
        <v>0</v>
      </c>
      <c r="H1160">
        <v>0.13700000000000001</v>
      </c>
      <c r="I1160">
        <v>1.669</v>
      </c>
      <c r="K1160">
        <v>1158</v>
      </c>
      <c r="L1160">
        <v>25</v>
      </c>
      <c r="M1160" s="32">
        <v>1.1870000000000001</v>
      </c>
      <c r="N1160" s="32">
        <v>2.93</v>
      </c>
      <c r="P1160" s="47">
        <v>1.377</v>
      </c>
      <c r="R1160" s="47">
        <v>0.13800000000000001</v>
      </c>
      <c r="S1160" s="47">
        <v>1.625</v>
      </c>
      <c r="T1160" s="31">
        <v>0</v>
      </c>
      <c r="V1160">
        <v>1158</v>
      </c>
      <c r="W1160">
        <v>24</v>
      </c>
      <c r="X1160">
        <v>1.1990000000000001</v>
      </c>
      <c r="Y1160" s="32">
        <v>2.93</v>
      </c>
      <c r="Z1160">
        <v>0</v>
      </c>
      <c r="AA1160" s="32">
        <v>1.3240000000000001</v>
      </c>
      <c r="AB1160">
        <v>0</v>
      </c>
      <c r="AC1160" s="34">
        <v>0.13100000000000001</v>
      </c>
      <c r="AD1160" s="32">
        <v>1.583</v>
      </c>
    </row>
    <row r="1161" spans="1:30">
      <c r="A1161">
        <v>1159</v>
      </c>
      <c r="B1161">
        <v>25</v>
      </c>
      <c r="C1161">
        <v>1.1879999999999999</v>
      </c>
      <c r="D1161">
        <v>2.93</v>
      </c>
      <c r="E1161">
        <v>0</v>
      </c>
      <c r="F1161">
        <v>1.3740000000000001</v>
      </c>
      <c r="G1161">
        <v>0</v>
      </c>
      <c r="H1161">
        <v>0.13700000000000001</v>
      </c>
      <c r="I1161">
        <v>1.67</v>
      </c>
      <c r="K1161">
        <v>1159</v>
      </c>
      <c r="L1161">
        <v>25</v>
      </c>
      <c r="M1161" s="32">
        <v>1.1879999999999999</v>
      </c>
      <c r="N1161" s="32">
        <v>2.93</v>
      </c>
      <c r="P1161" s="47">
        <v>1.377</v>
      </c>
      <c r="R1161" s="47">
        <v>0.13800000000000001</v>
      </c>
      <c r="S1161" s="47">
        <v>1.6259999999999999</v>
      </c>
      <c r="T1161" s="31">
        <v>0</v>
      </c>
      <c r="V1161">
        <v>1159</v>
      </c>
      <c r="W1161">
        <v>24</v>
      </c>
      <c r="X1161">
        <v>1.2</v>
      </c>
      <c r="Y1161" s="32">
        <v>2.93</v>
      </c>
      <c r="Z1161">
        <v>0</v>
      </c>
      <c r="AA1161" s="32">
        <v>1.3240000000000001</v>
      </c>
      <c r="AB1161">
        <v>0</v>
      </c>
      <c r="AC1161" s="34">
        <v>0.13100000000000001</v>
      </c>
      <c r="AD1161" s="32">
        <v>1.585</v>
      </c>
    </row>
    <row r="1162" spans="1:30">
      <c r="A1162">
        <v>1160</v>
      </c>
      <c r="B1162">
        <v>25</v>
      </c>
      <c r="C1162">
        <v>1.1890000000000001</v>
      </c>
      <c r="D1162">
        <v>2.93</v>
      </c>
      <c r="E1162">
        <v>0</v>
      </c>
      <c r="F1162">
        <v>1.3740000000000001</v>
      </c>
      <c r="G1162">
        <v>0</v>
      </c>
      <c r="H1162">
        <v>0.13700000000000001</v>
      </c>
      <c r="I1162">
        <v>1.6719999999999999</v>
      </c>
      <c r="K1162">
        <v>1160</v>
      </c>
      <c r="L1162">
        <v>25</v>
      </c>
      <c r="M1162" s="32">
        <v>1.1890000000000001</v>
      </c>
      <c r="N1162" s="32">
        <v>2.93</v>
      </c>
      <c r="P1162" s="47">
        <v>1.3779999999999999</v>
      </c>
      <c r="R1162" s="47">
        <v>0.13800000000000001</v>
      </c>
      <c r="S1162" s="47">
        <v>1.6259999999999999</v>
      </c>
      <c r="T1162" s="31">
        <v>0</v>
      </c>
      <c r="V1162">
        <v>1160</v>
      </c>
      <c r="W1162">
        <v>24</v>
      </c>
      <c r="X1162">
        <v>1.2010000000000001</v>
      </c>
      <c r="Y1162" s="32">
        <v>2.93</v>
      </c>
      <c r="Z1162">
        <v>0</v>
      </c>
      <c r="AA1162" s="32">
        <v>1.3240000000000001</v>
      </c>
      <c r="AB1162">
        <v>0</v>
      </c>
      <c r="AC1162" s="34">
        <v>0.13100000000000001</v>
      </c>
      <c r="AD1162" s="32">
        <v>1.5860000000000001</v>
      </c>
    </row>
    <row r="1163" spans="1:30">
      <c r="A1163">
        <v>1161</v>
      </c>
      <c r="B1163">
        <v>25</v>
      </c>
      <c r="C1163">
        <v>1.19</v>
      </c>
      <c r="D1163">
        <v>2.93</v>
      </c>
      <c r="E1163">
        <v>0</v>
      </c>
      <c r="F1163">
        <v>1.3779999999999999</v>
      </c>
      <c r="G1163">
        <v>0</v>
      </c>
      <c r="H1163">
        <v>0.13700000000000001</v>
      </c>
      <c r="I1163">
        <v>1.68</v>
      </c>
      <c r="K1163">
        <v>1161</v>
      </c>
      <c r="L1163">
        <v>25</v>
      </c>
      <c r="M1163" s="32">
        <v>1.19</v>
      </c>
      <c r="N1163" s="32">
        <v>2.93</v>
      </c>
      <c r="P1163" s="32">
        <v>1.3779999999999999</v>
      </c>
      <c r="R1163" s="47">
        <v>0.13900000000000001</v>
      </c>
      <c r="S1163" s="47">
        <v>1.627</v>
      </c>
      <c r="T1163" s="31">
        <v>0</v>
      </c>
      <c r="V1163">
        <v>1161</v>
      </c>
      <c r="W1163">
        <v>24</v>
      </c>
      <c r="X1163">
        <v>1.202</v>
      </c>
      <c r="Y1163" s="32">
        <v>2.93</v>
      </c>
      <c r="Z1163">
        <v>0</v>
      </c>
      <c r="AA1163" s="32">
        <v>1.3240000000000001</v>
      </c>
      <c r="AB1163">
        <v>0</v>
      </c>
      <c r="AC1163" s="34">
        <v>0.13100000000000001</v>
      </c>
      <c r="AD1163" s="32">
        <v>1.5880000000000001</v>
      </c>
    </row>
    <row r="1164" spans="1:30">
      <c r="A1164">
        <v>1162</v>
      </c>
      <c r="B1164">
        <v>25</v>
      </c>
      <c r="C1164">
        <v>1.1910000000000001</v>
      </c>
      <c r="D1164">
        <v>2.93</v>
      </c>
      <c r="E1164">
        <v>0</v>
      </c>
      <c r="F1164">
        <v>1.3779999999999999</v>
      </c>
      <c r="G1164">
        <v>0</v>
      </c>
      <c r="H1164">
        <v>0.13700000000000001</v>
      </c>
      <c r="I1164">
        <v>1.6819999999999999</v>
      </c>
      <c r="K1164">
        <v>1162</v>
      </c>
      <c r="L1164">
        <v>25</v>
      </c>
      <c r="M1164" s="32">
        <v>1.1910000000000001</v>
      </c>
      <c r="N1164" s="32">
        <v>2.93</v>
      </c>
      <c r="P1164" s="32">
        <v>1.3779999999999999</v>
      </c>
      <c r="R1164" s="47">
        <v>0.13900000000000001</v>
      </c>
      <c r="S1164" s="47">
        <v>1.63</v>
      </c>
      <c r="T1164" s="31">
        <v>0</v>
      </c>
      <c r="V1164">
        <v>1162</v>
      </c>
      <c r="W1164">
        <v>24</v>
      </c>
      <c r="X1164">
        <v>1.2030000000000001</v>
      </c>
      <c r="Y1164" s="32">
        <v>2.93</v>
      </c>
      <c r="Z1164">
        <v>0</v>
      </c>
      <c r="AA1164" s="32">
        <v>1.3240000000000001</v>
      </c>
      <c r="AB1164">
        <v>0</v>
      </c>
      <c r="AC1164" s="34">
        <v>0.13100000000000001</v>
      </c>
      <c r="AD1164" s="32">
        <v>1.589</v>
      </c>
    </row>
    <row r="1165" spans="1:30">
      <c r="A1165">
        <v>1163</v>
      </c>
      <c r="B1165">
        <v>25</v>
      </c>
      <c r="C1165">
        <v>1.1919999999999999</v>
      </c>
      <c r="D1165">
        <v>2.93</v>
      </c>
      <c r="E1165">
        <v>0</v>
      </c>
      <c r="F1165">
        <v>1.3779999999999999</v>
      </c>
      <c r="G1165">
        <v>0</v>
      </c>
      <c r="H1165">
        <v>0.13700000000000001</v>
      </c>
      <c r="I1165">
        <v>1.6830000000000001</v>
      </c>
      <c r="K1165">
        <v>1163</v>
      </c>
      <c r="L1165">
        <v>25</v>
      </c>
      <c r="M1165" s="32">
        <v>1.1919999999999999</v>
      </c>
      <c r="N1165" s="32">
        <v>2.93</v>
      </c>
      <c r="P1165" s="32">
        <v>1.3779999999999999</v>
      </c>
      <c r="R1165" s="47">
        <v>0.13900000000000001</v>
      </c>
      <c r="S1165" s="47">
        <v>1.633</v>
      </c>
      <c r="T1165" s="31">
        <v>0</v>
      </c>
      <c r="V1165">
        <v>1163</v>
      </c>
      <c r="W1165">
        <v>24</v>
      </c>
      <c r="X1165">
        <v>1.204</v>
      </c>
      <c r="Y1165" s="32">
        <v>2.93</v>
      </c>
      <c r="Z1165">
        <v>0</v>
      </c>
      <c r="AA1165" s="32">
        <v>1.3240000000000001</v>
      </c>
      <c r="AB1165">
        <v>0</v>
      </c>
      <c r="AC1165" s="34">
        <v>0.13100000000000001</v>
      </c>
      <c r="AD1165" s="32">
        <v>1.591</v>
      </c>
    </row>
    <row r="1166" spans="1:30">
      <c r="A1166">
        <v>1164</v>
      </c>
      <c r="B1166">
        <v>25</v>
      </c>
      <c r="C1166">
        <v>1.1930000000000001</v>
      </c>
      <c r="D1166">
        <v>2.93</v>
      </c>
      <c r="E1166">
        <v>0</v>
      </c>
      <c r="F1166">
        <v>1.3779999999999999</v>
      </c>
      <c r="G1166">
        <v>0</v>
      </c>
      <c r="H1166">
        <v>0.13700000000000001</v>
      </c>
      <c r="I1166">
        <v>1.6850000000000001</v>
      </c>
      <c r="K1166">
        <v>1164</v>
      </c>
      <c r="L1166">
        <v>25</v>
      </c>
      <c r="M1166" s="32">
        <v>1.1930000000000001</v>
      </c>
      <c r="N1166" s="32">
        <v>2.93</v>
      </c>
      <c r="P1166" s="47">
        <v>1.379</v>
      </c>
      <c r="R1166" s="47">
        <v>0.13900000000000001</v>
      </c>
      <c r="S1166" s="47">
        <v>1.6359999999999999</v>
      </c>
      <c r="T1166" s="31">
        <v>0</v>
      </c>
      <c r="V1166">
        <v>1164</v>
      </c>
      <c r="W1166">
        <v>24</v>
      </c>
      <c r="X1166">
        <v>1.2050000000000001</v>
      </c>
      <c r="Y1166" s="32">
        <v>2.93</v>
      </c>
      <c r="Z1166">
        <v>0</v>
      </c>
      <c r="AA1166" s="32">
        <v>1.325</v>
      </c>
      <c r="AB1166">
        <v>0</v>
      </c>
      <c r="AC1166" s="34">
        <v>0.13100000000000001</v>
      </c>
      <c r="AD1166" s="32">
        <v>1.593</v>
      </c>
    </row>
    <row r="1167" spans="1:30">
      <c r="A1167">
        <v>1165</v>
      </c>
      <c r="B1167">
        <v>25</v>
      </c>
      <c r="C1167">
        <v>1.194</v>
      </c>
      <c r="D1167">
        <v>2.93</v>
      </c>
      <c r="E1167">
        <v>0</v>
      </c>
      <c r="F1167">
        <v>1.3779999999999999</v>
      </c>
      <c r="G1167">
        <v>0</v>
      </c>
      <c r="H1167">
        <v>0.13700000000000001</v>
      </c>
      <c r="I1167">
        <v>1.6870000000000001</v>
      </c>
      <c r="K1167">
        <v>1165</v>
      </c>
      <c r="L1167">
        <v>25</v>
      </c>
      <c r="M1167" s="32">
        <v>1.194</v>
      </c>
      <c r="N1167" s="32">
        <v>2.93</v>
      </c>
      <c r="P1167" s="47">
        <v>1.379</v>
      </c>
      <c r="R1167" s="47">
        <v>0.13900000000000001</v>
      </c>
      <c r="S1167" s="47">
        <v>1.639</v>
      </c>
      <c r="T1167" s="31">
        <v>0</v>
      </c>
      <c r="V1167">
        <v>1165</v>
      </c>
      <c r="W1167">
        <v>24</v>
      </c>
      <c r="X1167">
        <v>1.206</v>
      </c>
      <c r="Y1167" s="32">
        <v>2.93</v>
      </c>
      <c r="Z1167">
        <v>0</v>
      </c>
      <c r="AA1167" s="32">
        <v>1.325</v>
      </c>
      <c r="AB1167">
        <v>0</v>
      </c>
      <c r="AC1167" s="34">
        <v>0.13100000000000001</v>
      </c>
      <c r="AD1167" s="32">
        <v>1.5940000000000001</v>
      </c>
    </row>
    <row r="1168" spans="1:30">
      <c r="A1168">
        <v>1166</v>
      </c>
      <c r="B1168">
        <v>25</v>
      </c>
      <c r="C1168">
        <v>1.1950000000000001</v>
      </c>
      <c r="D1168">
        <v>2.93</v>
      </c>
      <c r="E1168">
        <v>0</v>
      </c>
      <c r="F1168">
        <v>1.3779999999999999</v>
      </c>
      <c r="G1168">
        <v>0</v>
      </c>
      <c r="H1168">
        <v>0.13700000000000001</v>
      </c>
      <c r="I1168">
        <v>1.6890000000000001</v>
      </c>
      <c r="K1168">
        <v>1166</v>
      </c>
      <c r="L1168">
        <v>25</v>
      </c>
      <c r="M1168" s="32">
        <v>1.1950000000000001</v>
      </c>
      <c r="N1168" s="32">
        <v>2.93</v>
      </c>
      <c r="P1168" s="47">
        <v>1.379</v>
      </c>
      <c r="R1168" s="47">
        <v>0.13900000000000001</v>
      </c>
      <c r="S1168" s="47">
        <v>1.6419999999999999</v>
      </c>
      <c r="T1168" s="31">
        <v>0</v>
      </c>
      <c r="V1168">
        <v>1166</v>
      </c>
      <c r="W1168">
        <v>24</v>
      </c>
      <c r="X1168">
        <v>1.2070000000000001</v>
      </c>
      <c r="Y1168" s="32">
        <v>2.93</v>
      </c>
      <c r="Z1168">
        <v>0</v>
      </c>
      <c r="AA1168" s="32">
        <v>1.325</v>
      </c>
      <c r="AB1168">
        <v>0</v>
      </c>
      <c r="AC1168" s="34">
        <v>0.13100000000000001</v>
      </c>
      <c r="AD1168" s="32">
        <v>1.5960000000000001</v>
      </c>
    </row>
    <row r="1169" spans="1:30">
      <c r="A1169">
        <v>1167</v>
      </c>
      <c r="B1169">
        <v>25</v>
      </c>
      <c r="C1169">
        <v>1.196</v>
      </c>
      <c r="D1169">
        <v>2.93</v>
      </c>
      <c r="E1169">
        <v>0</v>
      </c>
      <c r="F1169">
        <v>1.3779999999999999</v>
      </c>
      <c r="G1169">
        <v>0</v>
      </c>
      <c r="H1169">
        <v>0.13700000000000001</v>
      </c>
      <c r="I1169">
        <v>1.69</v>
      </c>
      <c r="K1169">
        <v>1167</v>
      </c>
      <c r="L1169">
        <v>25</v>
      </c>
      <c r="M1169" s="32">
        <v>1.196</v>
      </c>
      <c r="N1169" s="32">
        <v>2.93</v>
      </c>
      <c r="P1169" s="47">
        <v>1.379</v>
      </c>
      <c r="R1169" s="47">
        <v>0.13900000000000001</v>
      </c>
      <c r="S1169" s="47">
        <v>1.6439999999999999</v>
      </c>
      <c r="T1169" s="31">
        <v>0</v>
      </c>
      <c r="V1169">
        <v>1167</v>
      </c>
      <c r="W1169">
        <v>24</v>
      </c>
      <c r="X1169">
        <v>1.208</v>
      </c>
      <c r="Y1169" s="32">
        <v>2.93</v>
      </c>
      <c r="Z1169">
        <v>0</v>
      </c>
      <c r="AA1169" s="32">
        <v>1.325</v>
      </c>
      <c r="AB1169">
        <v>0</v>
      </c>
      <c r="AC1169" s="34">
        <v>0.13100000000000001</v>
      </c>
      <c r="AD1169" s="32">
        <v>1.5980000000000001</v>
      </c>
    </row>
    <row r="1170" spans="1:30">
      <c r="A1170">
        <v>1168</v>
      </c>
      <c r="B1170">
        <v>25</v>
      </c>
      <c r="C1170">
        <v>1.1970000000000001</v>
      </c>
      <c r="D1170">
        <v>2.93</v>
      </c>
      <c r="E1170">
        <v>0</v>
      </c>
      <c r="F1170">
        <v>1.3779999999999999</v>
      </c>
      <c r="G1170">
        <v>0</v>
      </c>
      <c r="H1170">
        <v>0.13700000000000001</v>
      </c>
      <c r="I1170">
        <v>1.6919999999999999</v>
      </c>
      <c r="K1170">
        <v>1168</v>
      </c>
      <c r="L1170">
        <v>25</v>
      </c>
      <c r="M1170" s="32">
        <v>1.1970000000000001</v>
      </c>
      <c r="N1170" s="32">
        <v>2.93</v>
      </c>
      <c r="P1170" s="47">
        <v>1.379</v>
      </c>
      <c r="R1170" s="47">
        <v>0.13900000000000001</v>
      </c>
      <c r="S1170" s="47">
        <v>1.647</v>
      </c>
      <c r="T1170" s="31">
        <v>0</v>
      </c>
      <c r="V1170">
        <v>1168</v>
      </c>
      <c r="W1170">
        <v>24</v>
      </c>
      <c r="X1170">
        <v>1.2090000000000001</v>
      </c>
      <c r="Y1170" s="32">
        <v>2.93</v>
      </c>
      <c r="Z1170">
        <v>0</v>
      </c>
      <c r="AA1170" s="32">
        <v>1.325</v>
      </c>
      <c r="AB1170">
        <v>0</v>
      </c>
      <c r="AC1170" s="34">
        <v>0.13100000000000001</v>
      </c>
      <c r="AD1170" s="32">
        <v>1.599</v>
      </c>
    </row>
    <row r="1171" spans="1:30">
      <c r="A1171">
        <v>1169</v>
      </c>
      <c r="B1171">
        <v>25</v>
      </c>
      <c r="C1171">
        <v>1.198</v>
      </c>
      <c r="D1171">
        <v>2.93</v>
      </c>
      <c r="E1171">
        <v>0</v>
      </c>
      <c r="F1171">
        <v>1.3779999999999999</v>
      </c>
      <c r="G1171">
        <v>0</v>
      </c>
      <c r="H1171">
        <v>0.13700000000000001</v>
      </c>
      <c r="I1171">
        <v>1.694</v>
      </c>
      <c r="K1171">
        <v>1169</v>
      </c>
      <c r="L1171">
        <v>25</v>
      </c>
      <c r="M1171" s="32">
        <v>1.198</v>
      </c>
      <c r="N1171" s="32">
        <v>2.93</v>
      </c>
      <c r="P1171" s="47">
        <v>1.38</v>
      </c>
      <c r="R1171" s="47">
        <v>0.13900000000000001</v>
      </c>
      <c r="S1171" s="47">
        <v>1.65</v>
      </c>
      <c r="T1171" s="31">
        <v>0</v>
      </c>
      <c r="V1171">
        <v>1169</v>
      </c>
      <c r="W1171">
        <v>24</v>
      </c>
      <c r="X1171">
        <v>1.21</v>
      </c>
      <c r="Y1171" s="32">
        <v>2.93</v>
      </c>
      <c r="Z1171">
        <v>0</v>
      </c>
      <c r="AA1171" s="32">
        <v>1.3260000000000001</v>
      </c>
      <c r="AB1171">
        <v>0</v>
      </c>
      <c r="AC1171" s="34">
        <v>0.13100000000000001</v>
      </c>
      <c r="AD1171" s="32">
        <v>1.601</v>
      </c>
    </row>
    <row r="1172" spans="1:30">
      <c r="A1172">
        <v>1170</v>
      </c>
      <c r="B1172">
        <v>25</v>
      </c>
      <c r="C1172">
        <v>1.1990000000000001</v>
      </c>
      <c r="D1172">
        <v>2.93</v>
      </c>
      <c r="E1172">
        <v>0</v>
      </c>
      <c r="F1172">
        <v>1.3779999999999999</v>
      </c>
      <c r="G1172">
        <v>0</v>
      </c>
      <c r="H1172">
        <v>0.13700000000000001</v>
      </c>
      <c r="I1172">
        <v>1.696</v>
      </c>
      <c r="K1172">
        <v>1170</v>
      </c>
      <c r="L1172">
        <v>25</v>
      </c>
      <c r="M1172" s="32">
        <v>1.1990000000000001</v>
      </c>
      <c r="N1172" s="32">
        <v>2.93</v>
      </c>
      <c r="P1172" s="47">
        <v>1.38</v>
      </c>
      <c r="R1172" s="47">
        <v>0.13900000000000001</v>
      </c>
      <c r="S1172" s="47">
        <v>1.653</v>
      </c>
      <c r="T1172" s="31">
        <v>0</v>
      </c>
      <c r="V1172">
        <v>1170</v>
      </c>
      <c r="W1172">
        <v>24</v>
      </c>
      <c r="X1172">
        <v>1.2110000000000001</v>
      </c>
      <c r="Y1172" s="32">
        <v>2.93</v>
      </c>
      <c r="Z1172">
        <v>0</v>
      </c>
      <c r="AA1172" s="32">
        <v>1.3260000000000001</v>
      </c>
      <c r="AB1172">
        <v>0</v>
      </c>
      <c r="AC1172" s="34">
        <v>0.13100000000000001</v>
      </c>
      <c r="AD1172" s="32">
        <v>1.6020000000000001</v>
      </c>
    </row>
    <row r="1173" spans="1:30">
      <c r="A1173">
        <v>1171</v>
      </c>
      <c r="B1173">
        <v>25</v>
      </c>
      <c r="C1173">
        <v>1.2</v>
      </c>
      <c r="D1173">
        <v>2.93</v>
      </c>
      <c r="E1173">
        <v>0</v>
      </c>
      <c r="F1173">
        <v>1.38</v>
      </c>
      <c r="G1173">
        <v>0</v>
      </c>
      <c r="H1173">
        <v>0.13700000000000001</v>
      </c>
      <c r="I1173">
        <v>1.6559999999999999</v>
      </c>
      <c r="K1173">
        <v>1171</v>
      </c>
      <c r="L1173">
        <v>25</v>
      </c>
      <c r="M1173" s="32">
        <v>1.2</v>
      </c>
      <c r="N1173" s="32">
        <v>2.93</v>
      </c>
      <c r="P1173" s="32">
        <v>1.38</v>
      </c>
      <c r="R1173" s="47">
        <v>0.13900000000000001</v>
      </c>
      <c r="S1173" s="32">
        <v>1.6559999999999999</v>
      </c>
      <c r="T1173" s="31">
        <v>0</v>
      </c>
      <c r="V1173">
        <v>1171</v>
      </c>
      <c r="W1173">
        <v>24</v>
      </c>
      <c r="X1173">
        <v>1.212</v>
      </c>
      <c r="Y1173" s="32">
        <v>2.93</v>
      </c>
      <c r="Z1173">
        <v>0</v>
      </c>
      <c r="AA1173" s="32">
        <v>1.3260000000000001</v>
      </c>
      <c r="AB1173">
        <v>0</v>
      </c>
      <c r="AC1173" s="34">
        <v>0.13100000000000001</v>
      </c>
      <c r="AD1173" s="32">
        <v>1.6040000000000001</v>
      </c>
    </row>
    <row r="1174" spans="1:30">
      <c r="A1174">
        <v>1172</v>
      </c>
      <c r="B1174">
        <v>25</v>
      </c>
      <c r="C1174">
        <v>1.2010000000000001</v>
      </c>
      <c r="D1174">
        <v>2.93</v>
      </c>
      <c r="E1174">
        <v>0</v>
      </c>
      <c r="F1174">
        <v>1.38</v>
      </c>
      <c r="G1174">
        <v>0</v>
      </c>
      <c r="H1174">
        <v>0.13700000000000001</v>
      </c>
      <c r="I1174">
        <v>1.728</v>
      </c>
      <c r="K1174">
        <v>1172</v>
      </c>
      <c r="L1174">
        <v>25</v>
      </c>
      <c r="M1174" s="32">
        <v>1.2010000000000001</v>
      </c>
      <c r="N1174" s="32">
        <v>2.93</v>
      </c>
      <c r="P1174" s="32">
        <v>1.38</v>
      </c>
      <c r="R1174" s="47">
        <v>0.13900000000000001</v>
      </c>
      <c r="S1174" s="47">
        <v>1.6579999999999999</v>
      </c>
      <c r="T1174" s="31">
        <v>0</v>
      </c>
      <c r="V1174">
        <v>1172</v>
      </c>
      <c r="W1174">
        <v>24</v>
      </c>
      <c r="X1174">
        <v>1.2130000000000001</v>
      </c>
      <c r="Y1174" s="32">
        <v>2.93</v>
      </c>
      <c r="Z1174">
        <v>0</v>
      </c>
      <c r="AA1174" s="32">
        <v>1.3260000000000001</v>
      </c>
      <c r="AB1174">
        <v>0</v>
      </c>
      <c r="AC1174" s="34">
        <v>0.13100000000000001</v>
      </c>
      <c r="AD1174" s="32">
        <v>1.6060000000000001</v>
      </c>
    </row>
    <row r="1175" spans="1:30">
      <c r="A1175">
        <v>1173</v>
      </c>
      <c r="B1175">
        <v>25</v>
      </c>
      <c r="C1175">
        <v>1.202</v>
      </c>
      <c r="D1175">
        <v>2.93</v>
      </c>
      <c r="E1175">
        <v>0</v>
      </c>
      <c r="F1175">
        <v>1.38</v>
      </c>
      <c r="G1175">
        <v>0</v>
      </c>
      <c r="H1175">
        <v>0.13700000000000001</v>
      </c>
      <c r="I1175">
        <v>1.73</v>
      </c>
      <c r="K1175">
        <v>1173</v>
      </c>
      <c r="L1175">
        <v>25</v>
      </c>
      <c r="M1175" s="32">
        <v>1.202</v>
      </c>
      <c r="N1175" s="32">
        <v>2.93</v>
      </c>
      <c r="P1175" s="47">
        <v>1.381</v>
      </c>
      <c r="R1175" s="47">
        <v>0.13900000000000001</v>
      </c>
      <c r="S1175" s="47">
        <v>1.66</v>
      </c>
      <c r="T1175" s="31">
        <v>0</v>
      </c>
      <c r="V1175">
        <v>1173</v>
      </c>
      <c r="W1175">
        <v>24</v>
      </c>
      <c r="X1175">
        <v>1.214</v>
      </c>
      <c r="Y1175" s="32">
        <v>2.93</v>
      </c>
      <c r="Z1175">
        <v>0</v>
      </c>
      <c r="AA1175" s="32">
        <v>1.3260000000000001</v>
      </c>
      <c r="AB1175">
        <v>0</v>
      </c>
      <c r="AC1175" s="34">
        <v>0.13100000000000001</v>
      </c>
      <c r="AD1175" s="32">
        <v>1.607</v>
      </c>
    </row>
    <row r="1176" spans="1:30">
      <c r="A1176">
        <v>1174</v>
      </c>
      <c r="B1176">
        <v>25</v>
      </c>
      <c r="C1176">
        <v>1.2030000000000001</v>
      </c>
      <c r="D1176">
        <v>2.93</v>
      </c>
      <c r="E1176">
        <v>0</v>
      </c>
      <c r="F1176">
        <v>1.38</v>
      </c>
      <c r="G1176">
        <v>0</v>
      </c>
      <c r="H1176">
        <v>0.13700000000000001</v>
      </c>
      <c r="I1176">
        <v>1.732</v>
      </c>
      <c r="K1176">
        <v>1174</v>
      </c>
      <c r="L1176">
        <v>25</v>
      </c>
      <c r="M1176" s="32">
        <v>1.2030000000000001</v>
      </c>
      <c r="N1176" s="32">
        <v>2.93</v>
      </c>
      <c r="P1176" s="47">
        <v>1.381</v>
      </c>
      <c r="R1176" s="47">
        <v>0.13900000000000001</v>
      </c>
      <c r="S1176" s="47">
        <v>1.661</v>
      </c>
      <c r="T1176" s="31">
        <v>0</v>
      </c>
      <c r="V1176">
        <v>1174</v>
      </c>
      <c r="W1176">
        <v>24</v>
      </c>
      <c r="X1176">
        <v>1.2150000000000001</v>
      </c>
      <c r="Y1176" s="32">
        <v>2.93</v>
      </c>
      <c r="Z1176">
        <v>0</v>
      </c>
      <c r="AA1176" s="32">
        <v>1.327</v>
      </c>
      <c r="AB1176">
        <v>0</v>
      </c>
      <c r="AC1176" s="34">
        <v>0.13100000000000001</v>
      </c>
      <c r="AD1176" s="32">
        <v>1.609</v>
      </c>
    </row>
    <row r="1177" spans="1:30">
      <c r="A1177">
        <v>1175</v>
      </c>
      <c r="B1177">
        <v>25</v>
      </c>
      <c r="C1177">
        <v>1.204</v>
      </c>
      <c r="D1177">
        <v>2.93</v>
      </c>
      <c r="E1177">
        <v>0</v>
      </c>
      <c r="F1177">
        <v>1.38</v>
      </c>
      <c r="G1177">
        <v>0</v>
      </c>
      <c r="H1177">
        <v>0.13700000000000001</v>
      </c>
      <c r="I1177">
        <v>1.734</v>
      </c>
      <c r="K1177">
        <v>1175</v>
      </c>
      <c r="L1177">
        <v>25</v>
      </c>
      <c r="M1177" s="32">
        <v>1.204</v>
      </c>
      <c r="N1177" s="32">
        <v>2.93</v>
      </c>
      <c r="P1177" s="47">
        <v>1.381</v>
      </c>
      <c r="R1177" s="47">
        <v>0.13900000000000001</v>
      </c>
      <c r="S1177" s="47">
        <v>1.663</v>
      </c>
      <c r="T1177" s="31">
        <v>0</v>
      </c>
      <c r="V1177">
        <v>1175</v>
      </c>
      <c r="W1177">
        <v>24</v>
      </c>
      <c r="X1177">
        <v>1.216</v>
      </c>
      <c r="Y1177" s="32">
        <v>2.93</v>
      </c>
      <c r="Z1177">
        <v>0</v>
      </c>
      <c r="AA1177" s="32">
        <v>1.327</v>
      </c>
      <c r="AB1177">
        <v>0</v>
      </c>
      <c r="AC1177" s="34">
        <v>0.13100000000000001</v>
      </c>
      <c r="AD1177" s="32">
        <v>1.61</v>
      </c>
    </row>
    <row r="1178" spans="1:30">
      <c r="A1178">
        <v>1176</v>
      </c>
      <c r="B1178">
        <v>25</v>
      </c>
      <c r="C1178">
        <v>1.2050000000000001</v>
      </c>
      <c r="D1178">
        <v>2.93</v>
      </c>
      <c r="E1178">
        <v>0</v>
      </c>
      <c r="F1178">
        <v>1.38</v>
      </c>
      <c r="G1178">
        <v>0</v>
      </c>
      <c r="H1178">
        <v>0.13700000000000001</v>
      </c>
      <c r="I1178">
        <v>1.7350000000000001</v>
      </c>
      <c r="K1178">
        <v>1176</v>
      </c>
      <c r="L1178">
        <v>25</v>
      </c>
      <c r="M1178" s="32">
        <v>1.2050000000000001</v>
      </c>
      <c r="N1178" s="32">
        <v>2.93</v>
      </c>
      <c r="P1178" s="47">
        <v>1.3819999999999999</v>
      </c>
      <c r="R1178" s="47">
        <v>0.13900000000000001</v>
      </c>
      <c r="S1178" s="47">
        <v>1.665</v>
      </c>
      <c r="T1178" s="31">
        <v>0</v>
      </c>
      <c r="V1178">
        <v>1176</v>
      </c>
      <c r="W1178">
        <v>24</v>
      </c>
      <c r="X1178">
        <v>1.2170000000000001</v>
      </c>
      <c r="Y1178" s="32">
        <v>2.93</v>
      </c>
      <c r="Z1178">
        <v>0</v>
      </c>
      <c r="AA1178" s="32">
        <v>1.327</v>
      </c>
      <c r="AB1178">
        <v>0</v>
      </c>
      <c r="AC1178" s="34">
        <v>0.13100000000000001</v>
      </c>
      <c r="AD1178" s="32">
        <v>1.6120000000000001</v>
      </c>
    </row>
    <row r="1179" spans="1:30">
      <c r="A1179">
        <v>1177</v>
      </c>
      <c r="B1179">
        <v>25</v>
      </c>
      <c r="C1179">
        <v>1.206</v>
      </c>
      <c r="D1179">
        <v>2.93</v>
      </c>
      <c r="E1179">
        <v>0</v>
      </c>
      <c r="F1179">
        <v>1.38</v>
      </c>
      <c r="G1179">
        <v>0</v>
      </c>
      <c r="H1179">
        <v>0.13700000000000001</v>
      </c>
      <c r="I1179">
        <v>1.7370000000000001</v>
      </c>
      <c r="K1179">
        <v>1177</v>
      </c>
      <c r="L1179">
        <v>25</v>
      </c>
      <c r="M1179" s="32">
        <v>1.206</v>
      </c>
      <c r="N1179" s="32">
        <v>2.93</v>
      </c>
      <c r="P1179" s="47">
        <v>1.3819999999999999</v>
      </c>
      <c r="R1179" s="47">
        <v>0.13900000000000001</v>
      </c>
      <c r="S1179" s="47">
        <v>1.667</v>
      </c>
      <c r="T1179" s="31">
        <v>0</v>
      </c>
      <c r="V1179">
        <v>1177</v>
      </c>
      <c r="W1179">
        <v>24</v>
      </c>
      <c r="X1179">
        <v>1.218</v>
      </c>
      <c r="Y1179" s="32">
        <v>2.93</v>
      </c>
      <c r="Z1179">
        <v>0</v>
      </c>
      <c r="AA1179" s="32">
        <v>1.327</v>
      </c>
      <c r="AB1179">
        <v>0</v>
      </c>
      <c r="AC1179" s="34">
        <v>0.13200000000000001</v>
      </c>
      <c r="AD1179" s="32">
        <v>1.6140000000000001</v>
      </c>
    </row>
    <row r="1180" spans="1:30">
      <c r="A1180">
        <v>1178</v>
      </c>
      <c r="B1180">
        <v>25</v>
      </c>
      <c r="C1180">
        <v>1.2070000000000001</v>
      </c>
      <c r="D1180">
        <v>2.93</v>
      </c>
      <c r="E1180">
        <v>0</v>
      </c>
      <c r="F1180">
        <v>1.38</v>
      </c>
      <c r="G1180">
        <v>0</v>
      </c>
      <c r="H1180">
        <v>0.13700000000000001</v>
      </c>
      <c r="I1180">
        <v>1.7390000000000001</v>
      </c>
      <c r="K1180">
        <v>1178</v>
      </c>
      <c r="L1180">
        <v>25</v>
      </c>
      <c r="M1180" s="32">
        <v>1.2070000000000001</v>
      </c>
      <c r="N1180" s="32">
        <v>2.93</v>
      </c>
      <c r="P1180" s="47">
        <v>1.3819999999999999</v>
      </c>
      <c r="R1180" s="47">
        <v>0.13900000000000001</v>
      </c>
      <c r="S1180" s="47">
        <v>1.669</v>
      </c>
      <c r="T1180" s="31">
        <v>0</v>
      </c>
      <c r="V1180">
        <v>1178</v>
      </c>
      <c r="W1180">
        <v>24</v>
      </c>
      <c r="X1180">
        <v>1.2190000000000001</v>
      </c>
      <c r="Y1180" s="32">
        <v>2.93</v>
      </c>
      <c r="Z1180">
        <v>0</v>
      </c>
      <c r="AA1180" s="32">
        <v>1.327</v>
      </c>
      <c r="AB1180">
        <v>0</v>
      </c>
      <c r="AC1180" s="34">
        <v>0.13200000000000001</v>
      </c>
      <c r="AD1180" s="32">
        <v>1.615</v>
      </c>
    </row>
    <row r="1181" spans="1:30">
      <c r="A1181">
        <v>1179</v>
      </c>
      <c r="B1181">
        <v>25</v>
      </c>
      <c r="C1181">
        <v>1.208</v>
      </c>
      <c r="D1181">
        <v>2.93</v>
      </c>
      <c r="E1181">
        <v>0</v>
      </c>
      <c r="F1181">
        <v>1.38</v>
      </c>
      <c r="G1181">
        <v>0</v>
      </c>
      <c r="H1181">
        <v>0.13700000000000001</v>
      </c>
      <c r="I1181">
        <v>1.7410000000000001</v>
      </c>
      <c r="K1181">
        <v>1179</v>
      </c>
      <c r="L1181">
        <v>25</v>
      </c>
      <c r="M1181" s="32">
        <v>1.208</v>
      </c>
      <c r="N1181" s="32">
        <v>2.93</v>
      </c>
      <c r="P1181" s="47">
        <v>1.3819999999999999</v>
      </c>
      <c r="R1181" s="47">
        <v>0.13900000000000001</v>
      </c>
      <c r="S1181" s="47">
        <v>1.67</v>
      </c>
      <c r="T1181" s="31">
        <v>0</v>
      </c>
      <c r="V1181">
        <v>1179</v>
      </c>
      <c r="W1181">
        <v>24</v>
      </c>
      <c r="X1181">
        <v>1.22</v>
      </c>
      <c r="Y1181" s="32">
        <v>2.93</v>
      </c>
      <c r="Z1181">
        <v>0</v>
      </c>
      <c r="AA1181" s="32">
        <v>1.3280000000000001</v>
      </c>
      <c r="AB1181">
        <v>0</v>
      </c>
      <c r="AC1181" s="34">
        <v>0.13200000000000001</v>
      </c>
      <c r="AD1181" s="32">
        <v>1.617</v>
      </c>
    </row>
    <row r="1182" spans="1:30">
      <c r="A1182">
        <v>1180</v>
      </c>
      <c r="B1182">
        <v>25</v>
      </c>
      <c r="C1182">
        <v>1.2090000000000001</v>
      </c>
      <c r="D1182">
        <v>2.93</v>
      </c>
      <c r="E1182">
        <v>0</v>
      </c>
      <c r="F1182">
        <v>1.38</v>
      </c>
      <c r="G1182">
        <v>0</v>
      </c>
      <c r="H1182">
        <v>0.13700000000000001</v>
      </c>
      <c r="I1182">
        <v>1.742</v>
      </c>
      <c r="K1182">
        <v>1180</v>
      </c>
      <c r="L1182">
        <v>25</v>
      </c>
      <c r="M1182" s="32">
        <v>1.2090000000000001</v>
      </c>
      <c r="N1182" s="32">
        <v>2.93</v>
      </c>
      <c r="P1182" s="47">
        <v>1.383</v>
      </c>
      <c r="R1182" s="47">
        <v>0.13900000000000001</v>
      </c>
      <c r="S1182" s="47">
        <v>1.6719999999999999</v>
      </c>
      <c r="T1182" s="31">
        <v>0</v>
      </c>
      <c r="V1182">
        <v>1180</v>
      </c>
      <c r="W1182">
        <v>24</v>
      </c>
      <c r="X1182">
        <v>1.2210000000000001</v>
      </c>
      <c r="Y1182" s="32">
        <v>2.93</v>
      </c>
      <c r="Z1182">
        <v>0</v>
      </c>
      <c r="AA1182" s="32">
        <v>1.3280000000000001</v>
      </c>
      <c r="AB1182">
        <v>0</v>
      </c>
      <c r="AC1182" s="34">
        <v>0.13200000000000001</v>
      </c>
      <c r="AD1182" s="32">
        <v>1.619</v>
      </c>
    </row>
    <row r="1183" spans="1:30">
      <c r="A1183">
        <v>1181</v>
      </c>
      <c r="B1183">
        <v>25</v>
      </c>
      <c r="C1183">
        <v>1.21</v>
      </c>
      <c r="D1183">
        <v>2.93</v>
      </c>
      <c r="E1183">
        <v>0</v>
      </c>
      <c r="F1183">
        <v>1.383</v>
      </c>
      <c r="G1183">
        <v>0</v>
      </c>
      <c r="H1183">
        <v>0.13700000000000001</v>
      </c>
      <c r="I1183">
        <v>1.6739999999999999</v>
      </c>
      <c r="K1183">
        <v>1181</v>
      </c>
      <c r="L1183">
        <v>25</v>
      </c>
      <c r="M1183" s="32">
        <v>1.21</v>
      </c>
      <c r="N1183" s="32">
        <v>2.93</v>
      </c>
      <c r="P1183" s="32">
        <v>1.383</v>
      </c>
      <c r="R1183" s="47">
        <v>0.14000000000000001</v>
      </c>
      <c r="S1183" s="32">
        <v>1.6739999999999999</v>
      </c>
      <c r="T1183" s="31">
        <v>0</v>
      </c>
      <c r="V1183">
        <v>1181</v>
      </c>
      <c r="W1183">
        <v>24</v>
      </c>
      <c r="X1183">
        <v>1.222</v>
      </c>
      <c r="Y1183" s="32">
        <v>2.93</v>
      </c>
      <c r="Z1183">
        <v>0</v>
      </c>
      <c r="AA1183" s="32">
        <v>1.3280000000000001</v>
      </c>
      <c r="AB1183">
        <v>0</v>
      </c>
      <c r="AC1183" s="34">
        <v>0.13200000000000001</v>
      </c>
      <c r="AD1183" s="32">
        <v>1.62</v>
      </c>
    </row>
    <row r="1184" spans="1:30">
      <c r="A1184">
        <v>1182</v>
      </c>
      <c r="B1184">
        <v>25</v>
      </c>
      <c r="C1184">
        <v>1.2110000000000001</v>
      </c>
      <c r="D1184">
        <v>2.93</v>
      </c>
      <c r="E1184">
        <v>0</v>
      </c>
      <c r="F1184">
        <v>1.383</v>
      </c>
      <c r="G1184">
        <v>0</v>
      </c>
      <c r="H1184">
        <v>0.13700000000000001</v>
      </c>
      <c r="I1184">
        <v>1.764</v>
      </c>
      <c r="K1184">
        <v>1182</v>
      </c>
      <c r="L1184">
        <v>25</v>
      </c>
      <c r="M1184" s="32">
        <v>1.2110000000000001</v>
      </c>
      <c r="N1184" s="32">
        <v>2.93</v>
      </c>
      <c r="P1184" s="32">
        <v>1.383</v>
      </c>
      <c r="R1184" s="47">
        <v>0.14000000000000001</v>
      </c>
      <c r="S1184" s="47">
        <v>1.6759999999999999</v>
      </c>
      <c r="T1184" s="31">
        <v>0</v>
      </c>
      <c r="V1184">
        <v>1182</v>
      </c>
      <c r="W1184">
        <v>24</v>
      </c>
      <c r="X1184">
        <v>1.2230000000000001</v>
      </c>
      <c r="Y1184" s="32">
        <v>2.93</v>
      </c>
      <c r="Z1184">
        <v>0</v>
      </c>
      <c r="AA1184" s="32">
        <v>1.3280000000000001</v>
      </c>
      <c r="AB1184">
        <v>0</v>
      </c>
      <c r="AC1184" s="34">
        <v>0.13200000000000001</v>
      </c>
      <c r="AD1184" s="32">
        <v>1.6220000000000001</v>
      </c>
    </row>
    <row r="1185" spans="1:30">
      <c r="A1185">
        <v>1183</v>
      </c>
      <c r="B1185">
        <v>25</v>
      </c>
      <c r="C1185">
        <v>1.212</v>
      </c>
      <c r="D1185">
        <v>2.93</v>
      </c>
      <c r="E1185">
        <v>0</v>
      </c>
      <c r="F1185">
        <v>1.383</v>
      </c>
      <c r="G1185">
        <v>0</v>
      </c>
      <c r="H1185">
        <v>0.13700000000000001</v>
      </c>
      <c r="I1185">
        <v>1.766</v>
      </c>
      <c r="K1185">
        <v>1183</v>
      </c>
      <c r="L1185">
        <v>25</v>
      </c>
      <c r="M1185" s="32">
        <v>1.212</v>
      </c>
      <c r="N1185" s="32">
        <v>2.93</v>
      </c>
      <c r="P1185" s="47">
        <v>1.3839999999999999</v>
      </c>
      <c r="R1185" s="47">
        <v>0.14000000000000001</v>
      </c>
      <c r="S1185" s="47">
        <v>1.6779999999999999</v>
      </c>
      <c r="T1185" s="31">
        <v>0</v>
      </c>
      <c r="V1185">
        <v>1183</v>
      </c>
      <c r="W1185">
        <v>24</v>
      </c>
      <c r="X1185">
        <v>1.224</v>
      </c>
      <c r="Y1185" s="32">
        <v>2.93</v>
      </c>
      <c r="Z1185">
        <v>0</v>
      </c>
      <c r="AA1185" s="32">
        <v>1.3280000000000001</v>
      </c>
      <c r="AB1185">
        <v>0</v>
      </c>
      <c r="AC1185" s="34">
        <v>0.13200000000000001</v>
      </c>
      <c r="AD1185" s="32">
        <v>1.623</v>
      </c>
    </row>
    <row r="1186" spans="1:30">
      <c r="A1186">
        <v>1184</v>
      </c>
      <c r="B1186">
        <v>25</v>
      </c>
      <c r="C1186">
        <v>1.2130000000000001</v>
      </c>
      <c r="D1186">
        <v>2.93</v>
      </c>
      <c r="E1186">
        <v>0</v>
      </c>
      <c r="F1186">
        <v>1.383</v>
      </c>
      <c r="G1186">
        <v>0</v>
      </c>
      <c r="H1186">
        <v>0.13700000000000001</v>
      </c>
      <c r="I1186">
        <v>1.7669999999999999</v>
      </c>
      <c r="K1186">
        <v>1184</v>
      </c>
      <c r="L1186">
        <v>25</v>
      </c>
      <c r="M1186" s="32">
        <v>1.2130000000000001</v>
      </c>
      <c r="N1186" s="32">
        <v>2.93</v>
      </c>
      <c r="P1186" s="47">
        <v>1.3839999999999999</v>
      </c>
      <c r="R1186" s="47">
        <v>0.14000000000000001</v>
      </c>
      <c r="S1186" s="47">
        <v>1.679</v>
      </c>
      <c r="T1186" s="31">
        <v>0</v>
      </c>
      <c r="V1186">
        <v>1184</v>
      </c>
      <c r="W1186">
        <v>24</v>
      </c>
      <c r="X1186">
        <v>1.2250000000000001</v>
      </c>
      <c r="Y1186" s="32">
        <v>2.93</v>
      </c>
      <c r="Z1186">
        <v>0</v>
      </c>
      <c r="AA1186" s="32">
        <v>1.329</v>
      </c>
      <c r="AB1186">
        <v>0</v>
      </c>
      <c r="AC1186" s="34">
        <v>0.13200000000000001</v>
      </c>
      <c r="AD1186" s="32">
        <v>1.625</v>
      </c>
    </row>
    <row r="1187" spans="1:30">
      <c r="A1187">
        <v>1185</v>
      </c>
      <c r="B1187">
        <v>25</v>
      </c>
      <c r="C1187">
        <v>1.214</v>
      </c>
      <c r="D1187">
        <v>2.93</v>
      </c>
      <c r="E1187">
        <v>0</v>
      </c>
      <c r="F1187">
        <v>1.383</v>
      </c>
      <c r="G1187">
        <v>0</v>
      </c>
      <c r="H1187">
        <v>0.13700000000000001</v>
      </c>
      <c r="I1187">
        <v>1.7689999999999999</v>
      </c>
      <c r="K1187">
        <v>1185</v>
      </c>
      <c r="L1187">
        <v>25</v>
      </c>
      <c r="M1187" s="32">
        <v>1.214</v>
      </c>
      <c r="N1187" s="32">
        <v>2.93</v>
      </c>
      <c r="P1187" s="47">
        <v>1.385</v>
      </c>
      <c r="R1187" s="47">
        <v>0.14000000000000001</v>
      </c>
      <c r="S1187" s="47">
        <v>1.681</v>
      </c>
      <c r="T1187" s="31">
        <v>0</v>
      </c>
      <c r="V1187">
        <v>1185</v>
      </c>
      <c r="W1187">
        <v>24</v>
      </c>
      <c r="X1187">
        <v>1.226</v>
      </c>
      <c r="Y1187" s="32">
        <v>2.93</v>
      </c>
      <c r="Z1187">
        <v>0</v>
      </c>
      <c r="AA1187" s="32">
        <v>1.329</v>
      </c>
      <c r="AB1187">
        <v>0</v>
      </c>
      <c r="AC1187" s="34">
        <v>0.13200000000000001</v>
      </c>
      <c r="AD1187" s="32">
        <v>1.627</v>
      </c>
    </row>
    <row r="1188" spans="1:30">
      <c r="A1188">
        <v>1186</v>
      </c>
      <c r="B1188">
        <v>25</v>
      </c>
      <c r="C1188">
        <v>1.2150000000000001</v>
      </c>
      <c r="D1188">
        <v>2.93</v>
      </c>
      <c r="E1188">
        <v>0</v>
      </c>
      <c r="F1188">
        <v>1.383</v>
      </c>
      <c r="G1188">
        <v>0</v>
      </c>
      <c r="H1188">
        <v>0.13700000000000001</v>
      </c>
      <c r="I1188">
        <v>1.7709999999999999</v>
      </c>
      <c r="K1188">
        <v>1186</v>
      </c>
      <c r="L1188">
        <v>25</v>
      </c>
      <c r="M1188" s="32">
        <v>1.2150000000000001</v>
      </c>
      <c r="N1188" s="32">
        <v>2.93</v>
      </c>
      <c r="P1188" s="47">
        <v>1.385</v>
      </c>
      <c r="R1188" s="47">
        <v>0.14000000000000001</v>
      </c>
      <c r="S1188" s="47">
        <v>1.6830000000000001</v>
      </c>
      <c r="T1188" s="31">
        <v>0</v>
      </c>
      <c r="V1188">
        <v>1186</v>
      </c>
      <c r="W1188">
        <v>24</v>
      </c>
      <c r="X1188">
        <v>1.2270000000000001</v>
      </c>
      <c r="Y1188" s="32">
        <v>2.93</v>
      </c>
      <c r="Z1188">
        <v>0</v>
      </c>
      <c r="AA1188" s="32">
        <v>1.329</v>
      </c>
      <c r="AB1188">
        <v>0</v>
      </c>
      <c r="AC1188" s="34">
        <v>0.13200000000000001</v>
      </c>
      <c r="AD1188" s="32">
        <v>1.6279999999999999</v>
      </c>
    </row>
    <row r="1189" spans="1:30">
      <c r="A1189">
        <v>1187</v>
      </c>
      <c r="B1189">
        <v>25</v>
      </c>
      <c r="C1189">
        <v>1.216</v>
      </c>
      <c r="D1189">
        <v>2.93</v>
      </c>
      <c r="E1189">
        <v>0</v>
      </c>
      <c r="F1189">
        <v>1.383</v>
      </c>
      <c r="G1189">
        <v>0</v>
      </c>
      <c r="H1189">
        <v>0.13700000000000001</v>
      </c>
      <c r="I1189">
        <v>1.7729999999999999</v>
      </c>
      <c r="K1189">
        <v>1187</v>
      </c>
      <c r="L1189">
        <v>25</v>
      </c>
      <c r="M1189" s="32">
        <v>1.216</v>
      </c>
      <c r="N1189" s="32">
        <v>2.93</v>
      </c>
      <c r="P1189" s="47">
        <v>1.385</v>
      </c>
      <c r="R1189" s="47">
        <v>0.14000000000000001</v>
      </c>
      <c r="S1189" s="47">
        <v>1.6850000000000001</v>
      </c>
      <c r="T1189" s="31">
        <v>0</v>
      </c>
      <c r="V1189">
        <v>1187</v>
      </c>
      <c r="W1189">
        <v>24</v>
      </c>
      <c r="X1189">
        <v>1.228</v>
      </c>
      <c r="Y1189" s="32">
        <v>2.93</v>
      </c>
      <c r="Z1189">
        <v>0</v>
      </c>
      <c r="AA1189" s="32">
        <v>1.329</v>
      </c>
      <c r="AB1189">
        <v>0</v>
      </c>
      <c r="AC1189" s="34">
        <v>0.13200000000000001</v>
      </c>
      <c r="AD1189" s="32">
        <v>1.63</v>
      </c>
    </row>
    <row r="1190" spans="1:30">
      <c r="A1190">
        <v>1188</v>
      </c>
      <c r="B1190">
        <v>25</v>
      </c>
      <c r="C1190">
        <v>1.2170000000000001</v>
      </c>
      <c r="D1190">
        <v>2.93</v>
      </c>
      <c r="E1190">
        <v>0</v>
      </c>
      <c r="F1190">
        <v>1.383</v>
      </c>
      <c r="G1190">
        <v>0</v>
      </c>
      <c r="H1190">
        <v>0.13700000000000001</v>
      </c>
      <c r="I1190">
        <v>1.774</v>
      </c>
      <c r="K1190">
        <v>1188</v>
      </c>
      <c r="L1190">
        <v>25</v>
      </c>
      <c r="M1190" s="32">
        <v>1.2170000000000001</v>
      </c>
      <c r="N1190" s="32">
        <v>2.93</v>
      </c>
      <c r="P1190" s="47">
        <v>1.3859999999999999</v>
      </c>
      <c r="R1190" s="47">
        <v>0.14000000000000001</v>
      </c>
      <c r="S1190" s="47">
        <v>1.6870000000000001</v>
      </c>
      <c r="T1190" s="31">
        <v>0</v>
      </c>
      <c r="V1190">
        <v>1188</v>
      </c>
      <c r="W1190">
        <v>24</v>
      </c>
      <c r="X1190">
        <v>1.2290000000000001</v>
      </c>
      <c r="Y1190" s="32">
        <v>2.93</v>
      </c>
      <c r="Z1190">
        <v>0</v>
      </c>
      <c r="AA1190" s="32">
        <v>1.329</v>
      </c>
      <c r="AB1190">
        <v>0</v>
      </c>
      <c r="AC1190" s="34">
        <v>0.13200000000000001</v>
      </c>
      <c r="AD1190" s="32">
        <v>1.631</v>
      </c>
    </row>
    <row r="1191" spans="1:30">
      <c r="A1191">
        <v>1189</v>
      </c>
      <c r="B1191">
        <v>25</v>
      </c>
      <c r="C1191">
        <v>1.218</v>
      </c>
      <c r="D1191">
        <v>2.93</v>
      </c>
      <c r="E1191">
        <v>0</v>
      </c>
      <c r="F1191">
        <v>1.383</v>
      </c>
      <c r="G1191">
        <v>0</v>
      </c>
      <c r="H1191">
        <v>0.13700000000000001</v>
      </c>
      <c r="I1191">
        <v>1.776</v>
      </c>
      <c r="K1191">
        <v>1189</v>
      </c>
      <c r="L1191">
        <v>25</v>
      </c>
      <c r="M1191" s="32">
        <v>1.218</v>
      </c>
      <c r="N1191" s="32">
        <v>2.93</v>
      </c>
      <c r="P1191" s="47">
        <v>1.3859999999999999</v>
      </c>
      <c r="R1191" s="47">
        <v>0.14000000000000001</v>
      </c>
      <c r="S1191" s="47">
        <v>1.6879999999999999</v>
      </c>
      <c r="T1191" s="31">
        <v>0</v>
      </c>
      <c r="V1191">
        <v>1189</v>
      </c>
      <c r="W1191">
        <v>24</v>
      </c>
      <c r="X1191">
        <v>1.23</v>
      </c>
      <c r="Y1191" s="32">
        <v>2.93</v>
      </c>
      <c r="Z1191">
        <v>0</v>
      </c>
      <c r="AA1191" s="32">
        <v>1.329</v>
      </c>
      <c r="AB1191">
        <v>0</v>
      </c>
      <c r="AC1191" s="34">
        <v>0.13200000000000001</v>
      </c>
      <c r="AD1191" s="32">
        <v>1.633</v>
      </c>
    </row>
    <row r="1192" spans="1:30">
      <c r="A1192">
        <v>1190</v>
      </c>
      <c r="B1192">
        <v>25</v>
      </c>
      <c r="C1192">
        <v>1.2190000000000001</v>
      </c>
      <c r="D1192">
        <v>2.93</v>
      </c>
      <c r="E1192">
        <v>0</v>
      </c>
      <c r="F1192">
        <v>1.383</v>
      </c>
      <c r="G1192">
        <v>0</v>
      </c>
      <c r="H1192">
        <v>0.13700000000000001</v>
      </c>
      <c r="I1192">
        <v>1.778</v>
      </c>
      <c r="K1192">
        <v>1190</v>
      </c>
      <c r="L1192">
        <v>25</v>
      </c>
      <c r="M1192" s="32">
        <v>1.2190000000000001</v>
      </c>
      <c r="N1192" s="32">
        <v>2.93</v>
      </c>
      <c r="P1192" s="47">
        <v>1.387</v>
      </c>
      <c r="R1192" s="47">
        <v>0.14000000000000001</v>
      </c>
      <c r="S1192" s="47">
        <v>1.69</v>
      </c>
      <c r="T1192" s="31">
        <v>0</v>
      </c>
      <c r="V1192">
        <v>1190</v>
      </c>
      <c r="W1192">
        <v>24</v>
      </c>
      <c r="X1192">
        <v>1.2310000000000001</v>
      </c>
      <c r="Y1192" s="32">
        <v>2.9409999999999998</v>
      </c>
      <c r="Z1192">
        <v>0</v>
      </c>
      <c r="AA1192" s="32">
        <v>1.33</v>
      </c>
      <c r="AB1192">
        <v>0</v>
      </c>
      <c r="AC1192" s="34">
        <v>0.13200000000000001</v>
      </c>
      <c r="AD1192" s="32">
        <v>1.635</v>
      </c>
    </row>
    <row r="1193" spans="1:30">
      <c r="A1193">
        <v>1191</v>
      </c>
      <c r="B1193">
        <v>25</v>
      </c>
      <c r="C1193">
        <v>1.22</v>
      </c>
      <c r="D1193">
        <v>2.93</v>
      </c>
      <c r="E1193">
        <v>0</v>
      </c>
      <c r="F1193">
        <v>1.387</v>
      </c>
      <c r="G1193">
        <v>0</v>
      </c>
      <c r="H1193">
        <v>0.13700000000000001</v>
      </c>
      <c r="I1193">
        <v>1.6919999999999999</v>
      </c>
      <c r="K1193">
        <v>1191</v>
      </c>
      <c r="L1193">
        <v>25</v>
      </c>
      <c r="M1193" s="32">
        <v>1.22</v>
      </c>
      <c r="N1193" s="32">
        <v>2.93</v>
      </c>
      <c r="P1193" s="32">
        <v>1.387</v>
      </c>
      <c r="R1193" s="47">
        <v>0.14000000000000001</v>
      </c>
      <c r="S1193" s="32">
        <v>1.6919999999999999</v>
      </c>
      <c r="T1193" s="31">
        <v>0</v>
      </c>
      <c r="V1193">
        <v>1191</v>
      </c>
      <c r="W1193">
        <v>24</v>
      </c>
      <c r="X1193">
        <v>1.232</v>
      </c>
      <c r="Y1193" s="32">
        <v>2.952</v>
      </c>
      <c r="Z1193">
        <v>0</v>
      </c>
      <c r="AA1193" s="32">
        <v>1.33</v>
      </c>
      <c r="AB1193">
        <v>0</v>
      </c>
      <c r="AC1193" s="34">
        <v>0.13200000000000001</v>
      </c>
      <c r="AD1193" s="32">
        <v>1.6359999999999999</v>
      </c>
    </row>
    <row r="1194" spans="1:30">
      <c r="A1194">
        <v>1192</v>
      </c>
      <c r="B1194">
        <v>25</v>
      </c>
      <c r="C1194">
        <v>1.2210000000000001</v>
      </c>
      <c r="D1194">
        <v>2.93</v>
      </c>
      <c r="E1194">
        <v>0</v>
      </c>
      <c r="F1194">
        <v>1.387</v>
      </c>
      <c r="G1194">
        <v>0</v>
      </c>
      <c r="H1194">
        <v>0.13700000000000001</v>
      </c>
      <c r="I1194">
        <v>1.8</v>
      </c>
      <c r="K1194">
        <v>1192</v>
      </c>
      <c r="L1194">
        <v>25</v>
      </c>
      <c r="M1194" s="32">
        <v>1.2210000000000001</v>
      </c>
      <c r="N1194" s="32">
        <v>2.93</v>
      </c>
      <c r="P1194" s="32">
        <v>1.387</v>
      </c>
      <c r="R1194" s="47">
        <v>0.14000000000000001</v>
      </c>
      <c r="S1194" s="47">
        <v>1.694</v>
      </c>
      <c r="T1194" s="31">
        <v>0</v>
      </c>
      <c r="V1194">
        <v>1192</v>
      </c>
      <c r="W1194">
        <v>24</v>
      </c>
      <c r="X1194">
        <v>1.2330000000000001</v>
      </c>
      <c r="Y1194" s="32">
        <v>2.9630000000000001</v>
      </c>
      <c r="Z1194">
        <v>0</v>
      </c>
      <c r="AA1194" s="32">
        <v>1.33</v>
      </c>
      <c r="AB1194">
        <v>0</v>
      </c>
      <c r="AC1194" s="34">
        <v>0.13200000000000001</v>
      </c>
      <c r="AD1194" s="32">
        <v>1.6379999999999999</v>
      </c>
    </row>
    <row r="1195" spans="1:30">
      <c r="A1195">
        <v>1193</v>
      </c>
      <c r="B1195">
        <v>25</v>
      </c>
      <c r="C1195">
        <v>1.222</v>
      </c>
      <c r="D1195">
        <v>2.93</v>
      </c>
      <c r="E1195">
        <v>0</v>
      </c>
      <c r="F1195">
        <v>1.387</v>
      </c>
      <c r="G1195">
        <v>0</v>
      </c>
      <c r="H1195">
        <v>0.13700000000000001</v>
      </c>
      <c r="I1195">
        <v>1.8009999999999999</v>
      </c>
      <c r="K1195">
        <v>1193</v>
      </c>
      <c r="L1195">
        <v>25</v>
      </c>
      <c r="M1195" s="32">
        <v>1.222</v>
      </c>
      <c r="N1195" s="32">
        <v>2.93</v>
      </c>
      <c r="P1195" s="47">
        <v>1.3879999999999999</v>
      </c>
      <c r="R1195" s="47">
        <v>0.14000000000000001</v>
      </c>
      <c r="S1195" s="47">
        <v>1.6950000000000001</v>
      </c>
      <c r="T1195" s="31">
        <v>0</v>
      </c>
      <c r="V1195">
        <v>1193</v>
      </c>
      <c r="W1195">
        <v>24</v>
      </c>
      <c r="X1195">
        <v>1.234</v>
      </c>
      <c r="Y1195" s="32">
        <v>2.9740000000000002</v>
      </c>
      <c r="Z1195">
        <v>0</v>
      </c>
      <c r="AA1195" s="32">
        <v>1.33</v>
      </c>
      <c r="AB1195">
        <v>0</v>
      </c>
      <c r="AC1195" s="34">
        <v>0.13200000000000001</v>
      </c>
      <c r="AD1195" s="32">
        <v>1.639</v>
      </c>
    </row>
    <row r="1196" spans="1:30">
      <c r="A1196">
        <v>1194</v>
      </c>
      <c r="B1196">
        <v>25</v>
      </c>
      <c r="C1196">
        <v>1.2230000000000001</v>
      </c>
      <c r="D1196">
        <v>2.93</v>
      </c>
      <c r="E1196">
        <v>0</v>
      </c>
      <c r="F1196">
        <v>1.387</v>
      </c>
      <c r="G1196">
        <v>0</v>
      </c>
      <c r="H1196">
        <v>0.13700000000000001</v>
      </c>
      <c r="I1196">
        <v>1.8029999999999999</v>
      </c>
      <c r="K1196">
        <v>1194</v>
      </c>
      <c r="L1196">
        <v>25</v>
      </c>
      <c r="M1196" s="32">
        <v>1.2230000000000001</v>
      </c>
      <c r="N1196" s="32">
        <v>2.93</v>
      </c>
      <c r="P1196" s="47">
        <v>1.3879999999999999</v>
      </c>
      <c r="R1196" s="47">
        <v>0.14000000000000001</v>
      </c>
      <c r="S1196" s="47">
        <v>1.6970000000000001</v>
      </c>
      <c r="T1196" s="31">
        <v>0</v>
      </c>
      <c r="V1196">
        <v>1194</v>
      </c>
      <c r="W1196">
        <v>24</v>
      </c>
      <c r="X1196">
        <v>1.2350000000000001</v>
      </c>
      <c r="Y1196" s="32">
        <v>2.9849999999999999</v>
      </c>
      <c r="Z1196">
        <v>0</v>
      </c>
      <c r="AA1196" s="32">
        <v>1.33</v>
      </c>
      <c r="AB1196">
        <v>0</v>
      </c>
      <c r="AC1196" s="34">
        <v>0.13200000000000001</v>
      </c>
      <c r="AD1196" s="32">
        <v>1.641</v>
      </c>
    </row>
    <row r="1197" spans="1:30">
      <c r="A1197">
        <v>1195</v>
      </c>
      <c r="B1197">
        <v>25</v>
      </c>
      <c r="C1197">
        <v>1.224</v>
      </c>
      <c r="D1197">
        <v>2.93</v>
      </c>
      <c r="E1197">
        <v>0</v>
      </c>
      <c r="F1197">
        <v>1.387</v>
      </c>
      <c r="G1197">
        <v>0</v>
      </c>
      <c r="H1197">
        <v>0.13700000000000001</v>
      </c>
      <c r="I1197">
        <v>1.8049999999999999</v>
      </c>
      <c r="K1197">
        <v>1195</v>
      </c>
      <c r="L1197">
        <v>25</v>
      </c>
      <c r="M1197" s="32">
        <v>1.224</v>
      </c>
      <c r="N1197" s="32">
        <v>2.93</v>
      </c>
      <c r="P1197" s="47">
        <v>1.3879999999999999</v>
      </c>
      <c r="R1197" s="47">
        <v>0.14000000000000001</v>
      </c>
      <c r="S1197" s="47">
        <v>1.6990000000000001</v>
      </c>
      <c r="T1197" s="31">
        <v>0</v>
      </c>
      <c r="V1197">
        <v>1195</v>
      </c>
      <c r="W1197">
        <v>24</v>
      </c>
      <c r="X1197">
        <v>1.236</v>
      </c>
      <c r="Y1197" s="32">
        <v>2.996</v>
      </c>
      <c r="Z1197">
        <v>0</v>
      </c>
      <c r="AA1197" s="32">
        <v>1.331</v>
      </c>
      <c r="AB1197">
        <v>0</v>
      </c>
      <c r="AC1197" s="34">
        <v>0.13200000000000001</v>
      </c>
      <c r="AD1197" s="32">
        <v>1.643</v>
      </c>
    </row>
    <row r="1198" spans="1:30">
      <c r="A1198">
        <v>1196</v>
      </c>
      <c r="B1198">
        <v>25</v>
      </c>
      <c r="C1198">
        <v>1.2250000000000001</v>
      </c>
      <c r="D1198">
        <v>2.93</v>
      </c>
      <c r="E1198">
        <v>0</v>
      </c>
      <c r="F1198">
        <v>1.387</v>
      </c>
      <c r="G1198">
        <v>0</v>
      </c>
      <c r="H1198">
        <v>0.13700000000000001</v>
      </c>
      <c r="I1198">
        <v>1.8069999999999999</v>
      </c>
      <c r="K1198">
        <v>1196</v>
      </c>
      <c r="L1198">
        <v>25</v>
      </c>
      <c r="M1198" s="32">
        <v>1.2250000000000001</v>
      </c>
      <c r="N1198" s="32">
        <v>2.93</v>
      </c>
      <c r="P1198" s="47">
        <v>1.389</v>
      </c>
      <c r="R1198" s="47">
        <v>0.14000000000000001</v>
      </c>
      <c r="S1198" s="47">
        <v>1.7010000000000001</v>
      </c>
      <c r="T1198" s="31">
        <v>0</v>
      </c>
      <c r="V1198">
        <v>1196</v>
      </c>
      <c r="W1198">
        <v>24</v>
      </c>
      <c r="X1198">
        <v>1.2370000000000001</v>
      </c>
      <c r="Y1198" s="32">
        <v>3.0070000000000001</v>
      </c>
      <c r="Z1198">
        <v>0</v>
      </c>
      <c r="AA1198" s="32">
        <v>1.331</v>
      </c>
      <c r="AB1198">
        <v>0</v>
      </c>
      <c r="AC1198" s="34">
        <v>0.13200000000000001</v>
      </c>
      <c r="AD1198" s="32">
        <v>1.6439999999999999</v>
      </c>
    </row>
    <row r="1199" spans="1:30">
      <c r="A1199">
        <v>1197</v>
      </c>
      <c r="B1199">
        <v>25</v>
      </c>
      <c r="C1199">
        <v>1.226</v>
      </c>
      <c r="D1199">
        <v>2.93</v>
      </c>
      <c r="E1199">
        <v>0</v>
      </c>
      <c r="F1199">
        <v>1.387</v>
      </c>
      <c r="G1199">
        <v>0</v>
      </c>
      <c r="H1199">
        <v>0.13700000000000001</v>
      </c>
      <c r="I1199">
        <v>1.8080000000000001</v>
      </c>
      <c r="K1199">
        <v>1197</v>
      </c>
      <c r="L1199">
        <v>25</v>
      </c>
      <c r="M1199" s="32">
        <v>1.226</v>
      </c>
      <c r="N1199" s="32">
        <v>2.93</v>
      </c>
      <c r="P1199" s="47">
        <v>1.389</v>
      </c>
      <c r="R1199" s="47">
        <v>0.14000000000000001</v>
      </c>
      <c r="S1199" s="47">
        <v>1.702</v>
      </c>
      <c r="T1199" s="31">
        <v>0</v>
      </c>
      <c r="V1199">
        <v>1197</v>
      </c>
      <c r="W1199">
        <v>24</v>
      </c>
      <c r="X1199">
        <v>1.238</v>
      </c>
      <c r="Y1199" s="32">
        <v>3.0179999999999998</v>
      </c>
      <c r="Z1199">
        <v>0</v>
      </c>
      <c r="AA1199" s="32">
        <v>1.331</v>
      </c>
      <c r="AB1199">
        <v>0</v>
      </c>
      <c r="AC1199" s="34">
        <v>0.13300000000000001</v>
      </c>
      <c r="AD1199" s="32">
        <v>1.6459999999999999</v>
      </c>
    </row>
    <row r="1200" spans="1:30">
      <c r="A1200">
        <v>1198</v>
      </c>
      <c r="B1200">
        <v>25</v>
      </c>
      <c r="C1200">
        <v>1.2270000000000001</v>
      </c>
      <c r="D1200">
        <v>2.93</v>
      </c>
      <c r="E1200">
        <v>0</v>
      </c>
      <c r="F1200">
        <v>1.387</v>
      </c>
      <c r="G1200">
        <v>0</v>
      </c>
      <c r="H1200">
        <v>0.13700000000000001</v>
      </c>
      <c r="I1200">
        <v>1.81</v>
      </c>
      <c r="K1200">
        <v>1198</v>
      </c>
      <c r="L1200">
        <v>25</v>
      </c>
      <c r="M1200" s="32">
        <v>1.2270000000000001</v>
      </c>
      <c r="N1200" s="32">
        <v>2.93</v>
      </c>
      <c r="P1200" s="47">
        <v>1.389</v>
      </c>
      <c r="R1200" s="47">
        <v>0.14000000000000001</v>
      </c>
      <c r="S1200" s="47">
        <v>1.704</v>
      </c>
      <c r="T1200" s="31">
        <v>0</v>
      </c>
      <c r="V1200">
        <v>1198</v>
      </c>
      <c r="W1200">
        <v>24</v>
      </c>
      <c r="X1200">
        <v>1.2390000000000001</v>
      </c>
      <c r="Y1200" s="32">
        <v>3.0289999999999999</v>
      </c>
      <c r="Z1200">
        <v>0</v>
      </c>
      <c r="AA1200" s="32">
        <v>1.331</v>
      </c>
      <c r="AB1200">
        <v>0</v>
      </c>
      <c r="AC1200" s="34">
        <v>0.13300000000000001</v>
      </c>
      <c r="AD1200" s="32">
        <v>1.6479999999999999</v>
      </c>
    </row>
    <row r="1201" spans="1:30">
      <c r="A1201">
        <v>1199</v>
      </c>
      <c r="B1201">
        <v>25</v>
      </c>
      <c r="C1201">
        <v>1.228</v>
      </c>
      <c r="D1201">
        <v>2.93</v>
      </c>
      <c r="E1201">
        <v>0</v>
      </c>
      <c r="F1201">
        <v>1.387</v>
      </c>
      <c r="G1201">
        <v>0</v>
      </c>
      <c r="H1201">
        <v>0.13700000000000001</v>
      </c>
      <c r="I1201">
        <v>1.8120000000000001</v>
      </c>
      <c r="K1201">
        <v>1199</v>
      </c>
      <c r="L1201">
        <v>25</v>
      </c>
      <c r="M1201" s="32">
        <v>1.228</v>
      </c>
      <c r="N1201" s="32">
        <v>2.93</v>
      </c>
      <c r="P1201" s="47">
        <v>1.389</v>
      </c>
      <c r="R1201" s="47">
        <v>0.14000000000000001</v>
      </c>
      <c r="S1201" s="47">
        <v>1.706</v>
      </c>
      <c r="T1201" s="31">
        <v>0</v>
      </c>
      <c r="V1201">
        <v>1199</v>
      </c>
      <c r="W1201">
        <v>24</v>
      </c>
      <c r="X1201">
        <v>1.24</v>
      </c>
      <c r="Y1201" s="32">
        <v>3.04</v>
      </c>
      <c r="Z1201">
        <v>0</v>
      </c>
      <c r="AA1201" s="32">
        <v>1.331</v>
      </c>
      <c r="AB1201">
        <v>0</v>
      </c>
      <c r="AC1201" s="34">
        <v>0.13300000000000001</v>
      </c>
      <c r="AD1201" s="32">
        <v>1.649</v>
      </c>
    </row>
    <row r="1202" spans="1:30">
      <c r="A1202">
        <v>1200</v>
      </c>
      <c r="B1202">
        <v>25</v>
      </c>
      <c r="C1202">
        <v>1.2290000000000001</v>
      </c>
      <c r="D1202">
        <v>2.93</v>
      </c>
      <c r="E1202">
        <v>0</v>
      </c>
      <c r="F1202">
        <v>1.387</v>
      </c>
      <c r="G1202">
        <v>0</v>
      </c>
      <c r="H1202">
        <v>0.13700000000000001</v>
      </c>
      <c r="I1202">
        <v>1.8140000000000001</v>
      </c>
      <c r="K1202">
        <v>1200</v>
      </c>
      <c r="L1202">
        <v>25</v>
      </c>
      <c r="M1202" s="32">
        <v>1.2290000000000001</v>
      </c>
      <c r="N1202" s="32">
        <v>2.93</v>
      </c>
      <c r="P1202" s="47">
        <v>1.39</v>
      </c>
      <c r="R1202" s="47">
        <v>0.14000000000000001</v>
      </c>
      <c r="S1202" s="47">
        <v>1.7070000000000001</v>
      </c>
      <c r="T1202" s="31">
        <v>0</v>
      </c>
      <c r="V1202">
        <v>1200</v>
      </c>
      <c r="W1202">
        <v>24</v>
      </c>
      <c r="X1202">
        <v>1.2410000000000001</v>
      </c>
      <c r="Y1202" s="32">
        <v>3.04</v>
      </c>
      <c r="Z1202">
        <v>0</v>
      </c>
      <c r="AA1202" s="32">
        <v>1.3320000000000001</v>
      </c>
      <c r="AB1202">
        <v>0</v>
      </c>
      <c r="AC1202" s="34">
        <v>0.13300000000000001</v>
      </c>
      <c r="AD1202" s="32">
        <v>1.651</v>
      </c>
    </row>
    <row r="1203" spans="1:30">
      <c r="A1203">
        <v>1201</v>
      </c>
      <c r="B1203">
        <v>25</v>
      </c>
      <c r="C1203">
        <v>1.23</v>
      </c>
      <c r="D1203">
        <v>2.93</v>
      </c>
      <c r="E1203">
        <v>0</v>
      </c>
      <c r="F1203">
        <v>1.39</v>
      </c>
      <c r="G1203">
        <v>0</v>
      </c>
      <c r="H1203">
        <v>0.13700000000000001</v>
      </c>
      <c r="I1203">
        <v>1.7090000000000001</v>
      </c>
      <c r="K1203">
        <v>1201</v>
      </c>
      <c r="L1203">
        <v>25</v>
      </c>
      <c r="M1203" s="32">
        <v>1.23</v>
      </c>
      <c r="N1203" s="32">
        <v>2.93</v>
      </c>
      <c r="P1203" s="32">
        <v>1.39</v>
      </c>
      <c r="R1203" s="47">
        <v>0.14099999999999999</v>
      </c>
      <c r="S1203" s="32">
        <v>1.7090000000000001</v>
      </c>
      <c r="T1203" s="31">
        <v>0</v>
      </c>
      <c r="V1203">
        <v>1201</v>
      </c>
      <c r="W1203">
        <v>24</v>
      </c>
      <c r="X1203">
        <v>1.242</v>
      </c>
      <c r="Y1203" s="32">
        <v>3.04</v>
      </c>
      <c r="Z1203">
        <v>0</v>
      </c>
      <c r="AA1203" s="32">
        <v>1.3320000000000001</v>
      </c>
      <c r="AB1203">
        <v>0</v>
      </c>
      <c r="AC1203" s="34">
        <v>0.13300000000000001</v>
      </c>
      <c r="AD1203" s="32">
        <v>1.6519999999999999</v>
      </c>
    </row>
    <row r="1204" spans="1:30">
      <c r="A1204">
        <v>1202</v>
      </c>
      <c r="B1204">
        <v>25</v>
      </c>
      <c r="C1204">
        <v>1.2310000000000001</v>
      </c>
      <c r="D1204">
        <v>2.93</v>
      </c>
      <c r="E1204">
        <v>0</v>
      </c>
      <c r="F1204">
        <v>1.39</v>
      </c>
      <c r="G1204">
        <v>0</v>
      </c>
      <c r="H1204">
        <v>0.13700000000000001</v>
      </c>
      <c r="I1204">
        <v>1.8340000000000001</v>
      </c>
      <c r="K1204">
        <v>1202</v>
      </c>
      <c r="L1204">
        <v>25</v>
      </c>
      <c r="M1204" s="32">
        <v>1.2310000000000001</v>
      </c>
      <c r="N1204" s="47">
        <v>2.9409999999999998</v>
      </c>
      <c r="P1204" s="32">
        <v>1.39</v>
      </c>
      <c r="R1204" s="47">
        <v>0.14099999999999999</v>
      </c>
      <c r="S1204" s="47">
        <v>1.7110000000000001</v>
      </c>
      <c r="T1204" s="31">
        <v>0</v>
      </c>
      <c r="V1204">
        <v>1202</v>
      </c>
      <c r="W1204">
        <v>24</v>
      </c>
      <c r="X1204">
        <v>1.2430000000000001</v>
      </c>
      <c r="Y1204" s="32">
        <v>3.04</v>
      </c>
      <c r="Z1204">
        <v>0</v>
      </c>
      <c r="AA1204" s="32">
        <v>1.3320000000000001</v>
      </c>
      <c r="AB1204">
        <v>0</v>
      </c>
      <c r="AC1204" s="34">
        <v>0.13300000000000001</v>
      </c>
      <c r="AD1204" s="32">
        <v>1.6539999999999999</v>
      </c>
    </row>
    <row r="1205" spans="1:30">
      <c r="A1205">
        <v>1203</v>
      </c>
      <c r="B1205">
        <v>25</v>
      </c>
      <c r="C1205">
        <v>1.232</v>
      </c>
      <c r="D1205">
        <v>2.93</v>
      </c>
      <c r="E1205">
        <v>0</v>
      </c>
      <c r="F1205">
        <v>1.39</v>
      </c>
      <c r="G1205">
        <v>0</v>
      </c>
      <c r="H1205">
        <v>0.13700000000000001</v>
      </c>
      <c r="I1205">
        <v>1.8360000000000001</v>
      </c>
      <c r="K1205">
        <v>1203</v>
      </c>
      <c r="L1205">
        <v>25</v>
      </c>
      <c r="M1205" s="32">
        <v>1.232</v>
      </c>
      <c r="N1205" s="47">
        <v>2.952</v>
      </c>
      <c r="P1205" s="47">
        <v>1.391</v>
      </c>
      <c r="R1205" s="47">
        <v>0.14099999999999999</v>
      </c>
      <c r="S1205" s="47">
        <v>1.712</v>
      </c>
      <c r="T1205" s="31">
        <v>0</v>
      </c>
      <c r="V1205">
        <v>1203</v>
      </c>
      <c r="W1205">
        <v>24</v>
      </c>
      <c r="X1205">
        <v>1.244</v>
      </c>
      <c r="Y1205" s="32">
        <v>3.04</v>
      </c>
      <c r="Z1205">
        <v>0</v>
      </c>
      <c r="AA1205" s="32">
        <v>1.3320000000000001</v>
      </c>
      <c r="AB1205">
        <v>0</v>
      </c>
      <c r="AC1205" s="34">
        <v>0.13300000000000001</v>
      </c>
      <c r="AD1205" s="32">
        <v>1.6559999999999999</v>
      </c>
    </row>
    <row r="1206" spans="1:30">
      <c r="A1206">
        <v>1204</v>
      </c>
      <c r="B1206">
        <v>25</v>
      </c>
      <c r="C1206">
        <v>1.2330000000000001</v>
      </c>
      <c r="D1206">
        <v>2.93</v>
      </c>
      <c r="E1206">
        <v>0</v>
      </c>
      <c r="F1206">
        <v>1.39</v>
      </c>
      <c r="G1206">
        <v>0</v>
      </c>
      <c r="H1206">
        <v>0.13700000000000001</v>
      </c>
      <c r="I1206">
        <v>1.8380000000000001</v>
      </c>
      <c r="K1206">
        <v>1204</v>
      </c>
      <c r="L1206">
        <v>25</v>
      </c>
      <c r="M1206" s="32">
        <v>1.2330000000000001</v>
      </c>
      <c r="N1206" s="47">
        <v>2.9630000000000001</v>
      </c>
      <c r="P1206" s="47">
        <v>1.391</v>
      </c>
      <c r="R1206" s="47">
        <v>0.14099999999999999</v>
      </c>
      <c r="S1206" s="47">
        <v>1.714</v>
      </c>
      <c r="T1206" s="31">
        <v>0</v>
      </c>
      <c r="V1206">
        <v>1204</v>
      </c>
      <c r="W1206">
        <v>24</v>
      </c>
      <c r="X1206">
        <v>1.2450000000000001</v>
      </c>
      <c r="Y1206" s="32">
        <v>3.04</v>
      </c>
      <c r="Z1206">
        <v>0</v>
      </c>
      <c r="AA1206" s="32">
        <v>1.3320000000000001</v>
      </c>
      <c r="AB1206">
        <v>0</v>
      </c>
      <c r="AC1206" s="34">
        <v>0.13300000000000001</v>
      </c>
      <c r="AD1206" s="32">
        <v>1.657</v>
      </c>
    </row>
    <row r="1207" spans="1:30">
      <c r="A1207">
        <v>1205</v>
      </c>
      <c r="B1207">
        <v>25</v>
      </c>
      <c r="C1207">
        <v>1.234</v>
      </c>
      <c r="D1207">
        <v>2.93</v>
      </c>
      <c r="E1207">
        <v>0</v>
      </c>
      <c r="F1207">
        <v>1.39</v>
      </c>
      <c r="G1207">
        <v>0</v>
      </c>
      <c r="H1207">
        <v>0.13700000000000001</v>
      </c>
      <c r="I1207">
        <v>1.839</v>
      </c>
      <c r="K1207">
        <v>1205</v>
      </c>
      <c r="L1207">
        <v>25</v>
      </c>
      <c r="M1207" s="32">
        <v>1.234</v>
      </c>
      <c r="N1207" s="47">
        <v>2.9740000000000002</v>
      </c>
      <c r="P1207" s="47">
        <v>1.391</v>
      </c>
      <c r="R1207" s="47">
        <v>0.14099999999999999</v>
      </c>
      <c r="S1207" s="47">
        <v>1.7150000000000001</v>
      </c>
      <c r="T1207" s="31">
        <v>0</v>
      </c>
      <c r="V1207">
        <v>1205</v>
      </c>
      <c r="W1207">
        <v>24</v>
      </c>
      <c r="X1207">
        <v>1.246</v>
      </c>
      <c r="Y1207" s="32">
        <v>3.04</v>
      </c>
      <c r="Z1207">
        <v>0</v>
      </c>
      <c r="AA1207" s="32">
        <v>1.333</v>
      </c>
      <c r="AB1207">
        <v>0</v>
      </c>
      <c r="AC1207" s="34">
        <v>0.13300000000000001</v>
      </c>
      <c r="AD1207" s="32">
        <v>1.659</v>
      </c>
    </row>
    <row r="1208" spans="1:30">
      <c r="A1208">
        <v>1206</v>
      </c>
      <c r="B1208">
        <v>25</v>
      </c>
      <c r="C1208">
        <v>1.2350000000000001</v>
      </c>
      <c r="D1208">
        <v>2.93</v>
      </c>
      <c r="E1208">
        <v>0</v>
      </c>
      <c r="F1208">
        <v>1.39</v>
      </c>
      <c r="G1208">
        <v>0</v>
      </c>
      <c r="H1208">
        <v>0.13700000000000001</v>
      </c>
      <c r="I1208">
        <v>1.841</v>
      </c>
      <c r="K1208">
        <v>1206</v>
      </c>
      <c r="L1208">
        <v>25</v>
      </c>
      <c r="M1208" s="32">
        <v>1.2350000000000001</v>
      </c>
      <c r="N1208" s="47">
        <v>2.9849999999999999</v>
      </c>
      <c r="P1208" s="47">
        <v>1.3919999999999999</v>
      </c>
      <c r="R1208" s="47">
        <v>0.14099999999999999</v>
      </c>
      <c r="S1208" s="47">
        <v>1.7170000000000001</v>
      </c>
      <c r="T1208" s="31">
        <v>0</v>
      </c>
      <c r="V1208">
        <v>1206</v>
      </c>
      <c r="W1208">
        <v>24</v>
      </c>
      <c r="X1208">
        <v>1.2470000000000001</v>
      </c>
      <c r="Y1208" s="32">
        <v>3.04</v>
      </c>
      <c r="Z1208">
        <v>0</v>
      </c>
      <c r="AA1208" s="32">
        <v>1.333</v>
      </c>
      <c r="AB1208">
        <v>0</v>
      </c>
      <c r="AC1208" s="34">
        <v>0.13300000000000001</v>
      </c>
      <c r="AD1208" s="32">
        <v>1.66</v>
      </c>
    </row>
    <row r="1209" spans="1:30">
      <c r="A1209">
        <v>1207</v>
      </c>
      <c r="B1209">
        <v>25</v>
      </c>
      <c r="C1209">
        <v>1.236</v>
      </c>
      <c r="D1209">
        <v>2.93</v>
      </c>
      <c r="E1209">
        <v>0</v>
      </c>
      <c r="F1209">
        <v>1.39</v>
      </c>
      <c r="G1209">
        <v>0</v>
      </c>
      <c r="H1209">
        <v>0.13700000000000001</v>
      </c>
      <c r="I1209">
        <v>1.843</v>
      </c>
      <c r="K1209">
        <v>1207</v>
      </c>
      <c r="L1209">
        <v>25</v>
      </c>
      <c r="M1209" s="32">
        <v>1.236</v>
      </c>
      <c r="N1209" s="47">
        <v>2.996</v>
      </c>
      <c r="P1209" s="47">
        <v>1.3919999999999999</v>
      </c>
      <c r="R1209" s="47">
        <v>0.14099999999999999</v>
      </c>
      <c r="S1209" s="47">
        <v>1.7190000000000001</v>
      </c>
      <c r="T1209" s="31">
        <v>0</v>
      </c>
      <c r="V1209">
        <v>1207</v>
      </c>
      <c r="W1209">
        <v>24</v>
      </c>
      <c r="X1209">
        <v>1.248</v>
      </c>
      <c r="Y1209" s="32">
        <v>3.04</v>
      </c>
      <c r="Z1209">
        <v>0</v>
      </c>
      <c r="AA1209" s="32">
        <v>1.333</v>
      </c>
      <c r="AB1209">
        <v>0</v>
      </c>
      <c r="AC1209" s="34">
        <v>0.13300000000000001</v>
      </c>
      <c r="AD1209" s="32">
        <v>1.6619999999999999</v>
      </c>
    </row>
    <row r="1210" spans="1:30">
      <c r="A1210">
        <v>1208</v>
      </c>
      <c r="B1210">
        <v>25</v>
      </c>
      <c r="C1210">
        <v>1.2370000000000001</v>
      </c>
      <c r="D1210">
        <v>2.93</v>
      </c>
      <c r="E1210">
        <v>0</v>
      </c>
      <c r="F1210">
        <v>1.39</v>
      </c>
      <c r="G1210">
        <v>0</v>
      </c>
      <c r="H1210">
        <v>0.13700000000000001</v>
      </c>
      <c r="I1210">
        <v>1.845</v>
      </c>
      <c r="K1210">
        <v>1208</v>
      </c>
      <c r="L1210">
        <v>25</v>
      </c>
      <c r="M1210" s="32">
        <v>1.2370000000000001</v>
      </c>
      <c r="N1210" s="47">
        <v>3.0070000000000001</v>
      </c>
      <c r="P1210" s="47">
        <v>1.3919999999999999</v>
      </c>
      <c r="R1210" s="47">
        <v>0.14099999999999999</v>
      </c>
      <c r="S1210" s="47">
        <v>1.72</v>
      </c>
      <c r="T1210" s="31">
        <v>0</v>
      </c>
      <c r="V1210">
        <v>1208</v>
      </c>
      <c r="W1210">
        <v>24</v>
      </c>
      <c r="X1210">
        <v>1.2490000000000001</v>
      </c>
      <c r="Y1210" s="32">
        <v>3.04</v>
      </c>
      <c r="Z1210">
        <v>0</v>
      </c>
      <c r="AA1210" s="32">
        <v>1.333</v>
      </c>
      <c r="AB1210">
        <v>0</v>
      </c>
      <c r="AC1210" s="34">
        <v>0.13300000000000001</v>
      </c>
      <c r="AD1210" s="32">
        <v>1.6639999999999999</v>
      </c>
    </row>
    <row r="1211" spans="1:30">
      <c r="A1211">
        <v>1209</v>
      </c>
      <c r="B1211">
        <v>25</v>
      </c>
      <c r="C1211">
        <v>1.238</v>
      </c>
      <c r="D1211">
        <v>2.93</v>
      </c>
      <c r="E1211">
        <v>0</v>
      </c>
      <c r="F1211">
        <v>1.39</v>
      </c>
      <c r="G1211">
        <v>0</v>
      </c>
      <c r="H1211">
        <v>0.13700000000000001</v>
      </c>
      <c r="I1211">
        <v>1.8460000000000001</v>
      </c>
      <c r="K1211">
        <v>1209</v>
      </c>
      <c r="L1211">
        <v>25</v>
      </c>
      <c r="M1211" s="32">
        <v>1.238</v>
      </c>
      <c r="N1211" s="47">
        <v>3.0179999999999998</v>
      </c>
      <c r="P1211" s="47">
        <v>1.3919999999999999</v>
      </c>
      <c r="R1211" s="47">
        <v>0.14099999999999999</v>
      </c>
      <c r="S1211" s="47">
        <v>1.722</v>
      </c>
      <c r="T1211" s="31">
        <v>0</v>
      </c>
      <c r="V1211">
        <v>1209</v>
      </c>
      <c r="W1211">
        <v>24</v>
      </c>
      <c r="X1211">
        <v>1.25</v>
      </c>
      <c r="Y1211" s="32">
        <v>3.04</v>
      </c>
      <c r="Z1211">
        <v>0</v>
      </c>
      <c r="AA1211" s="32">
        <v>1.333</v>
      </c>
      <c r="AB1211">
        <v>0</v>
      </c>
      <c r="AC1211" s="34">
        <v>0.13300000000000001</v>
      </c>
      <c r="AD1211" s="32">
        <v>1.665</v>
      </c>
    </row>
    <row r="1212" spans="1:30">
      <c r="A1212">
        <v>1210</v>
      </c>
      <c r="B1212">
        <v>25</v>
      </c>
      <c r="C1212">
        <v>1.2390000000000001</v>
      </c>
      <c r="D1212">
        <v>2.93</v>
      </c>
      <c r="E1212">
        <v>0</v>
      </c>
      <c r="F1212">
        <v>1.39</v>
      </c>
      <c r="G1212">
        <v>0</v>
      </c>
      <c r="H1212">
        <v>0.13700000000000001</v>
      </c>
      <c r="I1212">
        <v>1.8480000000000001</v>
      </c>
      <c r="K1212">
        <v>1210</v>
      </c>
      <c r="L1212">
        <v>25</v>
      </c>
      <c r="M1212" s="32">
        <v>1.2390000000000001</v>
      </c>
      <c r="N1212" s="47">
        <v>3.0289999999999999</v>
      </c>
      <c r="P1212" s="47">
        <v>1.393</v>
      </c>
      <c r="R1212" s="47">
        <v>0.14099999999999999</v>
      </c>
      <c r="S1212" s="47">
        <v>1.7230000000000001</v>
      </c>
      <c r="T1212" s="31">
        <v>0</v>
      </c>
      <c r="V1212">
        <v>1210</v>
      </c>
      <c r="W1212">
        <v>24</v>
      </c>
      <c r="X1212">
        <v>1.2509999999999999</v>
      </c>
      <c r="Y1212" s="32">
        <v>3.04</v>
      </c>
      <c r="Z1212">
        <v>0</v>
      </c>
      <c r="AA1212" s="32">
        <v>1.3340000000000001</v>
      </c>
      <c r="AB1212">
        <v>0</v>
      </c>
      <c r="AC1212" s="34">
        <v>0.13300000000000001</v>
      </c>
      <c r="AD1212" s="32">
        <v>1.667</v>
      </c>
    </row>
    <row r="1213" spans="1:30">
      <c r="A1213">
        <v>1211</v>
      </c>
      <c r="B1213">
        <v>26</v>
      </c>
      <c r="C1213">
        <v>1.24</v>
      </c>
      <c r="D1213">
        <v>3.04</v>
      </c>
      <c r="E1213">
        <v>0</v>
      </c>
      <c r="F1213">
        <v>1.393</v>
      </c>
      <c r="G1213">
        <v>0</v>
      </c>
      <c r="H1213">
        <v>0.14099999999999999</v>
      </c>
      <c r="I1213">
        <v>1.7250000000000001</v>
      </c>
      <c r="K1213">
        <v>1211</v>
      </c>
      <c r="L1213">
        <v>26</v>
      </c>
      <c r="M1213" s="32">
        <v>1.24</v>
      </c>
      <c r="N1213" s="32">
        <v>3.04</v>
      </c>
      <c r="P1213" s="32">
        <v>1.393</v>
      </c>
      <c r="R1213" s="32">
        <v>0.14099999999999999</v>
      </c>
      <c r="S1213" s="32">
        <v>1.7250000000000001</v>
      </c>
      <c r="T1213" s="31">
        <v>0</v>
      </c>
      <c r="V1213">
        <v>1211</v>
      </c>
      <c r="W1213">
        <v>24</v>
      </c>
      <c r="X1213">
        <v>1.252</v>
      </c>
      <c r="Y1213" s="32">
        <v>3.04</v>
      </c>
      <c r="Z1213">
        <v>0</v>
      </c>
      <c r="AA1213" s="32">
        <v>1.3340000000000001</v>
      </c>
      <c r="AB1213">
        <v>0</v>
      </c>
      <c r="AC1213" s="34">
        <v>0.13300000000000001</v>
      </c>
      <c r="AD1213" s="32">
        <v>1.669</v>
      </c>
    </row>
    <row r="1214" spans="1:30">
      <c r="A1214">
        <v>1212</v>
      </c>
      <c r="B1214">
        <v>26</v>
      </c>
      <c r="C1214">
        <v>1.2410000000000001</v>
      </c>
      <c r="D1214">
        <v>3.04</v>
      </c>
      <c r="E1214">
        <v>0</v>
      </c>
      <c r="F1214">
        <v>1.393</v>
      </c>
      <c r="G1214">
        <v>0</v>
      </c>
      <c r="H1214">
        <v>0.14099999999999999</v>
      </c>
      <c r="I1214">
        <v>1.7270000000000001</v>
      </c>
      <c r="K1214">
        <v>1212</v>
      </c>
      <c r="L1214">
        <v>26</v>
      </c>
      <c r="M1214" s="32">
        <v>1.2410000000000001</v>
      </c>
      <c r="N1214" s="32">
        <v>3.04</v>
      </c>
      <c r="P1214" s="32">
        <v>1.393</v>
      </c>
      <c r="R1214" s="32">
        <v>0.14099999999999999</v>
      </c>
      <c r="S1214" s="32">
        <v>1.7270000000000001</v>
      </c>
      <c r="T1214" s="31">
        <v>0</v>
      </c>
      <c r="V1214">
        <v>1212</v>
      </c>
      <c r="W1214">
        <v>24</v>
      </c>
      <c r="X1214">
        <v>1.2529999999999999</v>
      </c>
      <c r="Y1214" s="32">
        <v>3.04</v>
      </c>
      <c r="Z1214">
        <v>0</v>
      </c>
      <c r="AA1214" s="32">
        <v>1.3340000000000001</v>
      </c>
      <c r="AB1214">
        <v>0</v>
      </c>
      <c r="AC1214" s="34">
        <v>0.13300000000000001</v>
      </c>
      <c r="AD1214" s="32">
        <v>1.67</v>
      </c>
    </row>
    <row r="1215" spans="1:30">
      <c r="A1215">
        <v>1213</v>
      </c>
      <c r="B1215">
        <v>26</v>
      </c>
      <c r="C1215">
        <v>1.242</v>
      </c>
      <c r="D1215">
        <v>3.04</v>
      </c>
      <c r="E1215">
        <v>0</v>
      </c>
      <c r="F1215">
        <v>1.3939999999999999</v>
      </c>
      <c r="G1215">
        <v>0</v>
      </c>
      <c r="H1215">
        <v>0.14099999999999999</v>
      </c>
      <c r="I1215">
        <v>1.7290000000000001</v>
      </c>
      <c r="K1215">
        <v>1213</v>
      </c>
      <c r="L1215">
        <v>26</v>
      </c>
      <c r="M1215" s="32">
        <v>1.242</v>
      </c>
      <c r="N1215" s="32">
        <v>3.04</v>
      </c>
      <c r="P1215" s="32">
        <v>1.3939999999999999</v>
      </c>
      <c r="R1215" s="32">
        <v>0.14099999999999999</v>
      </c>
      <c r="S1215" s="32">
        <v>1.7290000000000001</v>
      </c>
      <c r="T1215" s="31">
        <v>0</v>
      </c>
      <c r="V1215">
        <v>1213</v>
      </c>
      <c r="W1215">
        <v>24</v>
      </c>
      <c r="X1215">
        <v>1.254</v>
      </c>
      <c r="Y1215" s="32">
        <v>3.04</v>
      </c>
      <c r="Z1215">
        <v>0</v>
      </c>
      <c r="AA1215" s="32">
        <v>1.3340000000000001</v>
      </c>
      <c r="AB1215">
        <v>0</v>
      </c>
      <c r="AC1215" s="34">
        <v>0.13300000000000001</v>
      </c>
      <c r="AD1215" s="32">
        <v>1.6719999999999999</v>
      </c>
    </row>
    <row r="1216" spans="1:30">
      <c r="A1216">
        <v>1214</v>
      </c>
      <c r="B1216">
        <v>26</v>
      </c>
      <c r="C1216">
        <v>1.2430000000000001</v>
      </c>
      <c r="D1216">
        <v>3.05</v>
      </c>
      <c r="E1216">
        <v>0</v>
      </c>
      <c r="F1216">
        <v>1.3939999999999999</v>
      </c>
      <c r="G1216">
        <v>0</v>
      </c>
      <c r="H1216">
        <v>0.14099999999999999</v>
      </c>
      <c r="I1216">
        <v>1.73</v>
      </c>
      <c r="K1216">
        <v>1214</v>
      </c>
      <c r="L1216">
        <v>26</v>
      </c>
      <c r="M1216" s="32">
        <v>1.2430000000000001</v>
      </c>
      <c r="N1216" s="47">
        <v>3.04</v>
      </c>
      <c r="P1216" s="32">
        <v>1.3939999999999999</v>
      </c>
      <c r="R1216" s="32">
        <v>0.14099999999999999</v>
      </c>
      <c r="S1216" s="47">
        <v>1.7310000000000001</v>
      </c>
      <c r="T1216" s="31">
        <v>0</v>
      </c>
      <c r="V1216">
        <v>1214</v>
      </c>
      <c r="W1216">
        <v>24</v>
      </c>
      <c r="X1216">
        <v>1.2549999999999999</v>
      </c>
      <c r="Y1216" s="32">
        <v>3.04</v>
      </c>
      <c r="Z1216">
        <v>0</v>
      </c>
      <c r="AA1216" s="32">
        <v>1.3340000000000001</v>
      </c>
      <c r="AB1216">
        <v>0</v>
      </c>
      <c r="AC1216" s="34">
        <v>0.13300000000000001</v>
      </c>
      <c r="AD1216" s="32">
        <v>1.673</v>
      </c>
    </row>
    <row r="1217" spans="1:30">
      <c r="A1217">
        <v>1215</v>
      </c>
      <c r="B1217">
        <v>26</v>
      </c>
      <c r="C1217">
        <v>1.244</v>
      </c>
      <c r="D1217">
        <v>3.05</v>
      </c>
      <c r="E1217">
        <v>0</v>
      </c>
      <c r="F1217">
        <v>1.3939999999999999</v>
      </c>
      <c r="G1217">
        <v>0</v>
      </c>
      <c r="H1217">
        <v>0.14099999999999999</v>
      </c>
      <c r="I1217">
        <v>1.732</v>
      </c>
      <c r="K1217">
        <v>1215</v>
      </c>
      <c r="L1217">
        <v>26</v>
      </c>
      <c r="M1217" s="32">
        <v>1.244</v>
      </c>
      <c r="N1217" s="47">
        <v>3.04</v>
      </c>
      <c r="P1217" s="32">
        <v>1.3939999999999999</v>
      </c>
      <c r="R1217" s="32">
        <v>0.14099999999999999</v>
      </c>
      <c r="S1217" s="47">
        <v>1.7330000000000001</v>
      </c>
      <c r="T1217" s="31">
        <v>0</v>
      </c>
      <c r="V1217">
        <v>1215</v>
      </c>
      <c r="W1217">
        <v>24</v>
      </c>
      <c r="X1217">
        <v>1.256</v>
      </c>
      <c r="Y1217" s="32">
        <v>3.04</v>
      </c>
      <c r="Z1217">
        <v>0</v>
      </c>
      <c r="AA1217" s="32">
        <v>1.3340000000000001</v>
      </c>
      <c r="AB1217">
        <v>0</v>
      </c>
      <c r="AC1217" s="34">
        <v>0.13300000000000001</v>
      </c>
      <c r="AD1217" s="32">
        <v>1.675</v>
      </c>
    </row>
    <row r="1218" spans="1:30">
      <c r="A1218">
        <v>1216</v>
      </c>
      <c r="B1218">
        <v>26</v>
      </c>
      <c r="C1218">
        <v>1.2450000000000001</v>
      </c>
      <c r="D1218">
        <v>3.05</v>
      </c>
      <c r="E1218">
        <v>0</v>
      </c>
      <c r="F1218">
        <v>1.395</v>
      </c>
      <c r="G1218">
        <v>0</v>
      </c>
      <c r="H1218">
        <v>0.14099999999999999</v>
      </c>
      <c r="I1218">
        <v>1.734</v>
      </c>
      <c r="K1218">
        <v>1216</v>
      </c>
      <c r="L1218">
        <v>26</v>
      </c>
      <c r="M1218" s="32">
        <v>1.2450000000000001</v>
      </c>
      <c r="N1218" s="47">
        <v>3.04</v>
      </c>
      <c r="P1218" s="32">
        <v>1.395</v>
      </c>
      <c r="R1218" s="32">
        <v>0.14099999999999999</v>
      </c>
      <c r="S1218" s="47">
        <v>1.7350000000000001</v>
      </c>
      <c r="T1218" s="31">
        <v>0</v>
      </c>
      <c r="V1218">
        <v>1216</v>
      </c>
      <c r="W1218">
        <v>24</v>
      </c>
      <c r="X1218">
        <v>1.2569999999999999</v>
      </c>
      <c r="Y1218" s="32">
        <v>3.04</v>
      </c>
      <c r="Z1218">
        <v>0</v>
      </c>
      <c r="AA1218" s="32">
        <v>1.335</v>
      </c>
      <c r="AB1218">
        <v>0</v>
      </c>
      <c r="AC1218" s="34">
        <v>0.13300000000000001</v>
      </c>
      <c r="AD1218" s="32">
        <v>1.677</v>
      </c>
    </row>
    <row r="1219" spans="1:30">
      <c r="A1219">
        <v>1217</v>
      </c>
      <c r="B1219">
        <v>26</v>
      </c>
      <c r="C1219">
        <v>1.246</v>
      </c>
      <c r="D1219">
        <v>3.05</v>
      </c>
      <c r="E1219">
        <v>0</v>
      </c>
      <c r="F1219">
        <v>1.395</v>
      </c>
      <c r="G1219">
        <v>0</v>
      </c>
      <c r="H1219">
        <v>0.14099999999999999</v>
      </c>
      <c r="I1219">
        <v>1.736</v>
      </c>
      <c r="K1219">
        <v>1217</v>
      </c>
      <c r="L1219">
        <v>26</v>
      </c>
      <c r="M1219" s="32">
        <v>1.246</v>
      </c>
      <c r="N1219" s="47">
        <v>3.04</v>
      </c>
      <c r="P1219" s="32">
        <v>1.395</v>
      </c>
      <c r="R1219" s="32">
        <v>0.14099999999999999</v>
      </c>
      <c r="S1219" s="47">
        <v>1.7370000000000001</v>
      </c>
      <c r="T1219" s="31">
        <v>0</v>
      </c>
      <c r="V1219">
        <v>1217</v>
      </c>
      <c r="W1219">
        <v>24</v>
      </c>
      <c r="X1219">
        <v>1.258</v>
      </c>
      <c r="Y1219" s="32">
        <v>3.04</v>
      </c>
      <c r="Z1219">
        <v>0</v>
      </c>
      <c r="AA1219" s="32">
        <v>1.335</v>
      </c>
      <c r="AB1219">
        <v>0</v>
      </c>
      <c r="AC1219" s="34">
        <v>0.13300000000000001</v>
      </c>
      <c r="AD1219" s="32">
        <v>1.6779999999999999</v>
      </c>
    </row>
    <row r="1220" spans="1:30">
      <c r="A1220">
        <v>1218</v>
      </c>
      <c r="B1220">
        <v>26</v>
      </c>
      <c r="C1220">
        <v>1.2470000000000001</v>
      </c>
      <c r="D1220">
        <v>3.05</v>
      </c>
      <c r="E1220">
        <v>0</v>
      </c>
      <c r="F1220">
        <v>1.395</v>
      </c>
      <c r="G1220">
        <v>0</v>
      </c>
      <c r="H1220">
        <v>0.14099999999999999</v>
      </c>
      <c r="I1220">
        <v>1.738</v>
      </c>
      <c r="K1220">
        <v>1218</v>
      </c>
      <c r="L1220">
        <v>26</v>
      </c>
      <c r="M1220" s="32">
        <v>1.2470000000000001</v>
      </c>
      <c r="N1220" s="47">
        <v>3.04</v>
      </c>
      <c r="P1220" s="32">
        <v>1.395</v>
      </c>
      <c r="R1220" s="32">
        <v>0.14099999999999999</v>
      </c>
      <c r="S1220" s="47">
        <v>1.7390000000000001</v>
      </c>
      <c r="T1220" s="31">
        <v>0</v>
      </c>
      <c r="V1220">
        <v>1218</v>
      </c>
      <c r="W1220">
        <v>24</v>
      </c>
      <c r="X1220">
        <v>1.2589999999999999</v>
      </c>
      <c r="Y1220" s="32">
        <v>3.04</v>
      </c>
      <c r="Z1220">
        <v>0</v>
      </c>
      <c r="AA1220" s="32">
        <v>1.335</v>
      </c>
      <c r="AB1220">
        <v>0</v>
      </c>
      <c r="AC1220" s="34">
        <v>0.13400000000000001</v>
      </c>
      <c r="AD1220" s="32">
        <v>1.68</v>
      </c>
    </row>
    <row r="1221" spans="1:30">
      <c r="A1221">
        <v>1219</v>
      </c>
      <c r="B1221">
        <v>26</v>
      </c>
      <c r="C1221">
        <v>1.248</v>
      </c>
      <c r="D1221">
        <v>3.05</v>
      </c>
      <c r="E1221">
        <v>0</v>
      </c>
      <c r="F1221">
        <v>1.3959999999999999</v>
      </c>
      <c r="G1221">
        <v>0</v>
      </c>
      <c r="H1221">
        <v>0.14099999999999999</v>
      </c>
      <c r="I1221">
        <v>1.7390000000000001</v>
      </c>
      <c r="K1221">
        <v>1219</v>
      </c>
      <c r="L1221">
        <v>26</v>
      </c>
      <c r="M1221" s="32">
        <v>1.248</v>
      </c>
      <c r="N1221" s="47">
        <v>3.04</v>
      </c>
      <c r="P1221" s="47">
        <v>1.395</v>
      </c>
      <c r="R1221" s="32">
        <v>0.14099999999999999</v>
      </c>
      <c r="S1221" s="47">
        <v>1.7410000000000001</v>
      </c>
      <c r="T1221" s="31">
        <v>0</v>
      </c>
      <c r="V1221">
        <v>1219</v>
      </c>
      <c r="W1221">
        <v>24</v>
      </c>
      <c r="X1221">
        <v>1.26</v>
      </c>
      <c r="Y1221" s="32">
        <v>3.04</v>
      </c>
      <c r="Z1221">
        <v>0</v>
      </c>
      <c r="AA1221" s="32">
        <v>1.335</v>
      </c>
      <c r="AB1221">
        <v>0</v>
      </c>
      <c r="AC1221" s="34">
        <v>0.13400000000000001</v>
      </c>
      <c r="AD1221" s="32">
        <v>1.681</v>
      </c>
    </row>
    <row r="1222" spans="1:30">
      <c r="A1222">
        <v>1220</v>
      </c>
      <c r="B1222">
        <v>26</v>
      </c>
      <c r="C1222">
        <v>1.2490000000000001</v>
      </c>
      <c r="D1222">
        <v>3.06</v>
      </c>
      <c r="E1222">
        <v>0</v>
      </c>
      <c r="F1222">
        <v>1.3959999999999999</v>
      </c>
      <c r="G1222">
        <v>0</v>
      </c>
      <c r="H1222">
        <v>0.14099999999999999</v>
      </c>
      <c r="I1222">
        <v>1.7410000000000001</v>
      </c>
      <c r="K1222">
        <v>1220</v>
      </c>
      <c r="L1222">
        <v>26</v>
      </c>
      <c r="M1222" s="32">
        <v>1.2490000000000001</v>
      </c>
      <c r="N1222" s="47">
        <v>3.04</v>
      </c>
      <c r="P1222" s="32">
        <v>1.3959999999999999</v>
      </c>
      <c r="R1222" s="32">
        <v>0.14099999999999999</v>
      </c>
      <c r="S1222" s="47">
        <v>1.7430000000000001</v>
      </c>
      <c r="T1222" s="31">
        <v>0</v>
      </c>
      <c r="V1222">
        <v>1220</v>
      </c>
      <c r="W1222">
        <v>24</v>
      </c>
      <c r="X1222">
        <v>1.2609999999999999</v>
      </c>
      <c r="Y1222" s="32">
        <v>3.04</v>
      </c>
      <c r="Z1222">
        <v>0</v>
      </c>
      <c r="AA1222" s="32">
        <v>1.335</v>
      </c>
      <c r="AB1222">
        <v>0</v>
      </c>
      <c r="AC1222" s="34">
        <v>0.13400000000000001</v>
      </c>
      <c r="AD1222" s="32">
        <v>1.6830000000000001</v>
      </c>
    </row>
    <row r="1223" spans="1:30">
      <c r="A1223">
        <v>1221</v>
      </c>
      <c r="B1223">
        <v>26</v>
      </c>
      <c r="C1223">
        <v>1.25</v>
      </c>
      <c r="D1223">
        <v>3.04</v>
      </c>
      <c r="E1223">
        <v>0</v>
      </c>
      <c r="F1223">
        <v>1.3959999999999999</v>
      </c>
      <c r="G1223">
        <v>0</v>
      </c>
      <c r="H1223">
        <v>0.14099999999999999</v>
      </c>
      <c r="I1223">
        <v>1.7450000000000001</v>
      </c>
      <c r="K1223">
        <v>1221</v>
      </c>
      <c r="L1223">
        <v>26</v>
      </c>
      <c r="M1223" s="32">
        <v>1.25</v>
      </c>
      <c r="N1223" s="32">
        <v>3.04</v>
      </c>
      <c r="P1223" s="32">
        <v>1.3959999999999999</v>
      </c>
      <c r="R1223" s="32">
        <v>0.14099999999999999</v>
      </c>
      <c r="S1223" s="32">
        <v>1.7450000000000001</v>
      </c>
      <c r="T1223" s="31">
        <v>0</v>
      </c>
      <c r="V1223">
        <v>1221</v>
      </c>
      <c r="W1223">
        <v>24</v>
      </c>
      <c r="X1223">
        <v>1.262</v>
      </c>
      <c r="Y1223" s="32">
        <v>3.04</v>
      </c>
      <c r="Z1223">
        <v>0</v>
      </c>
      <c r="AA1223" s="32">
        <v>1.3360000000000001</v>
      </c>
      <c r="AB1223">
        <v>0</v>
      </c>
      <c r="AC1223" s="34">
        <v>0.13400000000000001</v>
      </c>
      <c r="AD1223" s="32">
        <v>1.6850000000000001</v>
      </c>
    </row>
    <row r="1224" spans="1:30">
      <c r="A1224">
        <v>1222</v>
      </c>
      <c r="B1224">
        <v>26</v>
      </c>
      <c r="C1224">
        <v>1.2509999999999999</v>
      </c>
      <c r="D1224">
        <v>3.04</v>
      </c>
      <c r="E1224">
        <v>0</v>
      </c>
      <c r="F1224">
        <v>1.3959999999999999</v>
      </c>
      <c r="G1224">
        <v>0</v>
      </c>
      <c r="H1224">
        <v>0.14099999999999999</v>
      </c>
      <c r="I1224">
        <v>1.7649999999999999</v>
      </c>
      <c r="K1224">
        <v>1222</v>
      </c>
      <c r="L1224">
        <v>26</v>
      </c>
      <c r="M1224" s="32">
        <v>1.2509999999999999</v>
      </c>
      <c r="N1224" s="32">
        <v>3.04</v>
      </c>
      <c r="P1224" s="32">
        <v>1.3959999999999999</v>
      </c>
      <c r="R1224" s="32">
        <v>0.14099999999999999</v>
      </c>
      <c r="S1224" s="47">
        <v>1.7470000000000001</v>
      </c>
      <c r="T1224" s="31">
        <v>0</v>
      </c>
      <c r="V1224">
        <v>1222</v>
      </c>
      <c r="W1224">
        <v>24</v>
      </c>
      <c r="X1224">
        <v>1.2629999999999999</v>
      </c>
      <c r="Y1224" s="32">
        <v>3.04</v>
      </c>
      <c r="Z1224">
        <v>0</v>
      </c>
      <c r="AA1224" s="32">
        <v>1.3360000000000001</v>
      </c>
      <c r="AB1224">
        <v>0</v>
      </c>
      <c r="AC1224" s="34">
        <v>0.13400000000000001</v>
      </c>
      <c r="AD1224" s="32">
        <v>1.6859999999999999</v>
      </c>
    </row>
    <row r="1225" spans="1:30">
      <c r="A1225">
        <v>1223</v>
      </c>
      <c r="B1225">
        <v>26</v>
      </c>
      <c r="C1225">
        <v>1.252</v>
      </c>
      <c r="D1225">
        <v>3.04</v>
      </c>
      <c r="E1225">
        <v>0</v>
      </c>
      <c r="F1225">
        <v>1.3959999999999999</v>
      </c>
      <c r="G1225">
        <v>0</v>
      </c>
      <c r="H1225">
        <v>0.14099999999999999</v>
      </c>
      <c r="I1225">
        <v>1.7669999999999999</v>
      </c>
      <c r="K1225">
        <v>1223</v>
      </c>
      <c r="L1225">
        <v>26</v>
      </c>
      <c r="M1225" s="32">
        <v>1.252</v>
      </c>
      <c r="N1225" s="32">
        <v>3.04</v>
      </c>
      <c r="P1225" s="47">
        <v>1.397</v>
      </c>
      <c r="R1225" s="32">
        <v>0.14099999999999999</v>
      </c>
      <c r="S1225" s="47">
        <v>1.7490000000000001</v>
      </c>
      <c r="T1225" s="31">
        <v>0</v>
      </c>
      <c r="V1225">
        <v>1223</v>
      </c>
      <c r="W1225">
        <v>24</v>
      </c>
      <c r="X1225">
        <v>1.264</v>
      </c>
      <c r="Y1225" s="32">
        <v>3.04</v>
      </c>
      <c r="Z1225">
        <v>0</v>
      </c>
      <c r="AA1225" s="32">
        <v>1.3360000000000001</v>
      </c>
      <c r="AB1225">
        <v>0</v>
      </c>
      <c r="AC1225" s="34">
        <v>0.13400000000000001</v>
      </c>
      <c r="AD1225" s="32">
        <v>1.6879999999999999</v>
      </c>
    </row>
    <row r="1226" spans="1:30">
      <c r="A1226">
        <v>1224</v>
      </c>
      <c r="B1226">
        <v>26</v>
      </c>
      <c r="C1226">
        <v>1.2529999999999999</v>
      </c>
      <c r="D1226">
        <v>3.04</v>
      </c>
      <c r="E1226">
        <v>0</v>
      </c>
      <c r="F1226">
        <v>1.3959999999999999</v>
      </c>
      <c r="G1226">
        <v>0</v>
      </c>
      <c r="H1226">
        <v>0.14099999999999999</v>
      </c>
      <c r="I1226">
        <v>1.768</v>
      </c>
      <c r="K1226">
        <v>1224</v>
      </c>
      <c r="L1226">
        <v>26</v>
      </c>
      <c r="M1226" s="32">
        <v>1.2529999999999999</v>
      </c>
      <c r="N1226" s="32">
        <v>3.04</v>
      </c>
      <c r="P1226" s="47">
        <v>1.397</v>
      </c>
      <c r="R1226" s="32">
        <v>0.14099999999999999</v>
      </c>
      <c r="S1226" s="47">
        <v>1.75</v>
      </c>
      <c r="T1226" s="31">
        <v>0</v>
      </c>
      <c r="V1226">
        <v>1224</v>
      </c>
      <c r="W1226">
        <v>24</v>
      </c>
      <c r="X1226">
        <v>1.2649999999999999</v>
      </c>
      <c r="Y1226" s="32">
        <v>3.04</v>
      </c>
      <c r="Z1226">
        <v>0</v>
      </c>
      <c r="AA1226" s="32">
        <v>1.3360000000000001</v>
      </c>
      <c r="AB1226">
        <v>0</v>
      </c>
      <c r="AC1226" s="34">
        <v>0.13400000000000001</v>
      </c>
      <c r="AD1226" s="32">
        <v>1.69</v>
      </c>
    </row>
    <row r="1227" spans="1:30">
      <c r="A1227">
        <v>1225</v>
      </c>
      <c r="B1227">
        <v>26</v>
      </c>
      <c r="C1227">
        <v>1.254</v>
      </c>
      <c r="D1227">
        <v>3.04</v>
      </c>
      <c r="E1227">
        <v>0</v>
      </c>
      <c r="F1227">
        <v>1.3959999999999999</v>
      </c>
      <c r="G1227">
        <v>0</v>
      </c>
      <c r="H1227">
        <v>0.14099999999999999</v>
      </c>
      <c r="I1227">
        <v>1.77</v>
      </c>
      <c r="K1227">
        <v>1225</v>
      </c>
      <c r="L1227">
        <v>26</v>
      </c>
      <c r="M1227" s="32">
        <v>1.254</v>
      </c>
      <c r="N1227" s="32">
        <v>3.04</v>
      </c>
      <c r="P1227" s="47">
        <v>1.3979999999999999</v>
      </c>
      <c r="R1227" s="47">
        <v>0.14199999999999999</v>
      </c>
      <c r="S1227" s="47">
        <v>1.752</v>
      </c>
      <c r="T1227" s="31">
        <v>0</v>
      </c>
      <c r="V1227">
        <v>1225</v>
      </c>
      <c r="W1227">
        <v>24</v>
      </c>
      <c r="X1227">
        <v>1.266</v>
      </c>
      <c r="Y1227" s="32">
        <v>3.04</v>
      </c>
      <c r="Z1227">
        <v>0</v>
      </c>
      <c r="AA1227" s="32">
        <v>1.3360000000000001</v>
      </c>
      <c r="AB1227">
        <v>0</v>
      </c>
      <c r="AC1227" s="34">
        <v>0.13400000000000001</v>
      </c>
      <c r="AD1227" s="32">
        <v>1.6910000000000001</v>
      </c>
    </row>
    <row r="1228" spans="1:30">
      <c r="A1228">
        <v>1226</v>
      </c>
      <c r="B1228">
        <v>26</v>
      </c>
      <c r="C1228">
        <v>1.2549999999999999</v>
      </c>
      <c r="D1228">
        <v>3.04</v>
      </c>
      <c r="E1228">
        <v>0</v>
      </c>
      <c r="F1228">
        <v>1.3959999999999999</v>
      </c>
      <c r="G1228">
        <v>0</v>
      </c>
      <c r="H1228">
        <v>0.14099999999999999</v>
      </c>
      <c r="I1228">
        <v>1.772</v>
      </c>
      <c r="K1228">
        <v>1226</v>
      </c>
      <c r="L1228">
        <v>26</v>
      </c>
      <c r="M1228" s="32">
        <v>1.2549999999999999</v>
      </c>
      <c r="N1228" s="32">
        <v>3.04</v>
      </c>
      <c r="P1228" s="47">
        <v>1.3979999999999999</v>
      </c>
      <c r="R1228" s="47">
        <v>0.14199999999999999</v>
      </c>
      <c r="S1228" s="47">
        <v>1.754</v>
      </c>
      <c r="T1228" s="31">
        <v>0</v>
      </c>
      <c r="V1228">
        <v>1226</v>
      </c>
      <c r="W1228">
        <v>24</v>
      </c>
      <c r="X1228">
        <v>1.2669999999999999</v>
      </c>
      <c r="Y1228" s="32">
        <v>3.04</v>
      </c>
      <c r="Z1228">
        <v>0</v>
      </c>
      <c r="AA1228" s="32">
        <v>1.337</v>
      </c>
      <c r="AB1228">
        <v>0</v>
      </c>
      <c r="AC1228" s="34">
        <v>0.13400000000000001</v>
      </c>
      <c r="AD1228" s="32">
        <v>1.6930000000000001</v>
      </c>
    </row>
    <row r="1229" spans="1:30">
      <c r="A1229">
        <v>1227</v>
      </c>
      <c r="B1229">
        <v>26</v>
      </c>
      <c r="C1229">
        <v>1.256</v>
      </c>
      <c r="D1229">
        <v>3.04</v>
      </c>
      <c r="E1229">
        <v>0</v>
      </c>
      <c r="F1229">
        <v>1.3959999999999999</v>
      </c>
      <c r="G1229">
        <v>0</v>
      </c>
      <c r="H1229">
        <v>0.14099999999999999</v>
      </c>
      <c r="I1229">
        <v>1.774</v>
      </c>
      <c r="K1229">
        <v>1227</v>
      </c>
      <c r="L1229">
        <v>26</v>
      </c>
      <c r="M1229" s="32">
        <v>1.256</v>
      </c>
      <c r="N1229" s="32">
        <v>3.04</v>
      </c>
      <c r="P1229" s="47">
        <v>1.3979999999999999</v>
      </c>
      <c r="R1229" s="47">
        <v>0.14199999999999999</v>
      </c>
      <c r="S1229" s="47">
        <v>1.756</v>
      </c>
      <c r="T1229" s="31">
        <v>0</v>
      </c>
      <c r="V1229">
        <v>1227</v>
      </c>
      <c r="W1229">
        <v>24</v>
      </c>
      <c r="X1229">
        <v>1.268</v>
      </c>
      <c r="Y1229" s="32">
        <v>3.04</v>
      </c>
      <c r="Z1229">
        <v>0</v>
      </c>
      <c r="AA1229" s="32">
        <v>1.337</v>
      </c>
      <c r="AB1229">
        <v>0</v>
      </c>
      <c r="AC1229" s="34">
        <v>0.13400000000000001</v>
      </c>
      <c r="AD1229" s="32">
        <v>1.694</v>
      </c>
    </row>
    <row r="1230" spans="1:30">
      <c r="A1230">
        <v>1228</v>
      </c>
      <c r="B1230">
        <v>26</v>
      </c>
      <c r="C1230">
        <v>1.2569999999999999</v>
      </c>
      <c r="D1230">
        <v>3.04</v>
      </c>
      <c r="E1230">
        <v>0</v>
      </c>
      <c r="F1230">
        <v>1.3959999999999999</v>
      </c>
      <c r="G1230">
        <v>0</v>
      </c>
      <c r="H1230">
        <v>0.14099999999999999</v>
      </c>
      <c r="I1230">
        <v>1.776</v>
      </c>
      <c r="K1230">
        <v>1228</v>
      </c>
      <c r="L1230">
        <v>26</v>
      </c>
      <c r="M1230" s="32">
        <v>1.2569999999999999</v>
      </c>
      <c r="N1230" s="32">
        <v>3.04</v>
      </c>
      <c r="P1230" s="47">
        <v>1.399</v>
      </c>
      <c r="R1230" s="47">
        <v>0.14199999999999999</v>
      </c>
      <c r="S1230" s="47">
        <v>1.758</v>
      </c>
      <c r="T1230" s="31">
        <v>0</v>
      </c>
      <c r="V1230">
        <v>1228</v>
      </c>
      <c r="W1230">
        <v>25</v>
      </c>
      <c r="X1230">
        <v>1.2689999999999999</v>
      </c>
      <c r="Y1230" s="32">
        <v>3.04</v>
      </c>
      <c r="Z1230">
        <v>0</v>
      </c>
      <c r="AA1230" s="32">
        <v>1.337</v>
      </c>
      <c r="AB1230">
        <v>0</v>
      </c>
      <c r="AC1230" s="34">
        <v>0.13400000000000001</v>
      </c>
      <c r="AD1230" s="32">
        <v>1.696</v>
      </c>
    </row>
    <row r="1231" spans="1:30">
      <c r="A1231">
        <v>1229</v>
      </c>
      <c r="B1231">
        <v>26</v>
      </c>
      <c r="C1231">
        <v>1.258</v>
      </c>
      <c r="D1231">
        <v>3.04</v>
      </c>
      <c r="E1231">
        <v>0</v>
      </c>
      <c r="F1231">
        <v>1.3959999999999999</v>
      </c>
      <c r="G1231">
        <v>0</v>
      </c>
      <c r="H1231">
        <v>0.14099999999999999</v>
      </c>
      <c r="I1231">
        <v>1.7769999999999999</v>
      </c>
      <c r="K1231">
        <v>1229</v>
      </c>
      <c r="L1231">
        <v>26</v>
      </c>
      <c r="M1231" s="32">
        <v>1.258</v>
      </c>
      <c r="N1231" s="32">
        <v>3.04</v>
      </c>
      <c r="P1231" s="47">
        <v>1.399</v>
      </c>
      <c r="R1231" s="47">
        <v>0.14199999999999999</v>
      </c>
      <c r="S1231" s="47">
        <v>1.7589999999999999</v>
      </c>
      <c r="T1231" s="31">
        <v>0</v>
      </c>
      <c r="V1231">
        <v>1229</v>
      </c>
      <c r="W1231">
        <v>25</v>
      </c>
      <c r="X1231">
        <v>1.27</v>
      </c>
      <c r="Y1231" s="32">
        <v>3.04</v>
      </c>
      <c r="Z1231">
        <v>0</v>
      </c>
      <c r="AA1231" s="32">
        <v>1.337</v>
      </c>
      <c r="AB1231">
        <v>0</v>
      </c>
      <c r="AC1231" s="34">
        <v>0.13400000000000001</v>
      </c>
      <c r="AD1231" s="32">
        <v>1.698</v>
      </c>
    </row>
    <row r="1232" spans="1:30">
      <c r="A1232">
        <v>1230</v>
      </c>
      <c r="B1232">
        <v>26</v>
      </c>
      <c r="C1232">
        <v>1.2589999999999999</v>
      </c>
      <c r="D1232">
        <v>3.04</v>
      </c>
      <c r="E1232">
        <v>0</v>
      </c>
      <c r="F1232">
        <v>1.3959999999999999</v>
      </c>
      <c r="G1232">
        <v>0</v>
      </c>
      <c r="H1232">
        <v>0.14099999999999999</v>
      </c>
      <c r="I1232">
        <v>1.7789999999999999</v>
      </c>
      <c r="K1232">
        <v>1230</v>
      </c>
      <c r="L1232">
        <v>26</v>
      </c>
      <c r="M1232" s="32">
        <v>1.2589999999999999</v>
      </c>
      <c r="N1232" s="32">
        <v>3.04</v>
      </c>
      <c r="P1232" s="47">
        <v>1.4</v>
      </c>
      <c r="R1232" s="47">
        <v>0.14199999999999999</v>
      </c>
      <c r="S1232" s="47">
        <v>1.7609999999999999</v>
      </c>
      <c r="T1232" s="31">
        <v>0</v>
      </c>
      <c r="V1232">
        <v>1230</v>
      </c>
      <c r="W1232">
        <v>25</v>
      </c>
      <c r="X1232">
        <v>1.2709999999999999</v>
      </c>
      <c r="Y1232" s="32">
        <v>3.04</v>
      </c>
      <c r="Z1232">
        <v>0</v>
      </c>
      <c r="AA1232" s="32">
        <v>1.337</v>
      </c>
      <c r="AB1232">
        <v>0</v>
      </c>
      <c r="AC1232" s="34">
        <v>0.13400000000000001</v>
      </c>
      <c r="AD1232" s="32">
        <v>1.6990000000000001</v>
      </c>
    </row>
    <row r="1233" spans="1:30">
      <c r="A1233">
        <v>1231</v>
      </c>
      <c r="B1233">
        <v>26</v>
      </c>
      <c r="C1233">
        <v>1.26</v>
      </c>
      <c r="D1233">
        <v>3.04</v>
      </c>
      <c r="E1233">
        <v>0</v>
      </c>
      <c r="F1233">
        <v>1.4</v>
      </c>
      <c r="G1233">
        <v>0</v>
      </c>
      <c r="H1233">
        <v>0.14099999999999999</v>
      </c>
      <c r="I1233">
        <v>1.7629999999999999</v>
      </c>
      <c r="K1233">
        <v>1231</v>
      </c>
      <c r="L1233">
        <v>26</v>
      </c>
      <c r="M1233" s="32">
        <v>1.26</v>
      </c>
      <c r="N1233" s="32">
        <v>3.04</v>
      </c>
      <c r="P1233" s="32">
        <v>1.4</v>
      </c>
      <c r="R1233" s="47">
        <v>0.14199999999999999</v>
      </c>
      <c r="S1233" s="32">
        <v>1.7629999999999999</v>
      </c>
      <c r="T1233" s="31">
        <v>0</v>
      </c>
      <c r="V1233">
        <v>1231</v>
      </c>
      <c r="W1233">
        <v>25</v>
      </c>
      <c r="X1233">
        <v>1.272</v>
      </c>
      <c r="Y1233" s="32">
        <v>3.04</v>
      </c>
      <c r="Z1233">
        <v>0</v>
      </c>
      <c r="AA1233" s="32">
        <v>1.3380000000000001</v>
      </c>
      <c r="AB1233">
        <v>0</v>
      </c>
      <c r="AC1233" s="34">
        <v>0.13400000000000001</v>
      </c>
      <c r="AD1233" s="32">
        <v>1.7010000000000001</v>
      </c>
    </row>
    <row r="1234" spans="1:30">
      <c r="A1234">
        <v>1232</v>
      </c>
      <c r="B1234">
        <v>26</v>
      </c>
      <c r="C1234">
        <v>1.2609999999999999</v>
      </c>
      <c r="D1234">
        <v>3.04</v>
      </c>
      <c r="E1234">
        <v>0</v>
      </c>
      <c r="F1234">
        <v>1.4</v>
      </c>
      <c r="G1234">
        <v>0</v>
      </c>
      <c r="H1234">
        <v>0.14099999999999999</v>
      </c>
      <c r="I1234">
        <v>1.8009999999999999</v>
      </c>
      <c r="K1234">
        <v>1232</v>
      </c>
      <c r="L1234">
        <v>26</v>
      </c>
      <c r="M1234" s="32">
        <v>1.2609999999999999</v>
      </c>
      <c r="N1234" s="32">
        <v>3.04</v>
      </c>
      <c r="P1234" s="32">
        <v>1.4</v>
      </c>
      <c r="R1234" s="47">
        <v>0.14199999999999999</v>
      </c>
      <c r="S1234" s="47">
        <v>1.7649999999999999</v>
      </c>
      <c r="T1234" s="31">
        <v>0</v>
      </c>
      <c r="V1234">
        <v>1232</v>
      </c>
      <c r="W1234">
        <v>25</v>
      </c>
      <c r="X1234">
        <v>1.2729999999999999</v>
      </c>
      <c r="Y1234" s="32">
        <v>3.04</v>
      </c>
      <c r="Z1234">
        <v>0</v>
      </c>
      <c r="AA1234" s="32">
        <v>1.3380000000000001</v>
      </c>
      <c r="AB1234">
        <v>0</v>
      </c>
      <c r="AC1234" s="34">
        <v>0.13400000000000001</v>
      </c>
      <c r="AD1234" s="32">
        <v>1.7030000000000001</v>
      </c>
    </row>
    <row r="1235" spans="1:30">
      <c r="A1235">
        <v>1233</v>
      </c>
      <c r="B1235">
        <v>26</v>
      </c>
      <c r="C1235">
        <v>1.262</v>
      </c>
      <c r="D1235">
        <v>3.04</v>
      </c>
      <c r="E1235">
        <v>0</v>
      </c>
      <c r="F1235">
        <v>1.4</v>
      </c>
      <c r="G1235">
        <v>0</v>
      </c>
      <c r="H1235">
        <v>0.14099999999999999</v>
      </c>
      <c r="I1235">
        <v>1.8029999999999999</v>
      </c>
      <c r="K1235">
        <v>1233</v>
      </c>
      <c r="L1235">
        <v>26</v>
      </c>
      <c r="M1235" s="32">
        <v>1.262</v>
      </c>
      <c r="N1235" s="32">
        <v>3.04</v>
      </c>
      <c r="P1235" s="47">
        <v>1.401</v>
      </c>
      <c r="R1235" s="47">
        <v>0.14199999999999999</v>
      </c>
      <c r="S1235" s="47">
        <v>1.7669999999999999</v>
      </c>
      <c r="T1235" s="31">
        <v>0</v>
      </c>
      <c r="V1235">
        <v>1233</v>
      </c>
      <c r="W1235">
        <v>25</v>
      </c>
      <c r="X1235">
        <v>1.274</v>
      </c>
      <c r="Y1235" s="32">
        <v>3.04</v>
      </c>
      <c r="Z1235">
        <v>0</v>
      </c>
      <c r="AA1235" s="32">
        <v>1.3380000000000001</v>
      </c>
      <c r="AB1235">
        <v>0</v>
      </c>
      <c r="AC1235" s="34">
        <v>0.13400000000000001</v>
      </c>
      <c r="AD1235" s="32">
        <v>1.704</v>
      </c>
    </row>
    <row r="1236" spans="1:30">
      <c r="A1236">
        <v>1234</v>
      </c>
      <c r="B1236">
        <v>26</v>
      </c>
      <c r="C1236">
        <v>1.2629999999999999</v>
      </c>
      <c r="D1236">
        <v>3.04</v>
      </c>
      <c r="E1236">
        <v>0</v>
      </c>
      <c r="F1236">
        <v>1.4</v>
      </c>
      <c r="G1236">
        <v>0</v>
      </c>
      <c r="H1236">
        <v>0.14099999999999999</v>
      </c>
      <c r="I1236">
        <v>1.804</v>
      </c>
      <c r="K1236">
        <v>1234</v>
      </c>
      <c r="L1236">
        <v>26</v>
      </c>
      <c r="M1236" s="32">
        <v>1.2629999999999999</v>
      </c>
      <c r="N1236" s="32">
        <v>3.04</v>
      </c>
      <c r="P1236" s="47">
        <v>1.401</v>
      </c>
      <c r="R1236" s="47">
        <v>0.14199999999999999</v>
      </c>
      <c r="S1236" s="47">
        <v>1.768</v>
      </c>
      <c r="T1236" s="31">
        <v>0</v>
      </c>
      <c r="V1236">
        <v>1234</v>
      </c>
      <c r="W1236">
        <v>25</v>
      </c>
      <c r="X1236">
        <v>1.2749999999999999</v>
      </c>
      <c r="Y1236" s="32">
        <v>3.04</v>
      </c>
      <c r="Z1236">
        <v>0</v>
      </c>
      <c r="AA1236" s="32">
        <v>1.3380000000000001</v>
      </c>
      <c r="AB1236">
        <v>0</v>
      </c>
      <c r="AC1236" s="34">
        <v>0.13500000000000001</v>
      </c>
      <c r="AD1236" s="32">
        <v>1.706</v>
      </c>
    </row>
    <row r="1237" spans="1:30">
      <c r="A1237">
        <v>1235</v>
      </c>
      <c r="B1237">
        <v>26</v>
      </c>
      <c r="C1237">
        <v>1.264</v>
      </c>
      <c r="D1237">
        <v>3.04</v>
      </c>
      <c r="E1237">
        <v>0</v>
      </c>
      <c r="F1237">
        <v>1.4</v>
      </c>
      <c r="G1237">
        <v>0</v>
      </c>
      <c r="H1237">
        <v>0.14099999999999999</v>
      </c>
      <c r="I1237">
        <v>1.806</v>
      </c>
      <c r="K1237">
        <v>1235</v>
      </c>
      <c r="L1237">
        <v>26</v>
      </c>
      <c r="M1237" s="32">
        <v>1.264</v>
      </c>
      <c r="N1237" s="32">
        <v>3.04</v>
      </c>
      <c r="P1237" s="47">
        <v>1.401</v>
      </c>
      <c r="R1237" s="47">
        <v>0.14199999999999999</v>
      </c>
      <c r="S1237" s="47">
        <v>1.77</v>
      </c>
      <c r="T1237" s="31">
        <v>0</v>
      </c>
      <c r="V1237">
        <v>1235</v>
      </c>
      <c r="W1237">
        <v>25</v>
      </c>
      <c r="X1237">
        <v>1.276</v>
      </c>
      <c r="Y1237" s="32">
        <v>3.04</v>
      </c>
      <c r="Z1237">
        <v>0</v>
      </c>
      <c r="AA1237" s="32">
        <v>1.339</v>
      </c>
      <c r="AB1237">
        <v>0</v>
      </c>
      <c r="AC1237" s="34">
        <v>0.13500000000000001</v>
      </c>
      <c r="AD1237" s="32">
        <v>1.708</v>
      </c>
    </row>
    <row r="1238" spans="1:30">
      <c r="A1238">
        <v>1236</v>
      </c>
      <c r="B1238">
        <v>26</v>
      </c>
      <c r="C1238">
        <v>1.2649999999999999</v>
      </c>
      <c r="D1238">
        <v>3.04</v>
      </c>
      <c r="E1238">
        <v>0</v>
      </c>
      <c r="F1238">
        <v>1.4</v>
      </c>
      <c r="G1238">
        <v>0</v>
      </c>
      <c r="H1238">
        <v>0.14099999999999999</v>
      </c>
      <c r="I1238">
        <v>1.8080000000000001</v>
      </c>
      <c r="K1238">
        <v>1236</v>
      </c>
      <c r="L1238">
        <v>26</v>
      </c>
      <c r="M1238" s="32">
        <v>1.2649999999999999</v>
      </c>
      <c r="N1238" s="32">
        <v>3.04</v>
      </c>
      <c r="P1238" s="47">
        <v>1.4019999999999999</v>
      </c>
      <c r="R1238" s="47">
        <v>0.14199999999999999</v>
      </c>
      <c r="S1238" s="47">
        <v>1.772</v>
      </c>
      <c r="T1238" s="31">
        <v>0</v>
      </c>
      <c r="V1238">
        <v>1236</v>
      </c>
      <c r="W1238">
        <v>25</v>
      </c>
      <c r="X1238">
        <v>1.2769999999999999</v>
      </c>
      <c r="Y1238" s="32">
        <v>3.04</v>
      </c>
      <c r="Z1238">
        <v>0</v>
      </c>
      <c r="AA1238" s="32">
        <v>1.339</v>
      </c>
      <c r="AB1238">
        <v>0</v>
      </c>
      <c r="AC1238" s="34">
        <v>0.13500000000000001</v>
      </c>
      <c r="AD1238" s="32">
        <v>1.7090000000000001</v>
      </c>
    </row>
    <row r="1239" spans="1:30">
      <c r="A1239">
        <v>1237</v>
      </c>
      <c r="B1239">
        <v>26</v>
      </c>
      <c r="C1239">
        <v>1.266</v>
      </c>
      <c r="D1239">
        <v>3.04</v>
      </c>
      <c r="E1239">
        <v>0</v>
      </c>
      <c r="F1239">
        <v>1.4</v>
      </c>
      <c r="G1239">
        <v>0</v>
      </c>
      <c r="H1239">
        <v>0.14099999999999999</v>
      </c>
      <c r="I1239">
        <v>1.81</v>
      </c>
      <c r="K1239">
        <v>1237</v>
      </c>
      <c r="L1239">
        <v>26</v>
      </c>
      <c r="M1239" s="32">
        <v>1.266</v>
      </c>
      <c r="N1239" s="32">
        <v>3.04</v>
      </c>
      <c r="P1239" s="47">
        <v>1.4019999999999999</v>
      </c>
      <c r="R1239" s="47">
        <v>0.14199999999999999</v>
      </c>
      <c r="S1239" s="47">
        <v>1.774</v>
      </c>
      <c r="T1239" s="31">
        <v>0</v>
      </c>
      <c r="V1239">
        <v>1237</v>
      </c>
      <c r="W1239">
        <v>25</v>
      </c>
      <c r="X1239">
        <v>1.278</v>
      </c>
      <c r="Y1239" s="32">
        <v>3.04</v>
      </c>
      <c r="Z1239">
        <v>0</v>
      </c>
      <c r="AA1239" s="32">
        <v>1.339</v>
      </c>
      <c r="AB1239">
        <v>0</v>
      </c>
      <c r="AC1239" s="34">
        <v>0.13500000000000001</v>
      </c>
      <c r="AD1239" s="32">
        <v>1.7110000000000001</v>
      </c>
    </row>
    <row r="1240" spans="1:30">
      <c r="A1240">
        <v>1238</v>
      </c>
      <c r="B1240">
        <v>26</v>
      </c>
      <c r="C1240">
        <v>1.2669999999999999</v>
      </c>
      <c r="D1240">
        <v>3.04</v>
      </c>
      <c r="E1240">
        <v>0</v>
      </c>
      <c r="F1240">
        <v>1.4</v>
      </c>
      <c r="G1240">
        <v>0</v>
      </c>
      <c r="H1240">
        <v>0.14099999999999999</v>
      </c>
      <c r="I1240">
        <v>1.8120000000000001</v>
      </c>
      <c r="K1240">
        <v>1238</v>
      </c>
      <c r="L1240">
        <v>26</v>
      </c>
      <c r="M1240" s="32">
        <v>1.2669999999999999</v>
      </c>
      <c r="N1240" s="32">
        <v>3.04</v>
      </c>
      <c r="P1240" s="47">
        <v>1.4019999999999999</v>
      </c>
      <c r="R1240" s="47">
        <v>0.14199999999999999</v>
      </c>
      <c r="S1240" s="47">
        <v>1.776</v>
      </c>
      <c r="T1240" s="31">
        <v>0</v>
      </c>
      <c r="V1240">
        <v>1238</v>
      </c>
      <c r="W1240">
        <v>25</v>
      </c>
      <c r="X1240">
        <v>1.2789999999999999</v>
      </c>
      <c r="Y1240" s="32">
        <v>3.04</v>
      </c>
      <c r="Z1240">
        <v>0</v>
      </c>
      <c r="AA1240" s="32">
        <v>1.339</v>
      </c>
      <c r="AB1240">
        <v>0</v>
      </c>
      <c r="AC1240" s="34">
        <v>0.13500000000000001</v>
      </c>
      <c r="AD1240" s="32">
        <v>1.7130000000000001</v>
      </c>
    </row>
    <row r="1241" spans="1:30">
      <c r="A1241">
        <v>1239</v>
      </c>
      <c r="B1241">
        <v>26</v>
      </c>
      <c r="C1241">
        <v>1.268</v>
      </c>
      <c r="D1241">
        <v>3.04</v>
      </c>
      <c r="E1241">
        <v>0</v>
      </c>
      <c r="F1241">
        <v>1.4</v>
      </c>
      <c r="G1241">
        <v>0</v>
      </c>
      <c r="H1241">
        <v>0.14099999999999999</v>
      </c>
      <c r="I1241">
        <v>1.8129999999999999</v>
      </c>
      <c r="K1241">
        <v>1239</v>
      </c>
      <c r="L1241">
        <v>26</v>
      </c>
      <c r="M1241" s="32">
        <v>1.268</v>
      </c>
      <c r="N1241" s="32">
        <v>3.04</v>
      </c>
      <c r="P1241" s="47">
        <v>1.4019999999999999</v>
      </c>
      <c r="R1241" s="47">
        <v>0.14199999999999999</v>
      </c>
      <c r="S1241" s="47">
        <v>1.7769999999999999</v>
      </c>
      <c r="T1241" s="31">
        <v>0</v>
      </c>
      <c r="V1241">
        <v>1239</v>
      </c>
      <c r="W1241">
        <v>25</v>
      </c>
      <c r="X1241">
        <v>1.28</v>
      </c>
      <c r="Y1241" s="32">
        <v>3.04</v>
      </c>
      <c r="Z1241">
        <v>0</v>
      </c>
      <c r="AA1241" s="32">
        <v>1.339</v>
      </c>
      <c r="AB1241">
        <v>0</v>
      </c>
      <c r="AC1241" s="34">
        <v>0.13500000000000001</v>
      </c>
      <c r="AD1241" s="32">
        <v>1.714</v>
      </c>
    </row>
    <row r="1242" spans="1:30">
      <c r="A1242">
        <v>1240</v>
      </c>
      <c r="B1242">
        <v>26</v>
      </c>
      <c r="C1242">
        <v>1.2689999999999999</v>
      </c>
      <c r="D1242">
        <v>3.04</v>
      </c>
      <c r="E1242">
        <v>0</v>
      </c>
      <c r="F1242">
        <v>1.4</v>
      </c>
      <c r="G1242">
        <v>0</v>
      </c>
      <c r="H1242">
        <v>0.14099999999999999</v>
      </c>
      <c r="I1242">
        <v>1.8149999999999999</v>
      </c>
      <c r="K1242">
        <v>1240</v>
      </c>
      <c r="L1242">
        <v>26</v>
      </c>
      <c r="M1242" s="32">
        <v>1.2689999999999999</v>
      </c>
      <c r="N1242" s="32">
        <v>3.04</v>
      </c>
      <c r="P1242" s="47">
        <v>1.403</v>
      </c>
      <c r="R1242" s="47">
        <v>0.14199999999999999</v>
      </c>
      <c r="S1242" s="47">
        <v>1.7789999999999999</v>
      </c>
      <c r="T1242" s="31">
        <v>0</v>
      </c>
      <c r="V1242">
        <v>1240</v>
      </c>
      <c r="W1242">
        <v>25</v>
      </c>
      <c r="X1242">
        <v>1.2809999999999999</v>
      </c>
      <c r="Y1242" s="32">
        <v>3.04</v>
      </c>
      <c r="Z1242">
        <v>0</v>
      </c>
      <c r="AA1242" s="32">
        <v>1.34</v>
      </c>
      <c r="AB1242">
        <v>0</v>
      </c>
      <c r="AC1242" s="34">
        <v>0.13500000000000001</v>
      </c>
      <c r="AD1242" s="32">
        <v>1.716</v>
      </c>
    </row>
    <row r="1243" spans="1:30">
      <c r="A1243">
        <v>1241</v>
      </c>
      <c r="B1243">
        <v>26</v>
      </c>
      <c r="C1243">
        <v>1.27</v>
      </c>
      <c r="D1243">
        <v>3.04</v>
      </c>
      <c r="E1243">
        <v>0</v>
      </c>
      <c r="F1243">
        <v>1.403</v>
      </c>
      <c r="G1243">
        <v>0</v>
      </c>
      <c r="H1243">
        <v>0.14099999999999999</v>
      </c>
      <c r="I1243">
        <v>1.7809999999999999</v>
      </c>
      <c r="K1243">
        <v>1241</v>
      </c>
      <c r="L1243">
        <v>26</v>
      </c>
      <c r="M1243" s="32">
        <v>1.27</v>
      </c>
      <c r="N1243" s="32">
        <v>3.04</v>
      </c>
      <c r="P1243" s="32">
        <v>1.403</v>
      </c>
      <c r="R1243" s="47">
        <v>0.14199999999999999</v>
      </c>
      <c r="S1243" s="32">
        <v>1.7809999999999999</v>
      </c>
      <c r="T1243" s="31">
        <v>0</v>
      </c>
      <c r="V1243">
        <v>1241</v>
      </c>
      <c r="W1243">
        <v>25</v>
      </c>
      <c r="X1243">
        <v>1.282</v>
      </c>
      <c r="Y1243" s="32">
        <v>3.04</v>
      </c>
      <c r="Z1243">
        <v>0</v>
      </c>
      <c r="AA1243" s="32">
        <v>1.34</v>
      </c>
      <c r="AB1243">
        <v>0</v>
      </c>
      <c r="AC1243" s="34">
        <v>0.13500000000000001</v>
      </c>
      <c r="AD1243" s="32">
        <v>1.718</v>
      </c>
    </row>
    <row r="1244" spans="1:30">
      <c r="A1244">
        <v>1242</v>
      </c>
      <c r="B1244">
        <v>26</v>
      </c>
      <c r="C1244">
        <v>1.2709999999999999</v>
      </c>
      <c r="D1244">
        <v>3.04</v>
      </c>
      <c r="E1244">
        <v>0</v>
      </c>
      <c r="F1244">
        <v>1.403</v>
      </c>
      <c r="G1244">
        <v>0</v>
      </c>
      <c r="H1244">
        <v>0.14099999999999999</v>
      </c>
      <c r="I1244">
        <v>1.837</v>
      </c>
      <c r="K1244">
        <v>1242</v>
      </c>
      <c r="L1244">
        <v>26</v>
      </c>
      <c r="M1244" s="32">
        <v>1.2709999999999999</v>
      </c>
      <c r="N1244" s="32">
        <v>3.04</v>
      </c>
      <c r="P1244" s="32">
        <v>1.403</v>
      </c>
      <c r="R1244" s="47">
        <v>0.14199999999999999</v>
      </c>
      <c r="S1244" s="47">
        <v>1.7829999999999999</v>
      </c>
      <c r="T1244" s="31">
        <v>0</v>
      </c>
      <c r="V1244">
        <v>1242</v>
      </c>
      <c r="W1244">
        <v>25</v>
      </c>
      <c r="X1244">
        <v>1.2829999999999999</v>
      </c>
      <c r="Y1244" s="32">
        <v>3.04</v>
      </c>
      <c r="Z1244">
        <v>0</v>
      </c>
      <c r="AA1244" s="32">
        <v>1.34</v>
      </c>
      <c r="AB1244">
        <v>0</v>
      </c>
      <c r="AC1244" s="34">
        <v>0.13500000000000001</v>
      </c>
      <c r="AD1244" s="32">
        <v>1.72</v>
      </c>
    </row>
    <row r="1245" spans="1:30">
      <c r="A1245">
        <v>1243</v>
      </c>
      <c r="B1245">
        <v>26</v>
      </c>
      <c r="C1245">
        <v>1.272</v>
      </c>
      <c r="D1245">
        <v>3.04</v>
      </c>
      <c r="E1245">
        <v>0</v>
      </c>
      <c r="F1245">
        <v>1.403</v>
      </c>
      <c r="G1245">
        <v>0</v>
      </c>
      <c r="H1245">
        <v>0.14099999999999999</v>
      </c>
      <c r="I1245">
        <v>1.839</v>
      </c>
      <c r="K1245">
        <v>1243</v>
      </c>
      <c r="L1245">
        <v>26</v>
      </c>
      <c r="M1245" s="32">
        <v>1.272</v>
      </c>
      <c r="N1245" s="32">
        <v>3.04</v>
      </c>
      <c r="P1245" s="47">
        <v>1.4039999999999999</v>
      </c>
      <c r="R1245" s="47">
        <v>0.14199999999999999</v>
      </c>
      <c r="S1245" s="47">
        <v>1.7849999999999999</v>
      </c>
      <c r="T1245" s="31">
        <v>0</v>
      </c>
      <c r="V1245">
        <v>1243</v>
      </c>
      <c r="W1245">
        <v>25</v>
      </c>
      <c r="X1245">
        <v>1.284</v>
      </c>
      <c r="Y1245" s="32">
        <v>3.04</v>
      </c>
      <c r="Z1245">
        <v>0</v>
      </c>
      <c r="AA1245" s="32">
        <v>1.34</v>
      </c>
      <c r="AB1245">
        <v>0</v>
      </c>
      <c r="AC1245" s="34">
        <v>0.13500000000000001</v>
      </c>
      <c r="AD1245" s="32">
        <v>1.7210000000000001</v>
      </c>
    </row>
    <row r="1246" spans="1:30">
      <c r="A1246">
        <v>1244</v>
      </c>
      <c r="B1246">
        <v>26</v>
      </c>
      <c r="C1246">
        <v>1.2729999999999999</v>
      </c>
      <c r="D1246">
        <v>3.04</v>
      </c>
      <c r="E1246">
        <v>0</v>
      </c>
      <c r="F1246">
        <v>1.403</v>
      </c>
      <c r="G1246">
        <v>0</v>
      </c>
      <c r="H1246">
        <v>0.14099999999999999</v>
      </c>
      <c r="I1246">
        <v>1.84</v>
      </c>
      <c r="K1246">
        <v>1244</v>
      </c>
      <c r="L1246">
        <v>26</v>
      </c>
      <c r="M1246" s="32">
        <v>1.2729999999999999</v>
      </c>
      <c r="N1246" s="32">
        <v>3.04</v>
      </c>
      <c r="P1246" s="47">
        <v>1.4039999999999999</v>
      </c>
      <c r="R1246" s="47">
        <v>0.14199999999999999</v>
      </c>
      <c r="S1246" s="47">
        <v>1.7869999999999999</v>
      </c>
      <c r="T1246" s="31">
        <v>0</v>
      </c>
      <c r="V1246">
        <v>1244</v>
      </c>
      <c r="W1246">
        <v>25</v>
      </c>
      <c r="X1246">
        <v>1.2849999999999999</v>
      </c>
      <c r="Y1246" s="32">
        <v>3.04</v>
      </c>
      <c r="Z1246">
        <v>0</v>
      </c>
      <c r="AA1246" s="32">
        <v>1.341</v>
      </c>
      <c r="AB1246">
        <v>0</v>
      </c>
      <c r="AC1246" s="34">
        <v>0.13500000000000001</v>
      </c>
      <c r="AD1246" s="32">
        <v>1.7230000000000001</v>
      </c>
    </row>
    <row r="1247" spans="1:30">
      <c r="A1247">
        <v>1245</v>
      </c>
      <c r="B1247">
        <v>26</v>
      </c>
      <c r="C1247">
        <v>1.274</v>
      </c>
      <c r="D1247">
        <v>3.04</v>
      </c>
      <c r="E1247">
        <v>0</v>
      </c>
      <c r="F1247">
        <v>1.403</v>
      </c>
      <c r="G1247">
        <v>0</v>
      </c>
      <c r="H1247">
        <v>0.14099999999999999</v>
      </c>
      <c r="I1247">
        <v>1.8420000000000001</v>
      </c>
      <c r="K1247">
        <v>1245</v>
      </c>
      <c r="L1247">
        <v>26</v>
      </c>
      <c r="M1247" s="32">
        <v>1.274</v>
      </c>
      <c r="N1247" s="32">
        <v>3.04</v>
      </c>
      <c r="P1247" s="47">
        <v>1.4039999999999999</v>
      </c>
      <c r="R1247" s="47">
        <v>0.14199999999999999</v>
      </c>
      <c r="S1247" s="47">
        <v>1.7889999999999999</v>
      </c>
      <c r="T1247" s="31">
        <v>0</v>
      </c>
      <c r="V1247">
        <v>1245</v>
      </c>
      <c r="W1247">
        <v>25</v>
      </c>
      <c r="X1247">
        <v>1.286</v>
      </c>
      <c r="Y1247" s="32">
        <v>3.04</v>
      </c>
      <c r="Z1247">
        <v>0</v>
      </c>
      <c r="AA1247" s="32">
        <v>1.341</v>
      </c>
      <c r="AB1247">
        <v>0</v>
      </c>
      <c r="AC1247" s="34">
        <v>0.13500000000000001</v>
      </c>
      <c r="AD1247" s="32">
        <v>1.7250000000000001</v>
      </c>
    </row>
    <row r="1248" spans="1:30">
      <c r="A1248">
        <v>1246</v>
      </c>
      <c r="B1248">
        <v>26</v>
      </c>
      <c r="C1248">
        <v>1.2749999999999999</v>
      </c>
      <c r="D1248">
        <v>3.04</v>
      </c>
      <c r="E1248">
        <v>0</v>
      </c>
      <c r="F1248">
        <v>1.403</v>
      </c>
      <c r="G1248">
        <v>0</v>
      </c>
      <c r="H1248">
        <v>0.14099999999999999</v>
      </c>
      <c r="I1248">
        <v>1.8440000000000001</v>
      </c>
      <c r="K1248">
        <v>1246</v>
      </c>
      <c r="L1248">
        <v>26</v>
      </c>
      <c r="M1248" s="32">
        <v>1.2749999999999999</v>
      </c>
      <c r="N1248" s="32">
        <v>3.04</v>
      </c>
      <c r="P1248" s="47">
        <v>1.405</v>
      </c>
      <c r="R1248" s="47">
        <v>0.14199999999999999</v>
      </c>
      <c r="S1248" s="47">
        <v>1.7909999999999999</v>
      </c>
      <c r="T1248" s="31">
        <v>0</v>
      </c>
      <c r="V1248">
        <v>1246</v>
      </c>
      <c r="W1248">
        <v>25</v>
      </c>
      <c r="X1248">
        <v>1.2869999999999999</v>
      </c>
      <c r="Y1248" s="32">
        <v>3.04</v>
      </c>
      <c r="Z1248">
        <v>0</v>
      </c>
      <c r="AA1248" s="32">
        <v>1.341</v>
      </c>
      <c r="AB1248">
        <v>0</v>
      </c>
      <c r="AC1248" s="34">
        <v>0.13600000000000001</v>
      </c>
      <c r="AD1248" s="32">
        <v>1.726</v>
      </c>
    </row>
    <row r="1249" spans="1:30">
      <c r="A1249">
        <v>1247</v>
      </c>
      <c r="B1249">
        <v>26</v>
      </c>
      <c r="C1249">
        <v>1.276</v>
      </c>
      <c r="D1249">
        <v>3.04</v>
      </c>
      <c r="E1249">
        <v>0</v>
      </c>
      <c r="F1249">
        <v>1.403</v>
      </c>
      <c r="G1249">
        <v>0</v>
      </c>
      <c r="H1249">
        <v>0.14099999999999999</v>
      </c>
      <c r="I1249">
        <v>1.8460000000000001</v>
      </c>
      <c r="K1249">
        <v>1247</v>
      </c>
      <c r="L1249">
        <v>26</v>
      </c>
      <c r="M1249" s="32">
        <v>1.276</v>
      </c>
      <c r="N1249" s="32">
        <v>3.04</v>
      </c>
      <c r="P1249" s="47">
        <v>1.405</v>
      </c>
      <c r="R1249" s="47">
        <v>0.14199999999999999</v>
      </c>
      <c r="S1249" s="47">
        <v>1.792</v>
      </c>
      <c r="T1249" s="31">
        <v>0</v>
      </c>
      <c r="V1249">
        <v>1247</v>
      </c>
      <c r="W1249">
        <v>25</v>
      </c>
      <c r="X1249">
        <v>1.288</v>
      </c>
      <c r="Y1249" s="32">
        <v>3.04</v>
      </c>
      <c r="Z1249">
        <v>0</v>
      </c>
      <c r="AA1249" s="32">
        <v>1.341</v>
      </c>
      <c r="AB1249">
        <v>0</v>
      </c>
      <c r="AC1249" s="34">
        <v>0.13600000000000001</v>
      </c>
      <c r="AD1249" s="32">
        <v>1.728</v>
      </c>
    </row>
    <row r="1250" spans="1:30">
      <c r="A1250">
        <v>1248</v>
      </c>
      <c r="B1250">
        <v>26</v>
      </c>
      <c r="C1250">
        <v>1.2769999999999999</v>
      </c>
      <c r="D1250">
        <v>3.04</v>
      </c>
      <c r="E1250">
        <v>0</v>
      </c>
      <c r="F1250">
        <v>1.403</v>
      </c>
      <c r="G1250">
        <v>0</v>
      </c>
      <c r="H1250">
        <v>0.14099999999999999</v>
      </c>
      <c r="I1250">
        <v>1.8480000000000001</v>
      </c>
      <c r="K1250">
        <v>1248</v>
      </c>
      <c r="L1250">
        <v>26</v>
      </c>
      <c r="M1250" s="32">
        <v>1.2769999999999999</v>
      </c>
      <c r="N1250" s="32">
        <v>3.04</v>
      </c>
      <c r="P1250" s="47">
        <v>1.405</v>
      </c>
      <c r="R1250" s="47">
        <v>0.14199999999999999</v>
      </c>
      <c r="S1250" s="47">
        <v>1.794</v>
      </c>
      <c r="T1250" s="31">
        <v>0</v>
      </c>
      <c r="V1250">
        <v>1248</v>
      </c>
      <c r="W1250">
        <v>25</v>
      </c>
      <c r="X1250">
        <v>1.2889999999999999</v>
      </c>
      <c r="Y1250" s="32">
        <v>3.04</v>
      </c>
      <c r="Z1250">
        <v>0</v>
      </c>
      <c r="AA1250" s="32">
        <v>1.3420000000000001</v>
      </c>
      <c r="AB1250">
        <v>0</v>
      </c>
      <c r="AC1250" s="34">
        <v>0.13600000000000001</v>
      </c>
      <c r="AD1250" s="32">
        <v>1.73</v>
      </c>
    </row>
    <row r="1251" spans="1:30">
      <c r="A1251">
        <v>1249</v>
      </c>
      <c r="B1251">
        <v>26</v>
      </c>
      <c r="C1251">
        <v>1.278</v>
      </c>
      <c r="D1251">
        <v>3.04</v>
      </c>
      <c r="E1251">
        <v>0</v>
      </c>
      <c r="F1251">
        <v>1.403</v>
      </c>
      <c r="G1251">
        <v>0</v>
      </c>
      <c r="H1251">
        <v>0.14099999999999999</v>
      </c>
      <c r="I1251">
        <v>1.849</v>
      </c>
      <c r="K1251">
        <v>1249</v>
      </c>
      <c r="L1251">
        <v>26</v>
      </c>
      <c r="M1251" s="32">
        <v>1.278</v>
      </c>
      <c r="N1251" s="32">
        <v>3.04</v>
      </c>
      <c r="P1251" s="47">
        <v>1.405</v>
      </c>
      <c r="R1251" s="47">
        <v>0.14199999999999999</v>
      </c>
      <c r="S1251" s="47">
        <v>1.796</v>
      </c>
      <c r="T1251" s="31">
        <v>0</v>
      </c>
      <c r="V1251">
        <v>1249</v>
      </c>
      <c r="W1251">
        <v>25</v>
      </c>
      <c r="X1251">
        <v>1.29</v>
      </c>
      <c r="Y1251" s="32">
        <v>3.04</v>
      </c>
      <c r="Z1251">
        <v>0</v>
      </c>
      <c r="AA1251" s="32">
        <v>1.3420000000000001</v>
      </c>
      <c r="AB1251">
        <v>0</v>
      </c>
      <c r="AC1251" s="34">
        <v>0.13600000000000001</v>
      </c>
      <c r="AD1251" s="32">
        <v>1.7310000000000001</v>
      </c>
    </row>
    <row r="1252" spans="1:30">
      <c r="A1252">
        <v>1250</v>
      </c>
      <c r="B1252">
        <v>26</v>
      </c>
      <c r="C1252">
        <v>1.2789999999999999</v>
      </c>
      <c r="D1252">
        <v>3.04</v>
      </c>
      <c r="E1252">
        <v>0</v>
      </c>
      <c r="F1252">
        <v>1.403</v>
      </c>
      <c r="G1252">
        <v>0</v>
      </c>
      <c r="H1252">
        <v>0.14099999999999999</v>
      </c>
      <c r="I1252">
        <v>1.851</v>
      </c>
      <c r="K1252">
        <v>1250</v>
      </c>
      <c r="L1252">
        <v>26</v>
      </c>
      <c r="M1252" s="32">
        <v>1.2789999999999999</v>
      </c>
      <c r="N1252" s="32">
        <v>3.04</v>
      </c>
      <c r="P1252" s="47">
        <v>1.4059999999999999</v>
      </c>
      <c r="R1252" s="47">
        <v>0.14199999999999999</v>
      </c>
      <c r="S1252" s="47">
        <v>1.798</v>
      </c>
      <c r="T1252" s="31">
        <v>0</v>
      </c>
      <c r="V1252">
        <v>1250</v>
      </c>
      <c r="W1252">
        <v>25</v>
      </c>
      <c r="X1252">
        <v>1.2909999999999999</v>
      </c>
      <c r="Y1252" s="32">
        <v>3.04</v>
      </c>
      <c r="Z1252">
        <v>0</v>
      </c>
      <c r="AA1252" s="32">
        <v>1.3420000000000001</v>
      </c>
      <c r="AB1252">
        <v>0</v>
      </c>
      <c r="AC1252" s="34">
        <v>0.13600000000000001</v>
      </c>
      <c r="AD1252" s="32">
        <v>1.7330000000000001</v>
      </c>
    </row>
    <row r="1253" spans="1:30">
      <c r="A1253">
        <v>1251</v>
      </c>
      <c r="B1253">
        <v>26</v>
      </c>
      <c r="C1253">
        <v>1.28</v>
      </c>
      <c r="D1253">
        <v>3.04</v>
      </c>
      <c r="E1253">
        <v>0</v>
      </c>
      <c r="F1253">
        <v>1.4059999999999999</v>
      </c>
      <c r="G1253">
        <v>0</v>
      </c>
      <c r="H1253">
        <v>0.14099999999999999</v>
      </c>
      <c r="I1253">
        <v>1.8</v>
      </c>
      <c r="K1253">
        <v>1251</v>
      </c>
      <c r="L1253">
        <v>26</v>
      </c>
      <c r="M1253" s="32">
        <v>1.28</v>
      </c>
      <c r="N1253" s="32">
        <v>3.04</v>
      </c>
      <c r="P1253" s="32">
        <v>1.4059999999999999</v>
      </c>
      <c r="R1253" s="47">
        <v>0.14299999999999999</v>
      </c>
      <c r="S1253" s="32">
        <v>1.8</v>
      </c>
      <c r="T1253" s="31">
        <v>0</v>
      </c>
      <c r="V1253">
        <v>1251</v>
      </c>
      <c r="W1253">
        <v>25</v>
      </c>
      <c r="X1253">
        <v>1.292</v>
      </c>
      <c r="Y1253" s="32">
        <v>3.04</v>
      </c>
      <c r="Z1253">
        <v>0</v>
      </c>
      <c r="AA1253" s="32">
        <v>1.3420000000000001</v>
      </c>
      <c r="AB1253">
        <v>0</v>
      </c>
      <c r="AC1253" s="34">
        <v>0.13600000000000001</v>
      </c>
      <c r="AD1253" s="32">
        <v>1.7350000000000001</v>
      </c>
    </row>
    <row r="1254" spans="1:30">
      <c r="A1254">
        <v>1252</v>
      </c>
      <c r="B1254">
        <v>26</v>
      </c>
      <c r="C1254">
        <v>1.2809999999999999</v>
      </c>
      <c r="D1254">
        <v>3.04</v>
      </c>
      <c r="E1254">
        <v>0</v>
      </c>
      <c r="F1254">
        <v>1.4059999999999999</v>
      </c>
      <c r="G1254">
        <v>0</v>
      </c>
      <c r="H1254">
        <v>0.14099999999999999</v>
      </c>
      <c r="I1254">
        <v>1.8740000000000001</v>
      </c>
      <c r="K1254">
        <v>1252</v>
      </c>
      <c r="L1254">
        <v>26</v>
      </c>
      <c r="M1254" s="32">
        <v>1.2809999999999999</v>
      </c>
      <c r="N1254" s="32">
        <v>3.04</v>
      </c>
      <c r="P1254" s="32">
        <v>1.4059999999999999</v>
      </c>
      <c r="R1254" s="47">
        <v>0.14299999999999999</v>
      </c>
      <c r="S1254" s="47">
        <v>1.802</v>
      </c>
      <c r="T1254" s="31">
        <v>0</v>
      </c>
      <c r="V1254">
        <v>1252</v>
      </c>
      <c r="W1254">
        <v>25</v>
      </c>
      <c r="X1254">
        <v>1.2929999999999999</v>
      </c>
      <c r="Y1254" s="32">
        <v>3.04</v>
      </c>
      <c r="Z1254">
        <v>0</v>
      </c>
      <c r="AA1254" s="32">
        <v>1.3420000000000001</v>
      </c>
      <c r="AB1254">
        <v>0</v>
      </c>
      <c r="AC1254" s="34">
        <v>0.13600000000000001</v>
      </c>
      <c r="AD1254" s="32">
        <v>1.736</v>
      </c>
    </row>
    <row r="1255" spans="1:30">
      <c r="A1255">
        <v>1253</v>
      </c>
      <c r="B1255">
        <v>26</v>
      </c>
      <c r="C1255">
        <v>1.282</v>
      </c>
      <c r="D1255">
        <v>3.04</v>
      </c>
      <c r="E1255">
        <v>0</v>
      </c>
      <c r="F1255">
        <v>1.4059999999999999</v>
      </c>
      <c r="G1255">
        <v>0</v>
      </c>
      <c r="H1255">
        <v>0.14099999999999999</v>
      </c>
      <c r="I1255">
        <v>1.8759999999999999</v>
      </c>
      <c r="K1255">
        <v>1253</v>
      </c>
      <c r="L1255">
        <v>26</v>
      </c>
      <c r="M1255" s="32">
        <v>1.282</v>
      </c>
      <c r="N1255" s="32">
        <v>3.04</v>
      </c>
      <c r="P1255" s="47">
        <v>1.407</v>
      </c>
      <c r="R1255" s="47">
        <v>0.14299999999999999</v>
      </c>
      <c r="S1255" s="47">
        <v>1.804</v>
      </c>
      <c r="T1255" s="31">
        <v>0</v>
      </c>
      <c r="V1255">
        <v>1253</v>
      </c>
      <c r="W1255">
        <v>25</v>
      </c>
      <c r="X1255">
        <v>1.294</v>
      </c>
      <c r="Y1255" s="32">
        <v>3.04</v>
      </c>
      <c r="Z1255">
        <v>0</v>
      </c>
      <c r="AA1255" s="32">
        <v>1.343</v>
      </c>
      <c r="AB1255">
        <v>0</v>
      </c>
      <c r="AC1255" s="34">
        <v>0.13600000000000001</v>
      </c>
      <c r="AD1255" s="32">
        <v>1.738</v>
      </c>
    </row>
    <row r="1256" spans="1:30">
      <c r="A1256">
        <v>1254</v>
      </c>
      <c r="B1256">
        <v>26</v>
      </c>
      <c r="C1256">
        <v>1.2829999999999999</v>
      </c>
      <c r="D1256">
        <v>3.04</v>
      </c>
      <c r="E1256">
        <v>0</v>
      </c>
      <c r="F1256">
        <v>1.4059999999999999</v>
      </c>
      <c r="G1256">
        <v>0</v>
      </c>
      <c r="H1256">
        <v>0.14099999999999999</v>
      </c>
      <c r="I1256">
        <v>1.877</v>
      </c>
      <c r="K1256">
        <v>1254</v>
      </c>
      <c r="L1256">
        <v>26</v>
      </c>
      <c r="M1256" s="32">
        <v>1.2829999999999999</v>
      </c>
      <c r="N1256" s="32">
        <v>3.04</v>
      </c>
      <c r="P1256" s="47">
        <v>1.407</v>
      </c>
      <c r="R1256" s="47">
        <v>0.14299999999999999</v>
      </c>
      <c r="S1256" s="47">
        <v>1.8049999999999999</v>
      </c>
      <c r="T1256" s="31">
        <v>0</v>
      </c>
      <c r="V1256">
        <v>1254</v>
      </c>
      <c r="W1256">
        <v>25</v>
      </c>
      <c r="X1256">
        <v>1.2949999999999999</v>
      </c>
      <c r="Y1256" s="32">
        <v>3.04</v>
      </c>
      <c r="Z1256">
        <v>0</v>
      </c>
      <c r="AA1256" s="32">
        <v>1.343</v>
      </c>
      <c r="AB1256">
        <v>0</v>
      </c>
      <c r="AC1256" s="34">
        <v>0.13600000000000001</v>
      </c>
      <c r="AD1256" s="32">
        <v>1.74</v>
      </c>
    </row>
    <row r="1257" spans="1:30">
      <c r="A1257">
        <v>1255</v>
      </c>
      <c r="B1257">
        <v>26</v>
      </c>
      <c r="C1257">
        <v>1.284</v>
      </c>
      <c r="D1257">
        <v>3.04</v>
      </c>
      <c r="E1257">
        <v>0</v>
      </c>
      <c r="F1257">
        <v>1.4059999999999999</v>
      </c>
      <c r="G1257">
        <v>0</v>
      </c>
      <c r="H1257">
        <v>0.14099999999999999</v>
      </c>
      <c r="I1257">
        <v>1.879</v>
      </c>
      <c r="K1257">
        <v>1255</v>
      </c>
      <c r="L1257">
        <v>26</v>
      </c>
      <c r="M1257" s="32">
        <v>1.284</v>
      </c>
      <c r="N1257" s="32">
        <v>3.04</v>
      </c>
      <c r="P1257" s="47">
        <v>1.407</v>
      </c>
      <c r="R1257" s="47">
        <v>0.14299999999999999</v>
      </c>
      <c r="S1257" s="47">
        <v>1.8069999999999999</v>
      </c>
      <c r="T1257" s="31">
        <v>0</v>
      </c>
      <c r="V1257">
        <v>1255</v>
      </c>
      <c r="W1257">
        <v>25</v>
      </c>
      <c r="X1257">
        <v>1.296</v>
      </c>
      <c r="Y1257" s="32">
        <v>3.04</v>
      </c>
      <c r="Z1257">
        <v>0</v>
      </c>
      <c r="AA1257" s="32">
        <v>1.343</v>
      </c>
      <c r="AB1257">
        <v>0</v>
      </c>
      <c r="AC1257" s="34">
        <v>0.13600000000000001</v>
      </c>
      <c r="AD1257" s="32">
        <v>1.7410000000000001</v>
      </c>
    </row>
    <row r="1258" spans="1:30">
      <c r="A1258">
        <v>1256</v>
      </c>
      <c r="B1258">
        <v>26</v>
      </c>
      <c r="C1258">
        <v>1.2849999999999999</v>
      </c>
      <c r="D1258">
        <v>3.04</v>
      </c>
      <c r="E1258">
        <v>0</v>
      </c>
      <c r="F1258">
        <v>1.4059999999999999</v>
      </c>
      <c r="G1258">
        <v>0</v>
      </c>
      <c r="H1258">
        <v>0.14099999999999999</v>
      </c>
      <c r="I1258">
        <v>1.881</v>
      </c>
      <c r="K1258">
        <v>1256</v>
      </c>
      <c r="L1258">
        <v>26</v>
      </c>
      <c r="M1258" s="32">
        <v>1.2849999999999999</v>
      </c>
      <c r="N1258" s="32">
        <v>3.04</v>
      </c>
      <c r="P1258" s="47">
        <v>1.4079999999999999</v>
      </c>
      <c r="R1258" s="47">
        <v>0.14299999999999999</v>
      </c>
      <c r="S1258" s="47">
        <v>1.8089999999999999</v>
      </c>
      <c r="T1258" s="31">
        <v>0</v>
      </c>
      <c r="V1258">
        <v>1256</v>
      </c>
      <c r="W1258">
        <v>25</v>
      </c>
      <c r="X1258">
        <v>1.2969999999999999</v>
      </c>
      <c r="Y1258" s="32">
        <v>3.04</v>
      </c>
      <c r="Z1258">
        <v>0</v>
      </c>
      <c r="AA1258" s="32">
        <v>1.343</v>
      </c>
      <c r="AB1258">
        <v>0</v>
      </c>
      <c r="AC1258" s="34">
        <v>0.13600000000000001</v>
      </c>
      <c r="AD1258" s="32">
        <v>1.7430000000000001</v>
      </c>
    </row>
    <row r="1259" spans="1:30">
      <c r="A1259">
        <v>1257</v>
      </c>
      <c r="B1259">
        <v>26</v>
      </c>
      <c r="C1259">
        <v>1.286</v>
      </c>
      <c r="D1259">
        <v>3.04</v>
      </c>
      <c r="E1259">
        <v>0</v>
      </c>
      <c r="F1259">
        <v>1.4059999999999999</v>
      </c>
      <c r="G1259">
        <v>0</v>
      </c>
      <c r="H1259">
        <v>0.14099999999999999</v>
      </c>
      <c r="I1259">
        <v>1.883</v>
      </c>
      <c r="K1259">
        <v>1257</v>
      </c>
      <c r="L1259">
        <v>26</v>
      </c>
      <c r="M1259" s="32">
        <v>1.286</v>
      </c>
      <c r="N1259" s="32">
        <v>3.04</v>
      </c>
      <c r="P1259" s="47">
        <v>1.4079999999999999</v>
      </c>
      <c r="R1259" s="47">
        <v>0.14299999999999999</v>
      </c>
      <c r="S1259" s="47">
        <v>1.8109999999999999</v>
      </c>
      <c r="T1259" s="31">
        <v>0</v>
      </c>
      <c r="V1259">
        <v>1257</v>
      </c>
      <c r="W1259">
        <v>25</v>
      </c>
      <c r="X1259">
        <v>1.298</v>
      </c>
      <c r="Y1259" s="32">
        <v>3.04</v>
      </c>
      <c r="Z1259">
        <v>0</v>
      </c>
      <c r="AA1259" s="32">
        <v>1.3440000000000001</v>
      </c>
      <c r="AB1259">
        <v>0</v>
      </c>
      <c r="AC1259" s="34">
        <v>0.13600000000000001</v>
      </c>
      <c r="AD1259" s="32">
        <v>1.7450000000000001</v>
      </c>
    </row>
    <row r="1260" spans="1:30">
      <c r="A1260">
        <v>1258</v>
      </c>
      <c r="B1260">
        <v>26</v>
      </c>
      <c r="C1260">
        <v>1.2869999999999999</v>
      </c>
      <c r="D1260">
        <v>3.04</v>
      </c>
      <c r="E1260">
        <v>0</v>
      </c>
      <c r="F1260">
        <v>1.4059999999999999</v>
      </c>
      <c r="G1260">
        <v>0</v>
      </c>
      <c r="H1260">
        <v>0.14099999999999999</v>
      </c>
      <c r="I1260">
        <v>1.885</v>
      </c>
      <c r="K1260">
        <v>1258</v>
      </c>
      <c r="L1260">
        <v>26</v>
      </c>
      <c r="M1260" s="32">
        <v>1.2869999999999999</v>
      </c>
      <c r="N1260" s="32">
        <v>3.04</v>
      </c>
      <c r="P1260" s="47">
        <v>1.4079999999999999</v>
      </c>
      <c r="R1260" s="47">
        <v>0.14299999999999999</v>
      </c>
      <c r="S1260" s="47">
        <v>1.8129999999999999</v>
      </c>
      <c r="T1260" s="31">
        <v>0</v>
      </c>
      <c r="V1260">
        <v>1258</v>
      </c>
      <c r="W1260">
        <v>25</v>
      </c>
      <c r="X1260">
        <v>1.2989999999999999</v>
      </c>
      <c r="Y1260" s="32">
        <v>3.04</v>
      </c>
      <c r="Z1260">
        <v>0</v>
      </c>
      <c r="AA1260" s="32">
        <v>1.3440000000000001</v>
      </c>
      <c r="AB1260">
        <v>0</v>
      </c>
      <c r="AC1260" s="34">
        <v>0.13700000000000001</v>
      </c>
      <c r="AD1260" s="32">
        <v>1.746</v>
      </c>
    </row>
    <row r="1261" spans="1:30">
      <c r="A1261">
        <v>1259</v>
      </c>
      <c r="B1261">
        <v>26</v>
      </c>
      <c r="C1261">
        <v>1.288</v>
      </c>
      <c r="D1261">
        <v>3.04</v>
      </c>
      <c r="E1261">
        <v>0</v>
      </c>
      <c r="F1261">
        <v>1.4059999999999999</v>
      </c>
      <c r="G1261">
        <v>0</v>
      </c>
      <c r="H1261">
        <v>0.14099999999999999</v>
      </c>
      <c r="I1261">
        <v>1.8859999999999999</v>
      </c>
      <c r="K1261">
        <v>1259</v>
      </c>
      <c r="L1261">
        <v>26</v>
      </c>
      <c r="M1261" s="32">
        <v>1.288</v>
      </c>
      <c r="N1261" s="32">
        <v>3.04</v>
      </c>
      <c r="P1261" s="47">
        <v>1.4079999999999999</v>
      </c>
      <c r="R1261" s="47">
        <v>0.14299999999999999</v>
      </c>
      <c r="S1261" s="47">
        <v>1.8140000000000001</v>
      </c>
      <c r="T1261" s="31">
        <v>0</v>
      </c>
      <c r="V1261">
        <v>1259</v>
      </c>
      <c r="W1261">
        <v>25</v>
      </c>
      <c r="X1261">
        <v>1.3</v>
      </c>
      <c r="Y1261" s="32">
        <v>3.04</v>
      </c>
      <c r="Z1261">
        <v>0</v>
      </c>
      <c r="AA1261" s="32">
        <v>1.3440000000000001</v>
      </c>
      <c r="AB1261">
        <v>0</v>
      </c>
      <c r="AC1261" s="34">
        <v>0.13700000000000001</v>
      </c>
      <c r="AD1261" s="32">
        <v>1.748</v>
      </c>
    </row>
    <row r="1262" spans="1:30">
      <c r="A1262">
        <v>1260</v>
      </c>
      <c r="B1262">
        <v>26</v>
      </c>
      <c r="C1262">
        <v>1.2889999999999999</v>
      </c>
      <c r="D1262">
        <v>3.04</v>
      </c>
      <c r="E1262">
        <v>0</v>
      </c>
      <c r="F1262">
        <v>1.4059999999999999</v>
      </c>
      <c r="G1262">
        <v>0</v>
      </c>
      <c r="H1262">
        <v>0.14099999999999999</v>
      </c>
      <c r="I1262">
        <v>1.8879999999999999</v>
      </c>
      <c r="K1262">
        <v>1260</v>
      </c>
      <c r="L1262">
        <v>26</v>
      </c>
      <c r="M1262" s="32">
        <v>1.2889999999999999</v>
      </c>
      <c r="N1262" s="32">
        <v>3.04</v>
      </c>
      <c r="P1262" s="47">
        <v>1.409</v>
      </c>
      <c r="R1262" s="47">
        <v>0.14299999999999999</v>
      </c>
      <c r="S1262" s="47">
        <v>1.8160000000000001</v>
      </c>
      <c r="T1262" s="31">
        <v>0</v>
      </c>
      <c r="V1262">
        <v>1260</v>
      </c>
      <c r="W1262">
        <v>25</v>
      </c>
      <c r="X1262">
        <v>1.3009999999999999</v>
      </c>
      <c r="Y1262" s="32">
        <v>3.04</v>
      </c>
      <c r="Z1262">
        <v>0</v>
      </c>
      <c r="AA1262" s="32">
        <v>1.3440000000000001</v>
      </c>
      <c r="AB1262">
        <v>0</v>
      </c>
      <c r="AC1262" s="34">
        <v>0.13700000000000001</v>
      </c>
      <c r="AD1262" s="32">
        <v>1.75</v>
      </c>
    </row>
    <row r="1263" spans="1:30">
      <c r="A1263">
        <v>1261</v>
      </c>
      <c r="B1263">
        <v>26</v>
      </c>
      <c r="C1263">
        <v>1.29</v>
      </c>
      <c r="D1263">
        <v>3.04</v>
      </c>
      <c r="E1263">
        <v>0</v>
      </c>
      <c r="F1263">
        <v>1.409</v>
      </c>
      <c r="G1263">
        <v>0</v>
      </c>
      <c r="H1263">
        <v>0.14099999999999999</v>
      </c>
      <c r="I1263">
        <v>1.8180000000000001</v>
      </c>
      <c r="K1263">
        <v>1261</v>
      </c>
      <c r="L1263">
        <v>26</v>
      </c>
      <c r="M1263" s="32">
        <v>1.29</v>
      </c>
      <c r="N1263" s="32">
        <v>3.04</v>
      </c>
      <c r="P1263" s="32">
        <v>1.409</v>
      </c>
      <c r="R1263" s="47">
        <v>0.14299999999999999</v>
      </c>
      <c r="S1263" s="32">
        <v>1.8180000000000001</v>
      </c>
      <c r="T1263" s="31">
        <v>0</v>
      </c>
      <c r="V1263">
        <v>1261</v>
      </c>
      <c r="W1263">
        <v>25</v>
      </c>
      <c r="X1263">
        <v>1.302</v>
      </c>
      <c r="Y1263" s="32">
        <v>3.04</v>
      </c>
      <c r="Z1263">
        <v>0</v>
      </c>
      <c r="AA1263" s="32">
        <v>1.3440000000000001</v>
      </c>
      <c r="AB1263">
        <v>0</v>
      </c>
      <c r="AC1263" s="34">
        <v>0.13700000000000001</v>
      </c>
      <c r="AD1263" s="32">
        <v>1.7509999999999999</v>
      </c>
    </row>
    <row r="1264" spans="1:30">
      <c r="A1264">
        <v>1262</v>
      </c>
      <c r="B1264">
        <v>26</v>
      </c>
      <c r="C1264">
        <v>1.2909999999999999</v>
      </c>
      <c r="D1264">
        <v>3.04</v>
      </c>
      <c r="E1264">
        <v>0</v>
      </c>
      <c r="F1264">
        <v>1.409</v>
      </c>
      <c r="G1264">
        <v>0</v>
      </c>
      <c r="H1264">
        <v>0.14099999999999999</v>
      </c>
      <c r="I1264">
        <v>1.91</v>
      </c>
      <c r="K1264">
        <v>1262</v>
      </c>
      <c r="L1264">
        <v>26</v>
      </c>
      <c r="M1264" s="32">
        <v>1.2909999999999999</v>
      </c>
      <c r="N1264" s="32">
        <v>3.04</v>
      </c>
      <c r="P1264" s="32">
        <v>1.409</v>
      </c>
      <c r="R1264" s="47">
        <v>0.14299999999999999</v>
      </c>
      <c r="S1264" s="47">
        <v>1.82</v>
      </c>
      <c r="T1264" s="31">
        <v>0</v>
      </c>
      <c r="V1264">
        <v>1262</v>
      </c>
      <c r="W1264">
        <v>25</v>
      </c>
      <c r="X1264">
        <v>1.3029999999999999</v>
      </c>
      <c r="Y1264" s="32">
        <v>3.04</v>
      </c>
      <c r="Z1264">
        <v>0</v>
      </c>
      <c r="AA1264" s="32">
        <v>1.345</v>
      </c>
      <c r="AB1264">
        <v>0</v>
      </c>
      <c r="AC1264" s="34">
        <v>0.13700000000000001</v>
      </c>
      <c r="AD1264" s="32">
        <v>1.7529999999999999</v>
      </c>
    </row>
    <row r="1265" spans="1:30">
      <c r="A1265">
        <v>1263</v>
      </c>
      <c r="B1265">
        <v>26</v>
      </c>
      <c r="C1265">
        <v>1.292</v>
      </c>
      <c r="D1265">
        <v>3.04</v>
      </c>
      <c r="E1265">
        <v>0</v>
      </c>
      <c r="F1265">
        <v>1.409</v>
      </c>
      <c r="G1265">
        <v>0</v>
      </c>
      <c r="H1265">
        <v>0.14099999999999999</v>
      </c>
      <c r="I1265">
        <v>1.9119999999999999</v>
      </c>
      <c r="K1265">
        <v>1263</v>
      </c>
      <c r="L1265">
        <v>26</v>
      </c>
      <c r="M1265" s="32">
        <v>1.292</v>
      </c>
      <c r="N1265" s="32">
        <v>3.04</v>
      </c>
      <c r="P1265" s="47">
        <v>1.41</v>
      </c>
      <c r="R1265" s="47">
        <v>0.14299999999999999</v>
      </c>
      <c r="S1265" s="47">
        <v>1.8220000000000001</v>
      </c>
      <c r="T1265" s="31">
        <v>0</v>
      </c>
      <c r="V1265">
        <v>1263</v>
      </c>
      <c r="W1265">
        <v>25</v>
      </c>
      <c r="X1265">
        <v>1.304</v>
      </c>
      <c r="Y1265" s="32">
        <v>3.04</v>
      </c>
      <c r="Z1265">
        <v>0</v>
      </c>
      <c r="AA1265" s="32">
        <v>1.345</v>
      </c>
      <c r="AB1265">
        <v>0</v>
      </c>
      <c r="AC1265" s="34">
        <v>0.13700000000000001</v>
      </c>
      <c r="AD1265" s="32">
        <v>1.7549999999999999</v>
      </c>
    </row>
    <row r="1266" spans="1:30">
      <c r="A1266">
        <v>1264</v>
      </c>
      <c r="B1266">
        <v>26</v>
      </c>
      <c r="C1266">
        <v>1.2929999999999999</v>
      </c>
      <c r="D1266">
        <v>3.04</v>
      </c>
      <c r="E1266">
        <v>0</v>
      </c>
      <c r="F1266">
        <v>1.409</v>
      </c>
      <c r="G1266">
        <v>0</v>
      </c>
      <c r="H1266">
        <v>0.14099999999999999</v>
      </c>
      <c r="I1266">
        <v>1.913</v>
      </c>
      <c r="K1266">
        <v>1264</v>
      </c>
      <c r="L1266">
        <v>26</v>
      </c>
      <c r="M1266" s="32">
        <v>1.2929999999999999</v>
      </c>
      <c r="N1266" s="32">
        <v>3.04</v>
      </c>
      <c r="P1266" s="47">
        <v>1.41</v>
      </c>
      <c r="R1266" s="47">
        <v>0.14299999999999999</v>
      </c>
      <c r="S1266" s="47">
        <v>1.823</v>
      </c>
      <c r="T1266" s="31">
        <v>0</v>
      </c>
      <c r="V1266">
        <v>1264</v>
      </c>
      <c r="W1266">
        <v>25</v>
      </c>
      <c r="X1266">
        <v>1.3049999999999999</v>
      </c>
      <c r="Y1266" s="32">
        <v>3.04</v>
      </c>
      <c r="Z1266">
        <v>0</v>
      </c>
      <c r="AA1266" s="32">
        <v>1.345</v>
      </c>
      <c r="AB1266">
        <v>0</v>
      </c>
      <c r="AC1266" s="34">
        <v>0.13700000000000001</v>
      </c>
      <c r="AD1266" s="32">
        <v>1.756</v>
      </c>
    </row>
    <row r="1267" spans="1:30">
      <c r="A1267">
        <v>1265</v>
      </c>
      <c r="B1267">
        <v>26</v>
      </c>
      <c r="C1267">
        <v>1.294</v>
      </c>
      <c r="D1267">
        <v>3.04</v>
      </c>
      <c r="E1267">
        <v>0</v>
      </c>
      <c r="F1267">
        <v>1.409</v>
      </c>
      <c r="G1267">
        <v>0</v>
      </c>
      <c r="H1267">
        <v>0.14099999999999999</v>
      </c>
      <c r="I1267">
        <v>1.915</v>
      </c>
      <c r="K1267">
        <v>1265</v>
      </c>
      <c r="L1267">
        <v>26</v>
      </c>
      <c r="M1267" s="32">
        <v>1.294</v>
      </c>
      <c r="N1267" s="32">
        <v>3.04</v>
      </c>
      <c r="P1267" s="47">
        <v>1.411</v>
      </c>
      <c r="R1267" s="47">
        <v>0.14299999999999999</v>
      </c>
      <c r="S1267" s="47">
        <v>1.825</v>
      </c>
      <c r="T1267" s="31">
        <v>0</v>
      </c>
      <c r="V1267">
        <v>1265</v>
      </c>
      <c r="W1267">
        <v>25</v>
      </c>
      <c r="X1267">
        <v>1.306</v>
      </c>
      <c r="Y1267" s="32">
        <v>3.04</v>
      </c>
      <c r="Z1267">
        <v>0</v>
      </c>
      <c r="AA1267" s="32">
        <v>1.345</v>
      </c>
      <c r="AB1267">
        <v>0</v>
      </c>
      <c r="AC1267" s="34">
        <v>0.13700000000000001</v>
      </c>
      <c r="AD1267" s="32">
        <v>1.758</v>
      </c>
    </row>
    <row r="1268" spans="1:30">
      <c r="A1268">
        <v>1266</v>
      </c>
      <c r="B1268">
        <v>26</v>
      </c>
      <c r="C1268">
        <v>1.2949999999999999</v>
      </c>
      <c r="D1268">
        <v>3.04</v>
      </c>
      <c r="E1268">
        <v>0</v>
      </c>
      <c r="F1268">
        <v>1.409</v>
      </c>
      <c r="G1268">
        <v>0</v>
      </c>
      <c r="H1268">
        <v>0.14099999999999999</v>
      </c>
      <c r="I1268">
        <v>1.917</v>
      </c>
      <c r="K1268">
        <v>1266</v>
      </c>
      <c r="L1268">
        <v>26</v>
      </c>
      <c r="M1268" s="32">
        <v>1.2949999999999999</v>
      </c>
      <c r="N1268" s="32">
        <v>3.04</v>
      </c>
      <c r="P1268" s="47">
        <v>1.411</v>
      </c>
      <c r="R1268" s="47">
        <v>0.14299999999999999</v>
      </c>
      <c r="S1268" s="47">
        <v>1.827</v>
      </c>
      <c r="T1268" s="31">
        <v>0</v>
      </c>
      <c r="V1268">
        <v>1266</v>
      </c>
      <c r="W1268">
        <v>25</v>
      </c>
      <c r="X1268">
        <v>1.3069999999999999</v>
      </c>
      <c r="Y1268" s="32">
        <v>3.04</v>
      </c>
      <c r="Z1268">
        <v>0</v>
      </c>
      <c r="AA1268" s="32">
        <v>1.3460000000000001</v>
      </c>
      <c r="AB1268">
        <v>0</v>
      </c>
      <c r="AC1268" s="34">
        <v>0.13700000000000001</v>
      </c>
      <c r="AD1268" s="32">
        <v>1.76</v>
      </c>
    </row>
    <row r="1269" spans="1:30">
      <c r="A1269">
        <v>1267</v>
      </c>
      <c r="B1269">
        <v>26</v>
      </c>
      <c r="C1269">
        <v>1.296</v>
      </c>
      <c r="D1269">
        <v>3.04</v>
      </c>
      <c r="E1269">
        <v>0</v>
      </c>
      <c r="F1269">
        <v>1.409</v>
      </c>
      <c r="G1269">
        <v>0</v>
      </c>
      <c r="H1269">
        <v>0.14099999999999999</v>
      </c>
      <c r="I1269">
        <v>1.919</v>
      </c>
      <c r="K1269">
        <v>1267</v>
      </c>
      <c r="L1269">
        <v>26</v>
      </c>
      <c r="M1269" s="32">
        <v>1.296</v>
      </c>
      <c r="N1269" s="32">
        <v>3.04</v>
      </c>
      <c r="P1269" s="47">
        <v>1.411</v>
      </c>
      <c r="R1269" s="47">
        <v>0.14299999999999999</v>
      </c>
      <c r="S1269" s="47">
        <v>1.829</v>
      </c>
      <c r="T1269" s="31">
        <v>0</v>
      </c>
      <c r="V1269">
        <v>1267</v>
      </c>
      <c r="W1269">
        <v>25</v>
      </c>
      <c r="X1269">
        <v>1.3080000000000001</v>
      </c>
      <c r="Y1269" s="32">
        <v>3.04</v>
      </c>
      <c r="Z1269">
        <v>0</v>
      </c>
      <c r="AA1269" s="32">
        <v>1.3460000000000001</v>
      </c>
      <c r="AB1269">
        <v>0</v>
      </c>
      <c r="AC1269" s="34">
        <v>0.13700000000000001</v>
      </c>
      <c r="AD1269" s="32">
        <v>1.7609999999999999</v>
      </c>
    </row>
    <row r="1270" spans="1:30">
      <c r="A1270">
        <v>1268</v>
      </c>
      <c r="B1270">
        <v>26</v>
      </c>
      <c r="C1270">
        <v>1.2969999999999999</v>
      </c>
      <c r="D1270">
        <v>3.04</v>
      </c>
      <c r="E1270">
        <v>0</v>
      </c>
      <c r="F1270">
        <v>1.409</v>
      </c>
      <c r="G1270">
        <v>0</v>
      </c>
      <c r="H1270">
        <v>0.14099999999999999</v>
      </c>
      <c r="I1270">
        <v>1.921</v>
      </c>
      <c r="K1270">
        <v>1268</v>
      </c>
      <c r="L1270">
        <v>26</v>
      </c>
      <c r="M1270" s="32">
        <v>1.2969999999999999</v>
      </c>
      <c r="N1270" s="32">
        <v>3.04</v>
      </c>
      <c r="P1270" s="47">
        <v>1.4119999999999999</v>
      </c>
      <c r="R1270" s="47">
        <v>0.14299999999999999</v>
      </c>
      <c r="S1270" s="47">
        <v>1.831</v>
      </c>
      <c r="T1270" s="31">
        <v>0</v>
      </c>
      <c r="V1270">
        <v>1268</v>
      </c>
      <c r="W1270">
        <v>25</v>
      </c>
      <c r="X1270">
        <v>1.3089999999999999</v>
      </c>
      <c r="Y1270" s="32">
        <v>3.04</v>
      </c>
      <c r="Z1270">
        <v>0</v>
      </c>
      <c r="AA1270" s="32">
        <v>1.3460000000000001</v>
      </c>
      <c r="AB1270">
        <v>0</v>
      </c>
      <c r="AC1270" s="34">
        <v>0.13700000000000001</v>
      </c>
      <c r="AD1270" s="32">
        <v>1.7629999999999999</v>
      </c>
    </row>
    <row r="1271" spans="1:30">
      <c r="A1271">
        <v>1269</v>
      </c>
      <c r="B1271">
        <v>26</v>
      </c>
      <c r="C1271">
        <v>1.298</v>
      </c>
      <c r="D1271">
        <v>3.04</v>
      </c>
      <c r="E1271">
        <v>0</v>
      </c>
      <c r="F1271">
        <v>1.409</v>
      </c>
      <c r="G1271">
        <v>0</v>
      </c>
      <c r="H1271">
        <v>0.14099999999999999</v>
      </c>
      <c r="I1271">
        <v>1.9219999999999999</v>
      </c>
      <c r="K1271">
        <v>1269</v>
      </c>
      <c r="L1271">
        <v>26</v>
      </c>
      <c r="M1271" s="32">
        <v>1.298</v>
      </c>
      <c r="N1271" s="32">
        <v>3.04</v>
      </c>
      <c r="P1271" s="47">
        <v>1.4119999999999999</v>
      </c>
      <c r="R1271" s="47">
        <v>0.14299999999999999</v>
      </c>
      <c r="S1271" s="47">
        <v>1.8320000000000001</v>
      </c>
      <c r="T1271" s="31">
        <v>0</v>
      </c>
      <c r="V1271">
        <v>1269</v>
      </c>
      <c r="W1271">
        <v>25</v>
      </c>
      <c r="X1271">
        <v>1.31</v>
      </c>
      <c r="Y1271" s="32">
        <v>3.04</v>
      </c>
      <c r="Z1271">
        <v>0</v>
      </c>
      <c r="AA1271" s="32">
        <v>1.3460000000000001</v>
      </c>
      <c r="AB1271">
        <v>0</v>
      </c>
      <c r="AC1271" s="34">
        <v>0.13700000000000001</v>
      </c>
      <c r="AD1271" s="32">
        <v>1.7649999999999999</v>
      </c>
    </row>
    <row r="1272" spans="1:30">
      <c r="A1272">
        <v>1270</v>
      </c>
      <c r="B1272">
        <v>26</v>
      </c>
      <c r="C1272">
        <v>1.2989999999999999</v>
      </c>
      <c r="D1272">
        <v>3.04</v>
      </c>
      <c r="E1272">
        <v>0</v>
      </c>
      <c r="F1272">
        <v>1.409</v>
      </c>
      <c r="G1272">
        <v>0</v>
      </c>
      <c r="H1272">
        <v>0.14099999999999999</v>
      </c>
      <c r="I1272">
        <v>1.9239999999999999</v>
      </c>
      <c r="K1272">
        <v>1270</v>
      </c>
      <c r="L1272">
        <v>26</v>
      </c>
      <c r="M1272" s="32">
        <v>1.2989999999999999</v>
      </c>
      <c r="N1272" s="32">
        <v>3.04</v>
      </c>
      <c r="P1272" s="47">
        <v>1.413</v>
      </c>
      <c r="R1272" s="47">
        <v>0.14299999999999999</v>
      </c>
      <c r="S1272" s="47">
        <v>1.8340000000000001</v>
      </c>
      <c r="T1272" s="31">
        <v>0</v>
      </c>
      <c r="V1272">
        <v>1270</v>
      </c>
      <c r="W1272">
        <v>25</v>
      </c>
      <c r="X1272">
        <v>1.3109999999999999</v>
      </c>
      <c r="Y1272" s="32">
        <v>3.05</v>
      </c>
      <c r="Z1272">
        <v>0</v>
      </c>
      <c r="AA1272" s="32">
        <v>1.347</v>
      </c>
      <c r="AB1272">
        <v>0</v>
      </c>
      <c r="AC1272" s="34">
        <v>0.13800000000000001</v>
      </c>
      <c r="AD1272" s="32">
        <v>1.7669999999999999</v>
      </c>
    </row>
    <row r="1273" spans="1:30">
      <c r="A1273">
        <v>1271</v>
      </c>
      <c r="B1273">
        <v>26</v>
      </c>
      <c r="C1273">
        <v>1.3</v>
      </c>
      <c r="D1273">
        <v>3.04</v>
      </c>
      <c r="E1273">
        <v>0</v>
      </c>
      <c r="F1273">
        <v>1.413</v>
      </c>
      <c r="G1273">
        <v>0</v>
      </c>
      <c r="H1273">
        <v>0.14099999999999999</v>
      </c>
      <c r="I1273">
        <v>1.8360000000000001</v>
      </c>
      <c r="K1273">
        <v>1271</v>
      </c>
      <c r="L1273">
        <v>26</v>
      </c>
      <c r="M1273" s="32">
        <v>1.3</v>
      </c>
      <c r="N1273" s="32">
        <v>3.04</v>
      </c>
      <c r="P1273" s="32">
        <v>1.413</v>
      </c>
      <c r="R1273" s="47">
        <v>0.14299999999999999</v>
      </c>
      <c r="S1273" s="32">
        <v>1.8360000000000001</v>
      </c>
      <c r="T1273" s="31">
        <v>0</v>
      </c>
      <c r="V1273">
        <v>1271</v>
      </c>
      <c r="W1273">
        <v>25</v>
      </c>
      <c r="X1273">
        <v>1.3120000000000001</v>
      </c>
      <c r="Y1273" s="32">
        <v>3.06</v>
      </c>
      <c r="Z1273">
        <v>0</v>
      </c>
      <c r="AA1273" s="32">
        <v>1.347</v>
      </c>
      <c r="AB1273">
        <v>0</v>
      </c>
      <c r="AC1273" s="34">
        <v>0.13800000000000001</v>
      </c>
      <c r="AD1273" s="32">
        <v>1.768</v>
      </c>
    </row>
    <row r="1274" spans="1:30">
      <c r="A1274">
        <v>1272</v>
      </c>
      <c r="B1274">
        <v>26</v>
      </c>
      <c r="C1274">
        <v>1.3009999999999999</v>
      </c>
      <c r="D1274">
        <v>3.04</v>
      </c>
      <c r="E1274">
        <v>0</v>
      </c>
      <c r="F1274">
        <v>1.413</v>
      </c>
      <c r="G1274">
        <v>0</v>
      </c>
      <c r="H1274">
        <v>0.14099999999999999</v>
      </c>
      <c r="I1274">
        <v>1.946</v>
      </c>
      <c r="K1274">
        <v>1272</v>
      </c>
      <c r="L1274">
        <v>26</v>
      </c>
      <c r="M1274" s="32">
        <v>1.3009999999999999</v>
      </c>
      <c r="N1274" s="32">
        <v>3.04</v>
      </c>
      <c r="P1274" s="32">
        <v>1.413</v>
      </c>
      <c r="R1274" s="47">
        <v>0.14299999999999999</v>
      </c>
      <c r="S1274" s="47">
        <v>1.8380000000000001</v>
      </c>
      <c r="T1274" s="31">
        <v>0</v>
      </c>
      <c r="V1274">
        <v>1272</v>
      </c>
      <c r="W1274">
        <v>25</v>
      </c>
      <c r="X1274">
        <v>1.3129999999999999</v>
      </c>
      <c r="Y1274" s="32">
        <v>3.07</v>
      </c>
      <c r="Z1274">
        <v>0</v>
      </c>
      <c r="AA1274" s="32">
        <v>1.347</v>
      </c>
      <c r="AB1274">
        <v>0</v>
      </c>
      <c r="AC1274" s="34">
        <v>0.13800000000000001</v>
      </c>
      <c r="AD1274" s="32">
        <v>1.77</v>
      </c>
    </row>
    <row r="1275" spans="1:30">
      <c r="A1275">
        <v>1273</v>
      </c>
      <c r="B1275">
        <v>26</v>
      </c>
      <c r="C1275">
        <v>1.302</v>
      </c>
      <c r="D1275">
        <v>3.04</v>
      </c>
      <c r="E1275">
        <v>0</v>
      </c>
      <c r="F1275">
        <v>1.413</v>
      </c>
      <c r="G1275">
        <v>0</v>
      </c>
      <c r="H1275">
        <v>0.14099999999999999</v>
      </c>
      <c r="I1275">
        <v>1.948</v>
      </c>
      <c r="K1275">
        <v>1273</v>
      </c>
      <c r="L1275">
        <v>26</v>
      </c>
      <c r="M1275" s="32">
        <v>1.302</v>
      </c>
      <c r="N1275" s="32">
        <v>3.04</v>
      </c>
      <c r="P1275" s="47">
        <v>1.4139999999999999</v>
      </c>
      <c r="R1275" s="47">
        <v>0.14299999999999999</v>
      </c>
      <c r="S1275" s="47">
        <v>1.84</v>
      </c>
      <c r="T1275" s="31">
        <v>0</v>
      </c>
      <c r="V1275">
        <v>1273</v>
      </c>
      <c r="W1275">
        <v>25</v>
      </c>
      <c r="X1275">
        <v>1.3140000000000001</v>
      </c>
      <c r="Y1275" s="32">
        <v>3.08</v>
      </c>
      <c r="Z1275">
        <v>0</v>
      </c>
      <c r="AA1275" s="32">
        <v>1.347</v>
      </c>
      <c r="AB1275">
        <v>0</v>
      </c>
      <c r="AC1275" s="34">
        <v>0.13800000000000001</v>
      </c>
      <c r="AD1275" s="32">
        <v>1.772</v>
      </c>
    </row>
    <row r="1276" spans="1:30">
      <c r="A1276">
        <v>1274</v>
      </c>
      <c r="B1276">
        <v>26</v>
      </c>
      <c r="C1276">
        <v>1.3029999999999999</v>
      </c>
      <c r="D1276">
        <v>3.04</v>
      </c>
      <c r="E1276">
        <v>0</v>
      </c>
      <c r="F1276">
        <v>1.413</v>
      </c>
      <c r="G1276">
        <v>0</v>
      </c>
      <c r="H1276">
        <v>0.14099999999999999</v>
      </c>
      <c r="I1276">
        <v>1.9490000000000001</v>
      </c>
      <c r="K1276">
        <v>1274</v>
      </c>
      <c r="L1276">
        <v>26</v>
      </c>
      <c r="M1276" s="32">
        <v>1.3029999999999999</v>
      </c>
      <c r="N1276" s="32">
        <v>3.04</v>
      </c>
      <c r="P1276" s="47">
        <v>1.4139999999999999</v>
      </c>
      <c r="R1276" s="47">
        <v>0.14299999999999999</v>
      </c>
      <c r="S1276" s="47">
        <v>1.8420000000000001</v>
      </c>
      <c r="T1276" s="31">
        <v>0</v>
      </c>
      <c r="V1276">
        <v>1274</v>
      </c>
      <c r="W1276">
        <v>25</v>
      </c>
      <c r="X1276">
        <v>1.3149999999999999</v>
      </c>
      <c r="Y1276" s="32">
        <v>3.09</v>
      </c>
      <c r="Z1276">
        <v>0</v>
      </c>
      <c r="AA1276" s="32">
        <v>1.347</v>
      </c>
      <c r="AB1276">
        <v>0</v>
      </c>
      <c r="AC1276" s="34">
        <v>0.13800000000000001</v>
      </c>
      <c r="AD1276" s="32">
        <v>1.7729999999999999</v>
      </c>
    </row>
    <row r="1277" spans="1:30">
      <c r="A1277">
        <v>1275</v>
      </c>
      <c r="B1277">
        <v>26</v>
      </c>
      <c r="C1277">
        <v>1.304</v>
      </c>
      <c r="D1277">
        <v>3.04</v>
      </c>
      <c r="E1277">
        <v>0</v>
      </c>
      <c r="F1277">
        <v>1.413</v>
      </c>
      <c r="G1277">
        <v>0</v>
      </c>
      <c r="H1277">
        <v>0.14099999999999999</v>
      </c>
      <c r="I1277">
        <v>1.9510000000000001</v>
      </c>
      <c r="K1277">
        <v>1275</v>
      </c>
      <c r="L1277">
        <v>26</v>
      </c>
      <c r="M1277" s="32">
        <v>1.304</v>
      </c>
      <c r="N1277" s="32">
        <v>3.04</v>
      </c>
      <c r="P1277" s="47">
        <v>1.4139999999999999</v>
      </c>
      <c r="R1277" s="47">
        <v>0.14299999999999999</v>
      </c>
      <c r="S1277" s="47">
        <v>1.8440000000000001</v>
      </c>
      <c r="T1277" s="31">
        <v>0</v>
      </c>
      <c r="V1277">
        <v>1275</v>
      </c>
      <c r="W1277">
        <v>25</v>
      </c>
      <c r="X1277">
        <v>1.3160000000000001</v>
      </c>
      <c r="Y1277" s="32">
        <v>3.1</v>
      </c>
      <c r="Z1277">
        <v>0</v>
      </c>
      <c r="AA1277" s="32">
        <v>1.3480000000000001</v>
      </c>
      <c r="AB1277">
        <v>0</v>
      </c>
      <c r="AC1277" s="34">
        <v>0.13800000000000001</v>
      </c>
      <c r="AD1277" s="32">
        <v>1.7749999999999999</v>
      </c>
    </row>
    <row r="1278" spans="1:30">
      <c r="A1278">
        <v>1276</v>
      </c>
      <c r="B1278">
        <v>26</v>
      </c>
      <c r="C1278">
        <v>1.3049999999999999</v>
      </c>
      <c r="D1278">
        <v>3.04</v>
      </c>
      <c r="E1278">
        <v>0</v>
      </c>
      <c r="F1278">
        <v>1.413</v>
      </c>
      <c r="G1278">
        <v>0</v>
      </c>
      <c r="H1278">
        <v>0.14099999999999999</v>
      </c>
      <c r="I1278">
        <v>1.9530000000000001</v>
      </c>
      <c r="K1278">
        <v>1276</v>
      </c>
      <c r="L1278">
        <v>26</v>
      </c>
      <c r="M1278" s="32">
        <v>1.3049999999999999</v>
      </c>
      <c r="N1278" s="32">
        <v>3.04</v>
      </c>
      <c r="P1278" s="47">
        <v>1.415</v>
      </c>
      <c r="R1278" s="47">
        <v>0.14299999999999999</v>
      </c>
      <c r="S1278" s="47">
        <v>1.8460000000000001</v>
      </c>
      <c r="T1278" s="31">
        <v>0</v>
      </c>
      <c r="V1278">
        <v>1276</v>
      </c>
      <c r="W1278">
        <v>25</v>
      </c>
      <c r="X1278">
        <v>1.3169999999999999</v>
      </c>
      <c r="Y1278" s="32">
        <v>3.11</v>
      </c>
      <c r="Z1278">
        <v>0</v>
      </c>
      <c r="AA1278" s="32">
        <v>1.3480000000000001</v>
      </c>
      <c r="AB1278">
        <v>0</v>
      </c>
      <c r="AC1278" s="34">
        <v>0.13800000000000001</v>
      </c>
      <c r="AD1278" s="32">
        <v>1.7769999999999999</v>
      </c>
    </row>
    <row r="1279" spans="1:30">
      <c r="A1279">
        <v>1277</v>
      </c>
      <c r="B1279">
        <v>26</v>
      </c>
      <c r="C1279">
        <v>1.306</v>
      </c>
      <c r="D1279">
        <v>3.04</v>
      </c>
      <c r="E1279">
        <v>0</v>
      </c>
      <c r="F1279">
        <v>1.413</v>
      </c>
      <c r="G1279">
        <v>0</v>
      </c>
      <c r="H1279">
        <v>0.14099999999999999</v>
      </c>
      <c r="I1279">
        <v>1.9550000000000001</v>
      </c>
      <c r="K1279">
        <v>1277</v>
      </c>
      <c r="L1279">
        <v>26</v>
      </c>
      <c r="M1279" s="32">
        <v>1.306</v>
      </c>
      <c r="N1279" s="32">
        <v>3.04</v>
      </c>
      <c r="P1279" s="47">
        <v>1.415</v>
      </c>
      <c r="R1279" s="47">
        <v>0.14299999999999999</v>
      </c>
      <c r="S1279" s="47">
        <v>1.847</v>
      </c>
      <c r="T1279" s="31">
        <v>0</v>
      </c>
      <c r="V1279">
        <v>1277</v>
      </c>
      <c r="W1279">
        <v>25</v>
      </c>
      <c r="X1279">
        <v>1.3180000000000001</v>
      </c>
      <c r="Y1279" s="32">
        <v>3.12</v>
      </c>
      <c r="Z1279">
        <v>0</v>
      </c>
      <c r="AA1279" s="32">
        <v>1.3480000000000001</v>
      </c>
      <c r="AB1279">
        <v>0</v>
      </c>
      <c r="AC1279" s="34">
        <v>0.13800000000000001</v>
      </c>
      <c r="AD1279" s="32">
        <v>1.778</v>
      </c>
    </row>
    <row r="1280" spans="1:30">
      <c r="A1280">
        <v>1278</v>
      </c>
      <c r="B1280">
        <v>26</v>
      </c>
      <c r="C1280">
        <v>1.3069999999999999</v>
      </c>
      <c r="D1280">
        <v>3.04</v>
      </c>
      <c r="E1280">
        <v>0</v>
      </c>
      <c r="F1280">
        <v>1.413</v>
      </c>
      <c r="G1280">
        <v>0</v>
      </c>
      <c r="H1280">
        <v>0.14099999999999999</v>
      </c>
      <c r="I1280">
        <v>1.9570000000000001</v>
      </c>
      <c r="K1280">
        <v>1278</v>
      </c>
      <c r="L1280">
        <v>26</v>
      </c>
      <c r="M1280" s="32">
        <v>1.3069999999999999</v>
      </c>
      <c r="N1280" s="32">
        <v>3.04</v>
      </c>
      <c r="P1280" s="47">
        <v>1.415</v>
      </c>
      <c r="R1280" s="47">
        <v>0.14399999999999999</v>
      </c>
      <c r="S1280" s="47">
        <v>1.849</v>
      </c>
      <c r="T1280" s="31">
        <v>0</v>
      </c>
      <c r="V1280">
        <v>1278</v>
      </c>
      <c r="W1280">
        <v>25</v>
      </c>
      <c r="X1280">
        <v>1.319</v>
      </c>
      <c r="Y1280" s="32">
        <v>3.13</v>
      </c>
      <c r="Z1280">
        <v>0</v>
      </c>
      <c r="AA1280" s="32">
        <v>1.3480000000000001</v>
      </c>
      <c r="AB1280">
        <v>0</v>
      </c>
      <c r="AC1280" s="34">
        <v>0.13800000000000001</v>
      </c>
      <c r="AD1280" s="32">
        <v>1.78</v>
      </c>
    </row>
    <row r="1281" spans="1:30">
      <c r="A1281">
        <v>1279</v>
      </c>
      <c r="B1281">
        <v>26</v>
      </c>
      <c r="C1281">
        <v>1.3080000000000001</v>
      </c>
      <c r="D1281">
        <v>3.04</v>
      </c>
      <c r="E1281">
        <v>0</v>
      </c>
      <c r="F1281">
        <v>1.413</v>
      </c>
      <c r="G1281">
        <v>0</v>
      </c>
      <c r="H1281">
        <v>0.14099999999999999</v>
      </c>
      <c r="I1281">
        <v>1.958</v>
      </c>
      <c r="K1281">
        <v>1279</v>
      </c>
      <c r="L1281">
        <v>26</v>
      </c>
      <c r="M1281" s="32">
        <v>1.3080000000000001</v>
      </c>
      <c r="N1281" s="32">
        <v>3.04</v>
      </c>
      <c r="P1281" s="47">
        <v>1.415</v>
      </c>
      <c r="R1281" s="47">
        <v>0.14399999999999999</v>
      </c>
      <c r="S1281" s="47">
        <v>1.851</v>
      </c>
      <c r="T1281" s="31">
        <v>0</v>
      </c>
      <c r="V1281">
        <v>1279</v>
      </c>
      <c r="W1281">
        <v>25</v>
      </c>
      <c r="X1281">
        <v>1.32</v>
      </c>
      <c r="Y1281" s="32">
        <v>3.14</v>
      </c>
      <c r="Z1281">
        <v>0</v>
      </c>
      <c r="AA1281" s="32">
        <v>1.349</v>
      </c>
      <c r="AB1281">
        <v>0</v>
      </c>
      <c r="AC1281" s="34">
        <v>0.13800000000000001</v>
      </c>
      <c r="AD1281" s="32">
        <v>1.782</v>
      </c>
    </row>
    <row r="1282" spans="1:30">
      <c r="A1282">
        <v>1280</v>
      </c>
      <c r="B1282">
        <v>26</v>
      </c>
      <c r="C1282">
        <v>1.3089999999999999</v>
      </c>
      <c r="D1282">
        <v>3.04</v>
      </c>
      <c r="E1282">
        <v>0</v>
      </c>
      <c r="F1282">
        <v>1.413</v>
      </c>
      <c r="G1282">
        <v>0</v>
      </c>
      <c r="H1282">
        <v>0.14099999999999999</v>
      </c>
      <c r="I1282">
        <v>1.96</v>
      </c>
      <c r="K1282">
        <v>1280</v>
      </c>
      <c r="L1282">
        <v>26</v>
      </c>
      <c r="M1282" s="32">
        <v>1.3089999999999999</v>
      </c>
      <c r="N1282" s="32">
        <v>3.04</v>
      </c>
      <c r="P1282" s="47">
        <v>1.4159999999999999</v>
      </c>
      <c r="R1282" s="47">
        <v>0.14399999999999999</v>
      </c>
      <c r="S1282" s="47">
        <v>1.853</v>
      </c>
      <c r="T1282" s="31">
        <v>0</v>
      </c>
      <c r="V1282">
        <v>1280</v>
      </c>
      <c r="W1282">
        <v>25</v>
      </c>
      <c r="X1282">
        <v>1.321</v>
      </c>
      <c r="Y1282" s="32">
        <v>3.14</v>
      </c>
      <c r="Z1282">
        <v>0</v>
      </c>
      <c r="AA1282" s="32">
        <v>1.349</v>
      </c>
      <c r="AB1282">
        <v>0</v>
      </c>
      <c r="AC1282" s="34">
        <v>0.13800000000000001</v>
      </c>
      <c r="AD1282" s="32">
        <v>1.7829999999999999</v>
      </c>
    </row>
    <row r="1283" spans="1:30">
      <c r="A1283">
        <v>1281</v>
      </c>
      <c r="B1283">
        <v>26</v>
      </c>
      <c r="C1283">
        <v>1.31</v>
      </c>
      <c r="D1283">
        <v>3.04</v>
      </c>
      <c r="E1283">
        <v>0</v>
      </c>
      <c r="F1283">
        <v>1.4159999999999999</v>
      </c>
      <c r="G1283">
        <v>0</v>
      </c>
      <c r="H1283">
        <v>0.14099999999999999</v>
      </c>
      <c r="I1283">
        <v>1.855</v>
      </c>
      <c r="K1283">
        <v>1281</v>
      </c>
      <c r="L1283">
        <v>26</v>
      </c>
      <c r="M1283" s="32">
        <v>1.31</v>
      </c>
      <c r="N1283" s="32">
        <v>3.04</v>
      </c>
      <c r="P1283" s="32">
        <v>1.4159999999999999</v>
      </c>
      <c r="R1283" s="47">
        <v>0.14399999999999999</v>
      </c>
      <c r="S1283" s="32">
        <v>1.855</v>
      </c>
      <c r="T1283" s="31">
        <v>0</v>
      </c>
      <c r="V1283">
        <v>1281</v>
      </c>
      <c r="W1283">
        <v>25</v>
      </c>
      <c r="X1283">
        <v>1.3220000000000001</v>
      </c>
      <c r="Y1283" s="32">
        <v>3.14</v>
      </c>
      <c r="Z1283">
        <v>0</v>
      </c>
      <c r="AA1283" s="32">
        <v>1.349</v>
      </c>
      <c r="AB1283">
        <v>0</v>
      </c>
      <c r="AC1283" s="34">
        <v>0.13800000000000001</v>
      </c>
      <c r="AD1283" s="32">
        <v>1.7849999999999999</v>
      </c>
    </row>
    <row r="1284" spans="1:30">
      <c r="A1284">
        <v>1282</v>
      </c>
      <c r="B1284">
        <v>26</v>
      </c>
      <c r="C1284">
        <v>1.3109999999999999</v>
      </c>
      <c r="D1284">
        <v>3.04</v>
      </c>
      <c r="E1284">
        <v>0</v>
      </c>
      <c r="F1284">
        <v>1.4159999999999999</v>
      </c>
      <c r="G1284">
        <v>0</v>
      </c>
      <c r="H1284">
        <v>0.14099999999999999</v>
      </c>
      <c r="I1284">
        <v>1.9830000000000001</v>
      </c>
      <c r="K1284">
        <v>1282</v>
      </c>
      <c r="L1284">
        <v>26</v>
      </c>
      <c r="M1284" s="32">
        <v>1.3109999999999999</v>
      </c>
      <c r="N1284" s="47">
        <v>3.05</v>
      </c>
      <c r="P1284" s="32">
        <v>1.4159999999999999</v>
      </c>
      <c r="R1284" s="47">
        <v>0.14399999999999999</v>
      </c>
      <c r="S1284" s="47">
        <v>1.8560000000000001</v>
      </c>
      <c r="T1284" s="31">
        <v>0</v>
      </c>
      <c r="V1284">
        <v>1282</v>
      </c>
      <c r="W1284">
        <v>25</v>
      </c>
      <c r="X1284">
        <v>1.323</v>
      </c>
      <c r="Y1284" s="32">
        <v>3.14</v>
      </c>
      <c r="Z1284">
        <v>0</v>
      </c>
      <c r="AA1284" s="32">
        <v>1.349</v>
      </c>
      <c r="AB1284">
        <v>0</v>
      </c>
      <c r="AC1284" s="34">
        <v>0.13900000000000001</v>
      </c>
      <c r="AD1284" s="32">
        <v>1.7869999999999999</v>
      </c>
    </row>
    <row r="1285" spans="1:30">
      <c r="A1285">
        <v>1283</v>
      </c>
      <c r="B1285">
        <v>26</v>
      </c>
      <c r="C1285">
        <v>1.3120000000000001</v>
      </c>
      <c r="D1285">
        <v>3.04</v>
      </c>
      <c r="E1285">
        <v>0</v>
      </c>
      <c r="F1285">
        <v>1.4159999999999999</v>
      </c>
      <c r="G1285">
        <v>0</v>
      </c>
      <c r="H1285">
        <v>0.14099999999999999</v>
      </c>
      <c r="I1285">
        <v>1.9850000000000001</v>
      </c>
      <c r="K1285">
        <v>1283</v>
      </c>
      <c r="L1285">
        <v>26</v>
      </c>
      <c r="M1285" s="32">
        <v>1.3120000000000001</v>
      </c>
      <c r="N1285" s="47">
        <v>3.06</v>
      </c>
      <c r="P1285" s="47">
        <v>1.417</v>
      </c>
      <c r="R1285" s="47">
        <v>0.14399999999999999</v>
      </c>
      <c r="S1285" s="47">
        <v>1.8580000000000001</v>
      </c>
      <c r="T1285" s="31">
        <v>0</v>
      </c>
      <c r="V1285">
        <v>1283</v>
      </c>
      <c r="W1285">
        <v>25</v>
      </c>
      <c r="X1285">
        <v>1.3240000000000001</v>
      </c>
      <c r="Y1285" s="32">
        <v>3.14</v>
      </c>
      <c r="Z1285">
        <v>0</v>
      </c>
      <c r="AA1285" s="32">
        <v>1.349</v>
      </c>
      <c r="AB1285">
        <v>0</v>
      </c>
      <c r="AC1285" s="34">
        <v>0.13900000000000001</v>
      </c>
      <c r="AD1285" s="32">
        <v>1.788</v>
      </c>
    </row>
    <row r="1286" spans="1:30">
      <c r="A1286">
        <v>1284</v>
      </c>
      <c r="B1286">
        <v>26</v>
      </c>
      <c r="C1286">
        <v>1.3129999999999999</v>
      </c>
      <c r="D1286">
        <v>3.04</v>
      </c>
      <c r="E1286">
        <v>0</v>
      </c>
      <c r="F1286">
        <v>1.4159999999999999</v>
      </c>
      <c r="G1286">
        <v>0</v>
      </c>
      <c r="H1286">
        <v>0.14099999999999999</v>
      </c>
      <c r="I1286">
        <v>1.986</v>
      </c>
      <c r="K1286">
        <v>1284</v>
      </c>
      <c r="L1286">
        <v>26</v>
      </c>
      <c r="M1286" s="32">
        <v>1.3129999999999999</v>
      </c>
      <c r="N1286" s="47">
        <v>3.07</v>
      </c>
      <c r="P1286" s="47">
        <v>1.417</v>
      </c>
      <c r="R1286" s="47">
        <v>0.14399999999999999</v>
      </c>
      <c r="S1286" s="47">
        <v>1.859</v>
      </c>
      <c r="T1286" s="31">
        <v>0</v>
      </c>
      <c r="V1286">
        <v>1284</v>
      </c>
      <c r="W1286">
        <v>25</v>
      </c>
      <c r="X1286">
        <v>1.325</v>
      </c>
      <c r="Y1286" s="32">
        <v>3.14</v>
      </c>
      <c r="Z1286">
        <v>0</v>
      </c>
      <c r="AA1286" s="32">
        <v>1.35</v>
      </c>
      <c r="AB1286">
        <v>0</v>
      </c>
      <c r="AC1286" s="34">
        <v>0.13900000000000001</v>
      </c>
      <c r="AD1286" s="32">
        <v>1.79</v>
      </c>
    </row>
    <row r="1287" spans="1:30">
      <c r="A1287">
        <v>1285</v>
      </c>
      <c r="B1287">
        <v>26</v>
      </c>
      <c r="C1287">
        <v>1.3140000000000001</v>
      </c>
      <c r="D1287">
        <v>3.04</v>
      </c>
      <c r="E1287">
        <v>0</v>
      </c>
      <c r="F1287">
        <v>1.4159999999999999</v>
      </c>
      <c r="G1287">
        <v>0</v>
      </c>
      <c r="H1287">
        <v>0.14099999999999999</v>
      </c>
      <c r="I1287">
        <v>1.988</v>
      </c>
      <c r="K1287">
        <v>1285</v>
      </c>
      <c r="L1287">
        <v>26</v>
      </c>
      <c r="M1287" s="32">
        <v>1.3140000000000001</v>
      </c>
      <c r="N1287" s="47">
        <v>3.08</v>
      </c>
      <c r="P1287" s="47">
        <v>1.417</v>
      </c>
      <c r="R1287" s="47">
        <v>0.14399999999999999</v>
      </c>
      <c r="S1287" s="47">
        <v>1.861</v>
      </c>
      <c r="T1287" s="31">
        <v>0</v>
      </c>
      <c r="V1287">
        <v>1285</v>
      </c>
      <c r="W1287">
        <v>25</v>
      </c>
      <c r="X1287">
        <v>1.3260000000000001</v>
      </c>
      <c r="Y1287" s="32">
        <v>3.14</v>
      </c>
      <c r="Z1287">
        <v>0</v>
      </c>
      <c r="AA1287" s="32">
        <v>1.35</v>
      </c>
      <c r="AB1287">
        <v>0</v>
      </c>
      <c r="AC1287" s="34">
        <v>0.13900000000000001</v>
      </c>
      <c r="AD1287" s="32">
        <v>1.792</v>
      </c>
    </row>
    <row r="1288" spans="1:30">
      <c r="A1288">
        <v>1286</v>
      </c>
      <c r="B1288">
        <v>26</v>
      </c>
      <c r="C1288">
        <v>1.3149999999999999</v>
      </c>
      <c r="D1288">
        <v>3.04</v>
      </c>
      <c r="E1288">
        <v>0</v>
      </c>
      <c r="F1288">
        <v>1.4159999999999999</v>
      </c>
      <c r="G1288">
        <v>0</v>
      </c>
      <c r="H1288">
        <v>0.14099999999999999</v>
      </c>
      <c r="I1288">
        <v>1.99</v>
      </c>
      <c r="K1288">
        <v>1286</v>
      </c>
      <c r="L1288">
        <v>26</v>
      </c>
      <c r="M1288" s="32">
        <v>1.3149999999999999</v>
      </c>
      <c r="N1288" s="47">
        <v>3.09</v>
      </c>
      <c r="P1288" s="47">
        <v>1.4179999999999999</v>
      </c>
      <c r="R1288" s="47">
        <v>0.14399999999999999</v>
      </c>
      <c r="S1288" s="47">
        <v>1.8620000000000001</v>
      </c>
      <c r="T1288" s="31">
        <v>0</v>
      </c>
      <c r="V1288">
        <v>1286</v>
      </c>
      <c r="W1288">
        <v>25</v>
      </c>
      <c r="X1288">
        <v>1.327</v>
      </c>
      <c r="Y1288" s="32">
        <v>3.14</v>
      </c>
      <c r="Z1288">
        <v>0</v>
      </c>
      <c r="AA1288" s="32">
        <v>1.35</v>
      </c>
      <c r="AB1288">
        <v>0</v>
      </c>
      <c r="AC1288" s="34">
        <v>0.13900000000000001</v>
      </c>
      <c r="AD1288" s="32">
        <v>1.7929999999999999</v>
      </c>
    </row>
    <row r="1289" spans="1:30">
      <c r="A1289">
        <v>1287</v>
      </c>
      <c r="B1289">
        <v>26</v>
      </c>
      <c r="C1289">
        <v>1.3160000000000001</v>
      </c>
      <c r="D1289">
        <v>3.04</v>
      </c>
      <c r="E1289">
        <v>0</v>
      </c>
      <c r="F1289">
        <v>1.4159999999999999</v>
      </c>
      <c r="G1289">
        <v>0</v>
      </c>
      <c r="H1289">
        <v>0.14099999999999999</v>
      </c>
      <c r="I1289">
        <v>1.992</v>
      </c>
      <c r="K1289">
        <v>1287</v>
      </c>
      <c r="L1289">
        <v>26</v>
      </c>
      <c r="M1289" s="32">
        <v>1.3160000000000001</v>
      </c>
      <c r="N1289" s="47">
        <v>3.1</v>
      </c>
      <c r="P1289" s="47">
        <v>1.4179999999999999</v>
      </c>
      <c r="R1289" s="47">
        <v>0.14399999999999999</v>
      </c>
      <c r="S1289" s="47">
        <v>1.863</v>
      </c>
      <c r="T1289" s="31">
        <v>0</v>
      </c>
      <c r="V1289">
        <v>1287</v>
      </c>
      <c r="W1289">
        <v>25</v>
      </c>
      <c r="X1289">
        <v>1.3280000000000001</v>
      </c>
      <c r="Y1289" s="32">
        <v>3.14</v>
      </c>
      <c r="Z1289">
        <v>0</v>
      </c>
      <c r="AA1289" s="32">
        <v>1.35</v>
      </c>
      <c r="AB1289">
        <v>0</v>
      </c>
      <c r="AC1289" s="34">
        <v>0.13900000000000001</v>
      </c>
      <c r="AD1289" s="32">
        <v>1.7949999999999999</v>
      </c>
    </row>
    <row r="1290" spans="1:30">
      <c r="A1290">
        <v>1288</v>
      </c>
      <c r="B1290">
        <v>26</v>
      </c>
      <c r="C1290">
        <v>1.3169999999999999</v>
      </c>
      <c r="D1290">
        <v>3.04</v>
      </c>
      <c r="E1290">
        <v>0</v>
      </c>
      <c r="F1290">
        <v>1.4159999999999999</v>
      </c>
      <c r="G1290">
        <v>0</v>
      </c>
      <c r="H1290">
        <v>0.14099999999999999</v>
      </c>
      <c r="I1290">
        <v>1.994</v>
      </c>
      <c r="K1290">
        <v>1288</v>
      </c>
      <c r="L1290">
        <v>26</v>
      </c>
      <c r="M1290" s="32">
        <v>1.3169999999999999</v>
      </c>
      <c r="N1290" s="47">
        <v>3.11</v>
      </c>
      <c r="P1290" s="47">
        <v>1.4179999999999999</v>
      </c>
      <c r="R1290" s="47">
        <v>0.14399999999999999</v>
      </c>
      <c r="S1290" s="47">
        <v>1.865</v>
      </c>
      <c r="T1290" s="31">
        <v>0</v>
      </c>
      <c r="V1290">
        <v>1288</v>
      </c>
      <c r="W1290">
        <v>25</v>
      </c>
      <c r="X1290">
        <v>1.329</v>
      </c>
      <c r="Y1290" s="32">
        <v>3.14</v>
      </c>
      <c r="Z1290">
        <v>0</v>
      </c>
      <c r="AA1290" s="32">
        <v>1.351</v>
      </c>
      <c r="AB1290">
        <v>0</v>
      </c>
      <c r="AC1290" s="34">
        <v>0.13900000000000001</v>
      </c>
      <c r="AD1290" s="32">
        <v>1.7969999999999999</v>
      </c>
    </row>
    <row r="1291" spans="1:30">
      <c r="A1291">
        <v>1289</v>
      </c>
      <c r="B1291">
        <v>26</v>
      </c>
      <c r="C1291">
        <v>1.3180000000000001</v>
      </c>
      <c r="D1291">
        <v>3.04</v>
      </c>
      <c r="E1291">
        <v>0</v>
      </c>
      <c r="F1291">
        <v>1.4159999999999999</v>
      </c>
      <c r="G1291">
        <v>0</v>
      </c>
      <c r="H1291">
        <v>0.14099999999999999</v>
      </c>
      <c r="I1291">
        <v>1.9950000000000001</v>
      </c>
      <c r="K1291">
        <v>1289</v>
      </c>
      <c r="L1291">
        <v>26</v>
      </c>
      <c r="M1291" s="32">
        <v>1.3180000000000001</v>
      </c>
      <c r="N1291" s="47">
        <v>3.12</v>
      </c>
      <c r="P1291" s="47">
        <v>1.4179999999999999</v>
      </c>
      <c r="R1291" s="47">
        <v>0.14399999999999999</v>
      </c>
      <c r="S1291" s="47">
        <v>1.8660000000000001</v>
      </c>
      <c r="T1291" s="31">
        <v>0</v>
      </c>
      <c r="V1291">
        <v>1289</v>
      </c>
      <c r="W1291">
        <v>25</v>
      </c>
      <c r="X1291">
        <v>1.33</v>
      </c>
      <c r="Y1291" s="32">
        <v>3.14</v>
      </c>
      <c r="Z1291">
        <v>0</v>
      </c>
      <c r="AA1291" s="32">
        <v>1.351</v>
      </c>
      <c r="AB1291">
        <v>0</v>
      </c>
      <c r="AC1291" s="34">
        <v>0.13900000000000001</v>
      </c>
      <c r="AD1291" s="32">
        <v>1.798</v>
      </c>
    </row>
    <row r="1292" spans="1:30">
      <c r="A1292">
        <v>1290</v>
      </c>
      <c r="B1292">
        <v>26</v>
      </c>
      <c r="C1292">
        <v>1.319</v>
      </c>
      <c r="D1292">
        <v>3.04</v>
      </c>
      <c r="E1292">
        <v>0</v>
      </c>
      <c r="F1292">
        <v>1.4159999999999999</v>
      </c>
      <c r="G1292">
        <v>0</v>
      </c>
      <c r="H1292">
        <v>0.14099999999999999</v>
      </c>
      <c r="I1292">
        <v>1.9970000000000001</v>
      </c>
      <c r="K1292">
        <v>1290</v>
      </c>
      <c r="L1292">
        <v>26</v>
      </c>
      <c r="M1292" s="32">
        <v>1.319</v>
      </c>
      <c r="N1292" s="47">
        <v>3.13</v>
      </c>
      <c r="P1292" s="47">
        <v>1.419</v>
      </c>
      <c r="R1292" s="47">
        <v>0.14399999999999999</v>
      </c>
      <c r="S1292" s="47">
        <v>1.8680000000000001</v>
      </c>
      <c r="T1292" s="31">
        <v>0</v>
      </c>
      <c r="V1292">
        <v>1290</v>
      </c>
      <c r="W1292">
        <v>25</v>
      </c>
      <c r="X1292">
        <v>1.331</v>
      </c>
      <c r="Y1292" s="32">
        <v>3.14</v>
      </c>
      <c r="Z1292">
        <v>0</v>
      </c>
      <c r="AA1292" s="32">
        <v>1.351</v>
      </c>
      <c r="AB1292">
        <v>0</v>
      </c>
      <c r="AC1292" s="34">
        <v>0.13900000000000001</v>
      </c>
      <c r="AD1292" s="32">
        <v>1.8</v>
      </c>
    </row>
    <row r="1293" spans="1:30">
      <c r="A1293">
        <v>1291</v>
      </c>
      <c r="B1293">
        <v>27</v>
      </c>
      <c r="C1293">
        <v>1.32</v>
      </c>
      <c r="D1293">
        <v>3.14</v>
      </c>
      <c r="E1293">
        <v>0</v>
      </c>
      <c r="F1293">
        <v>1.419</v>
      </c>
      <c r="G1293">
        <v>0</v>
      </c>
      <c r="H1293">
        <v>0.14399999999999999</v>
      </c>
      <c r="I1293">
        <v>1.869</v>
      </c>
      <c r="K1293">
        <v>1291</v>
      </c>
      <c r="L1293">
        <v>27</v>
      </c>
      <c r="M1293" s="32">
        <v>1.32</v>
      </c>
      <c r="N1293" s="32">
        <v>3.14</v>
      </c>
      <c r="P1293" s="32">
        <v>1.419</v>
      </c>
      <c r="R1293" s="32">
        <v>0.14399999999999999</v>
      </c>
      <c r="S1293" s="32">
        <v>1.869</v>
      </c>
      <c r="T1293" s="31">
        <v>0</v>
      </c>
      <c r="V1293">
        <v>1291</v>
      </c>
      <c r="W1293">
        <v>25</v>
      </c>
      <c r="X1293">
        <v>1.3320000000000001</v>
      </c>
      <c r="Y1293" s="32">
        <v>3.14</v>
      </c>
      <c r="Z1293">
        <v>0</v>
      </c>
      <c r="AA1293" s="32">
        <v>1.351</v>
      </c>
      <c r="AB1293">
        <v>0</v>
      </c>
      <c r="AC1293" s="34">
        <v>0.13900000000000001</v>
      </c>
      <c r="AD1293" s="32">
        <v>1.802</v>
      </c>
    </row>
    <row r="1294" spans="1:30">
      <c r="A1294">
        <v>1292</v>
      </c>
      <c r="B1294">
        <v>27</v>
      </c>
      <c r="C1294">
        <v>1.321</v>
      </c>
      <c r="D1294">
        <v>3.14</v>
      </c>
      <c r="E1294">
        <v>0</v>
      </c>
      <c r="F1294">
        <v>1.419</v>
      </c>
      <c r="G1294">
        <v>0</v>
      </c>
      <c r="H1294">
        <v>0.14399999999999999</v>
      </c>
      <c r="I1294">
        <v>1.871</v>
      </c>
      <c r="K1294">
        <v>1292</v>
      </c>
      <c r="L1294">
        <v>27</v>
      </c>
      <c r="M1294" s="32">
        <v>1.321</v>
      </c>
      <c r="N1294" s="32">
        <v>3.14</v>
      </c>
      <c r="P1294" s="32">
        <v>1.419</v>
      </c>
      <c r="R1294" s="32">
        <v>0.14399999999999999</v>
      </c>
      <c r="S1294" s="32">
        <v>1.871</v>
      </c>
      <c r="T1294" s="31">
        <v>0</v>
      </c>
      <c r="V1294">
        <v>1292</v>
      </c>
      <c r="W1294">
        <v>25</v>
      </c>
      <c r="X1294">
        <v>1.333</v>
      </c>
      <c r="Y1294" s="32">
        <v>3.14</v>
      </c>
      <c r="Z1294">
        <v>0</v>
      </c>
      <c r="AA1294" s="32">
        <v>1.351</v>
      </c>
      <c r="AB1294">
        <v>0</v>
      </c>
      <c r="AC1294" s="34">
        <v>0.13900000000000001</v>
      </c>
      <c r="AD1294" s="32">
        <v>1.8029999999999999</v>
      </c>
    </row>
    <row r="1295" spans="1:30">
      <c r="A1295">
        <v>1293</v>
      </c>
      <c r="B1295">
        <v>27</v>
      </c>
      <c r="C1295">
        <v>1.3220000000000001</v>
      </c>
      <c r="D1295">
        <v>3.14</v>
      </c>
      <c r="E1295">
        <v>0</v>
      </c>
      <c r="F1295">
        <v>1.42</v>
      </c>
      <c r="G1295">
        <v>0</v>
      </c>
      <c r="H1295">
        <v>0.14399999999999999</v>
      </c>
      <c r="I1295">
        <v>1.873</v>
      </c>
      <c r="K1295">
        <v>1293</v>
      </c>
      <c r="L1295">
        <v>27</v>
      </c>
      <c r="M1295" s="32">
        <v>1.3220000000000001</v>
      </c>
      <c r="N1295" s="32">
        <v>3.14</v>
      </c>
      <c r="P1295" s="32">
        <v>1.42</v>
      </c>
      <c r="R1295" s="32">
        <v>0.14399999999999999</v>
      </c>
      <c r="S1295" s="47">
        <v>1.8740000000000001</v>
      </c>
      <c r="T1295" s="31">
        <v>0</v>
      </c>
      <c r="V1295">
        <v>1293</v>
      </c>
      <c r="W1295">
        <v>25</v>
      </c>
      <c r="X1295">
        <v>1.3340000000000001</v>
      </c>
      <c r="Y1295" s="32">
        <v>3.14</v>
      </c>
      <c r="Z1295">
        <v>0</v>
      </c>
      <c r="AA1295" s="32">
        <v>1.3520000000000001</v>
      </c>
      <c r="AB1295">
        <v>0</v>
      </c>
      <c r="AC1295" s="34">
        <v>0.13900000000000001</v>
      </c>
      <c r="AD1295" s="32">
        <v>1.8049999999999999</v>
      </c>
    </row>
    <row r="1296" spans="1:30">
      <c r="A1296">
        <v>1294</v>
      </c>
      <c r="B1296">
        <v>27</v>
      </c>
      <c r="C1296">
        <v>1.323</v>
      </c>
      <c r="D1296">
        <v>3.15</v>
      </c>
      <c r="E1296">
        <v>0</v>
      </c>
      <c r="F1296">
        <v>1.42</v>
      </c>
      <c r="G1296">
        <v>0</v>
      </c>
      <c r="H1296">
        <v>0.14399999999999999</v>
      </c>
      <c r="I1296">
        <v>1.875</v>
      </c>
      <c r="K1296">
        <v>1294</v>
      </c>
      <c r="L1296">
        <v>27</v>
      </c>
      <c r="M1296" s="32">
        <v>1.323</v>
      </c>
      <c r="N1296" s="47">
        <v>3.14</v>
      </c>
      <c r="P1296" s="32">
        <v>1.42</v>
      </c>
      <c r="R1296" s="32">
        <v>0.14399999999999999</v>
      </c>
      <c r="S1296" s="47">
        <v>1.8759999999999999</v>
      </c>
      <c r="T1296" s="31">
        <v>0</v>
      </c>
      <c r="V1296">
        <v>1294</v>
      </c>
      <c r="W1296">
        <v>25</v>
      </c>
      <c r="X1296">
        <v>1.335</v>
      </c>
      <c r="Y1296" s="32">
        <v>3.14</v>
      </c>
      <c r="Z1296">
        <v>0</v>
      </c>
      <c r="AA1296" s="32">
        <v>1.3520000000000001</v>
      </c>
      <c r="AB1296">
        <v>0</v>
      </c>
      <c r="AC1296" s="34">
        <v>0.14000000000000001</v>
      </c>
      <c r="AD1296" s="32">
        <v>1.8069999999999999</v>
      </c>
    </row>
    <row r="1297" spans="1:30">
      <c r="A1297">
        <v>1295</v>
      </c>
      <c r="B1297">
        <v>27</v>
      </c>
      <c r="C1297">
        <v>1.3240000000000001</v>
      </c>
      <c r="D1297">
        <v>3.15</v>
      </c>
      <c r="E1297">
        <v>0</v>
      </c>
      <c r="F1297">
        <v>1.42</v>
      </c>
      <c r="G1297">
        <v>0</v>
      </c>
      <c r="H1297">
        <v>0.14399999999999999</v>
      </c>
      <c r="I1297">
        <v>1.877</v>
      </c>
      <c r="K1297">
        <v>1295</v>
      </c>
      <c r="L1297">
        <v>27</v>
      </c>
      <c r="M1297" s="32">
        <v>1.3240000000000001</v>
      </c>
      <c r="N1297" s="47">
        <v>3.14</v>
      </c>
      <c r="P1297" s="32">
        <v>1.42</v>
      </c>
      <c r="R1297" s="32">
        <v>0.14399999999999999</v>
      </c>
      <c r="S1297" s="47">
        <v>1.8779999999999999</v>
      </c>
      <c r="T1297" s="31">
        <v>0</v>
      </c>
      <c r="V1297">
        <v>1295</v>
      </c>
      <c r="W1297">
        <v>25</v>
      </c>
      <c r="X1297">
        <v>1.3360000000000001</v>
      </c>
      <c r="Y1297" s="32">
        <v>3.14</v>
      </c>
      <c r="Z1297">
        <v>0</v>
      </c>
      <c r="AA1297" s="32">
        <v>1.3520000000000001</v>
      </c>
      <c r="AB1297">
        <v>0</v>
      </c>
      <c r="AC1297" s="34">
        <v>0.14000000000000001</v>
      </c>
      <c r="AD1297" s="32">
        <v>1.8080000000000001</v>
      </c>
    </row>
    <row r="1298" spans="1:30">
      <c r="A1298">
        <v>1296</v>
      </c>
      <c r="B1298">
        <v>27</v>
      </c>
      <c r="C1298">
        <v>1.325</v>
      </c>
      <c r="D1298">
        <v>3.15</v>
      </c>
      <c r="E1298">
        <v>0</v>
      </c>
      <c r="F1298">
        <v>1.421</v>
      </c>
      <c r="G1298">
        <v>0</v>
      </c>
      <c r="H1298">
        <v>0.14399999999999999</v>
      </c>
      <c r="I1298">
        <v>1.8779999999999999</v>
      </c>
      <c r="K1298">
        <v>1296</v>
      </c>
      <c r="L1298">
        <v>27</v>
      </c>
      <c r="M1298" s="32">
        <v>1.325</v>
      </c>
      <c r="N1298" s="47">
        <v>3.14</v>
      </c>
      <c r="P1298" s="32">
        <v>1.421</v>
      </c>
      <c r="R1298" s="32">
        <v>0.14399999999999999</v>
      </c>
      <c r="S1298" s="47">
        <v>1.881</v>
      </c>
      <c r="T1298" s="31">
        <v>0</v>
      </c>
      <c r="V1298">
        <v>1296</v>
      </c>
      <c r="W1298">
        <v>25</v>
      </c>
      <c r="X1298">
        <v>1.337</v>
      </c>
      <c r="Y1298" s="32">
        <v>3.14</v>
      </c>
      <c r="Z1298">
        <v>0</v>
      </c>
      <c r="AA1298" s="32">
        <v>1.3520000000000001</v>
      </c>
      <c r="AB1298">
        <v>0</v>
      </c>
      <c r="AC1298" s="34">
        <v>0.14000000000000001</v>
      </c>
      <c r="AD1298" s="32">
        <v>1.81</v>
      </c>
    </row>
    <row r="1299" spans="1:30">
      <c r="A1299">
        <v>1297</v>
      </c>
      <c r="B1299">
        <v>27</v>
      </c>
      <c r="C1299">
        <v>1.3260000000000001</v>
      </c>
      <c r="D1299">
        <v>3.15</v>
      </c>
      <c r="E1299">
        <v>0</v>
      </c>
      <c r="F1299">
        <v>1.421</v>
      </c>
      <c r="G1299">
        <v>0</v>
      </c>
      <c r="H1299">
        <v>0.14399999999999999</v>
      </c>
      <c r="I1299">
        <v>1.88</v>
      </c>
      <c r="K1299">
        <v>1297</v>
      </c>
      <c r="L1299">
        <v>27</v>
      </c>
      <c r="M1299" s="32">
        <v>1.3260000000000001</v>
      </c>
      <c r="N1299" s="47">
        <v>3.14</v>
      </c>
      <c r="P1299" s="32">
        <v>1.421</v>
      </c>
      <c r="R1299" s="47">
        <v>0.14499999999999999</v>
      </c>
      <c r="S1299" s="47">
        <v>1.883</v>
      </c>
      <c r="T1299" s="31">
        <v>0</v>
      </c>
      <c r="V1299">
        <v>1297</v>
      </c>
      <c r="W1299">
        <v>25</v>
      </c>
      <c r="X1299">
        <v>1.3380000000000001</v>
      </c>
      <c r="Y1299" s="32">
        <v>3.14</v>
      </c>
      <c r="Z1299">
        <v>0</v>
      </c>
      <c r="AA1299" s="32">
        <v>1.353</v>
      </c>
      <c r="AB1299">
        <v>0</v>
      </c>
      <c r="AC1299" s="34">
        <v>0.14000000000000001</v>
      </c>
      <c r="AD1299" s="32">
        <v>1.8120000000000001</v>
      </c>
    </row>
    <row r="1300" spans="1:30">
      <c r="A1300">
        <v>1298</v>
      </c>
      <c r="B1300">
        <v>27</v>
      </c>
      <c r="C1300">
        <v>1.327</v>
      </c>
      <c r="D1300">
        <v>3.15</v>
      </c>
      <c r="E1300">
        <v>0</v>
      </c>
      <c r="F1300">
        <v>1.421</v>
      </c>
      <c r="G1300">
        <v>0</v>
      </c>
      <c r="H1300">
        <v>0.14399999999999999</v>
      </c>
      <c r="I1300">
        <v>1.8819999999999999</v>
      </c>
      <c r="K1300">
        <v>1298</v>
      </c>
      <c r="L1300">
        <v>27</v>
      </c>
      <c r="M1300" s="32">
        <v>1.327</v>
      </c>
      <c r="N1300" s="47">
        <v>3.14</v>
      </c>
      <c r="P1300" s="32">
        <v>1.421</v>
      </c>
      <c r="R1300" s="47">
        <v>0.14499999999999999</v>
      </c>
      <c r="S1300" s="47">
        <v>1.885</v>
      </c>
      <c r="T1300" s="31">
        <v>0</v>
      </c>
      <c r="V1300">
        <v>1298</v>
      </c>
      <c r="W1300">
        <v>25</v>
      </c>
      <c r="X1300">
        <v>1.339</v>
      </c>
      <c r="Y1300" s="32">
        <v>3.14</v>
      </c>
      <c r="Z1300">
        <v>0</v>
      </c>
      <c r="AA1300" s="32">
        <v>1.353</v>
      </c>
      <c r="AB1300">
        <v>0</v>
      </c>
      <c r="AC1300" s="34">
        <v>0.14000000000000001</v>
      </c>
      <c r="AD1300" s="32">
        <v>1.8140000000000001</v>
      </c>
    </row>
    <row r="1301" spans="1:30">
      <c r="A1301">
        <v>1299</v>
      </c>
      <c r="B1301">
        <v>27</v>
      </c>
      <c r="C1301">
        <v>1.3280000000000001</v>
      </c>
      <c r="D1301">
        <v>3.16</v>
      </c>
      <c r="E1301">
        <v>0</v>
      </c>
      <c r="F1301">
        <v>1.4219999999999999</v>
      </c>
      <c r="G1301">
        <v>0</v>
      </c>
      <c r="H1301">
        <v>0.14399999999999999</v>
      </c>
      <c r="I1301">
        <v>1.8839999999999999</v>
      </c>
      <c r="K1301">
        <v>1299</v>
      </c>
      <c r="L1301">
        <v>27</v>
      </c>
      <c r="M1301" s="32">
        <v>1.3280000000000001</v>
      </c>
      <c r="N1301" s="47">
        <v>3.14</v>
      </c>
      <c r="P1301" s="47">
        <v>1.421</v>
      </c>
      <c r="R1301" s="47">
        <v>0.14499999999999999</v>
      </c>
      <c r="S1301" s="47">
        <v>1.887</v>
      </c>
      <c r="T1301" s="31">
        <v>0</v>
      </c>
      <c r="V1301">
        <v>1299</v>
      </c>
      <c r="W1301">
        <v>25</v>
      </c>
      <c r="X1301">
        <v>1.34</v>
      </c>
      <c r="Y1301" s="32">
        <v>3.14</v>
      </c>
      <c r="Z1301">
        <v>0</v>
      </c>
      <c r="AA1301" s="32">
        <v>1.353</v>
      </c>
      <c r="AB1301">
        <v>0</v>
      </c>
      <c r="AC1301" s="34">
        <v>0.14000000000000001</v>
      </c>
      <c r="AD1301" s="32">
        <v>1.8149999999999999</v>
      </c>
    </row>
    <row r="1302" spans="1:30">
      <c r="A1302">
        <v>1300</v>
      </c>
      <c r="B1302">
        <v>27</v>
      </c>
      <c r="C1302">
        <v>1.329</v>
      </c>
      <c r="D1302">
        <v>3.16</v>
      </c>
      <c r="E1302">
        <v>0</v>
      </c>
      <c r="F1302">
        <v>1.4219999999999999</v>
      </c>
      <c r="G1302">
        <v>0</v>
      </c>
      <c r="H1302">
        <v>0.14399999999999999</v>
      </c>
      <c r="I1302">
        <v>1.8859999999999999</v>
      </c>
      <c r="K1302">
        <v>1300</v>
      </c>
      <c r="L1302">
        <v>27</v>
      </c>
      <c r="M1302" s="32">
        <v>1.329</v>
      </c>
      <c r="N1302" s="47">
        <v>3.14</v>
      </c>
      <c r="P1302" s="32">
        <v>1.4219999999999999</v>
      </c>
      <c r="R1302" s="47">
        <v>0.14499999999999999</v>
      </c>
      <c r="S1302" s="47">
        <v>1.89</v>
      </c>
      <c r="T1302" s="31">
        <v>0</v>
      </c>
      <c r="V1302">
        <v>1300</v>
      </c>
      <c r="W1302">
        <v>25</v>
      </c>
      <c r="X1302">
        <v>1.341</v>
      </c>
      <c r="Y1302" s="32">
        <v>3.14</v>
      </c>
      <c r="Z1302">
        <v>0</v>
      </c>
      <c r="AA1302" s="32">
        <v>1.353</v>
      </c>
      <c r="AB1302">
        <v>0</v>
      </c>
      <c r="AC1302" s="34">
        <v>0.14000000000000001</v>
      </c>
      <c r="AD1302" s="32">
        <v>1.8169999999999999</v>
      </c>
    </row>
    <row r="1303" spans="1:30">
      <c r="A1303">
        <v>1301</v>
      </c>
      <c r="B1303">
        <v>27</v>
      </c>
      <c r="C1303">
        <v>1.33</v>
      </c>
      <c r="D1303">
        <v>3.14</v>
      </c>
      <c r="E1303">
        <v>0</v>
      </c>
      <c r="F1303">
        <v>1.4219999999999999</v>
      </c>
      <c r="G1303">
        <v>0</v>
      </c>
      <c r="H1303">
        <v>0.14399999999999999</v>
      </c>
      <c r="I1303">
        <v>1.8919999999999999</v>
      </c>
      <c r="K1303">
        <v>1301</v>
      </c>
      <c r="L1303">
        <v>27</v>
      </c>
      <c r="M1303" s="32">
        <v>1.33</v>
      </c>
      <c r="N1303" s="32">
        <v>3.14</v>
      </c>
      <c r="P1303" s="32">
        <v>1.4219999999999999</v>
      </c>
      <c r="R1303" s="47">
        <v>0.14499999999999999</v>
      </c>
      <c r="S1303" s="32">
        <v>1.8919999999999999</v>
      </c>
      <c r="T1303" s="31">
        <v>0</v>
      </c>
      <c r="V1303">
        <v>1301</v>
      </c>
      <c r="W1303">
        <v>25</v>
      </c>
      <c r="X1303">
        <v>1.3420000000000001</v>
      </c>
      <c r="Y1303" s="32">
        <v>3.14</v>
      </c>
      <c r="Z1303">
        <v>0</v>
      </c>
      <c r="AA1303" s="32">
        <v>1.3540000000000001</v>
      </c>
      <c r="AB1303">
        <v>0</v>
      </c>
      <c r="AC1303" s="34">
        <v>0.14000000000000001</v>
      </c>
      <c r="AD1303" s="32">
        <v>1.819</v>
      </c>
    </row>
    <row r="1304" spans="1:30">
      <c r="A1304">
        <v>1302</v>
      </c>
      <c r="B1304">
        <v>27</v>
      </c>
      <c r="C1304">
        <v>1.331</v>
      </c>
      <c r="D1304">
        <v>3.14</v>
      </c>
      <c r="E1304">
        <v>0</v>
      </c>
      <c r="F1304">
        <v>1.4219999999999999</v>
      </c>
      <c r="G1304">
        <v>0</v>
      </c>
      <c r="H1304">
        <v>0.14399999999999999</v>
      </c>
      <c r="I1304">
        <v>1.913</v>
      </c>
      <c r="K1304">
        <v>1302</v>
      </c>
      <c r="L1304">
        <v>27</v>
      </c>
      <c r="M1304" s="32">
        <v>1.331</v>
      </c>
      <c r="N1304" s="32">
        <v>3.14</v>
      </c>
      <c r="P1304" s="32">
        <v>1.4219999999999999</v>
      </c>
      <c r="R1304" s="47">
        <v>0.14499999999999999</v>
      </c>
      <c r="S1304" s="47">
        <v>1.8939999999999999</v>
      </c>
      <c r="T1304" s="31">
        <v>0</v>
      </c>
      <c r="V1304">
        <v>1302</v>
      </c>
      <c r="W1304">
        <v>25</v>
      </c>
      <c r="X1304">
        <v>1.343</v>
      </c>
      <c r="Y1304" s="32">
        <v>3.14</v>
      </c>
      <c r="Z1304">
        <v>0</v>
      </c>
      <c r="AA1304" s="32">
        <v>1.3540000000000001</v>
      </c>
      <c r="AB1304">
        <v>0</v>
      </c>
      <c r="AC1304" s="34">
        <v>0.14000000000000001</v>
      </c>
      <c r="AD1304" s="32">
        <v>1.82</v>
      </c>
    </row>
    <row r="1305" spans="1:30">
      <c r="A1305">
        <v>1303</v>
      </c>
      <c r="B1305">
        <v>27</v>
      </c>
      <c r="C1305">
        <v>1.3320000000000001</v>
      </c>
      <c r="D1305">
        <v>3.14</v>
      </c>
      <c r="E1305">
        <v>0</v>
      </c>
      <c r="F1305">
        <v>1.4219999999999999</v>
      </c>
      <c r="G1305">
        <v>0</v>
      </c>
      <c r="H1305">
        <v>0.14399999999999999</v>
      </c>
      <c r="I1305">
        <v>1.915</v>
      </c>
      <c r="K1305">
        <v>1303</v>
      </c>
      <c r="L1305">
        <v>27</v>
      </c>
      <c r="M1305" s="32">
        <v>1.3320000000000001</v>
      </c>
      <c r="N1305" s="32">
        <v>3.14</v>
      </c>
      <c r="P1305" s="47">
        <v>1.423</v>
      </c>
      <c r="R1305" s="47">
        <v>0.14499999999999999</v>
      </c>
      <c r="S1305" s="47">
        <v>1.8959999999999999</v>
      </c>
      <c r="T1305" s="31">
        <v>0</v>
      </c>
      <c r="V1305">
        <v>1303</v>
      </c>
      <c r="W1305">
        <v>25</v>
      </c>
      <c r="X1305">
        <v>1.3440000000000001</v>
      </c>
      <c r="Y1305" s="32">
        <v>3.14</v>
      </c>
      <c r="Z1305">
        <v>0</v>
      </c>
      <c r="AA1305" s="32">
        <v>1.3540000000000001</v>
      </c>
      <c r="AB1305">
        <v>0</v>
      </c>
      <c r="AC1305" s="34">
        <v>0.14000000000000001</v>
      </c>
      <c r="AD1305" s="32">
        <v>1.8220000000000001</v>
      </c>
    </row>
    <row r="1306" spans="1:30">
      <c r="A1306">
        <v>1304</v>
      </c>
      <c r="B1306">
        <v>27</v>
      </c>
      <c r="C1306">
        <v>1.333</v>
      </c>
      <c r="D1306">
        <v>3.14</v>
      </c>
      <c r="E1306">
        <v>0</v>
      </c>
      <c r="F1306">
        <v>1.4219999999999999</v>
      </c>
      <c r="G1306">
        <v>0</v>
      </c>
      <c r="H1306">
        <v>0.14399999999999999</v>
      </c>
      <c r="I1306">
        <v>1.917</v>
      </c>
      <c r="K1306">
        <v>1304</v>
      </c>
      <c r="L1306">
        <v>27</v>
      </c>
      <c r="M1306" s="32">
        <v>1.333</v>
      </c>
      <c r="N1306" s="32">
        <v>3.14</v>
      </c>
      <c r="P1306" s="47">
        <v>1.423</v>
      </c>
      <c r="R1306" s="47">
        <v>0.14499999999999999</v>
      </c>
      <c r="S1306" s="47">
        <v>1.8979999999999999</v>
      </c>
      <c r="T1306" s="31">
        <v>0</v>
      </c>
      <c r="V1306">
        <v>1304</v>
      </c>
      <c r="W1306">
        <v>25</v>
      </c>
      <c r="X1306">
        <v>1.345</v>
      </c>
      <c r="Y1306" s="32">
        <v>3.14</v>
      </c>
      <c r="Z1306">
        <v>0</v>
      </c>
      <c r="AA1306" s="32">
        <v>1.3540000000000001</v>
      </c>
      <c r="AB1306">
        <v>0</v>
      </c>
      <c r="AC1306" s="34">
        <v>0.14000000000000001</v>
      </c>
      <c r="AD1306" s="32">
        <v>1.8240000000000001</v>
      </c>
    </row>
    <row r="1307" spans="1:30">
      <c r="A1307">
        <v>1305</v>
      </c>
      <c r="B1307">
        <v>27</v>
      </c>
      <c r="C1307">
        <v>1.3340000000000001</v>
      </c>
      <c r="D1307">
        <v>3.14</v>
      </c>
      <c r="E1307">
        <v>0</v>
      </c>
      <c r="F1307">
        <v>1.4219999999999999</v>
      </c>
      <c r="G1307">
        <v>0</v>
      </c>
      <c r="H1307">
        <v>0.14399999999999999</v>
      </c>
      <c r="I1307">
        <v>1.9179999999999999</v>
      </c>
      <c r="K1307">
        <v>1305</v>
      </c>
      <c r="L1307">
        <v>27</v>
      </c>
      <c r="M1307" s="32">
        <v>1.3340000000000001</v>
      </c>
      <c r="N1307" s="32">
        <v>3.14</v>
      </c>
      <c r="P1307" s="47">
        <v>1.4239999999999999</v>
      </c>
      <c r="R1307" s="47">
        <v>0.14499999999999999</v>
      </c>
      <c r="S1307" s="47">
        <v>1.9</v>
      </c>
      <c r="T1307" s="31">
        <v>0</v>
      </c>
      <c r="V1307">
        <v>1305</v>
      </c>
      <c r="W1307">
        <v>25</v>
      </c>
      <c r="X1307">
        <v>1.3460000000000001</v>
      </c>
      <c r="Y1307" s="32">
        <v>3.14</v>
      </c>
      <c r="Z1307">
        <v>0</v>
      </c>
      <c r="AA1307" s="32">
        <v>1.3540000000000001</v>
      </c>
      <c r="AB1307">
        <v>0</v>
      </c>
      <c r="AC1307" s="34">
        <v>0.14000000000000001</v>
      </c>
      <c r="AD1307" s="32">
        <v>1.825</v>
      </c>
    </row>
    <row r="1308" spans="1:30">
      <c r="A1308">
        <v>1306</v>
      </c>
      <c r="B1308">
        <v>27</v>
      </c>
      <c r="C1308">
        <v>1.335</v>
      </c>
      <c r="D1308">
        <v>3.14</v>
      </c>
      <c r="E1308">
        <v>0</v>
      </c>
      <c r="F1308">
        <v>1.4219999999999999</v>
      </c>
      <c r="G1308">
        <v>0</v>
      </c>
      <c r="H1308">
        <v>0.14399999999999999</v>
      </c>
      <c r="I1308">
        <v>1.92</v>
      </c>
      <c r="K1308">
        <v>1306</v>
      </c>
      <c r="L1308">
        <v>27</v>
      </c>
      <c r="M1308" s="32">
        <v>1.335</v>
      </c>
      <c r="N1308" s="32">
        <v>3.14</v>
      </c>
      <c r="P1308" s="47">
        <v>1.4239999999999999</v>
      </c>
      <c r="R1308" s="47">
        <v>0.14499999999999999</v>
      </c>
      <c r="S1308" s="47">
        <v>1.9019999999999999</v>
      </c>
      <c r="T1308" s="31">
        <v>0</v>
      </c>
      <c r="V1308">
        <v>1306</v>
      </c>
      <c r="W1308">
        <v>25</v>
      </c>
      <c r="X1308">
        <v>1.347</v>
      </c>
      <c r="Y1308" s="32">
        <v>3.14</v>
      </c>
      <c r="Z1308">
        <v>0</v>
      </c>
      <c r="AA1308" s="32">
        <v>1.355</v>
      </c>
      <c r="AB1308">
        <v>0</v>
      </c>
      <c r="AC1308" s="34">
        <v>0.14099999999999999</v>
      </c>
      <c r="AD1308" s="32">
        <v>1.827</v>
      </c>
    </row>
    <row r="1309" spans="1:30">
      <c r="A1309">
        <v>1307</v>
      </c>
      <c r="B1309">
        <v>27</v>
      </c>
      <c r="C1309">
        <v>1.3360000000000001</v>
      </c>
      <c r="D1309">
        <v>3.14</v>
      </c>
      <c r="E1309">
        <v>0</v>
      </c>
      <c r="F1309">
        <v>1.4219999999999999</v>
      </c>
      <c r="G1309">
        <v>0</v>
      </c>
      <c r="H1309">
        <v>0.14399999999999999</v>
      </c>
      <c r="I1309">
        <v>1.9219999999999999</v>
      </c>
      <c r="K1309">
        <v>1307</v>
      </c>
      <c r="L1309">
        <v>27</v>
      </c>
      <c r="M1309" s="32">
        <v>1.3360000000000001</v>
      </c>
      <c r="N1309" s="32">
        <v>3.14</v>
      </c>
      <c r="P1309" s="47">
        <v>1.4239999999999999</v>
      </c>
      <c r="R1309" s="47">
        <v>0.14499999999999999</v>
      </c>
      <c r="S1309" s="47">
        <v>1.903</v>
      </c>
      <c r="T1309" s="31">
        <v>0</v>
      </c>
      <c r="V1309">
        <v>1307</v>
      </c>
      <c r="W1309">
        <v>25</v>
      </c>
      <c r="X1309">
        <v>1.3480000000000001</v>
      </c>
      <c r="Y1309" s="32">
        <v>3.14</v>
      </c>
      <c r="Z1309">
        <v>0</v>
      </c>
      <c r="AA1309" s="32">
        <v>1.355</v>
      </c>
      <c r="AB1309">
        <v>0</v>
      </c>
      <c r="AC1309" s="34">
        <v>0.14099999999999999</v>
      </c>
      <c r="AD1309" s="32">
        <v>1.829</v>
      </c>
    </row>
    <row r="1310" spans="1:30">
      <c r="A1310">
        <v>1308</v>
      </c>
      <c r="B1310">
        <v>27</v>
      </c>
      <c r="C1310">
        <v>1.337</v>
      </c>
      <c r="D1310">
        <v>3.14</v>
      </c>
      <c r="E1310">
        <v>0</v>
      </c>
      <c r="F1310">
        <v>1.4219999999999999</v>
      </c>
      <c r="G1310">
        <v>0</v>
      </c>
      <c r="H1310">
        <v>0.14399999999999999</v>
      </c>
      <c r="I1310">
        <v>1.9239999999999999</v>
      </c>
      <c r="K1310">
        <v>1308</v>
      </c>
      <c r="L1310">
        <v>27</v>
      </c>
      <c r="M1310" s="32">
        <v>1.337</v>
      </c>
      <c r="N1310" s="32">
        <v>3.14</v>
      </c>
      <c r="P1310" s="47">
        <v>1.425</v>
      </c>
      <c r="R1310" s="47">
        <v>0.14499999999999999</v>
      </c>
      <c r="S1310" s="47">
        <v>1.905</v>
      </c>
      <c r="T1310" s="31">
        <v>0</v>
      </c>
      <c r="V1310">
        <v>1308</v>
      </c>
      <c r="W1310">
        <v>25</v>
      </c>
      <c r="X1310">
        <v>1.349</v>
      </c>
      <c r="Y1310" s="32">
        <v>3.14</v>
      </c>
      <c r="Z1310">
        <v>0</v>
      </c>
      <c r="AA1310" s="32">
        <v>1.355</v>
      </c>
      <c r="AB1310">
        <v>0</v>
      </c>
      <c r="AC1310" s="34">
        <v>0.14099999999999999</v>
      </c>
      <c r="AD1310" s="32">
        <v>1.83</v>
      </c>
    </row>
    <row r="1311" spans="1:30">
      <c r="A1311">
        <v>1309</v>
      </c>
      <c r="B1311">
        <v>27</v>
      </c>
      <c r="C1311">
        <v>1.3380000000000001</v>
      </c>
      <c r="D1311">
        <v>3.14</v>
      </c>
      <c r="E1311">
        <v>0</v>
      </c>
      <c r="F1311">
        <v>1.4219999999999999</v>
      </c>
      <c r="G1311">
        <v>0</v>
      </c>
      <c r="H1311">
        <v>0.14399999999999999</v>
      </c>
      <c r="I1311">
        <v>1.9259999999999999</v>
      </c>
      <c r="K1311">
        <v>1309</v>
      </c>
      <c r="L1311">
        <v>27</v>
      </c>
      <c r="M1311" s="32">
        <v>1.3380000000000001</v>
      </c>
      <c r="N1311" s="32">
        <v>3.14</v>
      </c>
      <c r="P1311" s="47">
        <v>1.425</v>
      </c>
      <c r="R1311" s="47">
        <v>0.14599999999999999</v>
      </c>
      <c r="S1311" s="47">
        <v>1.907</v>
      </c>
      <c r="T1311" s="31">
        <v>0</v>
      </c>
      <c r="V1311">
        <v>1309</v>
      </c>
      <c r="W1311">
        <v>25</v>
      </c>
      <c r="X1311">
        <v>1.35</v>
      </c>
      <c r="Y1311" s="32">
        <v>3.14</v>
      </c>
      <c r="Z1311">
        <v>0</v>
      </c>
      <c r="AA1311" s="32">
        <v>1.355</v>
      </c>
      <c r="AB1311">
        <v>0</v>
      </c>
      <c r="AC1311" s="34">
        <v>0.14099999999999999</v>
      </c>
      <c r="AD1311" s="32">
        <v>1.8320000000000001</v>
      </c>
    </row>
    <row r="1312" spans="1:30">
      <c r="A1312">
        <v>1310</v>
      </c>
      <c r="B1312">
        <v>27</v>
      </c>
      <c r="C1312">
        <v>1.339</v>
      </c>
      <c r="D1312">
        <v>3.14</v>
      </c>
      <c r="E1312">
        <v>0</v>
      </c>
      <c r="F1312">
        <v>1.4219999999999999</v>
      </c>
      <c r="G1312">
        <v>0</v>
      </c>
      <c r="H1312">
        <v>0.14399999999999999</v>
      </c>
      <c r="I1312">
        <v>1.9279999999999999</v>
      </c>
      <c r="K1312">
        <v>1310</v>
      </c>
      <c r="L1312">
        <v>27</v>
      </c>
      <c r="M1312" s="32">
        <v>1.339</v>
      </c>
      <c r="N1312" s="32">
        <v>3.14</v>
      </c>
      <c r="P1312" s="47">
        <v>1.4259999999999999</v>
      </c>
      <c r="R1312" s="47">
        <v>0.14599999999999999</v>
      </c>
      <c r="S1312" s="47">
        <v>1.909</v>
      </c>
      <c r="T1312" s="31">
        <v>0</v>
      </c>
      <c r="V1312">
        <v>1310</v>
      </c>
      <c r="W1312">
        <v>25</v>
      </c>
      <c r="X1312">
        <v>1.351</v>
      </c>
      <c r="Y1312" s="32">
        <v>3.14</v>
      </c>
      <c r="Z1312">
        <v>0</v>
      </c>
      <c r="AA1312" s="32">
        <v>1.3560000000000001</v>
      </c>
      <c r="AB1312">
        <v>0</v>
      </c>
      <c r="AC1312" s="34">
        <v>0.14099999999999999</v>
      </c>
      <c r="AD1312" s="32">
        <v>1.8340000000000001</v>
      </c>
    </row>
    <row r="1313" spans="1:30">
      <c r="A1313">
        <v>1311</v>
      </c>
      <c r="B1313">
        <v>27</v>
      </c>
      <c r="C1313">
        <v>1.34</v>
      </c>
      <c r="D1313">
        <v>3.14</v>
      </c>
      <c r="E1313">
        <v>0</v>
      </c>
      <c r="F1313">
        <v>1.4259999999999999</v>
      </c>
      <c r="G1313">
        <v>0</v>
      </c>
      <c r="H1313">
        <v>0.14399999999999999</v>
      </c>
      <c r="I1313">
        <v>1.911</v>
      </c>
      <c r="K1313">
        <v>1311</v>
      </c>
      <c r="L1313">
        <v>27</v>
      </c>
      <c r="M1313" s="32">
        <v>1.34</v>
      </c>
      <c r="N1313" s="32">
        <v>3.14</v>
      </c>
      <c r="P1313" s="32">
        <v>1.4259999999999999</v>
      </c>
      <c r="R1313" s="47">
        <v>0.14599999999999999</v>
      </c>
      <c r="S1313" s="32">
        <v>1.911</v>
      </c>
      <c r="T1313" s="31">
        <v>0</v>
      </c>
      <c r="V1313">
        <v>1311</v>
      </c>
      <c r="W1313">
        <v>25</v>
      </c>
      <c r="X1313">
        <v>1.3520000000000001</v>
      </c>
      <c r="Y1313" s="32">
        <v>3.14</v>
      </c>
      <c r="Z1313">
        <v>0</v>
      </c>
      <c r="AA1313" s="32">
        <v>1.3560000000000001</v>
      </c>
      <c r="AB1313">
        <v>0</v>
      </c>
      <c r="AC1313" s="34">
        <v>0.14099999999999999</v>
      </c>
      <c r="AD1313" s="32">
        <v>1.835</v>
      </c>
    </row>
    <row r="1314" spans="1:30">
      <c r="A1314">
        <v>1312</v>
      </c>
      <c r="B1314">
        <v>27</v>
      </c>
      <c r="C1314">
        <v>1.341</v>
      </c>
      <c r="D1314">
        <v>3.14</v>
      </c>
      <c r="E1314">
        <v>0</v>
      </c>
      <c r="F1314">
        <v>1.4259999999999999</v>
      </c>
      <c r="G1314">
        <v>0</v>
      </c>
      <c r="H1314">
        <v>0.14399999999999999</v>
      </c>
      <c r="I1314">
        <v>1.9510000000000001</v>
      </c>
      <c r="K1314">
        <v>1312</v>
      </c>
      <c r="L1314">
        <v>27</v>
      </c>
      <c r="M1314" s="32">
        <v>1.341</v>
      </c>
      <c r="N1314" s="32">
        <v>3.14</v>
      </c>
      <c r="P1314" s="32">
        <v>1.4259999999999999</v>
      </c>
      <c r="R1314" s="47">
        <v>0.14599999999999999</v>
      </c>
      <c r="S1314" s="47">
        <v>1.913</v>
      </c>
      <c r="T1314" s="31">
        <v>0</v>
      </c>
      <c r="V1314">
        <v>1312</v>
      </c>
      <c r="W1314">
        <v>26</v>
      </c>
      <c r="X1314">
        <v>1.353</v>
      </c>
      <c r="Y1314" s="32">
        <v>3.14</v>
      </c>
      <c r="Z1314">
        <v>0</v>
      </c>
      <c r="AA1314" s="32">
        <v>1.3560000000000001</v>
      </c>
      <c r="AB1314">
        <v>0</v>
      </c>
      <c r="AC1314" s="34">
        <v>0.14099999999999999</v>
      </c>
      <c r="AD1314" s="32">
        <v>1.837</v>
      </c>
    </row>
    <row r="1315" spans="1:30">
      <c r="A1315">
        <v>1313</v>
      </c>
      <c r="B1315">
        <v>27</v>
      </c>
      <c r="C1315">
        <v>1.3420000000000001</v>
      </c>
      <c r="D1315">
        <v>3.14</v>
      </c>
      <c r="E1315">
        <v>0</v>
      </c>
      <c r="F1315">
        <v>1.4259999999999999</v>
      </c>
      <c r="G1315">
        <v>0</v>
      </c>
      <c r="H1315">
        <v>0.14399999999999999</v>
      </c>
      <c r="I1315">
        <v>1.9530000000000001</v>
      </c>
      <c r="K1315">
        <v>1313</v>
      </c>
      <c r="L1315">
        <v>27</v>
      </c>
      <c r="M1315" s="32">
        <v>1.3420000000000001</v>
      </c>
      <c r="N1315" s="32">
        <v>3.14</v>
      </c>
      <c r="P1315" s="47">
        <v>1.427</v>
      </c>
      <c r="R1315" s="47">
        <v>0.14599999999999999</v>
      </c>
      <c r="S1315" s="47">
        <v>1.915</v>
      </c>
      <c r="T1315" s="31">
        <v>0</v>
      </c>
      <c r="V1315">
        <v>1313</v>
      </c>
      <c r="W1315">
        <v>26</v>
      </c>
      <c r="X1315">
        <v>1.3540000000000001</v>
      </c>
      <c r="Y1315" s="32">
        <v>3.14</v>
      </c>
      <c r="Z1315">
        <v>0</v>
      </c>
      <c r="AA1315" s="32">
        <v>1.3560000000000001</v>
      </c>
      <c r="AB1315">
        <v>0</v>
      </c>
      <c r="AC1315" s="34">
        <v>0.14099999999999999</v>
      </c>
      <c r="AD1315" s="32">
        <v>1.839</v>
      </c>
    </row>
    <row r="1316" spans="1:30">
      <c r="A1316">
        <v>1314</v>
      </c>
      <c r="B1316">
        <v>27</v>
      </c>
      <c r="C1316">
        <v>1.343</v>
      </c>
      <c r="D1316">
        <v>3.14</v>
      </c>
      <c r="E1316">
        <v>0</v>
      </c>
      <c r="F1316">
        <v>1.4259999999999999</v>
      </c>
      <c r="G1316">
        <v>0</v>
      </c>
      <c r="H1316">
        <v>0.14399999999999999</v>
      </c>
      <c r="I1316">
        <v>1.954</v>
      </c>
      <c r="K1316">
        <v>1314</v>
      </c>
      <c r="L1316">
        <v>27</v>
      </c>
      <c r="M1316" s="32">
        <v>1.343</v>
      </c>
      <c r="N1316" s="32">
        <v>3.14</v>
      </c>
      <c r="P1316" s="47">
        <v>1.427</v>
      </c>
      <c r="R1316" s="47">
        <v>0.14599999999999999</v>
      </c>
      <c r="S1316" s="47">
        <v>1.9159999999999999</v>
      </c>
      <c r="T1316" s="31">
        <v>0</v>
      </c>
      <c r="V1316">
        <v>1314</v>
      </c>
      <c r="W1316">
        <v>26</v>
      </c>
      <c r="X1316">
        <v>1.355</v>
      </c>
      <c r="Y1316" s="32">
        <v>3.14</v>
      </c>
      <c r="Z1316">
        <v>0</v>
      </c>
      <c r="AA1316" s="32">
        <v>1.3560000000000001</v>
      </c>
      <c r="AB1316">
        <v>0</v>
      </c>
      <c r="AC1316" s="34">
        <v>0.14099999999999999</v>
      </c>
      <c r="AD1316" s="32">
        <v>1.84</v>
      </c>
    </row>
    <row r="1317" spans="1:30">
      <c r="A1317">
        <v>1315</v>
      </c>
      <c r="B1317">
        <v>27</v>
      </c>
      <c r="C1317">
        <v>1.3440000000000001</v>
      </c>
      <c r="D1317">
        <v>3.14</v>
      </c>
      <c r="E1317">
        <v>0</v>
      </c>
      <c r="F1317">
        <v>1.4259999999999999</v>
      </c>
      <c r="G1317">
        <v>0</v>
      </c>
      <c r="H1317">
        <v>0.14399999999999999</v>
      </c>
      <c r="I1317">
        <v>1.956</v>
      </c>
      <c r="K1317">
        <v>1315</v>
      </c>
      <c r="L1317">
        <v>27</v>
      </c>
      <c r="M1317" s="32">
        <v>1.3440000000000001</v>
      </c>
      <c r="N1317" s="32">
        <v>3.14</v>
      </c>
      <c r="P1317" s="47">
        <v>1.427</v>
      </c>
      <c r="R1317" s="47">
        <v>0.14599999999999999</v>
      </c>
      <c r="S1317" s="47">
        <v>1.9179999999999999</v>
      </c>
      <c r="T1317" s="31">
        <v>0</v>
      </c>
      <c r="V1317">
        <v>1315</v>
      </c>
      <c r="W1317">
        <v>26</v>
      </c>
      <c r="X1317">
        <v>1.3560000000000001</v>
      </c>
      <c r="Y1317" s="32">
        <v>3.14</v>
      </c>
      <c r="Z1317">
        <v>0</v>
      </c>
      <c r="AA1317" s="32">
        <v>1.357</v>
      </c>
      <c r="AB1317">
        <v>0</v>
      </c>
      <c r="AC1317" s="34">
        <v>0.14099999999999999</v>
      </c>
      <c r="AD1317" s="32">
        <v>1.8420000000000001</v>
      </c>
    </row>
    <row r="1318" spans="1:30">
      <c r="A1318">
        <v>1316</v>
      </c>
      <c r="B1318">
        <v>27</v>
      </c>
      <c r="C1318">
        <v>1.345</v>
      </c>
      <c r="D1318">
        <v>3.14</v>
      </c>
      <c r="E1318">
        <v>0</v>
      </c>
      <c r="F1318">
        <v>1.4259999999999999</v>
      </c>
      <c r="G1318">
        <v>0</v>
      </c>
      <c r="H1318">
        <v>0.14399999999999999</v>
      </c>
      <c r="I1318">
        <v>1.958</v>
      </c>
      <c r="K1318">
        <v>1316</v>
      </c>
      <c r="L1318">
        <v>27</v>
      </c>
      <c r="M1318" s="32">
        <v>1.345</v>
      </c>
      <c r="N1318" s="32">
        <v>3.14</v>
      </c>
      <c r="P1318" s="47">
        <v>1.4279999999999999</v>
      </c>
      <c r="R1318" s="47">
        <v>0.14599999999999999</v>
      </c>
      <c r="S1318" s="47">
        <v>1.92</v>
      </c>
      <c r="T1318" s="31">
        <v>0</v>
      </c>
      <c r="V1318">
        <v>1316</v>
      </c>
      <c r="W1318">
        <v>26</v>
      </c>
      <c r="X1318">
        <v>1.357</v>
      </c>
      <c r="Y1318" s="32">
        <v>3.14</v>
      </c>
      <c r="Z1318">
        <v>0</v>
      </c>
      <c r="AA1318" s="32">
        <v>1.357</v>
      </c>
      <c r="AB1318">
        <v>0</v>
      </c>
      <c r="AC1318" s="34">
        <v>0.14099999999999999</v>
      </c>
      <c r="AD1318" s="32">
        <v>1.8440000000000001</v>
      </c>
    </row>
    <row r="1319" spans="1:30">
      <c r="A1319">
        <v>1317</v>
      </c>
      <c r="B1319">
        <v>27</v>
      </c>
      <c r="C1319">
        <v>1.3460000000000001</v>
      </c>
      <c r="D1319">
        <v>3.14</v>
      </c>
      <c r="E1319">
        <v>0</v>
      </c>
      <c r="F1319">
        <v>1.4259999999999999</v>
      </c>
      <c r="G1319">
        <v>0</v>
      </c>
      <c r="H1319">
        <v>0.14399999999999999</v>
      </c>
      <c r="I1319">
        <v>1.96</v>
      </c>
      <c r="K1319">
        <v>1317</v>
      </c>
      <c r="L1319">
        <v>27</v>
      </c>
      <c r="M1319" s="32">
        <v>1.3460000000000001</v>
      </c>
      <c r="N1319" s="32">
        <v>3.14</v>
      </c>
      <c r="P1319" s="47">
        <v>1.4279999999999999</v>
      </c>
      <c r="R1319" s="47">
        <v>0.14599999999999999</v>
      </c>
      <c r="S1319" s="47">
        <v>1.9219999999999999</v>
      </c>
      <c r="T1319" s="31">
        <v>0</v>
      </c>
      <c r="V1319">
        <v>1317</v>
      </c>
      <c r="W1319">
        <v>26</v>
      </c>
      <c r="X1319">
        <v>1.3580000000000001</v>
      </c>
      <c r="Y1319" s="32">
        <v>3.14</v>
      </c>
      <c r="Z1319">
        <v>0</v>
      </c>
      <c r="AA1319" s="32">
        <v>1.357</v>
      </c>
      <c r="AB1319">
        <v>0</v>
      </c>
      <c r="AC1319" s="34">
        <v>0.14099999999999999</v>
      </c>
      <c r="AD1319" s="32">
        <v>1.8460000000000001</v>
      </c>
    </row>
    <row r="1320" spans="1:30">
      <c r="A1320">
        <v>1318</v>
      </c>
      <c r="B1320">
        <v>27</v>
      </c>
      <c r="C1320">
        <v>1.347</v>
      </c>
      <c r="D1320">
        <v>3.14</v>
      </c>
      <c r="E1320">
        <v>0</v>
      </c>
      <c r="F1320">
        <v>1.4259999999999999</v>
      </c>
      <c r="G1320">
        <v>0</v>
      </c>
      <c r="H1320">
        <v>0.14399999999999999</v>
      </c>
      <c r="I1320">
        <v>1.962</v>
      </c>
      <c r="K1320">
        <v>1318</v>
      </c>
      <c r="L1320">
        <v>27</v>
      </c>
      <c r="M1320" s="32">
        <v>1.347</v>
      </c>
      <c r="N1320" s="32">
        <v>3.14</v>
      </c>
      <c r="P1320" s="47">
        <v>1.4279999999999999</v>
      </c>
      <c r="R1320" s="47">
        <v>0.14599999999999999</v>
      </c>
      <c r="S1320" s="47">
        <v>1.9239999999999999</v>
      </c>
      <c r="T1320" s="31">
        <v>0</v>
      </c>
      <c r="V1320">
        <v>1318</v>
      </c>
      <c r="W1320">
        <v>26</v>
      </c>
      <c r="X1320">
        <v>1.359</v>
      </c>
      <c r="Y1320" s="32">
        <v>3.14</v>
      </c>
      <c r="Z1320">
        <v>0</v>
      </c>
      <c r="AA1320" s="32">
        <v>1.357</v>
      </c>
      <c r="AB1320">
        <v>0</v>
      </c>
      <c r="AC1320" s="34">
        <v>0.14099999999999999</v>
      </c>
      <c r="AD1320" s="32">
        <v>1.847</v>
      </c>
    </row>
    <row r="1321" spans="1:30">
      <c r="A1321">
        <v>1319</v>
      </c>
      <c r="B1321">
        <v>27</v>
      </c>
      <c r="C1321">
        <v>1.3480000000000001</v>
      </c>
      <c r="D1321">
        <v>3.14</v>
      </c>
      <c r="E1321">
        <v>0</v>
      </c>
      <c r="F1321">
        <v>1.4259999999999999</v>
      </c>
      <c r="G1321">
        <v>0</v>
      </c>
      <c r="H1321">
        <v>0.14399999999999999</v>
      </c>
      <c r="I1321">
        <v>1.964</v>
      </c>
      <c r="K1321">
        <v>1319</v>
      </c>
      <c r="L1321">
        <v>27</v>
      </c>
      <c r="M1321" s="32">
        <v>1.3480000000000001</v>
      </c>
      <c r="N1321" s="32">
        <v>3.14</v>
      </c>
      <c r="P1321" s="47">
        <v>1.4279999999999999</v>
      </c>
      <c r="R1321" s="47">
        <v>0.14599999999999999</v>
      </c>
      <c r="S1321" s="47">
        <v>1.925</v>
      </c>
      <c r="T1321" s="31">
        <v>0</v>
      </c>
      <c r="V1321">
        <v>1319</v>
      </c>
      <c r="W1321">
        <v>26</v>
      </c>
      <c r="X1321">
        <v>1.36</v>
      </c>
      <c r="Y1321" s="32">
        <v>3.14</v>
      </c>
      <c r="Z1321">
        <v>0</v>
      </c>
      <c r="AA1321" s="32">
        <v>1.357</v>
      </c>
      <c r="AB1321">
        <v>0</v>
      </c>
      <c r="AC1321" s="34">
        <v>0.14199999999999999</v>
      </c>
      <c r="AD1321" s="32">
        <v>1.849</v>
      </c>
    </row>
    <row r="1322" spans="1:30">
      <c r="A1322">
        <v>1320</v>
      </c>
      <c r="B1322">
        <v>27</v>
      </c>
      <c r="C1322">
        <v>1.349</v>
      </c>
      <c r="D1322">
        <v>3.14</v>
      </c>
      <c r="E1322">
        <v>0</v>
      </c>
      <c r="F1322">
        <v>1.4259999999999999</v>
      </c>
      <c r="G1322">
        <v>0</v>
      </c>
      <c r="H1322">
        <v>0.14399999999999999</v>
      </c>
      <c r="I1322">
        <v>1.966</v>
      </c>
      <c r="K1322">
        <v>1320</v>
      </c>
      <c r="L1322">
        <v>27</v>
      </c>
      <c r="M1322" s="32">
        <v>1.349</v>
      </c>
      <c r="N1322" s="32">
        <v>3.14</v>
      </c>
      <c r="P1322" s="47">
        <v>1.429</v>
      </c>
      <c r="R1322" s="47">
        <v>0.14699999999999999</v>
      </c>
      <c r="S1322" s="47">
        <v>1.927</v>
      </c>
      <c r="T1322" s="31">
        <v>0</v>
      </c>
      <c r="V1322">
        <v>1320</v>
      </c>
      <c r="W1322">
        <v>26</v>
      </c>
      <c r="X1322">
        <v>1.361</v>
      </c>
      <c r="Y1322" s="32">
        <v>3.14</v>
      </c>
      <c r="Z1322">
        <v>0</v>
      </c>
      <c r="AA1322" s="32">
        <v>1.3580000000000001</v>
      </c>
      <c r="AB1322">
        <v>0</v>
      </c>
      <c r="AC1322" s="34">
        <v>0.14199999999999999</v>
      </c>
      <c r="AD1322" s="32">
        <v>1.851</v>
      </c>
    </row>
    <row r="1323" spans="1:30">
      <c r="A1323">
        <v>1321</v>
      </c>
      <c r="B1323">
        <v>27</v>
      </c>
      <c r="C1323">
        <v>1.35</v>
      </c>
      <c r="D1323">
        <v>3.14</v>
      </c>
      <c r="E1323">
        <v>0</v>
      </c>
      <c r="F1323">
        <v>1.429</v>
      </c>
      <c r="G1323">
        <v>0</v>
      </c>
      <c r="H1323">
        <v>0.14399999999999999</v>
      </c>
      <c r="I1323">
        <v>1.929</v>
      </c>
      <c r="K1323">
        <v>1321</v>
      </c>
      <c r="L1323">
        <v>27</v>
      </c>
      <c r="M1323" s="32">
        <v>1.35</v>
      </c>
      <c r="N1323" s="32">
        <v>3.14</v>
      </c>
      <c r="P1323" s="32">
        <v>1.429</v>
      </c>
      <c r="R1323" s="47">
        <v>0.14699999999999999</v>
      </c>
      <c r="S1323" s="32">
        <v>1.929</v>
      </c>
      <c r="T1323" s="31">
        <v>0</v>
      </c>
      <c r="V1323">
        <v>1321</v>
      </c>
      <c r="W1323">
        <v>26</v>
      </c>
      <c r="X1323">
        <v>1.3620000000000001</v>
      </c>
      <c r="Y1323" s="32">
        <v>3.14</v>
      </c>
      <c r="Z1323">
        <v>0</v>
      </c>
      <c r="AA1323" s="32">
        <v>1.3580000000000001</v>
      </c>
      <c r="AB1323">
        <v>0</v>
      </c>
      <c r="AC1323" s="34">
        <v>0.14199999999999999</v>
      </c>
      <c r="AD1323" s="32">
        <v>1.853</v>
      </c>
    </row>
    <row r="1324" spans="1:30">
      <c r="A1324">
        <v>1322</v>
      </c>
      <c r="B1324">
        <v>27</v>
      </c>
      <c r="C1324">
        <v>1.351</v>
      </c>
      <c r="D1324">
        <v>3.14</v>
      </c>
      <c r="E1324">
        <v>0</v>
      </c>
      <c r="F1324">
        <v>1.429</v>
      </c>
      <c r="G1324">
        <v>0</v>
      </c>
      <c r="H1324">
        <v>0.14399999999999999</v>
      </c>
      <c r="I1324">
        <v>1.988</v>
      </c>
      <c r="K1324">
        <v>1322</v>
      </c>
      <c r="L1324">
        <v>27</v>
      </c>
      <c r="M1324" s="32">
        <v>1.351</v>
      </c>
      <c r="N1324" s="32">
        <v>3.14</v>
      </c>
      <c r="P1324" s="32">
        <v>1.429</v>
      </c>
      <c r="R1324" s="47">
        <v>0.14699999999999999</v>
      </c>
      <c r="S1324" s="47">
        <v>1.931</v>
      </c>
      <c r="T1324" s="31">
        <v>0</v>
      </c>
      <c r="V1324">
        <v>1322</v>
      </c>
      <c r="W1324">
        <v>26</v>
      </c>
      <c r="X1324">
        <v>1.363</v>
      </c>
      <c r="Y1324" s="32">
        <v>3.14</v>
      </c>
      <c r="Z1324">
        <v>0</v>
      </c>
      <c r="AA1324" s="32">
        <v>1.3580000000000001</v>
      </c>
      <c r="AB1324">
        <v>0</v>
      </c>
      <c r="AC1324" s="34">
        <v>0.14199999999999999</v>
      </c>
      <c r="AD1324" s="32">
        <v>1.8540000000000001</v>
      </c>
    </row>
    <row r="1325" spans="1:30">
      <c r="A1325">
        <v>1323</v>
      </c>
      <c r="B1325">
        <v>27</v>
      </c>
      <c r="C1325">
        <v>1.3520000000000001</v>
      </c>
      <c r="D1325">
        <v>3.14</v>
      </c>
      <c r="E1325">
        <v>0</v>
      </c>
      <c r="F1325">
        <v>1.429</v>
      </c>
      <c r="G1325">
        <v>0</v>
      </c>
      <c r="H1325">
        <v>0.14399999999999999</v>
      </c>
      <c r="I1325">
        <v>1.9890000000000001</v>
      </c>
      <c r="K1325">
        <v>1323</v>
      </c>
      <c r="L1325">
        <v>27</v>
      </c>
      <c r="M1325" s="32">
        <v>1.3520000000000001</v>
      </c>
      <c r="N1325" s="32">
        <v>3.14</v>
      </c>
      <c r="P1325" s="47">
        <v>1.43</v>
      </c>
      <c r="R1325" s="47">
        <v>0.14699999999999999</v>
      </c>
      <c r="S1325" s="47">
        <v>1.9330000000000001</v>
      </c>
      <c r="T1325" s="31">
        <v>0</v>
      </c>
      <c r="V1325">
        <v>1323</v>
      </c>
      <c r="W1325">
        <v>26</v>
      </c>
      <c r="X1325">
        <v>1.3640000000000001</v>
      </c>
      <c r="Y1325" s="32">
        <v>3.14</v>
      </c>
      <c r="Z1325">
        <v>0</v>
      </c>
      <c r="AA1325" s="32">
        <v>1.3580000000000001</v>
      </c>
      <c r="AB1325">
        <v>0</v>
      </c>
      <c r="AC1325" s="34">
        <v>0.14199999999999999</v>
      </c>
      <c r="AD1325" s="32">
        <v>1.8560000000000001</v>
      </c>
    </row>
    <row r="1326" spans="1:30">
      <c r="A1326">
        <v>1324</v>
      </c>
      <c r="B1326">
        <v>27</v>
      </c>
      <c r="C1326">
        <v>1.353</v>
      </c>
      <c r="D1326">
        <v>3.14</v>
      </c>
      <c r="E1326">
        <v>0</v>
      </c>
      <c r="F1326">
        <v>1.429</v>
      </c>
      <c r="G1326">
        <v>0</v>
      </c>
      <c r="H1326">
        <v>0.14399999999999999</v>
      </c>
      <c r="I1326">
        <v>1.9910000000000001</v>
      </c>
      <c r="K1326">
        <v>1324</v>
      </c>
      <c r="L1326">
        <v>27</v>
      </c>
      <c r="M1326" s="32">
        <v>1.353</v>
      </c>
      <c r="N1326" s="32">
        <v>3.14</v>
      </c>
      <c r="P1326" s="47">
        <v>1.43</v>
      </c>
      <c r="R1326" s="47">
        <v>0.14699999999999999</v>
      </c>
      <c r="S1326" s="47">
        <v>1.9350000000000001</v>
      </c>
      <c r="T1326" s="31">
        <v>0</v>
      </c>
      <c r="V1326">
        <v>1324</v>
      </c>
      <c r="W1326">
        <v>26</v>
      </c>
      <c r="X1326">
        <v>1.365</v>
      </c>
      <c r="Y1326" s="32">
        <v>3.14</v>
      </c>
      <c r="Z1326">
        <v>0</v>
      </c>
      <c r="AA1326" s="32">
        <v>1.3580000000000001</v>
      </c>
      <c r="AB1326">
        <v>0</v>
      </c>
      <c r="AC1326" s="34">
        <v>0.14199999999999999</v>
      </c>
      <c r="AD1326" s="32">
        <v>1.8580000000000001</v>
      </c>
    </row>
    <row r="1327" spans="1:30">
      <c r="A1327">
        <v>1325</v>
      </c>
      <c r="B1327">
        <v>27</v>
      </c>
      <c r="C1327">
        <v>1.3540000000000001</v>
      </c>
      <c r="D1327">
        <v>3.14</v>
      </c>
      <c r="E1327">
        <v>0</v>
      </c>
      <c r="F1327">
        <v>1.429</v>
      </c>
      <c r="G1327">
        <v>0</v>
      </c>
      <c r="H1327">
        <v>0.14399999999999999</v>
      </c>
      <c r="I1327">
        <v>1.9930000000000001</v>
      </c>
      <c r="K1327">
        <v>1325</v>
      </c>
      <c r="L1327">
        <v>27</v>
      </c>
      <c r="M1327" s="32">
        <v>1.3540000000000001</v>
      </c>
      <c r="N1327" s="32">
        <v>3.14</v>
      </c>
      <c r="P1327" s="47">
        <v>1.431</v>
      </c>
      <c r="R1327" s="47">
        <v>0.14699999999999999</v>
      </c>
      <c r="S1327" s="47">
        <v>1.9370000000000001</v>
      </c>
      <c r="T1327" s="31">
        <v>0</v>
      </c>
      <c r="V1327">
        <v>1325</v>
      </c>
      <c r="W1327">
        <v>26</v>
      </c>
      <c r="X1327">
        <v>1.3660000000000001</v>
      </c>
      <c r="Y1327" s="32">
        <v>3.14</v>
      </c>
      <c r="Z1327">
        <v>0</v>
      </c>
      <c r="AA1327" s="32">
        <v>1.359</v>
      </c>
      <c r="AB1327">
        <v>0</v>
      </c>
      <c r="AC1327" s="34">
        <v>0.14199999999999999</v>
      </c>
      <c r="AD1327" s="32">
        <v>1.86</v>
      </c>
    </row>
    <row r="1328" spans="1:30">
      <c r="A1328">
        <v>1326</v>
      </c>
      <c r="B1328">
        <v>27</v>
      </c>
      <c r="C1328">
        <v>1.355</v>
      </c>
      <c r="D1328">
        <v>3.14</v>
      </c>
      <c r="E1328">
        <v>0</v>
      </c>
      <c r="F1328">
        <v>1.429</v>
      </c>
      <c r="G1328">
        <v>0</v>
      </c>
      <c r="H1328">
        <v>0.14399999999999999</v>
      </c>
      <c r="I1328">
        <v>1.9950000000000001</v>
      </c>
      <c r="K1328">
        <v>1326</v>
      </c>
      <c r="L1328">
        <v>27</v>
      </c>
      <c r="M1328" s="32">
        <v>1.355</v>
      </c>
      <c r="N1328" s="32">
        <v>3.14</v>
      </c>
      <c r="P1328" s="47">
        <v>1.431</v>
      </c>
      <c r="R1328" s="47">
        <v>0.14699999999999999</v>
      </c>
      <c r="S1328" s="47">
        <v>1.9390000000000001</v>
      </c>
      <c r="T1328" s="31">
        <v>0</v>
      </c>
      <c r="V1328">
        <v>1326</v>
      </c>
      <c r="W1328">
        <v>26</v>
      </c>
      <c r="X1328">
        <v>1.367</v>
      </c>
      <c r="Y1328" s="32">
        <v>3.14</v>
      </c>
      <c r="Z1328">
        <v>0</v>
      </c>
      <c r="AA1328" s="32">
        <v>1.359</v>
      </c>
      <c r="AB1328">
        <v>0</v>
      </c>
      <c r="AC1328" s="34">
        <v>0.14199999999999999</v>
      </c>
      <c r="AD1328" s="32">
        <v>1.861</v>
      </c>
    </row>
    <row r="1329" spans="1:30">
      <c r="A1329">
        <v>1327</v>
      </c>
      <c r="B1329">
        <v>27</v>
      </c>
      <c r="C1329">
        <v>1.3560000000000001</v>
      </c>
      <c r="D1329">
        <v>3.14</v>
      </c>
      <c r="E1329">
        <v>0</v>
      </c>
      <c r="F1329">
        <v>1.429</v>
      </c>
      <c r="G1329">
        <v>0</v>
      </c>
      <c r="H1329">
        <v>0.14399999999999999</v>
      </c>
      <c r="I1329">
        <v>1.9970000000000001</v>
      </c>
      <c r="K1329">
        <v>1327</v>
      </c>
      <c r="L1329">
        <v>27</v>
      </c>
      <c r="M1329" s="32">
        <v>1.3560000000000001</v>
      </c>
      <c r="N1329" s="32">
        <v>3.14</v>
      </c>
      <c r="P1329" s="47">
        <v>1.431</v>
      </c>
      <c r="R1329" s="47">
        <v>0.14699999999999999</v>
      </c>
      <c r="S1329" s="47">
        <v>1.94</v>
      </c>
      <c r="T1329" s="31">
        <v>0</v>
      </c>
      <c r="V1329">
        <v>1327</v>
      </c>
      <c r="W1329">
        <v>26</v>
      </c>
      <c r="X1329">
        <v>1.3680000000000001</v>
      </c>
      <c r="Y1329" s="32">
        <v>3.14</v>
      </c>
      <c r="Z1329">
        <v>0</v>
      </c>
      <c r="AA1329" s="32">
        <v>1.359</v>
      </c>
      <c r="AB1329">
        <v>0</v>
      </c>
      <c r="AC1329" s="34">
        <v>0.14199999999999999</v>
      </c>
      <c r="AD1329" s="32">
        <v>1.863</v>
      </c>
    </row>
    <row r="1330" spans="1:30">
      <c r="A1330">
        <v>1328</v>
      </c>
      <c r="B1330">
        <v>27</v>
      </c>
      <c r="C1330">
        <v>1.357</v>
      </c>
      <c r="D1330">
        <v>3.14</v>
      </c>
      <c r="E1330">
        <v>0</v>
      </c>
      <c r="F1330">
        <v>1.429</v>
      </c>
      <c r="G1330">
        <v>0</v>
      </c>
      <c r="H1330">
        <v>0.14399999999999999</v>
      </c>
      <c r="I1330">
        <v>1.9990000000000001</v>
      </c>
      <c r="K1330">
        <v>1328</v>
      </c>
      <c r="L1330">
        <v>27</v>
      </c>
      <c r="M1330" s="32">
        <v>1.357</v>
      </c>
      <c r="N1330" s="32">
        <v>3.14</v>
      </c>
      <c r="P1330" s="47">
        <v>1.4319999999999999</v>
      </c>
      <c r="R1330" s="47">
        <v>0.14699999999999999</v>
      </c>
      <c r="S1330" s="47">
        <v>1.9419999999999999</v>
      </c>
      <c r="T1330" s="31">
        <v>0</v>
      </c>
      <c r="V1330">
        <v>1328</v>
      </c>
      <c r="W1330">
        <v>26</v>
      </c>
      <c r="X1330">
        <v>1.369</v>
      </c>
      <c r="Y1330" s="32">
        <v>3.14</v>
      </c>
      <c r="Z1330">
        <v>0</v>
      </c>
      <c r="AA1330" s="32">
        <v>1.359</v>
      </c>
      <c r="AB1330">
        <v>0</v>
      </c>
      <c r="AC1330" s="34">
        <v>0.14199999999999999</v>
      </c>
      <c r="AD1330" s="32">
        <v>1.865</v>
      </c>
    </row>
    <row r="1331" spans="1:30">
      <c r="A1331">
        <v>1329</v>
      </c>
      <c r="B1331">
        <v>27</v>
      </c>
      <c r="C1331">
        <v>1.3580000000000001</v>
      </c>
      <c r="D1331">
        <v>3.14</v>
      </c>
      <c r="E1331">
        <v>0</v>
      </c>
      <c r="F1331">
        <v>1.429</v>
      </c>
      <c r="G1331">
        <v>0</v>
      </c>
      <c r="H1331">
        <v>0.14399999999999999</v>
      </c>
      <c r="I1331">
        <v>2.0009999999999999</v>
      </c>
      <c r="K1331">
        <v>1329</v>
      </c>
      <c r="L1331">
        <v>27</v>
      </c>
      <c r="M1331" s="32">
        <v>1.3580000000000001</v>
      </c>
      <c r="N1331" s="32">
        <v>3.14</v>
      </c>
      <c r="P1331" s="47">
        <v>1.4319999999999999</v>
      </c>
      <c r="R1331" s="47">
        <v>0.14699999999999999</v>
      </c>
      <c r="S1331" s="47">
        <v>1.944</v>
      </c>
      <c r="T1331" s="31">
        <v>0</v>
      </c>
      <c r="V1331">
        <v>1329</v>
      </c>
      <c r="W1331">
        <v>26</v>
      </c>
      <c r="X1331">
        <v>1.37</v>
      </c>
      <c r="Y1331" s="32">
        <v>3.14</v>
      </c>
      <c r="Z1331">
        <v>0</v>
      </c>
      <c r="AA1331" s="32">
        <v>1.359</v>
      </c>
      <c r="AB1331">
        <v>0</v>
      </c>
      <c r="AC1331" s="34">
        <v>0.14199999999999999</v>
      </c>
      <c r="AD1331" s="32">
        <v>1.867</v>
      </c>
    </row>
    <row r="1332" spans="1:30">
      <c r="A1332">
        <v>1330</v>
      </c>
      <c r="B1332">
        <v>27</v>
      </c>
      <c r="C1332">
        <v>1.359</v>
      </c>
      <c r="D1332">
        <v>3.14</v>
      </c>
      <c r="E1332">
        <v>0</v>
      </c>
      <c r="F1332">
        <v>1.429</v>
      </c>
      <c r="G1332">
        <v>0</v>
      </c>
      <c r="H1332">
        <v>0.14399999999999999</v>
      </c>
      <c r="I1332">
        <v>2.0030000000000001</v>
      </c>
      <c r="K1332">
        <v>1330</v>
      </c>
      <c r="L1332">
        <v>27</v>
      </c>
      <c r="M1332" s="32">
        <v>1.359</v>
      </c>
      <c r="N1332" s="32">
        <v>3.14</v>
      </c>
      <c r="P1332" s="47">
        <v>1.4330000000000001</v>
      </c>
      <c r="R1332" s="47">
        <v>0.14699999999999999</v>
      </c>
      <c r="S1332" s="47">
        <v>1.946</v>
      </c>
      <c r="T1332" s="31">
        <v>0</v>
      </c>
      <c r="V1332">
        <v>1330</v>
      </c>
      <c r="W1332">
        <v>26</v>
      </c>
      <c r="X1332">
        <v>1.371</v>
      </c>
      <c r="Y1332" s="32">
        <v>3.14</v>
      </c>
      <c r="Z1332">
        <v>0</v>
      </c>
      <c r="AA1332" s="32">
        <v>1.36</v>
      </c>
      <c r="AB1332">
        <v>0</v>
      </c>
      <c r="AC1332" s="34">
        <v>0.14199999999999999</v>
      </c>
      <c r="AD1332" s="32">
        <v>1.8680000000000001</v>
      </c>
    </row>
    <row r="1333" spans="1:30">
      <c r="A1333">
        <v>1331</v>
      </c>
      <c r="B1333">
        <v>27</v>
      </c>
      <c r="C1333">
        <v>1.36</v>
      </c>
      <c r="D1333">
        <v>3.14</v>
      </c>
      <c r="E1333">
        <v>0</v>
      </c>
      <c r="F1333">
        <v>1.4330000000000001</v>
      </c>
      <c r="G1333">
        <v>0</v>
      </c>
      <c r="H1333">
        <v>0.14399999999999999</v>
      </c>
      <c r="I1333">
        <v>1.948</v>
      </c>
      <c r="K1333">
        <v>1331</v>
      </c>
      <c r="L1333">
        <v>27</v>
      </c>
      <c r="M1333" s="32">
        <v>1.36</v>
      </c>
      <c r="N1333" s="32">
        <v>3.14</v>
      </c>
      <c r="P1333" s="32">
        <v>1.4330000000000001</v>
      </c>
      <c r="R1333" s="47">
        <v>0.14799999999999999</v>
      </c>
      <c r="S1333" s="32">
        <v>1.948</v>
      </c>
      <c r="T1333" s="31">
        <v>0</v>
      </c>
      <c r="V1333">
        <v>1331</v>
      </c>
      <c r="W1333">
        <v>26</v>
      </c>
      <c r="X1333">
        <v>1.3720000000000001</v>
      </c>
      <c r="Y1333" s="32">
        <v>3.14</v>
      </c>
      <c r="Z1333">
        <v>0</v>
      </c>
      <c r="AA1333" s="32">
        <v>1.36</v>
      </c>
      <c r="AB1333">
        <v>0</v>
      </c>
      <c r="AC1333" s="34">
        <v>0.14299999999999999</v>
      </c>
      <c r="AD1333" s="32">
        <v>1.87</v>
      </c>
    </row>
    <row r="1334" spans="1:30">
      <c r="A1334">
        <v>1332</v>
      </c>
      <c r="B1334">
        <v>27</v>
      </c>
      <c r="C1334">
        <v>1.361</v>
      </c>
      <c r="D1334">
        <v>3.14</v>
      </c>
      <c r="E1334">
        <v>0</v>
      </c>
      <c r="F1334">
        <v>1.4330000000000001</v>
      </c>
      <c r="G1334">
        <v>0</v>
      </c>
      <c r="H1334">
        <v>0.14399999999999999</v>
      </c>
      <c r="I1334">
        <v>2.0249999999999999</v>
      </c>
      <c r="K1334">
        <v>1332</v>
      </c>
      <c r="L1334">
        <v>27</v>
      </c>
      <c r="M1334" s="32">
        <v>1.361</v>
      </c>
      <c r="N1334" s="32">
        <v>3.14</v>
      </c>
      <c r="P1334" s="32">
        <v>1.4330000000000001</v>
      </c>
      <c r="R1334" s="47">
        <v>0.14799999999999999</v>
      </c>
      <c r="S1334" s="47">
        <v>1.95</v>
      </c>
      <c r="T1334" s="31">
        <v>0</v>
      </c>
      <c r="V1334">
        <v>1332</v>
      </c>
      <c r="W1334">
        <v>26</v>
      </c>
      <c r="X1334">
        <v>1.373</v>
      </c>
      <c r="Y1334" s="32">
        <v>3.14</v>
      </c>
      <c r="Z1334">
        <v>0</v>
      </c>
      <c r="AA1334" s="32">
        <v>1.36</v>
      </c>
      <c r="AB1334">
        <v>0</v>
      </c>
      <c r="AC1334" s="34">
        <v>0.14299999999999999</v>
      </c>
      <c r="AD1334" s="32">
        <v>1.8720000000000001</v>
      </c>
    </row>
    <row r="1335" spans="1:30">
      <c r="A1335">
        <v>1333</v>
      </c>
      <c r="B1335">
        <v>27</v>
      </c>
      <c r="C1335">
        <v>1.3620000000000001</v>
      </c>
      <c r="D1335">
        <v>3.14</v>
      </c>
      <c r="E1335">
        <v>0</v>
      </c>
      <c r="F1335">
        <v>1.4330000000000001</v>
      </c>
      <c r="G1335">
        <v>0</v>
      </c>
      <c r="H1335">
        <v>0.14399999999999999</v>
      </c>
      <c r="I1335">
        <v>2.0270000000000001</v>
      </c>
      <c r="K1335">
        <v>1333</v>
      </c>
      <c r="L1335">
        <v>27</v>
      </c>
      <c r="M1335" s="32">
        <v>1.3620000000000001</v>
      </c>
      <c r="N1335" s="32">
        <v>3.14</v>
      </c>
      <c r="P1335" s="47">
        <v>1.4339999999999999</v>
      </c>
      <c r="R1335" s="47">
        <v>0.14799999999999999</v>
      </c>
      <c r="S1335" s="47">
        <v>1.952</v>
      </c>
      <c r="T1335" s="31">
        <v>0</v>
      </c>
      <c r="V1335">
        <v>1333</v>
      </c>
      <c r="W1335">
        <v>26</v>
      </c>
      <c r="X1335">
        <v>1.3740000000000001</v>
      </c>
      <c r="Y1335" s="32">
        <v>3.14</v>
      </c>
      <c r="Z1335">
        <v>0</v>
      </c>
      <c r="AA1335" s="32">
        <v>1.36</v>
      </c>
      <c r="AB1335">
        <v>0</v>
      </c>
      <c r="AC1335" s="34">
        <v>0.14299999999999999</v>
      </c>
      <c r="AD1335" s="32">
        <v>1.8740000000000001</v>
      </c>
    </row>
    <row r="1336" spans="1:30">
      <c r="A1336">
        <v>1334</v>
      </c>
      <c r="B1336">
        <v>27</v>
      </c>
      <c r="C1336">
        <v>1.363</v>
      </c>
      <c r="D1336">
        <v>3.14</v>
      </c>
      <c r="E1336">
        <v>0</v>
      </c>
      <c r="F1336">
        <v>1.4330000000000001</v>
      </c>
      <c r="G1336">
        <v>0</v>
      </c>
      <c r="H1336">
        <v>0.14399999999999999</v>
      </c>
      <c r="I1336">
        <v>2.0289999999999999</v>
      </c>
      <c r="K1336">
        <v>1334</v>
      </c>
      <c r="L1336">
        <v>27</v>
      </c>
      <c r="M1336" s="32">
        <v>1.363</v>
      </c>
      <c r="N1336" s="32">
        <v>3.14</v>
      </c>
      <c r="P1336" s="47">
        <v>1.4339999999999999</v>
      </c>
      <c r="R1336" s="47">
        <v>0.14799999999999999</v>
      </c>
      <c r="S1336" s="47">
        <v>1.954</v>
      </c>
      <c r="T1336" s="31">
        <v>0</v>
      </c>
      <c r="V1336">
        <v>1334</v>
      </c>
      <c r="W1336">
        <v>26</v>
      </c>
      <c r="X1336">
        <v>1.375</v>
      </c>
      <c r="Y1336" s="32">
        <v>3.14</v>
      </c>
      <c r="Z1336">
        <v>0</v>
      </c>
      <c r="AA1336" s="32">
        <v>1.36</v>
      </c>
      <c r="AB1336">
        <v>0</v>
      </c>
      <c r="AC1336" s="34">
        <v>0.14299999999999999</v>
      </c>
      <c r="AD1336" s="32">
        <v>1.875</v>
      </c>
    </row>
    <row r="1337" spans="1:30">
      <c r="A1337">
        <v>1335</v>
      </c>
      <c r="B1337">
        <v>27</v>
      </c>
      <c r="C1337">
        <v>1.3640000000000001</v>
      </c>
      <c r="D1337">
        <v>3.14</v>
      </c>
      <c r="E1337">
        <v>0</v>
      </c>
      <c r="F1337">
        <v>1.4330000000000001</v>
      </c>
      <c r="G1337">
        <v>0</v>
      </c>
      <c r="H1337">
        <v>0.14399999999999999</v>
      </c>
      <c r="I1337">
        <v>2.0310000000000001</v>
      </c>
      <c r="K1337">
        <v>1335</v>
      </c>
      <c r="L1337">
        <v>27</v>
      </c>
      <c r="M1337" s="32">
        <v>1.3640000000000001</v>
      </c>
      <c r="N1337" s="32">
        <v>3.14</v>
      </c>
      <c r="P1337" s="47">
        <v>1.4339999999999999</v>
      </c>
      <c r="R1337" s="47">
        <v>0.14799999999999999</v>
      </c>
      <c r="S1337" s="47">
        <v>1.956</v>
      </c>
      <c r="T1337" s="31">
        <v>0</v>
      </c>
      <c r="V1337">
        <v>1335</v>
      </c>
      <c r="W1337">
        <v>26</v>
      </c>
      <c r="X1337">
        <v>1.3759999999999999</v>
      </c>
      <c r="Y1337" s="32">
        <v>3.14</v>
      </c>
      <c r="Z1337">
        <v>0</v>
      </c>
      <c r="AA1337" s="32">
        <v>1.361</v>
      </c>
      <c r="AB1337">
        <v>0</v>
      </c>
      <c r="AC1337" s="34">
        <v>0.14299999999999999</v>
      </c>
      <c r="AD1337" s="32">
        <v>1.877</v>
      </c>
    </row>
    <row r="1338" spans="1:30">
      <c r="A1338">
        <v>1336</v>
      </c>
      <c r="B1338">
        <v>27</v>
      </c>
      <c r="C1338">
        <v>1.365</v>
      </c>
      <c r="D1338">
        <v>3.14</v>
      </c>
      <c r="E1338">
        <v>0</v>
      </c>
      <c r="F1338">
        <v>1.4330000000000001</v>
      </c>
      <c r="G1338">
        <v>0</v>
      </c>
      <c r="H1338">
        <v>0.14399999999999999</v>
      </c>
      <c r="I1338">
        <v>2.0329999999999999</v>
      </c>
      <c r="K1338">
        <v>1336</v>
      </c>
      <c r="L1338">
        <v>27</v>
      </c>
      <c r="M1338" s="32">
        <v>1.365</v>
      </c>
      <c r="N1338" s="32">
        <v>3.14</v>
      </c>
      <c r="P1338" s="47">
        <v>1.4350000000000001</v>
      </c>
      <c r="R1338" s="47">
        <v>0.14799999999999999</v>
      </c>
      <c r="S1338" s="47">
        <v>1.958</v>
      </c>
      <c r="T1338" s="31">
        <v>0</v>
      </c>
      <c r="V1338">
        <v>1336</v>
      </c>
      <c r="W1338">
        <v>26</v>
      </c>
      <c r="X1338">
        <v>1.377</v>
      </c>
      <c r="Y1338" s="32">
        <v>3.14</v>
      </c>
      <c r="Z1338">
        <v>0</v>
      </c>
      <c r="AA1338" s="32">
        <v>1.361</v>
      </c>
      <c r="AB1338">
        <v>0</v>
      </c>
      <c r="AC1338" s="34">
        <v>0.14299999999999999</v>
      </c>
      <c r="AD1338" s="32">
        <v>1.879</v>
      </c>
    </row>
    <row r="1339" spans="1:30">
      <c r="A1339">
        <v>1337</v>
      </c>
      <c r="B1339">
        <v>27</v>
      </c>
      <c r="C1339">
        <v>1.3660000000000001</v>
      </c>
      <c r="D1339">
        <v>3.14</v>
      </c>
      <c r="E1339">
        <v>0</v>
      </c>
      <c r="F1339">
        <v>1.4330000000000001</v>
      </c>
      <c r="G1339">
        <v>0</v>
      </c>
      <c r="H1339">
        <v>0.14399999999999999</v>
      </c>
      <c r="I1339">
        <v>2.0350000000000001</v>
      </c>
      <c r="K1339">
        <v>1337</v>
      </c>
      <c r="L1339">
        <v>27</v>
      </c>
      <c r="M1339" s="32">
        <v>1.3660000000000001</v>
      </c>
      <c r="N1339" s="32">
        <v>3.14</v>
      </c>
      <c r="P1339" s="47">
        <v>1.4350000000000001</v>
      </c>
      <c r="R1339" s="47">
        <v>0.14799999999999999</v>
      </c>
      <c r="S1339" s="47">
        <v>1.9590000000000001</v>
      </c>
      <c r="T1339" s="31">
        <v>0</v>
      </c>
      <c r="V1339">
        <v>1337</v>
      </c>
      <c r="W1339">
        <v>26</v>
      </c>
      <c r="X1339">
        <v>1.3779999999999999</v>
      </c>
      <c r="Y1339" s="32">
        <v>3.14</v>
      </c>
      <c r="Z1339">
        <v>0</v>
      </c>
      <c r="AA1339" s="32">
        <v>1.361</v>
      </c>
      <c r="AB1339">
        <v>0</v>
      </c>
      <c r="AC1339" s="34">
        <v>0.14299999999999999</v>
      </c>
      <c r="AD1339" s="32">
        <v>1.881</v>
      </c>
    </row>
    <row r="1340" spans="1:30">
      <c r="A1340">
        <v>1338</v>
      </c>
      <c r="B1340">
        <v>27</v>
      </c>
      <c r="C1340">
        <v>1.367</v>
      </c>
      <c r="D1340">
        <v>3.14</v>
      </c>
      <c r="E1340">
        <v>0</v>
      </c>
      <c r="F1340">
        <v>1.4330000000000001</v>
      </c>
      <c r="G1340">
        <v>0</v>
      </c>
      <c r="H1340">
        <v>0.14399999999999999</v>
      </c>
      <c r="I1340">
        <v>2.0369999999999999</v>
      </c>
      <c r="K1340">
        <v>1338</v>
      </c>
      <c r="L1340">
        <v>27</v>
      </c>
      <c r="M1340" s="32">
        <v>1.367</v>
      </c>
      <c r="N1340" s="32">
        <v>3.14</v>
      </c>
      <c r="P1340" s="47">
        <v>1.4350000000000001</v>
      </c>
      <c r="R1340" s="47">
        <v>0.14799999999999999</v>
      </c>
      <c r="S1340" s="47">
        <v>1.9610000000000001</v>
      </c>
      <c r="T1340" s="31">
        <v>0</v>
      </c>
      <c r="V1340">
        <v>1338</v>
      </c>
      <c r="W1340">
        <v>26</v>
      </c>
      <c r="X1340">
        <v>1.379</v>
      </c>
      <c r="Y1340" s="32">
        <v>3.14</v>
      </c>
      <c r="Z1340">
        <v>0</v>
      </c>
      <c r="AA1340" s="32">
        <v>1.361</v>
      </c>
      <c r="AB1340">
        <v>0</v>
      </c>
      <c r="AC1340" s="34">
        <v>0.14299999999999999</v>
      </c>
      <c r="AD1340" s="32">
        <v>1.8819999999999999</v>
      </c>
    </row>
    <row r="1341" spans="1:30">
      <c r="A1341">
        <v>1339</v>
      </c>
      <c r="B1341">
        <v>27</v>
      </c>
      <c r="C1341">
        <v>1.3680000000000001</v>
      </c>
      <c r="D1341">
        <v>3.14</v>
      </c>
      <c r="E1341">
        <v>0</v>
      </c>
      <c r="F1341">
        <v>1.4330000000000001</v>
      </c>
      <c r="G1341">
        <v>0</v>
      </c>
      <c r="H1341">
        <v>0.14399999999999999</v>
      </c>
      <c r="I1341">
        <v>2.0390000000000001</v>
      </c>
      <c r="K1341">
        <v>1339</v>
      </c>
      <c r="L1341">
        <v>27</v>
      </c>
      <c r="M1341" s="32">
        <v>1.3680000000000001</v>
      </c>
      <c r="N1341" s="32">
        <v>3.14</v>
      </c>
      <c r="P1341" s="47">
        <v>1.4350000000000001</v>
      </c>
      <c r="R1341" s="47">
        <v>0.14799999999999999</v>
      </c>
      <c r="S1341" s="47">
        <v>1.9630000000000001</v>
      </c>
      <c r="T1341" s="31">
        <v>0</v>
      </c>
      <c r="V1341">
        <v>1339</v>
      </c>
      <c r="W1341">
        <v>26</v>
      </c>
      <c r="X1341">
        <v>1.38</v>
      </c>
      <c r="Y1341" s="32">
        <v>3.14</v>
      </c>
      <c r="Z1341">
        <v>0</v>
      </c>
      <c r="AA1341" s="32">
        <v>1.361</v>
      </c>
      <c r="AB1341">
        <v>0</v>
      </c>
      <c r="AC1341" s="34">
        <v>0.14299999999999999</v>
      </c>
      <c r="AD1341" s="32">
        <v>1.8839999999999999</v>
      </c>
    </row>
    <row r="1342" spans="1:30">
      <c r="A1342">
        <v>1340</v>
      </c>
      <c r="B1342">
        <v>27</v>
      </c>
      <c r="C1342">
        <v>1.369</v>
      </c>
      <c r="D1342">
        <v>3.14</v>
      </c>
      <c r="E1342">
        <v>0</v>
      </c>
      <c r="F1342">
        <v>1.4330000000000001</v>
      </c>
      <c r="G1342">
        <v>0</v>
      </c>
      <c r="H1342">
        <v>0.14399999999999999</v>
      </c>
      <c r="I1342">
        <v>2.04</v>
      </c>
      <c r="K1342">
        <v>1340</v>
      </c>
      <c r="L1342">
        <v>27</v>
      </c>
      <c r="M1342" s="32">
        <v>1.369</v>
      </c>
      <c r="N1342" s="32">
        <v>3.14</v>
      </c>
      <c r="P1342" s="47">
        <v>1.4359999999999999</v>
      </c>
      <c r="R1342" s="47">
        <v>0.14799999999999999</v>
      </c>
      <c r="S1342" s="47">
        <v>1.9650000000000001</v>
      </c>
      <c r="T1342" s="31">
        <v>0</v>
      </c>
      <c r="V1342">
        <v>1340</v>
      </c>
      <c r="W1342">
        <v>26</v>
      </c>
      <c r="X1342">
        <v>1.381</v>
      </c>
      <c r="Y1342" s="32">
        <v>3.14</v>
      </c>
      <c r="Z1342">
        <v>0</v>
      </c>
      <c r="AA1342" s="32">
        <v>1.3620000000000001</v>
      </c>
      <c r="AB1342">
        <v>0</v>
      </c>
      <c r="AC1342" s="34">
        <v>0.14299999999999999</v>
      </c>
      <c r="AD1342" s="32">
        <v>1.8859999999999999</v>
      </c>
    </row>
    <row r="1343" spans="1:30">
      <c r="A1343">
        <v>1341</v>
      </c>
      <c r="B1343">
        <v>27</v>
      </c>
      <c r="C1343">
        <v>1.37</v>
      </c>
      <c r="D1343">
        <v>3.14</v>
      </c>
      <c r="E1343">
        <v>0</v>
      </c>
      <c r="F1343">
        <v>1.4359999999999999</v>
      </c>
      <c r="G1343">
        <v>0</v>
      </c>
      <c r="H1343">
        <v>0.14399999999999999</v>
      </c>
      <c r="I1343">
        <v>1.9670000000000001</v>
      </c>
      <c r="K1343">
        <v>1341</v>
      </c>
      <c r="L1343">
        <v>27</v>
      </c>
      <c r="M1343" s="32">
        <v>1.37</v>
      </c>
      <c r="N1343" s="32">
        <v>3.14</v>
      </c>
      <c r="P1343" s="32">
        <v>1.4359999999999999</v>
      </c>
      <c r="R1343" s="47">
        <v>0.14799999999999999</v>
      </c>
      <c r="S1343" s="32">
        <v>1.9670000000000001</v>
      </c>
      <c r="T1343" s="31">
        <v>0</v>
      </c>
      <c r="V1343">
        <v>1341</v>
      </c>
      <c r="W1343">
        <v>26</v>
      </c>
      <c r="X1343">
        <v>1.3819999999999999</v>
      </c>
      <c r="Y1343" s="32">
        <v>3.14</v>
      </c>
      <c r="Z1343">
        <v>0</v>
      </c>
      <c r="AA1343" s="32">
        <v>1.3620000000000001</v>
      </c>
      <c r="AB1343">
        <v>0</v>
      </c>
      <c r="AC1343" s="34">
        <v>0.14299999999999999</v>
      </c>
      <c r="AD1343" s="32">
        <v>1.887</v>
      </c>
    </row>
    <row r="1344" spans="1:30">
      <c r="A1344">
        <v>1342</v>
      </c>
      <c r="B1344">
        <v>27</v>
      </c>
      <c r="C1344">
        <v>1.371</v>
      </c>
      <c r="D1344">
        <v>3.14</v>
      </c>
      <c r="E1344">
        <v>0</v>
      </c>
      <c r="F1344">
        <v>1.4359999999999999</v>
      </c>
      <c r="G1344">
        <v>0</v>
      </c>
      <c r="H1344">
        <v>0.14399999999999999</v>
      </c>
      <c r="I1344">
        <v>2.0630000000000002</v>
      </c>
      <c r="K1344">
        <v>1342</v>
      </c>
      <c r="L1344">
        <v>27</v>
      </c>
      <c r="M1344" s="32">
        <v>1.371</v>
      </c>
      <c r="N1344" s="32">
        <v>3.14</v>
      </c>
      <c r="P1344" s="32">
        <v>1.4359999999999999</v>
      </c>
      <c r="R1344" s="47">
        <v>0.14799999999999999</v>
      </c>
      <c r="S1344" s="47">
        <v>1.9690000000000001</v>
      </c>
      <c r="T1344" s="31">
        <v>0</v>
      </c>
      <c r="V1344">
        <v>1342</v>
      </c>
      <c r="W1344">
        <v>26</v>
      </c>
      <c r="X1344">
        <v>1.383</v>
      </c>
      <c r="Y1344" s="32">
        <v>3.14</v>
      </c>
      <c r="Z1344">
        <v>0</v>
      </c>
      <c r="AA1344" s="32">
        <v>1.3620000000000001</v>
      </c>
      <c r="AB1344">
        <v>0</v>
      </c>
      <c r="AC1344" s="34">
        <v>0.14299999999999999</v>
      </c>
      <c r="AD1344" s="32">
        <v>1.889</v>
      </c>
    </row>
    <row r="1345" spans="1:30">
      <c r="A1345">
        <v>1343</v>
      </c>
      <c r="B1345">
        <v>27</v>
      </c>
      <c r="C1345">
        <v>1.3720000000000001</v>
      </c>
      <c r="D1345">
        <v>3.14</v>
      </c>
      <c r="E1345">
        <v>0</v>
      </c>
      <c r="F1345">
        <v>1.4359999999999999</v>
      </c>
      <c r="G1345">
        <v>0</v>
      </c>
      <c r="H1345">
        <v>0.14399999999999999</v>
      </c>
      <c r="I1345">
        <v>2.0649999999999999</v>
      </c>
      <c r="K1345">
        <v>1343</v>
      </c>
      <c r="L1345">
        <v>27</v>
      </c>
      <c r="M1345" s="32">
        <v>1.3720000000000001</v>
      </c>
      <c r="N1345" s="32">
        <v>3.14</v>
      </c>
      <c r="P1345" s="47">
        <v>1.4370000000000001</v>
      </c>
      <c r="R1345" s="47">
        <v>0.14899999999999999</v>
      </c>
      <c r="S1345" s="47">
        <v>1.9710000000000001</v>
      </c>
      <c r="T1345" s="31">
        <v>0</v>
      </c>
      <c r="V1345">
        <v>1343</v>
      </c>
      <c r="W1345">
        <v>26</v>
      </c>
      <c r="X1345">
        <v>1.3839999999999999</v>
      </c>
      <c r="Y1345" s="32">
        <v>3.14</v>
      </c>
      <c r="Z1345">
        <v>0</v>
      </c>
      <c r="AA1345" s="32">
        <v>1.3620000000000001</v>
      </c>
      <c r="AB1345">
        <v>0</v>
      </c>
      <c r="AC1345" s="34">
        <v>0.14399999999999999</v>
      </c>
      <c r="AD1345" s="32">
        <v>1.891</v>
      </c>
    </row>
    <row r="1346" spans="1:30">
      <c r="A1346">
        <v>1344</v>
      </c>
      <c r="B1346">
        <v>27</v>
      </c>
      <c r="C1346">
        <v>1.373</v>
      </c>
      <c r="D1346">
        <v>3.14</v>
      </c>
      <c r="E1346">
        <v>0</v>
      </c>
      <c r="F1346">
        <v>1.4359999999999999</v>
      </c>
      <c r="G1346">
        <v>0</v>
      </c>
      <c r="H1346">
        <v>0.14399999999999999</v>
      </c>
      <c r="I1346">
        <v>2.0670000000000002</v>
      </c>
      <c r="K1346">
        <v>1344</v>
      </c>
      <c r="L1346">
        <v>27</v>
      </c>
      <c r="M1346" s="32">
        <v>1.373</v>
      </c>
      <c r="N1346" s="32">
        <v>3.14</v>
      </c>
      <c r="P1346" s="47">
        <v>1.4370000000000001</v>
      </c>
      <c r="R1346" s="47">
        <v>0.14899999999999999</v>
      </c>
      <c r="S1346" s="47">
        <v>1.9730000000000001</v>
      </c>
      <c r="T1346" s="31">
        <v>0</v>
      </c>
      <c r="V1346">
        <v>1344</v>
      </c>
      <c r="W1346">
        <v>26</v>
      </c>
      <c r="X1346">
        <v>1.385</v>
      </c>
      <c r="Y1346" s="32">
        <v>3.14</v>
      </c>
      <c r="Z1346">
        <v>0</v>
      </c>
      <c r="AA1346" s="32">
        <v>1.3620000000000001</v>
      </c>
      <c r="AB1346">
        <v>0</v>
      </c>
      <c r="AC1346" s="34">
        <v>0.14399999999999999</v>
      </c>
      <c r="AD1346" s="32">
        <v>1.893</v>
      </c>
    </row>
    <row r="1347" spans="1:30">
      <c r="A1347">
        <v>1345</v>
      </c>
      <c r="B1347">
        <v>27</v>
      </c>
      <c r="C1347">
        <v>1.3740000000000001</v>
      </c>
      <c r="D1347">
        <v>3.14</v>
      </c>
      <c r="E1347">
        <v>0</v>
      </c>
      <c r="F1347">
        <v>1.4359999999999999</v>
      </c>
      <c r="G1347">
        <v>0</v>
      </c>
      <c r="H1347">
        <v>0.14399999999999999</v>
      </c>
      <c r="I1347">
        <v>2.069</v>
      </c>
      <c r="K1347">
        <v>1345</v>
      </c>
      <c r="L1347">
        <v>27</v>
      </c>
      <c r="M1347" s="32">
        <v>1.3740000000000001</v>
      </c>
      <c r="N1347" s="32">
        <v>3.14</v>
      </c>
      <c r="P1347" s="47">
        <v>1.4370000000000001</v>
      </c>
      <c r="R1347" s="47">
        <v>0.14899999999999999</v>
      </c>
      <c r="S1347" s="47">
        <v>1.9750000000000001</v>
      </c>
      <c r="T1347" s="31">
        <v>0</v>
      </c>
      <c r="V1347">
        <v>1345</v>
      </c>
      <c r="W1347">
        <v>26</v>
      </c>
      <c r="X1347">
        <v>1.3859999999999999</v>
      </c>
      <c r="Y1347" s="32">
        <v>3.14</v>
      </c>
      <c r="Z1347">
        <v>0</v>
      </c>
      <c r="AA1347" s="32">
        <v>1.363</v>
      </c>
      <c r="AB1347">
        <v>0</v>
      </c>
      <c r="AC1347" s="34">
        <v>0.14399999999999999</v>
      </c>
      <c r="AD1347" s="32">
        <v>1.8939999999999999</v>
      </c>
    </row>
    <row r="1348" spans="1:30">
      <c r="A1348">
        <v>1346</v>
      </c>
      <c r="B1348">
        <v>27</v>
      </c>
      <c r="C1348">
        <v>1.375</v>
      </c>
      <c r="D1348">
        <v>3.14</v>
      </c>
      <c r="E1348">
        <v>0</v>
      </c>
      <c r="F1348">
        <v>1.4359999999999999</v>
      </c>
      <c r="G1348">
        <v>0</v>
      </c>
      <c r="H1348">
        <v>0.14399999999999999</v>
      </c>
      <c r="I1348">
        <v>2.0710000000000002</v>
      </c>
      <c r="K1348">
        <v>1346</v>
      </c>
      <c r="L1348">
        <v>27</v>
      </c>
      <c r="M1348" s="32">
        <v>1.375</v>
      </c>
      <c r="N1348" s="32">
        <v>3.14</v>
      </c>
      <c r="P1348" s="47">
        <v>1.4379999999999999</v>
      </c>
      <c r="R1348" s="47">
        <v>0.14899999999999999</v>
      </c>
      <c r="S1348" s="47">
        <v>1.9770000000000001</v>
      </c>
      <c r="T1348" s="31">
        <v>0</v>
      </c>
      <c r="V1348">
        <v>1346</v>
      </c>
      <c r="W1348">
        <v>26</v>
      </c>
      <c r="X1348">
        <v>1.387</v>
      </c>
      <c r="Y1348" s="32">
        <v>3.14</v>
      </c>
      <c r="Z1348">
        <v>0</v>
      </c>
      <c r="AA1348" s="32">
        <v>1.363</v>
      </c>
      <c r="AB1348">
        <v>0</v>
      </c>
      <c r="AC1348" s="34">
        <v>0.14399999999999999</v>
      </c>
      <c r="AD1348" s="32">
        <v>1.8959999999999999</v>
      </c>
    </row>
    <row r="1349" spans="1:30">
      <c r="A1349">
        <v>1347</v>
      </c>
      <c r="B1349">
        <v>27</v>
      </c>
      <c r="C1349">
        <v>1.3759999999999999</v>
      </c>
      <c r="D1349">
        <v>3.14</v>
      </c>
      <c r="E1349">
        <v>0</v>
      </c>
      <c r="F1349">
        <v>1.4359999999999999</v>
      </c>
      <c r="G1349">
        <v>0</v>
      </c>
      <c r="H1349">
        <v>0.14399999999999999</v>
      </c>
      <c r="I1349">
        <v>2.073</v>
      </c>
      <c r="K1349">
        <v>1347</v>
      </c>
      <c r="L1349">
        <v>27</v>
      </c>
      <c r="M1349" s="32">
        <v>1.3759999999999999</v>
      </c>
      <c r="N1349" s="32">
        <v>3.14</v>
      </c>
      <c r="P1349" s="47">
        <v>1.4379999999999999</v>
      </c>
      <c r="R1349" s="47">
        <v>0.14899999999999999</v>
      </c>
      <c r="S1349" s="47">
        <v>1.978</v>
      </c>
      <c r="T1349" s="31">
        <v>0</v>
      </c>
      <c r="V1349">
        <v>1347</v>
      </c>
      <c r="W1349">
        <v>26</v>
      </c>
      <c r="X1349">
        <v>1.3879999999999999</v>
      </c>
      <c r="Y1349" s="32">
        <v>3.14</v>
      </c>
      <c r="Z1349">
        <v>0</v>
      </c>
      <c r="AA1349" s="32">
        <v>1.363</v>
      </c>
      <c r="AB1349">
        <v>0</v>
      </c>
      <c r="AC1349" s="34">
        <v>0.14399999999999999</v>
      </c>
      <c r="AD1349" s="32">
        <v>1.8979999999999999</v>
      </c>
    </row>
    <row r="1350" spans="1:30">
      <c r="A1350">
        <v>1348</v>
      </c>
      <c r="B1350">
        <v>27</v>
      </c>
      <c r="C1350">
        <v>1.377</v>
      </c>
      <c r="D1350">
        <v>3.14</v>
      </c>
      <c r="E1350">
        <v>0</v>
      </c>
      <c r="F1350">
        <v>1.4359999999999999</v>
      </c>
      <c r="G1350">
        <v>0</v>
      </c>
      <c r="H1350">
        <v>0.14399999999999999</v>
      </c>
      <c r="I1350">
        <v>2.0750000000000002</v>
      </c>
      <c r="K1350">
        <v>1348</v>
      </c>
      <c r="L1350">
        <v>27</v>
      </c>
      <c r="M1350" s="32">
        <v>1.377</v>
      </c>
      <c r="N1350" s="32">
        <v>3.14</v>
      </c>
      <c r="P1350" s="47">
        <v>1.4379999999999999</v>
      </c>
      <c r="R1350" s="47">
        <v>0.14899999999999999</v>
      </c>
      <c r="S1350" s="47">
        <v>1.98</v>
      </c>
      <c r="T1350" s="31">
        <v>0</v>
      </c>
      <c r="V1350">
        <v>1348</v>
      </c>
      <c r="W1350">
        <v>26</v>
      </c>
      <c r="X1350">
        <v>1.389</v>
      </c>
      <c r="Y1350" s="32">
        <v>3.14</v>
      </c>
      <c r="Z1350">
        <v>0</v>
      </c>
      <c r="AA1350" s="32">
        <v>1.363</v>
      </c>
      <c r="AB1350">
        <v>0</v>
      </c>
      <c r="AC1350" s="34">
        <v>0.14399999999999999</v>
      </c>
      <c r="AD1350" s="32">
        <v>1.9</v>
      </c>
    </row>
    <row r="1351" spans="1:30">
      <c r="A1351">
        <v>1349</v>
      </c>
      <c r="B1351">
        <v>27</v>
      </c>
      <c r="C1351">
        <v>1.3779999999999999</v>
      </c>
      <c r="D1351">
        <v>3.14</v>
      </c>
      <c r="E1351">
        <v>0</v>
      </c>
      <c r="F1351">
        <v>1.4359999999999999</v>
      </c>
      <c r="G1351">
        <v>0</v>
      </c>
      <c r="H1351">
        <v>0.14399999999999999</v>
      </c>
      <c r="I1351">
        <v>2.0760000000000001</v>
      </c>
      <c r="K1351">
        <v>1349</v>
      </c>
      <c r="L1351">
        <v>27</v>
      </c>
      <c r="M1351" s="32">
        <v>1.3779999999999999</v>
      </c>
      <c r="N1351" s="32">
        <v>3.14</v>
      </c>
      <c r="P1351" s="47">
        <v>1.4379999999999999</v>
      </c>
      <c r="R1351" s="47">
        <v>0.14899999999999999</v>
      </c>
      <c r="S1351" s="47">
        <v>1.982</v>
      </c>
      <c r="T1351" s="31">
        <v>0</v>
      </c>
      <c r="V1351">
        <v>1349</v>
      </c>
      <c r="W1351">
        <v>26</v>
      </c>
      <c r="X1351">
        <v>1.39</v>
      </c>
      <c r="Y1351" s="32">
        <v>3.14</v>
      </c>
      <c r="Z1351">
        <v>0</v>
      </c>
      <c r="AA1351" s="32">
        <v>1.363</v>
      </c>
      <c r="AB1351">
        <v>0</v>
      </c>
      <c r="AC1351" s="34">
        <v>0.14399999999999999</v>
      </c>
      <c r="AD1351" s="32">
        <v>1.901</v>
      </c>
    </row>
    <row r="1352" spans="1:30">
      <c r="A1352">
        <v>1350</v>
      </c>
      <c r="B1352">
        <v>27</v>
      </c>
      <c r="C1352">
        <v>1.379</v>
      </c>
      <c r="D1352">
        <v>3.14</v>
      </c>
      <c r="E1352">
        <v>0</v>
      </c>
      <c r="F1352">
        <v>1.4359999999999999</v>
      </c>
      <c r="G1352">
        <v>0</v>
      </c>
      <c r="H1352">
        <v>0.14399999999999999</v>
      </c>
      <c r="I1352">
        <v>2.0779999999999998</v>
      </c>
      <c r="K1352">
        <v>1350</v>
      </c>
      <c r="L1352">
        <v>27</v>
      </c>
      <c r="M1352" s="32">
        <v>1.379</v>
      </c>
      <c r="N1352" s="32">
        <v>3.14</v>
      </c>
      <c r="P1352" s="47">
        <v>1.4390000000000001</v>
      </c>
      <c r="R1352" s="47">
        <v>0.14899999999999999</v>
      </c>
      <c r="S1352" s="47">
        <v>1.984</v>
      </c>
      <c r="T1352" s="31">
        <v>0</v>
      </c>
      <c r="V1352">
        <v>1350</v>
      </c>
      <c r="W1352">
        <v>26</v>
      </c>
      <c r="X1352">
        <v>1.391</v>
      </c>
      <c r="Y1352" s="32">
        <v>3.1509999999999998</v>
      </c>
      <c r="Z1352">
        <v>0</v>
      </c>
      <c r="AA1352" s="32">
        <v>1.3640000000000001</v>
      </c>
      <c r="AB1352">
        <v>0</v>
      </c>
      <c r="AC1352" s="34">
        <v>0.14399999999999999</v>
      </c>
      <c r="AD1352" s="32">
        <v>1.903</v>
      </c>
    </row>
    <row r="1353" spans="1:30">
      <c r="A1353">
        <v>1351</v>
      </c>
      <c r="B1353">
        <v>27</v>
      </c>
      <c r="C1353">
        <v>1.38</v>
      </c>
      <c r="D1353">
        <v>3.14</v>
      </c>
      <c r="E1353">
        <v>0</v>
      </c>
      <c r="F1353">
        <v>1.4390000000000001</v>
      </c>
      <c r="G1353">
        <v>0</v>
      </c>
      <c r="H1353">
        <v>0.14399999999999999</v>
      </c>
      <c r="I1353">
        <v>2.0990000000000002</v>
      </c>
      <c r="K1353">
        <v>1351</v>
      </c>
      <c r="L1353">
        <v>27</v>
      </c>
      <c r="M1353" s="32">
        <v>1.38</v>
      </c>
      <c r="N1353" s="32">
        <v>3.14</v>
      </c>
      <c r="P1353" s="32">
        <v>1.4390000000000001</v>
      </c>
      <c r="R1353" s="47">
        <v>0.14899999999999999</v>
      </c>
      <c r="S1353" s="47">
        <v>1.986</v>
      </c>
      <c r="T1353" s="31">
        <v>0</v>
      </c>
      <c r="V1353">
        <v>1351</v>
      </c>
      <c r="W1353">
        <v>26</v>
      </c>
      <c r="X1353">
        <v>1.3919999999999999</v>
      </c>
      <c r="Y1353" s="32">
        <v>3.1619999999999999</v>
      </c>
      <c r="Z1353">
        <v>0</v>
      </c>
      <c r="AA1353" s="32">
        <v>1.3640000000000001</v>
      </c>
      <c r="AB1353">
        <v>0</v>
      </c>
      <c r="AC1353" s="34">
        <v>0.14399999999999999</v>
      </c>
      <c r="AD1353" s="32">
        <v>1.905</v>
      </c>
    </row>
    <row r="1354" spans="1:30">
      <c r="A1354">
        <v>1352</v>
      </c>
      <c r="B1354">
        <v>27</v>
      </c>
      <c r="C1354">
        <v>1.381</v>
      </c>
      <c r="D1354">
        <v>3.14</v>
      </c>
      <c r="E1354">
        <v>0</v>
      </c>
      <c r="F1354">
        <v>1.4390000000000001</v>
      </c>
      <c r="G1354">
        <v>0</v>
      </c>
      <c r="H1354">
        <v>0.14399999999999999</v>
      </c>
      <c r="I1354">
        <v>2.101</v>
      </c>
      <c r="K1354">
        <v>1352</v>
      </c>
      <c r="L1354">
        <v>27</v>
      </c>
      <c r="M1354" s="32">
        <v>1.381</v>
      </c>
      <c r="N1354" s="32">
        <v>3.14</v>
      </c>
      <c r="P1354" s="32">
        <v>1.4390000000000001</v>
      </c>
      <c r="R1354" s="47">
        <v>0.14899999999999999</v>
      </c>
      <c r="S1354" s="47">
        <v>1.988</v>
      </c>
      <c r="T1354" s="31">
        <v>0</v>
      </c>
      <c r="V1354">
        <v>1352</v>
      </c>
      <c r="W1354">
        <v>26</v>
      </c>
      <c r="X1354">
        <v>1.393</v>
      </c>
      <c r="Y1354" s="32">
        <v>3.173</v>
      </c>
      <c r="Z1354">
        <v>0</v>
      </c>
      <c r="AA1354" s="32">
        <v>1.3640000000000001</v>
      </c>
      <c r="AB1354">
        <v>0</v>
      </c>
      <c r="AC1354" s="34">
        <v>0.14399999999999999</v>
      </c>
      <c r="AD1354" s="32">
        <v>1.907</v>
      </c>
    </row>
    <row r="1355" spans="1:30">
      <c r="A1355">
        <v>1353</v>
      </c>
      <c r="B1355">
        <v>27</v>
      </c>
      <c r="C1355">
        <v>1.3819999999999999</v>
      </c>
      <c r="D1355">
        <v>3.14</v>
      </c>
      <c r="E1355">
        <v>0</v>
      </c>
      <c r="F1355">
        <v>1.4390000000000001</v>
      </c>
      <c r="G1355">
        <v>0</v>
      </c>
      <c r="H1355">
        <v>0.14399999999999999</v>
      </c>
      <c r="I1355">
        <v>2.1030000000000002</v>
      </c>
      <c r="K1355">
        <v>1353</v>
      </c>
      <c r="L1355">
        <v>27</v>
      </c>
      <c r="M1355" s="32">
        <v>1.3819999999999999</v>
      </c>
      <c r="N1355" s="32">
        <v>3.14</v>
      </c>
      <c r="P1355" s="47">
        <v>1.44</v>
      </c>
      <c r="R1355" s="47">
        <v>0.14899999999999999</v>
      </c>
      <c r="S1355" s="47">
        <v>1.99</v>
      </c>
      <c r="T1355" s="31">
        <v>0</v>
      </c>
      <c r="V1355">
        <v>1353</v>
      </c>
      <c r="W1355">
        <v>26</v>
      </c>
      <c r="X1355">
        <v>1.3939999999999999</v>
      </c>
      <c r="Y1355" s="32">
        <v>3.1840000000000002</v>
      </c>
      <c r="Z1355">
        <v>0</v>
      </c>
      <c r="AA1355" s="32">
        <v>1.3640000000000001</v>
      </c>
      <c r="AB1355">
        <v>0</v>
      </c>
      <c r="AC1355" s="34">
        <v>0.14399999999999999</v>
      </c>
      <c r="AD1355" s="32">
        <v>1.9079999999999999</v>
      </c>
    </row>
    <row r="1356" spans="1:30">
      <c r="A1356">
        <v>1354</v>
      </c>
      <c r="B1356">
        <v>27</v>
      </c>
      <c r="C1356">
        <v>1.383</v>
      </c>
      <c r="D1356">
        <v>3.14</v>
      </c>
      <c r="E1356">
        <v>0</v>
      </c>
      <c r="F1356">
        <v>1.4390000000000001</v>
      </c>
      <c r="G1356">
        <v>0</v>
      </c>
      <c r="H1356">
        <v>0.14399999999999999</v>
      </c>
      <c r="I1356">
        <v>2.105</v>
      </c>
      <c r="K1356">
        <v>1354</v>
      </c>
      <c r="L1356">
        <v>27</v>
      </c>
      <c r="M1356" s="32">
        <v>1.383</v>
      </c>
      <c r="N1356" s="32">
        <v>3.14</v>
      </c>
      <c r="P1356" s="47">
        <v>1.44</v>
      </c>
      <c r="R1356" s="47">
        <v>0.15</v>
      </c>
      <c r="S1356" s="47">
        <v>1.992</v>
      </c>
      <c r="T1356" s="31">
        <v>0</v>
      </c>
      <c r="V1356">
        <v>1354</v>
      </c>
      <c r="W1356">
        <v>26</v>
      </c>
      <c r="X1356">
        <v>1.395</v>
      </c>
      <c r="Y1356" s="32">
        <v>3.1949999999999998</v>
      </c>
      <c r="Z1356">
        <v>0</v>
      </c>
      <c r="AA1356" s="32">
        <v>1.3640000000000001</v>
      </c>
      <c r="AB1356">
        <v>0</v>
      </c>
      <c r="AC1356" s="34">
        <v>0.14399999999999999</v>
      </c>
      <c r="AD1356" s="32">
        <v>1.91</v>
      </c>
    </row>
    <row r="1357" spans="1:30">
      <c r="A1357">
        <v>1355</v>
      </c>
      <c r="B1357">
        <v>27</v>
      </c>
      <c r="C1357">
        <v>1.3839999999999999</v>
      </c>
      <c r="D1357">
        <v>3.14</v>
      </c>
      <c r="E1357">
        <v>0</v>
      </c>
      <c r="F1357">
        <v>1.4390000000000001</v>
      </c>
      <c r="G1357">
        <v>0</v>
      </c>
      <c r="H1357">
        <v>0.14399999999999999</v>
      </c>
      <c r="I1357">
        <v>2.1070000000000002</v>
      </c>
      <c r="K1357">
        <v>1355</v>
      </c>
      <c r="L1357">
        <v>27</v>
      </c>
      <c r="M1357" s="32">
        <v>1.3839999999999999</v>
      </c>
      <c r="N1357" s="32">
        <v>3.14</v>
      </c>
      <c r="P1357" s="47">
        <v>1.4410000000000001</v>
      </c>
      <c r="R1357" s="47">
        <v>0.15</v>
      </c>
      <c r="S1357" s="47">
        <v>1.994</v>
      </c>
      <c r="T1357" s="31">
        <v>0</v>
      </c>
      <c r="V1357">
        <v>1355</v>
      </c>
      <c r="W1357">
        <v>26</v>
      </c>
      <c r="X1357">
        <v>1.3959999999999999</v>
      </c>
      <c r="Y1357" s="32">
        <v>3.206</v>
      </c>
      <c r="Z1357">
        <v>0</v>
      </c>
      <c r="AA1357" s="32">
        <v>1.365</v>
      </c>
      <c r="AB1357">
        <v>0</v>
      </c>
      <c r="AC1357" s="34">
        <v>0.14499999999999999</v>
      </c>
      <c r="AD1357" s="32">
        <v>1.9119999999999999</v>
      </c>
    </row>
    <row r="1358" spans="1:30">
      <c r="A1358">
        <v>1356</v>
      </c>
      <c r="B1358">
        <v>27</v>
      </c>
      <c r="C1358">
        <v>1.385</v>
      </c>
      <c r="D1358">
        <v>3.14</v>
      </c>
      <c r="E1358">
        <v>0</v>
      </c>
      <c r="F1358">
        <v>1.4390000000000001</v>
      </c>
      <c r="G1358">
        <v>0</v>
      </c>
      <c r="H1358">
        <v>0.14399999999999999</v>
      </c>
      <c r="I1358">
        <v>2.109</v>
      </c>
      <c r="K1358">
        <v>1356</v>
      </c>
      <c r="L1358">
        <v>27</v>
      </c>
      <c r="M1358" s="32">
        <v>1.385</v>
      </c>
      <c r="N1358" s="32">
        <v>3.14</v>
      </c>
      <c r="P1358" s="47">
        <v>1.4410000000000001</v>
      </c>
      <c r="R1358" s="47">
        <v>0.15</v>
      </c>
      <c r="S1358" s="47">
        <v>1.996</v>
      </c>
      <c r="T1358" s="31">
        <v>0</v>
      </c>
      <c r="V1358">
        <v>1356</v>
      </c>
      <c r="W1358">
        <v>26</v>
      </c>
      <c r="X1358">
        <v>1.397</v>
      </c>
      <c r="Y1358" s="32">
        <v>3.2170000000000001</v>
      </c>
      <c r="Z1358">
        <v>0</v>
      </c>
      <c r="AA1358" s="32">
        <v>1.365</v>
      </c>
      <c r="AB1358">
        <v>0</v>
      </c>
      <c r="AC1358" s="34">
        <v>0.14499999999999999</v>
      </c>
      <c r="AD1358" s="32">
        <v>1.9139999999999999</v>
      </c>
    </row>
    <row r="1359" spans="1:30">
      <c r="A1359">
        <v>1357</v>
      </c>
      <c r="B1359">
        <v>27</v>
      </c>
      <c r="C1359">
        <v>1.3859999999999999</v>
      </c>
      <c r="D1359">
        <v>3.14</v>
      </c>
      <c r="E1359">
        <v>0</v>
      </c>
      <c r="F1359">
        <v>1.4390000000000001</v>
      </c>
      <c r="G1359">
        <v>0</v>
      </c>
      <c r="H1359">
        <v>0.14399999999999999</v>
      </c>
      <c r="I1359">
        <v>2.1110000000000002</v>
      </c>
      <c r="K1359">
        <v>1357</v>
      </c>
      <c r="L1359">
        <v>27</v>
      </c>
      <c r="M1359" s="32">
        <v>1.3859999999999999</v>
      </c>
      <c r="N1359" s="32">
        <v>3.14</v>
      </c>
      <c r="P1359" s="47">
        <v>1.4410000000000001</v>
      </c>
      <c r="R1359" s="47">
        <v>0.15</v>
      </c>
      <c r="S1359" s="47">
        <v>1.9970000000000001</v>
      </c>
      <c r="T1359" s="31">
        <v>0</v>
      </c>
      <c r="V1359">
        <v>1357</v>
      </c>
      <c r="W1359">
        <v>26</v>
      </c>
      <c r="X1359">
        <v>1.3979999999999999</v>
      </c>
      <c r="Y1359" s="32">
        <v>3.2280000000000002</v>
      </c>
      <c r="Z1359">
        <v>0</v>
      </c>
      <c r="AA1359" s="32">
        <v>1.365</v>
      </c>
      <c r="AB1359">
        <v>0</v>
      </c>
      <c r="AC1359" s="34">
        <v>0.14499999999999999</v>
      </c>
      <c r="AD1359" s="32">
        <v>1.915</v>
      </c>
    </row>
    <row r="1360" spans="1:30">
      <c r="A1360">
        <v>1358</v>
      </c>
      <c r="B1360">
        <v>27</v>
      </c>
      <c r="C1360">
        <v>1.387</v>
      </c>
      <c r="D1360">
        <v>3.14</v>
      </c>
      <c r="E1360">
        <v>0</v>
      </c>
      <c r="F1360">
        <v>1.4390000000000001</v>
      </c>
      <c r="G1360">
        <v>0</v>
      </c>
      <c r="H1360">
        <v>0.14399999999999999</v>
      </c>
      <c r="I1360">
        <v>2.1120000000000001</v>
      </c>
      <c r="K1360">
        <v>1358</v>
      </c>
      <c r="L1360">
        <v>27</v>
      </c>
      <c r="M1360" s="32">
        <v>1.387</v>
      </c>
      <c r="N1360" s="32">
        <v>3.14</v>
      </c>
      <c r="P1360" s="47">
        <v>1.4419999999999999</v>
      </c>
      <c r="R1360" s="47">
        <v>0.15</v>
      </c>
      <c r="S1360" s="47">
        <v>1.9990000000000001</v>
      </c>
      <c r="T1360" s="31">
        <v>0</v>
      </c>
      <c r="V1360">
        <v>1358</v>
      </c>
      <c r="W1360">
        <v>26</v>
      </c>
      <c r="X1360">
        <v>1.399</v>
      </c>
      <c r="Y1360" s="32">
        <v>3.2389999999999999</v>
      </c>
      <c r="Z1360">
        <v>0</v>
      </c>
      <c r="AA1360" s="32">
        <v>1.365</v>
      </c>
      <c r="AB1360">
        <v>0</v>
      </c>
      <c r="AC1360" s="34">
        <v>0.14499999999999999</v>
      </c>
      <c r="AD1360" s="32">
        <v>1.917</v>
      </c>
    </row>
    <row r="1361" spans="1:30">
      <c r="A1361">
        <v>1359</v>
      </c>
      <c r="B1361">
        <v>27</v>
      </c>
      <c r="C1361">
        <v>1.3879999999999999</v>
      </c>
      <c r="D1361">
        <v>3.14</v>
      </c>
      <c r="E1361">
        <v>0</v>
      </c>
      <c r="F1361">
        <v>1.4390000000000001</v>
      </c>
      <c r="G1361">
        <v>0</v>
      </c>
      <c r="H1361">
        <v>0.14399999999999999</v>
      </c>
      <c r="I1361">
        <v>2.1139999999999999</v>
      </c>
      <c r="K1361">
        <v>1359</v>
      </c>
      <c r="L1361">
        <v>27</v>
      </c>
      <c r="M1361" s="32">
        <v>1.3879999999999999</v>
      </c>
      <c r="N1361" s="32">
        <v>3.14</v>
      </c>
      <c r="P1361" s="47">
        <v>1.4419999999999999</v>
      </c>
      <c r="R1361" s="47">
        <v>0.15</v>
      </c>
      <c r="S1361" s="47">
        <v>2.0009999999999999</v>
      </c>
      <c r="T1361" s="31">
        <v>0</v>
      </c>
      <c r="V1361">
        <v>1359</v>
      </c>
      <c r="W1361">
        <v>26</v>
      </c>
      <c r="X1361">
        <v>1.4</v>
      </c>
      <c r="Y1361" s="32">
        <v>3.25</v>
      </c>
      <c r="Z1361">
        <v>0</v>
      </c>
      <c r="AA1361" s="32">
        <v>1.365</v>
      </c>
      <c r="AB1361">
        <v>0</v>
      </c>
      <c r="AC1361" s="34">
        <v>0.14499999999999999</v>
      </c>
      <c r="AD1361" s="32">
        <v>1.919</v>
      </c>
    </row>
    <row r="1362" spans="1:30">
      <c r="A1362">
        <v>1360</v>
      </c>
      <c r="B1362">
        <v>27</v>
      </c>
      <c r="C1362">
        <v>1.389</v>
      </c>
      <c r="D1362">
        <v>3.14</v>
      </c>
      <c r="E1362">
        <v>0</v>
      </c>
      <c r="F1362">
        <v>1.4390000000000001</v>
      </c>
      <c r="G1362">
        <v>0</v>
      </c>
      <c r="H1362">
        <v>0.14399999999999999</v>
      </c>
      <c r="I1362">
        <v>2.1160000000000001</v>
      </c>
      <c r="K1362">
        <v>1360</v>
      </c>
      <c r="L1362">
        <v>27</v>
      </c>
      <c r="M1362" s="32">
        <v>1.389</v>
      </c>
      <c r="N1362" s="32">
        <v>3.14</v>
      </c>
      <c r="P1362" s="47">
        <v>1.4430000000000001</v>
      </c>
      <c r="R1362" s="47">
        <v>0.15</v>
      </c>
      <c r="S1362" s="47">
        <v>2.0030000000000001</v>
      </c>
      <c r="T1362" s="31">
        <v>0</v>
      </c>
      <c r="V1362">
        <v>1360</v>
      </c>
      <c r="W1362">
        <v>26</v>
      </c>
      <c r="X1362">
        <v>1.401</v>
      </c>
      <c r="Y1362" s="32">
        <v>3.25</v>
      </c>
      <c r="Z1362">
        <v>0</v>
      </c>
      <c r="AA1362" s="32">
        <v>1.3660000000000001</v>
      </c>
      <c r="AB1362">
        <v>0</v>
      </c>
      <c r="AC1362" s="34">
        <v>0.14499999999999999</v>
      </c>
      <c r="AD1362" s="32">
        <v>1.921</v>
      </c>
    </row>
    <row r="1363" spans="1:30">
      <c r="A1363">
        <v>1361</v>
      </c>
      <c r="B1363">
        <v>27</v>
      </c>
      <c r="C1363">
        <v>1.39</v>
      </c>
      <c r="D1363">
        <v>3.14</v>
      </c>
      <c r="E1363">
        <v>0</v>
      </c>
      <c r="F1363">
        <v>1.4430000000000001</v>
      </c>
      <c r="G1363">
        <v>0</v>
      </c>
      <c r="H1363">
        <v>0.14399999999999999</v>
      </c>
      <c r="I1363">
        <v>2.137</v>
      </c>
      <c r="K1363">
        <v>1361</v>
      </c>
      <c r="L1363">
        <v>27</v>
      </c>
      <c r="M1363" s="32">
        <v>1.39</v>
      </c>
      <c r="N1363" s="32">
        <v>3.14</v>
      </c>
      <c r="P1363" s="32">
        <v>1.4430000000000001</v>
      </c>
      <c r="R1363" s="47">
        <v>0.15</v>
      </c>
      <c r="S1363" s="47">
        <v>2.0049999999999999</v>
      </c>
      <c r="T1363" s="31">
        <v>0</v>
      </c>
      <c r="V1363">
        <v>1361</v>
      </c>
      <c r="W1363">
        <v>26</v>
      </c>
      <c r="X1363">
        <v>1.4019999999999999</v>
      </c>
      <c r="Y1363" s="32">
        <v>3.25</v>
      </c>
      <c r="Z1363">
        <v>0</v>
      </c>
      <c r="AA1363" s="32">
        <v>1.3660000000000001</v>
      </c>
      <c r="AB1363">
        <v>0</v>
      </c>
      <c r="AC1363" s="34">
        <v>0.14499999999999999</v>
      </c>
      <c r="AD1363" s="32">
        <v>1.9219999999999999</v>
      </c>
    </row>
    <row r="1364" spans="1:30">
      <c r="A1364">
        <v>1362</v>
      </c>
      <c r="B1364">
        <v>27</v>
      </c>
      <c r="C1364">
        <v>1.391</v>
      </c>
      <c r="D1364">
        <v>3.14</v>
      </c>
      <c r="E1364">
        <v>0</v>
      </c>
      <c r="F1364">
        <v>1.4430000000000001</v>
      </c>
      <c r="G1364">
        <v>0</v>
      </c>
      <c r="H1364">
        <v>0.14399999999999999</v>
      </c>
      <c r="I1364">
        <v>2.1389999999999998</v>
      </c>
      <c r="K1364">
        <v>1362</v>
      </c>
      <c r="L1364">
        <v>27</v>
      </c>
      <c r="M1364" s="32">
        <v>1.391</v>
      </c>
      <c r="N1364" s="47">
        <v>3.1509999999999998</v>
      </c>
      <c r="P1364" s="32">
        <v>1.4430000000000001</v>
      </c>
      <c r="R1364" s="47">
        <v>0.15</v>
      </c>
      <c r="S1364" s="47">
        <v>2.0070000000000001</v>
      </c>
      <c r="T1364" s="31">
        <v>0</v>
      </c>
      <c r="V1364">
        <v>1362</v>
      </c>
      <c r="W1364">
        <v>26</v>
      </c>
      <c r="X1364">
        <v>1.403</v>
      </c>
      <c r="Y1364" s="32">
        <v>3.25</v>
      </c>
      <c r="Z1364">
        <v>0</v>
      </c>
      <c r="AA1364" s="32">
        <v>1.3660000000000001</v>
      </c>
      <c r="AB1364">
        <v>0</v>
      </c>
      <c r="AC1364" s="34">
        <v>0.14499999999999999</v>
      </c>
      <c r="AD1364" s="32">
        <v>1.9239999999999999</v>
      </c>
    </row>
    <row r="1365" spans="1:30">
      <c r="A1365">
        <v>1363</v>
      </c>
      <c r="B1365">
        <v>27</v>
      </c>
      <c r="C1365">
        <v>1.3919999999999999</v>
      </c>
      <c r="D1365">
        <v>3.14</v>
      </c>
      <c r="E1365">
        <v>0</v>
      </c>
      <c r="F1365">
        <v>1.4430000000000001</v>
      </c>
      <c r="G1365">
        <v>0</v>
      </c>
      <c r="H1365">
        <v>0.14399999999999999</v>
      </c>
      <c r="I1365">
        <v>2.141</v>
      </c>
      <c r="K1365">
        <v>1363</v>
      </c>
      <c r="L1365">
        <v>27</v>
      </c>
      <c r="M1365" s="32">
        <v>1.3919999999999999</v>
      </c>
      <c r="N1365" s="47">
        <v>3.1619999999999999</v>
      </c>
      <c r="P1365" s="47">
        <v>1.444</v>
      </c>
      <c r="R1365" s="47">
        <v>0.15</v>
      </c>
      <c r="S1365" s="47">
        <v>2.008</v>
      </c>
      <c r="T1365" s="31">
        <v>0</v>
      </c>
      <c r="V1365">
        <v>1363</v>
      </c>
      <c r="W1365">
        <v>26</v>
      </c>
      <c r="X1365">
        <v>1.4039999999999999</v>
      </c>
      <c r="Y1365" s="32">
        <v>3.25</v>
      </c>
      <c r="Z1365">
        <v>0</v>
      </c>
      <c r="AA1365" s="32">
        <v>1.3660000000000001</v>
      </c>
      <c r="AB1365">
        <v>0</v>
      </c>
      <c r="AC1365" s="34">
        <v>0.14499999999999999</v>
      </c>
      <c r="AD1365" s="32">
        <v>1.9259999999999999</v>
      </c>
    </row>
    <row r="1366" spans="1:30">
      <c r="A1366">
        <v>1364</v>
      </c>
      <c r="B1366">
        <v>27</v>
      </c>
      <c r="C1366">
        <v>1.393</v>
      </c>
      <c r="D1366">
        <v>3.14</v>
      </c>
      <c r="E1366">
        <v>0</v>
      </c>
      <c r="F1366">
        <v>1.4430000000000001</v>
      </c>
      <c r="G1366">
        <v>0</v>
      </c>
      <c r="H1366">
        <v>0.14399999999999999</v>
      </c>
      <c r="I1366">
        <v>2.1429999999999998</v>
      </c>
      <c r="K1366">
        <v>1364</v>
      </c>
      <c r="L1366">
        <v>27</v>
      </c>
      <c r="M1366" s="32">
        <v>1.393</v>
      </c>
      <c r="N1366" s="47">
        <v>3.173</v>
      </c>
      <c r="P1366" s="47">
        <v>1.444</v>
      </c>
      <c r="R1366" s="47">
        <v>0.15</v>
      </c>
      <c r="S1366" s="47">
        <v>2.0099999999999998</v>
      </c>
      <c r="T1366" s="31">
        <v>0</v>
      </c>
      <c r="V1366">
        <v>1364</v>
      </c>
      <c r="W1366">
        <v>26</v>
      </c>
      <c r="X1366">
        <v>1.405</v>
      </c>
      <c r="Y1366" s="32">
        <v>3.25</v>
      </c>
      <c r="Z1366">
        <v>0</v>
      </c>
      <c r="AA1366" s="32">
        <v>1.3660000000000001</v>
      </c>
      <c r="AB1366">
        <v>0</v>
      </c>
      <c r="AC1366" s="34">
        <v>0.14499999999999999</v>
      </c>
      <c r="AD1366" s="32">
        <v>1.9279999999999999</v>
      </c>
    </row>
    <row r="1367" spans="1:30">
      <c r="A1367">
        <v>1365</v>
      </c>
      <c r="B1367">
        <v>27</v>
      </c>
      <c r="C1367">
        <v>1.3939999999999999</v>
      </c>
      <c r="D1367">
        <v>3.14</v>
      </c>
      <c r="E1367">
        <v>0</v>
      </c>
      <c r="F1367">
        <v>1.4430000000000001</v>
      </c>
      <c r="G1367">
        <v>0</v>
      </c>
      <c r="H1367">
        <v>0.14399999999999999</v>
      </c>
      <c r="I1367">
        <v>2.145</v>
      </c>
      <c r="K1367">
        <v>1365</v>
      </c>
      <c r="L1367">
        <v>27</v>
      </c>
      <c r="M1367" s="32">
        <v>1.3939999999999999</v>
      </c>
      <c r="N1367" s="47">
        <v>3.1840000000000002</v>
      </c>
      <c r="P1367" s="47">
        <v>1.444</v>
      </c>
      <c r="R1367" s="47">
        <v>0.15</v>
      </c>
      <c r="S1367" s="47">
        <v>2.0110000000000001</v>
      </c>
      <c r="T1367" s="31">
        <v>0</v>
      </c>
      <c r="V1367">
        <v>1365</v>
      </c>
      <c r="W1367">
        <v>26</v>
      </c>
      <c r="X1367">
        <v>1.4059999999999999</v>
      </c>
      <c r="Y1367" s="32">
        <v>3.25</v>
      </c>
      <c r="Z1367">
        <v>0</v>
      </c>
      <c r="AA1367" s="32">
        <v>1.367</v>
      </c>
      <c r="AB1367">
        <v>0</v>
      </c>
      <c r="AC1367" s="34">
        <v>0.14499999999999999</v>
      </c>
      <c r="AD1367" s="32">
        <v>1.929</v>
      </c>
    </row>
    <row r="1368" spans="1:30">
      <c r="A1368">
        <v>1366</v>
      </c>
      <c r="B1368">
        <v>27</v>
      </c>
      <c r="C1368">
        <v>1.395</v>
      </c>
      <c r="D1368">
        <v>3.14</v>
      </c>
      <c r="E1368">
        <v>0</v>
      </c>
      <c r="F1368">
        <v>1.4430000000000001</v>
      </c>
      <c r="G1368">
        <v>0</v>
      </c>
      <c r="H1368">
        <v>0.14399999999999999</v>
      </c>
      <c r="I1368">
        <v>2.1469999999999998</v>
      </c>
      <c r="K1368">
        <v>1366</v>
      </c>
      <c r="L1368">
        <v>27</v>
      </c>
      <c r="M1368" s="32">
        <v>1.395</v>
      </c>
      <c r="N1368" s="47">
        <v>3.1949999999999998</v>
      </c>
      <c r="P1368" s="47">
        <v>1.4450000000000001</v>
      </c>
      <c r="R1368" s="47">
        <v>0.151</v>
      </c>
      <c r="S1368" s="47">
        <v>2.0129999999999999</v>
      </c>
      <c r="T1368" s="31">
        <v>0</v>
      </c>
      <c r="V1368">
        <v>1366</v>
      </c>
      <c r="W1368">
        <v>26</v>
      </c>
      <c r="X1368">
        <v>1.407</v>
      </c>
      <c r="Y1368" s="32">
        <v>3.25</v>
      </c>
      <c r="Z1368">
        <v>0</v>
      </c>
      <c r="AA1368" s="32">
        <v>1.367</v>
      </c>
      <c r="AB1368">
        <v>0</v>
      </c>
      <c r="AC1368" s="34">
        <v>0.14499999999999999</v>
      </c>
      <c r="AD1368" s="32">
        <v>1.931</v>
      </c>
    </row>
    <row r="1369" spans="1:30">
      <c r="A1369">
        <v>1367</v>
      </c>
      <c r="B1369">
        <v>27</v>
      </c>
      <c r="C1369">
        <v>1.3959999999999999</v>
      </c>
      <c r="D1369">
        <v>3.14</v>
      </c>
      <c r="E1369">
        <v>0</v>
      </c>
      <c r="F1369">
        <v>1.4430000000000001</v>
      </c>
      <c r="G1369">
        <v>0</v>
      </c>
      <c r="H1369">
        <v>0.14399999999999999</v>
      </c>
      <c r="I1369">
        <v>2.1480000000000001</v>
      </c>
      <c r="K1369">
        <v>1367</v>
      </c>
      <c r="L1369">
        <v>27</v>
      </c>
      <c r="M1369" s="32">
        <v>1.3959999999999999</v>
      </c>
      <c r="N1369" s="47">
        <v>3.206</v>
      </c>
      <c r="P1369" s="47">
        <v>1.4450000000000001</v>
      </c>
      <c r="R1369" s="47">
        <v>0.151</v>
      </c>
      <c r="S1369" s="47">
        <v>2.0139999999999998</v>
      </c>
      <c r="T1369" s="31">
        <v>0</v>
      </c>
      <c r="V1369">
        <v>1367</v>
      </c>
      <c r="W1369">
        <v>26</v>
      </c>
      <c r="X1369">
        <v>1.4079999999999999</v>
      </c>
      <c r="Y1369" s="32">
        <v>3.25</v>
      </c>
      <c r="Z1369">
        <v>0</v>
      </c>
      <c r="AA1369" s="32">
        <v>1.367</v>
      </c>
      <c r="AB1369">
        <v>0</v>
      </c>
      <c r="AC1369" s="34">
        <v>0.14599999999999999</v>
      </c>
      <c r="AD1369" s="32">
        <v>1.9330000000000001</v>
      </c>
    </row>
    <row r="1370" spans="1:30">
      <c r="A1370">
        <v>1368</v>
      </c>
      <c r="B1370">
        <v>27</v>
      </c>
      <c r="C1370">
        <v>1.397</v>
      </c>
      <c r="D1370">
        <v>3.14</v>
      </c>
      <c r="E1370">
        <v>0</v>
      </c>
      <c r="F1370">
        <v>1.4430000000000001</v>
      </c>
      <c r="G1370">
        <v>0</v>
      </c>
      <c r="H1370">
        <v>0.14399999999999999</v>
      </c>
      <c r="I1370">
        <v>2.15</v>
      </c>
      <c r="K1370">
        <v>1368</v>
      </c>
      <c r="L1370">
        <v>27</v>
      </c>
      <c r="M1370" s="32">
        <v>1.397</v>
      </c>
      <c r="N1370" s="47">
        <v>3.2170000000000001</v>
      </c>
      <c r="P1370" s="47">
        <v>1.4450000000000001</v>
      </c>
      <c r="R1370" s="47">
        <v>0.151</v>
      </c>
      <c r="S1370" s="47">
        <v>2.016</v>
      </c>
      <c r="T1370" s="31">
        <v>0</v>
      </c>
      <c r="V1370">
        <v>1368</v>
      </c>
      <c r="W1370">
        <v>26</v>
      </c>
      <c r="X1370">
        <v>1.409</v>
      </c>
      <c r="Y1370" s="32">
        <v>3.25</v>
      </c>
      <c r="Z1370">
        <v>0</v>
      </c>
      <c r="AA1370" s="32">
        <v>1.367</v>
      </c>
      <c r="AB1370">
        <v>0</v>
      </c>
      <c r="AC1370" s="34">
        <v>0.14599999999999999</v>
      </c>
      <c r="AD1370" s="32">
        <v>1.9350000000000001</v>
      </c>
    </row>
    <row r="1371" spans="1:30">
      <c r="A1371">
        <v>1369</v>
      </c>
      <c r="B1371">
        <v>27</v>
      </c>
      <c r="C1371">
        <v>1.3979999999999999</v>
      </c>
      <c r="D1371">
        <v>3.14</v>
      </c>
      <c r="E1371">
        <v>0</v>
      </c>
      <c r="F1371">
        <v>1.4430000000000001</v>
      </c>
      <c r="G1371">
        <v>0</v>
      </c>
      <c r="H1371">
        <v>0.14399999999999999</v>
      </c>
      <c r="I1371">
        <v>2.1520000000000001</v>
      </c>
      <c r="K1371">
        <v>1369</v>
      </c>
      <c r="L1371">
        <v>27</v>
      </c>
      <c r="M1371" s="32">
        <v>1.3979999999999999</v>
      </c>
      <c r="N1371" s="47">
        <v>3.2280000000000002</v>
      </c>
      <c r="P1371" s="47">
        <v>1.4450000000000001</v>
      </c>
      <c r="R1371" s="47">
        <v>0.151</v>
      </c>
      <c r="S1371" s="47">
        <v>2.0169999999999999</v>
      </c>
      <c r="T1371" s="31">
        <v>0</v>
      </c>
      <c r="V1371">
        <v>1369</v>
      </c>
      <c r="W1371">
        <v>26</v>
      </c>
      <c r="X1371">
        <v>1.41</v>
      </c>
      <c r="Y1371" s="32">
        <v>3.25</v>
      </c>
      <c r="Z1371">
        <v>0</v>
      </c>
      <c r="AA1371" s="32">
        <v>1.367</v>
      </c>
      <c r="AB1371">
        <v>0</v>
      </c>
      <c r="AC1371" s="34">
        <v>0.14599999999999999</v>
      </c>
      <c r="AD1371" s="32">
        <v>1.9359999999999999</v>
      </c>
    </row>
    <row r="1372" spans="1:30">
      <c r="A1372">
        <v>1370</v>
      </c>
      <c r="B1372">
        <v>27</v>
      </c>
      <c r="C1372">
        <v>1.399</v>
      </c>
      <c r="D1372">
        <v>3.14</v>
      </c>
      <c r="E1372">
        <v>0</v>
      </c>
      <c r="F1372">
        <v>1.4430000000000001</v>
      </c>
      <c r="G1372">
        <v>0</v>
      </c>
      <c r="H1372">
        <v>0.14399999999999999</v>
      </c>
      <c r="I1372">
        <v>2.1539999999999999</v>
      </c>
      <c r="K1372">
        <v>1370</v>
      </c>
      <c r="L1372">
        <v>27</v>
      </c>
      <c r="M1372" s="32">
        <v>1.399</v>
      </c>
      <c r="N1372" s="47">
        <v>3.2389999999999999</v>
      </c>
      <c r="P1372" s="47">
        <v>1.446</v>
      </c>
      <c r="R1372" s="47">
        <v>0.151</v>
      </c>
      <c r="S1372" s="47">
        <v>2.0190000000000001</v>
      </c>
      <c r="T1372" s="31">
        <v>0</v>
      </c>
      <c r="V1372">
        <v>1370</v>
      </c>
      <c r="W1372">
        <v>26</v>
      </c>
      <c r="X1372">
        <v>1.411</v>
      </c>
      <c r="Y1372" s="32">
        <v>3.25</v>
      </c>
      <c r="Z1372">
        <v>0</v>
      </c>
      <c r="AA1372" s="32">
        <v>1.3680000000000001</v>
      </c>
      <c r="AB1372">
        <v>0</v>
      </c>
      <c r="AC1372" s="34">
        <v>0.14599999999999999</v>
      </c>
      <c r="AD1372" s="32">
        <v>1.9379999999999999</v>
      </c>
    </row>
    <row r="1373" spans="1:30">
      <c r="A1373">
        <v>1371</v>
      </c>
      <c r="B1373">
        <v>28</v>
      </c>
      <c r="C1373">
        <v>1.4</v>
      </c>
      <c r="D1373">
        <v>3.25</v>
      </c>
      <c r="E1373">
        <v>0</v>
      </c>
      <c r="F1373">
        <v>1.446</v>
      </c>
      <c r="G1373">
        <v>0</v>
      </c>
      <c r="H1373">
        <v>0.151</v>
      </c>
      <c r="I1373">
        <v>2.02</v>
      </c>
      <c r="K1373">
        <v>1371</v>
      </c>
      <c r="L1373">
        <v>28</v>
      </c>
      <c r="M1373" s="32">
        <v>1.4</v>
      </c>
      <c r="N1373" s="32">
        <v>3.25</v>
      </c>
      <c r="P1373" s="32">
        <v>1.446</v>
      </c>
      <c r="R1373" s="32">
        <v>0.151</v>
      </c>
      <c r="S1373" s="32">
        <v>2.02</v>
      </c>
      <c r="T1373" s="31">
        <v>0</v>
      </c>
      <c r="V1373">
        <v>1371</v>
      </c>
      <c r="W1373">
        <v>26</v>
      </c>
      <c r="X1373">
        <v>1.4119999999999999</v>
      </c>
      <c r="Y1373" s="32">
        <v>3.25</v>
      </c>
      <c r="Z1373">
        <v>0</v>
      </c>
      <c r="AA1373" s="32">
        <v>1.3680000000000001</v>
      </c>
      <c r="AB1373">
        <v>0</v>
      </c>
      <c r="AC1373" s="34">
        <v>0.14599999999999999</v>
      </c>
      <c r="AD1373" s="32">
        <v>1.94</v>
      </c>
    </row>
    <row r="1374" spans="1:30">
      <c r="A1374">
        <v>1372</v>
      </c>
      <c r="B1374">
        <v>28</v>
      </c>
      <c r="C1374">
        <v>1.401</v>
      </c>
      <c r="D1374">
        <v>3.25</v>
      </c>
      <c r="E1374">
        <v>0</v>
      </c>
      <c r="F1374">
        <v>1.446</v>
      </c>
      <c r="G1374">
        <v>0</v>
      </c>
      <c r="H1374">
        <v>0.151</v>
      </c>
      <c r="I1374">
        <v>2.0219999999999998</v>
      </c>
      <c r="K1374">
        <v>1372</v>
      </c>
      <c r="L1374">
        <v>28</v>
      </c>
      <c r="M1374" s="32">
        <v>1.401</v>
      </c>
      <c r="N1374" s="32">
        <v>3.25</v>
      </c>
      <c r="P1374" s="32">
        <v>1.446</v>
      </c>
      <c r="R1374" s="32">
        <v>0.151</v>
      </c>
      <c r="S1374" s="32">
        <v>2.0219999999999998</v>
      </c>
      <c r="T1374" s="31">
        <v>0</v>
      </c>
      <c r="V1374">
        <v>1372</v>
      </c>
      <c r="W1374">
        <v>26</v>
      </c>
      <c r="X1374">
        <v>1.413</v>
      </c>
      <c r="Y1374" s="32">
        <v>3.25</v>
      </c>
      <c r="Z1374">
        <v>0</v>
      </c>
      <c r="AA1374" s="32">
        <v>1.3680000000000001</v>
      </c>
      <c r="AB1374">
        <v>0</v>
      </c>
      <c r="AC1374" s="34">
        <v>0.14599999999999999</v>
      </c>
      <c r="AD1374" s="32">
        <v>1.9410000000000001</v>
      </c>
    </row>
    <row r="1375" spans="1:30">
      <c r="A1375">
        <v>1373</v>
      </c>
      <c r="B1375">
        <v>28</v>
      </c>
      <c r="C1375">
        <v>1.4019999999999999</v>
      </c>
      <c r="D1375">
        <v>3.25</v>
      </c>
      <c r="E1375">
        <v>0</v>
      </c>
      <c r="F1375">
        <v>1.4470000000000001</v>
      </c>
      <c r="G1375">
        <v>0</v>
      </c>
      <c r="H1375">
        <v>0.151</v>
      </c>
      <c r="I1375">
        <v>2.024</v>
      </c>
      <c r="K1375">
        <v>1373</v>
      </c>
      <c r="L1375">
        <v>28</v>
      </c>
      <c r="M1375" s="32">
        <v>1.4019999999999999</v>
      </c>
      <c r="N1375" s="32">
        <v>3.25</v>
      </c>
      <c r="P1375" s="32">
        <v>1.4470000000000001</v>
      </c>
      <c r="R1375" s="32">
        <v>0.151</v>
      </c>
      <c r="S1375" s="47">
        <v>2.0249999999999999</v>
      </c>
      <c r="T1375" s="31">
        <v>0</v>
      </c>
      <c r="V1375">
        <v>1373</v>
      </c>
      <c r="W1375">
        <v>26</v>
      </c>
      <c r="X1375">
        <v>1.4139999999999999</v>
      </c>
      <c r="Y1375" s="32">
        <v>3.25</v>
      </c>
      <c r="Z1375">
        <v>0</v>
      </c>
      <c r="AA1375" s="32">
        <v>1.3680000000000001</v>
      </c>
      <c r="AB1375">
        <v>0</v>
      </c>
      <c r="AC1375" s="34">
        <v>0.14599999999999999</v>
      </c>
      <c r="AD1375" s="32">
        <v>1.9430000000000001</v>
      </c>
    </row>
    <row r="1376" spans="1:30">
      <c r="A1376">
        <v>1374</v>
      </c>
      <c r="B1376">
        <v>28</v>
      </c>
      <c r="C1376">
        <v>1.403</v>
      </c>
      <c r="D1376">
        <v>3.26</v>
      </c>
      <c r="E1376">
        <v>0</v>
      </c>
      <c r="F1376">
        <v>1.4470000000000001</v>
      </c>
      <c r="G1376">
        <v>0</v>
      </c>
      <c r="H1376">
        <v>0.151</v>
      </c>
      <c r="I1376">
        <v>2.0249999999999999</v>
      </c>
      <c r="K1376">
        <v>1374</v>
      </c>
      <c r="L1376">
        <v>28</v>
      </c>
      <c r="M1376" s="32">
        <v>1.403</v>
      </c>
      <c r="N1376" s="47">
        <v>3.25</v>
      </c>
      <c r="P1376" s="32">
        <v>1.4470000000000001</v>
      </c>
      <c r="R1376" s="32">
        <v>0.151</v>
      </c>
      <c r="S1376" s="47">
        <v>2.0270000000000001</v>
      </c>
      <c r="T1376" s="31">
        <v>0</v>
      </c>
      <c r="V1376">
        <v>1374</v>
      </c>
      <c r="W1376">
        <v>26</v>
      </c>
      <c r="X1376">
        <v>1.415</v>
      </c>
      <c r="Y1376" s="32">
        <v>3.25</v>
      </c>
      <c r="Z1376">
        <v>0</v>
      </c>
      <c r="AA1376" s="32">
        <v>1.3680000000000001</v>
      </c>
      <c r="AB1376">
        <v>0</v>
      </c>
      <c r="AC1376" s="34">
        <v>0.14599999999999999</v>
      </c>
      <c r="AD1376" s="32">
        <v>1.9450000000000001</v>
      </c>
    </row>
    <row r="1377" spans="1:30">
      <c r="A1377">
        <v>1375</v>
      </c>
      <c r="B1377">
        <v>28</v>
      </c>
      <c r="C1377">
        <v>1.4039999999999999</v>
      </c>
      <c r="D1377">
        <v>3.26</v>
      </c>
      <c r="E1377">
        <v>0</v>
      </c>
      <c r="F1377">
        <v>1.4470000000000001</v>
      </c>
      <c r="G1377">
        <v>0</v>
      </c>
      <c r="H1377">
        <v>0.151</v>
      </c>
      <c r="I1377">
        <v>2.0270000000000001</v>
      </c>
      <c r="K1377">
        <v>1375</v>
      </c>
      <c r="L1377">
        <v>28</v>
      </c>
      <c r="M1377" s="32">
        <v>1.4039999999999999</v>
      </c>
      <c r="N1377" s="47">
        <v>3.25</v>
      </c>
      <c r="P1377" s="32">
        <v>1.4470000000000001</v>
      </c>
      <c r="R1377" s="47">
        <v>0.152</v>
      </c>
      <c r="S1377" s="47">
        <v>2.0289999999999999</v>
      </c>
      <c r="T1377" s="31">
        <v>0</v>
      </c>
      <c r="V1377">
        <v>1375</v>
      </c>
      <c r="W1377">
        <v>26</v>
      </c>
      <c r="X1377">
        <v>1.4159999999999999</v>
      </c>
      <c r="Y1377" s="32">
        <v>3.25</v>
      </c>
      <c r="Z1377">
        <v>0</v>
      </c>
      <c r="AA1377" s="32">
        <v>1.369</v>
      </c>
      <c r="AB1377">
        <v>0</v>
      </c>
      <c r="AC1377" s="34">
        <v>0.14599999999999999</v>
      </c>
      <c r="AD1377" s="32">
        <v>1.9470000000000001</v>
      </c>
    </row>
    <row r="1378" spans="1:30">
      <c r="A1378">
        <v>1376</v>
      </c>
      <c r="B1378">
        <v>28</v>
      </c>
      <c r="C1378">
        <v>1.405</v>
      </c>
      <c r="D1378">
        <v>3.26</v>
      </c>
      <c r="E1378">
        <v>0</v>
      </c>
      <c r="F1378">
        <v>1.4470000000000001</v>
      </c>
      <c r="G1378">
        <v>0</v>
      </c>
      <c r="H1378">
        <v>0.151</v>
      </c>
      <c r="I1378">
        <v>2.0289999999999999</v>
      </c>
      <c r="K1378">
        <v>1376</v>
      </c>
      <c r="L1378">
        <v>28</v>
      </c>
      <c r="M1378" s="32">
        <v>1.405</v>
      </c>
      <c r="N1378" s="47">
        <v>3.25</v>
      </c>
      <c r="P1378" s="47">
        <v>1.448</v>
      </c>
      <c r="R1378" s="47">
        <v>0.152</v>
      </c>
      <c r="S1378" s="47">
        <v>2.032</v>
      </c>
      <c r="T1378" s="31">
        <v>0</v>
      </c>
      <c r="V1378">
        <v>1376</v>
      </c>
      <c r="W1378">
        <v>26</v>
      </c>
      <c r="X1378">
        <v>1.417</v>
      </c>
      <c r="Y1378" s="32">
        <v>3.25</v>
      </c>
      <c r="Z1378">
        <v>0</v>
      </c>
      <c r="AA1378" s="32">
        <v>1.369</v>
      </c>
      <c r="AB1378">
        <v>0</v>
      </c>
      <c r="AC1378" s="34">
        <v>0.14599999999999999</v>
      </c>
      <c r="AD1378" s="32">
        <v>1.948</v>
      </c>
    </row>
    <row r="1379" spans="1:30">
      <c r="A1379">
        <v>1377</v>
      </c>
      <c r="B1379">
        <v>28</v>
      </c>
      <c r="C1379">
        <v>1.4059999999999999</v>
      </c>
      <c r="D1379">
        <v>3.26</v>
      </c>
      <c r="E1379">
        <v>0</v>
      </c>
      <c r="F1379">
        <v>1.448</v>
      </c>
      <c r="G1379">
        <v>0</v>
      </c>
      <c r="H1379">
        <v>0.151</v>
      </c>
      <c r="I1379">
        <v>2.0310000000000001</v>
      </c>
      <c r="K1379">
        <v>1377</v>
      </c>
      <c r="L1379">
        <v>28</v>
      </c>
      <c r="M1379" s="32">
        <v>1.4059999999999999</v>
      </c>
      <c r="N1379" s="47">
        <v>3.25</v>
      </c>
      <c r="P1379" s="32">
        <v>1.448</v>
      </c>
      <c r="R1379" s="47">
        <v>0.152</v>
      </c>
      <c r="S1379" s="47">
        <v>2.0339999999999998</v>
      </c>
      <c r="T1379" s="31">
        <v>0</v>
      </c>
      <c r="V1379">
        <v>1377</v>
      </c>
      <c r="W1379">
        <v>26</v>
      </c>
      <c r="X1379">
        <v>1.4179999999999999</v>
      </c>
      <c r="Y1379" s="32">
        <v>3.25</v>
      </c>
      <c r="Z1379">
        <v>0</v>
      </c>
      <c r="AA1379" s="32">
        <v>1.369</v>
      </c>
      <c r="AB1379">
        <v>0</v>
      </c>
      <c r="AC1379" s="34">
        <v>0.14599999999999999</v>
      </c>
      <c r="AD1379" s="32">
        <v>1.95</v>
      </c>
    </row>
    <row r="1380" spans="1:30">
      <c r="A1380">
        <v>1378</v>
      </c>
      <c r="B1380">
        <v>28</v>
      </c>
      <c r="C1380">
        <v>1.407</v>
      </c>
      <c r="D1380">
        <v>3.26</v>
      </c>
      <c r="E1380">
        <v>0</v>
      </c>
      <c r="F1380">
        <v>1.448</v>
      </c>
      <c r="G1380">
        <v>0</v>
      </c>
      <c r="H1380">
        <v>0.151</v>
      </c>
      <c r="I1380">
        <v>2.0329999999999999</v>
      </c>
      <c r="K1380">
        <v>1378</v>
      </c>
      <c r="L1380">
        <v>28</v>
      </c>
      <c r="M1380" s="32">
        <v>1.407</v>
      </c>
      <c r="N1380" s="47">
        <v>3.25</v>
      </c>
      <c r="P1380" s="32">
        <v>1.448</v>
      </c>
      <c r="R1380" s="47">
        <v>0.152</v>
      </c>
      <c r="S1380" s="47">
        <v>2.036</v>
      </c>
      <c r="T1380" s="31">
        <v>0</v>
      </c>
      <c r="V1380">
        <v>1378</v>
      </c>
      <c r="W1380">
        <v>26</v>
      </c>
      <c r="X1380">
        <v>1.419</v>
      </c>
      <c r="Y1380" s="32">
        <v>3.25</v>
      </c>
      <c r="Z1380">
        <v>0</v>
      </c>
      <c r="AA1380" s="32">
        <v>1.369</v>
      </c>
      <c r="AB1380">
        <v>0</v>
      </c>
      <c r="AC1380" s="34">
        <v>0.14599999999999999</v>
      </c>
      <c r="AD1380" s="32">
        <v>1.952</v>
      </c>
    </row>
    <row r="1381" spans="1:30">
      <c r="A1381">
        <v>1379</v>
      </c>
      <c r="B1381">
        <v>28</v>
      </c>
      <c r="C1381">
        <v>1.4079999999999999</v>
      </c>
      <c r="D1381">
        <v>3.26</v>
      </c>
      <c r="E1381">
        <v>0</v>
      </c>
      <c r="F1381">
        <v>1.448</v>
      </c>
      <c r="G1381">
        <v>0</v>
      </c>
      <c r="H1381">
        <v>0.151</v>
      </c>
      <c r="I1381">
        <v>2.0339999999999998</v>
      </c>
      <c r="K1381">
        <v>1379</v>
      </c>
      <c r="L1381">
        <v>28</v>
      </c>
      <c r="M1381" s="32">
        <v>1.4079999999999999</v>
      </c>
      <c r="N1381" s="47">
        <v>3.25</v>
      </c>
      <c r="P1381" s="32">
        <v>1.448</v>
      </c>
      <c r="R1381" s="47">
        <v>0.152</v>
      </c>
      <c r="S1381" s="47">
        <v>2.0379999999999998</v>
      </c>
      <c r="T1381" s="31">
        <v>0</v>
      </c>
      <c r="V1381">
        <v>1379</v>
      </c>
      <c r="W1381">
        <v>26</v>
      </c>
      <c r="X1381">
        <v>1.42</v>
      </c>
      <c r="Y1381" s="32">
        <v>3.25</v>
      </c>
      <c r="Z1381">
        <v>0</v>
      </c>
      <c r="AA1381" s="32">
        <v>1.369</v>
      </c>
      <c r="AB1381">
        <v>0</v>
      </c>
      <c r="AC1381" s="34">
        <v>0.14699999999999999</v>
      </c>
      <c r="AD1381" s="32">
        <v>1.954</v>
      </c>
    </row>
    <row r="1382" spans="1:30">
      <c r="A1382">
        <v>1380</v>
      </c>
      <c r="B1382">
        <v>28</v>
      </c>
      <c r="C1382">
        <v>1.409</v>
      </c>
      <c r="D1382">
        <v>3.27</v>
      </c>
      <c r="E1382">
        <v>0</v>
      </c>
      <c r="F1382">
        <v>1.448</v>
      </c>
      <c r="G1382">
        <v>0</v>
      </c>
      <c r="H1382">
        <v>0.151</v>
      </c>
      <c r="I1382">
        <v>2.036</v>
      </c>
      <c r="K1382">
        <v>1380</v>
      </c>
      <c r="L1382">
        <v>28</v>
      </c>
      <c r="M1382" s="32">
        <v>1.409</v>
      </c>
      <c r="N1382" s="47">
        <v>3.25</v>
      </c>
      <c r="P1382" s="47">
        <v>1.4490000000000001</v>
      </c>
      <c r="R1382" s="47">
        <v>0.152</v>
      </c>
      <c r="S1382" s="47">
        <v>2.0409999999999999</v>
      </c>
      <c r="T1382" s="31">
        <v>0</v>
      </c>
      <c r="V1382">
        <v>1380</v>
      </c>
      <c r="W1382">
        <v>26</v>
      </c>
      <c r="X1382">
        <v>1.421</v>
      </c>
      <c r="Y1382" s="32">
        <v>3.25</v>
      </c>
      <c r="Z1382">
        <v>0</v>
      </c>
      <c r="AA1382" s="32">
        <v>1.37</v>
      </c>
      <c r="AB1382">
        <v>0</v>
      </c>
      <c r="AC1382" s="34">
        <v>0.14699999999999999</v>
      </c>
      <c r="AD1382" s="32">
        <v>1.9550000000000001</v>
      </c>
    </row>
    <row r="1383" spans="1:30">
      <c r="A1383">
        <v>1381</v>
      </c>
      <c r="B1383">
        <v>28</v>
      </c>
      <c r="C1383">
        <v>1.41</v>
      </c>
      <c r="D1383">
        <v>3.25</v>
      </c>
      <c r="E1383">
        <v>0</v>
      </c>
      <c r="F1383">
        <v>1.4490000000000001</v>
      </c>
      <c r="G1383">
        <v>0</v>
      </c>
      <c r="H1383">
        <v>0.151</v>
      </c>
      <c r="I1383">
        <v>2.0609999999999999</v>
      </c>
      <c r="K1383">
        <v>1381</v>
      </c>
      <c r="L1383">
        <v>28</v>
      </c>
      <c r="M1383" s="32">
        <v>1.41</v>
      </c>
      <c r="N1383" s="32">
        <v>3.25</v>
      </c>
      <c r="P1383" s="32">
        <v>1.4490000000000001</v>
      </c>
      <c r="R1383" s="47">
        <v>0.152</v>
      </c>
      <c r="S1383" s="47">
        <v>2.0430000000000001</v>
      </c>
      <c r="T1383" s="31">
        <v>0</v>
      </c>
      <c r="V1383">
        <v>1381</v>
      </c>
      <c r="W1383">
        <v>26</v>
      </c>
      <c r="X1383">
        <v>1.4219999999999999</v>
      </c>
      <c r="Y1383" s="32">
        <v>3.25</v>
      </c>
      <c r="Z1383">
        <v>0</v>
      </c>
      <c r="AA1383" s="32">
        <v>1.37</v>
      </c>
      <c r="AB1383">
        <v>0</v>
      </c>
      <c r="AC1383" s="34">
        <v>0.14699999999999999</v>
      </c>
      <c r="AD1383" s="32">
        <v>1.9570000000000001</v>
      </c>
    </row>
    <row r="1384" spans="1:30">
      <c r="A1384">
        <v>1382</v>
      </c>
      <c r="B1384">
        <v>28</v>
      </c>
      <c r="C1384">
        <v>1.411</v>
      </c>
      <c r="D1384">
        <v>3.25</v>
      </c>
      <c r="E1384">
        <v>0</v>
      </c>
      <c r="F1384">
        <v>1.4490000000000001</v>
      </c>
      <c r="G1384">
        <v>0</v>
      </c>
      <c r="H1384">
        <v>0.151</v>
      </c>
      <c r="I1384">
        <v>2.0630000000000002</v>
      </c>
      <c r="K1384">
        <v>1382</v>
      </c>
      <c r="L1384">
        <v>28</v>
      </c>
      <c r="M1384" s="32">
        <v>1.411</v>
      </c>
      <c r="N1384" s="32">
        <v>3.25</v>
      </c>
      <c r="P1384" s="32">
        <v>1.4490000000000001</v>
      </c>
      <c r="R1384" s="47">
        <v>0.152</v>
      </c>
      <c r="S1384" s="47">
        <v>2.0449999999999999</v>
      </c>
      <c r="T1384" s="31">
        <v>0</v>
      </c>
      <c r="V1384">
        <v>1382</v>
      </c>
      <c r="W1384">
        <v>26</v>
      </c>
      <c r="X1384">
        <v>1.423</v>
      </c>
      <c r="Y1384" s="32">
        <v>3.25</v>
      </c>
      <c r="Z1384">
        <v>0</v>
      </c>
      <c r="AA1384" s="32">
        <v>1.37</v>
      </c>
      <c r="AB1384">
        <v>0</v>
      </c>
      <c r="AC1384" s="34">
        <v>0.14699999999999999</v>
      </c>
      <c r="AD1384" s="32">
        <v>1.9590000000000001</v>
      </c>
    </row>
    <row r="1385" spans="1:30">
      <c r="A1385">
        <v>1383</v>
      </c>
      <c r="B1385">
        <v>28</v>
      </c>
      <c r="C1385">
        <v>1.4119999999999999</v>
      </c>
      <c r="D1385">
        <v>3.25</v>
      </c>
      <c r="E1385">
        <v>0</v>
      </c>
      <c r="F1385">
        <v>1.4490000000000001</v>
      </c>
      <c r="G1385">
        <v>0</v>
      </c>
      <c r="H1385">
        <v>0.151</v>
      </c>
      <c r="I1385">
        <v>2.0649999999999999</v>
      </c>
      <c r="K1385">
        <v>1383</v>
      </c>
      <c r="L1385">
        <v>28</v>
      </c>
      <c r="M1385" s="32">
        <v>1.4119999999999999</v>
      </c>
      <c r="N1385" s="32">
        <v>3.25</v>
      </c>
      <c r="P1385" s="32">
        <v>1.4490000000000001</v>
      </c>
      <c r="R1385" s="47">
        <v>0.153</v>
      </c>
      <c r="S1385" s="47">
        <v>2.0470000000000002</v>
      </c>
      <c r="T1385" s="31">
        <v>0</v>
      </c>
      <c r="V1385">
        <v>1383</v>
      </c>
      <c r="W1385">
        <v>26</v>
      </c>
      <c r="X1385">
        <v>1.4239999999999999</v>
      </c>
      <c r="Y1385" s="32">
        <v>3.25</v>
      </c>
      <c r="Z1385">
        <v>0</v>
      </c>
      <c r="AA1385" s="32">
        <v>1.37</v>
      </c>
      <c r="AB1385">
        <v>0</v>
      </c>
      <c r="AC1385" s="34">
        <v>0.14699999999999999</v>
      </c>
      <c r="AD1385" s="32">
        <v>1.9610000000000001</v>
      </c>
    </row>
    <row r="1386" spans="1:30">
      <c r="A1386">
        <v>1384</v>
      </c>
      <c r="B1386">
        <v>28</v>
      </c>
      <c r="C1386">
        <v>1.413</v>
      </c>
      <c r="D1386">
        <v>3.25</v>
      </c>
      <c r="E1386">
        <v>0</v>
      </c>
      <c r="F1386">
        <v>1.4490000000000001</v>
      </c>
      <c r="G1386">
        <v>0</v>
      </c>
      <c r="H1386">
        <v>0.151</v>
      </c>
      <c r="I1386">
        <v>2.0670000000000002</v>
      </c>
      <c r="K1386">
        <v>1384</v>
      </c>
      <c r="L1386">
        <v>28</v>
      </c>
      <c r="M1386" s="32">
        <v>1.413</v>
      </c>
      <c r="N1386" s="32">
        <v>3.25</v>
      </c>
      <c r="P1386" s="47">
        <v>1.45</v>
      </c>
      <c r="R1386" s="47">
        <v>0.153</v>
      </c>
      <c r="S1386" s="47">
        <v>2.048</v>
      </c>
      <c r="T1386" s="31">
        <v>0</v>
      </c>
      <c r="V1386">
        <v>1384</v>
      </c>
      <c r="W1386">
        <v>26</v>
      </c>
      <c r="X1386">
        <v>1.425</v>
      </c>
      <c r="Y1386" s="32">
        <v>3.25</v>
      </c>
      <c r="Z1386">
        <v>0</v>
      </c>
      <c r="AA1386" s="32">
        <v>1.37</v>
      </c>
      <c r="AB1386">
        <v>0</v>
      </c>
      <c r="AC1386" s="34">
        <v>0.14699999999999999</v>
      </c>
      <c r="AD1386" s="32">
        <v>1.962</v>
      </c>
    </row>
    <row r="1387" spans="1:30">
      <c r="A1387">
        <v>1385</v>
      </c>
      <c r="B1387">
        <v>28</v>
      </c>
      <c r="C1387">
        <v>1.4139999999999999</v>
      </c>
      <c r="D1387">
        <v>3.25</v>
      </c>
      <c r="E1387">
        <v>0</v>
      </c>
      <c r="F1387">
        <v>1.4490000000000001</v>
      </c>
      <c r="G1387">
        <v>0</v>
      </c>
      <c r="H1387">
        <v>0.151</v>
      </c>
      <c r="I1387">
        <v>2.0680000000000001</v>
      </c>
      <c r="K1387">
        <v>1385</v>
      </c>
      <c r="L1387">
        <v>28</v>
      </c>
      <c r="M1387" s="32">
        <v>1.4139999999999999</v>
      </c>
      <c r="N1387" s="32">
        <v>3.25</v>
      </c>
      <c r="P1387" s="47">
        <v>1.45</v>
      </c>
      <c r="R1387" s="47">
        <v>0.153</v>
      </c>
      <c r="S1387" s="47">
        <v>2.0499999999999998</v>
      </c>
      <c r="T1387" s="31">
        <v>0</v>
      </c>
      <c r="V1387">
        <v>1385</v>
      </c>
      <c r="W1387">
        <v>26</v>
      </c>
      <c r="X1387">
        <v>1.4259999999999999</v>
      </c>
      <c r="Y1387" s="32">
        <v>3.25</v>
      </c>
      <c r="Z1387">
        <v>0</v>
      </c>
      <c r="AA1387" s="32">
        <v>1.371</v>
      </c>
      <c r="AB1387">
        <v>0</v>
      </c>
      <c r="AC1387" s="34">
        <v>0.14699999999999999</v>
      </c>
      <c r="AD1387" s="32">
        <v>1.964</v>
      </c>
    </row>
    <row r="1388" spans="1:30">
      <c r="A1388">
        <v>1386</v>
      </c>
      <c r="B1388">
        <v>28</v>
      </c>
      <c r="C1388">
        <v>1.415</v>
      </c>
      <c r="D1388">
        <v>3.25</v>
      </c>
      <c r="E1388">
        <v>0</v>
      </c>
      <c r="F1388">
        <v>1.4490000000000001</v>
      </c>
      <c r="G1388">
        <v>0</v>
      </c>
      <c r="H1388">
        <v>0.151</v>
      </c>
      <c r="I1388">
        <v>2.0699999999999998</v>
      </c>
      <c r="K1388">
        <v>1386</v>
      </c>
      <c r="L1388">
        <v>28</v>
      </c>
      <c r="M1388" s="32">
        <v>1.415</v>
      </c>
      <c r="N1388" s="32">
        <v>3.25</v>
      </c>
      <c r="P1388" s="47">
        <v>1.45</v>
      </c>
      <c r="R1388" s="47">
        <v>0.153</v>
      </c>
      <c r="S1388" s="47">
        <v>2.052</v>
      </c>
      <c r="T1388" s="31">
        <v>0</v>
      </c>
      <c r="V1388">
        <v>1386</v>
      </c>
      <c r="W1388">
        <v>26</v>
      </c>
      <c r="X1388">
        <v>1.427</v>
      </c>
      <c r="Y1388" s="32">
        <v>3.25</v>
      </c>
      <c r="Z1388">
        <v>0</v>
      </c>
      <c r="AA1388" s="32">
        <v>1.371</v>
      </c>
      <c r="AB1388">
        <v>0</v>
      </c>
      <c r="AC1388" s="34">
        <v>0.14699999999999999</v>
      </c>
      <c r="AD1388" s="32">
        <v>1.966</v>
      </c>
    </row>
    <row r="1389" spans="1:30">
      <c r="A1389">
        <v>1387</v>
      </c>
      <c r="B1389">
        <v>28</v>
      </c>
      <c r="C1389">
        <v>1.4159999999999999</v>
      </c>
      <c r="D1389">
        <v>3.25</v>
      </c>
      <c r="E1389">
        <v>0</v>
      </c>
      <c r="F1389">
        <v>1.4490000000000001</v>
      </c>
      <c r="G1389">
        <v>0</v>
      </c>
      <c r="H1389">
        <v>0.151</v>
      </c>
      <c r="I1389">
        <v>2.0720000000000001</v>
      </c>
      <c r="K1389">
        <v>1387</v>
      </c>
      <c r="L1389">
        <v>28</v>
      </c>
      <c r="M1389" s="32">
        <v>1.4159999999999999</v>
      </c>
      <c r="N1389" s="32">
        <v>3.25</v>
      </c>
      <c r="P1389" s="47">
        <v>1.45</v>
      </c>
      <c r="R1389" s="47">
        <v>0.153</v>
      </c>
      <c r="S1389" s="47">
        <v>2.0539999999999998</v>
      </c>
      <c r="T1389" s="31">
        <v>0</v>
      </c>
      <c r="V1389">
        <v>1387</v>
      </c>
      <c r="W1389">
        <v>26</v>
      </c>
      <c r="X1389">
        <v>1.4279999999999999</v>
      </c>
      <c r="Y1389" s="32">
        <v>3.25</v>
      </c>
      <c r="Z1389">
        <v>0</v>
      </c>
      <c r="AA1389" s="32">
        <v>1.371</v>
      </c>
      <c r="AB1389">
        <v>0</v>
      </c>
      <c r="AC1389" s="34">
        <v>0.14699999999999999</v>
      </c>
      <c r="AD1389" s="32">
        <v>1.968</v>
      </c>
    </row>
    <row r="1390" spans="1:30">
      <c r="A1390">
        <v>1388</v>
      </c>
      <c r="B1390">
        <v>28</v>
      </c>
      <c r="C1390">
        <v>1.417</v>
      </c>
      <c r="D1390">
        <v>3.25</v>
      </c>
      <c r="E1390">
        <v>0</v>
      </c>
      <c r="F1390">
        <v>1.4490000000000001</v>
      </c>
      <c r="G1390">
        <v>0</v>
      </c>
      <c r="H1390">
        <v>0.151</v>
      </c>
      <c r="I1390">
        <v>2.0739999999999998</v>
      </c>
      <c r="K1390">
        <v>1388</v>
      </c>
      <c r="L1390">
        <v>28</v>
      </c>
      <c r="M1390" s="32">
        <v>1.417</v>
      </c>
      <c r="N1390" s="32">
        <v>3.25</v>
      </c>
      <c r="P1390" s="47">
        <v>1.45</v>
      </c>
      <c r="R1390" s="47">
        <v>0.153</v>
      </c>
      <c r="S1390" s="47">
        <v>2.056</v>
      </c>
      <c r="T1390" s="31">
        <v>0</v>
      </c>
      <c r="V1390">
        <v>1388</v>
      </c>
      <c r="W1390">
        <v>26</v>
      </c>
      <c r="X1390">
        <v>1.429</v>
      </c>
      <c r="Y1390" s="32">
        <v>3.25</v>
      </c>
      <c r="Z1390">
        <v>0</v>
      </c>
      <c r="AA1390" s="32">
        <v>1.371</v>
      </c>
      <c r="AB1390">
        <v>0</v>
      </c>
      <c r="AC1390" s="34">
        <v>0.14699999999999999</v>
      </c>
      <c r="AD1390" s="32">
        <v>1.9690000000000001</v>
      </c>
    </row>
    <row r="1391" spans="1:30">
      <c r="A1391">
        <v>1389</v>
      </c>
      <c r="B1391">
        <v>28</v>
      </c>
      <c r="C1391">
        <v>1.4179999999999999</v>
      </c>
      <c r="D1391">
        <v>3.25</v>
      </c>
      <c r="E1391">
        <v>0</v>
      </c>
      <c r="F1391">
        <v>1.4490000000000001</v>
      </c>
      <c r="G1391">
        <v>0</v>
      </c>
      <c r="H1391">
        <v>0.151</v>
      </c>
      <c r="I1391">
        <v>2.0760000000000001</v>
      </c>
      <c r="K1391">
        <v>1389</v>
      </c>
      <c r="L1391">
        <v>28</v>
      </c>
      <c r="M1391" s="32">
        <v>1.4179999999999999</v>
      </c>
      <c r="N1391" s="32">
        <v>3.25</v>
      </c>
      <c r="P1391" s="47">
        <v>1.4510000000000001</v>
      </c>
      <c r="R1391" s="47">
        <v>0.153</v>
      </c>
      <c r="S1391" s="47">
        <v>2.0569999999999999</v>
      </c>
      <c r="T1391" s="31">
        <v>0</v>
      </c>
      <c r="V1391">
        <v>1389</v>
      </c>
      <c r="W1391">
        <v>26</v>
      </c>
      <c r="X1391">
        <v>1.43</v>
      </c>
      <c r="Y1391" s="32">
        <v>3.25</v>
      </c>
      <c r="Z1391">
        <v>0</v>
      </c>
      <c r="AA1391" s="32">
        <v>1.371</v>
      </c>
      <c r="AB1391">
        <v>0</v>
      </c>
      <c r="AC1391" s="34">
        <v>0.14699999999999999</v>
      </c>
      <c r="AD1391" s="32">
        <v>1.9710000000000001</v>
      </c>
    </row>
    <row r="1392" spans="1:30">
      <c r="A1392">
        <v>1390</v>
      </c>
      <c r="B1392">
        <v>28</v>
      </c>
      <c r="C1392">
        <v>1.419</v>
      </c>
      <c r="D1392">
        <v>3.25</v>
      </c>
      <c r="E1392">
        <v>0</v>
      </c>
      <c r="F1392">
        <v>1.4490000000000001</v>
      </c>
      <c r="G1392">
        <v>0</v>
      </c>
      <c r="H1392">
        <v>0.151</v>
      </c>
      <c r="I1392">
        <v>2.077</v>
      </c>
      <c r="K1392">
        <v>1390</v>
      </c>
      <c r="L1392">
        <v>28</v>
      </c>
      <c r="M1392" s="32">
        <v>1.419</v>
      </c>
      <c r="N1392" s="32">
        <v>3.25</v>
      </c>
      <c r="P1392" s="47">
        <v>1.4510000000000001</v>
      </c>
      <c r="R1392" s="47">
        <v>0.154</v>
      </c>
      <c r="S1392" s="47">
        <v>2.0590000000000002</v>
      </c>
      <c r="T1392" s="31">
        <v>0</v>
      </c>
      <c r="V1392">
        <v>1390</v>
      </c>
      <c r="W1392">
        <v>26</v>
      </c>
      <c r="X1392">
        <v>1.431</v>
      </c>
      <c r="Y1392" s="32">
        <v>3.25</v>
      </c>
      <c r="Z1392">
        <v>0</v>
      </c>
      <c r="AA1392" s="32">
        <v>1.3720000000000001</v>
      </c>
      <c r="AB1392">
        <v>0</v>
      </c>
      <c r="AC1392" s="34">
        <v>0.14699999999999999</v>
      </c>
      <c r="AD1392" s="32">
        <v>1.9730000000000001</v>
      </c>
    </row>
    <row r="1393" spans="1:30">
      <c r="A1393">
        <v>1391</v>
      </c>
      <c r="B1393">
        <v>28</v>
      </c>
      <c r="C1393">
        <v>1.42</v>
      </c>
      <c r="D1393">
        <v>3.25</v>
      </c>
      <c r="E1393">
        <v>0</v>
      </c>
      <c r="F1393">
        <v>1.4510000000000001</v>
      </c>
      <c r="G1393">
        <v>0</v>
      </c>
      <c r="H1393">
        <v>0.151</v>
      </c>
      <c r="I1393">
        <v>2.097</v>
      </c>
      <c r="K1393">
        <v>1391</v>
      </c>
      <c r="L1393">
        <v>28</v>
      </c>
      <c r="M1393" s="32">
        <v>1.42</v>
      </c>
      <c r="N1393" s="32">
        <v>3.25</v>
      </c>
      <c r="P1393" s="32">
        <v>1.4510000000000001</v>
      </c>
      <c r="R1393" s="47">
        <v>0.154</v>
      </c>
      <c r="S1393" s="47">
        <v>2.0609999999999999</v>
      </c>
      <c r="T1393" s="31">
        <v>0</v>
      </c>
      <c r="V1393">
        <v>1391</v>
      </c>
      <c r="W1393">
        <v>26</v>
      </c>
      <c r="X1393">
        <v>1.4319999999999999</v>
      </c>
      <c r="Y1393" s="32">
        <v>3.25</v>
      </c>
      <c r="Z1393">
        <v>0</v>
      </c>
      <c r="AA1393" s="32">
        <v>1.3720000000000001</v>
      </c>
      <c r="AB1393">
        <v>0</v>
      </c>
      <c r="AC1393" s="34">
        <v>0.14799999999999999</v>
      </c>
      <c r="AD1393" s="32">
        <v>1.9750000000000001</v>
      </c>
    </row>
    <row r="1394" spans="1:30">
      <c r="A1394">
        <v>1392</v>
      </c>
      <c r="B1394">
        <v>28</v>
      </c>
      <c r="C1394">
        <v>1.421</v>
      </c>
      <c r="D1394">
        <v>3.25</v>
      </c>
      <c r="E1394">
        <v>0</v>
      </c>
      <c r="F1394">
        <v>1.4510000000000001</v>
      </c>
      <c r="G1394">
        <v>0</v>
      </c>
      <c r="H1394">
        <v>0.151</v>
      </c>
      <c r="I1394">
        <v>2.0990000000000002</v>
      </c>
      <c r="K1394">
        <v>1392</v>
      </c>
      <c r="L1394">
        <v>28</v>
      </c>
      <c r="M1394" s="32">
        <v>1.421</v>
      </c>
      <c r="N1394" s="32">
        <v>3.25</v>
      </c>
      <c r="P1394" s="32">
        <v>1.4510000000000001</v>
      </c>
      <c r="R1394" s="47">
        <v>0.154</v>
      </c>
      <c r="S1394" s="47">
        <v>2.0630000000000002</v>
      </c>
      <c r="T1394" s="31">
        <v>0</v>
      </c>
      <c r="V1394">
        <v>1392</v>
      </c>
      <c r="W1394">
        <v>26</v>
      </c>
      <c r="X1394">
        <v>1.4330000000000001</v>
      </c>
      <c r="Y1394" s="32">
        <v>3.25</v>
      </c>
      <c r="Z1394">
        <v>0</v>
      </c>
      <c r="AA1394" s="32">
        <v>1.3720000000000001</v>
      </c>
      <c r="AB1394">
        <v>0</v>
      </c>
      <c r="AC1394" s="34">
        <v>0.14799999999999999</v>
      </c>
      <c r="AD1394" s="32">
        <v>1.976</v>
      </c>
    </row>
    <row r="1395" spans="1:30">
      <c r="A1395">
        <v>1393</v>
      </c>
      <c r="B1395">
        <v>28</v>
      </c>
      <c r="C1395">
        <v>1.4219999999999999</v>
      </c>
      <c r="D1395">
        <v>3.25</v>
      </c>
      <c r="E1395">
        <v>0</v>
      </c>
      <c r="F1395">
        <v>1.4510000000000001</v>
      </c>
      <c r="G1395">
        <v>0</v>
      </c>
      <c r="H1395">
        <v>0.151</v>
      </c>
      <c r="I1395">
        <v>2.101</v>
      </c>
      <c r="K1395">
        <v>1393</v>
      </c>
      <c r="L1395">
        <v>28</v>
      </c>
      <c r="M1395" s="32">
        <v>1.4219999999999999</v>
      </c>
      <c r="N1395" s="32">
        <v>3.25</v>
      </c>
      <c r="P1395" s="47">
        <v>1.452</v>
      </c>
      <c r="R1395" s="47">
        <v>0.154</v>
      </c>
      <c r="S1395" s="47">
        <v>2.0649999999999999</v>
      </c>
      <c r="T1395" s="31">
        <v>0</v>
      </c>
      <c r="V1395">
        <v>1393</v>
      </c>
      <c r="W1395">
        <v>26</v>
      </c>
      <c r="X1395">
        <v>1.4339999999999999</v>
      </c>
      <c r="Y1395" s="32">
        <v>3.25</v>
      </c>
      <c r="Z1395">
        <v>0</v>
      </c>
      <c r="AA1395" s="32">
        <v>1.3720000000000001</v>
      </c>
      <c r="AB1395">
        <v>0</v>
      </c>
      <c r="AC1395" s="34">
        <v>0.14799999999999999</v>
      </c>
      <c r="AD1395" s="32">
        <v>1.978</v>
      </c>
    </row>
    <row r="1396" spans="1:30">
      <c r="A1396">
        <v>1394</v>
      </c>
      <c r="B1396">
        <v>28</v>
      </c>
      <c r="C1396">
        <v>1.423</v>
      </c>
      <c r="D1396">
        <v>3.25</v>
      </c>
      <c r="E1396">
        <v>0</v>
      </c>
      <c r="F1396">
        <v>1.4510000000000001</v>
      </c>
      <c r="G1396">
        <v>0</v>
      </c>
      <c r="H1396">
        <v>0.151</v>
      </c>
      <c r="I1396">
        <v>2.1030000000000002</v>
      </c>
      <c r="K1396">
        <v>1394</v>
      </c>
      <c r="L1396">
        <v>28</v>
      </c>
      <c r="M1396" s="32">
        <v>1.423</v>
      </c>
      <c r="N1396" s="32">
        <v>3.25</v>
      </c>
      <c r="P1396" s="47">
        <v>1.452</v>
      </c>
      <c r="R1396" s="47">
        <v>0.154</v>
      </c>
      <c r="S1396" s="47">
        <v>2.0659999999999998</v>
      </c>
      <c r="T1396" s="31">
        <v>0</v>
      </c>
      <c r="V1396">
        <v>1394</v>
      </c>
      <c r="W1396">
        <v>26</v>
      </c>
      <c r="X1396">
        <v>1.4350000000000001</v>
      </c>
      <c r="Y1396" s="32">
        <v>3.25</v>
      </c>
      <c r="Z1396">
        <v>0</v>
      </c>
      <c r="AA1396" s="32">
        <v>1.3720000000000001</v>
      </c>
      <c r="AB1396">
        <v>0</v>
      </c>
      <c r="AC1396" s="34">
        <v>0.14799999999999999</v>
      </c>
      <c r="AD1396" s="32">
        <v>1.98</v>
      </c>
    </row>
    <row r="1397" spans="1:30">
      <c r="A1397">
        <v>1395</v>
      </c>
      <c r="B1397">
        <v>28</v>
      </c>
      <c r="C1397">
        <v>1.4239999999999999</v>
      </c>
      <c r="D1397">
        <v>3.25</v>
      </c>
      <c r="E1397">
        <v>0</v>
      </c>
      <c r="F1397">
        <v>1.4510000000000001</v>
      </c>
      <c r="G1397">
        <v>0</v>
      </c>
      <c r="H1397">
        <v>0.151</v>
      </c>
      <c r="I1397">
        <v>2.1040000000000001</v>
      </c>
      <c r="K1397">
        <v>1395</v>
      </c>
      <c r="L1397">
        <v>28</v>
      </c>
      <c r="M1397" s="32">
        <v>1.4239999999999999</v>
      </c>
      <c r="N1397" s="32">
        <v>3.25</v>
      </c>
      <c r="P1397" s="47">
        <v>1.452</v>
      </c>
      <c r="R1397" s="47">
        <v>0.154</v>
      </c>
      <c r="S1397" s="47">
        <v>2.0680000000000001</v>
      </c>
      <c r="T1397" s="31">
        <v>0</v>
      </c>
      <c r="V1397">
        <v>1395</v>
      </c>
      <c r="W1397">
        <v>26</v>
      </c>
      <c r="X1397">
        <v>1.4359999999999999</v>
      </c>
      <c r="Y1397" s="32">
        <v>3.25</v>
      </c>
      <c r="Z1397">
        <v>0</v>
      </c>
      <c r="AA1397" s="32">
        <v>1.373</v>
      </c>
      <c r="AB1397">
        <v>0</v>
      </c>
      <c r="AC1397" s="34">
        <v>0.14799999999999999</v>
      </c>
      <c r="AD1397" s="32">
        <v>1.982</v>
      </c>
    </row>
    <row r="1398" spans="1:30">
      <c r="A1398">
        <v>1396</v>
      </c>
      <c r="B1398">
        <v>28</v>
      </c>
      <c r="C1398">
        <v>1.425</v>
      </c>
      <c r="D1398">
        <v>3.25</v>
      </c>
      <c r="E1398">
        <v>0</v>
      </c>
      <c r="F1398">
        <v>1.4510000000000001</v>
      </c>
      <c r="G1398">
        <v>0</v>
      </c>
      <c r="H1398">
        <v>0.151</v>
      </c>
      <c r="I1398">
        <v>2.1059999999999999</v>
      </c>
      <c r="K1398">
        <v>1396</v>
      </c>
      <c r="L1398">
        <v>28</v>
      </c>
      <c r="M1398" s="32">
        <v>1.425</v>
      </c>
      <c r="N1398" s="32">
        <v>3.25</v>
      </c>
      <c r="P1398" s="47">
        <v>1.4530000000000001</v>
      </c>
      <c r="R1398" s="47">
        <v>0.154</v>
      </c>
      <c r="S1398" s="47">
        <v>2.0699999999999998</v>
      </c>
      <c r="T1398" s="31">
        <v>0</v>
      </c>
      <c r="V1398">
        <v>1396</v>
      </c>
      <c r="W1398">
        <v>26</v>
      </c>
      <c r="X1398">
        <v>1.4370000000000001</v>
      </c>
      <c r="Y1398" s="32">
        <v>3.25</v>
      </c>
      <c r="Z1398">
        <v>0</v>
      </c>
      <c r="AA1398" s="32">
        <v>1.373</v>
      </c>
      <c r="AB1398">
        <v>0</v>
      </c>
      <c r="AC1398" s="34">
        <v>0.14799999999999999</v>
      </c>
      <c r="AD1398" s="32">
        <v>1.9830000000000001</v>
      </c>
    </row>
    <row r="1399" spans="1:30">
      <c r="A1399">
        <v>1397</v>
      </c>
      <c r="B1399">
        <v>28</v>
      </c>
      <c r="C1399">
        <v>1.4259999999999999</v>
      </c>
      <c r="D1399">
        <v>3.25</v>
      </c>
      <c r="E1399">
        <v>0</v>
      </c>
      <c r="F1399">
        <v>1.4510000000000001</v>
      </c>
      <c r="G1399">
        <v>0</v>
      </c>
      <c r="H1399">
        <v>0.151</v>
      </c>
      <c r="I1399">
        <v>2.1080000000000001</v>
      </c>
      <c r="K1399">
        <v>1397</v>
      </c>
      <c r="L1399">
        <v>28</v>
      </c>
      <c r="M1399" s="32">
        <v>1.4259999999999999</v>
      </c>
      <c r="N1399" s="32">
        <v>3.25</v>
      </c>
      <c r="P1399" s="47">
        <v>1.4530000000000001</v>
      </c>
      <c r="R1399" s="47">
        <v>0.154</v>
      </c>
      <c r="S1399" s="47">
        <v>2.0720000000000001</v>
      </c>
      <c r="T1399" s="31">
        <v>0</v>
      </c>
      <c r="V1399">
        <v>1397</v>
      </c>
      <c r="W1399">
        <v>27</v>
      </c>
      <c r="X1399">
        <v>1.4379999999999999</v>
      </c>
      <c r="Y1399" s="32">
        <v>3.25</v>
      </c>
      <c r="Z1399">
        <v>0</v>
      </c>
      <c r="AA1399" s="32">
        <v>1.373</v>
      </c>
      <c r="AB1399">
        <v>0</v>
      </c>
      <c r="AC1399" s="34">
        <v>0.14799999999999999</v>
      </c>
      <c r="AD1399" s="32">
        <v>1.9850000000000001</v>
      </c>
    </row>
    <row r="1400" spans="1:30">
      <c r="A1400">
        <v>1398</v>
      </c>
      <c r="B1400">
        <v>28</v>
      </c>
      <c r="C1400">
        <v>1.427</v>
      </c>
      <c r="D1400">
        <v>3.25</v>
      </c>
      <c r="E1400">
        <v>0</v>
      </c>
      <c r="F1400">
        <v>1.4510000000000001</v>
      </c>
      <c r="G1400">
        <v>0</v>
      </c>
      <c r="H1400">
        <v>0.151</v>
      </c>
      <c r="I1400">
        <v>2.11</v>
      </c>
      <c r="K1400">
        <v>1398</v>
      </c>
      <c r="L1400">
        <v>28</v>
      </c>
      <c r="M1400" s="32">
        <v>1.427</v>
      </c>
      <c r="N1400" s="32">
        <v>3.25</v>
      </c>
      <c r="P1400" s="47">
        <v>1.4530000000000001</v>
      </c>
      <c r="R1400" s="47">
        <v>0.155</v>
      </c>
      <c r="S1400" s="47">
        <v>2.0739999999999998</v>
      </c>
      <c r="T1400" s="31">
        <v>0</v>
      </c>
      <c r="V1400">
        <v>1398</v>
      </c>
      <c r="W1400">
        <v>27</v>
      </c>
      <c r="X1400">
        <v>1.4390000000000001</v>
      </c>
      <c r="Y1400" s="32">
        <v>3.25</v>
      </c>
      <c r="Z1400">
        <v>0</v>
      </c>
      <c r="AA1400" s="32">
        <v>1.373</v>
      </c>
      <c r="AB1400">
        <v>0</v>
      </c>
      <c r="AC1400" s="34">
        <v>0.14799999999999999</v>
      </c>
      <c r="AD1400" s="32">
        <v>1.9870000000000001</v>
      </c>
    </row>
    <row r="1401" spans="1:30">
      <c r="A1401">
        <v>1399</v>
      </c>
      <c r="B1401">
        <v>28</v>
      </c>
      <c r="C1401">
        <v>1.4279999999999999</v>
      </c>
      <c r="D1401">
        <v>3.25</v>
      </c>
      <c r="E1401">
        <v>0</v>
      </c>
      <c r="F1401">
        <v>1.4510000000000001</v>
      </c>
      <c r="G1401">
        <v>0</v>
      </c>
      <c r="H1401">
        <v>0.151</v>
      </c>
      <c r="I1401">
        <v>2.1120000000000001</v>
      </c>
      <c r="K1401">
        <v>1399</v>
      </c>
      <c r="L1401">
        <v>28</v>
      </c>
      <c r="M1401" s="32">
        <v>1.4279999999999999</v>
      </c>
      <c r="N1401" s="32">
        <v>3.25</v>
      </c>
      <c r="P1401" s="47">
        <v>1.4530000000000001</v>
      </c>
      <c r="R1401" s="47">
        <v>0.155</v>
      </c>
      <c r="S1401" s="47">
        <v>2.0750000000000002</v>
      </c>
      <c r="T1401" s="31">
        <v>0</v>
      </c>
      <c r="V1401">
        <v>1399</v>
      </c>
      <c r="W1401">
        <v>27</v>
      </c>
      <c r="X1401">
        <v>1.44</v>
      </c>
      <c r="Y1401" s="32">
        <v>3.25</v>
      </c>
      <c r="Z1401">
        <v>0</v>
      </c>
      <c r="AA1401" s="32">
        <v>1.3740000000000001</v>
      </c>
      <c r="AB1401">
        <v>0</v>
      </c>
      <c r="AC1401" s="34">
        <v>0.14799999999999999</v>
      </c>
      <c r="AD1401" s="32">
        <v>1.9890000000000001</v>
      </c>
    </row>
    <row r="1402" spans="1:30">
      <c r="A1402">
        <v>1400</v>
      </c>
      <c r="B1402">
        <v>28</v>
      </c>
      <c r="C1402">
        <v>1.429</v>
      </c>
      <c r="D1402">
        <v>3.25</v>
      </c>
      <c r="E1402">
        <v>0</v>
      </c>
      <c r="F1402">
        <v>1.4510000000000001</v>
      </c>
      <c r="G1402">
        <v>0</v>
      </c>
      <c r="H1402">
        <v>0.151</v>
      </c>
      <c r="I1402">
        <v>2.1139999999999999</v>
      </c>
      <c r="K1402">
        <v>1400</v>
      </c>
      <c r="L1402">
        <v>28</v>
      </c>
      <c r="M1402" s="32">
        <v>1.429</v>
      </c>
      <c r="N1402" s="32">
        <v>3.25</v>
      </c>
      <c r="P1402" s="47">
        <v>1.454</v>
      </c>
      <c r="R1402" s="47">
        <v>0.155</v>
      </c>
      <c r="S1402" s="47">
        <v>2.077</v>
      </c>
      <c r="T1402" s="31">
        <v>0</v>
      </c>
      <c r="V1402">
        <v>1400</v>
      </c>
      <c r="W1402">
        <v>27</v>
      </c>
      <c r="X1402">
        <v>1.4410000000000001</v>
      </c>
      <c r="Y1402" s="32">
        <v>3.25</v>
      </c>
      <c r="Z1402">
        <v>0</v>
      </c>
      <c r="AA1402" s="32">
        <v>1.3740000000000001</v>
      </c>
      <c r="AB1402">
        <v>0</v>
      </c>
      <c r="AC1402" s="34">
        <v>0.14799999999999999</v>
      </c>
      <c r="AD1402" s="32">
        <v>1.99</v>
      </c>
    </row>
    <row r="1403" spans="1:30">
      <c r="A1403">
        <v>1401</v>
      </c>
      <c r="B1403">
        <v>28</v>
      </c>
      <c r="C1403">
        <v>1.43</v>
      </c>
      <c r="D1403">
        <v>3.25</v>
      </c>
      <c r="E1403">
        <v>0</v>
      </c>
      <c r="F1403">
        <v>1.454</v>
      </c>
      <c r="G1403">
        <v>0</v>
      </c>
      <c r="H1403">
        <v>0.151</v>
      </c>
      <c r="I1403">
        <v>2.133</v>
      </c>
      <c r="K1403">
        <v>1401</v>
      </c>
      <c r="L1403">
        <v>28</v>
      </c>
      <c r="M1403" s="32">
        <v>1.43</v>
      </c>
      <c r="N1403" s="32">
        <v>3.25</v>
      </c>
      <c r="P1403" s="32">
        <v>1.454</v>
      </c>
      <c r="R1403" s="47">
        <v>0.155</v>
      </c>
      <c r="S1403" s="47">
        <v>2.0790000000000002</v>
      </c>
      <c r="T1403" s="31">
        <v>0</v>
      </c>
      <c r="V1403">
        <v>1401</v>
      </c>
      <c r="W1403">
        <v>27</v>
      </c>
      <c r="X1403">
        <v>1.4419999999999999</v>
      </c>
      <c r="Y1403" s="32">
        <v>3.25</v>
      </c>
      <c r="Z1403">
        <v>0</v>
      </c>
      <c r="AA1403" s="32">
        <v>1.3740000000000001</v>
      </c>
      <c r="AB1403">
        <v>0</v>
      </c>
      <c r="AC1403" s="34">
        <v>0.14799999999999999</v>
      </c>
      <c r="AD1403" s="32">
        <v>1.992</v>
      </c>
    </row>
    <row r="1404" spans="1:30">
      <c r="A1404">
        <v>1402</v>
      </c>
      <c r="B1404">
        <v>28</v>
      </c>
      <c r="C1404">
        <v>1.431</v>
      </c>
      <c r="D1404">
        <v>3.25</v>
      </c>
      <c r="E1404">
        <v>0</v>
      </c>
      <c r="F1404">
        <v>1.454</v>
      </c>
      <c r="G1404">
        <v>0</v>
      </c>
      <c r="H1404">
        <v>0.151</v>
      </c>
      <c r="I1404">
        <v>2.1349999999999998</v>
      </c>
      <c r="K1404">
        <v>1402</v>
      </c>
      <c r="L1404">
        <v>28</v>
      </c>
      <c r="M1404" s="32">
        <v>1.431</v>
      </c>
      <c r="N1404" s="32">
        <v>3.25</v>
      </c>
      <c r="P1404" s="32">
        <v>1.454</v>
      </c>
      <c r="R1404" s="47">
        <v>0.155</v>
      </c>
      <c r="S1404" s="47">
        <v>2.081</v>
      </c>
      <c r="T1404" s="31">
        <v>0</v>
      </c>
      <c r="V1404">
        <v>1402</v>
      </c>
      <c r="W1404">
        <v>27</v>
      </c>
      <c r="X1404">
        <v>1.4430000000000001</v>
      </c>
      <c r="Y1404" s="32">
        <v>3.25</v>
      </c>
      <c r="Z1404">
        <v>0</v>
      </c>
      <c r="AA1404" s="32">
        <v>1.375</v>
      </c>
      <c r="AB1404">
        <v>0</v>
      </c>
      <c r="AC1404" s="34">
        <v>0.14799999999999999</v>
      </c>
      <c r="AD1404" s="32">
        <v>1.994</v>
      </c>
    </row>
    <row r="1405" spans="1:30">
      <c r="A1405">
        <v>1403</v>
      </c>
      <c r="B1405">
        <v>28</v>
      </c>
      <c r="C1405">
        <v>1.4319999999999999</v>
      </c>
      <c r="D1405">
        <v>3.25</v>
      </c>
      <c r="E1405">
        <v>0</v>
      </c>
      <c r="F1405">
        <v>1.454</v>
      </c>
      <c r="G1405">
        <v>0</v>
      </c>
      <c r="H1405">
        <v>0.151</v>
      </c>
      <c r="I1405">
        <v>2.137</v>
      </c>
      <c r="K1405">
        <v>1403</v>
      </c>
      <c r="L1405">
        <v>28</v>
      </c>
      <c r="M1405" s="32">
        <v>1.4319999999999999</v>
      </c>
      <c r="N1405" s="32">
        <v>3.25</v>
      </c>
      <c r="P1405" s="47">
        <v>1.4550000000000001</v>
      </c>
      <c r="R1405" s="47">
        <v>0.155</v>
      </c>
      <c r="S1405" s="47">
        <v>2.0830000000000002</v>
      </c>
      <c r="T1405" s="31">
        <v>0</v>
      </c>
      <c r="V1405">
        <v>1403</v>
      </c>
      <c r="W1405">
        <v>27</v>
      </c>
      <c r="X1405">
        <v>1.444</v>
      </c>
      <c r="Y1405" s="32">
        <v>3.25</v>
      </c>
      <c r="Z1405">
        <v>0</v>
      </c>
      <c r="AA1405" s="32">
        <v>1.375</v>
      </c>
      <c r="AB1405">
        <v>0</v>
      </c>
      <c r="AC1405" s="34">
        <v>0.14799999999999999</v>
      </c>
      <c r="AD1405" s="32">
        <v>1.996</v>
      </c>
    </row>
    <row r="1406" spans="1:30">
      <c r="A1406">
        <v>1404</v>
      </c>
      <c r="B1406">
        <v>28</v>
      </c>
      <c r="C1406">
        <v>1.4330000000000001</v>
      </c>
      <c r="D1406">
        <v>3.25</v>
      </c>
      <c r="E1406">
        <v>0</v>
      </c>
      <c r="F1406">
        <v>1.454</v>
      </c>
      <c r="G1406">
        <v>0</v>
      </c>
      <c r="H1406">
        <v>0.151</v>
      </c>
      <c r="I1406">
        <v>2.1389999999999998</v>
      </c>
      <c r="K1406">
        <v>1404</v>
      </c>
      <c r="L1406">
        <v>28</v>
      </c>
      <c r="M1406" s="32">
        <v>1.4330000000000001</v>
      </c>
      <c r="N1406" s="32">
        <v>3.25</v>
      </c>
      <c r="P1406" s="47">
        <v>1.4550000000000001</v>
      </c>
      <c r="R1406" s="47">
        <v>0.155</v>
      </c>
      <c r="S1406" s="47">
        <v>2.085</v>
      </c>
      <c r="T1406" s="31">
        <v>0</v>
      </c>
      <c r="V1406">
        <v>1404</v>
      </c>
      <c r="W1406">
        <v>27</v>
      </c>
      <c r="X1406">
        <v>1.4450000000000001</v>
      </c>
      <c r="Y1406" s="32">
        <v>3.25</v>
      </c>
      <c r="Z1406">
        <v>0</v>
      </c>
      <c r="AA1406" s="32">
        <v>1.375</v>
      </c>
      <c r="AB1406">
        <v>0</v>
      </c>
      <c r="AC1406" s="34">
        <v>0.14799999999999999</v>
      </c>
      <c r="AD1406" s="32">
        <v>1.9970000000000001</v>
      </c>
    </row>
    <row r="1407" spans="1:30">
      <c r="A1407">
        <v>1405</v>
      </c>
      <c r="B1407">
        <v>28</v>
      </c>
      <c r="C1407">
        <v>1.4339999999999999</v>
      </c>
      <c r="D1407">
        <v>3.25</v>
      </c>
      <c r="E1407">
        <v>0</v>
      </c>
      <c r="F1407">
        <v>1.454</v>
      </c>
      <c r="G1407">
        <v>0</v>
      </c>
      <c r="H1407">
        <v>0.151</v>
      </c>
      <c r="I1407">
        <v>2.141</v>
      </c>
      <c r="K1407">
        <v>1405</v>
      </c>
      <c r="L1407">
        <v>28</v>
      </c>
      <c r="M1407" s="32">
        <v>1.4339999999999999</v>
      </c>
      <c r="N1407" s="32">
        <v>3.25</v>
      </c>
      <c r="P1407" s="47">
        <v>1.4550000000000001</v>
      </c>
      <c r="R1407" s="47">
        <v>0.156</v>
      </c>
      <c r="S1407" s="47">
        <v>2.0870000000000002</v>
      </c>
      <c r="T1407" s="31">
        <v>0</v>
      </c>
      <c r="V1407">
        <v>1405</v>
      </c>
      <c r="W1407">
        <v>27</v>
      </c>
      <c r="X1407">
        <v>1.446</v>
      </c>
      <c r="Y1407" s="32">
        <v>3.25</v>
      </c>
      <c r="Z1407">
        <v>0</v>
      </c>
      <c r="AA1407" s="32">
        <v>1.3759999999999999</v>
      </c>
      <c r="AB1407">
        <v>0</v>
      </c>
      <c r="AC1407" s="34">
        <v>0.14799999999999999</v>
      </c>
      <c r="AD1407" s="32">
        <v>1.9990000000000001</v>
      </c>
    </row>
    <row r="1408" spans="1:30">
      <c r="A1408">
        <v>1406</v>
      </c>
      <c r="B1408">
        <v>28</v>
      </c>
      <c r="C1408">
        <v>1.4350000000000001</v>
      </c>
      <c r="D1408">
        <v>3.25</v>
      </c>
      <c r="E1408">
        <v>0</v>
      </c>
      <c r="F1408">
        <v>1.454</v>
      </c>
      <c r="G1408">
        <v>0</v>
      </c>
      <c r="H1408">
        <v>0.151</v>
      </c>
      <c r="I1408">
        <v>2.1419999999999999</v>
      </c>
      <c r="K1408">
        <v>1406</v>
      </c>
      <c r="L1408">
        <v>28</v>
      </c>
      <c r="M1408" s="32">
        <v>1.4350000000000001</v>
      </c>
      <c r="N1408" s="32">
        <v>3.25</v>
      </c>
      <c r="P1408" s="47">
        <v>1.456</v>
      </c>
      <c r="R1408" s="47">
        <v>0.156</v>
      </c>
      <c r="S1408" s="47">
        <v>2.089</v>
      </c>
      <c r="T1408" s="31">
        <v>0</v>
      </c>
      <c r="V1408">
        <v>1406</v>
      </c>
      <c r="W1408">
        <v>27</v>
      </c>
      <c r="X1408">
        <v>1.4470000000000001</v>
      </c>
      <c r="Y1408" s="32">
        <v>3.25</v>
      </c>
      <c r="Z1408">
        <v>0</v>
      </c>
      <c r="AA1408" s="32">
        <v>1.3759999999999999</v>
      </c>
      <c r="AB1408">
        <v>0</v>
      </c>
      <c r="AC1408" s="34">
        <v>0.14799999999999999</v>
      </c>
      <c r="AD1408" s="32">
        <v>2.0009999999999999</v>
      </c>
    </row>
    <row r="1409" spans="1:30">
      <c r="A1409">
        <v>1407</v>
      </c>
      <c r="B1409">
        <v>28</v>
      </c>
      <c r="C1409">
        <v>1.4359999999999999</v>
      </c>
      <c r="D1409">
        <v>3.25</v>
      </c>
      <c r="E1409">
        <v>0</v>
      </c>
      <c r="F1409">
        <v>1.454</v>
      </c>
      <c r="G1409">
        <v>0</v>
      </c>
      <c r="H1409">
        <v>0.151</v>
      </c>
      <c r="I1409">
        <v>2.1440000000000001</v>
      </c>
      <c r="K1409">
        <v>1407</v>
      </c>
      <c r="L1409">
        <v>28</v>
      </c>
      <c r="M1409" s="32">
        <v>1.4359999999999999</v>
      </c>
      <c r="N1409" s="32">
        <v>3.25</v>
      </c>
      <c r="P1409" s="47">
        <v>1.456</v>
      </c>
      <c r="R1409" s="47">
        <v>0.156</v>
      </c>
      <c r="S1409" s="47">
        <v>2.09</v>
      </c>
      <c r="T1409" s="31">
        <v>0</v>
      </c>
      <c r="V1409">
        <v>1407</v>
      </c>
      <c r="W1409">
        <v>27</v>
      </c>
      <c r="X1409">
        <v>1.448</v>
      </c>
      <c r="Y1409" s="32">
        <v>3.25</v>
      </c>
      <c r="Z1409">
        <v>0</v>
      </c>
      <c r="AA1409" s="32">
        <v>1.3759999999999999</v>
      </c>
      <c r="AB1409">
        <v>0</v>
      </c>
      <c r="AC1409" s="34">
        <v>0.14799999999999999</v>
      </c>
      <c r="AD1409" s="32">
        <v>2.0030000000000001</v>
      </c>
    </row>
    <row r="1410" spans="1:30">
      <c r="A1410">
        <v>1408</v>
      </c>
      <c r="B1410">
        <v>28</v>
      </c>
      <c r="C1410">
        <v>1.4370000000000001</v>
      </c>
      <c r="D1410">
        <v>3.25</v>
      </c>
      <c r="E1410">
        <v>0</v>
      </c>
      <c r="F1410">
        <v>1.454</v>
      </c>
      <c r="G1410">
        <v>0</v>
      </c>
      <c r="H1410">
        <v>0.151</v>
      </c>
      <c r="I1410">
        <v>2.1459999999999999</v>
      </c>
      <c r="K1410">
        <v>1408</v>
      </c>
      <c r="L1410">
        <v>28</v>
      </c>
      <c r="M1410" s="32">
        <v>1.4370000000000001</v>
      </c>
      <c r="N1410" s="32">
        <v>3.25</v>
      </c>
      <c r="P1410" s="47">
        <v>1.456</v>
      </c>
      <c r="R1410" s="47">
        <v>0.156</v>
      </c>
      <c r="S1410" s="47">
        <v>2.0920000000000001</v>
      </c>
      <c r="T1410" s="31">
        <v>0</v>
      </c>
      <c r="V1410">
        <v>1408</v>
      </c>
      <c r="W1410">
        <v>27</v>
      </c>
      <c r="X1410">
        <v>1.4490000000000001</v>
      </c>
      <c r="Y1410" s="32">
        <v>3.25</v>
      </c>
      <c r="Z1410">
        <v>0</v>
      </c>
      <c r="AA1410" s="32">
        <v>1.377</v>
      </c>
      <c r="AB1410">
        <v>0</v>
      </c>
      <c r="AC1410" s="34">
        <v>0.14899999999999999</v>
      </c>
      <c r="AD1410" s="32">
        <v>2.004</v>
      </c>
    </row>
    <row r="1411" spans="1:30">
      <c r="A1411">
        <v>1409</v>
      </c>
      <c r="B1411">
        <v>28</v>
      </c>
      <c r="C1411">
        <v>1.4379999999999999</v>
      </c>
      <c r="D1411">
        <v>3.25</v>
      </c>
      <c r="E1411">
        <v>0</v>
      </c>
      <c r="F1411">
        <v>1.454</v>
      </c>
      <c r="G1411">
        <v>0</v>
      </c>
      <c r="H1411">
        <v>0.151</v>
      </c>
      <c r="I1411">
        <v>2.1480000000000001</v>
      </c>
      <c r="K1411">
        <v>1409</v>
      </c>
      <c r="L1411">
        <v>28</v>
      </c>
      <c r="M1411" s="32">
        <v>1.4379999999999999</v>
      </c>
      <c r="N1411" s="32">
        <v>3.25</v>
      </c>
      <c r="P1411" s="47">
        <v>1.456</v>
      </c>
      <c r="R1411" s="47">
        <v>0.156</v>
      </c>
      <c r="S1411" s="47">
        <v>2.0939999999999999</v>
      </c>
      <c r="T1411" s="31">
        <v>0</v>
      </c>
      <c r="V1411">
        <v>1409</v>
      </c>
      <c r="W1411">
        <v>27</v>
      </c>
      <c r="X1411">
        <v>1.45</v>
      </c>
      <c r="Y1411" s="32">
        <v>3.25</v>
      </c>
      <c r="Z1411">
        <v>0</v>
      </c>
      <c r="AA1411" s="32">
        <v>1.377</v>
      </c>
      <c r="AB1411">
        <v>0</v>
      </c>
      <c r="AC1411" s="34">
        <v>0.14899999999999999</v>
      </c>
      <c r="AD1411" s="32">
        <v>2.0059999999999998</v>
      </c>
    </row>
    <row r="1412" spans="1:30">
      <c r="A1412">
        <v>1410</v>
      </c>
      <c r="B1412">
        <v>28</v>
      </c>
      <c r="C1412">
        <v>1.4390000000000001</v>
      </c>
      <c r="D1412">
        <v>3.25</v>
      </c>
      <c r="E1412">
        <v>0</v>
      </c>
      <c r="F1412">
        <v>1.454</v>
      </c>
      <c r="G1412">
        <v>0</v>
      </c>
      <c r="H1412">
        <v>0.151</v>
      </c>
      <c r="I1412">
        <v>2.15</v>
      </c>
      <c r="K1412">
        <v>1410</v>
      </c>
      <c r="L1412">
        <v>28</v>
      </c>
      <c r="M1412" s="32">
        <v>1.4390000000000001</v>
      </c>
      <c r="N1412" s="32">
        <v>3.25</v>
      </c>
      <c r="P1412" s="47">
        <v>1.4570000000000001</v>
      </c>
      <c r="R1412" s="47">
        <v>0.156</v>
      </c>
      <c r="S1412" s="47">
        <v>2.0960000000000001</v>
      </c>
      <c r="T1412" s="31">
        <v>0</v>
      </c>
      <c r="V1412">
        <v>1410</v>
      </c>
      <c r="W1412">
        <v>27</v>
      </c>
      <c r="X1412">
        <v>1.4510000000000001</v>
      </c>
      <c r="Y1412" s="32">
        <v>3.25</v>
      </c>
      <c r="Z1412">
        <v>0</v>
      </c>
      <c r="AA1412" s="32">
        <v>1.377</v>
      </c>
      <c r="AB1412">
        <v>0</v>
      </c>
      <c r="AC1412" s="34">
        <v>0.14899999999999999</v>
      </c>
      <c r="AD1412" s="32">
        <v>2.008</v>
      </c>
    </row>
    <row r="1413" spans="1:30">
      <c r="A1413">
        <v>1411</v>
      </c>
      <c r="B1413">
        <v>28</v>
      </c>
      <c r="C1413">
        <v>1.44</v>
      </c>
      <c r="D1413">
        <v>3.25</v>
      </c>
      <c r="E1413">
        <v>0</v>
      </c>
      <c r="F1413">
        <v>1.4570000000000001</v>
      </c>
      <c r="G1413">
        <v>0</v>
      </c>
      <c r="H1413">
        <v>0.151</v>
      </c>
      <c r="I1413">
        <v>2.17</v>
      </c>
      <c r="K1413">
        <v>1411</v>
      </c>
      <c r="L1413">
        <v>28</v>
      </c>
      <c r="M1413" s="32">
        <v>1.44</v>
      </c>
      <c r="N1413" s="32">
        <v>3.25</v>
      </c>
      <c r="P1413" s="32">
        <v>1.4570000000000001</v>
      </c>
      <c r="R1413" s="47">
        <v>0.156</v>
      </c>
      <c r="S1413" s="47">
        <v>2.0979999999999999</v>
      </c>
      <c r="T1413" s="31">
        <v>0</v>
      </c>
      <c r="V1413">
        <v>1411</v>
      </c>
      <c r="W1413">
        <v>27</v>
      </c>
      <c r="X1413">
        <v>1.452</v>
      </c>
      <c r="Y1413" s="32">
        <v>3.25</v>
      </c>
      <c r="Z1413">
        <v>0</v>
      </c>
      <c r="AA1413" s="32">
        <v>1.3779999999999999</v>
      </c>
      <c r="AB1413">
        <v>0</v>
      </c>
      <c r="AC1413" s="34">
        <v>0.14899999999999999</v>
      </c>
      <c r="AD1413" s="32">
        <v>2.0099999999999998</v>
      </c>
    </row>
    <row r="1414" spans="1:30">
      <c r="A1414">
        <v>1412</v>
      </c>
      <c r="B1414">
        <v>28</v>
      </c>
      <c r="C1414">
        <v>1.4410000000000001</v>
      </c>
      <c r="D1414">
        <v>3.25</v>
      </c>
      <c r="E1414">
        <v>0</v>
      </c>
      <c r="F1414">
        <v>1.4570000000000001</v>
      </c>
      <c r="G1414">
        <v>0</v>
      </c>
      <c r="H1414">
        <v>0.151</v>
      </c>
      <c r="I1414">
        <v>2.1720000000000002</v>
      </c>
      <c r="K1414">
        <v>1412</v>
      </c>
      <c r="L1414">
        <v>28</v>
      </c>
      <c r="M1414" s="32">
        <v>1.4410000000000001</v>
      </c>
      <c r="N1414" s="32">
        <v>3.25</v>
      </c>
      <c r="P1414" s="32">
        <v>1.4570000000000001</v>
      </c>
      <c r="R1414" s="47">
        <v>0.156</v>
      </c>
      <c r="S1414" s="47">
        <v>2.1</v>
      </c>
      <c r="T1414" s="31">
        <v>0</v>
      </c>
      <c r="V1414">
        <v>1412</v>
      </c>
      <c r="W1414">
        <v>27</v>
      </c>
      <c r="X1414">
        <v>1.4530000000000001</v>
      </c>
      <c r="Y1414" s="32">
        <v>3.25</v>
      </c>
      <c r="Z1414">
        <v>0</v>
      </c>
      <c r="AA1414" s="32">
        <v>1.3779999999999999</v>
      </c>
      <c r="AB1414">
        <v>0</v>
      </c>
      <c r="AC1414" s="34">
        <v>0.14899999999999999</v>
      </c>
      <c r="AD1414" s="32">
        <v>2.012</v>
      </c>
    </row>
    <row r="1415" spans="1:30">
      <c r="A1415">
        <v>1413</v>
      </c>
      <c r="B1415">
        <v>28</v>
      </c>
      <c r="C1415">
        <v>1.4419999999999999</v>
      </c>
      <c r="D1415">
        <v>3.25</v>
      </c>
      <c r="E1415">
        <v>0</v>
      </c>
      <c r="F1415">
        <v>1.4570000000000001</v>
      </c>
      <c r="G1415">
        <v>0</v>
      </c>
      <c r="H1415">
        <v>0.151</v>
      </c>
      <c r="I1415">
        <v>2.1739999999999999</v>
      </c>
      <c r="K1415">
        <v>1413</v>
      </c>
      <c r="L1415">
        <v>28</v>
      </c>
      <c r="M1415" s="32">
        <v>1.4419999999999999</v>
      </c>
      <c r="N1415" s="32">
        <v>3.25</v>
      </c>
      <c r="P1415" s="32">
        <v>1.4570000000000001</v>
      </c>
      <c r="R1415" s="47">
        <v>0.157</v>
      </c>
      <c r="S1415" s="47">
        <v>2.1019999999999999</v>
      </c>
      <c r="T1415" s="31">
        <v>0</v>
      </c>
      <c r="V1415">
        <v>1413</v>
      </c>
      <c r="W1415">
        <v>27</v>
      </c>
      <c r="X1415">
        <v>1.454</v>
      </c>
      <c r="Y1415" s="32">
        <v>3.25</v>
      </c>
      <c r="Z1415">
        <v>0</v>
      </c>
      <c r="AA1415" s="32">
        <v>1.3779999999999999</v>
      </c>
      <c r="AB1415">
        <v>0</v>
      </c>
      <c r="AC1415" s="34">
        <v>0.14899999999999999</v>
      </c>
      <c r="AD1415" s="32">
        <v>2.0129999999999999</v>
      </c>
    </row>
    <row r="1416" spans="1:30">
      <c r="A1416">
        <v>1414</v>
      </c>
      <c r="B1416">
        <v>28</v>
      </c>
      <c r="C1416">
        <v>1.4430000000000001</v>
      </c>
      <c r="D1416">
        <v>3.25</v>
      </c>
      <c r="E1416">
        <v>0</v>
      </c>
      <c r="F1416">
        <v>1.4570000000000001</v>
      </c>
      <c r="G1416">
        <v>0</v>
      </c>
      <c r="H1416">
        <v>0.151</v>
      </c>
      <c r="I1416">
        <v>2.1760000000000002</v>
      </c>
      <c r="K1416">
        <v>1414</v>
      </c>
      <c r="L1416">
        <v>28</v>
      </c>
      <c r="M1416" s="32">
        <v>1.4430000000000001</v>
      </c>
      <c r="N1416" s="32">
        <v>3.25</v>
      </c>
      <c r="P1416" s="47">
        <v>1.458</v>
      </c>
      <c r="R1416" s="47">
        <v>0.157</v>
      </c>
      <c r="S1416" s="47">
        <v>2.1030000000000002</v>
      </c>
      <c r="T1416" s="31">
        <v>0</v>
      </c>
      <c r="V1416">
        <v>1414</v>
      </c>
      <c r="W1416">
        <v>27</v>
      </c>
      <c r="X1416">
        <v>1.4550000000000001</v>
      </c>
      <c r="Y1416" s="32">
        <v>3.25</v>
      </c>
      <c r="Z1416">
        <v>0</v>
      </c>
      <c r="AA1416" s="32">
        <v>1.379</v>
      </c>
      <c r="AB1416">
        <v>0</v>
      </c>
      <c r="AC1416" s="34">
        <v>0.14899999999999999</v>
      </c>
      <c r="AD1416" s="32">
        <v>2.0150000000000001</v>
      </c>
    </row>
    <row r="1417" spans="1:30">
      <c r="A1417">
        <v>1415</v>
      </c>
      <c r="B1417">
        <v>28</v>
      </c>
      <c r="C1417">
        <v>1.444</v>
      </c>
      <c r="D1417">
        <v>3.25</v>
      </c>
      <c r="E1417">
        <v>0</v>
      </c>
      <c r="F1417">
        <v>1.4570000000000001</v>
      </c>
      <c r="G1417">
        <v>0</v>
      </c>
      <c r="H1417">
        <v>0.151</v>
      </c>
      <c r="I1417">
        <v>2.1779999999999999</v>
      </c>
      <c r="K1417">
        <v>1415</v>
      </c>
      <c r="L1417">
        <v>28</v>
      </c>
      <c r="M1417" s="32">
        <v>1.444</v>
      </c>
      <c r="N1417" s="32">
        <v>3.25</v>
      </c>
      <c r="P1417" s="47">
        <v>1.458</v>
      </c>
      <c r="R1417" s="47">
        <v>0.157</v>
      </c>
      <c r="S1417" s="47">
        <v>2.105</v>
      </c>
      <c r="T1417" s="31">
        <v>0</v>
      </c>
      <c r="V1417">
        <v>1415</v>
      </c>
      <c r="W1417">
        <v>27</v>
      </c>
      <c r="X1417">
        <v>1.456</v>
      </c>
      <c r="Y1417" s="32">
        <v>3.25</v>
      </c>
      <c r="Z1417">
        <v>0</v>
      </c>
      <c r="AA1417" s="32">
        <v>1.379</v>
      </c>
      <c r="AB1417">
        <v>0</v>
      </c>
      <c r="AC1417" s="34">
        <v>0.14899999999999999</v>
      </c>
      <c r="AD1417" s="32">
        <v>2.0169999999999999</v>
      </c>
    </row>
    <row r="1418" spans="1:30">
      <c r="A1418">
        <v>1416</v>
      </c>
      <c r="B1418">
        <v>28</v>
      </c>
      <c r="C1418">
        <v>1.4450000000000001</v>
      </c>
      <c r="D1418">
        <v>3.25</v>
      </c>
      <c r="E1418">
        <v>0</v>
      </c>
      <c r="F1418">
        <v>1.4570000000000001</v>
      </c>
      <c r="G1418">
        <v>0</v>
      </c>
      <c r="H1418">
        <v>0.151</v>
      </c>
      <c r="I1418">
        <v>2.1800000000000002</v>
      </c>
      <c r="K1418">
        <v>1416</v>
      </c>
      <c r="L1418">
        <v>28</v>
      </c>
      <c r="M1418" s="32">
        <v>1.4450000000000001</v>
      </c>
      <c r="N1418" s="32">
        <v>3.25</v>
      </c>
      <c r="P1418" s="47">
        <v>1.458</v>
      </c>
      <c r="R1418" s="47">
        <v>0.157</v>
      </c>
      <c r="S1418" s="47">
        <v>2.1070000000000002</v>
      </c>
      <c r="T1418" s="31">
        <v>0</v>
      </c>
      <c r="V1418">
        <v>1416</v>
      </c>
      <c r="W1418">
        <v>27</v>
      </c>
      <c r="X1418">
        <v>1.4570000000000001</v>
      </c>
      <c r="Y1418" s="32">
        <v>3.25</v>
      </c>
      <c r="Z1418">
        <v>0</v>
      </c>
      <c r="AA1418" s="32">
        <v>1.379</v>
      </c>
      <c r="AB1418">
        <v>0</v>
      </c>
      <c r="AC1418" s="34">
        <v>0.14899999999999999</v>
      </c>
      <c r="AD1418" s="32">
        <v>2.0190000000000001</v>
      </c>
    </row>
    <row r="1419" spans="1:30">
      <c r="A1419">
        <v>1417</v>
      </c>
      <c r="B1419">
        <v>28</v>
      </c>
      <c r="C1419">
        <v>1.446</v>
      </c>
      <c r="D1419">
        <v>3.25</v>
      </c>
      <c r="E1419">
        <v>0</v>
      </c>
      <c r="F1419">
        <v>1.4570000000000001</v>
      </c>
      <c r="G1419">
        <v>0</v>
      </c>
      <c r="H1419">
        <v>0.151</v>
      </c>
      <c r="I1419">
        <v>2.181</v>
      </c>
      <c r="K1419">
        <v>1417</v>
      </c>
      <c r="L1419">
        <v>28</v>
      </c>
      <c r="M1419" s="32">
        <v>1.446</v>
      </c>
      <c r="N1419" s="32">
        <v>3.25</v>
      </c>
      <c r="P1419" s="47">
        <v>1.458</v>
      </c>
      <c r="R1419" s="47">
        <v>0.157</v>
      </c>
      <c r="S1419" s="47">
        <v>2.109</v>
      </c>
      <c r="T1419" s="31">
        <v>0</v>
      </c>
      <c r="V1419">
        <v>1417</v>
      </c>
      <c r="W1419">
        <v>27</v>
      </c>
      <c r="X1419">
        <v>1.458</v>
      </c>
      <c r="Y1419" s="32">
        <v>3.25</v>
      </c>
      <c r="Z1419">
        <v>0</v>
      </c>
      <c r="AA1419" s="32">
        <v>1.38</v>
      </c>
      <c r="AB1419">
        <v>0</v>
      </c>
      <c r="AC1419" s="34">
        <v>0.14899999999999999</v>
      </c>
      <c r="AD1419" s="32">
        <v>2.02</v>
      </c>
    </row>
    <row r="1420" spans="1:30">
      <c r="A1420">
        <v>1418</v>
      </c>
      <c r="B1420">
        <v>28</v>
      </c>
      <c r="C1420">
        <v>1.4470000000000001</v>
      </c>
      <c r="D1420">
        <v>3.25</v>
      </c>
      <c r="E1420">
        <v>0</v>
      </c>
      <c r="F1420">
        <v>1.4570000000000001</v>
      </c>
      <c r="G1420">
        <v>0</v>
      </c>
      <c r="H1420">
        <v>0.151</v>
      </c>
      <c r="I1420">
        <v>2.1829999999999998</v>
      </c>
      <c r="K1420">
        <v>1418</v>
      </c>
      <c r="L1420">
        <v>28</v>
      </c>
      <c r="M1420" s="32">
        <v>1.4470000000000001</v>
      </c>
      <c r="N1420" s="32">
        <v>3.25</v>
      </c>
      <c r="P1420" s="47">
        <v>1.458</v>
      </c>
      <c r="R1420" s="47">
        <v>0.157</v>
      </c>
      <c r="S1420" s="47">
        <v>2.1110000000000002</v>
      </c>
      <c r="T1420" s="31">
        <v>0</v>
      </c>
      <c r="V1420">
        <v>1418</v>
      </c>
      <c r="W1420">
        <v>27</v>
      </c>
      <c r="X1420">
        <v>1.4590000000000001</v>
      </c>
      <c r="Y1420" s="32">
        <v>3.25</v>
      </c>
      <c r="Z1420">
        <v>0</v>
      </c>
      <c r="AA1420" s="32">
        <v>1.38</v>
      </c>
      <c r="AB1420">
        <v>0</v>
      </c>
      <c r="AC1420" s="34">
        <v>0.14899999999999999</v>
      </c>
      <c r="AD1420" s="32">
        <v>2.0219999999999998</v>
      </c>
    </row>
    <row r="1421" spans="1:30">
      <c r="A1421">
        <v>1419</v>
      </c>
      <c r="B1421">
        <v>28</v>
      </c>
      <c r="C1421">
        <v>1.448</v>
      </c>
      <c r="D1421">
        <v>3.25</v>
      </c>
      <c r="E1421">
        <v>0</v>
      </c>
      <c r="F1421">
        <v>1.4570000000000001</v>
      </c>
      <c r="G1421">
        <v>0</v>
      </c>
      <c r="H1421">
        <v>0.151</v>
      </c>
      <c r="I1421">
        <v>2.1850000000000001</v>
      </c>
      <c r="K1421">
        <v>1419</v>
      </c>
      <c r="L1421">
        <v>28</v>
      </c>
      <c r="M1421" s="32">
        <v>1.448</v>
      </c>
      <c r="N1421" s="32">
        <v>3.25</v>
      </c>
      <c r="P1421" s="47">
        <v>1.4590000000000001</v>
      </c>
      <c r="R1421" s="47">
        <v>0.157</v>
      </c>
      <c r="S1421" s="47">
        <v>2.1120000000000001</v>
      </c>
      <c r="T1421" s="31">
        <v>0</v>
      </c>
      <c r="V1421">
        <v>1419</v>
      </c>
      <c r="W1421">
        <v>27</v>
      </c>
      <c r="X1421">
        <v>1.46</v>
      </c>
      <c r="Y1421" s="32">
        <v>3.25</v>
      </c>
      <c r="Z1421">
        <v>0</v>
      </c>
      <c r="AA1421" s="32">
        <v>1.38</v>
      </c>
      <c r="AB1421">
        <v>0</v>
      </c>
      <c r="AC1421" s="34">
        <v>0.14899999999999999</v>
      </c>
      <c r="AD1421" s="32">
        <v>2.024</v>
      </c>
    </row>
    <row r="1422" spans="1:30">
      <c r="A1422">
        <v>1420</v>
      </c>
      <c r="B1422">
        <v>28</v>
      </c>
      <c r="C1422">
        <v>1.4490000000000001</v>
      </c>
      <c r="D1422">
        <v>3.25</v>
      </c>
      <c r="E1422">
        <v>0</v>
      </c>
      <c r="F1422">
        <v>1.4570000000000001</v>
      </c>
      <c r="G1422">
        <v>0</v>
      </c>
      <c r="H1422">
        <v>0.151</v>
      </c>
      <c r="I1422">
        <v>2.1869999999999998</v>
      </c>
      <c r="K1422">
        <v>1420</v>
      </c>
      <c r="L1422">
        <v>28</v>
      </c>
      <c r="M1422" s="32">
        <v>1.4490000000000001</v>
      </c>
      <c r="N1422" s="32">
        <v>3.25</v>
      </c>
      <c r="P1422" s="47">
        <v>1.4590000000000001</v>
      </c>
      <c r="R1422" s="47">
        <v>0.158</v>
      </c>
      <c r="S1422" s="47">
        <v>2.1139999999999999</v>
      </c>
      <c r="T1422" s="31">
        <v>0</v>
      </c>
      <c r="V1422">
        <v>1420</v>
      </c>
      <c r="W1422">
        <v>27</v>
      </c>
      <c r="X1422">
        <v>1.4610000000000001</v>
      </c>
      <c r="Y1422" s="32">
        <v>3.25</v>
      </c>
      <c r="Z1422">
        <v>0</v>
      </c>
      <c r="AA1422" s="32">
        <v>1.381</v>
      </c>
      <c r="AB1422">
        <v>0</v>
      </c>
      <c r="AC1422" s="34">
        <v>0.14899999999999999</v>
      </c>
      <c r="AD1422" s="32">
        <v>2.0259999999999998</v>
      </c>
    </row>
    <row r="1423" spans="1:30">
      <c r="A1423">
        <v>1421</v>
      </c>
      <c r="B1423">
        <v>28</v>
      </c>
      <c r="C1423">
        <v>1.45</v>
      </c>
      <c r="D1423">
        <v>3.25</v>
      </c>
      <c r="E1423">
        <v>0</v>
      </c>
      <c r="F1423">
        <v>1.4590000000000001</v>
      </c>
      <c r="G1423">
        <v>0</v>
      </c>
      <c r="H1423">
        <v>0.151</v>
      </c>
      <c r="I1423">
        <v>2.1160000000000001</v>
      </c>
      <c r="K1423">
        <v>1421</v>
      </c>
      <c r="L1423">
        <v>28</v>
      </c>
      <c r="M1423" s="32">
        <v>1.45</v>
      </c>
      <c r="N1423" s="32">
        <v>3.25</v>
      </c>
      <c r="P1423" s="32">
        <v>1.4590000000000001</v>
      </c>
      <c r="R1423" s="47">
        <v>0.158</v>
      </c>
      <c r="S1423" s="32">
        <v>2.1160000000000001</v>
      </c>
      <c r="T1423" s="31">
        <v>0</v>
      </c>
      <c r="V1423">
        <v>1421</v>
      </c>
      <c r="W1423">
        <v>27</v>
      </c>
      <c r="X1423">
        <v>1.462</v>
      </c>
      <c r="Y1423" s="32">
        <v>3.25</v>
      </c>
      <c r="Z1423">
        <v>0</v>
      </c>
      <c r="AA1423" s="32">
        <v>1.381</v>
      </c>
      <c r="AB1423">
        <v>0</v>
      </c>
      <c r="AC1423" s="34">
        <v>0.14899999999999999</v>
      </c>
      <c r="AD1423" s="32">
        <v>2.0270000000000001</v>
      </c>
    </row>
    <row r="1424" spans="1:30">
      <c r="A1424">
        <v>1422</v>
      </c>
      <c r="B1424">
        <v>28</v>
      </c>
      <c r="C1424">
        <v>1.4510000000000001</v>
      </c>
      <c r="D1424">
        <v>3.25</v>
      </c>
      <c r="E1424">
        <v>0</v>
      </c>
      <c r="F1424">
        <v>1.4590000000000001</v>
      </c>
      <c r="G1424">
        <v>0</v>
      </c>
      <c r="H1424">
        <v>0.151</v>
      </c>
      <c r="I1424">
        <v>2.2080000000000002</v>
      </c>
      <c r="K1424">
        <v>1422</v>
      </c>
      <c r="L1424">
        <v>28</v>
      </c>
      <c r="M1424" s="32">
        <v>1.4510000000000001</v>
      </c>
      <c r="N1424" s="32">
        <v>3.25</v>
      </c>
      <c r="P1424" s="32">
        <v>1.4590000000000001</v>
      </c>
      <c r="R1424" s="47">
        <v>0.158</v>
      </c>
      <c r="S1424" s="47">
        <v>2.1179999999999999</v>
      </c>
      <c r="T1424" s="31">
        <v>0</v>
      </c>
      <c r="V1424">
        <v>1422</v>
      </c>
      <c r="W1424">
        <v>27</v>
      </c>
      <c r="X1424">
        <v>1.4630000000000001</v>
      </c>
      <c r="Y1424" s="32">
        <v>3.25</v>
      </c>
      <c r="Z1424">
        <v>0</v>
      </c>
      <c r="AA1424" s="32">
        <v>1.381</v>
      </c>
      <c r="AB1424">
        <v>0</v>
      </c>
      <c r="AC1424" s="34">
        <v>0.14899999999999999</v>
      </c>
      <c r="AD1424" s="32">
        <v>2.0289999999999999</v>
      </c>
    </row>
    <row r="1425" spans="1:30">
      <c r="A1425">
        <v>1423</v>
      </c>
      <c r="B1425">
        <v>28</v>
      </c>
      <c r="C1425">
        <v>1.452</v>
      </c>
      <c r="D1425">
        <v>3.25</v>
      </c>
      <c r="E1425">
        <v>0</v>
      </c>
      <c r="F1425">
        <v>1.4590000000000001</v>
      </c>
      <c r="G1425">
        <v>0</v>
      </c>
      <c r="H1425">
        <v>0.151</v>
      </c>
      <c r="I1425">
        <v>2.21</v>
      </c>
      <c r="K1425">
        <v>1423</v>
      </c>
      <c r="L1425">
        <v>28</v>
      </c>
      <c r="M1425" s="32">
        <v>1.452</v>
      </c>
      <c r="N1425" s="32">
        <v>3.25</v>
      </c>
      <c r="P1425" s="47">
        <v>1.46</v>
      </c>
      <c r="R1425" s="47">
        <v>0.158</v>
      </c>
      <c r="S1425" s="47">
        <v>2.12</v>
      </c>
      <c r="T1425" s="31">
        <v>0</v>
      </c>
      <c r="V1425">
        <v>1423</v>
      </c>
      <c r="W1425">
        <v>27</v>
      </c>
      <c r="X1425">
        <v>1.464</v>
      </c>
      <c r="Y1425" s="32">
        <v>3.25</v>
      </c>
      <c r="Z1425">
        <v>0</v>
      </c>
      <c r="AA1425" s="32">
        <v>1.3819999999999999</v>
      </c>
      <c r="AB1425">
        <v>0</v>
      </c>
      <c r="AC1425" s="34">
        <v>0.14899999999999999</v>
      </c>
      <c r="AD1425" s="32">
        <v>2.0310000000000001</v>
      </c>
    </row>
    <row r="1426" spans="1:30">
      <c r="A1426">
        <v>1424</v>
      </c>
      <c r="B1426">
        <v>28</v>
      </c>
      <c r="C1426">
        <v>1.4530000000000001</v>
      </c>
      <c r="D1426">
        <v>3.25</v>
      </c>
      <c r="E1426">
        <v>0</v>
      </c>
      <c r="F1426">
        <v>1.4590000000000001</v>
      </c>
      <c r="G1426">
        <v>0</v>
      </c>
      <c r="H1426">
        <v>0.151</v>
      </c>
      <c r="I1426">
        <v>2.2120000000000002</v>
      </c>
      <c r="K1426">
        <v>1424</v>
      </c>
      <c r="L1426">
        <v>28</v>
      </c>
      <c r="M1426" s="32">
        <v>1.4530000000000001</v>
      </c>
      <c r="N1426" s="32">
        <v>3.25</v>
      </c>
      <c r="P1426" s="47">
        <v>1.46</v>
      </c>
      <c r="R1426" s="47">
        <v>0.158</v>
      </c>
      <c r="S1426" s="47">
        <v>2.121</v>
      </c>
      <c r="T1426" s="31">
        <v>0</v>
      </c>
      <c r="V1426">
        <v>1424</v>
      </c>
      <c r="W1426">
        <v>27</v>
      </c>
      <c r="X1426">
        <v>1.4650000000000001</v>
      </c>
      <c r="Y1426" s="32">
        <v>3.25</v>
      </c>
      <c r="Z1426">
        <v>0</v>
      </c>
      <c r="AA1426" s="32">
        <v>1.3819999999999999</v>
      </c>
      <c r="AB1426">
        <v>0</v>
      </c>
      <c r="AC1426" s="34">
        <v>0.14899999999999999</v>
      </c>
      <c r="AD1426" s="32">
        <v>2.0329999999999999</v>
      </c>
    </row>
    <row r="1427" spans="1:30">
      <c r="A1427">
        <v>1425</v>
      </c>
      <c r="B1427">
        <v>28</v>
      </c>
      <c r="C1427">
        <v>1.454</v>
      </c>
      <c r="D1427">
        <v>3.25</v>
      </c>
      <c r="E1427">
        <v>0</v>
      </c>
      <c r="F1427">
        <v>1.4590000000000001</v>
      </c>
      <c r="G1427">
        <v>0</v>
      </c>
      <c r="H1427">
        <v>0.151</v>
      </c>
      <c r="I1427">
        <v>2.214</v>
      </c>
      <c r="K1427">
        <v>1425</v>
      </c>
      <c r="L1427">
        <v>28</v>
      </c>
      <c r="M1427" s="32">
        <v>1.454</v>
      </c>
      <c r="N1427" s="32">
        <v>3.25</v>
      </c>
      <c r="P1427" s="47">
        <v>1.46</v>
      </c>
      <c r="R1427" s="47">
        <v>0.158</v>
      </c>
      <c r="S1427" s="47">
        <v>2.1230000000000002</v>
      </c>
      <c r="T1427" s="31">
        <v>0</v>
      </c>
      <c r="V1427">
        <v>1425</v>
      </c>
      <c r="W1427">
        <v>27</v>
      </c>
      <c r="X1427">
        <v>1.466</v>
      </c>
      <c r="Y1427" s="32">
        <v>3.25</v>
      </c>
      <c r="Z1427">
        <v>0</v>
      </c>
      <c r="AA1427" s="32">
        <v>1.3819999999999999</v>
      </c>
      <c r="AB1427">
        <v>0</v>
      </c>
      <c r="AC1427" s="34">
        <v>0.14899999999999999</v>
      </c>
      <c r="AD1427" s="32">
        <v>2.0339999999999998</v>
      </c>
    </row>
    <row r="1428" spans="1:30">
      <c r="A1428">
        <v>1426</v>
      </c>
      <c r="B1428">
        <v>28</v>
      </c>
      <c r="C1428">
        <v>1.4550000000000001</v>
      </c>
      <c r="D1428">
        <v>3.25</v>
      </c>
      <c r="E1428">
        <v>0</v>
      </c>
      <c r="F1428">
        <v>1.4590000000000001</v>
      </c>
      <c r="G1428">
        <v>0</v>
      </c>
      <c r="H1428">
        <v>0.151</v>
      </c>
      <c r="I1428">
        <v>2.2160000000000002</v>
      </c>
      <c r="K1428">
        <v>1426</v>
      </c>
      <c r="L1428">
        <v>28</v>
      </c>
      <c r="M1428" s="32">
        <v>1.4550000000000001</v>
      </c>
      <c r="N1428" s="32">
        <v>3.25</v>
      </c>
      <c r="P1428" s="47">
        <v>1.4610000000000001</v>
      </c>
      <c r="R1428" s="47">
        <v>0.158</v>
      </c>
      <c r="S1428" s="47">
        <v>2.125</v>
      </c>
      <c r="T1428" s="31">
        <v>0</v>
      </c>
      <c r="V1428">
        <v>1426</v>
      </c>
      <c r="W1428">
        <v>27</v>
      </c>
      <c r="X1428">
        <v>1.4670000000000001</v>
      </c>
      <c r="Y1428" s="32">
        <v>3.25</v>
      </c>
      <c r="Z1428">
        <v>0</v>
      </c>
      <c r="AA1428" s="32">
        <v>1.383</v>
      </c>
      <c r="AB1428">
        <v>0</v>
      </c>
      <c r="AC1428" s="34">
        <v>0.14899999999999999</v>
      </c>
      <c r="AD1428" s="32">
        <v>2.036</v>
      </c>
    </row>
    <row r="1429" spans="1:30">
      <c r="A1429">
        <v>1427</v>
      </c>
      <c r="B1429">
        <v>28</v>
      </c>
      <c r="C1429">
        <v>1.456</v>
      </c>
      <c r="D1429">
        <v>3.25</v>
      </c>
      <c r="E1429">
        <v>0</v>
      </c>
      <c r="F1429">
        <v>1.4590000000000001</v>
      </c>
      <c r="G1429">
        <v>0</v>
      </c>
      <c r="H1429">
        <v>0.151</v>
      </c>
      <c r="I1429">
        <v>2.2170000000000001</v>
      </c>
      <c r="K1429">
        <v>1427</v>
      </c>
      <c r="L1429">
        <v>28</v>
      </c>
      <c r="M1429" s="32">
        <v>1.456</v>
      </c>
      <c r="N1429" s="32">
        <v>3.25</v>
      </c>
      <c r="P1429" s="47">
        <v>1.4610000000000001</v>
      </c>
      <c r="R1429" s="47">
        <v>0.158</v>
      </c>
      <c r="S1429" s="47">
        <v>2.1269999999999998</v>
      </c>
      <c r="T1429" s="31">
        <v>0</v>
      </c>
      <c r="V1429">
        <v>1427</v>
      </c>
      <c r="W1429">
        <v>27</v>
      </c>
      <c r="X1429">
        <v>1.468</v>
      </c>
      <c r="Y1429" s="32">
        <v>3.25</v>
      </c>
      <c r="Z1429">
        <v>0</v>
      </c>
      <c r="AA1429" s="32">
        <v>1.383</v>
      </c>
      <c r="AB1429">
        <v>0</v>
      </c>
      <c r="AC1429" s="34">
        <v>0.14899999999999999</v>
      </c>
      <c r="AD1429" s="32">
        <v>2.0379999999999998</v>
      </c>
    </row>
    <row r="1430" spans="1:30">
      <c r="A1430">
        <v>1428</v>
      </c>
      <c r="B1430">
        <v>28</v>
      </c>
      <c r="C1430">
        <v>1.4570000000000001</v>
      </c>
      <c r="D1430">
        <v>3.25</v>
      </c>
      <c r="E1430">
        <v>0</v>
      </c>
      <c r="F1430">
        <v>1.4590000000000001</v>
      </c>
      <c r="G1430">
        <v>0</v>
      </c>
      <c r="H1430">
        <v>0.151</v>
      </c>
      <c r="I1430">
        <v>2.2189999999999999</v>
      </c>
      <c r="K1430">
        <v>1428</v>
      </c>
      <c r="L1430">
        <v>28</v>
      </c>
      <c r="M1430" s="32">
        <v>1.4570000000000001</v>
      </c>
      <c r="N1430" s="32">
        <v>3.25</v>
      </c>
      <c r="P1430" s="47">
        <v>1.4610000000000001</v>
      </c>
      <c r="R1430" s="47">
        <v>0.159</v>
      </c>
      <c r="S1430" s="47">
        <v>2.129</v>
      </c>
      <c r="T1430" s="31">
        <v>0</v>
      </c>
      <c r="V1430">
        <v>1428</v>
      </c>
      <c r="W1430">
        <v>27</v>
      </c>
      <c r="X1430">
        <v>1.4690000000000001</v>
      </c>
      <c r="Y1430" s="32">
        <v>3.25</v>
      </c>
      <c r="Z1430">
        <v>0</v>
      </c>
      <c r="AA1430" s="32">
        <v>1.383</v>
      </c>
      <c r="AB1430">
        <v>0</v>
      </c>
      <c r="AC1430" s="34">
        <v>0.14899999999999999</v>
      </c>
      <c r="AD1430" s="32">
        <v>2.04</v>
      </c>
    </row>
    <row r="1431" spans="1:30">
      <c r="A1431">
        <v>1429</v>
      </c>
      <c r="B1431">
        <v>28</v>
      </c>
      <c r="C1431">
        <v>1.458</v>
      </c>
      <c r="D1431">
        <v>3.25</v>
      </c>
      <c r="E1431">
        <v>0</v>
      </c>
      <c r="F1431">
        <v>1.4590000000000001</v>
      </c>
      <c r="G1431">
        <v>0</v>
      </c>
      <c r="H1431">
        <v>0.151</v>
      </c>
      <c r="I1431">
        <v>2.2210000000000001</v>
      </c>
      <c r="K1431">
        <v>1429</v>
      </c>
      <c r="L1431">
        <v>28</v>
      </c>
      <c r="M1431" s="32">
        <v>1.458</v>
      </c>
      <c r="N1431" s="32">
        <v>3.25</v>
      </c>
      <c r="P1431" s="47">
        <v>1.4610000000000001</v>
      </c>
      <c r="R1431" s="47">
        <v>0.159</v>
      </c>
      <c r="S1431" s="47">
        <v>2.13</v>
      </c>
      <c r="T1431" s="31">
        <v>0</v>
      </c>
      <c r="V1431">
        <v>1429</v>
      </c>
      <c r="W1431">
        <v>27</v>
      </c>
      <c r="X1431">
        <v>1.47</v>
      </c>
      <c r="Y1431" s="32">
        <v>3.25</v>
      </c>
      <c r="Z1431">
        <v>0</v>
      </c>
      <c r="AA1431" s="32">
        <v>1.3839999999999999</v>
      </c>
      <c r="AB1431">
        <v>0</v>
      </c>
      <c r="AC1431" s="34">
        <v>0.14899999999999999</v>
      </c>
      <c r="AD1431" s="32">
        <v>2.0419999999999998</v>
      </c>
    </row>
    <row r="1432" spans="1:30">
      <c r="A1432">
        <v>1430</v>
      </c>
      <c r="B1432">
        <v>28</v>
      </c>
      <c r="C1432">
        <v>1.4590000000000001</v>
      </c>
      <c r="D1432">
        <v>3.25</v>
      </c>
      <c r="E1432">
        <v>0</v>
      </c>
      <c r="F1432">
        <v>1.4590000000000001</v>
      </c>
      <c r="G1432">
        <v>0</v>
      </c>
      <c r="H1432">
        <v>0.151</v>
      </c>
      <c r="I1432">
        <v>2.2229999999999999</v>
      </c>
      <c r="K1432">
        <v>1430</v>
      </c>
      <c r="L1432">
        <v>28</v>
      </c>
      <c r="M1432" s="32">
        <v>1.4590000000000001</v>
      </c>
      <c r="N1432" s="32">
        <v>3.25</v>
      </c>
      <c r="P1432" s="47">
        <v>1.462</v>
      </c>
      <c r="R1432" s="47">
        <v>0.159</v>
      </c>
      <c r="S1432" s="47">
        <v>2.1320000000000001</v>
      </c>
      <c r="T1432" s="31">
        <v>0</v>
      </c>
      <c r="V1432">
        <v>1430</v>
      </c>
      <c r="W1432">
        <v>27</v>
      </c>
      <c r="X1432">
        <v>1.4710000000000001</v>
      </c>
      <c r="Y1432" s="32">
        <v>3.25</v>
      </c>
      <c r="Z1432">
        <v>0</v>
      </c>
      <c r="AA1432" s="32">
        <v>1.3839999999999999</v>
      </c>
      <c r="AB1432">
        <v>0</v>
      </c>
      <c r="AC1432" s="34">
        <v>0.15</v>
      </c>
      <c r="AD1432" s="32">
        <v>2.0430000000000001</v>
      </c>
    </row>
    <row r="1433" spans="1:30">
      <c r="A1433">
        <v>1431</v>
      </c>
      <c r="B1433">
        <v>28</v>
      </c>
      <c r="C1433">
        <v>1.46</v>
      </c>
      <c r="D1433">
        <v>3.25</v>
      </c>
      <c r="E1433">
        <v>0</v>
      </c>
      <c r="F1433">
        <v>1.462</v>
      </c>
      <c r="G1433">
        <v>0</v>
      </c>
      <c r="H1433">
        <v>0.151</v>
      </c>
      <c r="I1433">
        <v>2.1339999999999999</v>
      </c>
      <c r="K1433">
        <v>1431</v>
      </c>
      <c r="L1433">
        <v>28</v>
      </c>
      <c r="M1433" s="32">
        <v>1.46</v>
      </c>
      <c r="N1433" s="32">
        <v>3.25</v>
      </c>
      <c r="P1433" s="32">
        <v>1.462</v>
      </c>
      <c r="R1433" s="47">
        <v>0.159</v>
      </c>
      <c r="S1433" s="32">
        <v>2.1339999999999999</v>
      </c>
      <c r="T1433" s="31">
        <v>0</v>
      </c>
      <c r="V1433">
        <v>1431</v>
      </c>
      <c r="W1433">
        <v>27</v>
      </c>
      <c r="X1433">
        <v>1.472</v>
      </c>
      <c r="Y1433" s="32">
        <v>3.25</v>
      </c>
      <c r="Z1433">
        <v>0</v>
      </c>
      <c r="AA1433" s="32">
        <v>1.3839999999999999</v>
      </c>
      <c r="AB1433">
        <v>0</v>
      </c>
      <c r="AC1433" s="34">
        <v>0.15</v>
      </c>
      <c r="AD1433" s="32">
        <v>2.0449999999999999</v>
      </c>
    </row>
    <row r="1434" spans="1:30">
      <c r="A1434">
        <v>1432</v>
      </c>
      <c r="B1434">
        <v>28</v>
      </c>
      <c r="C1434">
        <v>1.4610000000000001</v>
      </c>
      <c r="D1434">
        <v>3.25</v>
      </c>
      <c r="E1434">
        <v>0</v>
      </c>
      <c r="F1434">
        <v>1.462</v>
      </c>
      <c r="G1434">
        <v>0</v>
      </c>
      <c r="H1434">
        <v>0.151</v>
      </c>
      <c r="I1434">
        <v>2.2440000000000002</v>
      </c>
      <c r="K1434">
        <v>1432</v>
      </c>
      <c r="L1434">
        <v>28</v>
      </c>
      <c r="M1434" s="32">
        <v>1.4610000000000001</v>
      </c>
      <c r="N1434" s="32">
        <v>3.25</v>
      </c>
      <c r="P1434" s="32">
        <v>1.462</v>
      </c>
      <c r="R1434" s="47">
        <v>0.159</v>
      </c>
      <c r="S1434" s="47">
        <v>2.1360000000000001</v>
      </c>
      <c r="T1434" s="31">
        <v>0</v>
      </c>
      <c r="V1434">
        <v>1432</v>
      </c>
      <c r="W1434">
        <v>27</v>
      </c>
      <c r="X1434">
        <v>1.4730000000000001</v>
      </c>
      <c r="Y1434" s="32">
        <v>3.25</v>
      </c>
      <c r="Z1434">
        <v>0</v>
      </c>
      <c r="AA1434" s="32">
        <v>1.385</v>
      </c>
      <c r="AB1434">
        <v>0</v>
      </c>
      <c r="AC1434" s="34">
        <v>0.15</v>
      </c>
      <c r="AD1434" s="32">
        <v>2.0470000000000002</v>
      </c>
    </row>
    <row r="1435" spans="1:30">
      <c r="A1435">
        <v>1433</v>
      </c>
      <c r="B1435">
        <v>28</v>
      </c>
      <c r="C1435">
        <v>1.462</v>
      </c>
      <c r="D1435">
        <v>3.25</v>
      </c>
      <c r="E1435">
        <v>0</v>
      </c>
      <c r="F1435">
        <v>1.462</v>
      </c>
      <c r="G1435">
        <v>0</v>
      </c>
      <c r="H1435">
        <v>0.151</v>
      </c>
      <c r="I1435">
        <v>2.246</v>
      </c>
      <c r="K1435">
        <v>1433</v>
      </c>
      <c r="L1435">
        <v>28</v>
      </c>
      <c r="M1435" s="32">
        <v>1.462</v>
      </c>
      <c r="N1435" s="32">
        <v>3.25</v>
      </c>
      <c r="P1435" s="47">
        <v>1.4630000000000001</v>
      </c>
      <c r="R1435" s="47">
        <v>0.159</v>
      </c>
      <c r="S1435" s="47">
        <v>2.1379999999999999</v>
      </c>
      <c r="T1435" s="31">
        <v>0</v>
      </c>
      <c r="V1435">
        <v>1433</v>
      </c>
      <c r="W1435">
        <v>27</v>
      </c>
      <c r="X1435">
        <v>1.474</v>
      </c>
      <c r="Y1435" s="32">
        <v>3.25</v>
      </c>
      <c r="Z1435">
        <v>0</v>
      </c>
      <c r="AA1435" s="32">
        <v>1.385</v>
      </c>
      <c r="AB1435">
        <v>0</v>
      </c>
      <c r="AC1435" s="34">
        <v>0.15</v>
      </c>
      <c r="AD1435" s="32">
        <v>2.0489999999999999</v>
      </c>
    </row>
    <row r="1436" spans="1:30">
      <c r="A1436">
        <v>1434</v>
      </c>
      <c r="B1436">
        <v>28</v>
      </c>
      <c r="C1436">
        <v>1.4630000000000001</v>
      </c>
      <c r="D1436">
        <v>3.25</v>
      </c>
      <c r="E1436">
        <v>0</v>
      </c>
      <c r="F1436">
        <v>1.462</v>
      </c>
      <c r="G1436">
        <v>0</v>
      </c>
      <c r="H1436">
        <v>0.151</v>
      </c>
      <c r="I1436">
        <v>2.2480000000000002</v>
      </c>
      <c r="K1436">
        <v>1434</v>
      </c>
      <c r="L1436">
        <v>28</v>
      </c>
      <c r="M1436" s="32">
        <v>1.4630000000000001</v>
      </c>
      <c r="N1436" s="32">
        <v>3.25</v>
      </c>
      <c r="P1436" s="47">
        <v>1.4630000000000001</v>
      </c>
      <c r="R1436" s="47">
        <v>0.159</v>
      </c>
      <c r="S1436" s="47">
        <v>2.14</v>
      </c>
      <c r="T1436" s="31">
        <v>0</v>
      </c>
      <c r="V1436">
        <v>1434</v>
      </c>
      <c r="W1436">
        <v>27</v>
      </c>
      <c r="X1436">
        <v>1.4750000000000001</v>
      </c>
      <c r="Y1436" s="32">
        <v>3.25</v>
      </c>
      <c r="Z1436">
        <v>0</v>
      </c>
      <c r="AA1436" s="32">
        <v>1.385</v>
      </c>
      <c r="AB1436">
        <v>0</v>
      </c>
      <c r="AC1436" s="34">
        <v>0.15</v>
      </c>
      <c r="AD1436" s="32">
        <v>2.0499999999999998</v>
      </c>
    </row>
    <row r="1437" spans="1:30">
      <c r="A1437">
        <v>1435</v>
      </c>
      <c r="B1437">
        <v>28</v>
      </c>
      <c r="C1437">
        <v>1.464</v>
      </c>
      <c r="D1437">
        <v>3.25</v>
      </c>
      <c r="E1437">
        <v>0</v>
      </c>
      <c r="F1437">
        <v>1.462</v>
      </c>
      <c r="G1437">
        <v>0</v>
      </c>
      <c r="H1437">
        <v>0.151</v>
      </c>
      <c r="I1437">
        <v>2.25</v>
      </c>
      <c r="K1437">
        <v>1435</v>
      </c>
      <c r="L1437">
        <v>28</v>
      </c>
      <c r="M1437" s="32">
        <v>1.464</v>
      </c>
      <c r="N1437" s="32">
        <v>3.25</v>
      </c>
      <c r="P1437" s="47">
        <v>1.4630000000000001</v>
      </c>
      <c r="R1437" s="47">
        <v>0.16</v>
      </c>
      <c r="S1437" s="47">
        <v>2.1419999999999999</v>
      </c>
      <c r="T1437" s="31">
        <v>0</v>
      </c>
      <c r="V1437">
        <v>1435</v>
      </c>
      <c r="W1437">
        <v>27</v>
      </c>
      <c r="X1437">
        <v>1.476</v>
      </c>
      <c r="Y1437" s="32">
        <v>3.25</v>
      </c>
      <c r="Z1437">
        <v>0</v>
      </c>
      <c r="AA1437" s="32">
        <v>1.3859999999999999</v>
      </c>
      <c r="AB1437">
        <v>0</v>
      </c>
      <c r="AC1437" s="34">
        <v>0.15</v>
      </c>
      <c r="AD1437" s="32">
        <v>2.052</v>
      </c>
    </row>
    <row r="1438" spans="1:30">
      <c r="A1438">
        <v>1436</v>
      </c>
      <c r="B1438">
        <v>28</v>
      </c>
      <c r="C1438">
        <v>1.4650000000000001</v>
      </c>
      <c r="D1438">
        <v>3.25</v>
      </c>
      <c r="E1438">
        <v>0</v>
      </c>
      <c r="F1438">
        <v>1.462</v>
      </c>
      <c r="G1438">
        <v>0</v>
      </c>
      <c r="H1438">
        <v>0.151</v>
      </c>
      <c r="I1438">
        <v>2.2519999999999998</v>
      </c>
      <c r="K1438">
        <v>1436</v>
      </c>
      <c r="L1438">
        <v>28</v>
      </c>
      <c r="M1438" s="32">
        <v>1.4650000000000001</v>
      </c>
      <c r="N1438" s="32">
        <v>3.25</v>
      </c>
      <c r="P1438" s="47">
        <v>1.464</v>
      </c>
      <c r="R1438" s="47">
        <v>0.16</v>
      </c>
      <c r="S1438" s="47">
        <v>2.1440000000000001</v>
      </c>
      <c r="T1438" s="31">
        <v>0</v>
      </c>
      <c r="V1438">
        <v>1436</v>
      </c>
      <c r="W1438">
        <v>27</v>
      </c>
      <c r="X1438">
        <v>1.4770000000000001</v>
      </c>
      <c r="Y1438" s="32">
        <v>3.25</v>
      </c>
      <c r="Z1438">
        <v>0</v>
      </c>
      <c r="AA1438" s="32">
        <v>1.3859999999999999</v>
      </c>
      <c r="AB1438">
        <v>0</v>
      </c>
      <c r="AC1438" s="34">
        <v>0.15</v>
      </c>
      <c r="AD1438" s="32">
        <v>2.0539999999999998</v>
      </c>
    </row>
    <row r="1439" spans="1:30">
      <c r="A1439">
        <v>1437</v>
      </c>
      <c r="B1439">
        <v>28</v>
      </c>
      <c r="C1439">
        <v>1.466</v>
      </c>
      <c r="D1439">
        <v>3.25</v>
      </c>
      <c r="E1439">
        <v>0</v>
      </c>
      <c r="F1439">
        <v>1.462</v>
      </c>
      <c r="G1439">
        <v>0</v>
      </c>
      <c r="H1439">
        <v>0.151</v>
      </c>
      <c r="I1439">
        <v>2.254</v>
      </c>
      <c r="K1439">
        <v>1437</v>
      </c>
      <c r="L1439">
        <v>28</v>
      </c>
      <c r="M1439" s="32">
        <v>1.466</v>
      </c>
      <c r="N1439" s="32">
        <v>3.25</v>
      </c>
      <c r="P1439" s="47">
        <v>1.464</v>
      </c>
      <c r="R1439" s="47">
        <v>0.16</v>
      </c>
      <c r="S1439" s="47">
        <v>2.145</v>
      </c>
      <c r="T1439" s="31">
        <v>0</v>
      </c>
      <c r="V1439">
        <v>1437</v>
      </c>
      <c r="W1439">
        <v>27</v>
      </c>
      <c r="X1439">
        <v>1.478</v>
      </c>
      <c r="Y1439" s="32">
        <v>3.25</v>
      </c>
      <c r="Z1439">
        <v>0</v>
      </c>
      <c r="AA1439" s="32">
        <v>1.3859999999999999</v>
      </c>
      <c r="AB1439">
        <v>0</v>
      </c>
      <c r="AC1439" s="34">
        <v>0.15</v>
      </c>
      <c r="AD1439" s="32">
        <v>2.056</v>
      </c>
    </row>
    <row r="1440" spans="1:30">
      <c r="A1440">
        <v>1438</v>
      </c>
      <c r="B1440">
        <v>28</v>
      </c>
      <c r="C1440">
        <v>1.4670000000000001</v>
      </c>
      <c r="D1440">
        <v>3.25</v>
      </c>
      <c r="E1440">
        <v>0</v>
      </c>
      <c r="F1440">
        <v>1.462</v>
      </c>
      <c r="G1440">
        <v>0</v>
      </c>
      <c r="H1440">
        <v>0.151</v>
      </c>
      <c r="I1440">
        <v>2.2549999999999999</v>
      </c>
      <c r="K1440">
        <v>1438</v>
      </c>
      <c r="L1440">
        <v>28</v>
      </c>
      <c r="M1440" s="32">
        <v>1.4670000000000001</v>
      </c>
      <c r="N1440" s="32">
        <v>3.25</v>
      </c>
      <c r="P1440" s="47">
        <v>1.464</v>
      </c>
      <c r="R1440" s="47">
        <v>0.16</v>
      </c>
      <c r="S1440" s="47">
        <v>2.1469999999999998</v>
      </c>
      <c r="T1440" s="31">
        <v>0</v>
      </c>
      <c r="V1440">
        <v>1438</v>
      </c>
      <c r="W1440">
        <v>27</v>
      </c>
      <c r="X1440">
        <v>1.4790000000000001</v>
      </c>
      <c r="Y1440" s="32">
        <v>3.25</v>
      </c>
      <c r="Z1440">
        <v>0</v>
      </c>
      <c r="AA1440" s="32">
        <v>1.387</v>
      </c>
      <c r="AB1440">
        <v>0</v>
      </c>
      <c r="AC1440" s="34">
        <v>0.15</v>
      </c>
      <c r="AD1440" s="32">
        <v>2.0569999999999999</v>
      </c>
    </row>
    <row r="1441" spans="1:30">
      <c r="A1441">
        <v>1439</v>
      </c>
      <c r="B1441">
        <v>28</v>
      </c>
      <c r="C1441">
        <v>1.468</v>
      </c>
      <c r="D1441">
        <v>3.25</v>
      </c>
      <c r="E1441">
        <v>0</v>
      </c>
      <c r="F1441">
        <v>1.462</v>
      </c>
      <c r="G1441">
        <v>0</v>
      </c>
      <c r="H1441">
        <v>0.151</v>
      </c>
      <c r="I1441">
        <v>2.2570000000000001</v>
      </c>
      <c r="K1441">
        <v>1439</v>
      </c>
      <c r="L1441">
        <v>28</v>
      </c>
      <c r="M1441" s="32">
        <v>1.468</v>
      </c>
      <c r="N1441" s="32">
        <v>3.25</v>
      </c>
      <c r="P1441" s="47">
        <v>1.464</v>
      </c>
      <c r="R1441" s="47">
        <v>0.16</v>
      </c>
      <c r="S1441" s="47">
        <v>2.149</v>
      </c>
      <c r="T1441" s="31">
        <v>0</v>
      </c>
      <c r="V1441">
        <v>1439</v>
      </c>
      <c r="W1441">
        <v>27</v>
      </c>
      <c r="X1441">
        <v>1.48</v>
      </c>
      <c r="Y1441" s="32">
        <v>3.25</v>
      </c>
      <c r="Z1441">
        <v>0</v>
      </c>
      <c r="AA1441" s="32">
        <v>1.387</v>
      </c>
      <c r="AB1441">
        <v>0</v>
      </c>
      <c r="AC1441" s="34">
        <v>0.15</v>
      </c>
      <c r="AD1441" s="32">
        <v>2.0590000000000002</v>
      </c>
    </row>
    <row r="1442" spans="1:30">
      <c r="A1442">
        <v>1440</v>
      </c>
      <c r="B1442">
        <v>28</v>
      </c>
      <c r="C1442">
        <v>1.4690000000000001</v>
      </c>
      <c r="D1442">
        <v>3.25</v>
      </c>
      <c r="E1442">
        <v>0</v>
      </c>
      <c r="F1442">
        <v>1.462</v>
      </c>
      <c r="G1442">
        <v>0</v>
      </c>
      <c r="H1442">
        <v>0.151</v>
      </c>
      <c r="I1442">
        <v>2.2589999999999999</v>
      </c>
      <c r="K1442">
        <v>1440</v>
      </c>
      <c r="L1442">
        <v>28</v>
      </c>
      <c r="M1442" s="32">
        <v>1.4690000000000001</v>
      </c>
      <c r="N1442" s="32">
        <v>3.25</v>
      </c>
      <c r="P1442" s="47">
        <v>1.4650000000000001</v>
      </c>
      <c r="R1442" s="47">
        <v>0.16</v>
      </c>
      <c r="S1442" s="47">
        <v>2.1509999999999998</v>
      </c>
      <c r="T1442" s="31">
        <v>0</v>
      </c>
      <c r="V1442">
        <v>1440</v>
      </c>
      <c r="W1442">
        <v>27</v>
      </c>
      <c r="X1442">
        <v>1.4810000000000001</v>
      </c>
      <c r="Y1442" s="32">
        <v>3.2610000000000001</v>
      </c>
      <c r="Z1442">
        <v>0</v>
      </c>
      <c r="AA1442" s="32">
        <v>1.3879999999999999</v>
      </c>
      <c r="AB1442">
        <v>0</v>
      </c>
      <c r="AC1442" s="34">
        <v>0.15</v>
      </c>
      <c r="AD1442" s="32">
        <v>2.0609999999999999</v>
      </c>
    </row>
    <row r="1443" spans="1:30">
      <c r="A1443">
        <v>1441</v>
      </c>
      <c r="B1443">
        <v>28</v>
      </c>
      <c r="C1443">
        <v>1.47</v>
      </c>
      <c r="D1443">
        <v>3.25</v>
      </c>
      <c r="E1443">
        <v>0</v>
      </c>
      <c r="F1443">
        <v>1.4650000000000001</v>
      </c>
      <c r="G1443">
        <v>0</v>
      </c>
      <c r="H1443">
        <v>0.151</v>
      </c>
      <c r="I1443">
        <v>2.153</v>
      </c>
      <c r="K1443">
        <v>1441</v>
      </c>
      <c r="L1443">
        <v>28</v>
      </c>
      <c r="M1443" s="32">
        <v>1.47</v>
      </c>
      <c r="N1443" s="32">
        <v>3.25</v>
      </c>
      <c r="P1443" s="32">
        <v>1.4650000000000001</v>
      </c>
      <c r="R1443" s="47">
        <v>0.16</v>
      </c>
      <c r="S1443" s="32">
        <v>2.153</v>
      </c>
      <c r="T1443" s="31">
        <v>0</v>
      </c>
      <c r="V1443">
        <v>1441</v>
      </c>
      <c r="W1443">
        <v>27</v>
      </c>
      <c r="X1443">
        <v>1.482</v>
      </c>
      <c r="Y1443" s="32">
        <v>3.2719999999999998</v>
      </c>
      <c r="Z1443">
        <v>0</v>
      </c>
      <c r="AA1443" s="32">
        <v>1.3879999999999999</v>
      </c>
      <c r="AB1443">
        <v>0</v>
      </c>
      <c r="AC1443" s="34">
        <v>0.15</v>
      </c>
      <c r="AD1443" s="32">
        <v>2.0630000000000002</v>
      </c>
    </row>
    <row r="1444" spans="1:30">
      <c r="A1444">
        <v>1442</v>
      </c>
      <c r="B1444">
        <v>28</v>
      </c>
      <c r="C1444">
        <v>1.4710000000000001</v>
      </c>
      <c r="D1444">
        <v>3.25</v>
      </c>
      <c r="E1444">
        <v>0</v>
      </c>
      <c r="F1444">
        <v>1.4650000000000001</v>
      </c>
      <c r="G1444">
        <v>0</v>
      </c>
      <c r="H1444">
        <v>0.151</v>
      </c>
      <c r="I1444">
        <v>2.282</v>
      </c>
      <c r="K1444">
        <v>1442</v>
      </c>
      <c r="L1444">
        <v>28</v>
      </c>
      <c r="M1444" s="32">
        <v>1.4710000000000001</v>
      </c>
      <c r="N1444" s="32">
        <v>3.25</v>
      </c>
      <c r="P1444" s="32">
        <v>1.4650000000000001</v>
      </c>
      <c r="R1444" s="47">
        <v>0.16</v>
      </c>
      <c r="S1444" s="47">
        <v>2.1549999999999998</v>
      </c>
      <c r="T1444" s="31">
        <v>0</v>
      </c>
      <c r="V1444">
        <v>1442</v>
      </c>
      <c r="W1444">
        <v>27</v>
      </c>
      <c r="X1444">
        <v>1.4830000000000001</v>
      </c>
      <c r="Y1444" s="32">
        <v>3.2829999999999999</v>
      </c>
      <c r="Z1444">
        <v>0</v>
      </c>
      <c r="AA1444" s="32">
        <v>1.3879999999999999</v>
      </c>
      <c r="AB1444">
        <v>0</v>
      </c>
      <c r="AC1444" s="34">
        <v>0.15</v>
      </c>
      <c r="AD1444" s="32">
        <v>2.0649999999999999</v>
      </c>
    </row>
    <row r="1445" spans="1:30">
      <c r="A1445">
        <v>1443</v>
      </c>
      <c r="B1445">
        <v>28</v>
      </c>
      <c r="C1445">
        <v>1.472</v>
      </c>
      <c r="D1445">
        <v>3.25</v>
      </c>
      <c r="E1445">
        <v>0</v>
      </c>
      <c r="F1445">
        <v>1.4650000000000001</v>
      </c>
      <c r="G1445">
        <v>0</v>
      </c>
      <c r="H1445">
        <v>0.151</v>
      </c>
      <c r="I1445">
        <v>2.2829999999999999</v>
      </c>
      <c r="K1445">
        <v>1443</v>
      </c>
      <c r="L1445">
        <v>28</v>
      </c>
      <c r="M1445" s="32">
        <v>1.472</v>
      </c>
      <c r="N1445" s="32">
        <v>3.25</v>
      </c>
      <c r="P1445" s="32">
        <v>1.4650000000000001</v>
      </c>
      <c r="R1445" s="47">
        <v>0.161</v>
      </c>
      <c r="S1445" s="47">
        <v>2.157</v>
      </c>
      <c r="T1445" s="31">
        <v>0</v>
      </c>
      <c r="V1445">
        <v>1443</v>
      </c>
      <c r="W1445">
        <v>27</v>
      </c>
      <c r="X1445">
        <v>1.484</v>
      </c>
      <c r="Y1445" s="32">
        <v>3.294</v>
      </c>
      <c r="Z1445">
        <v>0</v>
      </c>
      <c r="AA1445" s="32">
        <v>1.389</v>
      </c>
      <c r="AB1445">
        <v>0</v>
      </c>
      <c r="AC1445" s="34">
        <v>0.15</v>
      </c>
      <c r="AD1445" s="32">
        <v>2.0659999999999998</v>
      </c>
    </row>
    <row r="1446" spans="1:30">
      <c r="A1446">
        <v>1444</v>
      </c>
      <c r="B1446">
        <v>28</v>
      </c>
      <c r="C1446">
        <v>1.4730000000000001</v>
      </c>
      <c r="D1446">
        <v>3.25</v>
      </c>
      <c r="E1446">
        <v>0</v>
      </c>
      <c r="F1446">
        <v>1.4650000000000001</v>
      </c>
      <c r="G1446">
        <v>0</v>
      </c>
      <c r="H1446">
        <v>0.151</v>
      </c>
      <c r="I1446">
        <v>2.2850000000000001</v>
      </c>
      <c r="K1446">
        <v>1444</v>
      </c>
      <c r="L1446">
        <v>28</v>
      </c>
      <c r="M1446" s="32">
        <v>1.4730000000000001</v>
      </c>
      <c r="N1446" s="32">
        <v>3.25</v>
      </c>
      <c r="P1446" s="47">
        <v>1.466</v>
      </c>
      <c r="R1446" s="47">
        <v>0.161</v>
      </c>
      <c r="S1446" s="47">
        <v>2.1589999999999998</v>
      </c>
      <c r="T1446" s="31">
        <v>0</v>
      </c>
      <c r="V1446">
        <v>1444</v>
      </c>
      <c r="W1446">
        <v>27</v>
      </c>
      <c r="X1446">
        <v>1.4850000000000001</v>
      </c>
      <c r="Y1446" s="32">
        <v>3.3050000000000002</v>
      </c>
      <c r="Z1446">
        <v>0</v>
      </c>
      <c r="AA1446" s="32">
        <v>1.389</v>
      </c>
      <c r="AB1446">
        <v>0</v>
      </c>
      <c r="AC1446" s="34">
        <v>0.15</v>
      </c>
      <c r="AD1446" s="32">
        <v>2.0680000000000001</v>
      </c>
    </row>
    <row r="1447" spans="1:30">
      <c r="A1447">
        <v>1445</v>
      </c>
      <c r="B1447">
        <v>28</v>
      </c>
      <c r="C1447">
        <v>1.474</v>
      </c>
      <c r="D1447">
        <v>3.25</v>
      </c>
      <c r="E1447">
        <v>0</v>
      </c>
      <c r="F1447">
        <v>1.4650000000000001</v>
      </c>
      <c r="G1447">
        <v>0</v>
      </c>
      <c r="H1447">
        <v>0.151</v>
      </c>
      <c r="I1447">
        <v>2.2869999999999999</v>
      </c>
      <c r="K1447">
        <v>1445</v>
      </c>
      <c r="L1447">
        <v>28</v>
      </c>
      <c r="M1447" s="32">
        <v>1.474</v>
      </c>
      <c r="N1447" s="32">
        <v>3.25</v>
      </c>
      <c r="P1447" s="47">
        <v>1.466</v>
      </c>
      <c r="R1447" s="47">
        <v>0.161</v>
      </c>
      <c r="S1447" s="47">
        <v>2.161</v>
      </c>
      <c r="T1447" s="31">
        <v>0</v>
      </c>
      <c r="V1447">
        <v>1445</v>
      </c>
      <c r="W1447">
        <v>27</v>
      </c>
      <c r="X1447">
        <v>1.486</v>
      </c>
      <c r="Y1447" s="32">
        <v>3.3159999999999998</v>
      </c>
      <c r="Z1447">
        <v>0</v>
      </c>
      <c r="AA1447" s="32">
        <v>1.389</v>
      </c>
      <c r="AB1447">
        <v>0</v>
      </c>
      <c r="AC1447" s="34">
        <v>0.15</v>
      </c>
      <c r="AD1447" s="32">
        <v>2.0699999999999998</v>
      </c>
    </row>
    <row r="1448" spans="1:30">
      <c r="A1448">
        <v>1446</v>
      </c>
      <c r="B1448">
        <v>28</v>
      </c>
      <c r="C1448">
        <v>1.4750000000000001</v>
      </c>
      <c r="D1448">
        <v>3.25</v>
      </c>
      <c r="E1448">
        <v>0</v>
      </c>
      <c r="F1448">
        <v>1.4650000000000001</v>
      </c>
      <c r="G1448">
        <v>0</v>
      </c>
      <c r="H1448">
        <v>0.151</v>
      </c>
      <c r="I1448">
        <v>2.2890000000000001</v>
      </c>
      <c r="K1448">
        <v>1446</v>
      </c>
      <c r="L1448">
        <v>28</v>
      </c>
      <c r="M1448" s="32">
        <v>1.4750000000000001</v>
      </c>
      <c r="N1448" s="32">
        <v>3.25</v>
      </c>
      <c r="P1448" s="47">
        <v>1.466</v>
      </c>
      <c r="R1448" s="47">
        <v>0.161</v>
      </c>
      <c r="S1448" s="47">
        <v>2.1629999999999998</v>
      </c>
      <c r="T1448" s="31">
        <v>0</v>
      </c>
      <c r="V1448">
        <v>1446</v>
      </c>
      <c r="W1448">
        <v>27</v>
      </c>
      <c r="X1448">
        <v>1.4870000000000001</v>
      </c>
      <c r="Y1448" s="32">
        <v>3.327</v>
      </c>
      <c r="Z1448">
        <v>0</v>
      </c>
      <c r="AA1448" s="32">
        <v>1.39</v>
      </c>
      <c r="AB1448">
        <v>0</v>
      </c>
      <c r="AC1448" s="34">
        <v>0.15</v>
      </c>
      <c r="AD1448" s="32">
        <v>2.0720000000000001</v>
      </c>
    </row>
    <row r="1449" spans="1:30">
      <c r="A1449">
        <v>1447</v>
      </c>
      <c r="B1449">
        <v>28</v>
      </c>
      <c r="C1449">
        <v>1.476</v>
      </c>
      <c r="D1449">
        <v>3.25</v>
      </c>
      <c r="E1449">
        <v>0</v>
      </c>
      <c r="F1449">
        <v>1.4650000000000001</v>
      </c>
      <c r="G1449">
        <v>0</v>
      </c>
      <c r="H1449">
        <v>0.151</v>
      </c>
      <c r="I1449">
        <v>2.2909999999999999</v>
      </c>
      <c r="K1449">
        <v>1447</v>
      </c>
      <c r="L1449">
        <v>28</v>
      </c>
      <c r="M1449" s="32">
        <v>1.476</v>
      </c>
      <c r="N1449" s="32">
        <v>3.25</v>
      </c>
      <c r="P1449" s="47">
        <v>1.466</v>
      </c>
      <c r="R1449" s="47">
        <v>0.161</v>
      </c>
      <c r="S1449" s="47">
        <v>2.1640000000000001</v>
      </c>
      <c r="T1449" s="31">
        <v>0</v>
      </c>
      <c r="V1449">
        <v>1447</v>
      </c>
      <c r="W1449">
        <v>27</v>
      </c>
      <c r="X1449">
        <v>1.488</v>
      </c>
      <c r="Y1449" s="32">
        <v>3.3380000000000001</v>
      </c>
      <c r="Z1449">
        <v>0</v>
      </c>
      <c r="AA1449" s="32">
        <v>1.39</v>
      </c>
      <c r="AB1449">
        <v>0</v>
      </c>
      <c r="AC1449" s="34">
        <v>0.15</v>
      </c>
      <c r="AD1449" s="32">
        <v>2.073</v>
      </c>
    </row>
    <row r="1450" spans="1:30">
      <c r="A1450">
        <v>1448</v>
      </c>
      <c r="B1450">
        <v>28</v>
      </c>
      <c r="C1450">
        <v>1.4770000000000001</v>
      </c>
      <c r="D1450">
        <v>3.25</v>
      </c>
      <c r="E1450">
        <v>0</v>
      </c>
      <c r="F1450">
        <v>1.4650000000000001</v>
      </c>
      <c r="G1450">
        <v>0</v>
      </c>
      <c r="H1450">
        <v>0.151</v>
      </c>
      <c r="I1450">
        <v>2.2919999999999998</v>
      </c>
      <c r="K1450">
        <v>1448</v>
      </c>
      <c r="L1450">
        <v>28</v>
      </c>
      <c r="M1450" s="32">
        <v>1.4770000000000001</v>
      </c>
      <c r="N1450" s="32">
        <v>3.25</v>
      </c>
      <c r="P1450" s="47">
        <v>1.466</v>
      </c>
      <c r="R1450" s="47">
        <v>0.161</v>
      </c>
      <c r="S1450" s="47">
        <v>2.1659999999999999</v>
      </c>
      <c r="T1450" s="31">
        <v>0</v>
      </c>
      <c r="V1450">
        <v>1448</v>
      </c>
      <c r="W1450">
        <v>27</v>
      </c>
      <c r="X1450">
        <v>1.4890000000000001</v>
      </c>
      <c r="Y1450" s="32">
        <v>3.3490000000000002</v>
      </c>
      <c r="Z1450">
        <v>0</v>
      </c>
      <c r="AA1450" s="32">
        <v>1.39</v>
      </c>
      <c r="AB1450">
        <v>0</v>
      </c>
      <c r="AC1450" s="34">
        <v>0.15</v>
      </c>
      <c r="AD1450" s="32">
        <v>2.0750000000000002</v>
      </c>
    </row>
    <row r="1451" spans="1:30">
      <c r="A1451">
        <v>1449</v>
      </c>
      <c r="B1451">
        <v>28</v>
      </c>
      <c r="C1451">
        <v>1.478</v>
      </c>
      <c r="D1451">
        <v>3.25</v>
      </c>
      <c r="E1451">
        <v>0</v>
      </c>
      <c r="F1451">
        <v>1.4650000000000001</v>
      </c>
      <c r="G1451">
        <v>0</v>
      </c>
      <c r="H1451">
        <v>0.151</v>
      </c>
      <c r="I1451">
        <v>2.294</v>
      </c>
      <c r="K1451">
        <v>1449</v>
      </c>
      <c r="L1451">
        <v>28</v>
      </c>
      <c r="M1451" s="32">
        <v>1.478</v>
      </c>
      <c r="N1451" s="32">
        <v>3.25</v>
      </c>
      <c r="P1451" s="47">
        <v>1.4670000000000001</v>
      </c>
      <c r="R1451" s="47">
        <v>0.161</v>
      </c>
      <c r="S1451" s="47">
        <v>2.1680000000000001</v>
      </c>
      <c r="T1451" s="31">
        <v>0</v>
      </c>
      <c r="V1451">
        <v>1449</v>
      </c>
      <c r="W1451">
        <v>27</v>
      </c>
      <c r="X1451">
        <v>1.49</v>
      </c>
      <c r="Y1451" s="32">
        <v>3.36</v>
      </c>
      <c r="Z1451">
        <v>0</v>
      </c>
      <c r="AA1451" s="32">
        <v>1.391</v>
      </c>
      <c r="AB1451">
        <v>0</v>
      </c>
      <c r="AC1451" s="34">
        <v>0.15</v>
      </c>
      <c r="AD1451" s="32">
        <v>2.077</v>
      </c>
    </row>
    <row r="1452" spans="1:30">
      <c r="A1452">
        <v>1450</v>
      </c>
      <c r="B1452">
        <v>28</v>
      </c>
      <c r="C1452">
        <v>1.4790000000000001</v>
      </c>
      <c r="D1452">
        <v>3.25</v>
      </c>
      <c r="E1452">
        <v>0</v>
      </c>
      <c r="F1452">
        <v>1.4650000000000001</v>
      </c>
      <c r="G1452">
        <v>0</v>
      </c>
      <c r="H1452">
        <v>0.151</v>
      </c>
      <c r="I1452">
        <v>2.2959999999999998</v>
      </c>
      <c r="K1452">
        <v>1450</v>
      </c>
      <c r="L1452">
        <v>28</v>
      </c>
      <c r="M1452" s="32">
        <v>1.4790000000000001</v>
      </c>
      <c r="N1452" s="32">
        <v>3.25</v>
      </c>
      <c r="P1452" s="47">
        <v>1.4670000000000001</v>
      </c>
      <c r="R1452" s="47">
        <v>0.16200000000000001</v>
      </c>
      <c r="S1452" s="47">
        <v>2.17</v>
      </c>
      <c r="T1452" s="31">
        <v>0</v>
      </c>
      <c r="V1452">
        <v>1450</v>
      </c>
      <c r="W1452">
        <v>27</v>
      </c>
      <c r="X1452">
        <v>1.4910000000000001</v>
      </c>
      <c r="Y1452" s="32">
        <v>3.36</v>
      </c>
      <c r="Z1452">
        <v>0</v>
      </c>
      <c r="AA1452" s="32">
        <v>1.391</v>
      </c>
      <c r="AB1452">
        <v>0</v>
      </c>
      <c r="AC1452" s="34">
        <v>0.15</v>
      </c>
      <c r="AD1452" s="32">
        <v>2.0790000000000002</v>
      </c>
    </row>
    <row r="1453" spans="1:30">
      <c r="A1453">
        <v>1451</v>
      </c>
      <c r="B1453">
        <v>28</v>
      </c>
      <c r="C1453">
        <v>1.48</v>
      </c>
      <c r="D1453">
        <v>3.25</v>
      </c>
      <c r="E1453">
        <v>0</v>
      </c>
      <c r="F1453">
        <v>1.4670000000000001</v>
      </c>
      <c r="G1453">
        <v>0</v>
      </c>
      <c r="H1453">
        <v>0.151</v>
      </c>
      <c r="I1453">
        <v>2.1720000000000002</v>
      </c>
      <c r="K1453">
        <v>1451</v>
      </c>
      <c r="L1453">
        <v>28</v>
      </c>
      <c r="M1453" s="32">
        <v>1.48</v>
      </c>
      <c r="N1453" s="32">
        <v>3.25</v>
      </c>
      <c r="P1453" s="32">
        <v>1.4670000000000001</v>
      </c>
      <c r="R1453" s="47">
        <v>0.16200000000000001</v>
      </c>
      <c r="S1453" s="32">
        <v>2.1720000000000002</v>
      </c>
      <c r="T1453" s="31">
        <v>0</v>
      </c>
      <c r="V1453">
        <v>1451</v>
      </c>
      <c r="W1453">
        <v>27</v>
      </c>
      <c r="X1453">
        <v>1.492</v>
      </c>
      <c r="Y1453" s="32">
        <v>3.36</v>
      </c>
      <c r="Z1453">
        <v>0</v>
      </c>
      <c r="AA1453" s="32">
        <v>1.391</v>
      </c>
      <c r="AB1453">
        <v>0</v>
      </c>
      <c r="AC1453" s="34">
        <v>0.151</v>
      </c>
      <c r="AD1453" s="32">
        <v>2.08</v>
      </c>
    </row>
    <row r="1454" spans="1:30">
      <c r="A1454">
        <v>1452</v>
      </c>
      <c r="B1454">
        <v>28</v>
      </c>
      <c r="C1454">
        <v>1.4810000000000001</v>
      </c>
      <c r="D1454">
        <v>3.25</v>
      </c>
      <c r="E1454">
        <v>0</v>
      </c>
      <c r="F1454">
        <v>1.4670000000000001</v>
      </c>
      <c r="G1454">
        <v>0</v>
      </c>
      <c r="H1454">
        <v>0.151</v>
      </c>
      <c r="I1454">
        <v>2.319</v>
      </c>
      <c r="K1454">
        <v>1452</v>
      </c>
      <c r="L1454">
        <v>28</v>
      </c>
      <c r="M1454" s="32">
        <v>1.4810000000000001</v>
      </c>
      <c r="N1454" s="47">
        <v>3.2610000000000001</v>
      </c>
      <c r="P1454" s="32">
        <v>1.4670000000000001</v>
      </c>
      <c r="R1454" s="47">
        <v>0.16200000000000001</v>
      </c>
      <c r="S1454" s="47">
        <v>2.173</v>
      </c>
      <c r="T1454" s="31">
        <v>0</v>
      </c>
      <c r="V1454">
        <v>1452</v>
      </c>
      <c r="W1454">
        <v>27</v>
      </c>
      <c r="X1454">
        <v>1.4930000000000001</v>
      </c>
      <c r="Y1454" s="32">
        <v>3.36</v>
      </c>
      <c r="Z1454">
        <v>0</v>
      </c>
      <c r="AA1454" s="32">
        <v>1.3919999999999999</v>
      </c>
      <c r="AB1454">
        <v>0</v>
      </c>
      <c r="AC1454" s="34">
        <v>0.151</v>
      </c>
      <c r="AD1454" s="32">
        <v>2.0819999999999999</v>
      </c>
    </row>
    <row r="1455" spans="1:30">
      <c r="A1455">
        <v>1453</v>
      </c>
      <c r="B1455">
        <v>28</v>
      </c>
      <c r="C1455">
        <v>1.482</v>
      </c>
      <c r="D1455">
        <v>3.25</v>
      </c>
      <c r="E1455">
        <v>0</v>
      </c>
      <c r="F1455">
        <v>1.4670000000000001</v>
      </c>
      <c r="G1455">
        <v>0</v>
      </c>
      <c r="H1455">
        <v>0.151</v>
      </c>
      <c r="I1455">
        <v>2.3210000000000002</v>
      </c>
      <c r="K1455">
        <v>1453</v>
      </c>
      <c r="L1455">
        <v>28</v>
      </c>
      <c r="M1455" s="32">
        <v>1.482</v>
      </c>
      <c r="N1455" s="47">
        <v>3.2719999999999998</v>
      </c>
      <c r="P1455" s="47">
        <v>1.468</v>
      </c>
      <c r="R1455" s="47">
        <v>0.16200000000000001</v>
      </c>
      <c r="S1455" s="47">
        <v>2.1739999999999999</v>
      </c>
      <c r="T1455" s="31">
        <v>0</v>
      </c>
      <c r="V1455">
        <v>1453</v>
      </c>
      <c r="W1455">
        <v>27</v>
      </c>
      <c r="X1455">
        <v>1.494</v>
      </c>
      <c r="Y1455" s="32">
        <v>3.36</v>
      </c>
      <c r="Z1455">
        <v>0</v>
      </c>
      <c r="AA1455" s="32">
        <v>1.3919999999999999</v>
      </c>
      <c r="AB1455">
        <v>0</v>
      </c>
      <c r="AC1455" s="34">
        <v>0.151</v>
      </c>
      <c r="AD1455" s="32">
        <v>2.0840000000000001</v>
      </c>
    </row>
    <row r="1456" spans="1:30">
      <c r="A1456">
        <v>1454</v>
      </c>
      <c r="B1456">
        <v>28</v>
      </c>
      <c r="C1456">
        <v>1.4830000000000001</v>
      </c>
      <c r="D1456">
        <v>3.25</v>
      </c>
      <c r="E1456">
        <v>0</v>
      </c>
      <c r="F1456">
        <v>1.4670000000000001</v>
      </c>
      <c r="G1456">
        <v>0</v>
      </c>
      <c r="H1456">
        <v>0.151</v>
      </c>
      <c r="I1456">
        <v>2.3220000000000001</v>
      </c>
      <c r="K1456">
        <v>1454</v>
      </c>
      <c r="L1456">
        <v>28</v>
      </c>
      <c r="M1456" s="32">
        <v>1.4830000000000001</v>
      </c>
      <c r="N1456" s="47">
        <v>3.2829999999999999</v>
      </c>
      <c r="P1456" s="47">
        <v>1.468</v>
      </c>
      <c r="R1456" s="47">
        <v>0.16200000000000001</v>
      </c>
      <c r="S1456" s="47">
        <v>2.1749999999999998</v>
      </c>
      <c r="T1456" s="31">
        <v>0</v>
      </c>
      <c r="V1456">
        <v>1454</v>
      </c>
      <c r="W1456">
        <v>27</v>
      </c>
      <c r="X1456">
        <v>1.4950000000000001</v>
      </c>
      <c r="Y1456" s="32">
        <v>3.36</v>
      </c>
      <c r="Z1456">
        <v>0</v>
      </c>
      <c r="AA1456" s="32">
        <v>1.3919999999999999</v>
      </c>
      <c r="AB1456">
        <v>0</v>
      </c>
      <c r="AC1456" s="34">
        <v>0.151</v>
      </c>
      <c r="AD1456" s="32">
        <v>2.0859999999999999</v>
      </c>
    </row>
    <row r="1457" spans="1:30">
      <c r="A1457">
        <v>1455</v>
      </c>
      <c r="B1457">
        <v>28</v>
      </c>
      <c r="C1457">
        <v>1.484</v>
      </c>
      <c r="D1457">
        <v>3.25</v>
      </c>
      <c r="E1457">
        <v>0</v>
      </c>
      <c r="F1457">
        <v>1.4670000000000001</v>
      </c>
      <c r="G1457">
        <v>0</v>
      </c>
      <c r="H1457">
        <v>0.151</v>
      </c>
      <c r="I1457">
        <v>2.3239999999999998</v>
      </c>
      <c r="K1457">
        <v>1455</v>
      </c>
      <c r="L1457">
        <v>28</v>
      </c>
      <c r="M1457" s="32">
        <v>1.484</v>
      </c>
      <c r="N1457" s="47">
        <v>3.294</v>
      </c>
      <c r="P1457" s="47">
        <v>1.468</v>
      </c>
      <c r="R1457" s="47">
        <v>0.16200000000000001</v>
      </c>
      <c r="S1457" s="47">
        <v>2.1760000000000002</v>
      </c>
      <c r="T1457" s="31">
        <v>0</v>
      </c>
      <c r="V1457">
        <v>1455</v>
      </c>
      <c r="W1457">
        <v>27</v>
      </c>
      <c r="X1457">
        <v>1.496</v>
      </c>
      <c r="Y1457" s="32">
        <v>3.36</v>
      </c>
      <c r="Z1457">
        <v>0</v>
      </c>
      <c r="AA1457" s="32">
        <v>1.393</v>
      </c>
      <c r="AB1457">
        <v>0</v>
      </c>
      <c r="AC1457" s="34">
        <v>0.151</v>
      </c>
      <c r="AD1457" s="32">
        <v>2.0880000000000001</v>
      </c>
    </row>
    <row r="1458" spans="1:30">
      <c r="A1458">
        <v>1456</v>
      </c>
      <c r="B1458">
        <v>28</v>
      </c>
      <c r="C1458">
        <v>1.4850000000000001</v>
      </c>
      <c r="D1458">
        <v>3.25</v>
      </c>
      <c r="E1458">
        <v>0</v>
      </c>
      <c r="F1458">
        <v>1.4670000000000001</v>
      </c>
      <c r="G1458">
        <v>0</v>
      </c>
      <c r="H1458">
        <v>0.151</v>
      </c>
      <c r="I1458">
        <v>2.3260000000000001</v>
      </c>
      <c r="K1458">
        <v>1456</v>
      </c>
      <c r="L1458">
        <v>28</v>
      </c>
      <c r="M1458" s="32">
        <v>1.4850000000000001</v>
      </c>
      <c r="N1458" s="47">
        <v>3.3050000000000002</v>
      </c>
      <c r="P1458" s="47">
        <v>1.4690000000000001</v>
      </c>
      <c r="R1458" s="47">
        <v>0.16200000000000001</v>
      </c>
      <c r="S1458" s="47">
        <v>2.1779999999999999</v>
      </c>
      <c r="T1458" s="31">
        <v>0</v>
      </c>
      <c r="V1458">
        <v>1456</v>
      </c>
      <c r="W1458">
        <v>27</v>
      </c>
      <c r="X1458">
        <v>1.4970000000000001</v>
      </c>
      <c r="Y1458" s="32">
        <v>3.36</v>
      </c>
      <c r="Z1458">
        <v>0</v>
      </c>
      <c r="AA1458" s="32">
        <v>1.393</v>
      </c>
      <c r="AB1458">
        <v>0</v>
      </c>
      <c r="AC1458" s="34">
        <v>0.151</v>
      </c>
      <c r="AD1458" s="32">
        <v>2.089</v>
      </c>
    </row>
    <row r="1459" spans="1:30">
      <c r="A1459">
        <v>1457</v>
      </c>
      <c r="B1459">
        <v>28</v>
      </c>
      <c r="C1459">
        <v>1.486</v>
      </c>
      <c r="D1459">
        <v>3.25</v>
      </c>
      <c r="E1459">
        <v>0</v>
      </c>
      <c r="F1459">
        <v>1.4670000000000001</v>
      </c>
      <c r="G1459">
        <v>0</v>
      </c>
      <c r="H1459">
        <v>0.151</v>
      </c>
      <c r="I1459">
        <v>2.3279999999999998</v>
      </c>
      <c r="K1459">
        <v>1457</v>
      </c>
      <c r="L1459">
        <v>28</v>
      </c>
      <c r="M1459" s="32">
        <v>1.486</v>
      </c>
      <c r="N1459" s="47">
        <v>3.3159999999999998</v>
      </c>
      <c r="P1459" s="47">
        <v>1.4690000000000001</v>
      </c>
      <c r="R1459" s="47">
        <v>0.16200000000000001</v>
      </c>
      <c r="S1459" s="47">
        <v>2.1789999999999998</v>
      </c>
      <c r="T1459" s="31">
        <v>0</v>
      </c>
      <c r="V1459">
        <v>1457</v>
      </c>
      <c r="W1459">
        <v>27</v>
      </c>
      <c r="X1459">
        <v>1.498</v>
      </c>
      <c r="Y1459" s="32">
        <v>3.36</v>
      </c>
      <c r="Z1459">
        <v>0</v>
      </c>
      <c r="AA1459" s="32">
        <v>1.393</v>
      </c>
      <c r="AB1459">
        <v>0</v>
      </c>
      <c r="AC1459" s="34">
        <v>0.151</v>
      </c>
      <c r="AD1459" s="32">
        <v>2.0910000000000002</v>
      </c>
    </row>
    <row r="1460" spans="1:30">
      <c r="A1460">
        <v>1458</v>
      </c>
      <c r="B1460">
        <v>28</v>
      </c>
      <c r="C1460">
        <v>1.4870000000000001</v>
      </c>
      <c r="D1460">
        <v>3.25</v>
      </c>
      <c r="E1460">
        <v>0</v>
      </c>
      <c r="F1460">
        <v>1.4670000000000001</v>
      </c>
      <c r="G1460">
        <v>0</v>
      </c>
      <c r="H1460">
        <v>0.151</v>
      </c>
      <c r="I1460">
        <v>2.33</v>
      </c>
      <c r="K1460">
        <v>1458</v>
      </c>
      <c r="L1460">
        <v>28</v>
      </c>
      <c r="M1460" s="32">
        <v>1.4870000000000001</v>
      </c>
      <c r="N1460" s="47">
        <v>3.327</v>
      </c>
      <c r="P1460" s="47">
        <v>1.4690000000000001</v>
      </c>
      <c r="R1460" s="47">
        <v>0.16300000000000001</v>
      </c>
      <c r="S1460" s="47">
        <v>2.1800000000000002</v>
      </c>
      <c r="T1460" s="31">
        <v>0</v>
      </c>
      <c r="V1460">
        <v>1458</v>
      </c>
      <c r="W1460">
        <v>27</v>
      </c>
      <c r="X1460">
        <v>1.4990000000000001</v>
      </c>
      <c r="Y1460" s="32">
        <v>3.36</v>
      </c>
      <c r="Z1460">
        <v>0</v>
      </c>
      <c r="AA1460" s="32">
        <v>1.3939999999999999</v>
      </c>
      <c r="AB1460">
        <v>0</v>
      </c>
      <c r="AC1460" s="34">
        <v>0.151</v>
      </c>
      <c r="AD1460" s="32">
        <v>2.093</v>
      </c>
    </row>
    <row r="1461" spans="1:30">
      <c r="A1461">
        <v>1459</v>
      </c>
      <c r="B1461">
        <v>28</v>
      </c>
      <c r="C1461">
        <v>1.488</v>
      </c>
      <c r="D1461">
        <v>3.25</v>
      </c>
      <c r="E1461">
        <v>0</v>
      </c>
      <c r="F1461">
        <v>1.4670000000000001</v>
      </c>
      <c r="G1461">
        <v>0</v>
      </c>
      <c r="H1461">
        <v>0.151</v>
      </c>
      <c r="I1461">
        <v>2.331</v>
      </c>
      <c r="K1461">
        <v>1459</v>
      </c>
      <c r="L1461">
        <v>28</v>
      </c>
      <c r="M1461" s="32">
        <v>1.488</v>
      </c>
      <c r="N1461" s="47">
        <v>3.3380000000000001</v>
      </c>
      <c r="P1461" s="47">
        <v>1.4690000000000001</v>
      </c>
      <c r="R1461" s="47">
        <v>0.16300000000000001</v>
      </c>
      <c r="S1461" s="47">
        <v>2.181</v>
      </c>
      <c r="T1461" s="31">
        <v>0</v>
      </c>
      <c r="V1461">
        <v>1459</v>
      </c>
      <c r="W1461">
        <v>27</v>
      </c>
      <c r="X1461">
        <v>1.5</v>
      </c>
      <c r="Y1461" s="32">
        <v>3.36</v>
      </c>
      <c r="Z1461">
        <v>0</v>
      </c>
      <c r="AA1461" s="32">
        <v>1.3939999999999999</v>
      </c>
      <c r="AB1461">
        <v>0</v>
      </c>
      <c r="AC1461" s="34">
        <v>0.151</v>
      </c>
      <c r="AD1461" s="32">
        <v>2.0950000000000002</v>
      </c>
    </row>
    <row r="1462" spans="1:30">
      <c r="A1462">
        <v>1460</v>
      </c>
      <c r="B1462">
        <v>28</v>
      </c>
      <c r="C1462">
        <v>1.4890000000000001</v>
      </c>
      <c r="D1462">
        <v>3.25</v>
      </c>
      <c r="E1462">
        <v>0</v>
      </c>
      <c r="F1462">
        <v>1.4670000000000001</v>
      </c>
      <c r="G1462">
        <v>0</v>
      </c>
      <c r="H1462">
        <v>0.151</v>
      </c>
      <c r="I1462">
        <v>2.3330000000000002</v>
      </c>
      <c r="K1462">
        <v>1460</v>
      </c>
      <c r="L1462">
        <v>28</v>
      </c>
      <c r="M1462" s="32">
        <v>1.4890000000000001</v>
      </c>
      <c r="N1462" s="47">
        <v>3.3490000000000002</v>
      </c>
      <c r="P1462" s="47">
        <v>1.47</v>
      </c>
      <c r="R1462" s="47">
        <v>0.16300000000000001</v>
      </c>
      <c r="S1462" s="47">
        <v>2.1819999999999999</v>
      </c>
      <c r="T1462" s="31">
        <v>0</v>
      </c>
      <c r="V1462">
        <v>1460</v>
      </c>
      <c r="W1462">
        <v>27</v>
      </c>
      <c r="X1462">
        <v>1.5009999999999999</v>
      </c>
      <c r="Y1462" s="32">
        <v>3.36</v>
      </c>
      <c r="Z1462">
        <v>0</v>
      </c>
      <c r="AA1462" s="32">
        <v>1.3939999999999999</v>
      </c>
      <c r="AB1462">
        <v>0</v>
      </c>
      <c r="AC1462" s="34">
        <v>0.151</v>
      </c>
      <c r="AD1462" s="32">
        <v>2.0960000000000001</v>
      </c>
    </row>
    <row r="1463" spans="1:30">
      <c r="A1463">
        <v>1461</v>
      </c>
      <c r="B1463">
        <v>29</v>
      </c>
      <c r="C1463">
        <v>1.49</v>
      </c>
      <c r="D1463">
        <v>3.36</v>
      </c>
      <c r="E1463">
        <v>0</v>
      </c>
      <c r="F1463">
        <v>1.47</v>
      </c>
      <c r="G1463">
        <v>0</v>
      </c>
      <c r="H1463">
        <v>0.16300000000000001</v>
      </c>
      <c r="I1463">
        <v>2.1829999999999998</v>
      </c>
      <c r="K1463">
        <v>1461</v>
      </c>
      <c r="L1463">
        <v>29</v>
      </c>
      <c r="M1463" s="32">
        <v>1.49</v>
      </c>
      <c r="N1463" s="32">
        <v>3.36</v>
      </c>
      <c r="P1463" s="32">
        <v>1.47</v>
      </c>
      <c r="R1463" s="32">
        <v>0.16300000000000001</v>
      </c>
      <c r="S1463" s="32">
        <v>2.1829999999999998</v>
      </c>
      <c r="T1463" s="31">
        <v>0</v>
      </c>
      <c r="V1463">
        <v>1461</v>
      </c>
      <c r="W1463">
        <v>27</v>
      </c>
      <c r="X1463">
        <v>1.502</v>
      </c>
      <c r="Y1463" s="32">
        <v>3.36</v>
      </c>
      <c r="Z1463">
        <v>0</v>
      </c>
      <c r="AA1463" s="32">
        <v>1.395</v>
      </c>
      <c r="AB1463">
        <v>0</v>
      </c>
      <c r="AC1463" s="34">
        <v>0.151</v>
      </c>
      <c r="AD1463" s="32">
        <v>2.0979999999999999</v>
      </c>
    </row>
    <row r="1464" spans="1:30">
      <c r="A1464">
        <v>1462</v>
      </c>
      <c r="B1464">
        <v>29</v>
      </c>
      <c r="C1464">
        <v>1.4910000000000001</v>
      </c>
      <c r="D1464">
        <v>3.36</v>
      </c>
      <c r="E1464">
        <v>0</v>
      </c>
      <c r="F1464">
        <v>1.47</v>
      </c>
      <c r="G1464">
        <v>0</v>
      </c>
      <c r="H1464">
        <v>0.16300000000000001</v>
      </c>
      <c r="I1464">
        <v>2.1850000000000001</v>
      </c>
      <c r="K1464">
        <v>1462</v>
      </c>
      <c r="L1464">
        <v>29</v>
      </c>
      <c r="M1464" s="32">
        <v>1.4910000000000001</v>
      </c>
      <c r="N1464" s="32">
        <v>3.36</v>
      </c>
      <c r="P1464" s="32">
        <v>1.47</v>
      </c>
      <c r="R1464" s="32">
        <v>0.16300000000000001</v>
      </c>
      <c r="S1464" s="47">
        <v>2.1859999999999999</v>
      </c>
      <c r="T1464" s="31">
        <v>0</v>
      </c>
      <c r="V1464">
        <v>1462</v>
      </c>
      <c r="W1464">
        <v>27</v>
      </c>
      <c r="X1464">
        <v>1.5029999999999999</v>
      </c>
      <c r="Y1464" s="32">
        <v>3.36</v>
      </c>
      <c r="Z1464">
        <v>0</v>
      </c>
      <c r="AA1464" s="32">
        <v>1.395</v>
      </c>
      <c r="AB1464">
        <v>0</v>
      </c>
      <c r="AC1464" s="34">
        <v>0.151</v>
      </c>
      <c r="AD1464" s="32">
        <v>2.1</v>
      </c>
    </row>
    <row r="1465" spans="1:30">
      <c r="A1465">
        <v>1463</v>
      </c>
      <c r="B1465">
        <v>29</v>
      </c>
      <c r="C1465">
        <v>1.492</v>
      </c>
      <c r="D1465">
        <v>3.36</v>
      </c>
      <c r="E1465">
        <v>0</v>
      </c>
      <c r="F1465">
        <v>1.4710000000000001</v>
      </c>
      <c r="G1465">
        <v>0</v>
      </c>
      <c r="H1465">
        <v>0.16300000000000001</v>
      </c>
      <c r="I1465">
        <v>2.1869999999999998</v>
      </c>
      <c r="K1465">
        <v>1463</v>
      </c>
      <c r="L1465">
        <v>29</v>
      </c>
      <c r="M1465" s="32">
        <v>1.492</v>
      </c>
      <c r="N1465" s="32">
        <v>3.36</v>
      </c>
      <c r="P1465" s="32">
        <v>1.4710000000000001</v>
      </c>
      <c r="R1465" s="32">
        <v>0.16300000000000001</v>
      </c>
      <c r="S1465" s="47">
        <v>2.1880000000000002</v>
      </c>
      <c r="T1465" s="31">
        <v>0</v>
      </c>
      <c r="V1465">
        <v>1463</v>
      </c>
      <c r="W1465">
        <v>27</v>
      </c>
      <c r="X1465">
        <v>1.504</v>
      </c>
      <c r="Y1465" s="32">
        <v>3.36</v>
      </c>
      <c r="Z1465">
        <v>0</v>
      </c>
      <c r="AA1465" s="32">
        <v>1.395</v>
      </c>
      <c r="AB1465">
        <v>0</v>
      </c>
      <c r="AC1465" s="34">
        <v>0.151</v>
      </c>
      <c r="AD1465" s="32">
        <v>2.1019999999999999</v>
      </c>
    </row>
    <row r="1466" spans="1:30">
      <c r="A1466">
        <v>1464</v>
      </c>
      <c r="B1466">
        <v>29</v>
      </c>
      <c r="C1466">
        <v>1.4930000000000001</v>
      </c>
      <c r="D1466">
        <v>3.37</v>
      </c>
      <c r="E1466">
        <v>0</v>
      </c>
      <c r="F1466">
        <v>1.4710000000000001</v>
      </c>
      <c r="G1466">
        <v>0</v>
      </c>
      <c r="H1466">
        <v>0.16300000000000001</v>
      </c>
      <c r="I1466">
        <v>2.1890000000000001</v>
      </c>
      <c r="K1466">
        <v>1464</v>
      </c>
      <c r="L1466">
        <v>29</v>
      </c>
      <c r="M1466" s="32">
        <v>1.4930000000000001</v>
      </c>
      <c r="N1466" s="47">
        <v>3.36</v>
      </c>
      <c r="P1466" s="32">
        <v>1.4710000000000001</v>
      </c>
      <c r="R1466" s="32">
        <v>0.16300000000000001</v>
      </c>
      <c r="S1466" s="47">
        <v>2.1909999999999998</v>
      </c>
      <c r="T1466" s="31">
        <v>0</v>
      </c>
      <c r="V1466">
        <v>1464</v>
      </c>
      <c r="W1466">
        <v>27</v>
      </c>
      <c r="X1466">
        <v>1.5049999999999999</v>
      </c>
      <c r="Y1466" s="32">
        <v>3.36</v>
      </c>
      <c r="Z1466">
        <v>0</v>
      </c>
      <c r="AA1466" s="32">
        <v>1.3959999999999999</v>
      </c>
      <c r="AB1466">
        <v>0</v>
      </c>
      <c r="AC1466" s="34">
        <v>0.151</v>
      </c>
      <c r="AD1466" s="32">
        <v>2.1030000000000002</v>
      </c>
    </row>
    <row r="1467" spans="1:30">
      <c r="A1467">
        <v>1465</v>
      </c>
      <c r="B1467">
        <v>29</v>
      </c>
      <c r="C1467">
        <v>1.494</v>
      </c>
      <c r="D1467">
        <v>3.37</v>
      </c>
      <c r="E1467">
        <v>0</v>
      </c>
      <c r="F1467">
        <v>1.4710000000000001</v>
      </c>
      <c r="G1467">
        <v>0</v>
      </c>
      <c r="H1467">
        <v>0.16300000000000001</v>
      </c>
      <c r="I1467">
        <v>2.1909999999999998</v>
      </c>
      <c r="K1467">
        <v>1465</v>
      </c>
      <c r="L1467">
        <v>29</v>
      </c>
      <c r="M1467" s="32">
        <v>1.494</v>
      </c>
      <c r="N1467" s="47">
        <v>3.36</v>
      </c>
      <c r="P1467" s="32">
        <v>1.4710000000000001</v>
      </c>
      <c r="R1467" s="32">
        <v>0.16300000000000001</v>
      </c>
      <c r="S1467" s="47">
        <v>2.1930000000000001</v>
      </c>
      <c r="T1467" s="31">
        <v>0</v>
      </c>
      <c r="V1467">
        <v>1465</v>
      </c>
      <c r="W1467">
        <v>27</v>
      </c>
      <c r="X1467">
        <v>1.506</v>
      </c>
      <c r="Y1467" s="32">
        <v>3.36</v>
      </c>
      <c r="Z1467">
        <v>0</v>
      </c>
      <c r="AA1467" s="32">
        <v>1.3959999999999999</v>
      </c>
      <c r="AB1467">
        <v>0</v>
      </c>
      <c r="AC1467" s="34">
        <v>0.151</v>
      </c>
      <c r="AD1467" s="32">
        <v>2.105</v>
      </c>
    </row>
    <row r="1468" spans="1:30">
      <c r="A1468">
        <v>1466</v>
      </c>
      <c r="B1468">
        <v>29</v>
      </c>
      <c r="C1468">
        <v>1.4950000000000001</v>
      </c>
      <c r="D1468">
        <v>3.37</v>
      </c>
      <c r="E1468">
        <v>0</v>
      </c>
      <c r="F1468">
        <v>1.4710000000000001</v>
      </c>
      <c r="G1468">
        <v>0</v>
      </c>
      <c r="H1468">
        <v>0.16300000000000001</v>
      </c>
      <c r="I1468">
        <v>2.1930000000000001</v>
      </c>
      <c r="K1468">
        <v>1466</v>
      </c>
      <c r="L1468">
        <v>29</v>
      </c>
      <c r="M1468" s="32">
        <v>1.4950000000000001</v>
      </c>
      <c r="N1468" s="47">
        <v>3.36</v>
      </c>
      <c r="P1468" s="47">
        <v>1.472</v>
      </c>
      <c r="R1468" s="32">
        <v>0.16300000000000001</v>
      </c>
      <c r="S1468" s="47">
        <v>2.1960000000000002</v>
      </c>
      <c r="T1468" s="31">
        <v>0</v>
      </c>
      <c r="V1468">
        <v>1466</v>
      </c>
      <c r="W1468">
        <v>27</v>
      </c>
      <c r="X1468">
        <v>1.5069999999999999</v>
      </c>
      <c r="Y1468" s="32">
        <v>3.36</v>
      </c>
      <c r="Z1468">
        <v>0</v>
      </c>
      <c r="AA1468" s="32">
        <v>1.3959999999999999</v>
      </c>
      <c r="AB1468">
        <v>0</v>
      </c>
      <c r="AC1468" s="34">
        <v>0.151</v>
      </c>
      <c r="AD1468" s="32">
        <v>2.1070000000000002</v>
      </c>
    </row>
    <row r="1469" spans="1:30">
      <c r="A1469">
        <v>1467</v>
      </c>
      <c r="B1469">
        <v>29</v>
      </c>
      <c r="C1469">
        <v>1.496</v>
      </c>
      <c r="D1469">
        <v>3.37</v>
      </c>
      <c r="E1469">
        <v>0</v>
      </c>
      <c r="F1469">
        <v>1.472</v>
      </c>
      <c r="G1469">
        <v>0</v>
      </c>
      <c r="H1469">
        <v>0.16300000000000001</v>
      </c>
      <c r="I1469">
        <v>2.1960000000000002</v>
      </c>
      <c r="K1469">
        <v>1467</v>
      </c>
      <c r="L1469">
        <v>29</v>
      </c>
      <c r="M1469" s="32">
        <v>1.496</v>
      </c>
      <c r="N1469" s="47">
        <v>3.36</v>
      </c>
      <c r="P1469" s="32">
        <v>1.472</v>
      </c>
      <c r="R1469" s="32">
        <v>0.16300000000000001</v>
      </c>
      <c r="S1469" s="47">
        <v>2.1989999999999998</v>
      </c>
      <c r="T1469" s="31">
        <v>0</v>
      </c>
      <c r="V1469">
        <v>1467</v>
      </c>
      <c r="W1469">
        <v>27</v>
      </c>
      <c r="X1469">
        <v>1.508</v>
      </c>
      <c r="Y1469" s="32">
        <v>3.36</v>
      </c>
      <c r="Z1469">
        <v>0</v>
      </c>
      <c r="AA1469" s="32">
        <v>1.397</v>
      </c>
      <c r="AB1469">
        <v>0</v>
      </c>
      <c r="AC1469" s="34">
        <v>0.151</v>
      </c>
      <c r="AD1469" s="32">
        <v>2.109</v>
      </c>
    </row>
    <row r="1470" spans="1:30">
      <c r="A1470">
        <v>1468</v>
      </c>
      <c r="B1470">
        <v>29</v>
      </c>
      <c r="C1470">
        <v>1.4970000000000001</v>
      </c>
      <c r="D1470">
        <v>3.37</v>
      </c>
      <c r="E1470">
        <v>0</v>
      </c>
      <c r="F1470">
        <v>1.472</v>
      </c>
      <c r="G1470">
        <v>0</v>
      </c>
      <c r="H1470">
        <v>0.16300000000000001</v>
      </c>
      <c r="I1470">
        <v>2.198</v>
      </c>
      <c r="K1470">
        <v>1468</v>
      </c>
      <c r="L1470">
        <v>29</v>
      </c>
      <c r="M1470" s="32">
        <v>1.4970000000000001</v>
      </c>
      <c r="N1470" s="47">
        <v>3.36</v>
      </c>
      <c r="P1470" s="32">
        <v>1.472</v>
      </c>
      <c r="R1470" s="32">
        <v>0.16300000000000001</v>
      </c>
      <c r="S1470" s="47">
        <v>2.2010000000000001</v>
      </c>
      <c r="T1470" s="31">
        <v>0</v>
      </c>
      <c r="V1470">
        <v>1468</v>
      </c>
      <c r="W1470">
        <v>27</v>
      </c>
      <c r="X1470">
        <v>1.5089999999999999</v>
      </c>
      <c r="Y1470" s="32">
        <v>3.36</v>
      </c>
      <c r="Z1470">
        <v>0</v>
      </c>
      <c r="AA1470" s="32">
        <v>1.397</v>
      </c>
      <c r="AB1470">
        <v>0</v>
      </c>
      <c r="AC1470" s="34">
        <v>0.151</v>
      </c>
      <c r="AD1470" s="32">
        <v>2.11</v>
      </c>
    </row>
    <row r="1471" spans="1:30">
      <c r="A1471">
        <v>1469</v>
      </c>
      <c r="B1471">
        <v>29</v>
      </c>
      <c r="C1471">
        <v>1.498</v>
      </c>
      <c r="D1471">
        <v>3.38</v>
      </c>
      <c r="E1471">
        <v>0</v>
      </c>
      <c r="F1471">
        <v>1.472</v>
      </c>
      <c r="G1471">
        <v>0</v>
      </c>
      <c r="H1471">
        <v>0.16300000000000001</v>
      </c>
      <c r="I1471">
        <v>2.2000000000000002</v>
      </c>
      <c r="K1471">
        <v>1469</v>
      </c>
      <c r="L1471">
        <v>29</v>
      </c>
      <c r="M1471" s="32">
        <v>1.498</v>
      </c>
      <c r="N1471" s="47">
        <v>3.36</v>
      </c>
      <c r="P1471" s="32">
        <v>1.472</v>
      </c>
      <c r="R1471" s="32">
        <v>0.16300000000000001</v>
      </c>
      <c r="S1471" s="47">
        <v>2.2040000000000002</v>
      </c>
      <c r="T1471" s="31">
        <v>0</v>
      </c>
      <c r="V1471">
        <v>1469</v>
      </c>
      <c r="W1471">
        <v>27</v>
      </c>
      <c r="X1471">
        <v>1.51</v>
      </c>
      <c r="Y1471" s="32">
        <v>3.36</v>
      </c>
      <c r="Z1471">
        <v>0</v>
      </c>
      <c r="AA1471" s="32">
        <v>1.397</v>
      </c>
      <c r="AB1471">
        <v>0</v>
      </c>
      <c r="AC1471" s="34">
        <v>0.151</v>
      </c>
      <c r="AD1471" s="32">
        <v>2.1120000000000001</v>
      </c>
    </row>
    <row r="1472" spans="1:30">
      <c r="A1472">
        <v>1470</v>
      </c>
      <c r="B1472">
        <v>29</v>
      </c>
      <c r="C1472">
        <v>1.4990000000000001</v>
      </c>
      <c r="D1472">
        <v>3.38</v>
      </c>
      <c r="E1472">
        <v>0</v>
      </c>
      <c r="F1472">
        <v>1.4730000000000001</v>
      </c>
      <c r="G1472">
        <v>0</v>
      </c>
      <c r="H1472">
        <v>0.16300000000000001</v>
      </c>
      <c r="I1472">
        <v>2.202</v>
      </c>
      <c r="K1472">
        <v>1470</v>
      </c>
      <c r="L1472">
        <v>29</v>
      </c>
      <c r="M1472" s="32">
        <v>1.4990000000000001</v>
      </c>
      <c r="N1472" s="47">
        <v>3.36</v>
      </c>
      <c r="P1472" s="32">
        <v>1.4730000000000001</v>
      </c>
      <c r="R1472" s="32">
        <v>0.16300000000000001</v>
      </c>
      <c r="S1472" s="47">
        <v>2.206</v>
      </c>
      <c r="T1472" s="31">
        <v>0</v>
      </c>
      <c r="V1472">
        <v>1470</v>
      </c>
      <c r="W1472">
        <v>27</v>
      </c>
      <c r="X1472">
        <v>1.5109999999999999</v>
      </c>
      <c r="Y1472" s="32">
        <v>3.36</v>
      </c>
      <c r="Z1472">
        <v>0</v>
      </c>
      <c r="AA1472" s="32">
        <v>1.3979999999999999</v>
      </c>
      <c r="AB1472">
        <v>0</v>
      </c>
      <c r="AC1472" s="34">
        <v>0.151</v>
      </c>
      <c r="AD1472" s="32">
        <v>2.1139999999999999</v>
      </c>
    </row>
    <row r="1473" spans="1:30">
      <c r="A1473">
        <v>1471</v>
      </c>
      <c r="B1473">
        <v>29</v>
      </c>
      <c r="C1473">
        <v>1.5</v>
      </c>
      <c r="D1473">
        <v>3.36</v>
      </c>
      <c r="E1473">
        <v>0</v>
      </c>
      <c r="F1473">
        <v>1.4730000000000001</v>
      </c>
      <c r="G1473">
        <v>0</v>
      </c>
      <c r="H1473">
        <v>0.16300000000000001</v>
      </c>
      <c r="I1473">
        <v>2.2090000000000001</v>
      </c>
      <c r="K1473">
        <v>1471</v>
      </c>
      <c r="L1473">
        <v>29</v>
      </c>
      <c r="M1473" s="32">
        <v>1.5</v>
      </c>
      <c r="N1473" s="32">
        <v>3.36</v>
      </c>
      <c r="P1473" s="32">
        <v>1.4730000000000001</v>
      </c>
      <c r="R1473" s="47">
        <v>0.16400000000000001</v>
      </c>
      <c r="S1473" s="32">
        <v>2.2090000000000001</v>
      </c>
      <c r="T1473" s="31">
        <v>0</v>
      </c>
      <c r="V1473">
        <v>1471</v>
      </c>
      <c r="W1473">
        <v>27</v>
      </c>
      <c r="X1473">
        <v>1.512</v>
      </c>
      <c r="Y1473" s="32">
        <v>3.36</v>
      </c>
      <c r="Z1473">
        <v>0</v>
      </c>
      <c r="AA1473" s="32">
        <v>1.3979999999999999</v>
      </c>
      <c r="AB1473">
        <v>0</v>
      </c>
      <c r="AC1473" s="34">
        <v>0.151</v>
      </c>
      <c r="AD1473" s="32">
        <v>2.1160000000000001</v>
      </c>
    </row>
    <row r="1474" spans="1:30">
      <c r="A1474">
        <v>1472</v>
      </c>
      <c r="B1474">
        <v>29</v>
      </c>
      <c r="C1474">
        <v>1.5009999999999999</v>
      </c>
      <c r="D1474">
        <v>3.36</v>
      </c>
      <c r="E1474">
        <v>0</v>
      </c>
      <c r="F1474">
        <v>1.4730000000000001</v>
      </c>
      <c r="G1474">
        <v>0</v>
      </c>
      <c r="H1474">
        <v>0.16300000000000001</v>
      </c>
      <c r="I1474">
        <v>2.2320000000000002</v>
      </c>
      <c r="K1474">
        <v>1472</v>
      </c>
      <c r="L1474">
        <v>29</v>
      </c>
      <c r="M1474" s="32">
        <v>1.5009999999999999</v>
      </c>
      <c r="N1474" s="32">
        <v>3.36</v>
      </c>
      <c r="P1474" s="32">
        <v>1.4730000000000001</v>
      </c>
      <c r="R1474" s="47">
        <v>0.16400000000000001</v>
      </c>
      <c r="S1474" s="47">
        <v>2.2109999999999999</v>
      </c>
      <c r="T1474" s="31">
        <v>0</v>
      </c>
      <c r="V1474">
        <v>1472</v>
      </c>
      <c r="W1474">
        <v>27</v>
      </c>
      <c r="X1474">
        <v>1.5129999999999999</v>
      </c>
      <c r="Y1474" s="32">
        <v>3.36</v>
      </c>
      <c r="Z1474">
        <v>0</v>
      </c>
      <c r="AA1474" s="32">
        <v>1.3979999999999999</v>
      </c>
      <c r="AB1474">
        <v>0</v>
      </c>
      <c r="AC1474" s="34">
        <v>0.151</v>
      </c>
      <c r="AD1474" s="32">
        <v>2.1179999999999999</v>
      </c>
    </row>
    <row r="1475" spans="1:30">
      <c r="A1475">
        <v>1473</v>
      </c>
      <c r="B1475">
        <v>29</v>
      </c>
      <c r="C1475">
        <v>1.502</v>
      </c>
      <c r="D1475">
        <v>3.36</v>
      </c>
      <c r="E1475">
        <v>0</v>
      </c>
      <c r="F1475">
        <v>1.4730000000000001</v>
      </c>
      <c r="G1475">
        <v>0</v>
      </c>
      <c r="H1475">
        <v>0.16300000000000001</v>
      </c>
      <c r="I1475">
        <v>2.234</v>
      </c>
      <c r="K1475">
        <v>1473</v>
      </c>
      <c r="L1475">
        <v>29</v>
      </c>
      <c r="M1475" s="32">
        <v>1.502</v>
      </c>
      <c r="N1475" s="32">
        <v>3.36</v>
      </c>
      <c r="P1475" s="47">
        <v>1.474</v>
      </c>
      <c r="R1475" s="47">
        <v>0.16400000000000001</v>
      </c>
      <c r="S1475" s="47">
        <v>2.2130000000000001</v>
      </c>
      <c r="T1475" s="31">
        <v>0</v>
      </c>
      <c r="V1475">
        <v>1473</v>
      </c>
      <c r="W1475">
        <v>27</v>
      </c>
      <c r="X1475">
        <v>1.514</v>
      </c>
      <c r="Y1475" s="32">
        <v>3.36</v>
      </c>
      <c r="Z1475">
        <v>0</v>
      </c>
      <c r="AA1475" s="32">
        <v>1.399</v>
      </c>
      <c r="AB1475">
        <v>0</v>
      </c>
      <c r="AC1475" s="34">
        <v>0.152</v>
      </c>
      <c r="AD1475" s="32">
        <v>2.1190000000000002</v>
      </c>
    </row>
    <row r="1476" spans="1:30">
      <c r="A1476">
        <v>1474</v>
      </c>
      <c r="B1476">
        <v>29</v>
      </c>
      <c r="C1476">
        <v>1.5029999999999999</v>
      </c>
      <c r="D1476">
        <v>3.36</v>
      </c>
      <c r="E1476">
        <v>0</v>
      </c>
      <c r="F1476">
        <v>1.4730000000000001</v>
      </c>
      <c r="G1476">
        <v>0</v>
      </c>
      <c r="H1476">
        <v>0.16300000000000001</v>
      </c>
      <c r="I1476">
        <v>2.2360000000000002</v>
      </c>
      <c r="K1476">
        <v>1474</v>
      </c>
      <c r="L1476">
        <v>29</v>
      </c>
      <c r="M1476" s="32">
        <v>1.5029999999999999</v>
      </c>
      <c r="N1476" s="32">
        <v>3.36</v>
      </c>
      <c r="P1476" s="47">
        <v>1.474</v>
      </c>
      <c r="R1476" s="47">
        <v>0.16400000000000001</v>
      </c>
      <c r="S1476" s="47">
        <v>2.2149999999999999</v>
      </c>
      <c r="T1476" s="31">
        <v>0</v>
      </c>
      <c r="V1476">
        <v>1474</v>
      </c>
      <c r="W1476">
        <v>27</v>
      </c>
      <c r="X1476">
        <v>1.5149999999999999</v>
      </c>
      <c r="Y1476" s="32">
        <v>3.36</v>
      </c>
      <c r="Z1476">
        <v>0</v>
      </c>
      <c r="AA1476" s="32">
        <v>1.399</v>
      </c>
      <c r="AB1476">
        <v>0</v>
      </c>
      <c r="AC1476" s="34">
        <v>0.152</v>
      </c>
      <c r="AD1476" s="32">
        <v>2.121</v>
      </c>
    </row>
    <row r="1477" spans="1:30">
      <c r="A1477">
        <v>1475</v>
      </c>
      <c r="B1477">
        <v>29</v>
      </c>
      <c r="C1477">
        <v>1.504</v>
      </c>
      <c r="D1477">
        <v>3.36</v>
      </c>
      <c r="E1477">
        <v>0</v>
      </c>
      <c r="F1477">
        <v>1.4730000000000001</v>
      </c>
      <c r="G1477">
        <v>0</v>
      </c>
      <c r="H1477">
        <v>0.16300000000000001</v>
      </c>
      <c r="I1477">
        <v>2.238</v>
      </c>
      <c r="K1477">
        <v>1475</v>
      </c>
      <c r="L1477">
        <v>29</v>
      </c>
      <c r="M1477" s="32">
        <v>1.504</v>
      </c>
      <c r="N1477" s="32">
        <v>3.36</v>
      </c>
      <c r="P1477" s="47">
        <v>1.474</v>
      </c>
      <c r="R1477" s="47">
        <v>0.16400000000000001</v>
      </c>
      <c r="S1477" s="47">
        <v>2.2170000000000001</v>
      </c>
      <c r="T1477" s="31">
        <v>0</v>
      </c>
      <c r="V1477">
        <v>1475</v>
      </c>
      <c r="W1477">
        <v>27</v>
      </c>
      <c r="X1477">
        <v>1.516</v>
      </c>
      <c r="Y1477" s="32">
        <v>3.36</v>
      </c>
      <c r="Z1477">
        <v>0</v>
      </c>
      <c r="AA1477" s="32">
        <v>1.399</v>
      </c>
      <c r="AB1477">
        <v>0</v>
      </c>
      <c r="AC1477" s="34">
        <v>0.152</v>
      </c>
      <c r="AD1477" s="32">
        <v>2.1230000000000002</v>
      </c>
    </row>
    <row r="1478" spans="1:30">
      <c r="A1478">
        <v>1476</v>
      </c>
      <c r="B1478">
        <v>29</v>
      </c>
      <c r="C1478">
        <v>1.5049999999999999</v>
      </c>
      <c r="D1478">
        <v>3.36</v>
      </c>
      <c r="E1478">
        <v>0</v>
      </c>
      <c r="F1478">
        <v>1.4730000000000001</v>
      </c>
      <c r="G1478">
        <v>0</v>
      </c>
      <c r="H1478">
        <v>0.16300000000000001</v>
      </c>
      <c r="I1478">
        <v>2.2400000000000002</v>
      </c>
      <c r="K1478">
        <v>1476</v>
      </c>
      <c r="L1478">
        <v>29</v>
      </c>
      <c r="M1478" s="32">
        <v>1.5049999999999999</v>
      </c>
      <c r="N1478" s="32">
        <v>3.36</v>
      </c>
      <c r="P1478" s="47">
        <v>1.4750000000000001</v>
      </c>
      <c r="R1478" s="47">
        <v>0.16400000000000001</v>
      </c>
      <c r="S1478" s="47">
        <v>2.2189999999999999</v>
      </c>
      <c r="T1478" s="31">
        <v>0</v>
      </c>
      <c r="V1478">
        <v>1476</v>
      </c>
      <c r="W1478">
        <v>27</v>
      </c>
      <c r="X1478">
        <v>1.5169999999999999</v>
      </c>
      <c r="Y1478" s="32">
        <v>3.36</v>
      </c>
      <c r="Z1478">
        <v>0</v>
      </c>
      <c r="AA1478" s="32">
        <v>1.4</v>
      </c>
      <c r="AB1478">
        <v>0</v>
      </c>
      <c r="AC1478" s="34">
        <v>0.152</v>
      </c>
      <c r="AD1478" s="32">
        <v>2.125</v>
      </c>
    </row>
    <row r="1479" spans="1:30">
      <c r="A1479">
        <v>1477</v>
      </c>
      <c r="B1479">
        <v>29</v>
      </c>
      <c r="C1479">
        <v>1.506</v>
      </c>
      <c r="D1479">
        <v>3.36</v>
      </c>
      <c r="E1479">
        <v>0</v>
      </c>
      <c r="F1479">
        <v>1.4730000000000001</v>
      </c>
      <c r="G1479">
        <v>0</v>
      </c>
      <c r="H1479">
        <v>0.16300000000000001</v>
      </c>
      <c r="I1479">
        <v>2.242</v>
      </c>
      <c r="K1479">
        <v>1477</v>
      </c>
      <c r="L1479">
        <v>29</v>
      </c>
      <c r="M1479" s="32">
        <v>1.506</v>
      </c>
      <c r="N1479" s="32">
        <v>3.36</v>
      </c>
      <c r="P1479" s="47">
        <v>1.4750000000000001</v>
      </c>
      <c r="R1479" s="47">
        <v>0.16400000000000001</v>
      </c>
      <c r="S1479" s="47">
        <v>2.2200000000000002</v>
      </c>
      <c r="T1479" s="31">
        <v>0</v>
      </c>
      <c r="V1479">
        <v>1477</v>
      </c>
      <c r="W1479">
        <v>27</v>
      </c>
      <c r="X1479">
        <v>1.518</v>
      </c>
      <c r="Y1479" s="32">
        <v>3.36</v>
      </c>
      <c r="Z1479">
        <v>0</v>
      </c>
      <c r="AA1479" s="32">
        <v>1.4</v>
      </c>
      <c r="AB1479">
        <v>0</v>
      </c>
      <c r="AC1479" s="34">
        <v>0.152</v>
      </c>
      <c r="AD1479" s="32">
        <v>2.1259999999999999</v>
      </c>
    </row>
    <row r="1480" spans="1:30">
      <c r="A1480">
        <v>1478</v>
      </c>
      <c r="B1480">
        <v>29</v>
      </c>
      <c r="C1480">
        <v>1.5069999999999999</v>
      </c>
      <c r="D1480">
        <v>3.36</v>
      </c>
      <c r="E1480">
        <v>0</v>
      </c>
      <c r="F1480">
        <v>1.4730000000000001</v>
      </c>
      <c r="G1480">
        <v>0</v>
      </c>
      <c r="H1480">
        <v>0.16300000000000001</v>
      </c>
      <c r="I1480">
        <v>2.2440000000000002</v>
      </c>
      <c r="K1480">
        <v>1478</v>
      </c>
      <c r="L1480">
        <v>29</v>
      </c>
      <c r="M1480" s="32">
        <v>1.5069999999999999</v>
      </c>
      <c r="N1480" s="32">
        <v>3.36</v>
      </c>
      <c r="P1480" s="47">
        <v>1.4750000000000001</v>
      </c>
      <c r="R1480" s="47">
        <v>0.16400000000000001</v>
      </c>
      <c r="S1480" s="47">
        <v>2.222</v>
      </c>
      <c r="T1480" s="31">
        <v>0</v>
      </c>
      <c r="V1480">
        <v>1478</v>
      </c>
      <c r="W1480">
        <v>27</v>
      </c>
      <c r="X1480">
        <v>1.5189999999999999</v>
      </c>
      <c r="Y1480" s="32">
        <v>3.36</v>
      </c>
      <c r="Z1480">
        <v>0</v>
      </c>
      <c r="AA1480" s="32">
        <v>1.4</v>
      </c>
      <c r="AB1480">
        <v>0</v>
      </c>
      <c r="AC1480" s="34">
        <v>0.152</v>
      </c>
      <c r="AD1480" s="32">
        <v>2.1280000000000001</v>
      </c>
    </row>
    <row r="1481" spans="1:30">
      <c r="A1481">
        <v>1479</v>
      </c>
      <c r="B1481">
        <v>29</v>
      </c>
      <c r="C1481">
        <v>1.508</v>
      </c>
      <c r="D1481">
        <v>3.36</v>
      </c>
      <c r="E1481">
        <v>0</v>
      </c>
      <c r="F1481">
        <v>1.4730000000000001</v>
      </c>
      <c r="G1481">
        <v>0</v>
      </c>
      <c r="H1481">
        <v>0.16300000000000001</v>
      </c>
      <c r="I1481">
        <v>2.2469999999999999</v>
      </c>
      <c r="K1481">
        <v>1479</v>
      </c>
      <c r="L1481">
        <v>29</v>
      </c>
      <c r="M1481" s="32">
        <v>1.508</v>
      </c>
      <c r="N1481" s="32">
        <v>3.36</v>
      </c>
      <c r="P1481" s="47">
        <v>1.4750000000000001</v>
      </c>
      <c r="R1481" s="47">
        <v>0.16400000000000001</v>
      </c>
      <c r="S1481" s="47">
        <v>2.2240000000000002</v>
      </c>
      <c r="T1481" s="31">
        <v>0</v>
      </c>
      <c r="V1481">
        <v>1479</v>
      </c>
      <c r="W1481">
        <v>27</v>
      </c>
      <c r="X1481">
        <v>1.52</v>
      </c>
      <c r="Y1481" s="32">
        <v>3.36</v>
      </c>
      <c r="Z1481">
        <v>0</v>
      </c>
      <c r="AA1481" s="32">
        <v>1.401</v>
      </c>
      <c r="AB1481">
        <v>0</v>
      </c>
      <c r="AC1481" s="34">
        <v>0.152</v>
      </c>
      <c r="AD1481" s="32">
        <v>2.13</v>
      </c>
    </row>
    <row r="1482" spans="1:30">
      <c r="A1482">
        <v>1480</v>
      </c>
      <c r="B1482">
        <v>29</v>
      </c>
      <c r="C1482">
        <v>1.5089999999999999</v>
      </c>
      <c r="D1482">
        <v>3.36</v>
      </c>
      <c r="E1482">
        <v>0</v>
      </c>
      <c r="F1482">
        <v>1.4730000000000001</v>
      </c>
      <c r="G1482">
        <v>0</v>
      </c>
      <c r="H1482">
        <v>0.16300000000000001</v>
      </c>
      <c r="I1482">
        <v>2.2490000000000001</v>
      </c>
      <c r="K1482">
        <v>1480</v>
      </c>
      <c r="L1482">
        <v>29</v>
      </c>
      <c r="M1482" s="32">
        <v>1.5089999999999999</v>
      </c>
      <c r="N1482" s="32">
        <v>3.36</v>
      </c>
      <c r="P1482" s="47">
        <v>1.476</v>
      </c>
      <c r="R1482" s="47">
        <v>0.16400000000000001</v>
      </c>
      <c r="S1482" s="47">
        <v>2.226</v>
      </c>
      <c r="T1482" s="31">
        <v>0</v>
      </c>
      <c r="V1482">
        <v>1480</v>
      </c>
      <c r="W1482">
        <v>27</v>
      </c>
      <c r="X1482">
        <v>1.5209999999999999</v>
      </c>
      <c r="Y1482" s="32">
        <v>3.36</v>
      </c>
      <c r="Z1482">
        <v>0</v>
      </c>
      <c r="AA1482" s="32">
        <v>1.401</v>
      </c>
      <c r="AB1482">
        <v>0</v>
      </c>
      <c r="AC1482" s="34">
        <v>0.152</v>
      </c>
      <c r="AD1482" s="32">
        <v>2.1320000000000001</v>
      </c>
    </row>
    <row r="1483" spans="1:30">
      <c r="A1483">
        <v>1481</v>
      </c>
      <c r="B1483">
        <v>29</v>
      </c>
      <c r="C1483">
        <v>1.51</v>
      </c>
      <c r="D1483">
        <v>3.36</v>
      </c>
      <c r="E1483">
        <v>0</v>
      </c>
      <c r="F1483">
        <v>1.476</v>
      </c>
      <c r="G1483">
        <v>0</v>
      </c>
      <c r="H1483">
        <v>0.16300000000000001</v>
      </c>
      <c r="I1483">
        <v>2.2280000000000002</v>
      </c>
      <c r="K1483">
        <v>1481</v>
      </c>
      <c r="L1483">
        <v>29</v>
      </c>
      <c r="M1483" s="32">
        <v>1.51</v>
      </c>
      <c r="N1483" s="32">
        <v>3.36</v>
      </c>
      <c r="P1483" s="32">
        <v>1.476</v>
      </c>
      <c r="R1483" s="47">
        <v>0.16400000000000001</v>
      </c>
      <c r="S1483" s="32">
        <v>2.2280000000000002</v>
      </c>
      <c r="T1483" s="31">
        <v>0</v>
      </c>
      <c r="V1483">
        <v>1481</v>
      </c>
      <c r="W1483">
        <v>27</v>
      </c>
      <c r="X1483">
        <v>1.522</v>
      </c>
      <c r="Y1483" s="32">
        <v>3.36</v>
      </c>
      <c r="Z1483">
        <v>0</v>
      </c>
      <c r="AA1483" s="32">
        <v>1.401</v>
      </c>
      <c r="AB1483">
        <v>0</v>
      </c>
      <c r="AC1483" s="34">
        <v>0.152</v>
      </c>
      <c r="AD1483" s="32">
        <v>2.133</v>
      </c>
    </row>
    <row r="1484" spans="1:30">
      <c r="A1484">
        <v>1482</v>
      </c>
      <c r="B1484">
        <v>29</v>
      </c>
      <c r="C1484">
        <v>1.5109999999999999</v>
      </c>
      <c r="D1484">
        <v>3.36</v>
      </c>
      <c r="E1484">
        <v>0</v>
      </c>
      <c r="F1484">
        <v>1.476</v>
      </c>
      <c r="G1484">
        <v>0</v>
      </c>
      <c r="H1484">
        <v>0.16300000000000001</v>
      </c>
      <c r="I1484">
        <v>2.2719999999999998</v>
      </c>
      <c r="K1484">
        <v>1482</v>
      </c>
      <c r="L1484">
        <v>29</v>
      </c>
      <c r="M1484" s="32">
        <v>1.5109999999999999</v>
      </c>
      <c r="N1484" s="32">
        <v>3.36</v>
      </c>
      <c r="P1484" s="32">
        <v>1.476</v>
      </c>
      <c r="R1484" s="47">
        <v>0.16400000000000001</v>
      </c>
      <c r="S1484" s="47">
        <v>2.23</v>
      </c>
      <c r="T1484" s="31">
        <v>0</v>
      </c>
      <c r="V1484">
        <v>1482</v>
      </c>
      <c r="W1484">
        <v>27</v>
      </c>
      <c r="X1484">
        <v>1.5229999999999999</v>
      </c>
      <c r="Y1484" s="32">
        <v>3.36</v>
      </c>
      <c r="Z1484">
        <v>0</v>
      </c>
      <c r="AA1484" s="32">
        <v>1.4019999999999999</v>
      </c>
      <c r="AB1484">
        <v>0</v>
      </c>
      <c r="AC1484" s="34">
        <v>0.152</v>
      </c>
      <c r="AD1484" s="32">
        <v>2.1349999999999998</v>
      </c>
    </row>
    <row r="1485" spans="1:30">
      <c r="A1485">
        <v>1483</v>
      </c>
      <c r="B1485">
        <v>29</v>
      </c>
      <c r="C1485">
        <v>1.512</v>
      </c>
      <c r="D1485">
        <v>3.36</v>
      </c>
      <c r="E1485">
        <v>0</v>
      </c>
      <c r="F1485">
        <v>1.476</v>
      </c>
      <c r="G1485">
        <v>0</v>
      </c>
      <c r="H1485">
        <v>0.16300000000000001</v>
      </c>
      <c r="I1485">
        <v>2.274</v>
      </c>
      <c r="K1485">
        <v>1483</v>
      </c>
      <c r="L1485">
        <v>29</v>
      </c>
      <c r="M1485" s="32">
        <v>1.512</v>
      </c>
      <c r="N1485" s="32">
        <v>3.36</v>
      </c>
      <c r="P1485" s="47">
        <v>1.4770000000000001</v>
      </c>
      <c r="R1485" s="47">
        <v>0.16400000000000001</v>
      </c>
      <c r="S1485" s="47">
        <v>2.2320000000000002</v>
      </c>
      <c r="T1485" s="31">
        <v>0</v>
      </c>
      <c r="V1485">
        <v>1483</v>
      </c>
      <c r="W1485">
        <v>28</v>
      </c>
      <c r="X1485">
        <v>1.524</v>
      </c>
      <c r="Y1485" s="32">
        <v>3.36</v>
      </c>
      <c r="Z1485">
        <v>0</v>
      </c>
      <c r="AA1485" s="32">
        <v>1.4019999999999999</v>
      </c>
      <c r="AB1485">
        <v>0</v>
      </c>
      <c r="AC1485" s="34">
        <v>0.152</v>
      </c>
      <c r="AD1485" s="32">
        <v>2.137</v>
      </c>
    </row>
    <row r="1486" spans="1:30">
      <c r="A1486">
        <v>1484</v>
      </c>
      <c r="B1486">
        <v>29</v>
      </c>
      <c r="C1486">
        <v>1.5129999999999999</v>
      </c>
      <c r="D1486">
        <v>3.36</v>
      </c>
      <c r="E1486">
        <v>0</v>
      </c>
      <c r="F1486">
        <v>1.476</v>
      </c>
      <c r="G1486">
        <v>0</v>
      </c>
      <c r="H1486">
        <v>0.16300000000000001</v>
      </c>
      <c r="I1486">
        <v>2.2759999999999998</v>
      </c>
      <c r="K1486">
        <v>1484</v>
      </c>
      <c r="L1486">
        <v>29</v>
      </c>
      <c r="M1486" s="32">
        <v>1.5129999999999999</v>
      </c>
      <c r="N1486" s="32">
        <v>3.36</v>
      </c>
      <c r="P1486" s="47">
        <v>1.4770000000000001</v>
      </c>
      <c r="R1486" s="47">
        <v>0.16400000000000001</v>
      </c>
      <c r="S1486" s="47">
        <v>2.234</v>
      </c>
      <c r="T1486" s="31">
        <v>0</v>
      </c>
      <c r="V1486">
        <v>1484</v>
      </c>
      <c r="W1486">
        <v>28</v>
      </c>
      <c r="X1486">
        <v>1.5249999999999999</v>
      </c>
      <c r="Y1486" s="32">
        <v>3.36</v>
      </c>
      <c r="Z1486">
        <v>0</v>
      </c>
      <c r="AA1486" s="32">
        <v>1.4019999999999999</v>
      </c>
      <c r="AB1486">
        <v>0</v>
      </c>
      <c r="AC1486" s="34">
        <v>0.152</v>
      </c>
      <c r="AD1486" s="32">
        <v>2.1389999999999998</v>
      </c>
    </row>
    <row r="1487" spans="1:30">
      <c r="A1487">
        <v>1485</v>
      </c>
      <c r="B1487">
        <v>29</v>
      </c>
      <c r="C1487">
        <v>1.514</v>
      </c>
      <c r="D1487">
        <v>3.36</v>
      </c>
      <c r="E1487">
        <v>0</v>
      </c>
      <c r="F1487">
        <v>1.476</v>
      </c>
      <c r="G1487">
        <v>0</v>
      </c>
      <c r="H1487">
        <v>0.16300000000000001</v>
      </c>
      <c r="I1487">
        <v>2.278</v>
      </c>
      <c r="K1487">
        <v>1485</v>
      </c>
      <c r="L1487">
        <v>29</v>
      </c>
      <c r="M1487" s="32">
        <v>1.514</v>
      </c>
      <c r="N1487" s="32">
        <v>3.36</v>
      </c>
      <c r="P1487" s="47">
        <v>1.4770000000000001</v>
      </c>
      <c r="R1487" s="47">
        <v>0.16400000000000001</v>
      </c>
      <c r="S1487" s="47">
        <v>2.2360000000000002</v>
      </c>
      <c r="T1487" s="31">
        <v>0</v>
      </c>
      <c r="V1487">
        <v>1485</v>
      </c>
      <c r="W1487">
        <v>28</v>
      </c>
      <c r="X1487">
        <v>1.526</v>
      </c>
      <c r="Y1487" s="32">
        <v>3.36</v>
      </c>
      <c r="Z1487">
        <v>0</v>
      </c>
      <c r="AA1487" s="32">
        <v>1.4019999999999999</v>
      </c>
      <c r="AB1487">
        <v>0</v>
      </c>
      <c r="AC1487" s="34">
        <v>0.152</v>
      </c>
      <c r="AD1487" s="32">
        <v>2.141</v>
      </c>
    </row>
    <row r="1488" spans="1:30">
      <c r="A1488">
        <v>1486</v>
      </c>
      <c r="B1488">
        <v>29</v>
      </c>
      <c r="C1488">
        <v>1.5149999999999999</v>
      </c>
      <c r="D1488">
        <v>3.36</v>
      </c>
      <c r="E1488">
        <v>0</v>
      </c>
      <c r="F1488">
        <v>1.476</v>
      </c>
      <c r="G1488">
        <v>0</v>
      </c>
      <c r="H1488">
        <v>0.16300000000000001</v>
      </c>
      <c r="I1488">
        <v>2.2799999999999998</v>
      </c>
      <c r="K1488">
        <v>1486</v>
      </c>
      <c r="L1488">
        <v>29</v>
      </c>
      <c r="M1488" s="32">
        <v>1.5149999999999999</v>
      </c>
      <c r="N1488" s="32">
        <v>3.36</v>
      </c>
      <c r="P1488" s="47">
        <v>1.478</v>
      </c>
      <c r="R1488" s="47">
        <v>0.16400000000000001</v>
      </c>
      <c r="S1488" s="47">
        <v>2.238</v>
      </c>
      <c r="T1488" s="31">
        <v>0</v>
      </c>
      <c r="V1488">
        <v>1486</v>
      </c>
      <c r="W1488">
        <v>28</v>
      </c>
      <c r="X1488">
        <v>1.5269999999999999</v>
      </c>
      <c r="Y1488" s="32">
        <v>3.36</v>
      </c>
      <c r="Z1488">
        <v>0</v>
      </c>
      <c r="AA1488" s="32">
        <v>1.403</v>
      </c>
      <c r="AB1488">
        <v>0</v>
      </c>
      <c r="AC1488" s="34">
        <v>0.152</v>
      </c>
      <c r="AD1488" s="32">
        <v>2.1419999999999999</v>
      </c>
    </row>
    <row r="1489" spans="1:30">
      <c r="A1489">
        <v>1487</v>
      </c>
      <c r="B1489">
        <v>29</v>
      </c>
      <c r="C1489">
        <v>1.516</v>
      </c>
      <c r="D1489">
        <v>3.36</v>
      </c>
      <c r="E1489">
        <v>0</v>
      </c>
      <c r="F1489">
        <v>1.476</v>
      </c>
      <c r="G1489">
        <v>0</v>
      </c>
      <c r="H1489">
        <v>0.16300000000000001</v>
      </c>
      <c r="I1489">
        <v>2.282</v>
      </c>
      <c r="K1489">
        <v>1487</v>
      </c>
      <c r="L1489">
        <v>29</v>
      </c>
      <c r="M1489" s="32">
        <v>1.516</v>
      </c>
      <c r="N1489" s="32">
        <v>3.36</v>
      </c>
      <c r="P1489" s="47">
        <v>1.478</v>
      </c>
      <c r="R1489" s="47">
        <v>0.16400000000000001</v>
      </c>
      <c r="S1489" s="47">
        <v>2.2400000000000002</v>
      </c>
      <c r="T1489" s="31">
        <v>0</v>
      </c>
      <c r="V1489">
        <v>1487</v>
      </c>
      <c r="W1489">
        <v>28</v>
      </c>
      <c r="X1489">
        <v>1.528</v>
      </c>
      <c r="Y1489" s="32">
        <v>3.36</v>
      </c>
      <c r="Z1489">
        <v>0</v>
      </c>
      <c r="AA1489" s="32">
        <v>1.403</v>
      </c>
      <c r="AB1489">
        <v>0</v>
      </c>
      <c r="AC1489" s="34">
        <v>0.152</v>
      </c>
      <c r="AD1489" s="32">
        <v>2.1440000000000001</v>
      </c>
    </row>
    <row r="1490" spans="1:30">
      <c r="A1490">
        <v>1488</v>
      </c>
      <c r="B1490">
        <v>29</v>
      </c>
      <c r="C1490">
        <v>1.5169999999999999</v>
      </c>
      <c r="D1490">
        <v>3.36</v>
      </c>
      <c r="E1490">
        <v>0</v>
      </c>
      <c r="F1490">
        <v>1.476</v>
      </c>
      <c r="G1490">
        <v>0</v>
      </c>
      <c r="H1490">
        <v>0.16300000000000001</v>
      </c>
      <c r="I1490">
        <v>2.2839999999999998</v>
      </c>
      <c r="K1490">
        <v>1488</v>
      </c>
      <c r="L1490">
        <v>29</v>
      </c>
      <c r="M1490" s="32">
        <v>1.5169999999999999</v>
      </c>
      <c r="N1490" s="32">
        <v>3.36</v>
      </c>
      <c r="P1490" s="47">
        <v>1.478</v>
      </c>
      <c r="R1490" s="47">
        <v>0.16400000000000001</v>
      </c>
      <c r="S1490" s="47">
        <v>2.242</v>
      </c>
      <c r="T1490" s="31">
        <v>0</v>
      </c>
      <c r="V1490">
        <v>1488</v>
      </c>
      <c r="W1490">
        <v>28</v>
      </c>
      <c r="X1490">
        <v>1.5289999999999999</v>
      </c>
      <c r="Y1490" s="32">
        <v>3.36</v>
      </c>
      <c r="Z1490">
        <v>0</v>
      </c>
      <c r="AA1490" s="32">
        <v>1.403</v>
      </c>
      <c r="AB1490">
        <v>0</v>
      </c>
      <c r="AC1490" s="34">
        <v>0.152</v>
      </c>
      <c r="AD1490" s="32">
        <v>2.1459999999999999</v>
      </c>
    </row>
    <row r="1491" spans="1:30">
      <c r="A1491">
        <v>1489</v>
      </c>
      <c r="B1491">
        <v>29</v>
      </c>
      <c r="C1491">
        <v>1.518</v>
      </c>
      <c r="D1491">
        <v>3.36</v>
      </c>
      <c r="E1491">
        <v>0</v>
      </c>
      <c r="F1491">
        <v>1.476</v>
      </c>
      <c r="G1491">
        <v>0</v>
      </c>
      <c r="H1491">
        <v>0.16300000000000001</v>
      </c>
      <c r="I1491">
        <v>2.286</v>
      </c>
      <c r="K1491">
        <v>1489</v>
      </c>
      <c r="L1491">
        <v>29</v>
      </c>
      <c r="M1491" s="32">
        <v>1.518</v>
      </c>
      <c r="N1491" s="32">
        <v>3.36</v>
      </c>
      <c r="P1491" s="47">
        <v>1.478</v>
      </c>
      <c r="R1491" s="47">
        <v>0.16400000000000001</v>
      </c>
      <c r="S1491" s="47">
        <v>2.2440000000000002</v>
      </c>
      <c r="T1491" s="31">
        <v>0</v>
      </c>
      <c r="V1491">
        <v>1489</v>
      </c>
      <c r="W1491">
        <v>28</v>
      </c>
      <c r="X1491">
        <v>1.53</v>
      </c>
      <c r="Y1491" s="32">
        <v>3.36</v>
      </c>
      <c r="Z1491">
        <v>0</v>
      </c>
      <c r="AA1491" s="32">
        <v>1.403</v>
      </c>
      <c r="AB1491">
        <v>0</v>
      </c>
      <c r="AC1491" s="34">
        <v>0.152</v>
      </c>
      <c r="AD1491" s="32">
        <v>2.1480000000000001</v>
      </c>
    </row>
    <row r="1492" spans="1:30">
      <c r="A1492">
        <v>1490</v>
      </c>
      <c r="B1492">
        <v>29</v>
      </c>
      <c r="C1492">
        <v>1.5189999999999999</v>
      </c>
      <c r="D1492">
        <v>3.36</v>
      </c>
      <c r="E1492">
        <v>0</v>
      </c>
      <c r="F1492">
        <v>1.476</v>
      </c>
      <c r="G1492">
        <v>0</v>
      </c>
      <c r="H1492">
        <v>0.16300000000000001</v>
      </c>
      <c r="I1492">
        <v>2.2890000000000001</v>
      </c>
      <c r="K1492">
        <v>1490</v>
      </c>
      <c r="L1492">
        <v>29</v>
      </c>
      <c r="M1492" s="32">
        <v>1.5189999999999999</v>
      </c>
      <c r="N1492" s="32">
        <v>3.36</v>
      </c>
      <c r="P1492" s="47">
        <v>1.4790000000000001</v>
      </c>
      <c r="R1492" s="47">
        <v>0.16400000000000001</v>
      </c>
      <c r="S1492" s="47">
        <v>2.246</v>
      </c>
      <c r="T1492" s="31">
        <v>0</v>
      </c>
      <c r="V1492">
        <v>1490</v>
      </c>
      <c r="W1492">
        <v>28</v>
      </c>
      <c r="X1492">
        <v>1.5309999999999999</v>
      </c>
      <c r="Y1492" s="32">
        <v>3.36</v>
      </c>
      <c r="Z1492">
        <v>0</v>
      </c>
      <c r="AA1492" s="32">
        <v>1.4039999999999999</v>
      </c>
      <c r="AB1492">
        <v>0</v>
      </c>
      <c r="AC1492" s="34">
        <v>0.152</v>
      </c>
      <c r="AD1492" s="32">
        <v>2.149</v>
      </c>
    </row>
    <row r="1493" spans="1:30">
      <c r="A1493">
        <v>1491</v>
      </c>
      <c r="B1493">
        <v>29</v>
      </c>
      <c r="C1493">
        <v>1.52</v>
      </c>
      <c r="D1493">
        <v>3.36</v>
      </c>
      <c r="E1493">
        <v>0</v>
      </c>
      <c r="F1493">
        <v>1.4790000000000001</v>
      </c>
      <c r="G1493">
        <v>0</v>
      </c>
      <c r="H1493">
        <v>0.16300000000000001</v>
      </c>
      <c r="I1493">
        <v>2.2480000000000002</v>
      </c>
      <c r="K1493">
        <v>1491</v>
      </c>
      <c r="L1493">
        <v>29</v>
      </c>
      <c r="M1493" s="32">
        <v>1.52</v>
      </c>
      <c r="N1493" s="32">
        <v>3.36</v>
      </c>
      <c r="P1493" s="32">
        <v>1.4790000000000001</v>
      </c>
      <c r="R1493" s="47">
        <v>0.16500000000000001</v>
      </c>
      <c r="S1493" s="32">
        <v>2.2480000000000002</v>
      </c>
      <c r="T1493" s="31">
        <v>0</v>
      </c>
      <c r="V1493">
        <v>1491</v>
      </c>
      <c r="W1493">
        <v>28</v>
      </c>
      <c r="X1493">
        <v>1.532</v>
      </c>
      <c r="Y1493" s="32">
        <v>3.36</v>
      </c>
      <c r="Z1493">
        <v>0</v>
      </c>
      <c r="AA1493" s="32">
        <v>1.4039999999999999</v>
      </c>
      <c r="AB1493">
        <v>0</v>
      </c>
      <c r="AC1493" s="34">
        <v>0.153</v>
      </c>
      <c r="AD1493" s="32">
        <v>2.1509999999999998</v>
      </c>
    </row>
    <row r="1494" spans="1:30">
      <c r="A1494">
        <v>1492</v>
      </c>
      <c r="B1494">
        <v>29</v>
      </c>
      <c r="C1494">
        <v>1.5209999999999999</v>
      </c>
      <c r="D1494">
        <v>3.36</v>
      </c>
      <c r="E1494">
        <v>0</v>
      </c>
      <c r="F1494">
        <v>1.4790000000000001</v>
      </c>
      <c r="G1494">
        <v>0</v>
      </c>
      <c r="H1494">
        <v>0.16300000000000001</v>
      </c>
      <c r="I1494">
        <v>2.3130000000000002</v>
      </c>
      <c r="K1494">
        <v>1492</v>
      </c>
      <c r="L1494">
        <v>29</v>
      </c>
      <c r="M1494" s="32">
        <v>1.5209999999999999</v>
      </c>
      <c r="N1494" s="32">
        <v>3.36</v>
      </c>
      <c r="P1494" s="32">
        <v>1.4790000000000001</v>
      </c>
      <c r="R1494" s="47">
        <v>0.16500000000000001</v>
      </c>
      <c r="S1494" s="47">
        <v>2.25</v>
      </c>
      <c r="T1494" s="31">
        <v>0</v>
      </c>
      <c r="V1494">
        <v>1492</v>
      </c>
      <c r="W1494">
        <v>28</v>
      </c>
      <c r="X1494">
        <v>1.5329999999999999</v>
      </c>
      <c r="Y1494" s="32">
        <v>3.36</v>
      </c>
      <c r="Z1494">
        <v>0</v>
      </c>
      <c r="AA1494" s="32">
        <v>1.4039999999999999</v>
      </c>
      <c r="AB1494">
        <v>0</v>
      </c>
      <c r="AC1494" s="34">
        <v>0.153</v>
      </c>
      <c r="AD1494" s="32">
        <v>2.153</v>
      </c>
    </row>
    <row r="1495" spans="1:30">
      <c r="A1495">
        <v>1493</v>
      </c>
      <c r="B1495">
        <v>29</v>
      </c>
      <c r="C1495">
        <v>1.522</v>
      </c>
      <c r="D1495">
        <v>3.36</v>
      </c>
      <c r="E1495">
        <v>0</v>
      </c>
      <c r="F1495">
        <v>1.4790000000000001</v>
      </c>
      <c r="G1495">
        <v>0</v>
      </c>
      <c r="H1495">
        <v>0.16300000000000001</v>
      </c>
      <c r="I1495">
        <v>2.3149999999999999</v>
      </c>
      <c r="K1495">
        <v>1493</v>
      </c>
      <c r="L1495">
        <v>29</v>
      </c>
      <c r="M1495" s="32">
        <v>1.522</v>
      </c>
      <c r="N1495" s="32">
        <v>3.36</v>
      </c>
      <c r="P1495" s="47">
        <v>1.48</v>
      </c>
      <c r="R1495" s="47">
        <v>0.16500000000000001</v>
      </c>
      <c r="S1495" s="47">
        <v>2.2519999999999998</v>
      </c>
      <c r="T1495" s="31">
        <v>0</v>
      </c>
      <c r="V1495">
        <v>1493</v>
      </c>
      <c r="W1495">
        <v>28</v>
      </c>
      <c r="X1495">
        <v>1.534</v>
      </c>
      <c r="Y1495" s="32">
        <v>3.36</v>
      </c>
      <c r="Z1495">
        <v>0</v>
      </c>
      <c r="AA1495" s="32">
        <v>1.4039999999999999</v>
      </c>
      <c r="AB1495">
        <v>0</v>
      </c>
      <c r="AC1495" s="34">
        <v>0.153</v>
      </c>
      <c r="AD1495" s="32">
        <v>2.1549999999999998</v>
      </c>
    </row>
    <row r="1496" spans="1:30">
      <c r="A1496">
        <v>1494</v>
      </c>
      <c r="B1496">
        <v>29</v>
      </c>
      <c r="C1496">
        <v>1.5229999999999999</v>
      </c>
      <c r="D1496">
        <v>3.36</v>
      </c>
      <c r="E1496">
        <v>0</v>
      </c>
      <c r="F1496">
        <v>1.4790000000000001</v>
      </c>
      <c r="G1496">
        <v>0</v>
      </c>
      <c r="H1496">
        <v>0.16300000000000001</v>
      </c>
      <c r="I1496">
        <v>2.3170000000000002</v>
      </c>
      <c r="K1496">
        <v>1494</v>
      </c>
      <c r="L1496">
        <v>29</v>
      </c>
      <c r="M1496" s="32">
        <v>1.5229999999999999</v>
      </c>
      <c r="N1496" s="32">
        <v>3.36</v>
      </c>
      <c r="P1496" s="47">
        <v>1.48</v>
      </c>
      <c r="R1496" s="47">
        <v>0.16500000000000001</v>
      </c>
      <c r="S1496" s="47">
        <v>2.254</v>
      </c>
      <c r="T1496" s="31">
        <v>0</v>
      </c>
      <c r="V1496">
        <v>1494</v>
      </c>
      <c r="W1496">
        <v>28</v>
      </c>
      <c r="X1496">
        <v>1.5349999999999999</v>
      </c>
      <c r="Y1496" s="32">
        <v>3.36</v>
      </c>
      <c r="Z1496">
        <v>0</v>
      </c>
      <c r="AA1496" s="32">
        <v>1.405</v>
      </c>
      <c r="AB1496">
        <v>0</v>
      </c>
      <c r="AC1496" s="34">
        <v>0.153</v>
      </c>
      <c r="AD1496" s="32">
        <v>2.157</v>
      </c>
    </row>
    <row r="1497" spans="1:30">
      <c r="A1497">
        <v>1495</v>
      </c>
      <c r="B1497">
        <v>29</v>
      </c>
      <c r="C1497">
        <v>1.524</v>
      </c>
      <c r="D1497">
        <v>3.36</v>
      </c>
      <c r="E1497">
        <v>0</v>
      </c>
      <c r="F1497">
        <v>1.4790000000000001</v>
      </c>
      <c r="G1497">
        <v>0</v>
      </c>
      <c r="H1497">
        <v>0.16300000000000001</v>
      </c>
      <c r="I1497">
        <v>2.319</v>
      </c>
      <c r="K1497">
        <v>1495</v>
      </c>
      <c r="L1497">
        <v>29</v>
      </c>
      <c r="M1497" s="32">
        <v>1.524</v>
      </c>
      <c r="N1497" s="32">
        <v>3.36</v>
      </c>
      <c r="P1497" s="47">
        <v>1.48</v>
      </c>
      <c r="R1497" s="47">
        <v>0.16500000000000001</v>
      </c>
      <c r="S1497" s="47">
        <v>2.2559999999999998</v>
      </c>
      <c r="T1497" s="31">
        <v>0</v>
      </c>
      <c r="V1497">
        <v>1495</v>
      </c>
      <c r="W1497">
        <v>28</v>
      </c>
      <c r="X1497">
        <v>1.536</v>
      </c>
      <c r="Y1497" s="32">
        <v>3.36</v>
      </c>
      <c r="Z1497">
        <v>0</v>
      </c>
      <c r="AA1497" s="32">
        <v>1.405</v>
      </c>
      <c r="AB1497">
        <v>0</v>
      </c>
      <c r="AC1497" s="34">
        <v>0.153</v>
      </c>
      <c r="AD1497" s="32">
        <v>2.1579999999999999</v>
      </c>
    </row>
    <row r="1498" spans="1:30">
      <c r="A1498">
        <v>1496</v>
      </c>
      <c r="B1498">
        <v>29</v>
      </c>
      <c r="C1498">
        <v>1.5249999999999999</v>
      </c>
      <c r="D1498">
        <v>3.36</v>
      </c>
      <c r="E1498">
        <v>0</v>
      </c>
      <c r="F1498">
        <v>1.4790000000000001</v>
      </c>
      <c r="G1498">
        <v>0</v>
      </c>
      <c r="H1498">
        <v>0.16300000000000001</v>
      </c>
      <c r="I1498">
        <v>2.3210000000000002</v>
      </c>
      <c r="K1498">
        <v>1496</v>
      </c>
      <c r="L1498">
        <v>29</v>
      </c>
      <c r="M1498" s="32">
        <v>1.5249999999999999</v>
      </c>
      <c r="N1498" s="32">
        <v>3.36</v>
      </c>
      <c r="P1498" s="47">
        <v>1.4810000000000001</v>
      </c>
      <c r="R1498" s="47">
        <v>0.16500000000000001</v>
      </c>
      <c r="S1498" s="47">
        <v>2.258</v>
      </c>
      <c r="T1498" s="31">
        <v>0</v>
      </c>
      <c r="V1498">
        <v>1496</v>
      </c>
      <c r="W1498">
        <v>28</v>
      </c>
      <c r="X1498">
        <v>1.5369999999999999</v>
      </c>
      <c r="Y1498" s="32">
        <v>3.36</v>
      </c>
      <c r="Z1498">
        <v>0</v>
      </c>
      <c r="AA1498" s="32">
        <v>1.405</v>
      </c>
      <c r="AB1498">
        <v>0</v>
      </c>
      <c r="AC1498" s="34">
        <v>0.153</v>
      </c>
      <c r="AD1498" s="32">
        <v>2.16</v>
      </c>
    </row>
    <row r="1499" spans="1:30">
      <c r="A1499">
        <v>1497</v>
      </c>
      <c r="B1499">
        <v>29</v>
      </c>
      <c r="C1499">
        <v>1.526</v>
      </c>
      <c r="D1499">
        <v>3.36</v>
      </c>
      <c r="E1499">
        <v>0</v>
      </c>
      <c r="F1499">
        <v>1.4790000000000001</v>
      </c>
      <c r="G1499">
        <v>0</v>
      </c>
      <c r="H1499">
        <v>0.16300000000000001</v>
      </c>
      <c r="I1499">
        <v>2.323</v>
      </c>
      <c r="K1499">
        <v>1497</v>
      </c>
      <c r="L1499">
        <v>29</v>
      </c>
      <c r="M1499" s="32">
        <v>1.526</v>
      </c>
      <c r="N1499" s="32">
        <v>3.36</v>
      </c>
      <c r="P1499" s="47">
        <v>1.4810000000000001</v>
      </c>
      <c r="R1499" s="47">
        <v>0.16500000000000001</v>
      </c>
      <c r="S1499" s="47">
        <v>2.2589999999999999</v>
      </c>
      <c r="T1499" s="31">
        <v>0</v>
      </c>
      <c r="V1499">
        <v>1497</v>
      </c>
      <c r="W1499">
        <v>28</v>
      </c>
      <c r="X1499">
        <v>1.538</v>
      </c>
      <c r="Y1499" s="32">
        <v>3.36</v>
      </c>
      <c r="Z1499">
        <v>0</v>
      </c>
      <c r="AA1499" s="32">
        <v>1.405</v>
      </c>
      <c r="AB1499">
        <v>0</v>
      </c>
      <c r="AC1499" s="34">
        <v>0.153</v>
      </c>
      <c r="AD1499" s="32">
        <v>2.1619999999999999</v>
      </c>
    </row>
    <row r="1500" spans="1:30">
      <c r="A1500">
        <v>1498</v>
      </c>
      <c r="B1500">
        <v>29</v>
      </c>
      <c r="C1500">
        <v>1.5269999999999999</v>
      </c>
      <c r="D1500">
        <v>3.36</v>
      </c>
      <c r="E1500">
        <v>0</v>
      </c>
      <c r="F1500">
        <v>1.4790000000000001</v>
      </c>
      <c r="G1500">
        <v>0</v>
      </c>
      <c r="H1500">
        <v>0.16300000000000001</v>
      </c>
      <c r="I1500">
        <v>2.3250000000000002</v>
      </c>
      <c r="K1500">
        <v>1498</v>
      </c>
      <c r="L1500">
        <v>29</v>
      </c>
      <c r="M1500" s="32">
        <v>1.5269999999999999</v>
      </c>
      <c r="N1500" s="32">
        <v>3.36</v>
      </c>
      <c r="P1500" s="47">
        <v>1.4810000000000001</v>
      </c>
      <c r="R1500" s="47">
        <v>0.16500000000000001</v>
      </c>
      <c r="S1500" s="47">
        <v>2.2610000000000001</v>
      </c>
      <c r="T1500" s="31">
        <v>0</v>
      </c>
      <c r="V1500">
        <v>1498</v>
      </c>
      <c r="W1500">
        <v>28</v>
      </c>
      <c r="X1500">
        <v>1.5389999999999999</v>
      </c>
      <c r="Y1500" s="32">
        <v>3.36</v>
      </c>
      <c r="Z1500">
        <v>0</v>
      </c>
      <c r="AA1500" s="32">
        <v>1.4059999999999999</v>
      </c>
      <c r="AB1500">
        <v>0</v>
      </c>
      <c r="AC1500" s="34">
        <v>0.153</v>
      </c>
      <c r="AD1500" s="32">
        <v>2.1640000000000001</v>
      </c>
    </row>
    <row r="1501" spans="1:30">
      <c r="A1501">
        <v>1499</v>
      </c>
      <c r="B1501">
        <v>29</v>
      </c>
      <c r="C1501">
        <v>1.528</v>
      </c>
      <c r="D1501">
        <v>3.36</v>
      </c>
      <c r="E1501">
        <v>0</v>
      </c>
      <c r="F1501">
        <v>1.4790000000000001</v>
      </c>
      <c r="G1501">
        <v>0</v>
      </c>
      <c r="H1501">
        <v>0.16300000000000001</v>
      </c>
      <c r="I1501">
        <v>2.327</v>
      </c>
      <c r="K1501">
        <v>1499</v>
      </c>
      <c r="L1501">
        <v>29</v>
      </c>
      <c r="M1501" s="32">
        <v>1.528</v>
      </c>
      <c r="N1501" s="32">
        <v>3.36</v>
      </c>
      <c r="P1501" s="47">
        <v>1.4810000000000001</v>
      </c>
      <c r="R1501" s="47">
        <v>0.16500000000000001</v>
      </c>
      <c r="S1501" s="47">
        <v>2.2629999999999999</v>
      </c>
      <c r="T1501" s="31">
        <v>0</v>
      </c>
      <c r="V1501">
        <v>1499</v>
      </c>
      <c r="W1501">
        <v>28</v>
      </c>
      <c r="X1501">
        <v>1.54</v>
      </c>
      <c r="Y1501" s="32">
        <v>3.36</v>
      </c>
      <c r="Z1501">
        <v>0</v>
      </c>
      <c r="AA1501" s="32">
        <v>1.4059999999999999</v>
      </c>
      <c r="AB1501">
        <v>0</v>
      </c>
      <c r="AC1501" s="34">
        <v>0.153</v>
      </c>
      <c r="AD1501" s="32">
        <v>2.165</v>
      </c>
    </row>
    <row r="1502" spans="1:30">
      <c r="A1502">
        <v>1500</v>
      </c>
      <c r="B1502">
        <v>29</v>
      </c>
      <c r="C1502">
        <v>1.5289999999999999</v>
      </c>
      <c r="D1502">
        <v>3.36</v>
      </c>
      <c r="E1502">
        <v>0</v>
      </c>
      <c r="F1502">
        <v>1.4790000000000001</v>
      </c>
      <c r="G1502">
        <v>0</v>
      </c>
      <c r="H1502">
        <v>0.16300000000000001</v>
      </c>
      <c r="I1502">
        <v>2.3290000000000002</v>
      </c>
      <c r="K1502">
        <v>1500</v>
      </c>
      <c r="L1502">
        <v>29</v>
      </c>
      <c r="M1502" s="32">
        <v>1.5289999999999999</v>
      </c>
      <c r="N1502" s="32">
        <v>3.36</v>
      </c>
      <c r="P1502" s="47">
        <v>1.482</v>
      </c>
      <c r="R1502" s="47">
        <v>0.16500000000000001</v>
      </c>
      <c r="S1502" s="47">
        <v>2.2650000000000001</v>
      </c>
      <c r="T1502" s="31">
        <v>0</v>
      </c>
      <c r="V1502">
        <v>1500</v>
      </c>
      <c r="W1502">
        <v>28</v>
      </c>
      <c r="X1502">
        <v>1.5409999999999999</v>
      </c>
      <c r="Y1502" s="32">
        <v>3.36</v>
      </c>
      <c r="Z1502">
        <v>0</v>
      </c>
      <c r="AA1502" s="32">
        <v>1.4059999999999999</v>
      </c>
      <c r="AB1502">
        <v>0</v>
      </c>
      <c r="AC1502" s="34">
        <v>0.153</v>
      </c>
      <c r="AD1502" s="32">
        <v>2.1669999999999998</v>
      </c>
    </row>
    <row r="1503" spans="1:30">
      <c r="A1503">
        <v>1501</v>
      </c>
      <c r="B1503">
        <v>29</v>
      </c>
      <c r="C1503">
        <v>1.53</v>
      </c>
      <c r="D1503">
        <v>3.36</v>
      </c>
      <c r="E1503">
        <v>0</v>
      </c>
      <c r="F1503">
        <v>1.482</v>
      </c>
      <c r="G1503">
        <v>0</v>
      </c>
      <c r="H1503">
        <v>0.16300000000000001</v>
      </c>
      <c r="I1503">
        <v>2.2669999999999999</v>
      </c>
      <c r="K1503">
        <v>1501</v>
      </c>
      <c r="L1503">
        <v>29</v>
      </c>
      <c r="M1503" s="32">
        <v>1.53</v>
      </c>
      <c r="N1503" s="32">
        <v>3.36</v>
      </c>
      <c r="P1503" s="32">
        <v>1.482</v>
      </c>
      <c r="R1503" s="47">
        <v>0.16500000000000001</v>
      </c>
      <c r="S1503" s="32">
        <v>2.2669999999999999</v>
      </c>
      <c r="T1503" s="31">
        <v>0</v>
      </c>
      <c r="V1503">
        <v>1501</v>
      </c>
      <c r="W1503">
        <v>28</v>
      </c>
      <c r="X1503">
        <v>1.542</v>
      </c>
      <c r="Y1503" s="32">
        <v>3.36</v>
      </c>
      <c r="Z1503">
        <v>0</v>
      </c>
      <c r="AA1503" s="32">
        <v>1.4059999999999999</v>
      </c>
      <c r="AB1503">
        <v>0</v>
      </c>
      <c r="AC1503" s="34">
        <v>0.153</v>
      </c>
      <c r="AD1503" s="32">
        <v>2.169</v>
      </c>
    </row>
    <row r="1504" spans="1:30">
      <c r="A1504">
        <v>1502</v>
      </c>
      <c r="B1504">
        <v>29</v>
      </c>
      <c r="C1504">
        <v>1.5309999999999999</v>
      </c>
      <c r="D1504">
        <v>3.36</v>
      </c>
      <c r="E1504">
        <v>0</v>
      </c>
      <c r="F1504">
        <v>1.482</v>
      </c>
      <c r="G1504">
        <v>0</v>
      </c>
      <c r="H1504">
        <v>0.16300000000000001</v>
      </c>
      <c r="I1504">
        <v>2.3530000000000002</v>
      </c>
      <c r="K1504">
        <v>1502</v>
      </c>
      <c r="L1504">
        <v>29</v>
      </c>
      <c r="M1504" s="32">
        <v>1.5309999999999999</v>
      </c>
      <c r="N1504" s="32">
        <v>3.36</v>
      </c>
      <c r="P1504" s="32">
        <v>1.482</v>
      </c>
      <c r="R1504" s="47">
        <v>0.16500000000000001</v>
      </c>
      <c r="S1504" s="47">
        <v>2.2690000000000001</v>
      </c>
      <c r="T1504" s="31">
        <v>0</v>
      </c>
      <c r="V1504">
        <v>1502</v>
      </c>
      <c r="W1504">
        <v>28</v>
      </c>
      <c r="X1504">
        <v>1.5429999999999999</v>
      </c>
      <c r="Y1504" s="32">
        <v>3.36</v>
      </c>
      <c r="Z1504">
        <v>0</v>
      </c>
      <c r="AA1504" s="32">
        <v>1.4059999999999999</v>
      </c>
      <c r="AB1504">
        <v>0</v>
      </c>
      <c r="AC1504" s="34">
        <v>0.153</v>
      </c>
      <c r="AD1504" s="32">
        <v>2.1709999999999998</v>
      </c>
    </row>
    <row r="1505" spans="1:30">
      <c r="A1505">
        <v>1503</v>
      </c>
      <c r="B1505">
        <v>29</v>
      </c>
      <c r="C1505">
        <v>1.532</v>
      </c>
      <c r="D1505">
        <v>3.36</v>
      </c>
      <c r="E1505">
        <v>0</v>
      </c>
      <c r="F1505">
        <v>1.482</v>
      </c>
      <c r="G1505">
        <v>0</v>
      </c>
      <c r="H1505">
        <v>0.16300000000000001</v>
      </c>
      <c r="I1505">
        <v>2.355</v>
      </c>
      <c r="K1505">
        <v>1503</v>
      </c>
      <c r="L1505">
        <v>29</v>
      </c>
      <c r="M1505" s="32">
        <v>1.532</v>
      </c>
      <c r="N1505" s="32">
        <v>3.36</v>
      </c>
      <c r="P1505" s="32">
        <v>1.482</v>
      </c>
      <c r="R1505" s="47">
        <v>0.16500000000000001</v>
      </c>
      <c r="S1505" s="47">
        <v>2.2709999999999999</v>
      </c>
      <c r="T1505" s="31">
        <v>0</v>
      </c>
      <c r="V1505">
        <v>1503</v>
      </c>
      <c r="W1505">
        <v>28</v>
      </c>
      <c r="X1505">
        <v>1.544</v>
      </c>
      <c r="Y1505" s="32">
        <v>3.36</v>
      </c>
      <c r="Z1505">
        <v>0</v>
      </c>
      <c r="AA1505" s="32">
        <v>1.407</v>
      </c>
      <c r="AB1505">
        <v>0</v>
      </c>
      <c r="AC1505" s="34">
        <v>0.153</v>
      </c>
      <c r="AD1505" s="32">
        <v>2.173</v>
      </c>
    </row>
    <row r="1506" spans="1:30">
      <c r="A1506">
        <v>1504</v>
      </c>
      <c r="B1506">
        <v>29</v>
      </c>
      <c r="C1506">
        <v>1.5329999999999999</v>
      </c>
      <c r="D1506">
        <v>3.36</v>
      </c>
      <c r="E1506">
        <v>0</v>
      </c>
      <c r="F1506">
        <v>1.482</v>
      </c>
      <c r="G1506">
        <v>0</v>
      </c>
      <c r="H1506">
        <v>0.16300000000000001</v>
      </c>
      <c r="I1506">
        <v>2.3570000000000002</v>
      </c>
      <c r="K1506">
        <v>1504</v>
      </c>
      <c r="L1506">
        <v>29</v>
      </c>
      <c r="M1506" s="32">
        <v>1.5329999999999999</v>
      </c>
      <c r="N1506" s="32">
        <v>3.36</v>
      </c>
      <c r="P1506" s="47">
        <v>1.4830000000000001</v>
      </c>
      <c r="R1506" s="47">
        <v>0.16500000000000001</v>
      </c>
      <c r="S1506" s="47">
        <v>2.2730000000000001</v>
      </c>
      <c r="T1506" s="31">
        <v>0</v>
      </c>
      <c r="V1506">
        <v>1504</v>
      </c>
      <c r="W1506">
        <v>28</v>
      </c>
      <c r="X1506">
        <v>1.5449999999999999</v>
      </c>
      <c r="Y1506" s="32">
        <v>3.36</v>
      </c>
      <c r="Z1506">
        <v>0</v>
      </c>
      <c r="AA1506" s="32">
        <v>1.407</v>
      </c>
      <c r="AB1506">
        <v>0</v>
      </c>
      <c r="AC1506" s="34">
        <v>0.153</v>
      </c>
      <c r="AD1506" s="32">
        <v>2.1739999999999999</v>
      </c>
    </row>
    <row r="1507" spans="1:30">
      <c r="A1507">
        <v>1505</v>
      </c>
      <c r="B1507">
        <v>29</v>
      </c>
      <c r="C1507">
        <v>1.534</v>
      </c>
      <c r="D1507">
        <v>3.36</v>
      </c>
      <c r="E1507">
        <v>0</v>
      </c>
      <c r="F1507">
        <v>1.482</v>
      </c>
      <c r="G1507">
        <v>0</v>
      </c>
      <c r="H1507">
        <v>0.16300000000000001</v>
      </c>
      <c r="I1507">
        <v>2.359</v>
      </c>
      <c r="K1507">
        <v>1505</v>
      </c>
      <c r="L1507">
        <v>29</v>
      </c>
      <c r="M1507" s="32">
        <v>1.534</v>
      </c>
      <c r="N1507" s="32">
        <v>3.36</v>
      </c>
      <c r="P1507" s="47">
        <v>1.4830000000000001</v>
      </c>
      <c r="R1507" s="47">
        <v>0.16500000000000001</v>
      </c>
      <c r="S1507" s="47">
        <v>2.2749999999999999</v>
      </c>
      <c r="T1507" s="31">
        <v>0</v>
      </c>
      <c r="V1507">
        <v>1505</v>
      </c>
      <c r="W1507">
        <v>28</v>
      </c>
      <c r="X1507">
        <v>1.546</v>
      </c>
      <c r="Y1507" s="32">
        <v>3.36</v>
      </c>
      <c r="Z1507">
        <v>0</v>
      </c>
      <c r="AA1507" s="32">
        <v>1.407</v>
      </c>
      <c r="AB1507">
        <v>0</v>
      </c>
      <c r="AC1507" s="34">
        <v>0.153</v>
      </c>
      <c r="AD1507" s="32">
        <v>2.1760000000000002</v>
      </c>
    </row>
    <row r="1508" spans="1:30">
      <c r="A1508">
        <v>1506</v>
      </c>
      <c r="B1508">
        <v>29</v>
      </c>
      <c r="C1508">
        <v>1.5349999999999999</v>
      </c>
      <c r="D1508">
        <v>3.36</v>
      </c>
      <c r="E1508">
        <v>0</v>
      </c>
      <c r="F1508">
        <v>1.482</v>
      </c>
      <c r="G1508">
        <v>0</v>
      </c>
      <c r="H1508">
        <v>0.16300000000000001</v>
      </c>
      <c r="I1508">
        <v>2.3610000000000002</v>
      </c>
      <c r="K1508">
        <v>1506</v>
      </c>
      <c r="L1508">
        <v>29</v>
      </c>
      <c r="M1508" s="32">
        <v>1.5349999999999999</v>
      </c>
      <c r="N1508" s="32">
        <v>3.36</v>
      </c>
      <c r="P1508" s="47">
        <v>1.4830000000000001</v>
      </c>
      <c r="R1508" s="47">
        <v>0.16500000000000001</v>
      </c>
      <c r="S1508" s="47">
        <v>2.2770000000000001</v>
      </c>
      <c r="T1508" s="31">
        <v>0</v>
      </c>
      <c r="V1508">
        <v>1506</v>
      </c>
      <c r="W1508">
        <v>28</v>
      </c>
      <c r="X1508">
        <v>1.5469999999999999</v>
      </c>
      <c r="Y1508" s="32">
        <v>3.36</v>
      </c>
      <c r="Z1508">
        <v>0</v>
      </c>
      <c r="AA1508" s="32">
        <v>1.407</v>
      </c>
      <c r="AB1508">
        <v>0</v>
      </c>
      <c r="AC1508" s="34">
        <v>0.154</v>
      </c>
      <c r="AD1508" s="32">
        <v>2.1779999999999999</v>
      </c>
    </row>
    <row r="1509" spans="1:30">
      <c r="A1509">
        <v>1507</v>
      </c>
      <c r="B1509">
        <v>29</v>
      </c>
      <c r="C1509">
        <v>1.536</v>
      </c>
      <c r="D1509">
        <v>3.36</v>
      </c>
      <c r="E1509">
        <v>0</v>
      </c>
      <c r="F1509">
        <v>1.482</v>
      </c>
      <c r="G1509">
        <v>0</v>
      </c>
      <c r="H1509">
        <v>0.16300000000000001</v>
      </c>
      <c r="I1509">
        <v>2.363</v>
      </c>
      <c r="K1509">
        <v>1507</v>
      </c>
      <c r="L1509">
        <v>29</v>
      </c>
      <c r="M1509" s="32">
        <v>1.536</v>
      </c>
      <c r="N1509" s="32">
        <v>3.36</v>
      </c>
      <c r="P1509" s="47">
        <v>1.4830000000000001</v>
      </c>
      <c r="R1509" s="47">
        <v>0.16500000000000001</v>
      </c>
      <c r="S1509" s="47">
        <v>2.278</v>
      </c>
      <c r="T1509" s="31">
        <v>0</v>
      </c>
      <c r="V1509">
        <v>1507</v>
      </c>
      <c r="W1509">
        <v>28</v>
      </c>
      <c r="X1509">
        <v>1.548</v>
      </c>
      <c r="Y1509" s="32">
        <v>3.36</v>
      </c>
      <c r="Z1509">
        <v>0</v>
      </c>
      <c r="AA1509" s="32">
        <v>1.4079999999999999</v>
      </c>
      <c r="AB1509">
        <v>0</v>
      </c>
      <c r="AC1509" s="34">
        <v>0.154</v>
      </c>
      <c r="AD1509" s="32">
        <v>2.1800000000000002</v>
      </c>
    </row>
    <row r="1510" spans="1:30">
      <c r="A1510">
        <v>1508</v>
      </c>
      <c r="B1510">
        <v>29</v>
      </c>
      <c r="C1510">
        <v>1.5369999999999999</v>
      </c>
      <c r="D1510">
        <v>3.36</v>
      </c>
      <c r="E1510">
        <v>0</v>
      </c>
      <c r="F1510">
        <v>1.482</v>
      </c>
      <c r="G1510">
        <v>0</v>
      </c>
      <c r="H1510">
        <v>0.16300000000000001</v>
      </c>
      <c r="I1510">
        <v>2.3650000000000002</v>
      </c>
      <c r="K1510">
        <v>1508</v>
      </c>
      <c r="L1510">
        <v>29</v>
      </c>
      <c r="M1510" s="32">
        <v>1.5369999999999999</v>
      </c>
      <c r="N1510" s="32">
        <v>3.36</v>
      </c>
      <c r="P1510" s="47">
        <v>1.4830000000000001</v>
      </c>
      <c r="R1510" s="47">
        <v>0.16500000000000001</v>
      </c>
      <c r="S1510" s="47">
        <v>2.2799999999999998</v>
      </c>
      <c r="T1510" s="31">
        <v>0</v>
      </c>
      <c r="V1510">
        <v>1508</v>
      </c>
      <c r="W1510">
        <v>28</v>
      </c>
      <c r="X1510">
        <v>1.5489999999999999</v>
      </c>
      <c r="Y1510" s="32">
        <v>3.36</v>
      </c>
      <c r="Z1510">
        <v>0</v>
      </c>
      <c r="AA1510" s="32">
        <v>1.4079999999999999</v>
      </c>
      <c r="AB1510">
        <v>0</v>
      </c>
      <c r="AC1510" s="34">
        <v>0.154</v>
      </c>
      <c r="AD1510" s="32">
        <v>2.181</v>
      </c>
    </row>
    <row r="1511" spans="1:30">
      <c r="A1511">
        <v>1509</v>
      </c>
      <c r="B1511">
        <v>29</v>
      </c>
      <c r="C1511">
        <v>1.538</v>
      </c>
      <c r="D1511">
        <v>3.36</v>
      </c>
      <c r="E1511">
        <v>0</v>
      </c>
      <c r="F1511">
        <v>1.482</v>
      </c>
      <c r="G1511">
        <v>0</v>
      </c>
      <c r="H1511">
        <v>0.16300000000000001</v>
      </c>
      <c r="I1511">
        <v>2.367</v>
      </c>
      <c r="K1511">
        <v>1509</v>
      </c>
      <c r="L1511">
        <v>29</v>
      </c>
      <c r="M1511" s="32">
        <v>1.538</v>
      </c>
      <c r="N1511" s="32">
        <v>3.36</v>
      </c>
      <c r="P1511" s="47">
        <v>1.484</v>
      </c>
      <c r="R1511" s="47">
        <v>0.16500000000000001</v>
      </c>
      <c r="S1511" s="47">
        <v>2.282</v>
      </c>
      <c r="T1511" s="31">
        <v>0</v>
      </c>
      <c r="V1511">
        <v>1509</v>
      </c>
      <c r="W1511">
        <v>28</v>
      </c>
      <c r="X1511">
        <v>1.55</v>
      </c>
      <c r="Y1511" s="32">
        <v>3.36</v>
      </c>
      <c r="Z1511">
        <v>0</v>
      </c>
      <c r="AA1511" s="32">
        <v>1.4079999999999999</v>
      </c>
      <c r="AB1511">
        <v>0</v>
      </c>
      <c r="AC1511" s="34">
        <v>0.154</v>
      </c>
      <c r="AD1511" s="32">
        <v>2.1829999999999998</v>
      </c>
    </row>
    <row r="1512" spans="1:30">
      <c r="A1512">
        <v>1510</v>
      </c>
      <c r="B1512">
        <v>29</v>
      </c>
      <c r="C1512">
        <v>1.5389999999999999</v>
      </c>
      <c r="D1512">
        <v>3.36</v>
      </c>
      <c r="E1512">
        <v>0</v>
      </c>
      <c r="F1512">
        <v>1.482</v>
      </c>
      <c r="G1512">
        <v>0</v>
      </c>
      <c r="H1512">
        <v>0.16300000000000001</v>
      </c>
      <c r="I1512">
        <v>2.3690000000000002</v>
      </c>
      <c r="K1512">
        <v>1510</v>
      </c>
      <c r="L1512">
        <v>29</v>
      </c>
      <c r="M1512" s="32">
        <v>1.5389999999999999</v>
      </c>
      <c r="N1512" s="32">
        <v>3.36</v>
      </c>
      <c r="P1512" s="47">
        <v>1.484</v>
      </c>
      <c r="R1512" s="47">
        <v>0.16500000000000001</v>
      </c>
      <c r="S1512" s="47">
        <v>2.2839999999999998</v>
      </c>
      <c r="T1512" s="31">
        <v>0</v>
      </c>
      <c r="V1512">
        <v>1510</v>
      </c>
      <c r="W1512">
        <v>28</v>
      </c>
      <c r="X1512">
        <v>1.5509999999999999</v>
      </c>
      <c r="Y1512" s="32">
        <v>3.36</v>
      </c>
      <c r="Z1512">
        <v>0</v>
      </c>
      <c r="AA1512" s="32">
        <v>1.4079999999999999</v>
      </c>
      <c r="AB1512">
        <v>0</v>
      </c>
      <c r="AC1512" s="34">
        <v>0.154</v>
      </c>
      <c r="AD1512" s="32">
        <v>2.1850000000000001</v>
      </c>
    </row>
    <row r="1513" spans="1:30">
      <c r="A1513">
        <v>1511</v>
      </c>
      <c r="B1513">
        <v>29</v>
      </c>
      <c r="C1513">
        <v>1.54</v>
      </c>
      <c r="D1513">
        <v>3.36</v>
      </c>
      <c r="E1513">
        <v>0</v>
      </c>
      <c r="F1513">
        <v>1.484</v>
      </c>
      <c r="G1513">
        <v>0</v>
      </c>
      <c r="H1513">
        <v>0.16300000000000001</v>
      </c>
      <c r="I1513">
        <v>2.286</v>
      </c>
      <c r="K1513">
        <v>1511</v>
      </c>
      <c r="L1513">
        <v>29</v>
      </c>
      <c r="M1513" s="32">
        <v>1.54</v>
      </c>
      <c r="N1513" s="32">
        <v>3.36</v>
      </c>
      <c r="P1513" s="32">
        <v>1.484</v>
      </c>
      <c r="R1513" s="47">
        <v>0.16600000000000001</v>
      </c>
      <c r="S1513" s="32">
        <v>2.286</v>
      </c>
      <c r="T1513" s="31">
        <v>0</v>
      </c>
      <c r="V1513">
        <v>1511</v>
      </c>
      <c r="W1513">
        <v>28</v>
      </c>
      <c r="X1513">
        <v>1.552</v>
      </c>
      <c r="Y1513" s="32">
        <v>3.36</v>
      </c>
      <c r="Z1513">
        <v>0</v>
      </c>
      <c r="AA1513" s="32">
        <v>1.409</v>
      </c>
      <c r="AB1513">
        <v>0</v>
      </c>
      <c r="AC1513" s="34">
        <v>0.154</v>
      </c>
      <c r="AD1513" s="32">
        <v>2.1869999999999998</v>
      </c>
    </row>
    <row r="1514" spans="1:30">
      <c r="A1514">
        <v>1512</v>
      </c>
      <c r="B1514">
        <v>29</v>
      </c>
      <c r="C1514">
        <v>1.5409999999999999</v>
      </c>
      <c r="D1514">
        <v>3.36</v>
      </c>
      <c r="E1514">
        <v>0</v>
      </c>
      <c r="F1514">
        <v>1.484</v>
      </c>
      <c r="G1514">
        <v>0</v>
      </c>
      <c r="H1514">
        <v>0.16300000000000001</v>
      </c>
      <c r="I1514">
        <v>2.3919999999999999</v>
      </c>
      <c r="K1514">
        <v>1512</v>
      </c>
      <c r="L1514">
        <v>29</v>
      </c>
      <c r="M1514" s="32">
        <v>1.5409999999999999</v>
      </c>
      <c r="N1514" s="32">
        <v>3.36</v>
      </c>
      <c r="P1514" s="32">
        <v>1.484</v>
      </c>
      <c r="R1514" s="47">
        <v>0.16600000000000001</v>
      </c>
      <c r="S1514" s="47">
        <v>2.2879999999999998</v>
      </c>
      <c r="T1514" s="31">
        <v>0</v>
      </c>
      <c r="V1514">
        <v>1512</v>
      </c>
      <c r="W1514">
        <v>28</v>
      </c>
      <c r="X1514">
        <v>1.5529999999999999</v>
      </c>
      <c r="Y1514" s="32">
        <v>3.36</v>
      </c>
      <c r="Z1514">
        <v>0</v>
      </c>
      <c r="AA1514" s="32">
        <v>1.409</v>
      </c>
      <c r="AB1514">
        <v>0</v>
      </c>
      <c r="AC1514" s="34">
        <v>0.154</v>
      </c>
      <c r="AD1514" s="32">
        <v>2.1880000000000002</v>
      </c>
    </row>
    <row r="1515" spans="1:30">
      <c r="A1515">
        <v>1513</v>
      </c>
      <c r="B1515">
        <v>29</v>
      </c>
      <c r="C1515">
        <v>1.542</v>
      </c>
      <c r="D1515">
        <v>3.36</v>
      </c>
      <c r="E1515">
        <v>0</v>
      </c>
      <c r="F1515">
        <v>1.484</v>
      </c>
      <c r="G1515">
        <v>0</v>
      </c>
      <c r="H1515">
        <v>0.16300000000000001</v>
      </c>
      <c r="I1515">
        <v>2.395</v>
      </c>
      <c r="K1515">
        <v>1513</v>
      </c>
      <c r="L1515">
        <v>29</v>
      </c>
      <c r="M1515" s="32">
        <v>1.542</v>
      </c>
      <c r="N1515" s="32">
        <v>3.36</v>
      </c>
      <c r="P1515" s="47">
        <v>1.4850000000000001</v>
      </c>
      <c r="R1515" s="47">
        <v>0.16600000000000001</v>
      </c>
      <c r="S1515" s="47">
        <v>2.29</v>
      </c>
      <c r="T1515" s="31">
        <v>0</v>
      </c>
      <c r="V1515">
        <v>1513</v>
      </c>
      <c r="W1515">
        <v>28</v>
      </c>
      <c r="X1515">
        <v>1.554</v>
      </c>
      <c r="Y1515" s="32">
        <v>3.36</v>
      </c>
      <c r="Z1515">
        <v>0</v>
      </c>
      <c r="AA1515" s="32">
        <v>1.409</v>
      </c>
      <c r="AB1515">
        <v>0</v>
      </c>
      <c r="AC1515" s="34">
        <v>0.154</v>
      </c>
      <c r="AD1515" s="32">
        <v>2.19</v>
      </c>
    </row>
    <row r="1516" spans="1:30">
      <c r="A1516">
        <v>1514</v>
      </c>
      <c r="B1516">
        <v>29</v>
      </c>
      <c r="C1516">
        <v>1.5429999999999999</v>
      </c>
      <c r="D1516">
        <v>3.36</v>
      </c>
      <c r="E1516">
        <v>0</v>
      </c>
      <c r="F1516">
        <v>1.484</v>
      </c>
      <c r="G1516">
        <v>0</v>
      </c>
      <c r="H1516">
        <v>0.16300000000000001</v>
      </c>
      <c r="I1516">
        <v>2.3969999999999998</v>
      </c>
      <c r="K1516">
        <v>1514</v>
      </c>
      <c r="L1516">
        <v>29</v>
      </c>
      <c r="M1516" s="32">
        <v>1.5429999999999999</v>
      </c>
      <c r="N1516" s="32">
        <v>3.36</v>
      </c>
      <c r="P1516" s="47">
        <v>1.4850000000000001</v>
      </c>
      <c r="R1516" s="47">
        <v>0.16600000000000001</v>
      </c>
      <c r="S1516" s="47">
        <v>2.2919999999999998</v>
      </c>
      <c r="T1516" s="31">
        <v>0</v>
      </c>
      <c r="V1516">
        <v>1514</v>
      </c>
      <c r="W1516">
        <v>28</v>
      </c>
      <c r="X1516">
        <v>1.5549999999999999</v>
      </c>
      <c r="Y1516" s="32">
        <v>3.36</v>
      </c>
      <c r="Z1516">
        <v>0</v>
      </c>
      <c r="AA1516" s="32">
        <v>1.409</v>
      </c>
      <c r="AB1516">
        <v>0</v>
      </c>
      <c r="AC1516" s="34">
        <v>0.154</v>
      </c>
      <c r="AD1516" s="32">
        <v>2.1920000000000002</v>
      </c>
    </row>
    <row r="1517" spans="1:30">
      <c r="A1517">
        <v>1515</v>
      </c>
      <c r="B1517">
        <v>29</v>
      </c>
      <c r="C1517">
        <v>1.544</v>
      </c>
      <c r="D1517">
        <v>3.36</v>
      </c>
      <c r="E1517">
        <v>0</v>
      </c>
      <c r="F1517">
        <v>1.484</v>
      </c>
      <c r="G1517">
        <v>0</v>
      </c>
      <c r="H1517">
        <v>0.16300000000000001</v>
      </c>
      <c r="I1517">
        <v>2.399</v>
      </c>
      <c r="K1517">
        <v>1515</v>
      </c>
      <c r="L1517">
        <v>29</v>
      </c>
      <c r="M1517" s="32">
        <v>1.544</v>
      </c>
      <c r="N1517" s="32">
        <v>3.36</v>
      </c>
      <c r="P1517" s="47">
        <v>1.4850000000000001</v>
      </c>
      <c r="R1517" s="47">
        <v>0.16600000000000001</v>
      </c>
      <c r="S1517" s="47">
        <v>2.294</v>
      </c>
      <c r="T1517" s="31">
        <v>0</v>
      </c>
      <c r="V1517">
        <v>1515</v>
      </c>
      <c r="W1517">
        <v>28</v>
      </c>
      <c r="X1517">
        <v>1.556</v>
      </c>
      <c r="Y1517" s="32">
        <v>3.36</v>
      </c>
      <c r="Z1517">
        <v>0</v>
      </c>
      <c r="AA1517" s="32">
        <v>1.41</v>
      </c>
      <c r="AB1517">
        <v>0</v>
      </c>
      <c r="AC1517" s="34">
        <v>0.154</v>
      </c>
      <c r="AD1517" s="32">
        <v>2.194</v>
      </c>
    </row>
    <row r="1518" spans="1:30">
      <c r="A1518">
        <v>1516</v>
      </c>
      <c r="B1518">
        <v>29</v>
      </c>
      <c r="C1518">
        <v>1.5449999999999999</v>
      </c>
      <c r="D1518">
        <v>3.36</v>
      </c>
      <c r="E1518">
        <v>0</v>
      </c>
      <c r="F1518">
        <v>1.484</v>
      </c>
      <c r="G1518">
        <v>0</v>
      </c>
      <c r="H1518">
        <v>0.16300000000000001</v>
      </c>
      <c r="I1518">
        <v>2.4009999999999998</v>
      </c>
      <c r="K1518">
        <v>1516</v>
      </c>
      <c r="L1518">
        <v>29</v>
      </c>
      <c r="M1518" s="32">
        <v>1.5449999999999999</v>
      </c>
      <c r="N1518" s="32">
        <v>3.36</v>
      </c>
      <c r="P1518" s="47">
        <v>1.486</v>
      </c>
      <c r="R1518" s="47">
        <v>0.16600000000000001</v>
      </c>
      <c r="S1518" s="47">
        <v>2.2959999999999998</v>
      </c>
      <c r="T1518" s="31">
        <v>0</v>
      </c>
      <c r="V1518">
        <v>1516</v>
      </c>
      <c r="W1518">
        <v>28</v>
      </c>
      <c r="X1518">
        <v>1.5569999999999999</v>
      </c>
      <c r="Y1518" s="32">
        <v>3.36</v>
      </c>
      <c r="Z1518">
        <v>0</v>
      </c>
      <c r="AA1518" s="32">
        <v>1.41</v>
      </c>
      <c r="AB1518">
        <v>0</v>
      </c>
      <c r="AC1518" s="34">
        <v>0.154</v>
      </c>
      <c r="AD1518" s="32">
        <v>2.1960000000000002</v>
      </c>
    </row>
    <row r="1519" spans="1:30">
      <c r="A1519">
        <v>1517</v>
      </c>
      <c r="B1519">
        <v>29</v>
      </c>
      <c r="C1519">
        <v>1.546</v>
      </c>
      <c r="D1519">
        <v>3.36</v>
      </c>
      <c r="E1519">
        <v>0</v>
      </c>
      <c r="F1519">
        <v>1.484</v>
      </c>
      <c r="G1519">
        <v>0</v>
      </c>
      <c r="H1519">
        <v>0.16300000000000001</v>
      </c>
      <c r="I1519">
        <v>2.403</v>
      </c>
      <c r="K1519">
        <v>1517</v>
      </c>
      <c r="L1519">
        <v>29</v>
      </c>
      <c r="M1519" s="32">
        <v>1.546</v>
      </c>
      <c r="N1519" s="32">
        <v>3.36</v>
      </c>
      <c r="P1519" s="47">
        <v>1.486</v>
      </c>
      <c r="R1519" s="47">
        <v>0.16600000000000001</v>
      </c>
      <c r="S1519" s="47">
        <v>2.2970000000000002</v>
      </c>
      <c r="T1519" s="31">
        <v>0</v>
      </c>
      <c r="V1519">
        <v>1517</v>
      </c>
      <c r="W1519">
        <v>28</v>
      </c>
      <c r="X1519">
        <v>1.5580000000000001</v>
      </c>
      <c r="Y1519" s="32">
        <v>3.36</v>
      </c>
      <c r="Z1519">
        <v>0</v>
      </c>
      <c r="AA1519" s="32">
        <v>1.41</v>
      </c>
      <c r="AB1519">
        <v>0</v>
      </c>
      <c r="AC1519" s="34">
        <v>0.154</v>
      </c>
      <c r="AD1519" s="32">
        <v>2.1970000000000001</v>
      </c>
    </row>
    <row r="1520" spans="1:30">
      <c r="A1520">
        <v>1518</v>
      </c>
      <c r="B1520">
        <v>29</v>
      </c>
      <c r="C1520">
        <v>1.5469999999999999</v>
      </c>
      <c r="D1520">
        <v>3.36</v>
      </c>
      <c r="E1520">
        <v>0</v>
      </c>
      <c r="F1520">
        <v>1.484</v>
      </c>
      <c r="G1520">
        <v>0</v>
      </c>
      <c r="H1520">
        <v>0.16300000000000001</v>
      </c>
      <c r="I1520">
        <v>2.4049999999999998</v>
      </c>
      <c r="K1520">
        <v>1518</v>
      </c>
      <c r="L1520">
        <v>29</v>
      </c>
      <c r="M1520" s="32">
        <v>1.5469999999999999</v>
      </c>
      <c r="N1520" s="32">
        <v>3.36</v>
      </c>
      <c r="P1520" s="47">
        <v>1.486</v>
      </c>
      <c r="R1520" s="47">
        <v>0.16600000000000001</v>
      </c>
      <c r="S1520" s="47">
        <v>2.2989999999999999</v>
      </c>
      <c r="T1520" s="31">
        <v>0</v>
      </c>
      <c r="V1520">
        <v>1518</v>
      </c>
      <c r="W1520">
        <v>28</v>
      </c>
      <c r="X1520">
        <v>1.5589999999999999</v>
      </c>
      <c r="Y1520" s="32">
        <v>3.36</v>
      </c>
      <c r="Z1520">
        <v>0</v>
      </c>
      <c r="AA1520" s="32">
        <v>1.41</v>
      </c>
      <c r="AB1520">
        <v>0</v>
      </c>
      <c r="AC1520" s="34">
        <v>0.154</v>
      </c>
      <c r="AD1520" s="32">
        <v>2.1989999999999998</v>
      </c>
    </row>
    <row r="1521" spans="1:30">
      <c r="A1521">
        <v>1519</v>
      </c>
      <c r="B1521">
        <v>29</v>
      </c>
      <c r="C1521">
        <v>1.548</v>
      </c>
      <c r="D1521">
        <v>3.36</v>
      </c>
      <c r="E1521">
        <v>0</v>
      </c>
      <c r="F1521">
        <v>1.484</v>
      </c>
      <c r="G1521">
        <v>0</v>
      </c>
      <c r="H1521">
        <v>0.16300000000000001</v>
      </c>
      <c r="I1521">
        <v>2.407</v>
      </c>
      <c r="K1521">
        <v>1519</v>
      </c>
      <c r="L1521">
        <v>29</v>
      </c>
      <c r="M1521" s="32">
        <v>1.548</v>
      </c>
      <c r="N1521" s="32">
        <v>3.36</v>
      </c>
      <c r="P1521" s="47">
        <v>1.486</v>
      </c>
      <c r="R1521" s="47">
        <v>0.16600000000000001</v>
      </c>
      <c r="S1521" s="47">
        <v>2.3010000000000002</v>
      </c>
      <c r="T1521" s="31">
        <v>0</v>
      </c>
      <c r="V1521">
        <v>1519</v>
      </c>
      <c r="W1521">
        <v>28</v>
      </c>
      <c r="X1521">
        <v>1.56</v>
      </c>
      <c r="Y1521" s="32">
        <v>3.36</v>
      </c>
      <c r="Z1521">
        <v>0</v>
      </c>
      <c r="AA1521" s="32">
        <v>1.41</v>
      </c>
      <c r="AB1521">
        <v>0</v>
      </c>
      <c r="AC1521" s="34">
        <v>0.154</v>
      </c>
      <c r="AD1521" s="32">
        <v>2.2010000000000001</v>
      </c>
    </row>
    <row r="1522" spans="1:30">
      <c r="A1522">
        <v>1520</v>
      </c>
      <c r="B1522">
        <v>29</v>
      </c>
      <c r="C1522">
        <v>1.5489999999999999</v>
      </c>
      <c r="D1522">
        <v>3.36</v>
      </c>
      <c r="E1522">
        <v>0</v>
      </c>
      <c r="F1522">
        <v>1.484</v>
      </c>
      <c r="G1522">
        <v>0</v>
      </c>
      <c r="H1522">
        <v>0.16300000000000001</v>
      </c>
      <c r="I1522">
        <v>2.4089999999999998</v>
      </c>
      <c r="K1522">
        <v>1520</v>
      </c>
      <c r="L1522">
        <v>29</v>
      </c>
      <c r="M1522" s="32">
        <v>1.5489999999999999</v>
      </c>
      <c r="N1522" s="32">
        <v>3.36</v>
      </c>
      <c r="P1522" s="47">
        <v>1.4870000000000001</v>
      </c>
      <c r="R1522" s="47">
        <v>0.16600000000000001</v>
      </c>
      <c r="S1522" s="47">
        <v>2.3029999999999999</v>
      </c>
      <c r="T1522" s="31">
        <v>0</v>
      </c>
      <c r="V1522">
        <v>1520</v>
      </c>
      <c r="W1522">
        <v>28</v>
      </c>
      <c r="X1522">
        <v>1.5609999999999999</v>
      </c>
      <c r="Y1522" s="32">
        <v>3.37</v>
      </c>
      <c r="Z1522">
        <v>0</v>
      </c>
      <c r="AA1522" s="32">
        <v>1.411</v>
      </c>
      <c r="AB1522">
        <v>0</v>
      </c>
      <c r="AC1522" s="34">
        <v>0.154</v>
      </c>
      <c r="AD1522" s="32">
        <v>2.2029999999999998</v>
      </c>
    </row>
    <row r="1523" spans="1:30">
      <c r="A1523">
        <v>1521</v>
      </c>
      <c r="B1523">
        <v>29</v>
      </c>
      <c r="C1523">
        <v>1.55</v>
      </c>
      <c r="D1523">
        <v>3.36</v>
      </c>
      <c r="E1523">
        <v>0</v>
      </c>
      <c r="F1523">
        <v>1.4870000000000001</v>
      </c>
      <c r="G1523">
        <v>0</v>
      </c>
      <c r="H1523">
        <v>0.16300000000000001</v>
      </c>
      <c r="I1523">
        <v>2.3050000000000002</v>
      </c>
      <c r="K1523">
        <v>1521</v>
      </c>
      <c r="L1523">
        <v>29</v>
      </c>
      <c r="M1523" s="32">
        <v>1.55</v>
      </c>
      <c r="N1523" s="32">
        <v>3.36</v>
      </c>
      <c r="P1523" s="32">
        <v>1.4870000000000001</v>
      </c>
      <c r="R1523" s="47">
        <v>0.16600000000000001</v>
      </c>
      <c r="S1523" s="32">
        <v>2.3050000000000002</v>
      </c>
      <c r="T1523" s="31">
        <v>0</v>
      </c>
      <c r="V1523">
        <v>1521</v>
      </c>
      <c r="W1523">
        <v>28</v>
      </c>
      <c r="X1523">
        <v>1.5620000000000001</v>
      </c>
      <c r="Y1523" s="32">
        <v>3.38</v>
      </c>
      <c r="Z1523">
        <v>0</v>
      </c>
      <c r="AA1523" s="32">
        <v>1.411</v>
      </c>
      <c r="AB1523">
        <v>0</v>
      </c>
      <c r="AC1523" s="34">
        <v>0.155</v>
      </c>
      <c r="AD1523" s="32">
        <v>2.2040000000000002</v>
      </c>
    </row>
    <row r="1524" spans="1:30">
      <c r="A1524">
        <v>1522</v>
      </c>
      <c r="B1524">
        <v>29</v>
      </c>
      <c r="C1524">
        <v>1.5509999999999999</v>
      </c>
      <c r="D1524">
        <v>3.36</v>
      </c>
      <c r="E1524">
        <v>0</v>
      </c>
      <c r="F1524">
        <v>1.4870000000000001</v>
      </c>
      <c r="G1524">
        <v>0</v>
      </c>
      <c r="H1524">
        <v>0.16300000000000001</v>
      </c>
      <c r="I1524">
        <v>2.4319999999999999</v>
      </c>
      <c r="K1524">
        <v>1522</v>
      </c>
      <c r="L1524">
        <v>29</v>
      </c>
      <c r="M1524" s="32">
        <v>1.5509999999999999</v>
      </c>
      <c r="N1524" s="32">
        <v>3.36</v>
      </c>
      <c r="P1524" s="32">
        <v>1.4870000000000001</v>
      </c>
      <c r="R1524" s="47">
        <v>0.16600000000000001</v>
      </c>
      <c r="S1524" s="47">
        <v>2.3069999999999999</v>
      </c>
      <c r="T1524" s="31">
        <v>0</v>
      </c>
      <c r="V1524">
        <v>1522</v>
      </c>
      <c r="W1524">
        <v>28</v>
      </c>
      <c r="X1524">
        <v>1.5629999999999999</v>
      </c>
      <c r="Y1524" s="32">
        <v>3.39</v>
      </c>
      <c r="Z1524">
        <v>0</v>
      </c>
      <c r="AA1524" s="32">
        <v>1.411</v>
      </c>
      <c r="AB1524">
        <v>0</v>
      </c>
      <c r="AC1524" s="34">
        <v>0.155</v>
      </c>
      <c r="AD1524" s="32">
        <v>2.206</v>
      </c>
    </row>
    <row r="1525" spans="1:30">
      <c r="A1525">
        <v>1523</v>
      </c>
      <c r="B1525">
        <v>29</v>
      </c>
      <c r="C1525">
        <v>1.552</v>
      </c>
      <c r="D1525">
        <v>3.36</v>
      </c>
      <c r="E1525">
        <v>0</v>
      </c>
      <c r="F1525">
        <v>1.4870000000000001</v>
      </c>
      <c r="G1525">
        <v>0</v>
      </c>
      <c r="H1525">
        <v>0.16300000000000001</v>
      </c>
      <c r="I1525">
        <v>2.4340000000000002</v>
      </c>
      <c r="K1525">
        <v>1523</v>
      </c>
      <c r="L1525">
        <v>29</v>
      </c>
      <c r="M1525" s="32">
        <v>1.552</v>
      </c>
      <c r="N1525" s="32">
        <v>3.36</v>
      </c>
      <c r="P1525" s="47">
        <v>1.488</v>
      </c>
      <c r="R1525" s="47">
        <v>0.16600000000000001</v>
      </c>
      <c r="S1525" s="47">
        <v>2.3090000000000002</v>
      </c>
      <c r="T1525" s="31">
        <v>0</v>
      </c>
      <c r="V1525">
        <v>1523</v>
      </c>
      <c r="W1525">
        <v>28</v>
      </c>
      <c r="X1525">
        <v>1.5640000000000001</v>
      </c>
      <c r="Y1525" s="32">
        <v>3.4</v>
      </c>
      <c r="Z1525">
        <v>0</v>
      </c>
      <c r="AA1525" s="32">
        <v>1.411</v>
      </c>
      <c r="AB1525">
        <v>0</v>
      </c>
      <c r="AC1525" s="34">
        <v>0.155</v>
      </c>
      <c r="AD1525" s="32">
        <v>2.2080000000000002</v>
      </c>
    </row>
    <row r="1526" spans="1:30">
      <c r="A1526">
        <v>1524</v>
      </c>
      <c r="B1526">
        <v>29</v>
      </c>
      <c r="C1526">
        <v>1.5529999999999999</v>
      </c>
      <c r="D1526">
        <v>3.36</v>
      </c>
      <c r="E1526">
        <v>0</v>
      </c>
      <c r="F1526">
        <v>1.4870000000000001</v>
      </c>
      <c r="G1526">
        <v>0</v>
      </c>
      <c r="H1526">
        <v>0.16300000000000001</v>
      </c>
      <c r="I1526">
        <v>2.4369999999999998</v>
      </c>
      <c r="K1526">
        <v>1524</v>
      </c>
      <c r="L1526">
        <v>29</v>
      </c>
      <c r="M1526" s="32">
        <v>1.5529999999999999</v>
      </c>
      <c r="N1526" s="32">
        <v>3.36</v>
      </c>
      <c r="P1526" s="47">
        <v>1.488</v>
      </c>
      <c r="R1526" s="47">
        <v>0.16600000000000001</v>
      </c>
      <c r="S1526" s="47">
        <v>2.3109999999999999</v>
      </c>
      <c r="T1526" s="31">
        <v>0</v>
      </c>
      <c r="V1526">
        <v>1524</v>
      </c>
      <c r="W1526">
        <v>28</v>
      </c>
      <c r="X1526">
        <v>1.5649999999999999</v>
      </c>
      <c r="Y1526" s="32">
        <v>3.41</v>
      </c>
      <c r="Z1526">
        <v>0</v>
      </c>
      <c r="AA1526" s="32">
        <v>1.4119999999999999</v>
      </c>
      <c r="AB1526">
        <v>0</v>
      </c>
      <c r="AC1526" s="34">
        <v>0.155</v>
      </c>
      <c r="AD1526" s="32">
        <v>2.21</v>
      </c>
    </row>
    <row r="1527" spans="1:30">
      <c r="A1527">
        <v>1525</v>
      </c>
      <c r="B1527">
        <v>29</v>
      </c>
      <c r="C1527">
        <v>1.554</v>
      </c>
      <c r="D1527">
        <v>3.36</v>
      </c>
      <c r="E1527">
        <v>0</v>
      </c>
      <c r="F1527">
        <v>1.4870000000000001</v>
      </c>
      <c r="G1527">
        <v>0</v>
      </c>
      <c r="H1527">
        <v>0.16300000000000001</v>
      </c>
      <c r="I1527">
        <v>2.4390000000000001</v>
      </c>
      <c r="K1527">
        <v>1525</v>
      </c>
      <c r="L1527">
        <v>29</v>
      </c>
      <c r="M1527" s="32">
        <v>1.554</v>
      </c>
      <c r="N1527" s="32">
        <v>3.36</v>
      </c>
      <c r="P1527" s="47">
        <v>1.488</v>
      </c>
      <c r="R1527" s="47">
        <v>0.16600000000000001</v>
      </c>
      <c r="S1527" s="47">
        <v>2.3130000000000002</v>
      </c>
      <c r="T1527" s="31">
        <v>0</v>
      </c>
      <c r="V1527">
        <v>1525</v>
      </c>
      <c r="W1527">
        <v>28</v>
      </c>
      <c r="X1527">
        <v>1.5660000000000001</v>
      </c>
      <c r="Y1527" s="32">
        <v>3.42</v>
      </c>
      <c r="Z1527">
        <v>0</v>
      </c>
      <c r="AA1527" s="32">
        <v>1.4119999999999999</v>
      </c>
      <c r="AB1527">
        <v>0</v>
      </c>
      <c r="AC1527" s="34">
        <v>0.155</v>
      </c>
      <c r="AD1527" s="32">
        <v>2.2120000000000002</v>
      </c>
    </row>
    <row r="1528" spans="1:30">
      <c r="A1528">
        <v>1526</v>
      </c>
      <c r="B1528">
        <v>29</v>
      </c>
      <c r="C1528">
        <v>1.5549999999999999</v>
      </c>
      <c r="D1528">
        <v>3.36</v>
      </c>
      <c r="E1528">
        <v>0</v>
      </c>
      <c r="F1528">
        <v>1.4870000000000001</v>
      </c>
      <c r="G1528">
        <v>0</v>
      </c>
      <c r="H1528">
        <v>0.16300000000000001</v>
      </c>
      <c r="I1528">
        <v>2.4409999999999998</v>
      </c>
      <c r="K1528">
        <v>1526</v>
      </c>
      <c r="L1528">
        <v>29</v>
      </c>
      <c r="M1528" s="32">
        <v>1.5549999999999999</v>
      </c>
      <c r="N1528" s="32">
        <v>3.36</v>
      </c>
      <c r="P1528" s="47">
        <v>1.4890000000000001</v>
      </c>
      <c r="R1528" s="47">
        <v>0.16600000000000001</v>
      </c>
      <c r="S1528" s="47">
        <v>2.3149999999999999</v>
      </c>
      <c r="T1528" s="31">
        <v>0</v>
      </c>
      <c r="V1528">
        <v>1526</v>
      </c>
      <c r="W1528">
        <v>28</v>
      </c>
      <c r="X1528">
        <v>1.5669999999999999</v>
      </c>
      <c r="Y1528" s="32">
        <v>3.43</v>
      </c>
      <c r="Z1528">
        <v>0</v>
      </c>
      <c r="AA1528" s="32">
        <v>1.4119999999999999</v>
      </c>
      <c r="AB1528">
        <v>0</v>
      </c>
      <c r="AC1528" s="34">
        <v>0.155</v>
      </c>
      <c r="AD1528" s="32">
        <v>2.2130000000000001</v>
      </c>
    </row>
    <row r="1529" spans="1:30">
      <c r="A1529">
        <v>1527</v>
      </c>
      <c r="B1529">
        <v>29</v>
      </c>
      <c r="C1529">
        <v>1.556</v>
      </c>
      <c r="D1529">
        <v>3.36</v>
      </c>
      <c r="E1529">
        <v>0</v>
      </c>
      <c r="F1529">
        <v>1.4870000000000001</v>
      </c>
      <c r="G1529">
        <v>0</v>
      </c>
      <c r="H1529">
        <v>0.16300000000000001</v>
      </c>
      <c r="I1529">
        <v>2.4430000000000001</v>
      </c>
      <c r="K1529">
        <v>1527</v>
      </c>
      <c r="L1529">
        <v>29</v>
      </c>
      <c r="M1529" s="32">
        <v>1.556</v>
      </c>
      <c r="N1529" s="32">
        <v>3.36</v>
      </c>
      <c r="P1529" s="47">
        <v>1.4890000000000001</v>
      </c>
      <c r="R1529" s="47">
        <v>0.16600000000000001</v>
      </c>
      <c r="S1529" s="47">
        <v>2.3170000000000002</v>
      </c>
      <c r="T1529" s="31">
        <v>0</v>
      </c>
      <c r="V1529">
        <v>1527</v>
      </c>
      <c r="W1529">
        <v>28</v>
      </c>
      <c r="X1529">
        <v>1.5680000000000001</v>
      </c>
      <c r="Y1529" s="32">
        <v>3.44</v>
      </c>
      <c r="Z1529">
        <v>0</v>
      </c>
      <c r="AA1529" s="32">
        <v>1.4119999999999999</v>
      </c>
      <c r="AB1529">
        <v>0</v>
      </c>
      <c r="AC1529" s="34">
        <v>0.155</v>
      </c>
      <c r="AD1529" s="32">
        <v>2.2149999999999999</v>
      </c>
    </row>
    <row r="1530" spans="1:30">
      <c r="A1530">
        <v>1528</v>
      </c>
      <c r="B1530">
        <v>29</v>
      </c>
      <c r="C1530">
        <v>1.5569999999999999</v>
      </c>
      <c r="D1530">
        <v>3.36</v>
      </c>
      <c r="E1530">
        <v>0</v>
      </c>
      <c r="F1530">
        <v>1.4870000000000001</v>
      </c>
      <c r="G1530">
        <v>0</v>
      </c>
      <c r="H1530">
        <v>0.16300000000000001</v>
      </c>
      <c r="I1530">
        <v>2.4449999999999998</v>
      </c>
      <c r="K1530">
        <v>1528</v>
      </c>
      <c r="L1530">
        <v>29</v>
      </c>
      <c r="M1530" s="32">
        <v>1.5569999999999999</v>
      </c>
      <c r="N1530" s="32">
        <v>3.36</v>
      </c>
      <c r="P1530" s="47">
        <v>1.4890000000000001</v>
      </c>
      <c r="R1530" s="47">
        <v>0.16600000000000001</v>
      </c>
      <c r="S1530" s="47">
        <v>2.319</v>
      </c>
      <c r="T1530" s="31">
        <v>0</v>
      </c>
      <c r="V1530">
        <v>1528</v>
      </c>
      <c r="W1530">
        <v>28</v>
      </c>
      <c r="X1530">
        <v>1.569</v>
      </c>
      <c r="Y1530" s="32">
        <v>3.45</v>
      </c>
      <c r="Z1530">
        <v>0</v>
      </c>
      <c r="AA1530" s="32">
        <v>1.413</v>
      </c>
      <c r="AB1530">
        <v>0</v>
      </c>
      <c r="AC1530" s="34">
        <v>0.155</v>
      </c>
      <c r="AD1530" s="32">
        <v>2.2170000000000001</v>
      </c>
    </row>
    <row r="1531" spans="1:30">
      <c r="A1531">
        <v>1529</v>
      </c>
      <c r="B1531">
        <v>29</v>
      </c>
      <c r="C1531">
        <v>1.5580000000000001</v>
      </c>
      <c r="D1531">
        <v>3.36</v>
      </c>
      <c r="E1531">
        <v>0</v>
      </c>
      <c r="F1531">
        <v>1.4870000000000001</v>
      </c>
      <c r="G1531">
        <v>0</v>
      </c>
      <c r="H1531">
        <v>0.16300000000000001</v>
      </c>
      <c r="I1531">
        <v>2.4470000000000001</v>
      </c>
      <c r="K1531">
        <v>1529</v>
      </c>
      <c r="L1531">
        <v>29</v>
      </c>
      <c r="M1531" s="32">
        <v>1.5580000000000001</v>
      </c>
      <c r="N1531" s="32">
        <v>3.36</v>
      </c>
      <c r="P1531" s="47">
        <v>1.4890000000000001</v>
      </c>
      <c r="R1531" s="47">
        <v>0.16600000000000001</v>
      </c>
      <c r="S1531" s="47">
        <v>2.3210000000000002</v>
      </c>
      <c r="T1531" s="31">
        <v>0</v>
      </c>
      <c r="V1531">
        <v>1529</v>
      </c>
      <c r="W1531">
        <v>28</v>
      </c>
      <c r="X1531">
        <v>1.57</v>
      </c>
      <c r="Y1531" s="32">
        <v>3.46</v>
      </c>
      <c r="Z1531">
        <v>0</v>
      </c>
      <c r="AA1531" s="32">
        <v>1.413</v>
      </c>
      <c r="AB1531">
        <v>0</v>
      </c>
      <c r="AC1531" s="34">
        <v>0.155</v>
      </c>
      <c r="AD1531" s="32">
        <v>2.2189999999999999</v>
      </c>
    </row>
    <row r="1532" spans="1:30">
      <c r="A1532">
        <v>1530</v>
      </c>
      <c r="B1532">
        <v>29</v>
      </c>
      <c r="C1532">
        <v>1.5589999999999999</v>
      </c>
      <c r="D1532">
        <v>3.36</v>
      </c>
      <c r="E1532">
        <v>0</v>
      </c>
      <c r="F1532">
        <v>1.4870000000000001</v>
      </c>
      <c r="G1532">
        <v>0</v>
      </c>
      <c r="H1532">
        <v>0.16300000000000001</v>
      </c>
      <c r="I1532">
        <v>2.4489999999999998</v>
      </c>
      <c r="K1532">
        <v>1530</v>
      </c>
      <c r="L1532">
        <v>29</v>
      </c>
      <c r="M1532" s="32">
        <v>1.5589999999999999</v>
      </c>
      <c r="N1532" s="32">
        <v>3.36</v>
      </c>
      <c r="P1532" s="47">
        <v>1.49</v>
      </c>
      <c r="R1532" s="47">
        <v>0.16600000000000001</v>
      </c>
      <c r="S1532" s="47">
        <v>2.323</v>
      </c>
      <c r="T1532" s="31">
        <v>0</v>
      </c>
      <c r="V1532">
        <v>1530</v>
      </c>
      <c r="W1532">
        <v>28</v>
      </c>
      <c r="X1532">
        <v>1.571</v>
      </c>
      <c r="Y1532" s="32">
        <v>3.46</v>
      </c>
      <c r="Z1532">
        <v>0</v>
      </c>
      <c r="AA1532" s="32">
        <v>1.413</v>
      </c>
      <c r="AB1532">
        <v>0</v>
      </c>
      <c r="AC1532" s="34">
        <v>0.155</v>
      </c>
      <c r="AD1532" s="32">
        <v>2.2200000000000002</v>
      </c>
    </row>
    <row r="1533" spans="1:30">
      <c r="A1533">
        <v>1531</v>
      </c>
      <c r="B1533">
        <v>29</v>
      </c>
      <c r="C1533">
        <v>1.56</v>
      </c>
      <c r="D1533">
        <v>3.36</v>
      </c>
      <c r="E1533">
        <v>0</v>
      </c>
      <c r="F1533">
        <v>1.49</v>
      </c>
      <c r="G1533">
        <v>0</v>
      </c>
      <c r="H1533">
        <v>0.16300000000000001</v>
      </c>
      <c r="I1533">
        <v>2.3250000000000002</v>
      </c>
      <c r="K1533">
        <v>1531</v>
      </c>
      <c r="L1533">
        <v>29</v>
      </c>
      <c r="M1533" s="32">
        <v>1.56</v>
      </c>
      <c r="N1533" s="32">
        <v>3.36</v>
      </c>
      <c r="P1533" s="32">
        <v>1.49</v>
      </c>
      <c r="R1533" s="47">
        <v>0.16700000000000001</v>
      </c>
      <c r="S1533" s="32">
        <v>2.3250000000000002</v>
      </c>
      <c r="T1533" s="31">
        <v>0</v>
      </c>
      <c r="V1533">
        <v>1531</v>
      </c>
      <c r="W1533">
        <v>28</v>
      </c>
      <c r="X1533">
        <v>1.5720000000000001</v>
      </c>
      <c r="Y1533" s="32">
        <v>3.46</v>
      </c>
      <c r="Z1533">
        <v>0</v>
      </c>
      <c r="AA1533" s="32">
        <v>1.413</v>
      </c>
      <c r="AB1533">
        <v>0</v>
      </c>
      <c r="AC1533" s="34">
        <v>0.155</v>
      </c>
      <c r="AD1533" s="32">
        <v>2.222</v>
      </c>
    </row>
    <row r="1534" spans="1:30">
      <c r="A1534">
        <v>1532</v>
      </c>
      <c r="B1534">
        <v>29</v>
      </c>
      <c r="C1534">
        <v>1.5609999999999999</v>
      </c>
      <c r="D1534">
        <v>3.36</v>
      </c>
      <c r="E1534">
        <v>0</v>
      </c>
      <c r="F1534">
        <v>1.49</v>
      </c>
      <c r="G1534">
        <v>0</v>
      </c>
      <c r="H1534">
        <v>0.16300000000000001</v>
      </c>
      <c r="I1534">
        <v>2.4729999999999999</v>
      </c>
      <c r="K1534">
        <v>1532</v>
      </c>
      <c r="L1534">
        <v>29</v>
      </c>
      <c r="M1534" s="32">
        <v>1.5609999999999999</v>
      </c>
      <c r="N1534" s="47">
        <v>3.37</v>
      </c>
      <c r="P1534" s="32">
        <v>1.49</v>
      </c>
      <c r="R1534" s="47">
        <v>0.16700000000000001</v>
      </c>
      <c r="S1534" s="47">
        <v>2.3279999999999998</v>
      </c>
      <c r="T1534" s="31">
        <v>0</v>
      </c>
      <c r="V1534">
        <v>1532</v>
      </c>
      <c r="W1534">
        <v>28</v>
      </c>
      <c r="X1534">
        <v>1.573</v>
      </c>
      <c r="Y1534" s="32">
        <v>3.46</v>
      </c>
      <c r="Z1534">
        <v>0</v>
      </c>
      <c r="AA1534" s="32">
        <v>1.4139999999999999</v>
      </c>
      <c r="AB1534">
        <v>0</v>
      </c>
      <c r="AC1534" s="34">
        <v>0.155</v>
      </c>
      <c r="AD1534" s="32">
        <v>2.2240000000000002</v>
      </c>
    </row>
    <row r="1535" spans="1:30">
      <c r="A1535">
        <v>1533</v>
      </c>
      <c r="B1535">
        <v>29</v>
      </c>
      <c r="C1535">
        <v>1.5620000000000001</v>
      </c>
      <c r="D1535">
        <v>3.36</v>
      </c>
      <c r="E1535">
        <v>0</v>
      </c>
      <c r="F1535">
        <v>1.49</v>
      </c>
      <c r="G1535">
        <v>0</v>
      </c>
      <c r="H1535">
        <v>0.16300000000000001</v>
      </c>
      <c r="I1535">
        <v>2.4750000000000001</v>
      </c>
      <c r="K1535">
        <v>1533</v>
      </c>
      <c r="L1535">
        <v>29</v>
      </c>
      <c r="M1535" s="32">
        <v>1.5620000000000001</v>
      </c>
      <c r="N1535" s="47">
        <v>3.38</v>
      </c>
      <c r="P1535" s="47">
        <v>1.4910000000000001</v>
      </c>
      <c r="R1535" s="47">
        <v>0.16700000000000001</v>
      </c>
      <c r="S1535" s="47">
        <v>2.33</v>
      </c>
      <c r="T1535" s="31">
        <v>0</v>
      </c>
      <c r="V1535">
        <v>1533</v>
      </c>
      <c r="W1535">
        <v>28</v>
      </c>
      <c r="X1535">
        <v>1.5740000000000001</v>
      </c>
      <c r="Y1535" s="32">
        <v>3.46</v>
      </c>
      <c r="Z1535">
        <v>0</v>
      </c>
      <c r="AA1535" s="32">
        <v>1.4139999999999999</v>
      </c>
      <c r="AB1535">
        <v>0</v>
      </c>
      <c r="AC1535" s="34">
        <v>0.155</v>
      </c>
      <c r="AD1535" s="32">
        <v>2.226</v>
      </c>
    </row>
    <row r="1536" spans="1:30">
      <c r="A1536">
        <v>1534</v>
      </c>
      <c r="B1536">
        <v>29</v>
      </c>
      <c r="C1536">
        <v>1.5629999999999999</v>
      </c>
      <c r="D1536">
        <v>3.36</v>
      </c>
      <c r="E1536">
        <v>0</v>
      </c>
      <c r="F1536">
        <v>1.49</v>
      </c>
      <c r="G1536">
        <v>0</v>
      </c>
      <c r="H1536">
        <v>0.16300000000000001</v>
      </c>
      <c r="I1536">
        <v>2.4769999999999999</v>
      </c>
      <c r="K1536">
        <v>1534</v>
      </c>
      <c r="L1536">
        <v>29</v>
      </c>
      <c r="M1536" s="32">
        <v>1.5629999999999999</v>
      </c>
      <c r="N1536" s="47">
        <v>3.39</v>
      </c>
      <c r="P1536" s="47">
        <v>1.4910000000000001</v>
      </c>
      <c r="R1536" s="47">
        <v>0.16700000000000001</v>
      </c>
      <c r="S1536" s="47">
        <v>2.3330000000000002</v>
      </c>
      <c r="T1536" s="31">
        <v>0</v>
      </c>
      <c r="V1536">
        <v>1534</v>
      </c>
      <c r="W1536">
        <v>28</v>
      </c>
      <c r="X1536">
        <v>1.575</v>
      </c>
      <c r="Y1536" s="32">
        <v>3.46</v>
      </c>
      <c r="Z1536">
        <v>0</v>
      </c>
      <c r="AA1536" s="32">
        <v>1.4139999999999999</v>
      </c>
      <c r="AB1536">
        <v>0</v>
      </c>
      <c r="AC1536" s="34">
        <v>0.155</v>
      </c>
      <c r="AD1536" s="32">
        <v>2.2280000000000002</v>
      </c>
    </row>
    <row r="1537" spans="1:30">
      <c r="A1537">
        <v>1535</v>
      </c>
      <c r="B1537">
        <v>29</v>
      </c>
      <c r="C1537">
        <v>1.5640000000000001</v>
      </c>
      <c r="D1537">
        <v>3.36</v>
      </c>
      <c r="E1537">
        <v>0</v>
      </c>
      <c r="F1537">
        <v>1.49</v>
      </c>
      <c r="G1537">
        <v>0</v>
      </c>
      <c r="H1537">
        <v>0.16300000000000001</v>
      </c>
      <c r="I1537">
        <v>2.4790000000000001</v>
      </c>
      <c r="K1537">
        <v>1535</v>
      </c>
      <c r="L1537">
        <v>29</v>
      </c>
      <c r="M1537" s="32">
        <v>1.5640000000000001</v>
      </c>
      <c r="N1537" s="47">
        <v>3.4</v>
      </c>
      <c r="P1537" s="47">
        <v>1.4910000000000001</v>
      </c>
      <c r="R1537" s="47">
        <v>0.16700000000000001</v>
      </c>
      <c r="S1537" s="47">
        <v>2.335</v>
      </c>
      <c r="T1537" s="31">
        <v>0</v>
      </c>
      <c r="V1537">
        <v>1535</v>
      </c>
      <c r="W1537">
        <v>28</v>
      </c>
      <c r="X1537">
        <v>1.5760000000000001</v>
      </c>
      <c r="Y1537" s="32">
        <v>3.46</v>
      </c>
      <c r="Z1537">
        <v>0</v>
      </c>
      <c r="AA1537" s="32">
        <v>1.4139999999999999</v>
      </c>
      <c r="AB1537">
        <v>0</v>
      </c>
      <c r="AC1537" s="34">
        <v>0.156</v>
      </c>
      <c r="AD1537" s="32">
        <v>2.2290000000000001</v>
      </c>
    </row>
    <row r="1538" spans="1:30">
      <c r="A1538">
        <v>1536</v>
      </c>
      <c r="B1538">
        <v>29</v>
      </c>
      <c r="C1538">
        <v>1.5649999999999999</v>
      </c>
      <c r="D1538">
        <v>3.36</v>
      </c>
      <c r="E1538">
        <v>0</v>
      </c>
      <c r="F1538">
        <v>1.49</v>
      </c>
      <c r="G1538">
        <v>0</v>
      </c>
      <c r="H1538">
        <v>0.16300000000000001</v>
      </c>
      <c r="I1538">
        <v>2.4820000000000002</v>
      </c>
      <c r="K1538">
        <v>1536</v>
      </c>
      <c r="L1538">
        <v>29</v>
      </c>
      <c r="M1538" s="32">
        <v>1.5649999999999999</v>
      </c>
      <c r="N1538" s="47">
        <v>3.41</v>
      </c>
      <c r="P1538" s="47">
        <v>1.492</v>
      </c>
      <c r="R1538" s="47">
        <v>0.16700000000000001</v>
      </c>
      <c r="S1538" s="47">
        <v>2.3380000000000001</v>
      </c>
      <c r="T1538" s="31">
        <v>0</v>
      </c>
      <c r="V1538">
        <v>1536</v>
      </c>
      <c r="W1538">
        <v>28</v>
      </c>
      <c r="X1538">
        <v>1.577</v>
      </c>
      <c r="Y1538" s="32">
        <v>3.46</v>
      </c>
      <c r="Z1538">
        <v>0</v>
      </c>
      <c r="AA1538" s="32">
        <v>1.415</v>
      </c>
      <c r="AB1538">
        <v>0</v>
      </c>
      <c r="AC1538" s="34">
        <v>0.156</v>
      </c>
      <c r="AD1538" s="32">
        <v>2.2309999999999999</v>
      </c>
    </row>
    <row r="1539" spans="1:30">
      <c r="A1539">
        <v>1537</v>
      </c>
      <c r="B1539">
        <v>29</v>
      </c>
      <c r="C1539">
        <v>1.5660000000000001</v>
      </c>
      <c r="D1539">
        <v>3.36</v>
      </c>
      <c r="E1539">
        <v>0</v>
      </c>
      <c r="F1539">
        <v>1.49</v>
      </c>
      <c r="G1539">
        <v>0</v>
      </c>
      <c r="H1539">
        <v>0.16300000000000001</v>
      </c>
      <c r="I1539">
        <v>2.484</v>
      </c>
      <c r="K1539">
        <v>1537</v>
      </c>
      <c r="L1539">
        <v>29</v>
      </c>
      <c r="M1539" s="32">
        <v>1.5660000000000001</v>
      </c>
      <c r="N1539" s="47">
        <v>3.42</v>
      </c>
      <c r="P1539" s="47">
        <v>1.492</v>
      </c>
      <c r="R1539" s="47">
        <v>0.16700000000000001</v>
      </c>
      <c r="S1539" s="47">
        <v>2.34</v>
      </c>
      <c r="T1539" s="31">
        <v>0</v>
      </c>
      <c r="V1539">
        <v>1537</v>
      </c>
      <c r="W1539">
        <v>28</v>
      </c>
      <c r="X1539">
        <v>1.5780000000000001</v>
      </c>
      <c r="Y1539" s="32">
        <v>3.46</v>
      </c>
      <c r="Z1539">
        <v>0</v>
      </c>
      <c r="AA1539" s="32">
        <v>1.415</v>
      </c>
      <c r="AB1539">
        <v>0</v>
      </c>
      <c r="AC1539" s="34">
        <v>0.156</v>
      </c>
      <c r="AD1539" s="32">
        <v>2.2330000000000001</v>
      </c>
    </row>
    <row r="1540" spans="1:30">
      <c r="A1540">
        <v>1538</v>
      </c>
      <c r="B1540">
        <v>29</v>
      </c>
      <c r="C1540">
        <v>1.5669999999999999</v>
      </c>
      <c r="D1540">
        <v>3.36</v>
      </c>
      <c r="E1540">
        <v>0</v>
      </c>
      <c r="F1540">
        <v>1.49</v>
      </c>
      <c r="G1540">
        <v>0</v>
      </c>
      <c r="H1540">
        <v>0.16300000000000001</v>
      </c>
      <c r="I1540">
        <v>2.4860000000000002</v>
      </c>
      <c r="K1540">
        <v>1538</v>
      </c>
      <c r="L1540">
        <v>29</v>
      </c>
      <c r="M1540" s="32">
        <v>1.5669999999999999</v>
      </c>
      <c r="N1540" s="47">
        <v>3.43</v>
      </c>
      <c r="P1540" s="47">
        <v>1.492</v>
      </c>
      <c r="R1540" s="47">
        <v>0.16700000000000001</v>
      </c>
      <c r="S1540" s="47">
        <v>2.343</v>
      </c>
      <c r="T1540" s="31">
        <v>0</v>
      </c>
      <c r="V1540">
        <v>1538</v>
      </c>
      <c r="W1540">
        <v>28</v>
      </c>
      <c r="X1540">
        <v>1.579</v>
      </c>
      <c r="Y1540" s="32">
        <v>3.46</v>
      </c>
      <c r="Z1540">
        <v>0</v>
      </c>
      <c r="AA1540" s="32">
        <v>1.415</v>
      </c>
      <c r="AB1540">
        <v>0</v>
      </c>
      <c r="AC1540" s="34">
        <v>0.156</v>
      </c>
      <c r="AD1540" s="32">
        <v>2.2349999999999999</v>
      </c>
    </row>
    <row r="1541" spans="1:30">
      <c r="A1541">
        <v>1539</v>
      </c>
      <c r="B1541">
        <v>29</v>
      </c>
      <c r="C1541">
        <v>1.5680000000000001</v>
      </c>
      <c r="D1541">
        <v>3.36</v>
      </c>
      <c r="E1541">
        <v>0</v>
      </c>
      <c r="F1541">
        <v>1.49</v>
      </c>
      <c r="G1541">
        <v>0</v>
      </c>
      <c r="H1541">
        <v>0.16300000000000001</v>
      </c>
      <c r="I1541">
        <v>2.488</v>
      </c>
      <c r="K1541">
        <v>1539</v>
      </c>
      <c r="L1541">
        <v>29</v>
      </c>
      <c r="M1541" s="32">
        <v>1.5680000000000001</v>
      </c>
      <c r="N1541" s="47">
        <v>3.44</v>
      </c>
      <c r="P1541" s="47">
        <v>1.492</v>
      </c>
      <c r="R1541" s="47">
        <v>0.16700000000000001</v>
      </c>
      <c r="S1541" s="47">
        <v>2.3450000000000002</v>
      </c>
      <c r="T1541" s="31">
        <v>0</v>
      </c>
      <c r="V1541">
        <v>1539</v>
      </c>
      <c r="W1541">
        <v>28</v>
      </c>
      <c r="X1541">
        <v>1.58</v>
      </c>
      <c r="Y1541" s="32">
        <v>3.46</v>
      </c>
      <c r="Z1541">
        <v>0</v>
      </c>
      <c r="AA1541" s="32">
        <v>1.415</v>
      </c>
      <c r="AB1541">
        <v>0</v>
      </c>
      <c r="AC1541" s="34">
        <v>0.156</v>
      </c>
      <c r="AD1541" s="32">
        <v>2.2360000000000002</v>
      </c>
    </row>
    <row r="1542" spans="1:30">
      <c r="A1542">
        <v>1540</v>
      </c>
      <c r="B1542">
        <v>29</v>
      </c>
      <c r="C1542">
        <v>1.569</v>
      </c>
      <c r="D1542">
        <v>3.36</v>
      </c>
      <c r="E1542">
        <v>0</v>
      </c>
      <c r="F1542">
        <v>1.49</v>
      </c>
      <c r="G1542">
        <v>0</v>
      </c>
      <c r="H1542">
        <v>0.16300000000000001</v>
      </c>
      <c r="I1542">
        <v>2.4900000000000002</v>
      </c>
      <c r="K1542">
        <v>1540</v>
      </c>
      <c r="L1542">
        <v>29</v>
      </c>
      <c r="M1542" s="32">
        <v>1.569</v>
      </c>
      <c r="N1542" s="47">
        <v>3.45</v>
      </c>
      <c r="P1542" s="47">
        <v>1.4930000000000001</v>
      </c>
      <c r="R1542" s="47">
        <v>0.16700000000000001</v>
      </c>
      <c r="S1542" s="47">
        <v>2.3479999999999999</v>
      </c>
      <c r="T1542" s="31">
        <v>0</v>
      </c>
      <c r="V1542">
        <v>1540</v>
      </c>
      <c r="W1542">
        <v>28</v>
      </c>
      <c r="X1542">
        <v>1.581</v>
      </c>
      <c r="Y1542" s="32">
        <v>3.46</v>
      </c>
      <c r="Z1542">
        <v>0</v>
      </c>
      <c r="AA1542" s="32">
        <v>1.415</v>
      </c>
      <c r="AB1542">
        <v>0</v>
      </c>
      <c r="AC1542" s="34">
        <v>0.156</v>
      </c>
      <c r="AD1542" s="32">
        <v>2.238</v>
      </c>
    </row>
    <row r="1543" spans="1:30">
      <c r="A1543">
        <v>1541</v>
      </c>
      <c r="B1543">
        <v>30</v>
      </c>
      <c r="C1543">
        <v>1.57</v>
      </c>
      <c r="D1543">
        <v>3.46</v>
      </c>
      <c r="E1543">
        <v>0</v>
      </c>
      <c r="F1543">
        <v>1.4930000000000001</v>
      </c>
      <c r="G1543">
        <v>0</v>
      </c>
      <c r="H1543">
        <v>0.16700000000000001</v>
      </c>
      <c r="I1543">
        <v>2.35</v>
      </c>
      <c r="K1543">
        <v>1541</v>
      </c>
      <c r="L1543">
        <v>30</v>
      </c>
      <c r="M1543" s="32">
        <v>1.57</v>
      </c>
      <c r="N1543" s="32">
        <v>3.46</v>
      </c>
      <c r="P1543" s="32">
        <v>1.4930000000000001</v>
      </c>
      <c r="R1543" s="32">
        <v>0.16700000000000001</v>
      </c>
      <c r="S1543" s="32">
        <v>2.35</v>
      </c>
      <c r="T1543" s="31">
        <v>0</v>
      </c>
      <c r="V1543">
        <v>1541</v>
      </c>
      <c r="W1543">
        <v>28</v>
      </c>
      <c r="X1543">
        <v>1.5820000000000001</v>
      </c>
      <c r="Y1543" s="32">
        <v>3.46</v>
      </c>
      <c r="Z1543">
        <v>0</v>
      </c>
      <c r="AA1543" s="32">
        <v>1.4159999999999999</v>
      </c>
      <c r="AB1543">
        <v>0</v>
      </c>
      <c r="AC1543" s="34">
        <v>0.156</v>
      </c>
      <c r="AD1543" s="32">
        <v>2.2400000000000002</v>
      </c>
    </row>
    <row r="1544" spans="1:30">
      <c r="A1544">
        <v>1542</v>
      </c>
      <c r="B1544">
        <v>30</v>
      </c>
      <c r="C1544">
        <v>1.571</v>
      </c>
      <c r="D1544">
        <v>3.46</v>
      </c>
      <c r="E1544">
        <v>0</v>
      </c>
      <c r="F1544">
        <v>1.4930000000000001</v>
      </c>
      <c r="G1544">
        <v>0</v>
      </c>
      <c r="H1544">
        <v>0.16700000000000001</v>
      </c>
      <c r="I1544">
        <v>2.3519999999999999</v>
      </c>
      <c r="K1544">
        <v>1542</v>
      </c>
      <c r="L1544">
        <v>30</v>
      </c>
      <c r="M1544" s="32">
        <v>1.571</v>
      </c>
      <c r="N1544" s="32">
        <v>3.46</v>
      </c>
      <c r="P1544" s="32">
        <v>1.4930000000000001</v>
      </c>
      <c r="R1544" s="32">
        <v>0.16700000000000001</v>
      </c>
      <c r="S1544" s="47">
        <v>2.351</v>
      </c>
      <c r="T1544" s="31">
        <v>0</v>
      </c>
      <c r="V1544">
        <v>1542</v>
      </c>
      <c r="W1544">
        <v>28</v>
      </c>
      <c r="X1544">
        <v>1.583</v>
      </c>
      <c r="Y1544" s="32">
        <v>3.46</v>
      </c>
      <c r="Z1544">
        <v>0</v>
      </c>
      <c r="AA1544" s="32">
        <v>1.4159999999999999</v>
      </c>
      <c r="AB1544">
        <v>0</v>
      </c>
      <c r="AC1544" s="34">
        <v>0.156</v>
      </c>
      <c r="AD1544" s="32">
        <v>2.242</v>
      </c>
    </row>
    <row r="1545" spans="1:30">
      <c r="A1545">
        <v>1543</v>
      </c>
      <c r="B1545">
        <v>30</v>
      </c>
      <c r="C1545">
        <v>1.5720000000000001</v>
      </c>
      <c r="D1545">
        <v>3.46</v>
      </c>
      <c r="E1545">
        <v>0</v>
      </c>
      <c r="F1545">
        <v>1.494</v>
      </c>
      <c r="G1545">
        <v>0</v>
      </c>
      <c r="H1545">
        <v>0.16700000000000001</v>
      </c>
      <c r="I1545">
        <v>2.3540000000000001</v>
      </c>
      <c r="K1545">
        <v>1543</v>
      </c>
      <c r="L1545">
        <v>30</v>
      </c>
      <c r="M1545" s="32">
        <v>1.5720000000000001</v>
      </c>
      <c r="N1545" s="32">
        <v>3.46</v>
      </c>
      <c r="P1545" s="32">
        <v>1.494</v>
      </c>
      <c r="R1545" s="32">
        <v>0.16700000000000001</v>
      </c>
      <c r="S1545" s="47">
        <v>2.3530000000000002</v>
      </c>
      <c r="T1545" s="31">
        <v>0</v>
      </c>
      <c r="V1545">
        <v>1543</v>
      </c>
      <c r="W1545">
        <v>28</v>
      </c>
      <c r="X1545">
        <v>1.5840000000000001</v>
      </c>
      <c r="Y1545" s="32">
        <v>3.46</v>
      </c>
      <c r="Z1545">
        <v>0</v>
      </c>
      <c r="AA1545" s="32">
        <v>1.4159999999999999</v>
      </c>
      <c r="AB1545">
        <v>0</v>
      </c>
      <c r="AC1545" s="34">
        <v>0.156</v>
      </c>
      <c r="AD1545" s="32">
        <v>2.2440000000000002</v>
      </c>
    </row>
    <row r="1546" spans="1:30">
      <c r="A1546">
        <v>1544</v>
      </c>
      <c r="B1546">
        <v>30</v>
      </c>
      <c r="C1546">
        <v>1.573</v>
      </c>
      <c r="D1546">
        <v>3.47</v>
      </c>
      <c r="E1546">
        <v>0</v>
      </c>
      <c r="F1546">
        <v>1.494</v>
      </c>
      <c r="G1546">
        <v>0</v>
      </c>
      <c r="H1546">
        <v>0.16700000000000001</v>
      </c>
      <c r="I1546">
        <v>2.3559999999999999</v>
      </c>
      <c r="K1546">
        <v>1544</v>
      </c>
      <c r="L1546">
        <v>30</v>
      </c>
      <c r="M1546" s="32">
        <v>1.573</v>
      </c>
      <c r="N1546" s="47">
        <v>3.46</v>
      </c>
      <c r="P1546" s="32">
        <v>1.494</v>
      </c>
      <c r="R1546" s="32">
        <v>0.16700000000000001</v>
      </c>
      <c r="S1546" s="47">
        <v>2.3540000000000001</v>
      </c>
      <c r="T1546" s="31">
        <v>0</v>
      </c>
      <c r="V1546">
        <v>1544</v>
      </c>
      <c r="W1546">
        <v>28</v>
      </c>
      <c r="X1546">
        <v>1.585</v>
      </c>
      <c r="Y1546" s="32">
        <v>3.46</v>
      </c>
      <c r="Z1546">
        <v>0</v>
      </c>
      <c r="AA1546" s="32">
        <v>1.4159999999999999</v>
      </c>
      <c r="AB1546">
        <v>0</v>
      </c>
      <c r="AC1546" s="34">
        <v>0.156</v>
      </c>
      <c r="AD1546" s="32">
        <v>2.2450000000000001</v>
      </c>
    </row>
    <row r="1547" spans="1:30">
      <c r="A1547">
        <v>1545</v>
      </c>
      <c r="B1547">
        <v>30</v>
      </c>
      <c r="C1547">
        <v>1.5740000000000001</v>
      </c>
      <c r="D1547">
        <v>3.47</v>
      </c>
      <c r="E1547">
        <v>0</v>
      </c>
      <c r="F1547">
        <v>1.494</v>
      </c>
      <c r="G1547">
        <v>0</v>
      </c>
      <c r="H1547">
        <v>0.16700000000000001</v>
      </c>
      <c r="I1547">
        <v>2.3580000000000001</v>
      </c>
      <c r="K1547">
        <v>1545</v>
      </c>
      <c r="L1547">
        <v>30</v>
      </c>
      <c r="M1547" s="32">
        <v>1.5740000000000001</v>
      </c>
      <c r="N1547" s="47">
        <v>3.46</v>
      </c>
      <c r="P1547" s="32">
        <v>1.494</v>
      </c>
      <c r="R1547" s="32">
        <v>0.16700000000000001</v>
      </c>
      <c r="S1547" s="47">
        <v>2.355</v>
      </c>
      <c r="T1547" s="31">
        <v>0</v>
      </c>
      <c r="V1547">
        <v>1545</v>
      </c>
      <c r="W1547">
        <v>28</v>
      </c>
      <c r="X1547">
        <v>1.5860000000000001</v>
      </c>
      <c r="Y1547" s="32">
        <v>3.46</v>
      </c>
      <c r="Z1547">
        <v>0</v>
      </c>
      <c r="AA1547" s="32">
        <v>1.417</v>
      </c>
      <c r="AB1547">
        <v>0</v>
      </c>
      <c r="AC1547" s="34">
        <v>0.156</v>
      </c>
      <c r="AD1547" s="32">
        <v>2.2469999999999999</v>
      </c>
    </row>
    <row r="1548" spans="1:30">
      <c r="A1548">
        <v>1546</v>
      </c>
      <c r="B1548">
        <v>30</v>
      </c>
      <c r="C1548">
        <v>1.575</v>
      </c>
      <c r="D1548">
        <v>3.47</v>
      </c>
      <c r="E1548">
        <v>0</v>
      </c>
      <c r="F1548">
        <v>1.494</v>
      </c>
      <c r="G1548">
        <v>0</v>
      </c>
      <c r="H1548">
        <v>0.16700000000000001</v>
      </c>
      <c r="I1548">
        <v>2.36</v>
      </c>
      <c r="K1548">
        <v>1546</v>
      </c>
      <c r="L1548">
        <v>30</v>
      </c>
      <c r="M1548" s="32">
        <v>1.575</v>
      </c>
      <c r="N1548" s="47">
        <v>3.46</v>
      </c>
      <c r="P1548" s="47">
        <v>1.4950000000000001</v>
      </c>
      <c r="R1548" s="32">
        <v>0.16700000000000001</v>
      </c>
      <c r="S1548" s="47">
        <v>2.3570000000000002</v>
      </c>
      <c r="T1548" s="31">
        <v>0</v>
      </c>
      <c r="V1548">
        <v>1546</v>
      </c>
      <c r="W1548">
        <v>28</v>
      </c>
      <c r="X1548">
        <v>1.587</v>
      </c>
      <c r="Y1548" s="32">
        <v>3.46</v>
      </c>
      <c r="Z1548">
        <v>0</v>
      </c>
      <c r="AA1548" s="32">
        <v>1.417</v>
      </c>
      <c r="AB1548">
        <v>0</v>
      </c>
      <c r="AC1548" s="34">
        <v>0.156</v>
      </c>
      <c r="AD1548" s="32">
        <v>2.2490000000000001</v>
      </c>
    </row>
    <row r="1549" spans="1:30">
      <c r="A1549">
        <v>1547</v>
      </c>
      <c r="B1549">
        <v>30</v>
      </c>
      <c r="C1549">
        <v>1.5760000000000001</v>
      </c>
      <c r="D1549">
        <v>3.47</v>
      </c>
      <c r="E1549">
        <v>0</v>
      </c>
      <c r="F1549">
        <v>1.4950000000000001</v>
      </c>
      <c r="G1549">
        <v>0</v>
      </c>
      <c r="H1549">
        <v>0.16700000000000001</v>
      </c>
      <c r="I1549">
        <v>2.3610000000000002</v>
      </c>
      <c r="K1549">
        <v>1547</v>
      </c>
      <c r="L1549">
        <v>30</v>
      </c>
      <c r="M1549" s="32">
        <v>1.5760000000000001</v>
      </c>
      <c r="N1549" s="47">
        <v>3.46</v>
      </c>
      <c r="P1549" s="32">
        <v>1.4950000000000001</v>
      </c>
      <c r="R1549" s="32">
        <v>0.16700000000000001</v>
      </c>
      <c r="S1549" s="47">
        <v>2.3580000000000001</v>
      </c>
      <c r="T1549" s="31">
        <v>0</v>
      </c>
      <c r="V1549">
        <v>1547</v>
      </c>
      <c r="W1549">
        <v>28</v>
      </c>
      <c r="X1549">
        <v>1.5880000000000001</v>
      </c>
      <c r="Y1549" s="32">
        <v>3.46</v>
      </c>
      <c r="Z1549">
        <v>0</v>
      </c>
      <c r="AA1549" s="32">
        <v>1.417</v>
      </c>
      <c r="AB1549">
        <v>0</v>
      </c>
      <c r="AC1549" s="34">
        <v>0.156</v>
      </c>
      <c r="AD1549" s="32">
        <v>2.2509999999999999</v>
      </c>
    </row>
    <row r="1550" spans="1:30">
      <c r="A1550">
        <v>1548</v>
      </c>
      <c r="B1550">
        <v>30</v>
      </c>
      <c r="C1550">
        <v>1.577</v>
      </c>
      <c r="D1550">
        <v>3.47</v>
      </c>
      <c r="E1550">
        <v>0</v>
      </c>
      <c r="F1550">
        <v>1.4950000000000001</v>
      </c>
      <c r="G1550">
        <v>0</v>
      </c>
      <c r="H1550">
        <v>0.16700000000000001</v>
      </c>
      <c r="I1550">
        <v>2.363</v>
      </c>
      <c r="K1550">
        <v>1548</v>
      </c>
      <c r="L1550">
        <v>30</v>
      </c>
      <c r="M1550" s="32">
        <v>1.577</v>
      </c>
      <c r="N1550" s="47">
        <v>3.46</v>
      </c>
      <c r="P1550" s="32">
        <v>1.4950000000000001</v>
      </c>
      <c r="R1550" s="32">
        <v>0.16700000000000001</v>
      </c>
      <c r="S1550" s="47">
        <v>2.359</v>
      </c>
      <c r="T1550" s="31">
        <v>0</v>
      </c>
      <c r="V1550">
        <v>1548</v>
      </c>
      <c r="W1550">
        <v>28</v>
      </c>
      <c r="X1550">
        <v>1.589</v>
      </c>
      <c r="Y1550" s="32">
        <v>3.46</v>
      </c>
      <c r="Z1550">
        <v>0</v>
      </c>
      <c r="AA1550" s="32">
        <v>1.417</v>
      </c>
      <c r="AB1550">
        <v>0</v>
      </c>
      <c r="AC1550" s="34">
        <v>0.156</v>
      </c>
      <c r="AD1550" s="32">
        <v>2.2519999999999998</v>
      </c>
    </row>
    <row r="1551" spans="1:30">
      <c r="A1551">
        <v>1549</v>
      </c>
      <c r="B1551">
        <v>30</v>
      </c>
      <c r="C1551">
        <v>1.5780000000000001</v>
      </c>
      <c r="D1551">
        <v>3.48</v>
      </c>
      <c r="E1551">
        <v>0</v>
      </c>
      <c r="F1551">
        <v>1.4950000000000001</v>
      </c>
      <c r="G1551">
        <v>0</v>
      </c>
      <c r="H1551">
        <v>0.16700000000000001</v>
      </c>
      <c r="I1551">
        <v>2.3650000000000002</v>
      </c>
      <c r="K1551">
        <v>1549</v>
      </c>
      <c r="L1551">
        <v>30</v>
      </c>
      <c r="M1551" s="32">
        <v>1.5780000000000001</v>
      </c>
      <c r="N1551" s="47">
        <v>3.46</v>
      </c>
      <c r="P1551" s="32">
        <v>1.4950000000000001</v>
      </c>
      <c r="R1551" s="32">
        <v>0.16700000000000001</v>
      </c>
      <c r="S1551" s="47">
        <v>2.36</v>
      </c>
      <c r="T1551" s="31">
        <v>0</v>
      </c>
      <c r="V1551">
        <v>1549</v>
      </c>
      <c r="W1551">
        <v>28</v>
      </c>
      <c r="X1551">
        <v>1.59</v>
      </c>
      <c r="Y1551" s="32">
        <v>3.46</v>
      </c>
      <c r="Z1551">
        <v>0</v>
      </c>
      <c r="AA1551" s="32">
        <v>1.4179999999999999</v>
      </c>
      <c r="AB1551">
        <v>0</v>
      </c>
      <c r="AC1551" s="34">
        <v>0.156</v>
      </c>
      <c r="AD1551" s="32">
        <v>2.254</v>
      </c>
    </row>
    <row r="1552" spans="1:30">
      <c r="A1552">
        <v>1550</v>
      </c>
      <c r="B1552">
        <v>30</v>
      </c>
      <c r="C1552">
        <v>1.579</v>
      </c>
      <c r="D1552">
        <v>3.48</v>
      </c>
      <c r="E1552">
        <v>0</v>
      </c>
      <c r="F1552">
        <v>1.4950000000000001</v>
      </c>
      <c r="G1552">
        <v>0</v>
      </c>
      <c r="H1552">
        <v>0.16700000000000001</v>
      </c>
      <c r="I1552">
        <v>2.367</v>
      </c>
      <c r="K1552">
        <v>1550</v>
      </c>
      <c r="L1552">
        <v>30</v>
      </c>
      <c r="M1552" s="32">
        <v>1.579</v>
      </c>
      <c r="N1552" s="47">
        <v>3.46</v>
      </c>
      <c r="P1552" s="47">
        <v>1.496</v>
      </c>
      <c r="R1552" s="32">
        <v>0.16700000000000001</v>
      </c>
      <c r="S1552" s="47">
        <v>2.3620000000000001</v>
      </c>
      <c r="T1552" s="31">
        <v>0</v>
      </c>
      <c r="V1552">
        <v>1550</v>
      </c>
      <c r="W1552">
        <v>28</v>
      </c>
      <c r="X1552">
        <v>1.591</v>
      </c>
      <c r="Y1552" s="32">
        <v>3.46</v>
      </c>
      <c r="Z1552">
        <v>0</v>
      </c>
      <c r="AA1552" s="32">
        <v>1.4179999999999999</v>
      </c>
      <c r="AB1552">
        <v>0</v>
      </c>
      <c r="AC1552" s="34">
        <v>0.157</v>
      </c>
      <c r="AD1552" s="32">
        <v>2.2559999999999998</v>
      </c>
    </row>
    <row r="1553" spans="1:30">
      <c r="A1553">
        <v>1551</v>
      </c>
      <c r="B1553">
        <v>30</v>
      </c>
      <c r="C1553">
        <v>1.58</v>
      </c>
      <c r="D1553">
        <v>3.46</v>
      </c>
      <c r="E1553">
        <v>0</v>
      </c>
      <c r="F1553">
        <v>1.496</v>
      </c>
      <c r="G1553">
        <v>0</v>
      </c>
      <c r="H1553">
        <v>0.16700000000000001</v>
      </c>
      <c r="I1553">
        <v>2.363</v>
      </c>
      <c r="K1553">
        <v>1551</v>
      </c>
      <c r="L1553">
        <v>30</v>
      </c>
      <c r="M1553" s="32">
        <v>1.58</v>
      </c>
      <c r="N1553" s="32">
        <v>3.46</v>
      </c>
      <c r="P1553" s="32">
        <v>1.496</v>
      </c>
      <c r="R1553" s="32">
        <v>0.16700000000000001</v>
      </c>
      <c r="S1553" s="32">
        <v>2.363</v>
      </c>
      <c r="T1553" s="31">
        <v>0</v>
      </c>
      <c r="V1553">
        <v>1551</v>
      </c>
      <c r="W1553">
        <v>28</v>
      </c>
      <c r="X1553">
        <v>1.5920000000000001</v>
      </c>
      <c r="Y1553" s="32">
        <v>3.46</v>
      </c>
      <c r="Z1553">
        <v>0</v>
      </c>
      <c r="AA1553" s="32">
        <v>1.4179999999999999</v>
      </c>
      <c r="AB1553">
        <v>0</v>
      </c>
      <c r="AC1553" s="34">
        <v>0.157</v>
      </c>
      <c r="AD1553" s="32">
        <v>2.258</v>
      </c>
    </row>
    <row r="1554" spans="1:30">
      <c r="A1554">
        <v>1552</v>
      </c>
      <c r="B1554">
        <v>30</v>
      </c>
      <c r="C1554">
        <v>1.581</v>
      </c>
      <c r="D1554">
        <v>3.46</v>
      </c>
      <c r="E1554">
        <v>0</v>
      </c>
      <c r="F1554">
        <v>1.496</v>
      </c>
      <c r="G1554">
        <v>0</v>
      </c>
      <c r="H1554">
        <v>0.16700000000000001</v>
      </c>
      <c r="I1554">
        <v>2.3839999999999999</v>
      </c>
      <c r="K1554">
        <v>1552</v>
      </c>
      <c r="L1554">
        <v>30</v>
      </c>
      <c r="M1554" s="32">
        <v>1.581</v>
      </c>
      <c r="N1554" s="32">
        <v>3.46</v>
      </c>
      <c r="P1554" s="32">
        <v>1.496</v>
      </c>
      <c r="R1554" s="32">
        <v>0.16700000000000001</v>
      </c>
      <c r="S1554" s="47">
        <v>2.3650000000000002</v>
      </c>
      <c r="T1554" s="31">
        <v>0</v>
      </c>
      <c r="V1554">
        <v>1552</v>
      </c>
      <c r="W1554">
        <v>28</v>
      </c>
      <c r="X1554">
        <v>1.593</v>
      </c>
      <c r="Y1554" s="32">
        <v>3.46</v>
      </c>
      <c r="Z1554">
        <v>0</v>
      </c>
      <c r="AA1554" s="32">
        <v>1.4179999999999999</v>
      </c>
      <c r="AB1554">
        <v>0</v>
      </c>
      <c r="AC1554" s="34">
        <v>0.157</v>
      </c>
      <c r="AD1554" s="32">
        <v>2.2589999999999999</v>
      </c>
    </row>
    <row r="1555" spans="1:30">
      <c r="A1555">
        <v>1553</v>
      </c>
      <c r="B1555">
        <v>30</v>
      </c>
      <c r="C1555">
        <v>1.5820000000000001</v>
      </c>
      <c r="D1555">
        <v>3.46</v>
      </c>
      <c r="E1555">
        <v>0</v>
      </c>
      <c r="F1555">
        <v>1.496</v>
      </c>
      <c r="G1555">
        <v>0</v>
      </c>
      <c r="H1555">
        <v>0.16700000000000001</v>
      </c>
      <c r="I1555">
        <v>2.3860000000000001</v>
      </c>
      <c r="K1555">
        <v>1553</v>
      </c>
      <c r="L1555">
        <v>30</v>
      </c>
      <c r="M1555" s="32">
        <v>1.5820000000000001</v>
      </c>
      <c r="N1555" s="32">
        <v>3.46</v>
      </c>
      <c r="P1555" s="32">
        <v>1.496</v>
      </c>
      <c r="R1555" s="47">
        <v>0.16800000000000001</v>
      </c>
      <c r="S1555" s="47">
        <v>2.367</v>
      </c>
      <c r="T1555" s="31">
        <v>0</v>
      </c>
      <c r="V1555">
        <v>1553</v>
      </c>
      <c r="W1555">
        <v>28</v>
      </c>
      <c r="X1555">
        <v>1.5940000000000001</v>
      </c>
      <c r="Y1555" s="32">
        <v>3.46</v>
      </c>
      <c r="Z1555">
        <v>0</v>
      </c>
      <c r="AA1555" s="32">
        <v>1.419</v>
      </c>
      <c r="AB1555">
        <v>0</v>
      </c>
      <c r="AC1555" s="34">
        <v>0.157</v>
      </c>
      <c r="AD1555" s="32">
        <v>2.2610000000000001</v>
      </c>
    </row>
    <row r="1556" spans="1:30">
      <c r="A1556">
        <v>1554</v>
      </c>
      <c r="B1556">
        <v>30</v>
      </c>
      <c r="C1556">
        <v>1.583</v>
      </c>
      <c r="D1556">
        <v>3.46</v>
      </c>
      <c r="E1556">
        <v>0</v>
      </c>
      <c r="F1556">
        <v>1.496</v>
      </c>
      <c r="G1556">
        <v>0</v>
      </c>
      <c r="H1556">
        <v>0.16700000000000001</v>
      </c>
      <c r="I1556">
        <v>2.3879999999999999</v>
      </c>
      <c r="K1556">
        <v>1554</v>
      </c>
      <c r="L1556">
        <v>30</v>
      </c>
      <c r="M1556" s="32">
        <v>1.583</v>
      </c>
      <c r="N1556" s="32">
        <v>3.46</v>
      </c>
      <c r="P1556" s="47">
        <v>1.4970000000000001</v>
      </c>
      <c r="R1556" s="47">
        <v>0.16800000000000001</v>
      </c>
      <c r="S1556" s="47">
        <v>2.3690000000000002</v>
      </c>
      <c r="T1556" s="31">
        <v>0</v>
      </c>
      <c r="V1556">
        <v>1554</v>
      </c>
      <c r="W1556">
        <v>28</v>
      </c>
      <c r="X1556">
        <v>1.595</v>
      </c>
      <c r="Y1556" s="32">
        <v>3.46</v>
      </c>
      <c r="Z1556">
        <v>0</v>
      </c>
      <c r="AA1556" s="32">
        <v>1.419</v>
      </c>
      <c r="AB1556">
        <v>0</v>
      </c>
      <c r="AC1556" s="34">
        <v>0.157</v>
      </c>
      <c r="AD1556" s="32">
        <v>2.2629999999999999</v>
      </c>
    </row>
    <row r="1557" spans="1:30">
      <c r="A1557">
        <v>1555</v>
      </c>
      <c r="B1557">
        <v>30</v>
      </c>
      <c r="C1557">
        <v>1.5840000000000001</v>
      </c>
      <c r="D1557">
        <v>3.46</v>
      </c>
      <c r="E1557">
        <v>0</v>
      </c>
      <c r="F1557">
        <v>1.496</v>
      </c>
      <c r="G1557">
        <v>0</v>
      </c>
      <c r="H1557">
        <v>0.16700000000000001</v>
      </c>
      <c r="I1557">
        <v>2.39</v>
      </c>
      <c r="K1557">
        <v>1555</v>
      </c>
      <c r="L1557">
        <v>30</v>
      </c>
      <c r="M1557" s="32">
        <v>1.5840000000000001</v>
      </c>
      <c r="N1557" s="32">
        <v>3.46</v>
      </c>
      <c r="P1557" s="47">
        <v>1.4970000000000001</v>
      </c>
      <c r="R1557" s="47">
        <v>0.16800000000000001</v>
      </c>
      <c r="S1557" s="47">
        <v>2.371</v>
      </c>
      <c r="T1557" s="31">
        <v>0</v>
      </c>
      <c r="V1557">
        <v>1555</v>
      </c>
      <c r="W1557">
        <v>28</v>
      </c>
      <c r="X1557">
        <v>1.5960000000000001</v>
      </c>
      <c r="Y1557" s="32">
        <v>3.46</v>
      </c>
      <c r="Z1557">
        <v>0</v>
      </c>
      <c r="AA1557" s="32">
        <v>1.419</v>
      </c>
      <c r="AB1557">
        <v>0</v>
      </c>
      <c r="AC1557" s="34">
        <v>0.157</v>
      </c>
      <c r="AD1557" s="32">
        <v>2.2650000000000001</v>
      </c>
    </row>
    <row r="1558" spans="1:30">
      <c r="A1558">
        <v>1556</v>
      </c>
      <c r="B1558">
        <v>30</v>
      </c>
      <c r="C1558">
        <v>1.585</v>
      </c>
      <c r="D1558">
        <v>3.46</v>
      </c>
      <c r="E1558">
        <v>0</v>
      </c>
      <c r="F1558">
        <v>1.496</v>
      </c>
      <c r="G1558">
        <v>0</v>
      </c>
      <c r="H1558">
        <v>0.16700000000000001</v>
      </c>
      <c r="I1558">
        <v>2.3919999999999999</v>
      </c>
      <c r="K1558">
        <v>1556</v>
      </c>
      <c r="L1558">
        <v>30</v>
      </c>
      <c r="M1558" s="32">
        <v>1.585</v>
      </c>
      <c r="N1558" s="32">
        <v>3.46</v>
      </c>
      <c r="P1558" s="47">
        <v>1.4970000000000001</v>
      </c>
      <c r="R1558" s="47">
        <v>0.16800000000000001</v>
      </c>
      <c r="S1558" s="47">
        <v>2.3730000000000002</v>
      </c>
      <c r="T1558" s="31">
        <v>0</v>
      </c>
      <c r="V1558">
        <v>1556</v>
      </c>
      <c r="W1558">
        <v>28</v>
      </c>
      <c r="X1558">
        <v>1.597</v>
      </c>
      <c r="Y1558" s="32">
        <v>3.46</v>
      </c>
      <c r="Z1558">
        <v>0</v>
      </c>
      <c r="AA1558" s="32">
        <v>1.419</v>
      </c>
      <c r="AB1558">
        <v>0</v>
      </c>
      <c r="AC1558" s="34">
        <v>0.157</v>
      </c>
      <c r="AD1558" s="32">
        <v>2.2669999999999999</v>
      </c>
    </row>
    <row r="1559" spans="1:30">
      <c r="A1559">
        <v>1557</v>
      </c>
      <c r="B1559">
        <v>30</v>
      </c>
      <c r="C1559">
        <v>1.5860000000000001</v>
      </c>
      <c r="D1559">
        <v>3.46</v>
      </c>
      <c r="E1559">
        <v>0</v>
      </c>
      <c r="F1559">
        <v>1.496</v>
      </c>
      <c r="G1559">
        <v>0</v>
      </c>
      <c r="H1559">
        <v>0.16700000000000001</v>
      </c>
      <c r="I1559">
        <v>2.3929999999999998</v>
      </c>
      <c r="K1559">
        <v>1557</v>
      </c>
      <c r="L1559">
        <v>30</v>
      </c>
      <c r="M1559" s="32">
        <v>1.5860000000000001</v>
      </c>
      <c r="N1559" s="32">
        <v>3.46</v>
      </c>
      <c r="P1559" s="47">
        <v>1.4970000000000001</v>
      </c>
      <c r="R1559" s="47">
        <v>0.16800000000000001</v>
      </c>
      <c r="S1559" s="47">
        <v>2.3740000000000001</v>
      </c>
      <c r="T1559" s="31">
        <v>0</v>
      </c>
      <c r="V1559">
        <v>1557</v>
      </c>
      <c r="W1559">
        <v>28</v>
      </c>
      <c r="X1559">
        <v>1.5980000000000001</v>
      </c>
      <c r="Y1559" s="32">
        <v>3.46</v>
      </c>
      <c r="Z1559">
        <v>0</v>
      </c>
      <c r="AA1559" s="32">
        <v>1.419</v>
      </c>
      <c r="AB1559">
        <v>0</v>
      </c>
      <c r="AC1559" s="34">
        <v>0.157</v>
      </c>
      <c r="AD1559" s="32">
        <v>2.2679999999999998</v>
      </c>
    </row>
    <row r="1560" spans="1:30">
      <c r="A1560">
        <v>1558</v>
      </c>
      <c r="B1560">
        <v>30</v>
      </c>
      <c r="C1560">
        <v>1.587</v>
      </c>
      <c r="D1560">
        <v>3.46</v>
      </c>
      <c r="E1560">
        <v>0</v>
      </c>
      <c r="F1560">
        <v>1.496</v>
      </c>
      <c r="G1560">
        <v>0</v>
      </c>
      <c r="H1560">
        <v>0.16700000000000001</v>
      </c>
      <c r="I1560">
        <v>2.395</v>
      </c>
      <c r="K1560">
        <v>1558</v>
      </c>
      <c r="L1560">
        <v>30</v>
      </c>
      <c r="M1560" s="32">
        <v>1.587</v>
      </c>
      <c r="N1560" s="32">
        <v>3.46</v>
      </c>
      <c r="P1560" s="47">
        <v>1.4970000000000001</v>
      </c>
      <c r="R1560" s="47">
        <v>0.16800000000000001</v>
      </c>
      <c r="S1560" s="47">
        <v>2.3759999999999999</v>
      </c>
      <c r="T1560" s="31">
        <v>0</v>
      </c>
      <c r="V1560">
        <v>1558</v>
      </c>
      <c r="W1560">
        <v>28</v>
      </c>
      <c r="X1560">
        <v>1.599</v>
      </c>
      <c r="Y1560" s="32">
        <v>3.46</v>
      </c>
      <c r="Z1560">
        <v>0</v>
      </c>
      <c r="AA1560" s="32">
        <v>1.42</v>
      </c>
      <c r="AB1560">
        <v>0</v>
      </c>
      <c r="AC1560" s="34">
        <v>0.157</v>
      </c>
      <c r="AD1560" s="32">
        <v>2.27</v>
      </c>
    </row>
    <row r="1561" spans="1:30">
      <c r="A1561">
        <v>1559</v>
      </c>
      <c r="B1561">
        <v>30</v>
      </c>
      <c r="C1561">
        <v>1.5880000000000001</v>
      </c>
      <c r="D1561">
        <v>3.46</v>
      </c>
      <c r="E1561">
        <v>0</v>
      </c>
      <c r="F1561">
        <v>1.496</v>
      </c>
      <c r="G1561">
        <v>0</v>
      </c>
      <c r="H1561">
        <v>0.16700000000000001</v>
      </c>
      <c r="I1561">
        <v>2.3969999999999998</v>
      </c>
      <c r="K1561">
        <v>1559</v>
      </c>
      <c r="L1561">
        <v>30</v>
      </c>
      <c r="M1561" s="32">
        <v>1.5880000000000001</v>
      </c>
      <c r="N1561" s="32">
        <v>3.46</v>
      </c>
      <c r="P1561" s="47">
        <v>1.498</v>
      </c>
      <c r="R1561" s="47">
        <v>0.16800000000000001</v>
      </c>
      <c r="S1561" s="47">
        <v>2.3780000000000001</v>
      </c>
      <c r="T1561" s="31">
        <v>0</v>
      </c>
      <c r="V1561">
        <v>1559</v>
      </c>
      <c r="W1561">
        <v>28</v>
      </c>
      <c r="X1561">
        <v>1.6</v>
      </c>
      <c r="Y1561" s="32">
        <v>3.46</v>
      </c>
      <c r="Z1561">
        <v>0</v>
      </c>
      <c r="AA1561" s="32">
        <v>1.42</v>
      </c>
      <c r="AB1561">
        <v>0</v>
      </c>
      <c r="AC1561" s="34">
        <v>0.157</v>
      </c>
      <c r="AD1561" s="32">
        <v>2.2719999999999998</v>
      </c>
    </row>
    <row r="1562" spans="1:30">
      <c r="A1562">
        <v>1560</v>
      </c>
      <c r="B1562">
        <v>30</v>
      </c>
      <c r="C1562">
        <v>1.589</v>
      </c>
      <c r="D1562">
        <v>3.46</v>
      </c>
      <c r="E1562">
        <v>0</v>
      </c>
      <c r="F1562">
        <v>1.496</v>
      </c>
      <c r="G1562">
        <v>0</v>
      </c>
      <c r="H1562">
        <v>0.16700000000000001</v>
      </c>
      <c r="I1562">
        <v>2.399</v>
      </c>
      <c r="K1562">
        <v>1560</v>
      </c>
      <c r="L1562">
        <v>30</v>
      </c>
      <c r="M1562" s="32">
        <v>1.589</v>
      </c>
      <c r="N1562" s="32">
        <v>3.46</v>
      </c>
      <c r="P1562" s="47">
        <v>1.498</v>
      </c>
      <c r="R1562" s="47">
        <v>0.16800000000000001</v>
      </c>
      <c r="S1562" s="47">
        <v>2.38</v>
      </c>
      <c r="T1562" s="31">
        <v>0</v>
      </c>
      <c r="V1562">
        <v>1560</v>
      </c>
      <c r="W1562">
        <v>28</v>
      </c>
      <c r="X1562">
        <v>1.601</v>
      </c>
      <c r="Y1562" s="32">
        <v>3.46</v>
      </c>
      <c r="Z1562">
        <v>0</v>
      </c>
      <c r="AA1562" s="32">
        <v>1.42</v>
      </c>
      <c r="AB1562">
        <v>0</v>
      </c>
      <c r="AC1562" s="34">
        <v>0.157</v>
      </c>
      <c r="AD1562" s="32">
        <v>2.274</v>
      </c>
    </row>
    <row r="1563" spans="1:30">
      <c r="A1563">
        <v>1561</v>
      </c>
      <c r="B1563">
        <v>30</v>
      </c>
      <c r="C1563">
        <v>1.59</v>
      </c>
      <c r="D1563">
        <v>3.46</v>
      </c>
      <c r="E1563">
        <v>0</v>
      </c>
      <c r="F1563">
        <v>1.498</v>
      </c>
      <c r="G1563">
        <v>0</v>
      </c>
      <c r="H1563">
        <v>0.16700000000000001</v>
      </c>
      <c r="I1563">
        <v>2.3820000000000001</v>
      </c>
      <c r="K1563">
        <v>1561</v>
      </c>
      <c r="L1563">
        <v>30</v>
      </c>
      <c r="M1563" s="32">
        <v>1.59</v>
      </c>
      <c r="N1563" s="32">
        <v>3.46</v>
      </c>
      <c r="P1563" s="32">
        <v>1.498</v>
      </c>
      <c r="R1563" s="47">
        <v>0.16800000000000001</v>
      </c>
      <c r="S1563" s="32">
        <v>2.3820000000000001</v>
      </c>
      <c r="T1563" s="31">
        <v>0</v>
      </c>
      <c r="V1563">
        <v>1561</v>
      </c>
      <c r="W1563">
        <v>28</v>
      </c>
      <c r="X1563">
        <v>1.6020000000000001</v>
      </c>
      <c r="Y1563" s="32">
        <v>3.46</v>
      </c>
      <c r="Z1563">
        <v>0</v>
      </c>
      <c r="AA1563" s="32">
        <v>1.42</v>
      </c>
      <c r="AB1563">
        <v>0</v>
      </c>
      <c r="AC1563" s="34">
        <v>0.157</v>
      </c>
      <c r="AD1563" s="32">
        <v>2.2749999999999999</v>
      </c>
    </row>
    <row r="1564" spans="1:30">
      <c r="A1564">
        <v>1562</v>
      </c>
      <c r="B1564">
        <v>30</v>
      </c>
      <c r="C1564">
        <v>1.591</v>
      </c>
      <c r="D1564">
        <v>3.46</v>
      </c>
      <c r="E1564">
        <v>0</v>
      </c>
      <c r="F1564">
        <v>1.498</v>
      </c>
      <c r="G1564">
        <v>0</v>
      </c>
      <c r="H1564">
        <v>0.16700000000000001</v>
      </c>
      <c r="I1564">
        <v>2.4220000000000002</v>
      </c>
      <c r="K1564">
        <v>1562</v>
      </c>
      <c r="L1564">
        <v>30</v>
      </c>
      <c r="M1564" s="32">
        <v>1.591</v>
      </c>
      <c r="N1564" s="32">
        <v>3.46</v>
      </c>
      <c r="P1564" s="32">
        <v>1.498</v>
      </c>
      <c r="R1564" s="47">
        <v>0.16800000000000001</v>
      </c>
      <c r="S1564" s="47">
        <v>2.3839999999999999</v>
      </c>
      <c r="T1564" s="31">
        <v>0</v>
      </c>
      <c r="V1564">
        <v>1562</v>
      </c>
      <c r="W1564">
        <v>28</v>
      </c>
      <c r="X1564">
        <v>1.603</v>
      </c>
      <c r="Y1564" s="32">
        <v>3.46</v>
      </c>
      <c r="Z1564">
        <v>0</v>
      </c>
      <c r="AA1564" s="32">
        <v>1.421</v>
      </c>
      <c r="AB1564">
        <v>0</v>
      </c>
      <c r="AC1564" s="34">
        <v>0.157</v>
      </c>
      <c r="AD1564" s="32">
        <v>2.2770000000000001</v>
      </c>
    </row>
    <row r="1565" spans="1:30">
      <c r="A1565">
        <v>1563</v>
      </c>
      <c r="B1565">
        <v>30</v>
      </c>
      <c r="C1565">
        <v>1.5920000000000001</v>
      </c>
      <c r="D1565">
        <v>3.46</v>
      </c>
      <c r="E1565">
        <v>0</v>
      </c>
      <c r="F1565">
        <v>1.498</v>
      </c>
      <c r="G1565">
        <v>0</v>
      </c>
      <c r="H1565">
        <v>0.16700000000000001</v>
      </c>
      <c r="I1565">
        <v>2.4239999999999999</v>
      </c>
      <c r="K1565">
        <v>1563</v>
      </c>
      <c r="L1565">
        <v>30</v>
      </c>
      <c r="M1565" s="32">
        <v>1.5920000000000001</v>
      </c>
      <c r="N1565" s="32">
        <v>3.46</v>
      </c>
      <c r="P1565" s="47">
        <v>1.4990000000000001</v>
      </c>
      <c r="R1565" s="47">
        <v>0.16800000000000001</v>
      </c>
      <c r="S1565" s="47">
        <v>2.3860000000000001</v>
      </c>
      <c r="T1565" s="31">
        <v>0</v>
      </c>
      <c r="V1565">
        <v>1563</v>
      </c>
      <c r="W1565">
        <v>28</v>
      </c>
      <c r="X1565">
        <v>1.6040000000000001</v>
      </c>
      <c r="Y1565" s="32">
        <v>3.46</v>
      </c>
      <c r="Z1565">
        <v>0</v>
      </c>
      <c r="AA1565" s="32">
        <v>1.421</v>
      </c>
      <c r="AB1565">
        <v>0</v>
      </c>
      <c r="AC1565" s="34">
        <v>0.157</v>
      </c>
      <c r="AD1565" s="32">
        <v>2.2789999999999999</v>
      </c>
    </row>
    <row r="1566" spans="1:30">
      <c r="A1566">
        <v>1564</v>
      </c>
      <c r="B1566">
        <v>30</v>
      </c>
      <c r="C1566">
        <v>1.593</v>
      </c>
      <c r="D1566">
        <v>3.46</v>
      </c>
      <c r="E1566">
        <v>0</v>
      </c>
      <c r="F1566">
        <v>1.498</v>
      </c>
      <c r="G1566">
        <v>0</v>
      </c>
      <c r="H1566">
        <v>0.16700000000000001</v>
      </c>
      <c r="I1566">
        <v>2.4260000000000002</v>
      </c>
      <c r="K1566">
        <v>1564</v>
      </c>
      <c r="L1566">
        <v>30</v>
      </c>
      <c r="M1566" s="32">
        <v>1.593</v>
      </c>
      <c r="N1566" s="32">
        <v>3.46</v>
      </c>
      <c r="P1566" s="47">
        <v>1.4990000000000001</v>
      </c>
      <c r="R1566" s="47">
        <v>0.16800000000000001</v>
      </c>
      <c r="S1566" s="47">
        <v>2.3879999999999999</v>
      </c>
      <c r="T1566" s="31">
        <v>0</v>
      </c>
      <c r="V1566">
        <v>1564</v>
      </c>
      <c r="W1566">
        <v>28</v>
      </c>
      <c r="X1566">
        <v>1.605</v>
      </c>
      <c r="Y1566" s="32">
        <v>3.46</v>
      </c>
      <c r="Z1566">
        <v>0</v>
      </c>
      <c r="AA1566" s="32">
        <v>1.421</v>
      </c>
      <c r="AB1566">
        <v>0</v>
      </c>
      <c r="AC1566" s="34">
        <v>0.157</v>
      </c>
      <c r="AD1566" s="32">
        <v>2.2810000000000001</v>
      </c>
    </row>
    <row r="1567" spans="1:30">
      <c r="A1567">
        <v>1565</v>
      </c>
      <c r="B1567">
        <v>30</v>
      </c>
      <c r="C1567">
        <v>1.5940000000000001</v>
      </c>
      <c r="D1567">
        <v>3.46</v>
      </c>
      <c r="E1567">
        <v>0</v>
      </c>
      <c r="F1567">
        <v>1.498</v>
      </c>
      <c r="G1567">
        <v>0</v>
      </c>
      <c r="H1567">
        <v>0.16700000000000001</v>
      </c>
      <c r="I1567">
        <v>2.4279999999999999</v>
      </c>
      <c r="K1567">
        <v>1565</v>
      </c>
      <c r="L1567">
        <v>30</v>
      </c>
      <c r="M1567" s="32">
        <v>1.5940000000000001</v>
      </c>
      <c r="N1567" s="32">
        <v>3.46</v>
      </c>
      <c r="P1567" s="47">
        <v>1.4990000000000001</v>
      </c>
      <c r="R1567" s="47">
        <v>0.16800000000000001</v>
      </c>
      <c r="S1567" s="47">
        <v>2.39</v>
      </c>
      <c r="T1567" s="31">
        <v>0</v>
      </c>
      <c r="V1567">
        <v>1565</v>
      </c>
      <c r="W1567">
        <v>28</v>
      </c>
      <c r="X1567">
        <v>1.6060000000000001</v>
      </c>
      <c r="Y1567" s="32">
        <v>3.46</v>
      </c>
      <c r="Z1567">
        <v>0</v>
      </c>
      <c r="AA1567" s="32">
        <v>1.421</v>
      </c>
      <c r="AB1567">
        <v>0</v>
      </c>
      <c r="AC1567" s="34">
        <v>0.158</v>
      </c>
      <c r="AD1567" s="32">
        <v>2.2829999999999999</v>
      </c>
    </row>
    <row r="1568" spans="1:30">
      <c r="A1568">
        <v>1566</v>
      </c>
      <c r="B1568">
        <v>30</v>
      </c>
      <c r="C1568">
        <v>1.595</v>
      </c>
      <c r="D1568">
        <v>3.46</v>
      </c>
      <c r="E1568">
        <v>0</v>
      </c>
      <c r="F1568">
        <v>1.498</v>
      </c>
      <c r="G1568">
        <v>0</v>
      </c>
      <c r="H1568">
        <v>0.16700000000000001</v>
      </c>
      <c r="I1568">
        <v>2.4300000000000002</v>
      </c>
      <c r="K1568">
        <v>1566</v>
      </c>
      <c r="L1568">
        <v>30</v>
      </c>
      <c r="M1568" s="32">
        <v>1.595</v>
      </c>
      <c r="N1568" s="32">
        <v>3.46</v>
      </c>
      <c r="P1568" s="47">
        <v>1.5</v>
      </c>
      <c r="R1568" s="47">
        <v>0.16800000000000001</v>
      </c>
      <c r="S1568" s="47">
        <v>2.3919999999999999</v>
      </c>
      <c r="T1568" s="31">
        <v>0</v>
      </c>
      <c r="V1568">
        <v>1566</v>
      </c>
      <c r="W1568">
        <v>28</v>
      </c>
      <c r="X1568">
        <v>1.607</v>
      </c>
      <c r="Y1568" s="32">
        <v>3.46</v>
      </c>
      <c r="Z1568">
        <v>0</v>
      </c>
      <c r="AA1568" s="32">
        <v>1.4219999999999999</v>
      </c>
      <c r="AB1568">
        <v>0</v>
      </c>
      <c r="AC1568" s="34">
        <v>0.158</v>
      </c>
      <c r="AD1568" s="32">
        <v>2.2839999999999998</v>
      </c>
    </row>
    <row r="1569" spans="1:30">
      <c r="A1569">
        <v>1567</v>
      </c>
      <c r="B1569">
        <v>30</v>
      </c>
      <c r="C1569">
        <v>1.5960000000000001</v>
      </c>
      <c r="D1569">
        <v>3.46</v>
      </c>
      <c r="E1569">
        <v>0</v>
      </c>
      <c r="F1569">
        <v>1.498</v>
      </c>
      <c r="G1569">
        <v>0</v>
      </c>
      <c r="H1569">
        <v>0.16700000000000001</v>
      </c>
      <c r="I1569">
        <v>2.431</v>
      </c>
      <c r="K1569">
        <v>1567</v>
      </c>
      <c r="L1569">
        <v>30</v>
      </c>
      <c r="M1569" s="32">
        <v>1.5960000000000001</v>
      </c>
      <c r="N1569" s="32">
        <v>3.46</v>
      </c>
      <c r="P1569" s="47">
        <v>1.5</v>
      </c>
      <c r="R1569" s="47">
        <v>0.16800000000000001</v>
      </c>
      <c r="S1569" s="47">
        <v>2.3940000000000001</v>
      </c>
      <c r="T1569" s="31">
        <v>0</v>
      </c>
      <c r="V1569">
        <v>1567</v>
      </c>
      <c r="W1569">
        <v>28</v>
      </c>
      <c r="X1569">
        <v>1.6080000000000001</v>
      </c>
      <c r="Y1569" s="32">
        <v>3.46</v>
      </c>
      <c r="Z1569">
        <v>0</v>
      </c>
      <c r="AA1569" s="32">
        <v>1.4219999999999999</v>
      </c>
      <c r="AB1569">
        <v>0</v>
      </c>
      <c r="AC1569" s="34">
        <v>0.158</v>
      </c>
      <c r="AD1569" s="32">
        <v>2.286</v>
      </c>
    </row>
    <row r="1570" spans="1:30">
      <c r="A1570">
        <v>1568</v>
      </c>
      <c r="B1570">
        <v>30</v>
      </c>
      <c r="C1570">
        <v>1.597</v>
      </c>
      <c r="D1570">
        <v>3.46</v>
      </c>
      <c r="E1570">
        <v>0</v>
      </c>
      <c r="F1570">
        <v>1.498</v>
      </c>
      <c r="G1570">
        <v>0</v>
      </c>
      <c r="H1570">
        <v>0.16700000000000001</v>
      </c>
      <c r="I1570">
        <v>2.4329999999999998</v>
      </c>
      <c r="K1570">
        <v>1568</v>
      </c>
      <c r="L1570">
        <v>30</v>
      </c>
      <c r="M1570" s="32">
        <v>1.597</v>
      </c>
      <c r="N1570" s="32">
        <v>3.46</v>
      </c>
      <c r="P1570" s="47">
        <v>1.5</v>
      </c>
      <c r="R1570" s="47">
        <v>0.16800000000000001</v>
      </c>
      <c r="S1570" s="47">
        <v>2.3959999999999999</v>
      </c>
      <c r="T1570" s="31">
        <v>0</v>
      </c>
      <c r="V1570">
        <v>1568</v>
      </c>
      <c r="W1570">
        <v>28</v>
      </c>
      <c r="X1570">
        <v>1.609</v>
      </c>
      <c r="Y1570" s="32">
        <v>3.46</v>
      </c>
      <c r="Z1570">
        <v>0</v>
      </c>
      <c r="AA1570" s="32">
        <v>1.4219999999999999</v>
      </c>
      <c r="AB1570">
        <v>0</v>
      </c>
      <c r="AC1570" s="34">
        <v>0.158</v>
      </c>
      <c r="AD1570" s="32">
        <v>2.2879999999999998</v>
      </c>
    </row>
    <row r="1571" spans="1:30">
      <c r="A1571">
        <v>1569</v>
      </c>
      <c r="B1571">
        <v>30</v>
      </c>
      <c r="C1571">
        <v>1.5980000000000001</v>
      </c>
      <c r="D1571">
        <v>3.46</v>
      </c>
      <c r="E1571">
        <v>0</v>
      </c>
      <c r="F1571">
        <v>1.498</v>
      </c>
      <c r="G1571">
        <v>0</v>
      </c>
      <c r="H1571">
        <v>0.16700000000000001</v>
      </c>
      <c r="I1571">
        <v>2.4350000000000001</v>
      </c>
      <c r="K1571">
        <v>1569</v>
      </c>
      <c r="L1571">
        <v>30</v>
      </c>
      <c r="M1571" s="32">
        <v>1.5980000000000001</v>
      </c>
      <c r="N1571" s="32">
        <v>3.46</v>
      </c>
      <c r="P1571" s="47">
        <v>1.5</v>
      </c>
      <c r="R1571" s="47">
        <v>0.16800000000000001</v>
      </c>
      <c r="S1571" s="47">
        <v>2.3980000000000001</v>
      </c>
      <c r="T1571" s="31">
        <v>0</v>
      </c>
      <c r="V1571">
        <v>1569</v>
      </c>
      <c r="W1571">
        <v>28</v>
      </c>
      <c r="X1571">
        <v>1.61</v>
      </c>
      <c r="Y1571" s="32">
        <v>3.46</v>
      </c>
      <c r="Z1571">
        <v>0</v>
      </c>
      <c r="AA1571" s="32">
        <v>1.4219999999999999</v>
      </c>
      <c r="AB1571">
        <v>0</v>
      </c>
      <c r="AC1571" s="34">
        <v>0.158</v>
      </c>
      <c r="AD1571" s="32">
        <v>2.29</v>
      </c>
    </row>
    <row r="1572" spans="1:30">
      <c r="A1572">
        <v>1570</v>
      </c>
      <c r="B1572">
        <v>30</v>
      </c>
      <c r="C1572">
        <v>1.599</v>
      </c>
      <c r="D1572">
        <v>3.46</v>
      </c>
      <c r="E1572">
        <v>0</v>
      </c>
      <c r="F1572">
        <v>1.498</v>
      </c>
      <c r="G1572">
        <v>0</v>
      </c>
      <c r="H1572">
        <v>0.16700000000000001</v>
      </c>
      <c r="I1572">
        <v>2.4369999999999998</v>
      </c>
      <c r="K1572">
        <v>1570</v>
      </c>
      <c r="L1572">
        <v>30</v>
      </c>
      <c r="M1572" s="32">
        <v>1.599</v>
      </c>
      <c r="N1572" s="32">
        <v>3.46</v>
      </c>
      <c r="P1572" s="47">
        <v>1.5009999999999999</v>
      </c>
      <c r="R1572" s="47">
        <v>0.16800000000000001</v>
      </c>
      <c r="S1572" s="47">
        <v>2.4</v>
      </c>
      <c r="T1572" s="31">
        <v>0</v>
      </c>
      <c r="V1572">
        <v>1570</v>
      </c>
      <c r="W1572">
        <v>28</v>
      </c>
      <c r="X1572">
        <v>1.611</v>
      </c>
      <c r="Y1572" s="32">
        <v>3.46</v>
      </c>
      <c r="Z1572">
        <v>0</v>
      </c>
      <c r="AA1572" s="32">
        <v>1.423</v>
      </c>
      <c r="AB1572">
        <v>0</v>
      </c>
      <c r="AC1572" s="34">
        <v>0.158</v>
      </c>
      <c r="AD1572" s="32">
        <v>2.2909999999999999</v>
      </c>
    </row>
    <row r="1573" spans="1:30">
      <c r="A1573">
        <v>1571</v>
      </c>
      <c r="B1573">
        <v>30</v>
      </c>
      <c r="C1573">
        <v>1.6</v>
      </c>
      <c r="D1573">
        <v>3.46</v>
      </c>
      <c r="E1573">
        <v>0</v>
      </c>
      <c r="F1573">
        <v>1.5009999999999999</v>
      </c>
      <c r="G1573">
        <v>0</v>
      </c>
      <c r="H1573">
        <v>0.16700000000000001</v>
      </c>
      <c r="I1573">
        <v>2.4020000000000001</v>
      </c>
      <c r="K1573">
        <v>1571</v>
      </c>
      <c r="L1573">
        <v>30</v>
      </c>
      <c r="M1573" s="32">
        <v>1.6</v>
      </c>
      <c r="N1573" s="32">
        <v>3.46</v>
      </c>
      <c r="P1573" s="32">
        <v>1.5009999999999999</v>
      </c>
      <c r="R1573" s="47">
        <v>0.16800000000000001</v>
      </c>
      <c r="S1573" s="32">
        <v>2.4020000000000001</v>
      </c>
      <c r="T1573" s="31">
        <v>0</v>
      </c>
      <c r="V1573">
        <v>1571</v>
      </c>
      <c r="W1573">
        <v>28</v>
      </c>
      <c r="X1573">
        <v>1.6120000000000001</v>
      </c>
      <c r="Y1573" s="32">
        <v>3.46</v>
      </c>
      <c r="Z1573">
        <v>0</v>
      </c>
      <c r="AA1573" s="32">
        <v>1.423</v>
      </c>
      <c r="AB1573">
        <v>0</v>
      </c>
      <c r="AC1573" s="34">
        <v>0.158</v>
      </c>
      <c r="AD1573" s="32">
        <v>2.2930000000000001</v>
      </c>
    </row>
    <row r="1574" spans="1:30">
      <c r="A1574">
        <v>1572</v>
      </c>
      <c r="B1574">
        <v>30</v>
      </c>
      <c r="C1574">
        <v>1.601</v>
      </c>
      <c r="D1574">
        <v>3.46</v>
      </c>
      <c r="E1574">
        <v>0</v>
      </c>
      <c r="F1574">
        <v>1.5009999999999999</v>
      </c>
      <c r="G1574">
        <v>0</v>
      </c>
      <c r="H1574">
        <v>0.16700000000000001</v>
      </c>
      <c r="I1574">
        <v>2.4609999999999999</v>
      </c>
      <c r="K1574">
        <v>1572</v>
      </c>
      <c r="L1574">
        <v>30</v>
      </c>
      <c r="M1574" s="32">
        <v>1.601</v>
      </c>
      <c r="N1574" s="32">
        <v>3.46</v>
      </c>
      <c r="P1574" s="32">
        <v>1.5009999999999999</v>
      </c>
      <c r="R1574" s="47">
        <v>0.16800000000000001</v>
      </c>
      <c r="S1574" s="47">
        <v>2.4039999999999999</v>
      </c>
      <c r="T1574" s="31">
        <v>0</v>
      </c>
      <c r="V1574">
        <v>1572</v>
      </c>
      <c r="W1574">
        <v>29</v>
      </c>
      <c r="X1574">
        <v>1.613</v>
      </c>
      <c r="Y1574" s="32">
        <v>3.46</v>
      </c>
      <c r="Z1574">
        <v>0</v>
      </c>
      <c r="AA1574" s="32">
        <v>1.423</v>
      </c>
      <c r="AB1574">
        <v>0</v>
      </c>
      <c r="AC1574" s="34">
        <v>0.158</v>
      </c>
      <c r="AD1574" s="32">
        <v>2.2949999999999999</v>
      </c>
    </row>
    <row r="1575" spans="1:30">
      <c r="A1575">
        <v>1573</v>
      </c>
      <c r="B1575">
        <v>30</v>
      </c>
      <c r="C1575">
        <v>1.6020000000000001</v>
      </c>
      <c r="D1575">
        <v>3.46</v>
      </c>
      <c r="E1575">
        <v>0</v>
      </c>
      <c r="F1575">
        <v>1.5009999999999999</v>
      </c>
      <c r="G1575">
        <v>0</v>
      </c>
      <c r="H1575">
        <v>0.16700000000000001</v>
      </c>
      <c r="I1575">
        <v>2.4630000000000001</v>
      </c>
      <c r="K1575">
        <v>1573</v>
      </c>
      <c r="L1575">
        <v>30</v>
      </c>
      <c r="M1575" s="32">
        <v>1.6020000000000001</v>
      </c>
      <c r="N1575" s="32">
        <v>3.46</v>
      </c>
      <c r="P1575" s="47">
        <v>1.502</v>
      </c>
      <c r="R1575" s="47">
        <v>0.16800000000000001</v>
      </c>
      <c r="S1575" s="47">
        <v>2.4060000000000001</v>
      </c>
      <c r="T1575" s="31">
        <v>0</v>
      </c>
      <c r="V1575">
        <v>1573</v>
      </c>
      <c r="W1575">
        <v>29</v>
      </c>
      <c r="X1575">
        <v>1.6140000000000001</v>
      </c>
      <c r="Y1575" s="32">
        <v>3.46</v>
      </c>
      <c r="Z1575">
        <v>0</v>
      </c>
      <c r="AA1575" s="32">
        <v>1.423</v>
      </c>
      <c r="AB1575">
        <v>0</v>
      </c>
      <c r="AC1575" s="34">
        <v>0.158</v>
      </c>
      <c r="AD1575" s="32">
        <v>2.2970000000000002</v>
      </c>
    </row>
    <row r="1576" spans="1:30">
      <c r="A1576">
        <v>1574</v>
      </c>
      <c r="B1576">
        <v>30</v>
      </c>
      <c r="C1576">
        <v>1.603</v>
      </c>
      <c r="D1576">
        <v>3.46</v>
      </c>
      <c r="E1576">
        <v>0</v>
      </c>
      <c r="F1576">
        <v>1.5009999999999999</v>
      </c>
      <c r="G1576">
        <v>0</v>
      </c>
      <c r="H1576">
        <v>0.16700000000000001</v>
      </c>
      <c r="I1576">
        <v>2.4649999999999999</v>
      </c>
      <c r="K1576">
        <v>1574</v>
      </c>
      <c r="L1576">
        <v>30</v>
      </c>
      <c r="M1576" s="32">
        <v>1.603</v>
      </c>
      <c r="N1576" s="32">
        <v>3.46</v>
      </c>
      <c r="P1576" s="47">
        <v>1.502</v>
      </c>
      <c r="R1576" s="47">
        <v>0.16800000000000001</v>
      </c>
      <c r="S1576" s="47">
        <v>2.4079999999999999</v>
      </c>
      <c r="T1576" s="31">
        <v>0</v>
      </c>
      <c r="V1576">
        <v>1574</v>
      </c>
      <c r="W1576">
        <v>29</v>
      </c>
      <c r="X1576">
        <v>1.615</v>
      </c>
      <c r="Y1576" s="32">
        <v>3.46</v>
      </c>
      <c r="Z1576">
        <v>0</v>
      </c>
      <c r="AA1576" s="32">
        <v>1.423</v>
      </c>
      <c r="AB1576">
        <v>0</v>
      </c>
      <c r="AC1576" s="34">
        <v>0.158</v>
      </c>
      <c r="AD1576" s="32">
        <v>2.2989999999999999</v>
      </c>
    </row>
    <row r="1577" spans="1:30">
      <c r="A1577">
        <v>1575</v>
      </c>
      <c r="B1577">
        <v>30</v>
      </c>
      <c r="C1577">
        <v>1.6040000000000001</v>
      </c>
      <c r="D1577">
        <v>3.46</v>
      </c>
      <c r="E1577">
        <v>0</v>
      </c>
      <c r="F1577">
        <v>1.5009999999999999</v>
      </c>
      <c r="G1577">
        <v>0</v>
      </c>
      <c r="H1577">
        <v>0.16700000000000001</v>
      </c>
      <c r="I1577">
        <v>2.4670000000000001</v>
      </c>
      <c r="K1577">
        <v>1575</v>
      </c>
      <c r="L1577">
        <v>30</v>
      </c>
      <c r="M1577" s="32">
        <v>1.6040000000000001</v>
      </c>
      <c r="N1577" s="32">
        <v>3.46</v>
      </c>
      <c r="P1577" s="47">
        <v>1.502</v>
      </c>
      <c r="R1577" s="47">
        <v>0.16900000000000001</v>
      </c>
      <c r="S1577" s="47">
        <v>2.41</v>
      </c>
      <c r="T1577" s="31">
        <v>0</v>
      </c>
      <c r="V1577">
        <v>1575</v>
      </c>
      <c r="W1577">
        <v>29</v>
      </c>
      <c r="X1577">
        <v>1.6160000000000001</v>
      </c>
      <c r="Y1577" s="32">
        <v>3.46</v>
      </c>
      <c r="Z1577">
        <v>0</v>
      </c>
      <c r="AA1577" s="32">
        <v>1.4239999999999999</v>
      </c>
      <c r="AB1577">
        <v>0</v>
      </c>
      <c r="AC1577" s="34">
        <v>0.158</v>
      </c>
      <c r="AD1577" s="32">
        <v>2.2999999999999998</v>
      </c>
    </row>
    <row r="1578" spans="1:30">
      <c r="A1578">
        <v>1576</v>
      </c>
      <c r="B1578">
        <v>30</v>
      </c>
      <c r="C1578">
        <v>1.605</v>
      </c>
      <c r="D1578">
        <v>3.46</v>
      </c>
      <c r="E1578">
        <v>0</v>
      </c>
      <c r="F1578">
        <v>1.5009999999999999</v>
      </c>
      <c r="G1578">
        <v>0</v>
      </c>
      <c r="H1578">
        <v>0.16700000000000001</v>
      </c>
      <c r="I1578">
        <v>2.4689999999999999</v>
      </c>
      <c r="K1578">
        <v>1576</v>
      </c>
      <c r="L1578">
        <v>30</v>
      </c>
      <c r="M1578" s="32">
        <v>1.605</v>
      </c>
      <c r="N1578" s="32">
        <v>3.46</v>
      </c>
      <c r="P1578" s="47">
        <v>1.5029999999999999</v>
      </c>
      <c r="R1578" s="47">
        <v>0.16900000000000001</v>
      </c>
      <c r="S1578" s="47">
        <v>2.4119999999999999</v>
      </c>
      <c r="T1578" s="31">
        <v>0</v>
      </c>
      <c r="V1578">
        <v>1576</v>
      </c>
      <c r="W1578">
        <v>29</v>
      </c>
      <c r="X1578">
        <v>1.617</v>
      </c>
      <c r="Y1578" s="32">
        <v>3.46</v>
      </c>
      <c r="Z1578">
        <v>0</v>
      </c>
      <c r="AA1578" s="32">
        <v>1.4239999999999999</v>
      </c>
      <c r="AB1578">
        <v>0</v>
      </c>
      <c r="AC1578" s="34">
        <v>0.158</v>
      </c>
      <c r="AD1578" s="32">
        <v>2.302</v>
      </c>
    </row>
    <row r="1579" spans="1:30">
      <c r="A1579">
        <v>1577</v>
      </c>
      <c r="B1579">
        <v>30</v>
      </c>
      <c r="C1579">
        <v>1.6060000000000001</v>
      </c>
      <c r="D1579">
        <v>3.46</v>
      </c>
      <c r="E1579">
        <v>0</v>
      </c>
      <c r="F1579">
        <v>1.5009999999999999</v>
      </c>
      <c r="G1579">
        <v>0</v>
      </c>
      <c r="H1579">
        <v>0.16700000000000001</v>
      </c>
      <c r="I1579">
        <v>2.4700000000000002</v>
      </c>
      <c r="K1579">
        <v>1577</v>
      </c>
      <c r="L1579">
        <v>30</v>
      </c>
      <c r="M1579" s="32">
        <v>1.6060000000000001</v>
      </c>
      <c r="N1579" s="32">
        <v>3.46</v>
      </c>
      <c r="P1579" s="47">
        <v>1.5029999999999999</v>
      </c>
      <c r="R1579" s="47">
        <v>0.16900000000000001</v>
      </c>
      <c r="S1579" s="47">
        <v>2.4129999999999998</v>
      </c>
      <c r="T1579" s="31">
        <v>0</v>
      </c>
      <c r="V1579">
        <v>1577</v>
      </c>
      <c r="W1579">
        <v>29</v>
      </c>
      <c r="X1579">
        <v>1.6180000000000001</v>
      </c>
      <c r="Y1579" s="32">
        <v>3.46</v>
      </c>
      <c r="Z1579">
        <v>0</v>
      </c>
      <c r="AA1579" s="32">
        <v>1.4239999999999999</v>
      </c>
      <c r="AB1579">
        <v>0</v>
      </c>
      <c r="AC1579" s="34">
        <v>0.158</v>
      </c>
      <c r="AD1579" s="32">
        <v>2.3039999999999998</v>
      </c>
    </row>
    <row r="1580" spans="1:30">
      <c r="A1580">
        <v>1578</v>
      </c>
      <c r="B1580">
        <v>30</v>
      </c>
      <c r="C1580">
        <v>1.607</v>
      </c>
      <c r="D1580">
        <v>3.46</v>
      </c>
      <c r="E1580">
        <v>0</v>
      </c>
      <c r="F1580">
        <v>1.5009999999999999</v>
      </c>
      <c r="G1580">
        <v>0</v>
      </c>
      <c r="H1580">
        <v>0.16700000000000001</v>
      </c>
      <c r="I1580">
        <v>2.472</v>
      </c>
      <c r="K1580">
        <v>1578</v>
      </c>
      <c r="L1580">
        <v>30</v>
      </c>
      <c r="M1580" s="32">
        <v>1.607</v>
      </c>
      <c r="N1580" s="32">
        <v>3.46</v>
      </c>
      <c r="P1580" s="47">
        <v>1.5029999999999999</v>
      </c>
      <c r="R1580" s="47">
        <v>0.16900000000000001</v>
      </c>
      <c r="S1580" s="47">
        <v>2.415</v>
      </c>
      <c r="T1580" s="31">
        <v>0</v>
      </c>
      <c r="V1580">
        <v>1578</v>
      </c>
      <c r="W1580">
        <v>29</v>
      </c>
      <c r="X1580">
        <v>1.619</v>
      </c>
      <c r="Y1580" s="32">
        <v>3.46</v>
      </c>
      <c r="Z1580">
        <v>0</v>
      </c>
      <c r="AA1580" s="32">
        <v>1.4239999999999999</v>
      </c>
      <c r="AB1580">
        <v>0</v>
      </c>
      <c r="AC1580" s="34">
        <v>0.158</v>
      </c>
      <c r="AD1580" s="32">
        <v>2.306</v>
      </c>
    </row>
    <row r="1581" spans="1:30">
      <c r="A1581">
        <v>1579</v>
      </c>
      <c r="B1581">
        <v>30</v>
      </c>
      <c r="C1581">
        <v>1.6080000000000001</v>
      </c>
      <c r="D1581">
        <v>3.46</v>
      </c>
      <c r="E1581">
        <v>0</v>
      </c>
      <c r="F1581">
        <v>1.5009999999999999</v>
      </c>
      <c r="G1581">
        <v>0</v>
      </c>
      <c r="H1581">
        <v>0.16700000000000001</v>
      </c>
      <c r="I1581">
        <v>2.4740000000000002</v>
      </c>
      <c r="K1581">
        <v>1579</v>
      </c>
      <c r="L1581">
        <v>30</v>
      </c>
      <c r="M1581" s="32">
        <v>1.6080000000000001</v>
      </c>
      <c r="N1581" s="32">
        <v>3.46</v>
      </c>
      <c r="P1581" s="47">
        <v>1.5029999999999999</v>
      </c>
      <c r="R1581" s="47">
        <v>0.16900000000000001</v>
      </c>
      <c r="S1581" s="47">
        <v>2.4169999999999998</v>
      </c>
      <c r="T1581" s="31">
        <v>0</v>
      </c>
      <c r="V1581">
        <v>1579</v>
      </c>
      <c r="W1581">
        <v>29</v>
      </c>
      <c r="X1581">
        <v>1.62</v>
      </c>
      <c r="Y1581" s="32">
        <v>3.46</v>
      </c>
      <c r="Z1581">
        <v>0</v>
      </c>
      <c r="AA1581" s="32">
        <v>1.4239999999999999</v>
      </c>
      <c r="AB1581">
        <v>0</v>
      </c>
      <c r="AC1581" s="34">
        <v>0.158</v>
      </c>
      <c r="AD1581" s="32">
        <v>2.3069999999999999</v>
      </c>
    </row>
    <row r="1582" spans="1:30">
      <c r="A1582">
        <v>1580</v>
      </c>
      <c r="B1582">
        <v>30</v>
      </c>
      <c r="C1582">
        <v>1.609</v>
      </c>
      <c r="D1582">
        <v>3.46</v>
      </c>
      <c r="E1582">
        <v>0</v>
      </c>
      <c r="F1582">
        <v>1.5009999999999999</v>
      </c>
      <c r="G1582">
        <v>0</v>
      </c>
      <c r="H1582">
        <v>0.16700000000000001</v>
      </c>
      <c r="I1582">
        <v>2.476</v>
      </c>
      <c r="K1582">
        <v>1580</v>
      </c>
      <c r="L1582">
        <v>30</v>
      </c>
      <c r="M1582" s="32">
        <v>1.609</v>
      </c>
      <c r="N1582" s="32">
        <v>3.46</v>
      </c>
      <c r="P1582" s="47">
        <v>1.504</v>
      </c>
      <c r="R1582" s="47">
        <v>0.16900000000000001</v>
      </c>
      <c r="S1582" s="47">
        <v>2.419</v>
      </c>
      <c r="T1582" s="31">
        <v>0</v>
      </c>
      <c r="V1582">
        <v>1580</v>
      </c>
      <c r="W1582">
        <v>29</v>
      </c>
      <c r="X1582">
        <v>1.621</v>
      </c>
      <c r="Y1582" s="32">
        <v>3.46</v>
      </c>
      <c r="Z1582">
        <v>0</v>
      </c>
      <c r="AA1582" s="32">
        <v>1.425</v>
      </c>
      <c r="AB1582">
        <v>0</v>
      </c>
      <c r="AC1582" s="34">
        <v>0.158</v>
      </c>
      <c r="AD1582" s="32">
        <v>2.3090000000000002</v>
      </c>
    </row>
    <row r="1583" spans="1:30">
      <c r="A1583">
        <v>1581</v>
      </c>
      <c r="B1583">
        <v>30</v>
      </c>
      <c r="C1583">
        <v>1.61</v>
      </c>
      <c r="D1583">
        <v>3.46</v>
      </c>
      <c r="E1583">
        <v>0</v>
      </c>
      <c r="F1583">
        <v>1.504</v>
      </c>
      <c r="G1583">
        <v>0</v>
      </c>
      <c r="H1583">
        <v>0.16700000000000001</v>
      </c>
      <c r="I1583">
        <v>2.4209999999999998</v>
      </c>
      <c r="K1583">
        <v>1581</v>
      </c>
      <c r="L1583">
        <v>30</v>
      </c>
      <c r="M1583" s="32">
        <v>1.61</v>
      </c>
      <c r="N1583" s="32">
        <v>3.46</v>
      </c>
      <c r="P1583" s="32">
        <v>1.504</v>
      </c>
      <c r="R1583" s="47">
        <v>0.16900000000000001</v>
      </c>
      <c r="S1583" s="32">
        <v>2.4209999999999998</v>
      </c>
      <c r="T1583" s="31">
        <v>0</v>
      </c>
      <c r="V1583">
        <v>1581</v>
      </c>
      <c r="W1583">
        <v>29</v>
      </c>
      <c r="X1583">
        <v>1.6220000000000001</v>
      </c>
      <c r="Y1583" s="32">
        <v>3.46</v>
      </c>
      <c r="Z1583">
        <v>0</v>
      </c>
      <c r="AA1583" s="32">
        <v>1.425</v>
      </c>
      <c r="AB1583">
        <v>0</v>
      </c>
      <c r="AC1583" s="34">
        <v>0.158</v>
      </c>
      <c r="AD1583" s="32">
        <v>2.3109999999999999</v>
      </c>
    </row>
    <row r="1584" spans="1:30">
      <c r="A1584">
        <v>1582</v>
      </c>
      <c r="B1584">
        <v>30</v>
      </c>
      <c r="C1584">
        <v>1.611</v>
      </c>
      <c r="D1584">
        <v>3.46</v>
      </c>
      <c r="E1584">
        <v>0</v>
      </c>
      <c r="F1584">
        <v>1.504</v>
      </c>
      <c r="G1584">
        <v>0</v>
      </c>
      <c r="H1584">
        <v>0.16700000000000001</v>
      </c>
      <c r="I1584">
        <v>2.4990000000000001</v>
      </c>
      <c r="K1584">
        <v>1582</v>
      </c>
      <c r="L1584">
        <v>30</v>
      </c>
      <c r="M1584" s="32">
        <v>1.611</v>
      </c>
      <c r="N1584" s="32">
        <v>3.46</v>
      </c>
      <c r="P1584" s="32">
        <v>1.504</v>
      </c>
      <c r="R1584" s="47">
        <v>0.16900000000000001</v>
      </c>
      <c r="S1584" s="47">
        <v>2.423</v>
      </c>
      <c r="T1584" s="31">
        <v>0</v>
      </c>
      <c r="V1584">
        <v>1582</v>
      </c>
      <c r="W1584">
        <v>29</v>
      </c>
      <c r="X1584">
        <v>1.623</v>
      </c>
      <c r="Y1584" s="32">
        <v>3.46</v>
      </c>
      <c r="Z1584">
        <v>0</v>
      </c>
      <c r="AA1584" s="32">
        <v>1.425</v>
      </c>
      <c r="AB1584">
        <v>0</v>
      </c>
      <c r="AC1584" s="34">
        <v>0.159</v>
      </c>
      <c r="AD1584" s="32">
        <v>2.3130000000000002</v>
      </c>
    </row>
    <row r="1585" spans="1:30">
      <c r="A1585">
        <v>1583</v>
      </c>
      <c r="B1585">
        <v>30</v>
      </c>
      <c r="C1585">
        <v>1.6120000000000001</v>
      </c>
      <c r="D1585">
        <v>3.46</v>
      </c>
      <c r="E1585">
        <v>0</v>
      </c>
      <c r="F1585">
        <v>1.504</v>
      </c>
      <c r="G1585">
        <v>0</v>
      </c>
      <c r="H1585">
        <v>0.16700000000000001</v>
      </c>
      <c r="I1585">
        <v>2.5009999999999999</v>
      </c>
      <c r="K1585">
        <v>1583</v>
      </c>
      <c r="L1585">
        <v>30</v>
      </c>
      <c r="M1585" s="32">
        <v>1.6120000000000001</v>
      </c>
      <c r="N1585" s="32">
        <v>3.46</v>
      </c>
      <c r="P1585" s="32">
        <v>1.504</v>
      </c>
      <c r="R1585" s="47">
        <v>0.16900000000000001</v>
      </c>
      <c r="S1585" s="47">
        <v>2.4249999999999998</v>
      </c>
      <c r="T1585" s="31">
        <v>0</v>
      </c>
      <c r="V1585">
        <v>1583</v>
      </c>
      <c r="W1585">
        <v>29</v>
      </c>
      <c r="X1585">
        <v>1.6240000000000001</v>
      </c>
      <c r="Y1585" s="32">
        <v>3.46</v>
      </c>
      <c r="Z1585">
        <v>0</v>
      </c>
      <c r="AA1585" s="32">
        <v>1.425</v>
      </c>
      <c r="AB1585">
        <v>0</v>
      </c>
      <c r="AC1585" s="34">
        <v>0.159</v>
      </c>
      <c r="AD1585" s="32">
        <v>2.3140000000000001</v>
      </c>
    </row>
    <row r="1586" spans="1:30">
      <c r="A1586">
        <v>1584</v>
      </c>
      <c r="B1586">
        <v>30</v>
      </c>
      <c r="C1586">
        <v>1.613</v>
      </c>
      <c r="D1586">
        <v>3.46</v>
      </c>
      <c r="E1586">
        <v>0</v>
      </c>
      <c r="F1586">
        <v>1.504</v>
      </c>
      <c r="G1586">
        <v>0</v>
      </c>
      <c r="H1586">
        <v>0.16700000000000001</v>
      </c>
      <c r="I1586">
        <v>2.5030000000000001</v>
      </c>
      <c r="K1586">
        <v>1584</v>
      </c>
      <c r="L1586">
        <v>30</v>
      </c>
      <c r="M1586" s="32">
        <v>1.613</v>
      </c>
      <c r="N1586" s="32">
        <v>3.46</v>
      </c>
      <c r="P1586" s="47">
        <v>1.5049999999999999</v>
      </c>
      <c r="R1586" s="47">
        <v>0.16900000000000001</v>
      </c>
      <c r="S1586" s="47">
        <v>2.427</v>
      </c>
      <c r="T1586" s="31">
        <v>0</v>
      </c>
      <c r="V1586">
        <v>1584</v>
      </c>
      <c r="W1586">
        <v>29</v>
      </c>
      <c r="X1586">
        <v>1.625</v>
      </c>
      <c r="Y1586" s="32">
        <v>3.46</v>
      </c>
      <c r="Z1586">
        <v>0</v>
      </c>
      <c r="AA1586" s="32">
        <v>1.425</v>
      </c>
      <c r="AB1586">
        <v>0</v>
      </c>
      <c r="AC1586" s="34">
        <v>0.159</v>
      </c>
      <c r="AD1586" s="32">
        <v>2.3159999999999998</v>
      </c>
    </row>
    <row r="1587" spans="1:30">
      <c r="A1587">
        <v>1585</v>
      </c>
      <c r="B1587">
        <v>30</v>
      </c>
      <c r="C1587">
        <v>1.6140000000000001</v>
      </c>
      <c r="D1587">
        <v>3.46</v>
      </c>
      <c r="E1587">
        <v>0</v>
      </c>
      <c r="F1587">
        <v>1.504</v>
      </c>
      <c r="G1587">
        <v>0</v>
      </c>
      <c r="H1587">
        <v>0.16700000000000001</v>
      </c>
      <c r="I1587">
        <v>2.5049999999999999</v>
      </c>
      <c r="K1587">
        <v>1585</v>
      </c>
      <c r="L1587">
        <v>30</v>
      </c>
      <c r="M1587" s="32">
        <v>1.6140000000000001</v>
      </c>
      <c r="N1587" s="32">
        <v>3.46</v>
      </c>
      <c r="P1587" s="47">
        <v>1.5049999999999999</v>
      </c>
      <c r="R1587" s="47">
        <v>0.16900000000000001</v>
      </c>
      <c r="S1587" s="47">
        <v>2.4289999999999998</v>
      </c>
      <c r="T1587" s="31">
        <v>0</v>
      </c>
      <c r="V1587">
        <v>1585</v>
      </c>
      <c r="W1587">
        <v>29</v>
      </c>
      <c r="X1587">
        <v>1.6259999999999999</v>
      </c>
      <c r="Y1587" s="32">
        <v>3.46</v>
      </c>
      <c r="Z1587">
        <v>0</v>
      </c>
      <c r="AA1587" s="32">
        <v>1.4259999999999999</v>
      </c>
      <c r="AB1587">
        <v>0</v>
      </c>
      <c r="AC1587" s="34">
        <v>0.159</v>
      </c>
      <c r="AD1587" s="32">
        <v>2.3180000000000001</v>
      </c>
    </row>
    <row r="1588" spans="1:30">
      <c r="A1588">
        <v>1586</v>
      </c>
      <c r="B1588">
        <v>30</v>
      </c>
      <c r="C1588">
        <v>1.615</v>
      </c>
      <c r="D1588">
        <v>3.46</v>
      </c>
      <c r="E1588">
        <v>0</v>
      </c>
      <c r="F1588">
        <v>1.504</v>
      </c>
      <c r="G1588">
        <v>0</v>
      </c>
      <c r="H1588">
        <v>0.16700000000000001</v>
      </c>
      <c r="I1588">
        <v>2.5070000000000001</v>
      </c>
      <c r="K1588">
        <v>1586</v>
      </c>
      <c r="L1588">
        <v>30</v>
      </c>
      <c r="M1588" s="32">
        <v>1.615</v>
      </c>
      <c r="N1588" s="32">
        <v>3.46</v>
      </c>
      <c r="P1588" s="47">
        <v>1.5049999999999999</v>
      </c>
      <c r="R1588" s="47">
        <v>0.16900000000000001</v>
      </c>
      <c r="S1588" s="47">
        <v>2.431</v>
      </c>
      <c r="T1588" s="31">
        <v>0</v>
      </c>
      <c r="V1588">
        <v>1586</v>
      </c>
      <c r="W1588">
        <v>29</v>
      </c>
      <c r="X1588">
        <v>1.627</v>
      </c>
      <c r="Y1588" s="32">
        <v>3.46</v>
      </c>
      <c r="Z1588">
        <v>0</v>
      </c>
      <c r="AA1588" s="32">
        <v>1.4259999999999999</v>
      </c>
      <c r="AB1588">
        <v>0</v>
      </c>
      <c r="AC1588" s="34">
        <v>0.159</v>
      </c>
      <c r="AD1588" s="32">
        <v>2.3199999999999998</v>
      </c>
    </row>
    <row r="1589" spans="1:30">
      <c r="A1589">
        <v>1587</v>
      </c>
      <c r="B1589">
        <v>30</v>
      </c>
      <c r="C1589">
        <v>1.6160000000000001</v>
      </c>
      <c r="D1589">
        <v>3.46</v>
      </c>
      <c r="E1589">
        <v>0</v>
      </c>
      <c r="F1589">
        <v>1.504</v>
      </c>
      <c r="G1589">
        <v>0</v>
      </c>
      <c r="H1589">
        <v>0.16700000000000001</v>
      </c>
      <c r="I1589">
        <v>2.508</v>
      </c>
      <c r="K1589">
        <v>1587</v>
      </c>
      <c r="L1589">
        <v>30</v>
      </c>
      <c r="M1589" s="32">
        <v>1.6160000000000001</v>
      </c>
      <c r="N1589" s="32">
        <v>3.46</v>
      </c>
      <c r="P1589" s="47">
        <v>1.5049999999999999</v>
      </c>
      <c r="R1589" s="47">
        <v>0.16900000000000001</v>
      </c>
      <c r="S1589" s="47">
        <v>2.4319999999999999</v>
      </c>
      <c r="T1589" s="31">
        <v>0</v>
      </c>
      <c r="V1589">
        <v>1587</v>
      </c>
      <c r="W1589">
        <v>29</v>
      </c>
      <c r="X1589">
        <v>1.6279999999999999</v>
      </c>
      <c r="Y1589" s="32">
        <v>3.46</v>
      </c>
      <c r="Z1589">
        <v>0</v>
      </c>
      <c r="AA1589" s="32">
        <v>1.4259999999999999</v>
      </c>
      <c r="AB1589">
        <v>0</v>
      </c>
      <c r="AC1589" s="34">
        <v>0.159</v>
      </c>
      <c r="AD1589" s="32">
        <v>2.3220000000000001</v>
      </c>
    </row>
    <row r="1590" spans="1:30">
      <c r="A1590">
        <v>1588</v>
      </c>
      <c r="B1590">
        <v>30</v>
      </c>
      <c r="C1590">
        <v>1.617</v>
      </c>
      <c r="D1590">
        <v>3.46</v>
      </c>
      <c r="E1590">
        <v>0</v>
      </c>
      <c r="F1590">
        <v>1.504</v>
      </c>
      <c r="G1590">
        <v>0</v>
      </c>
      <c r="H1590">
        <v>0.16700000000000001</v>
      </c>
      <c r="I1590">
        <v>2.5099999999999998</v>
      </c>
      <c r="K1590">
        <v>1588</v>
      </c>
      <c r="L1590">
        <v>30</v>
      </c>
      <c r="M1590" s="32">
        <v>1.617</v>
      </c>
      <c r="N1590" s="32">
        <v>3.46</v>
      </c>
      <c r="P1590" s="47">
        <v>1.5049999999999999</v>
      </c>
      <c r="R1590" s="47">
        <v>0.16900000000000001</v>
      </c>
      <c r="S1590" s="47">
        <v>2.4340000000000002</v>
      </c>
      <c r="T1590" s="31">
        <v>0</v>
      </c>
      <c r="V1590">
        <v>1588</v>
      </c>
      <c r="W1590">
        <v>29</v>
      </c>
      <c r="X1590">
        <v>1.629</v>
      </c>
      <c r="Y1590" s="32">
        <v>3.46</v>
      </c>
      <c r="Z1590">
        <v>0</v>
      </c>
      <c r="AA1590" s="32">
        <v>1.4259999999999999</v>
      </c>
      <c r="AB1590">
        <v>0</v>
      </c>
      <c r="AC1590" s="34">
        <v>0.159</v>
      </c>
      <c r="AD1590" s="32">
        <v>2.323</v>
      </c>
    </row>
    <row r="1591" spans="1:30">
      <c r="A1591">
        <v>1589</v>
      </c>
      <c r="B1591">
        <v>30</v>
      </c>
      <c r="C1591">
        <v>1.6180000000000001</v>
      </c>
      <c r="D1591">
        <v>3.46</v>
      </c>
      <c r="E1591">
        <v>0</v>
      </c>
      <c r="F1591">
        <v>1.504</v>
      </c>
      <c r="G1591">
        <v>0</v>
      </c>
      <c r="H1591">
        <v>0.16700000000000001</v>
      </c>
      <c r="I1591">
        <v>2.512</v>
      </c>
      <c r="K1591">
        <v>1589</v>
      </c>
      <c r="L1591">
        <v>30</v>
      </c>
      <c r="M1591" s="32">
        <v>1.6180000000000001</v>
      </c>
      <c r="N1591" s="32">
        <v>3.46</v>
      </c>
      <c r="P1591" s="47">
        <v>1.506</v>
      </c>
      <c r="R1591" s="47">
        <v>0.16900000000000001</v>
      </c>
      <c r="S1591" s="47">
        <v>2.4359999999999999</v>
      </c>
      <c r="T1591" s="31">
        <v>0</v>
      </c>
      <c r="V1591">
        <v>1589</v>
      </c>
      <c r="W1591">
        <v>29</v>
      </c>
      <c r="X1591">
        <v>1.63</v>
      </c>
      <c r="Y1591" s="32">
        <v>3.46</v>
      </c>
      <c r="Z1591">
        <v>0</v>
      </c>
      <c r="AA1591" s="32">
        <v>1.427</v>
      </c>
      <c r="AB1591">
        <v>0</v>
      </c>
      <c r="AC1591" s="34">
        <v>0.159</v>
      </c>
      <c r="AD1591" s="32">
        <v>2.3250000000000002</v>
      </c>
    </row>
    <row r="1592" spans="1:30">
      <c r="A1592">
        <v>1590</v>
      </c>
      <c r="B1592">
        <v>30</v>
      </c>
      <c r="C1592">
        <v>1.619</v>
      </c>
      <c r="D1592">
        <v>3.46</v>
      </c>
      <c r="E1592">
        <v>0</v>
      </c>
      <c r="F1592">
        <v>1.504</v>
      </c>
      <c r="G1592">
        <v>0</v>
      </c>
      <c r="H1592">
        <v>0.16700000000000001</v>
      </c>
      <c r="I1592">
        <v>2.5139999999999998</v>
      </c>
      <c r="K1592">
        <v>1590</v>
      </c>
      <c r="L1592">
        <v>30</v>
      </c>
      <c r="M1592" s="32">
        <v>1.619</v>
      </c>
      <c r="N1592" s="32">
        <v>3.46</v>
      </c>
      <c r="P1592" s="47">
        <v>1.506</v>
      </c>
      <c r="R1592" s="47">
        <v>0.16900000000000001</v>
      </c>
      <c r="S1592" s="47">
        <v>2.4380000000000002</v>
      </c>
      <c r="T1592" s="31">
        <v>0</v>
      </c>
      <c r="V1592">
        <v>1590</v>
      </c>
      <c r="W1592">
        <v>29</v>
      </c>
      <c r="X1592">
        <v>1.631</v>
      </c>
      <c r="Y1592" s="32">
        <v>3.46</v>
      </c>
      <c r="Z1592">
        <v>0</v>
      </c>
      <c r="AA1592" s="32">
        <v>1.427</v>
      </c>
      <c r="AB1592">
        <v>0</v>
      </c>
      <c r="AC1592" s="34">
        <v>0.159</v>
      </c>
      <c r="AD1592" s="32">
        <v>2.327</v>
      </c>
    </row>
    <row r="1593" spans="1:30">
      <c r="A1593">
        <v>1591</v>
      </c>
      <c r="B1593">
        <v>30</v>
      </c>
      <c r="C1593">
        <v>1.62</v>
      </c>
      <c r="D1593">
        <v>3.46</v>
      </c>
      <c r="E1593">
        <v>0</v>
      </c>
      <c r="F1593">
        <v>1.506</v>
      </c>
      <c r="G1593">
        <v>0</v>
      </c>
      <c r="H1593">
        <v>0.16700000000000001</v>
      </c>
      <c r="I1593">
        <v>2.44</v>
      </c>
      <c r="K1593">
        <v>1591</v>
      </c>
      <c r="L1593">
        <v>30</v>
      </c>
      <c r="M1593" s="32">
        <v>1.62</v>
      </c>
      <c r="N1593" s="32">
        <v>3.46</v>
      </c>
      <c r="P1593" s="32">
        <v>1.506</v>
      </c>
      <c r="R1593" s="47">
        <v>0.16900000000000001</v>
      </c>
      <c r="S1593" s="32">
        <v>2.44</v>
      </c>
      <c r="T1593" s="31">
        <v>0</v>
      </c>
      <c r="V1593">
        <v>1591</v>
      </c>
      <c r="W1593">
        <v>29</v>
      </c>
      <c r="X1593">
        <v>1.6319999999999999</v>
      </c>
      <c r="Y1593" s="32">
        <v>3.46</v>
      </c>
      <c r="Z1593">
        <v>0</v>
      </c>
      <c r="AA1593" s="32">
        <v>1.427</v>
      </c>
      <c r="AB1593">
        <v>0</v>
      </c>
      <c r="AC1593" s="34">
        <v>0.159</v>
      </c>
      <c r="AD1593" s="32">
        <v>2.3290000000000002</v>
      </c>
    </row>
    <row r="1594" spans="1:30">
      <c r="A1594">
        <v>1592</v>
      </c>
      <c r="B1594">
        <v>30</v>
      </c>
      <c r="C1594">
        <v>1.621</v>
      </c>
      <c r="D1594">
        <v>3.46</v>
      </c>
      <c r="E1594">
        <v>0</v>
      </c>
      <c r="F1594">
        <v>1.506</v>
      </c>
      <c r="G1594">
        <v>0</v>
      </c>
      <c r="H1594">
        <v>0.16700000000000001</v>
      </c>
      <c r="I1594">
        <v>2.5369999999999999</v>
      </c>
      <c r="K1594">
        <v>1592</v>
      </c>
      <c r="L1594">
        <v>30</v>
      </c>
      <c r="M1594" s="32">
        <v>1.621</v>
      </c>
      <c r="N1594" s="32">
        <v>3.46</v>
      </c>
      <c r="P1594" s="32">
        <v>1.506</v>
      </c>
      <c r="R1594" s="47">
        <v>0.16900000000000001</v>
      </c>
      <c r="S1594" s="47">
        <v>2.4420000000000002</v>
      </c>
      <c r="T1594" s="31">
        <v>0</v>
      </c>
      <c r="V1594">
        <v>1592</v>
      </c>
      <c r="W1594">
        <v>29</v>
      </c>
      <c r="X1594">
        <v>1.633</v>
      </c>
      <c r="Y1594" s="32">
        <v>3.46</v>
      </c>
      <c r="Z1594">
        <v>0</v>
      </c>
      <c r="AA1594" s="32">
        <v>1.427</v>
      </c>
      <c r="AB1594">
        <v>0</v>
      </c>
      <c r="AC1594" s="34">
        <v>0.159</v>
      </c>
      <c r="AD1594" s="32">
        <v>2.33</v>
      </c>
    </row>
    <row r="1595" spans="1:30">
      <c r="A1595">
        <v>1593</v>
      </c>
      <c r="B1595">
        <v>30</v>
      </c>
      <c r="C1595">
        <v>1.6220000000000001</v>
      </c>
      <c r="D1595">
        <v>3.46</v>
      </c>
      <c r="E1595">
        <v>0</v>
      </c>
      <c r="F1595">
        <v>1.506</v>
      </c>
      <c r="G1595">
        <v>0</v>
      </c>
      <c r="H1595">
        <v>0.16700000000000001</v>
      </c>
      <c r="I1595">
        <v>2.5390000000000001</v>
      </c>
      <c r="K1595">
        <v>1593</v>
      </c>
      <c r="L1595">
        <v>30</v>
      </c>
      <c r="M1595" s="32">
        <v>1.6220000000000001</v>
      </c>
      <c r="N1595" s="32">
        <v>3.46</v>
      </c>
      <c r="P1595" s="47">
        <v>1.5069999999999999</v>
      </c>
      <c r="R1595" s="47">
        <v>0.16900000000000001</v>
      </c>
      <c r="S1595" s="47">
        <v>2.444</v>
      </c>
      <c r="T1595" s="31">
        <v>0</v>
      </c>
      <c r="V1595">
        <v>1593</v>
      </c>
      <c r="W1595">
        <v>29</v>
      </c>
      <c r="X1595">
        <v>1.6339999999999999</v>
      </c>
      <c r="Y1595" s="32">
        <v>3.46</v>
      </c>
      <c r="Z1595">
        <v>0</v>
      </c>
      <c r="AA1595" s="32">
        <v>1.427</v>
      </c>
      <c r="AB1595">
        <v>0</v>
      </c>
      <c r="AC1595" s="34">
        <v>0.159</v>
      </c>
      <c r="AD1595" s="32">
        <v>2.3319999999999999</v>
      </c>
    </row>
    <row r="1596" spans="1:30">
      <c r="A1596">
        <v>1594</v>
      </c>
      <c r="B1596">
        <v>30</v>
      </c>
      <c r="C1596">
        <v>1.623</v>
      </c>
      <c r="D1596">
        <v>3.46</v>
      </c>
      <c r="E1596">
        <v>0</v>
      </c>
      <c r="F1596">
        <v>1.506</v>
      </c>
      <c r="G1596">
        <v>0</v>
      </c>
      <c r="H1596">
        <v>0.16700000000000001</v>
      </c>
      <c r="I1596">
        <v>2.5409999999999999</v>
      </c>
      <c r="K1596">
        <v>1594</v>
      </c>
      <c r="L1596">
        <v>30</v>
      </c>
      <c r="M1596" s="32">
        <v>1.623</v>
      </c>
      <c r="N1596" s="32">
        <v>3.46</v>
      </c>
      <c r="P1596" s="47">
        <v>1.5069999999999999</v>
      </c>
      <c r="R1596" s="47">
        <v>0.16900000000000001</v>
      </c>
      <c r="S1596" s="47">
        <v>2.4460000000000002</v>
      </c>
      <c r="T1596" s="31">
        <v>0</v>
      </c>
      <c r="V1596">
        <v>1594</v>
      </c>
      <c r="W1596">
        <v>29</v>
      </c>
      <c r="X1596">
        <v>1.635</v>
      </c>
      <c r="Y1596" s="32">
        <v>3.46</v>
      </c>
      <c r="Z1596">
        <v>0</v>
      </c>
      <c r="AA1596" s="32">
        <v>1.4279999999999999</v>
      </c>
      <c r="AB1596">
        <v>0</v>
      </c>
      <c r="AC1596" s="34">
        <v>0.159</v>
      </c>
      <c r="AD1596" s="32">
        <v>2.3340000000000001</v>
      </c>
    </row>
    <row r="1597" spans="1:30">
      <c r="A1597">
        <v>1595</v>
      </c>
      <c r="B1597">
        <v>30</v>
      </c>
      <c r="C1597">
        <v>1.6240000000000001</v>
      </c>
      <c r="D1597">
        <v>3.46</v>
      </c>
      <c r="E1597">
        <v>0</v>
      </c>
      <c r="F1597">
        <v>1.506</v>
      </c>
      <c r="G1597">
        <v>0</v>
      </c>
      <c r="H1597">
        <v>0.16700000000000001</v>
      </c>
      <c r="I1597">
        <v>2.5430000000000001</v>
      </c>
      <c r="K1597">
        <v>1595</v>
      </c>
      <c r="L1597">
        <v>30</v>
      </c>
      <c r="M1597" s="32">
        <v>1.6240000000000001</v>
      </c>
      <c r="N1597" s="32">
        <v>3.46</v>
      </c>
      <c r="P1597" s="47">
        <v>1.5069999999999999</v>
      </c>
      <c r="R1597" s="47">
        <v>0.16900000000000001</v>
      </c>
      <c r="S1597" s="47">
        <v>2.448</v>
      </c>
      <c r="T1597" s="31">
        <v>0</v>
      </c>
      <c r="V1597">
        <v>1595</v>
      </c>
      <c r="W1597">
        <v>29</v>
      </c>
      <c r="X1597">
        <v>1.6359999999999999</v>
      </c>
      <c r="Y1597" s="32">
        <v>3.46</v>
      </c>
      <c r="Z1597">
        <v>0</v>
      </c>
      <c r="AA1597" s="32">
        <v>1.4279999999999999</v>
      </c>
      <c r="AB1597">
        <v>0</v>
      </c>
      <c r="AC1597" s="34">
        <v>0.159</v>
      </c>
      <c r="AD1597" s="32">
        <v>2.3359999999999999</v>
      </c>
    </row>
    <row r="1598" spans="1:30">
      <c r="A1598">
        <v>1596</v>
      </c>
      <c r="B1598">
        <v>30</v>
      </c>
      <c r="C1598">
        <v>1.625</v>
      </c>
      <c r="D1598">
        <v>3.46</v>
      </c>
      <c r="E1598">
        <v>0</v>
      </c>
      <c r="F1598">
        <v>1.506</v>
      </c>
      <c r="G1598">
        <v>0</v>
      </c>
      <c r="H1598">
        <v>0.16700000000000001</v>
      </c>
      <c r="I1598">
        <v>2.5449999999999999</v>
      </c>
      <c r="K1598">
        <v>1596</v>
      </c>
      <c r="L1598">
        <v>30</v>
      </c>
      <c r="M1598" s="32">
        <v>1.625</v>
      </c>
      <c r="N1598" s="32">
        <v>3.46</v>
      </c>
      <c r="P1598" s="47">
        <v>1.508</v>
      </c>
      <c r="R1598" s="47">
        <v>0.16900000000000001</v>
      </c>
      <c r="S1598" s="47">
        <v>2.4500000000000002</v>
      </c>
      <c r="T1598" s="31">
        <v>0</v>
      </c>
      <c r="V1598">
        <v>1596</v>
      </c>
      <c r="W1598">
        <v>29</v>
      </c>
      <c r="X1598">
        <v>1.637</v>
      </c>
      <c r="Y1598" s="32">
        <v>3.46</v>
      </c>
      <c r="Z1598">
        <v>0</v>
      </c>
      <c r="AA1598" s="32">
        <v>1.4279999999999999</v>
      </c>
      <c r="AB1598">
        <v>0</v>
      </c>
      <c r="AC1598" s="34">
        <v>0.159</v>
      </c>
      <c r="AD1598" s="32">
        <v>2.3380000000000001</v>
      </c>
    </row>
    <row r="1599" spans="1:30">
      <c r="A1599">
        <v>1597</v>
      </c>
      <c r="B1599">
        <v>30</v>
      </c>
      <c r="C1599">
        <v>1.6259999999999999</v>
      </c>
      <c r="D1599">
        <v>3.46</v>
      </c>
      <c r="E1599">
        <v>0</v>
      </c>
      <c r="F1599">
        <v>1.506</v>
      </c>
      <c r="G1599">
        <v>0</v>
      </c>
      <c r="H1599">
        <v>0.16700000000000001</v>
      </c>
      <c r="I1599">
        <v>2.5459999999999998</v>
      </c>
      <c r="K1599">
        <v>1597</v>
      </c>
      <c r="L1599">
        <v>30</v>
      </c>
      <c r="M1599" s="32">
        <v>1.6259999999999999</v>
      </c>
      <c r="N1599" s="32">
        <v>3.46</v>
      </c>
      <c r="P1599" s="47">
        <v>1.508</v>
      </c>
      <c r="R1599" s="47">
        <v>0.16900000000000001</v>
      </c>
      <c r="S1599" s="47">
        <v>2.452</v>
      </c>
      <c r="T1599" s="31">
        <v>0</v>
      </c>
      <c r="V1599">
        <v>1597</v>
      </c>
      <c r="W1599">
        <v>29</v>
      </c>
      <c r="X1599">
        <v>1.6379999999999999</v>
      </c>
      <c r="Y1599" s="32">
        <v>3.46</v>
      </c>
      <c r="Z1599">
        <v>0</v>
      </c>
      <c r="AA1599" s="32">
        <v>1.4279999999999999</v>
      </c>
      <c r="AB1599">
        <v>0</v>
      </c>
      <c r="AC1599" s="34">
        <v>0.159</v>
      </c>
      <c r="AD1599" s="32">
        <v>2.339</v>
      </c>
    </row>
    <row r="1600" spans="1:30">
      <c r="A1600">
        <v>1598</v>
      </c>
      <c r="B1600">
        <v>30</v>
      </c>
      <c r="C1600">
        <v>1.627</v>
      </c>
      <c r="D1600">
        <v>3.46</v>
      </c>
      <c r="E1600">
        <v>0</v>
      </c>
      <c r="F1600">
        <v>1.506</v>
      </c>
      <c r="G1600">
        <v>0</v>
      </c>
      <c r="H1600">
        <v>0.16700000000000001</v>
      </c>
      <c r="I1600">
        <v>2.548</v>
      </c>
      <c r="K1600">
        <v>1598</v>
      </c>
      <c r="L1600">
        <v>30</v>
      </c>
      <c r="M1600" s="32">
        <v>1.627</v>
      </c>
      <c r="N1600" s="32">
        <v>3.46</v>
      </c>
      <c r="P1600" s="47">
        <v>1.508</v>
      </c>
      <c r="R1600" s="47">
        <v>0.17</v>
      </c>
      <c r="S1600" s="47">
        <v>2.4540000000000002</v>
      </c>
      <c r="T1600" s="31">
        <v>0</v>
      </c>
      <c r="V1600">
        <v>1598</v>
      </c>
      <c r="W1600">
        <v>29</v>
      </c>
      <c r="X1600">
        <v>1.639</v>
      </c>
      <c r="Y1600" s="32">
        <v>3.46</v>
      </c>
      <c r="Z1600">
        <v>0</v>
      </c>
      <c r="AA1600" s="32">
        <v>1.4279999999999999</v>
      </c>
      <c r="AB1600">
        <v>0</v>
      </c>
      <c r="AC1600" s="34">
        <v>0.159</v>
      </c>
      <c r="AD1600" s="32">
        <v>2.3410000000000002</v>
      </c>
    </row>
    <row r="1601" spans="1:30">
      <c r="A1601">
        <v>1599</v>
      </c>
      <c r="B1601">
        <v>30</v>
      </c>
      <c r="C1601">
        <v>1.6279999999999999</v>
      </c>
      <c r="D1601">
        <v>3.46</v>
      </c>
      <c r="E1601">
        <v>0</v>
      </c>
      <c r="F1601">
        <v>1.506</v>
      </c>
      <c r="G1601">
        <v>0</v>
      </c>
      <c r="H1601">
        <v>0.16700000000000001</v>
      </c>
      <c r="I1601">
        <v>2.5499999999999998</v>
      </c>
      <c r="K1601">
        <v>1599</v>
      </c>
      <c r="L1601">
        <v>30</v>
      </c>
      <c r="M1601" s="32">
        <v>1.6279999999999999</v>
      </c>
      <c r="N1601" s="32">
        <v>3.46</v>
      </c>
      <c r="P1601" s="47">
        <v>1.508</v>
      </c>
      <c r="R1601" s="47">
        <v>0.17</v>
      </c>
      <c r="S1601" s="47">
        <v>2.456</v>
      </c>
      <c r="T1601" s="31">
        <v>0</v>
      </c>
      <c r="V1601">
        <v>1599</v>
      </c>
      <c r="W1601">
        <v>29</v>
      </c>
      <c r="X1601">
        <v>1.64</v>
      </c>
      <c r="Y1601" s="32">
        <v>3.46</v>
      </c>
      <c r="Z1601">
        <v>0</v>
      </c>
      <c r="AA1601" s="32">
        <v>1.429</v>
      </c>
      <c r="AB1601">
        <v>0</v>
      </c>
      <c r="AC1601" s="34">
        <v>0.159</v>
      </c>
      <c r="AD1601" s="32">
        <v>2.343</v>
      </c>
    </row>
    <row r="1602" spans="1:30">
      <c r="A1602">
        <v>1600</v>
      </c>
      <c r="B1602">
        <v>30</v>
      </c>
      <c r="C1602">
        <v>1.629</v>
      </c>
      <c r="D1602">
        <v>3.46</v>
      </c>
      <c r="E1602">
        <v>0</v>
      </c>
      <c r="F1602">
        <v>1.506</v>
      </c>
      <c r="G1602">
        <v>0</v>
      </c>
      <c r="H1602">
        <v>0.16700000000000001</v>
      </c>
      <c r="I1602">
        <v>2.552</v>
      </c>
      <c r="K1602">
        <v>1600</v>
      </c>
      <c r="L1602">
        <v>30</v>
      </c>
      <c r="M1602" s="32">
        <v>1.629</v>
      </c>
      <c r="N1602" s="32">
        <v>3.46</v>
      </c>
      <c r="P1602" s="47">
        <v>1.5089999999999999</v>
      </c>
      <c r="R1602" s="47">
        <v>0.17</v>
      </c>
      <c r="S1602" s="47">
        <v>2.4580000000000002</v>
      </c>
      <c r="T1602" s="31">
        <v>0</v>
      </c>
      <c r="V1602">
        <v>1600</v>
      </c>
      <c r="W1602">
        <v>29</v>
      </c>
      <c r="X1602">
        <v>1.641</v>
      </c>
      <c r="Y1602" s="32">
        <v>3.46</v>
      </c>
      <c r="Z1602">
        <v>0</v>
      </c>
      <c r="AA1602" s="32">
        <v>1.429</v>
      </c>
      <c r="AB1602">
        <v>0</v>
      </c>
      <c r="AC1602" s="34">
        <v>0.16</v>
      </c>
      <c r="AD1602" s="32">
        <v>2.3450000000000002</v>
      </c>
    </row>
    <row r="1603" spans="1:30">
      <c r="A1603">
        <v>1601</v>
      </c>
      <c r="B1603">
        <v>30</v>
      </c>
      <c r="C1603">
        <v>1.63</v>
      </c>
      <c r="D1603">
        <v>3.46</v>
      </c>
      <c r="E1603">
        <v>0</v>
      </c>
      <c r="F1603">
        <v>1.5089999999999999</v>
      </c>
      <c r="G1603">
        <v>0</v>
      </c>
      <c r="H1603">
        <v>0.16700000000000001</v>
      </c>
      <c r="I1603">
        <v>2.5739999999999998</v>
      </c>
      <c r="K1603">
        <v>1601</v>
      </c>
      <c r="L1603">
        <v>30</v>
      </c>
      <c r="M1603" s="32">
        <v>1.63</v>
      </c>
      <c r="N1603" s="32">
        <v>3.46</v>
      </c>
      <c r="P1603" s="32">
        <v>1.5089999999999999</v>
      </c>
      <c r="R1603" s="47">
        <v>0.17</v>
      </c>
      <c r="S1603" s="47">
        <v>2.46</v>
      </c>
      <c r="T1603" s="31">
        <v>0</v>
      </c>
      <c r="V1603">
        <v>1601</v>
      </c>
      <c r="W1603">
        <v>29</v>
      </c>
      <c r="X1603">
        <v>1.6419999999999999</v>
      </c>
      <c r="Y1603" s="32">
        <v>3.46</v>
      </c>
      <c r="Z1603">
        <v>0</v>
      </c>
      <c r="AA1603" s="32">
        <v>1.429</v>
      </c>
      <c r="AB1603">
        <v>0</v>
      </c>
      <c r="AC1603" s="34">
        <v>0.16</v>
      </c>
      <c r="AD1603" s="32">
        <v>2.3460000000000001</v>
      </c>
    </row>
    <row r="1604" spans="1:30">
      <c r="A1604">
        <v>1602</v>
      </c>
      <c r="B1604">
        <v>30</v>
      </c>
      <c r="C1604">
        <v>1.631</v>
      </c>
      <c r="D1604">
        <v>3.46</v>
      </c>
      <c r="E1604">
        <v>0</v>
      </c>
      <c r="F1604">
        <v>1.5089999999999999</v>
      </c>
      <c r="G1604">
        <v>0</v>
      </c>
      <c r="H1604">
        <v>0.16700000000000001</v>
      </c>
      <c r="I1604">
        <v>2.5760000000000001</v>
      </c>
      <c r="K1604">
        <v>1602</v>
      </c>
      <c r="L1604">
        <v>30</v>
      </c>
      <c r="M1604" s="32">
        <v>1.631</v>
      </c>
      <c r="N1604" s="32">
        <v>3.46</v>
      </c>
      <c r="P1604" s="32">
        <v>1.5089999999999999</v>
      </c>
      <c r="R1604" s="47">
        <v>0.17</v>
      </c>
      <c r="S1604" s="47">
        <v>2.4620000000000002</v>
      </c>
      <c r="T1604" s="31">
        <v>0</v>
      </c>
      <c r="V1604">
        <v>1602</v>
      </c>
      <c r="W1604">
        <v>29</v>
      </c>
      <c r="X1604">
        <v>1.643</v>
      </c>
      <c r="Y1604" s="32">
        <v>3.46</v>
      </c>
      <c r="Z1604">
        <v>0</v>
      </c>
      <c r="AA1604" s="32">
        <v>1.429</v>
      </c>
      <c r="AB1604">
        <v>0</v>
      </c>
      <c r="AC1604" s="34">
        <v>0.16</v>
      </c>
      <c r="AD1604" s="32">
        <v>2.3479999999999999</v>
      </c>
    </row>
    <row r="1605" spans="1:30">
      <c r="A1605">
        <v>1603</v>
      </c>
      <c r="B1605">
        <v>30</v>
      </c>
      <c r="C1605">
        <v>1.6319999999999999</v>
      </c>
      <c r="D1605">
        <v>3.46</v>
      </c>
      <c r="E1605">
        <v>0</v>
      </c>
      <c r="F1605">
        <v>1.5089999999999999</v>
      </c>
      <c r="G1605">
        <v>0</v>
      </c>
      <c r="H1605">
        <v>0.16700000000000001</v>
      </c>
      <c r="I1605">
        <v>2.5779999999999998</v>
      </c>
      <c r="K1605">
        <v>1603</v>
      </c>
      <c r="L1605">
        <v>30</v>
      </c>
      <c r="M1605" s="32">
        <v>1.6319999999999999</v>
      </c>
      <c r="N1605" s="32">
        <v>3.46</v>
      </c>
      <c r="P1605" s="47">
        <v>1.51</v>
      </c>
      <c r="R1605" s="47">
        <v>0.17</v>
      </c>
      <c r="S1605" s="47">
        <v>2.464</v>
      </c>
      <c r="T1605" s="31">
        <v>0</v>
      </c>
      <c r="V1605">
        <v>1603</v>
      </c>
      <c r="W1605">
        <v>29</v>
      </c>
      <c r="X1605">
        <v>1.6439999999999999</v>
      </c>
      <c r="Y1605" s="32">
        <v>3.46</v>
      </c>
      <c r="Z1605">
        <v>0</v>
      </c>
      <c r="AA1605" s="32">
        <v>1.429</v>
      </c>
      <c r="AB1605">
        <v>0</v>
      </c>
      <c r="AC1605" s="34">
        <v>0.16</v>
      </c>
      <c r="AD1605" s="32">
        <v>2.35</v>
      </c>
    </row>
    <row r="1606" spans="1:30">
      <c r="A1606">
        <v>1604</v>
      </c>
      <c r="B1606">
        <v>30</v>
      </c>
      <c r="C1606">
        <v>1.633</v>
      </c>
      <c r="D1606">
        <v>3.46</v>
      </c>
      <c r="E1606">
        <v>0</v>
      </c>
      <c r="F1606">
        <v>1.5089999999999999</v>
      </c>
      <c r="G1606">
        <v>0</v>
      </c>
      <c r="H1606">
        <v>0.16700000000000001</v>
      </c>
      <c r="I1606">
        <v>2.58</v>
      </c>
      <c r="K1606">
        <v>1604</v>
      </c>
      <c r="L1606">
        <v>30</v>
      </c>
      <c r="M1606" s="32">
        <v>1.633</v>
      </c>
      <c r="N1606" s="32">
        <v>3.46</v>
      </c>
      <c r="P1606" s="47">
        <v>1.51</v>
      </c>
      <c r="R1606" s="47">
        <v>0.17</v>
      </c>
      <c r="S1606" s="47">
        <v>2.4660000000000002</v>
      </c>
      <c r="T1606" s="31">
        <v>0</v>
      </c>
      <c r="V1606">
        <v>1604</v>
      </c>
      <c r="W1606">
        <v>29</v>
      </c>
      <c r="X1606">
        <v>1.645</v>
      </c>
      <c r="Y1606" s="32">
        <v>3.46</v>
      </c>
      <c r="Z1606">
        <v>0</v>
      </c>
      <c r="AA1606" s="32">
        <v>1.43</v>
      </c>
      <c r="AB1606">
        <v>0</v>
      </c>
      <c r="AC1606" s="34">
        <v>0.16</v>
      </c>
      <c r="AD1606" s="32">
        <v>2.3519999999999999</v>
      </c>
    </row>
    <row r="1607" spans="1:30">
      <c r="A1607">
        <v>1605</v>
      </c>
      <c r="B1607">
        <v>30</v>
      </c>
      <c r="C1607">
        <v>1.6339999999999999</v>
      </c>
      <c r="D1607">
        <v>3.46</v>
      </c>
      <c r="E1607">
        <v>0</v>
      </c>
      <c r="F1607">
        <v>1.5089999999999999</v>
      </c>
      <c r="G1607">
        <v>0</v>
      </c>
      <c r="H1607">
        <v>0.16700000000000001</v>
      </c>
      <c r="I1607">
        <v>2.5819999999999999</v>
      </c>
      <c r="K1607">
        <v>1605</v>
      </c>
      <c r="L1607">
        <v>30</v>
      </c>
      <c r="M1607" s="32">
        <v>1.6339999999999999</v>
      </c>
      <c r="N1607" s="32">
        <v>3.46</v>
      </c>
      <c r="P1607" s="47">
        <v>1.51</v>
      </c>
      <c r="R1607" s="47">
        <v>0.17</v>
      </c>
      <c r="S1607" s="47">
        <v>2.468</v>
      </c>
      <c r="T1607" s="31">
        <v>0</v>
      </c>
      <c r="V1607">
        <v>1605</v>
      </c>
      <c r="W1607">
        <v>29</v>
      </c>
      <c r="X1607">
        <v>1.6459999999999999</v>
      </c>
      <c r="Y1607" s="32">
        <v>3.46</v>
      </c>
      <c r="Z1607">
        <v>0</v>
      </c>
      <c r="AA1607" s="32">
        <v>1.43</v>
      </c>
      <c r="AB1607">
        <v>0</v>
      </c>
      <c r="AC1607" s="34">
        <v>0.16</v>
      </c>
      <c r="AD1607" s="32">
        <v>2.3530000000000002</v>
      </c>
    </row>
    <row r="1608" spans="1:30">
      <c r="A1608">
        <v>1606</v>
      </c>
      <c r="B1608">
        <v>30</v>
      </c>
      <c r="C1608">
        <v>1.635</v>
      </c>
      <c r="D1608">
        <v>3.46</v>
      </c>
      <c r="E1608">
        <v>0</v>
      </c>
      <c r="F1608">
        <v>1.5089999999999999</v>
      </c>
      <c r="G1608">
        <v>0</v>
      </c>
      <c r="H1608">
        <v>0.16700000000000001</v>
      </c>
      <c r="I1608">
        <v>2.5840000000000001</v>
      </c>
      <c r="K1608">
        <v>1606</v>
      </c>
      <c r="L1608">
        <v>30</v>
      </c>
      <c r="M1608" s="32">
        <v>1.635</v>
      </c>
      <c r="N1608" s="32">
        <v>3.46</v>
      </c>
      <c r="P1608" s="47">
        <v>1.5109999999999999</v>
      </c>
      <c r="R1608" s="47">
        <v>0.17</v>
      </c>
      <c r="S1608" s="47">
        <v>2.4700000000000002</v>
      </c>
      <c r="T1608" s="31">
        <v>0</v>
      </c>
      <c r="V1608">
        <v>1606</v>
      </c>
      <c r="W1608">
        <v>29</v>
      </c>
      <c r="X1608">
        <v>1.647</v>
      </c>
      <c r="Y1608" s="32">
        <v>3.46</v>
      </c>
      <c r="Z1608">
        <v>0</v>
      </c>
      <c r="AA1608" s="32">
        <v>1.43</v>
      </c>
      <c r="AB1608">
        <v>0</v>
      </c>
      <c r="AC1608" s="34">
        <v>0.16</v>
      </c>
      <c r="AD1608" s="32">
        <v>2.355</v>
      </c>
    </row>
    <row r="1609" spans="1:30">
      <c r="A1609">
        <v>1607</v>
      </c>
      <c r="B1609">
        <v>30</v>
      </c>
      <c r="C1609">
        <v>1.6359999999999999</v>
      </c>
      <c r="D1609">
        <v>3.46</v>
      </c>
      <c r="E1609">
        <v>0</v>
      </c>
      <c r="F1609">
        <v>1.5089999999999999</v>
      </c>
      <c r="G1609">
        <v>0</v>
      </c>
      <c r="H1609">
        <v>0.16700000000000001</v>
      </c>
      <c r="I1609">
        <v>2.585</v>
      </c>
      <c r="K1609">
        <v>1607</v>
      </c>
      <c r="L1609">
        <v>30</v>
      </c>
      <c r="M1609" s="32">
        <v>1.6359999999999999</v>
      </c>
      <c r="N1609" s="32">
        <v>3.46</v>
      </c>
      <c r="P1609" s="47">
        <v>1.5109999999999999</v>
      </c>
      <c r="R1609" s="47">
        <v>0.17</v>
      </c>
      <c r="S1609" s="47">
        <v>2.4710000000000001</v>
      </c>
      <c r="T1609" s="31">
        <v>0</v>
      </c>
      <c r="V1609">
        <v>1607</v>
      </c>
      <c r="W1609">
        <v>29</v>
      </c>
      <c r="X1609">
        <v>1.6479999999999999</v>
      </c>
      <c r="Y1609" s="32">
        <v>3.46</v>
      </c>
      <c r="Z1609">
        <v>0</v>
      </c>
      <c r="AA1609" s="32">
        <v>1.43</v>
      </c>
      <c r="AB1609">
        <v>0</v>
      </c>
      <c r="AC1609" s="34">
        <v>0.16</v>
      </c>
      <c r="AD1609" s="32">
        <v>2.3570000000000002</v>
      </c>
    </row>
    <row r="1610" spans="1:30">
      <c r="A1610">
        <v>1608</v>
      </c>
      <c r="B1610">
        <v>30</v>
      </c>
      <c r="C1610">
        <v>1.637</v>
      </c>
      <c r="D1610">
        <v>3.46</v>
      </c>
      <c r="E1610">
        <v>0</v>
      </c>
      <c r="F1610">
        <v>1.5089999999999999</v>
      </c>
      <c r="G1610">
        <v>0</v>
      </c>
      <c r="H1610">
        <v>0.16700000000000001</v>
      </c>
      <c r="I1610">
        <v>2.5870000000000002</v>
      </c>
      <c r="K1610">
        <v>1608</v>
      </c>
      <c r="L1610">
        <v>30</v>
      </c>
      <c r="M1610" s="32">
        <v>1.637</v>
      </c>
      <c r="N1610" s="32">
        <v>3.46</v>
      </c>
      <c r="P1610" s="47">
        <v>1.5109999999999999</v>
      </c>
      <c r="R1610" s="47">
        <v>0.17</v>
      </c>
      <c r="S1610" s="47">
        <v>2.4729999999999999</v>
      </c>
      <c r="T1610" s="31">
        <v>0</v>
      </c>
      <c r="V1610">
        <v>1608</v>
      </c>
      <c r="W1610">
        <v>29</v>
      </c>
      <c r="X1610">
        <v>1.649</v>
      </c>
      <c r="Y1610" s="32">
        <v>3.46</v>
      </c>
      <c r="Z1610">
        <v>0</v>
      </c>
      <c r="AA1610" s="32">
        <v>1.43</v>
      </c>
      <c r="AB1610">
        <v>0</v>
      </c>
      <c r="AC1610" s="34">
        <v>0.16</v>
      </c>
      <c r="AD1610" s="32">
        <v>2.359</v>
      </c>
    </row>
    <row r="1611" spans="1:30">
      <c r="A1611">
        <v>1609</v>
      </c>
      <c r="B1611">
        <v>30</v>
      </c>
      <c r="C1611">
        <v>1.6379999999999999</v>
      </c>
      <c r="D1611">
        <v>3.46</v>
      </c>
      <c r="E1611">
        <v>0</v>
      </c>
      <c r="F1611">
        <v>1.5089999999999999</v>
      </c>
      <c r="G1611">
        <v>0</v>
      </c>
      <c r="H1611">
        <v>0.16700000000000001</v>
      </c>
      <c r="I1611">
        <v>2.589</v>
      </c>
      <c r="K1611">
        <v>1609</v>
      </c>
      <c r="L1611">
        <v>30</v>
      </c>
      <c r="M1611" s="32">
        <v>1.6379999999999999</v>
      </c>
      <c r="N1611" s="32">
        <v>3.46</v>
      </c>
      <c r="P1611" s="47">
        <v>1.5109999999999999</v>
      </c>
      <c r="R1611" s="47">
        <v>0.17</v>
      </c>
      <c r="S1611" s="47">
        <v>2.4750000000000001</v>
      </c>
      <c r="T1611" s="31">
        <v>0</v>
      </c>
      <c r="V1611">
        <v>1609</v>
      </c>
      <c r="W1611">
        <v>29</v>
      </c>
      <c r="X1611">
        <v>1.65</v>
      </c>
      <c r="Y1611" s="32">
        <v>3.46</v>
      </c>
      <c r="Z1611">
        <v>0</v>
      </c>
      <c r="AA1611" s="32">
        <v>1.431</v>
      </c>
      <c r="AB1611">
        <v>0</v>
      </c>
      <c r="AC1611" s="34">
        <v>0.16</v>
      </c>
      <c r="AD1611" s="32">
        <v>2.3610000000000002</v>
      </c>
    </row>
    <row r="1612" spans="1:30">
      <c r="A1612">
        <v>1610</v>
      </c>
      <c r="B1612">
        <v>30</v>
      </c>
      <c r="C1612">
        <v>1.639</v>
      </c>
      <c r="D1612">
        <v>3.46</v>
      </c>
      <c r="E1612">
        <v>0</v>
      </c>
      <c r="F1612">
        <v>1.5089999999999999</v>
      </c>
      <c r="G1612">
        <v>0</v>
      </c>
      <c r="H1612">
        <v>0.16700000000000001</v>
      </c>
      <c r="I1612">
        <v>2.5910000000000002</v>
      </c>
      <c r="K1612">
        <v>1610</v>
      </c>
      <c r="L1612">
        <v>30</v>
      </c>
      <c r="M1612" s="32">
        <v>1.639</v>
      </c>
      <c r="N1612" s="32">
        <v>3.46</v>
      </c>
      <c r="P1612" s="47">
        <v>1.512</v>
      </c>
      <c r="R1612" s="47">
        <v>0.17</v>
      </c>
      <c r="S1612" s="47">
        <v>2.4769999999999999</v>
      </c>
      <c r="T1612" s="31">
        <v>0</v>
      </c>
      <c r="V1612">
        <v>1610</v>
      </c>
      <c r="W1612">
        <v>29</v>
      </c>
      <c r="X1612">
        <v>1.651</v>
      </c>
      <c r="Y1612" s="32">
        <v>3.4710000000000001</v>
      </c>
      <c r="Z1612">
        <v>0</v>
      </c>
      <c r="AA1612" s="32">
        <v>1.431</v>
      </c>
      <c r="AB1612">
        <v>0</v>
      </c>
      <c r="AC1612" s="34">
        <v>0.16</v>
      </c>
      <c r="AD1612" s="32">
        <v>2.3620000000000001</v>
      </c>
    </row>
    <row r="1613" spans="1:30">
      <c r="A1613">
        <v>1611</v>
      </c>
      <c r="B1613">
        <v>30</v>
      </c>
      <c r="C1613">
        <v>1.64</v>
      </c>
      <c r="D1613">
        <v>3.46</v>
      </c>
      <c r="E1613">
        <v>0</v>
      </c>
      <c r="F1613">
        <v>1.512</v>
      </c>
      <c r="G1613">
        <v>0</v>
      </c>
      <c r="H1613">
        <v>0.16700000000000001</v>
      </c>
      <c r="I1613">
        <v>2.6120000000000001</v>
      </c>
      <c r="K1613">
        <v>1611</v>
      </c>
      <c r="L1613">
        <v>30</v>
      </c>
      <c r="M1613" s="32">
        <v>1.64</v>
      </c>
      <c r="N1613" s="32">
        <v>3.46</v>
      </c>
      <c r="P1613" s="32">
        <v>1.512</v>
      </c>
      <c r="R1613" s="47">
        <v>0.17</v>
      </c>
      <c r="S1613" s="47">
        <v>2.4790000000000001</v>
      </c>
      <c r="T1613" s="31">
        <v>0</v>
      </c>
      <c r="V1613">
        <v>1611</v>
      </c>
      <c r="W1613">
        <v>29</v>
      </c>
      <c r="X1613">
        <v>1.6519999999999999</v>
      </c>
      <c r="Y1613" s="32">
        <v>3.4820000000000002</v>
      </c>
      <c r="Z1613">
        <v>0</v>
      </c>
      <c r="AA1613" s="32">
        <v>1.431</v>
      </c>
      <c r="AB1613">
        <v>0</v>
      </c>
      <c r="AC1613" s="34">
        <v>0.16</v>
      </c>
      <c r="AD1613" s="32">
        <v>2.3639999999999999</v>
      </c>
    </row>
    <row r="1614" spans="1:30">
      <c r="A1614">
        <v>1612</v>
      </c>
      <c r="B1614">
        <v>30</v>
      </c>
      <c r="C1614">
        <v>1.641</v>
      </c>
      <c r="D1614">
        <v>3.46</v>
      </c>
      <c r="E1614">
        <v>0</v>
      </c>
      <c r="F1614">
        <v>1.512</v>
      </c>
      <c r="G1614">
        <v>0</v>
      </c>
      <c r="H1614">
        <v>0.16700000000000001</v>
      </c>
      <c r="I1614">
        <v>2.6139999999999999</v>
      </c>
      <c r="K1614">
        <v>1612</v>
      </c>
      <c r="L1614">
        <v>30</v>
      </c>
      <c r="M1614" s="32">
        <v>1.641</v>
      </c>
      <c r="N1614" s="32">
        <v>3.46</v>
      </c>
      <c r="P1614" s="32">
        <v>1.512</v>
      </c>
      <c r="R1614" s="47">
        <v>0.17</v>
      </c>
      <c r="S1614" s="47">
        <v>2.4809999999999999</v>
      </c>
      <c r="T1614" s="31">
        <v>0</v>
      </c>
      <c r="V1614">
        <v>1612</v>
      </c>
      <c r="W1614">
        <v>29</v>
      </c>
      <c r="X1614">
        <v>1.653</v>
      </c>
      <c r="Y1614" s="32">
        <v>3.4929999999999999</v>
      </c>
      <c r="Z1614">
        <v>0</v>
      </c>
      <c r="AA1614" s="32">
        <v>1.431</v>
      </c>
      <c r="AB1614">
        <v>0</v>
      </c>
      <c r="AC1614" s="34">
        <v>0.16</v>
      </c>
      <c r="AD1614" s="32">
        <v>2.3660000000000001</v>
      </c>
    </row>
    <row r="1615" spans="1:30">
      <c r="A1615">
        <v>1613</v>
      </c>
      <c r="B1615">
        <v>30</v>
      </c>
      <c r="C1615">
        <v>1.6419999999999999</v>
      </c>
      <c r="D1615">
        <v>3.46</v>
      </c>
      <c r="E1615">
        <v>0</v>
      </c>
      <c r="F1615">
        <v>1.512</v>
      </c>
      <c r="G1615">
        <v>0</v>
      </c>
      <c r="H1615">
        <v>0.16700000000000001</v>
      </c>
      <c r="I1615">
        <v>2.6160000000000001</v>
      </c>
      <c r="K1615">
        <v>1613</v>
      </c>
      <c r="L1615">
        <v>30</v>
      </c>
      <c r="M1615" s="32">
        <v>1.6419999999999999</v>
      </c>
      <c r="N1615" s="32">
        <v>3.46</v>
      </c>
      <c r="P1615" s="32">
        <v>1.512</v>
      </c>
      <c r="R1615" s="47">
        <v>0.17</v>
      </c>
      <c r="S1615" s="47">
        <v>2.4830000000000001</v>
      </c>
      <c r="T1615" s="31">
        <v>0</v>
      </c>
      <c r="V1615">
        <v>1613</v>
      </c>
      <c r="W1615">
        <v>29</v>
      </c>
      <c r="X1615">
        <v>1.6539999999999999</v>
      </c>
      <c r="Y1615" s="32">
        <v>3.504</v>
      </c>
      <c r="Z1615">
        <v>0</v>
      </c>
      <c r="AA1615" s="32">
        <v>1.431</v>
      </c>
      <c r="AB1615">
        <v>0</v>
      </c>
      <c r="AC1615" s="34">
        <v>0.16</v>
      </c>
      <c r="AD1615" s="32">
        <v>2.3679999999999999</v>
      </c>
    </row>
    <row r="1616" spans="1:30">
      <c r="A1616">
        <v>1614</v>
      </c>
      <c r="B1616">
        <v>30</v>
      </c>
      <c r="C1616">
        <v>1.643</v>
      </c>
      <c r="D1616">
        <v>3.46</v>
      </c>
      <c r="E1616">
        <v>0</v>
      </c>
      <c r="F1616">
        <v>1.512</v>
      </c>
      <c r="G1616">
        <v>0</v>
      </c>
      <c r="H1616">
        <v>0.16700000000000001</v>
      </c>
      <c r="I1616">
        <v>2.6179999999999999</v>
      </c>
      <c r="K1616">
        <v>1614</v>
      </c>
      <c r="L1616">
        <v>30</v>
      </c>
      <c r="M1616" s="32">
        <v>1.643</v>
      </c>
      <c r="N1616" s="32">
        <v>3.46</v>
      </c>
      <c r="P1616" s="47">
        <v>1.5129999999999999</v>
      </c>
      <c r="R1616" s="47">
        <v>0.17</v>
      </c>
      <c r="S1616" s="47">
        <v>2.4849999999999999</v>
      </c>
      <c r="T1616" s="31">
        <v>0</v>
      </c>
      <c r="V1616">
        <v>1614</v>
      </c>
      <c r="W1616">
        <v>29</v>
      </c>
      <c r="X1616">
        <v>1.655</v>
      </c>
      <c r="Y1616" s="32">
        <v>3.5150000000000001</v>
      </c>
      <c r="Z1616">
        <v>0</v>
      </c>
      <c r="AA1616" s="32">
        <v>1.4319999999999999</v>
      </c>
      <c r="AB1616">
        <v>0</v>
      </c>
      <c r="AC1616" s="34">
        <v>0.16</v>
      </c>
      <c r="AD1616" s="32">
        <v>2.3690000000000002</v>
      </c>
    </row>
    <row r="1617" spans="1:30">
      <c r="A1617">
        <v>1615</v>
      </c>
      <c r="B1617">
        <v>30</v>
      </c>
      <c r="C1617">
        <v>1.6439999999999999</v>
      </c>
      <c r="D1617">
        <v>3.46</v>
      </c>
      <c r="E1617">
        <v>0</v>
      </c>
      <c r="F1617">
        <v>1.512</v>
      </c>
      <c r="G1617">
        <v>0</v>
      </c>
      <c r="H1617">
        <v>0.16700000000000001</v>
      </c>
      <c r="I1617">
        <v>2.62</v>
      </c>
      <c r="K1617">
        <v>1615</v>
      </c>
      <c r="L1617">
        <v>30</v>
      </c>
      <c r="M1617" s="32">
        <v>1.6439999999999999</v>
      </c>
      <c r="N1617" s="32">
        <v>3.46</v>
      </c>
      <c r="P1617" s="47">
        <v>1.5129999999999999</v>
      </c>
      <c r="R1617" s="47">
        <v>0.17</v>
      </c>
      <c r="S1617" s="47">
        <v>2.4870000000000001</v>
      </c>
      <c r="T1617" s="31">
        <v>0</v>
      </c>
      <c r="V1617">
        <v>1615</v>
      </c>
      <c r="W1617">
        <v>29</v>
      </c>
      <c r="X1617">
        <v>1.6559999999999999</v>
      </c>
      <c r="Y1617" s="32">
        <v>3.5259999999999998</v>
      </c>
      <c r="Z1617">
        <v>0</v>
      </c>
      <c r="AA1617" s="32">
        <v>1.4319999999999999</v>
      </c>
      <c r="AB1617">
        <v>0</v>
      </c>
      <c r="AC1617" s="34">
        <v>0.16</v>
      </c>
      <c r="AD1617" s="32">
        <v>2.371</v>
      </c>
    </row>
    <row r="1618" spans="1:30">
      <c r="A1618">
        <v>1616</v>
      </c>
      <c r="B1618">
        <v>30</v>
      </c>
      <c r="C1618">
        <v>1.645</v>
      </c>
      <c r="D1618">
        <v>3.46</v>
      </c>
      <c r="E1618">
        <v>0</v>
      </c>
      <c r="F1618">
        <v>1.512</v>
      </c>
      <c r="G1618">
        <v>0</v>
      </c>
      <c r="H1618">
        <v>0.16700000000000001</v>
      </c>
      <c r="I1618">
        <v>2.6219999999999999</v>
      </c>
      <c r="K1618">
        <v>1616</v>
      </c>
      <c r="L1618">
        <v>30</v>
      </c>
      <c r="M1618" s="32">
        <v>1.645</v>
      </c>
      <c r="N1618" s="32">
        <v>3.46</v>
      </c>
      <c r="P1618" s="47">
        <v>1.5129999999999999</v>
      </c>
      <c r="R1618" s="47">
        <v>0.17</v>
      </c>
      <c r="S1618" s="47">
        <v>2.4889999999999999</v>
      </c>
      <c r="T1618" s="31">
        <v>0</v>
      </c>
      <c r="V1618">
        <v>1616</v>
      </c>
      <c r="W1618">
        <v>29</v>
      </c>
      <c r="X1618">
        <v>1.657</v>
      </c>
      <c r="Y1618" s="32">
        <v>3.5369999999999999</v>
      </c>
      <c r="Z1618">
        <v>0</v>
      </c>
      <c r="AA1618" s="32">
        <v>1.4319999999999999</v>
      </c>
      <c r="AB1618">
        <v>0</v>
      </c>
      <c r="AC1618" s="34">
        <v>0.16</v>
      </c>
      <c r="AD1618" s="32">
        <v>2.3730000000000002</v>
      </c>
    </row>
    <row r="1619" spans="1:30">
      <c r="A1619">
        <v>1617</v>
      </c>
      <c r="B1619">
        <v>30</v>
      </c>
      <c r="C1619">
        <v>1.6459999999999999</v>
      </c>
      <c r="D1619">
        <v>3.46</v>
      </c>
      <c r="E1619">
        <v>0</v>
      </c>
      <c r="F1619">
        <v>1.512</v>
      </c>
      <c r="G1619">
        <v>0</v>
      </c>
      <c r="H1619">
        <v>0.16700000000000001</v>
      </c>
      <c r="I1619">
        <v>2.6230000000000002</v>
      </c>
      <c r="K1619">
        <v>1617</v>
      </c>
      <c r="L1619">
        <v>30</v>
      </c>
      <c r="M1619" s="32">
        <v>1.6459999999999999</v>
      </c>
      <c r="N1619" s="32">
        <v>3.46</v>
      </c>
      <c r="P1619" s="47">
        <v>1.5129999999999999</v>
      </c>
      <c r="R1619" s="47">
        <v>0.17</v>
      </c>
      <c r="S1619" s="47">
        <v>2.4910000000000001</v>
      </c>
      <c r="T1619" s="31">
        <v>0</v>
      </c>
      <c r="V1619">
        <v>1617</v>
      </c>
      <c r="W1619">
        <v>29</v>
      </c>
      <c r="X1619">
        <v>1.6579999999999999</v>
      </c>
      <c r="Y1619" s="32">
        <v>3.548</v>
      </c>
      <c r="Z1619">
        <v>0</v>
      </c>
      <c r="AA1619" s="32">
        <v>1.4319999999999999</v>
      </c>
      <c r="AB1619">
        <v>0</v>
      </c>
      <c r="AC1619" s="34">
        <v>0.16</v>
      </c>
      <c r="AD1619" s="32">
        <v>2.375</v>
      </c>
    </row>
    <row r="1620" spans="1:30">
      <c r="A1620">
        <v>1618</v>
      </c>
      <c r="B1620">
        <v>30</v>
      </c>
      <c r="C1620">
        <v>1.647</v>
      </c>
      <c r="D1620">
        <v>3.46</v>
      </c>
      <c r="E1620">
        <v>0</v>
      </c>
      <c r="F1620">
        <v>1.512</v>
      </c>
      <c r="G1620">
        <v>0</v>
      </c>
      <c r="H1620">
        <v>0.16700000000000001</v>
      </c>
      <c r="I1620">
        <v>2.625</v>
      </c>
      <c r="K1620">
        <v>1618</v>
      </c>
      <c r="L1620">
        <v>30</v>
      </c>
      <c r="M1620" s="32">
        <v>1.647</v>
      </c>
      <c r="N1620" s="32">
        <v>3.46</v>
      </c>
      <c r="P1620" s="47">
        <v>1.5129999999999999</v>
      </c>
      <c r="R1620" s="47">
        <v>0.17</v>
      </c>
      <c r="S1620" s="47">
        <v>2.4929999999999999</v>
      </c>
      <c r="T1620" s="31">
        <v>0</v>
      </c>
      <c r="V1620">
        <v>1618</v>
      </c>
      <c r="W1620">
        <v>29</v>
      </c>
      <c r="X1620">
        <v>1.659</v>
      </c>
      <c r="Y1620" s="32">
        <v>3.5590000000000002</v>
      </c>
      <c r="Z1620">
        <v>0</v>
      </c>
      <c r="AA1620" s="32">
        <v>1.4330000000000001</v>
      </c>
      <c r="AB1620">
        <v>0</v>
      </c>
      <c r="AC1620" s="34">
        <v>0.161</v>
      </c>
      <c r="AD1620" s="32">
        <v>2.3769999999999998</v>
      </c>
    </row>
    <row r="1621" spans="1:30">
      <c r="A1621">
        <v>1619</v>
      </c>
      <c r="B1621">
        <v>30</v>
      </c>
      <c r="C1621">
        <v>1.6479999999999999</v>
      </c>
      <c r="D1621">
        <v>3.46</v>
      </c>
      <c r="E1621">
        <v>0</v>
      </c>
      <c r="F1621">
        <v>1.512</v>
      </c>
      <c r="G1621">
        <v>0</v>
      </c>
      <c r="H1621">
        <v>0.16700000000000001</v>
      </c>
      <c r="I1621">
        <v>2.6269999999999998</v>
      </c>
      <c r="K1621">
        <v>1619</v>
      </c>
      <c r="L1621">
        <v>30</v>
      </c>
      <c r="M1621" s="32">
        <v>1.6479999999999999</v>
      </c>
      <c r="N1621" s="32">
        <v>3.46</v>
      </c>
      <c r="P1621" s="47">
        <v>1.514</v>
      </c>
      <c r="R1621" s="47">
        <v>0.17</v>
      </c>
      <c r="S1621" s="47">
        <v>2.4950000000000001</v>
      </c>
      <c r="T1621" s="31">
        <v>0</v>
      </c>
      <c r="V1621">
        <v>1619</v>
      </c>
      <c r="W1621">
        <v>29</v>
      </c>
      <c r="X1621">
        <v>1.66</v>
      </c>
      <c r="Y1621" s="32">
        <v>3.57</v>
      </c>
      <c r="Z1621">
        <v>0</v>
      </c>
      <c r="AA1621" s="32">
        <v>1.4330000000000001</v>
      </c>
      <c r="AB1621">
        <v>0</v>
      </c>
      <c r="AC1621" s="34">
        <v>0.161</v>
      </c>
      <c r="AD1621" s="32">
        <v>2.3780000000000001</v>
      </c>
    </row>
    <row r="1622" spans="1:30">
      <c r="A1622">
        <v>1620</v>
      </c>
      <c r="B1622">
        <v>30</v>
      </c>
      <c r="C1622">
        <v>1.649</v>
      </c>
      <c r="D1622">
        <v>3.46</v>
      </c>
      <c r="E1622">
        <v>0</v>
      </c>
      <c r="F1622">
        <v>1.512</v>
      </c>
      <c r="G1622">
        <v>0</v>
      </c>
      <c r="H1622">
        <v>0.16700000000000001</v>
      </c>
      <c r="I1622">
        <v>2.629</v>
      </c>
      <c r="K1622">
        <v>1620</v>
      </c>
      <c r="L1622">
        <v>30</v>
      </c>
      <c r="M1622" s="32">
        <v>1.649</v>
      </c>
      <c r="N1622" s="32">
        <v>3.46</v>
      </c>
      <c r="P1622" s="47">
        <v>1.514</v>
      </c>
      <c r="R1622" s="47">
        <v>0.17100000000000001</v>
      </c>
      <c r="S1622" s="47">
        <v>2.4969999999999999</v>
      </c>
      <c r="T1622" s="31">
        <v>0</v>
      </c>
      <c r="V1622">
        <v>1620</v>
      </c>
      <c r="W1622">
        <v>29</v>
      </c>
      <c r="X1622">
        <v>1.661</v>
      </c>
      <c r="Y1622" s="32">
        <v>3.57</v>
      </c>
      <c r="Z1622">
        <v>0</v>
      </c>
      <c r="AA1622" s="32">
        <v>1.4330000000000001</v>
      </c>
      <c r="AB1622">
        <v>0</v>
      </c>
      <c r="AC1622" s="34">
        <v>0.161</v>
      </c>
      <c r="AD1622" s="32">
        <v>2.38</v>
      </c>
    </row>
    <row r="1623" spans="1:30">
      <c r="A1623">
        <v>1621</v>
      </c>
      <c r="B1623">
        <v>30</v>
      </c>
      <c r="C1623">
        <v>1.65</v>
      </c>
      <c r="D1623">
        <v>3.46</v>
      </c>
      <c r="E1623">
        <v>0</v>
      </c>
      <c r="F1623">
        <v>1.514</v>
      </c>
      <c r="G1623">
        <v>0</v>
      </c>
      <c r="H1623">
        <v>0.16700000000000001</v>
      </c>
      <c r="I1623">
        <v>2.6509999999999998</v>
      </c>
      <c r="K1623">
        <v>1621</v>
      </c>
      <c r="L1623">
        <v>30</v>
      </c>
      <c r="M1623" s="32">
        <v>1.65</v>
      </c>
      <c r="N1623" s="32">
        <v>3.46</v>
      </c>
      <c r="P1623" s="32">
        <v>1.514</v>
      </c>
      <c r="R1623" s="47">
        <v>0.17100000000000001</v>
      </c>
      <c r="S1623" s="47">
        <v>2.4990000000000001</v>
      </c>
      <c r="T1623" s="31">
        <v>0</v>
      </c>
      <c r="V1623">
        <v>1621</v>
      </c>
      <c r="W1623">
        <v>29</v>
      </c>
      <c r="X1623">
        <v>1.6619999999999999</v>
      </c>
      <c r="Y1623" s="32">
        <v>3.57</v>
      </c>
      <c r="Z1623">
        <v>0</v>
      </c>
      <c r="AA1623" s="32">
        <v>1.4330000000000001</v>
      </c>
      <c r="AB1623">
        <v>0</v>
      </c>
      <c r="AC1623" s="34">
        <v>0.161</v>
      </c>
      <c r="AD1623" s="32">
        <v>2.3820000000000001</v>
      </c>
    </row>
    <row r="1624" spans="1:30">
      <c r="A1624">
        <v>1622</v>
      </c>
      <c r="B1624">
        <v>30</v>
      </c>
      <c r="C1624">
        <v>1.651</v>
      </c>
      <c r="D1624">
        <v>3.46</v>
      </c>
      <c r="E1624">
        <v>0</v>
      </c>
      <c r="F1624">
        <v>1.514</v>
      </c>
      <c r="G1624">
        <v>0</v>
      </c>
      <c r="H1624">
        <v>0.16700000000000001</v>
      </c>
      <c r="I1624">
        <v>2.653</v>
      </c>
      <c r="K1624">
        <v>1622</v>
      </c>
      <c r="L1624">
        <v>30</v>
      </c>
      <c r="M1624" s="32">
        <v>1.651</v>
      </c>
      <c r="N1624" s="47">
        <v>3.4710000000000001</v>
      </c>
      <c r="P1624" s="32">
        <v>1.514</v>
      </c>
      <c r="R1624" s="47">
        <v>0.17100000000000001</v>
      </c>
      <c r="S1624" s="47">
        <v>2.5009999999999999</v>
      </c>
      <c r="T1624" s="31">
        <v>0</v>
      </c>
      <c r="V1624">
        <v>1622</v>
      </c>
      <c r="W1624">
        <v>29</v>
      </c>
      <c r="X1624">
        <v>1.663</v>
      </c>
      <c r="Y1624" s="32">
        <v>3.57</v>
      </c>
      <c r="Z1624">
        <v>0</v>
      </c>
      <c r="AA1624" s="32">
        <v>1.4330000000000001</v>
      </c>
      <c r="AB1624">
        <v>0</v>
      </c>
      <c r="AC1624" s="34">
        <v>0.161</v>
      </c>
      <c r="AD1624" s="32">
        <v>2.3839999999999999</v>
      </c>
    </row>
    <row r="1625" spans="1:30">
      <c r="A1625">
        <v>1623</v>
      </c>
      <c r="B1625">
        <v>30</v>
      </c>
      <c r="C1625">
        <v>1.6519999999999999</v>
      </c>
      <c r="D1625">
        <v>3.46</v>
      </c>
      <c r="E1625">
        <v>0</v>
      </c>
      <c r="F1625">
        <v>1.514</v>
      </c>
      <c r="G1625">
        <v>0</v>
      </c>
      <c r="H1625">
        <v>0.16700000000000001</v>
      </c>
      <c r="I1625">
        <v>2.6549999999999998</v>
      </c>
      <c r="K1625">
        <v>1623</v>
      </c>
      <c r="L1625">
        <v>30</v>
      </c>
      <c r="M1625" s="32">
        <v>1.6519999999999999</v>
      </c>
      <c r="N1625" s="47">
        <v>3.4820000000000002</v>
      </c>
      <c r="P1625" s="47">
        <v>1.5149999999999999</v>
      </c>
      <c r="R1625" s="47">
        <v>0.17100000000000001</v>
      </c>
      <c r="S1625" s="47">
        <v>2.5030000000000001</v>
      </c>
      <c r="T1625" s="31">
        <v>0</v>
      </c>
      <c r="V1625">
        <v>1623</v>
      </c>
      <c r="W1625">
        <v>29</v>
      </c>
      <c r="X1625">
        <v>1.6639999999999999</v>
      </c>
      <c r="Y1625" s="32">
        <v>3.57</v>
      </c>
      <c r="Z1625">
        <v>0</v>
      </c>
      <c r="AA1625" s="32">
        <v>1.4339999999999999</v>
      </c>
      <c r="AB1625">
        <v>0</v>
      </c>
      <c r="AC1625" s="34">
        <v>0.161</v>
      </c>
      <c r="AD1625" s="32">
        <v>2.3849999999999998</v>
      </c>
    </row>
    <row r="1626" spans="1:30">
      <c r="A1626">
        <v>1624</v>
      </c>
      <c r="B1626">
        <v>30</v>
      </c>
      <c r="C1626">
        <v>1.653</v>
      </c>
      <c r="D1626">
        <v>3.46</v>
      </c>
      <c r="E1626">
        <v>0</v>
      </c>
      <c r="F1626">
        <v>1.514</v>
      </c>
      <c r="G1626">
        <v>0</v>
      </c>
      <c r="H1626">
        <v>0.16700000000000001</v>
      </c>
      <c r="I1626">
        <v>2.657</v>
      </c>
      <c r="K1626">
        <v>1624</v>
      </c>
      <c r="L1626">
        <v>30</v>
      </c>
      <c r="M1626" s="32">
        <v>1.653</v>
      </c>
      <c r="N1626" s="47">
        <v>3.4929999999999999</v>
      </c>
      <c r="P1626" s="47">
        <v>1.5149999999999999</v>
      </c>
      <c r="R1626" s="47">
        <v>0.17100000000000001</v>
      </c>
      <c r="S1626" s="47">
        <v>2.5059999999999998</v>
      </c>
      <c r="T1626" s="31">
        <v>0</v>
      </c>
      <c r="V1626">
        <v>1624</v>
      </c>
      <c r="W1626">
        <v>29</v>
      </c>
      <c r="X1626">
        <v>1.665</v>
      </c>
      <c r="Y1626" s="32">
        <v>3.57</v>
      </c>
      <c r="Z1626">
        <v>0</v>
      </c>
      <c r="AA1626" s="32">
        <v>1.4339999999999999</v>
      </c>
      <c r="AB1626">
        <v>0</v>
      </c>
      <c r="AC1626" s="34">
        <v>0.161</v>
      </c>
      <c r="AD1626" s="32">
        <v>2.387</v>
      </c>
    </row>
    <row r="1627" spans="1:30">
      <c r="A1627">
        <v>1625</v>
      </c>
      <c r="B1627">
        <v>30</v>
      </c>
      <c r="C1627">
        <v>1.6539999999999999</v>
      </c>
      <c r="D1627">
        <v>3.46</v>
      </c>
      <c r="E1627">
        <v>0</v>
      </c>
      <c r="F1627">
        <v>1.514</v>
      </c>
      <c r="G1627">
        <v>0</v>
      </c>
      <c r="H1627">
        <v>0.16700000000000001</v>
      </c>
      <c r="I1627">
        <v>2.6589999999999998</v>
      </c>
      <c r="K1627">
        <v>1625</v>
      </c>
      <c r="L1627">
        <v>30</v>
      </c>
      <c r="M1627" s="32">
        <v>1.6539999999999999</v>
      </c>
      <c r="N1627" s="47">
        <v>3.504</v>
      </c>
      <c r="P1627" s="47">
        <v>1.5149999999999999</v>
      </c>
      <c r="R1627" s="47">
        <v>0.17100000000000001</v>
      </c>
      <c r="S1627" s="47">
        <v>2.508</v>
      </c>
      <c r="T1627" s="31">
        <v>0</v>
      </c>
      <c r="V1627">
        <v>1625</v>
      </c>
      <c r="W1627">
        <v>29</v>
      </c>
      <c r="X1627">
        <v>1.6659999999999999</v>
      </c>
      <c r="Y1627" s="32">
        <v>3.57</v>
      </c>
      <c r="Z1627">
        <v>0</v>
      </c>
      <c r="AA1627" s="32">
        <v>1.4339999999999999</v>
      </c>
      <c r="AB1627">
        <v>0</v>
      </c>
      <c r="AC1627" s="34">
        <v>0.161</v>
      </c>
      <c r="AD1627" s="32">
        <v>2.3889999999999998</v>
      </c>
    </row>
    <row r="1628" spans="1:30">
      <c r="A1628">
        <v>1626</v>
      </c>
      <c r="B1628">
        <v>30</v>
      </c>
      <c r="C1628">
        <v>1.655</v>
      </c>
      <c r="D1628">
        <v>3.46</v>
      </c>
      <c r="E1628">
        <v>0</v>
      </c>
      <c r="F1628">
        <v>1.514</v>
      </c>
      <c r="G1628">
        <v>0</v>
      </c>
      <c r="H1628">
        <v>0.16700000000000001</v>
      </c>
      <c r="I1628">
        <v>2.661</v>
      </c>
      <c r="K1628">
        <v>1626</v>
      </c>
      <c r="L1628">
        <v>30</v>
      </c>
      <c r="M1628" s="32">
        <v>1.655</v>
      </c>
      <c r="N1628" s="47">
        <v>3.5150000000000001</v>
      </c>
      <c r="P1628" s="47">
        <v>1.516</v>
      </c>
      <c r="R1628" s="47">
        <v>0.17100000000000001</v>
      </c>
      <c r="S1628" s="47">
        <v>2.5099999999999998</v>
      </c>
      <c r="T1628" s="31">
        <v>0</v>
      </c>
      <c r="V1628">
        <v>1626</v>
      </c>
      <c r="W1628">
        <v>29</v>
      </c>
      <c r="X1628">
        <v>1.667</v>
      </c>
      <c r="Y1628" s="32">
        <v>3.57</v>
      </c>
      <c r="Z1628">
        <v>0</v>
      </c>
      <c r="AA1628" s="32">
        <v>1.4339999999999999</v>
      </c>
      <c r="AB1628">
        <v>0</v>
      </c>
      <c r="AC1628" s="34">
        <v>0.161</v>
      </c>
      <c r="AD1628" s="32">
        <v>2.391</v>
      </c>
    </row>
    <row r="1629" spans="1:30">
      <c r="A1629">
        <v>1627</v>
      </c>
      <c r="B1629">
        <v>30</v>
      </c>
      <c r="C1629">
        <v>1.6559999999999999</v>
      </c>
      <c r="D1629">
        <v>3.46</v>
      </c>
      <c r="E1629">
        <v>0</v>
      </c>
      <c r="F1629">
        <v>1.514</v>
      </c>
      <c r="G1629">
        <v>0</v>
      </c>
      <c r="H1629">
        <v>0.16700000000000001</v>
      </c>
      <c r="I1629">
        <v>2.6619999999999999</v>
      </c>
      <c r="K1629">
        <v>1627</v>
      </c>
      <c r="L1629">
        <v>30</v>
      </c>
      <c r="M1629" s="32">
        <v>1.6559999999999999</v>
      </c>
      <c r="N1629" s="47">
        <v>3.5259999999999998</v>
      </c>
      <c r="P1629" s="47">
        <v>1.516</v>
      </c>
      <c r="R1629" s="47">
        <v>0.17100000000000001</v>
      </c>
      <c r="S1629" s="47">
        <v>2.512</v>
      </c>
      <c r="T1629" s="31">
        <v>0</v>
      </c>
      <c r="V1629">
        <v>1627</v>
      </c>
      <c r="W1629">
        <v>29</v>
      </c>
      <c r="X1629">
        <v>1.6679999999999999</v>
      </c>
      <c r="Y1629" s="32">
        <v>3.57</v>
      </c>
      <c r="Z1629">
        <v>0</v>
      </c>
      <c r="AA1629" s="32">
        <v>1.4339999999999999</v>
      </c>
      <c r="AB1629">
        <v>0</v>
      </c>
      <c r="AC1629" s="34">
        <v>0.161</v>
      </c>
      <c r="AD1629" s="32">
        <v>2.3919999999999999</v>
      </c>
    </row>
    <row r="1630" spans="1:30">
      <c r="A1630">
        <v>1628</v>
      </c>
      <c r="B1630">
        <v>30</v>
      </c>
      <c r="C1630">
        <v>1.657</v>
      </c>
      <c r="D1630">
        <v>3.46</v>
      </c>
      <c r="E1630">
        <v>0</v>
      </c>
      <c r="F1630">
        <v>1.514</v>
      </c>
      <c r="G1630">
        <v>0</v>
      </c>
      <c r="H1630">
        <v>0.16700000000000001</v>
      </c>
      <c r="I1630">
        <v>2.6640000000000001</v>
      </c>
      <c r="K1630">
        <v>1628</v>
      </c>
      <c r="L1630">
        <v>30</v>
      </c>
      <c r="M1630" s="32">
        <v>1.657</v>
      </c>
      <c r="N1630" s="47">
        <v>3.5369999999999999</v>
      </c>
      <c r="P1630" s="47">
        <v>1.516</v>
      </c>
      <c r="R1630" s="47">
        <v>0.17100000000000001</v>
      </c>
      <c r="S1630" s="47">
        <v>2.5139999999999998</v>
      </c>
      <c r="T1630" s="31">
        <v>0</v>
      </c>
      <c r="V1630">
        <v>1628</v>
      </c>
      <c r="W1630">
        <v>29</v>
      </c>
      <c r="X1630">
        <v>1.669</v>
      </c>
      <c r="Y1630" s="32">
        <v>3.57</v>
      </c>
      <c r="Z1630">
        <v>0</v>
      </c>
      <c r="AA1630" s="32">
        <v>1.4350000000000001</v>
      </c>
      <c r="AB1630">
        <v>0</v>
      </c>
      <c r="AC1630" s="34">
        <v>0.161</v>
      </c>
      <c r="AD1630" s="32">
        <v>2.3940000000000001</v>
      </c>
    </row>
    <row r="1631" spans="1:30">
      <c r="A1631">
        <v>1629</v>
      </c>
      <c r="B1631">
        <v>30</v>
      </c>
      <c r="C1631">
        <v>1.6579999999999999</v>
      </c>
      <c r="D1631">
        <v>3.46</v>
      </c>
      <c r="E1631">
        <v>0</v>
      </c>
      <c r="F1631">
        <v>1.514</v>
      </c>
      <c r="G1631">
        <v>0</v>
      </c>
      <c r="H1631">
        <v>0.16700000000000001</v>
      </c>
      <c r="I1631">
        <v>2.6659999999999999</v>
      </c>
      <c r="K1631">
        <v>1629</v>
      </c>
      <c r="L1631">
        <v>30</v>
      </c>
      <c r="M1631" s="32">
        <v>1.6579999999999999</v>
      </c>
      <c r="N1631" s="47">
        <v>3.548</v>
      </c>
      <c r="P1631" s="47">
        <v>1.516</v>
      </c>
      <c r="R1631" s="47">
        <v>0.17100000000000001</v>
      </c>
      <c r="S1631" s="47">
        <v>2.5169999999999999</v>
      </c>
      <c r="T1631" s="31">
        <v>0</v>
      </c>
      <c r="V1631">
        <v>1629</v>
      </c>
      <c r="W1631">
        <v>29</v>
      </c>
      <c r="X1631">
        <v>1.67</v>
      </c>
      <c r="Y1631" s="32">
        <v>3.57</v>
      </c>
      <c r="Z1631">
        <v>0</v>
      </c>
      <c r="AA1631" s="32">
        <v>1.4350000000000001</v>
      </c>
      <c r="AB1631">
        <v>0</v>
      </c>
      <c r="AC1631" s="34">
        <v>0.161</v>
      </c>
      <c r="AD1631" s="32">
        <v>2.3959999999999999</v>
      </c>
    </row>
    <row r="1632" spans="1:30">
      <c r="A1632">
        <v>1630</v>
      </c>
      <c r="B1632">
        <v>30</v>
      </c>
      <c r="C1632">
        <v>1.659</v>
      </c>
      <c r="D1632">
        <v>3.46</v>
      </c>
      <c r="E1632">
        <v>0</v>
      </c>
      <c r="F1632">
        <v>1.514</v>
      </c>
      <c r="G1632">
        <v>0</v>
      </c>
      <c r="H1632">
        <v>0.16700000000000001</v>
      </c>
      <c r="I1632">
        <v>2.6680000000000001</v>
      </c>
      <c r="K1632">
        <v>1630</v>
      </c>
      <c r="L1632">
        <v>30</v>
      </c>
      <c r="M1632" s="32">
        <v>1.659</v>
      </c>
      <c r="N1632" s="47">
        <v>3.5590000000000002</v>
      </c>
      <c r="P1632" s="47">
        <v>1.5169999999999999</v>
      </c>
      <c r="R1632" s="47">
        <v>0.17100000000000001</v>
      </c>
      <c r="S1632" s="47">
        <v>2.5190000000000001</v>
      </c>
      <c r="T1632" s="31">
        <v>0</v>
      </c>
      <c r="V1632">
        <v>1630</v>
      </c>
      <c r="W1632">
        <v>29</v>
      </c>
      <c r="X1632">
        <v>1.671</v>
      </c>
      <c r="Y1632" s="32">
        <v>3.57</v>
      </c>
      <c r="Z1632">
        <v>0</v>
      </c>
      <c r="AA1632" s="32">
        <v>1.4350000000000001</v>
      </c>
      <c r="AB1632">
        <v>0</v>
      </c>
      <c r="AC1632" s="34">
        <v>0.161</v>
      </c>
      <c r="AD1632" s="32">
        <v>2.3980000000000001</v>
      </c>
    </row>
    <row r="1633" spans="1:30">
      <c r="A1633">
        <v>1631</v>
      </c>
      <c r="B1633">
        <v>31</v>
      </c>
      <c r="C1633">
        <v>1.66</v>
      </c>
      <c r="D1633">
        <v>3.57</v>
      </c>
      <c r="E1633">
        <v>0</v>
      </c>
      <c r="F1633">
        <v>1.5169999999999999</v>
      </c>
      <c r="G1633">
        <v>0</v>
      </c>
      <c r="H1633">
        <v>0.17100000000000001</v>
      </c>
      <c r="I1633">
        <v>2.5209999999999999</v>
      </c>
      <c r="K1633">
        <v>1631</v>
      </c>
      <c r="L1633">
        <v>31</v>
      </c>
      <c r="M1633" s="32">
        <v>1.66</v>
      </c>
      <c r="N1633" s="32">
        <v>3.57</v>
      </c>
      <c r="P1633" s="32">
        <v>1.5169999999999999</v>
      </c>
      <c r="R1633" s="32">
        <v>0.17100000000000001</v>
      </c>
      <c r="S1633" s="32">
        <v>2.5209999999999999</v>
      </c>
      <c r="T1633" s="31">
        <v>0</v>
      </c>
      <c r="V1633">
        <v>1631</v>
      </c>
      <c r="W1633">
        <v>29</v>
      </c>
      <c r="X1633">
        <v>1.6719999999999999</v>
      </c>
      <c r="Y1633" s="32">
        <v>3.57</v>
      </c>
      <c r="Z1633">
        <v>0</v>
      </c>
      <c r="AA1633" s="32">
        <v>1.4350000000000001</v>
      </c>
      <c r="AB1633">
        <v>0</v>
      </c>
      <c r="AC1633" s="34">
        <v>0.161</v>
      </c>
      <c r="AD1633" s="32">
        <v>2.4</v>
      </c>
    </row>
    <row r="1634" spans="1:30">
      <c r="A1634">
        <v>1632</v>
      </c>
      <c r="B1634">
        <v>31</v>
      </c>
      <c r="C1634">
        <v>1.661</v>
      </c>
      <c r="D1634">
        <v>3.57</v>
      </c>
      <c r="E1634">
        <v>0</v>
      </c>
      <c r="F1634">
        <v>1.5169999999999999</v>
      </c>
      <c r="G1634">
        <v>0</v>
      </c>
      <c r="H1634">
        <v>0.17100000000000001</v>
      </c>
      <c r="I1634">
        <v>2.5230000000000001</v>
      </c>
      <c r="K1634">
        <v>1632</v>
      </c>
      <c r="L1634">
        <v>31</v>
      </c>
      <c r="M1634" s="32">
        <v>1.661</v>
      </c>
      <c r="N1634" s="32">
        <v>3.57</v>
      </c>
      <c r="P1634" s="32">
        <v>1.5169999999999999</v>
      </c>
      <c r="R1634" s="32">
        <v>0.17100000000000001</v>
      </c>
      <c r="S1634" s="32">
        <v>2.5230000000000001</v>
      </c>
      <c r="T1634" s="31">
        <v>0</v>
      </c>
      <c r="V1634">
        <v>1632</v>
      </c>
      <c r="W1634">
        <v>29</v>
      </c>
      <c r="X1634">
        <v>1.673</v>
      </c>
      <c r="Y1634" s="32">
        <v>3.57</v>
      </c>
      <c r="Z1634">
        <v>0</v>
      </c>
      <c r="AA1634" s="32">
        <v>1.4350000000000001</v>
      </c>
      <c r="AB1634">
        <v>0</v>
      </c>
      <c r="AC1634" s="34">
        <v>0.161</v>
      </c>
      <c r="AD1634" s="32">
        <v>2.4009999999999998</v>
      </c>
    </row>
    <row r="1635" spans="1:30">
      <c r="A1635">
        <v>1633</v>
      </c>
      <c r="B1635">
        <v>31</v>
      </c>
      <c r="C1635">
        <v>1.6619999999999999</v>
      </c>
      <c r="D1635">
        <v>3.57</v>
      </c>
      <c r="E1635">
        <v>0</v>
      </c>
      <c r="F1635">
        <v>1.518</v>
      </c>
      <c r="G1635">
        <v>0</v>
      </c>
      <c r="H1635">
        <v>0.17100000000000001</v>
      </c>
      <c r="I1635">
        <v>2.5249999999999999</v>
      </c>
      <c r="K1635">
        <v>1633</v>
      </c>
      <c r="L1635">
        <v>31</v>
      </c>
      <c r="M1635" s="32">
        <v>1.6619999999999999</v>
      </c>
      <c r="N1635" s="32">
        <v>3.57</v>
      </c>
      <c r="P1635" s="32">
        <v>1.518</v>
      </c>
      <c r="R1635" s="32">
        <v>0.17100000000000001</v>
      </c>
      <c r="S1635" s="47">
        <v>2.524</v>
      </c>
      <c r="T1635" s="31">
        <v>0</v>
      </c>
      <c r="V1635">
        <v>1633</v>
      </c>
      <c r="W1635">
        <v>29</v>
      </c>
      <c r="X1635">
        <v>1.6739999999999999</v>
      </c>
      <c r="Y1635" s="32">
        <v>3.57</v>
      </c>
      <c r="Z1635">
        <v>0</v>
      </c>
      <c r="AA1635" s="32">
        <v>1.4359999999999999</v>
      </c>
      <c r="AB1635">
        <v>0</v>
      </c>
      <c r="AC1635" s="34">
        <v>0.161</v>
      </c>
      <c r="AD1635" s="32">
        <v>2.403</v>
      </c>
    </row>
    <row r="1636" spans="1:30">
      <c r="A1636">
        <v>1634</v>
      </c>
      <c r="B1636">
        <v>31</v>
      </c>
      <c r="C1636">
        <v>1.663</v>
      </c>
      <c r="D1636">
        <v>3.58</v>
      </c>
      <c r="E1636">
        <v>0</v>
      </c>
      <c r="F1636">
        <v>1.518</v>
      </c>
      <c r="G1636">
        <v>0</v>
      </c>
      <c r="H1636">
        <v>0.17100000000000001</v>
      </c>
      <c r="I1636">
        <v>2.5270000000000001</v>
      </c>
      <c r="K1636">
        <v>1634</v>
      </c>
      <c r="L1636">
        <v>31</v>
      </c>
      <c r="M1636" s="32">
        <v>1.663</v>
      </c>
      <c r="N1636" s="47">
        <v>3.57</v>
      </c>
      <c r="P1636" s="32">
        <v>1.518</v>
      </c>
      <c r="R1636" s="32">
        <v>0.17100000000000001</v>
      </c>
      <c r="S1636" s="47">
        <v>2.5259999999999998</v>
      </c>
      <c r="T1636" s="31">
        <v>0</v>
      </c>
      <c r="V1636">
        <v>1634</v>
      </c>
      <c r="W1636">
        <v>29</v>
      </c>
      <c r="X1636">
        <v>1.675</v>
      </c>
      <c r="Y1636" s="32">
        <v>3.57</v>
      </c>
      <c r="Z1636">
        <v>0</v>
      </c>
      <c r="AA1636" s="32">
        <v>1.4359999999999999</v>
      </c>
      <c r="AB1636">
        <v>0</v>
      </c>
      <c r="AC1636" s="34">
        <v>0.161</v>
      </c>
      <c r="AD1636" s="32">
        <v>2.4049999999999998</v>
      </c>
    </row>
    <row r="1637" spans="1:30">
      <c r="A1637">
        <v>1635</v>
      </c>
      <c r="B1637">
        <v>31</v>
      </c>
      <c r="C1637">
        <v>1.6639999999999999</v>
      </c>
      <c r="D1637">
        <v>3.58</v>
      </c>
      <c r="E1637">
        <v>0</v>
      </c>
      <c r="F1637">
        <v>1.518</v>
      </c>
      <c r="G1637">
        <v>0</v>
      </c>
      <c r="H1637">
        <v>0.17100000000000001</v>
      </c>
      <c r="I1637">
        <v>2.5289999999999999</v>
      </c>
      <c r="K1637">
        <v>1635</v>
      </c>
      <c r="L1637">
        <v>31</v>
      </c>
      <c r="M1637" s="32">
        <v>1.6639999999999999</v>
      </c>
      <c r="N1637" s="47">
        <v>3.57</v>
      </c>
      <c r="P1637" s="32">
        <v>1.518</v>
      </c>
      <c r="R1637" s="32">
        <v>0.17100000000000001</v>
      </c>
      <c r="S1637" s="47">
        <v>2.528</v>
      </c>
      <c r="T1637" s="31">
        <v>0</v>
      </c>
      <c r="V1637">
        <v>1635</v>
      </c>
      <c r="W1637">
        <v>29</v>
      </c>
      <c r="X1637">
        <v>1.6759999999999999</v>
      </c>
      <c r="Y1637" s="32">
        <v>3.57</v>
      </c>
      <c r="Z1637">
        <v>0</v>
      </c>
      <c r="AA1637" s="32">
        <v>1.4359999999999999</v>
      </c>
      <c r="AB1637">
        <v>0</v>
      </c>
      <c r="AC1637" s="34">
        <v>0.161</v>
      </c>
      <c r="AD1637" s="32">
        <v>2.407</v>
      </c>
    </row>
    <row r="1638" spans="1:30">
      <c r="A1638">
        <v>1636</v>
      </c>
      <c r="B1638">
        <v>31</v>
      </c>
      <c r="C1638">
        <v>1.665</v>
      </c>
      <c r="D1638">
        <v>3.58</v>
      </c>
      <c r="E1638">
        <v>0</v>
      </c>
      <c r="F1638">
        <v>1.518</v>
      </c>
      <c r="G1638">
        <v>0</v>
      </c>
      <c r="H1638">
        <v>0.17100000000000001</v>
      </c>
      <c r="I1638">
        <v>2.5310000000000001</v>
      </c>
      <c r="K1638">
        <v>1636</v>
      </c>
      <c r="L1638">
        <v>31</v>
      </c>
      <c r="M1638" s="32">
        <v>1.665</v>
      </c>
      <c r="N1638" s="47">
        <v>3.57</v>
      </c>
      <c r="P1638" s="47">
        <v>1.5189999999999999</v>
      </c>
      <c r="R1638" s="32">
        <v>0.17100000000000001</v>
      </c>
      <c r="S1638" s="47">
        <v>2.5299999999999998</v>
      </c>
      <c r="T1638" s="31">
        <v>0</v>
      </c>
      <c r="V1638">
        <v>1636</v>
      </c>
      <c r="W1638">
        <v>29</v>
      </c>
      <c r="X1638">
        <v>1.677</v>
      </c>
      <c r="Y1638" s="32">
        <v>3.57</v>
      </c>
      <c r="Z1638">
        <v>0</v>
      </c>
      <c r="AA1638" s="32">
        <v>1.4359999999999999</v>
      </c>
      <c r="AB1638">
        <v>0</v>
      </c>
      <c r="AC1638" s="34">
        <v>0.161</v>
      </c>
      <c r="AD1638" s="32">
        <v>2.4079999999999999</v>
      </c>
    </row>
    <row r="1639" spans="1:30">
      <c r="A1639">
        <v>1637</v>
      </c>
      <c r="B1639">
        <v>31</v>
      </c>
      <c r="C1639">
        <v>1.6659999999999999</v>
      </c>
      <c r="D1639">
        <v>3.58</v>
      </c>
      <c r="E1639">
        <v>0</v>
      </c>
      <c r="F1639">
        <v>1.5189999999999999</v>
      </c>
      <c r="G1639">
        <v>0</v>
      </c>
      <c r="H1639">
        <v>0.17100000000000001</v>
      </c>
      <c r="I1639">
        <v>2.5329999999999999</v>
      </c>
      <c r="K1639">
        <v>1637</v>
      </c>
      <c r="L1639">
        <v>31</v>
      </c>
      <c r="M1639" s="32">
        <v>1.6659999999999999</v>
      </c>
      <c r="N1639" s="47">
        <v>3.57</v>
      </c>
      <c r="P1639" s="32">
        <v>1.5189999999999999</v>
      </c>
      <c r="R1639" s="32">
        <v>0.17100000000000001</v>
      </c>
      <c r="S1639" s="47">
        <v>2.5310000000000001</v>
      </c>
      <c r="T1639" s="31">
        <v>0</v>
      </c>
      <c r="V1639">
        <v>1637</v>
      </c>
      <c r="W1639">
        <v>29</v>
      </c>
      <c r="X1639">
        <v>1.6779999999999999</v>
      </c>
      <c r="Y1639" s="32">
        <v>3.57</v>
      </c>
      <c r="Z1639">
        <v>0</v>
      </c>
      <c r="AA1639" s="32">
        <v>1.4359999999999999</v>
      </c>
      <c r="AB1639">
        <v>0</v>
      </c>
      <c r="AC1639" s="34">
        <v>0.16200000000000001</v>
      </c>
      <c r="AD1639" s="32">
        <v>2.41</v>
      </c>
    </row>
    <row r="1640" spans="1:30">
      <c r="A1640">
        <v>1638</v>
      </c>
      <c r="B1640">
        <v>31</v>
      </c>
      <c r="C1640">
        <v>1.667</v>
      </c>
      <c r="D1640">
        <v>3.58</v>
      </c>
      <c r="E1640">
        <v>0</v>
      </c>
      <c r="F1640">
        <v>1.5189999999999999</v>
      </c>
      <c r="G1640">
        <v>0</v>
      </c>
      <c r="H1640">
        <v>0.17100000000000001</v>
      </c>
      <c r="I1640">
        <v>2.5350000000000001</v>
      </c>
      <c r="K1640">
        <v>1638</v>
      </c>
      <c r="L1640">
        <v>31</v>
      </c>
      <c r="M1640" s="32">
        <v>1.667</v>
      </c>
      <c r="N1640" s="47">
        <v>3.57</v>
      </c>
      <c r="P1640" s="32">
        <v>1.5189999999999999</v>
      </c>
      <c r="R1640" s="32">
        <v>0.17100000000000001</v>
      </c>
      <c r="S1640" s="47">
        <v>2.5329999999999999</v>
      </c>
      <c r="T1640" s="31">
        <v>0</v>
      </c>
      <c r="V1640">
        <v>1638</v>
      </c>
      <c r="W1640">
        <v>29</v>
      </c>
      <c r="X1640">
        <v>1.679</v>
      </c>
      <c r="Y1640" s="32">
        <v>3.57</v>
      </c>
      <c r="Z1640">
        <v>0</v>
      </c>
      <c r="AA1640" s="32">
        <v>1.4370000000000001</v>
      </c>
      <c r="AB1640">
        <v>0</v>
      </c>
      <c r="AC1640" s="34">
        <v>0.16200000000000001</v>
      </c>
      <c r="AD1640" s="32">
        <v>2.4119999999999999</v>
      </c>
    </row>
    <row r="1641" spans="1:30">
      <c r="A1641">
        <v>1639</v>
      </c>
      <c r="B1641">
        <v>31</v>
      </c>
      <c r="C1641">
        <v>1.6679999999999999</v>
      </c>
      <c r="D1641">
        <v>3.59</v>
      </c>
      <c r="E1641">
        <v>0</v>
      </c>
      <c r="F1641">
        <v>1.5189999999999999</v>
      </c>
      <c r="G1641">
        <v>0</v>
      </c>
      <c r="H1641">
        <v>0.17100000000000001</v>
      </c>
      <c r="I1641">
        <v>2.5369999999999999</v>
      </c>
      <c r="K1641">
        <v>1639</v>
      </c>
      <c r="L1641">
        <v>31</v>
      </c>
      <c r="M1641" s="32">
        <v>1.6679999999999999</v>
      </c>
      <c r="N1641" s="47">
        <v>3.57</v>
      </c>
      <c r="P1641" s="32">
        <v>1.5189999999999999</v>
      </c>
      <c r="R1641" s="32">
        <v>0.17100000000000001</v>
      </c>
      <c r="S1641" s="47">
        <v>2.5350000000000001</v>
      </c>
      <c r="T1641" s="31">
        <v>0</v>
      </c>
      <c r="V1641">
        <v>1639</v>
      </c>
      <c r="W1641">
        <v>29</v>
      </c>
      <c r="X1641">
        <v>1.68</v>
      </c>
      <c r="Y1641" s="32">
        <v>3.57</v>
      </c>
      <c r="Z1641">
        <v>0</v>
      </c>
      <c r="AA1641" s="32">
        <v>1.4370000000000001</v>
      </c>
      <c r="AB1641">
        <v>0</v>
      </c>
      <c r="AC1641" s="34">
        <v>0.16200000000000001</v>
      </c>
      <c r="AD1641" s="32">
        <v>2.4140000000000001</v>
      </c>
    </row>
    <row r="1642" spans="1:30">
      <c r="A1642">
        <v>1640</v>
      </c>
      <c r="B1642">
        <v>31</v>
      </c>
      <c r="C1642">
        <v>1.669</v>
      </c>
      <c r="D1642">
        <v>3.59</v>
      </c>
      <c r="E1642">
        <v>0</v>
      </c>
      <c r="F1642">
        <v>1.5189999999999999</v>
      </c>
      <c r="G1642">
        <v>0</v>
      </c>
      <c r="H1642">
        <v>0.17100000000000001</v>
      </c>
      <c r="I1642">
        <v>2.5390000000000001</v>
      </c>
      <c r="K1642">
        <v>1640</v>
      </c>
      <c r="L1642">
        <v>31</v>
      </c>
      <c r="M1642" s="32">
        <v>1.669</v>
      </c>
      <c r="N1642" s="47">
        <v>3.57</v>
      </c>
      <c r="P1642" s="47">
        <v>1.52</v>
      </c>
      <c r="R1642" s="47">
        <v>0.17199999999999999</v>
      </c>
      <c r="S1642" s="47">
        <v>2.536</v>
      </c>
      <c r="T1642" s="31">
        <v>0</v>
      </c>
      <c r="V1642">
        <v>1640</v>
      </c>
      <c r="W1642">
        <v>29</v>
      </c>
      <c r="X1642">
        <v>1.681</v>
      </c>
      <c r="Y1642" s="32">
        <v>3.57</v>
      </c>
      <c r="Z1642">
        <v>0</v>
      </c>
      <c r="AA1642" s="32">
        <v>1.4370000000000001</v>
      </c>
      <c r="AB1642">
        <v>0</v>
      </c>
      <c r="AC1642" s="34">
        <v>0.16200000000000001</v>
      </c>
      <c r="AD1642" s="32">
        <v>2.415</v>
      </c>
    </row>
    <row r="1643" spans="1:30">
      <c r="A1643">
        <v>1641</v>
      </c>
      <c r="B1643">
        <v>31</v>
      </c>
      <c r="C1643">
        <v>1.67</v>
      </c>
      <c r="D1643">
        <v>3.57</v>
      </c>
      <c r="E1643">
        <v>0</v>
      </c>
      <c r="F1643">
        <v>1.52</v>
      </c>
      <c r="G1643">
        <v>0</v>
      </c>
      <c r="H1643">
        <v>0.17100000000000001</v>
      </c>
      <c r="I1643">
        <v>2.5579999999999998</v>
      </c>
      <c r="K1643">
        <v>1641</v>
      </c>
      <c r="L1643">
        <v>31</v>
      </c>
      <c r="M1643" s="32">
        <v>1.67</v>
      </c>
      <c r="N1643" s="32">
        <v>3.57</v>
      </c>
      <c r="P1643" s="32">
        <v>1.52</v>
      </c>
      <c r="R1643" s="47">
        <v>0.17199999999999999</v>
      </c>
      <c r="S1643" s="47">
        <v>2.5379999999999998</v>
      </c>
      <c r="T1643" s="31">
        <v>0</v>
      </c>
      <c r="V1643">
        <v>1641</v>
      </c>
      <c r="W1643">
        <v>29</v>
      </c>
      <c r="X1643">
        <v>1.6819999999999999</v>
      </c>
      <c r="Y1643" s="32">
        <v>3.57</v>
      </c>
      <c r="Z1643">
        <v>0</v>
      </c>
      <c r="AA1643" s="32">
        <v>1.4370000000000001</v>
      </c>
      <c r="AB1643">
        <v>0</v>
      </c>
      <c r="AC1643" s="34">
        <v>0.16200000000000001</v>
      </c>
      <c r="AD1643" s="32">
        <v>2.4169999999999998</v>
      </c>
    </row>
    <row r="1644" spans="1:30">
      <c r="A1644">
        <v>1642</v>
      </c>
      <c r="B1644">
        <v>31</v>
      </c>
      <c r="C1644">
        <v>1.671</v>
      </c>
      <c r="D1644">
        <v>3.57</v>
      </c>
      <c r="E1644">
        <v>0</v>
      </c>
      <c r="F1644">
        <v>1.52</v>
      </c>
      <c r="G1644">
        <v>0</v>
      </c>
      <c r="H1644">
        <v>0.17100000000000001</v>
      </c>
      <c r="I1644">
        <v>2.56</v>
      </c>
      <c r="K1644">
        <v>1642</v>
      </c>
      <c r="L1644">
        <v>31</v>
      </c>
      <c r="M1644" s="32">
        <v>1.671</v>
      </c>
      <c r="N1644" s="32">
        <v>3.57</v>
      </c>
      <c r="P1644" s="32">
        <v>1.52</v>
      </c>
      <c r="R1644" s="47">
        <v>0.17199999999999999</v>
      </c>
      <c r="S1644" s="47">
        <v>2.54</v>
      </c>
      <c r="T1644" s="31">
        <v>0</v>
      </c>
      <c r="V1644">
        <v>1642</v>
      </c>
      <c r="W1644">
        <v>29</v>
      </c>
      <c r="X1644">
        <v>1.6830000000000001</v>
      </c>
      <c r="Y1644" s="32">
        <v>3.57</v>
      </c>
      <c r="Z1644">
        <v>0</v>
      </c>
      <c r="AA1644" s="32">
        <v>1.4370000000000001</v>
      </c>
      <c r="AB1644">
        <v>0</v>
      </c>
      <c r="AC1644" s="34">
        <v>0.16200000000000001</v>
      </c>
      <c r="AD1644" s="32">
        <v>2.419</v>
      </c>
    </row>
    <row r="1645" spans="1:30">
      <c r="A1645">
        <v>1643</v>
      </c>
      <c r="B1645">
        <v>31</v>
      </c>
      <c r="C1645">
        <v>1.6719999999999999</v>
      </c>
      <c r="D1645">
        <v>3.57</v>
      </c>
      <c r="E1645">
        <v>0</v>
      </c>
      <c r="F1645">
        <v>1.52</v>
      </c>
      <c r="G1645">
        <v>0</v>
      </c>
      <c r="H1645">
        <v>0.17100000000000001</v>
      </c>
      <c r="I1645">
        <v>2.5609999999999999</v>
      </c>
      <c r="K1645">
        <v>1643</v>
      </c>
      <c r="L1645">
        <v>31</v>
      </c>
      <c r="M1645" s="32">
        <v>1.6719999999999999</v>
      </c>
      <c r="N1645" s="32">
        <v>3.57</v>
      </c>
      <c r="P1645" s="32">
        <v>1.52</v>
      </c>
      <c r="R1645" s="47">
        <v>0.17199999999999999</v>
      </c>
      <c r="S1645" s="47">
        <v>2.5419999999999998</v>
      </c>
      <c r="T1645" s="31">
        <v>0</v>
      </c>
      <c r="V1645">
        <v>1643</v>
      </c>
      <c r="W1645">
        <v>29</v>
      </c>
      <c r="X1645">
        <v>1.6839999999999999</v>
      </c>
      <c r="Y1645" s="32">
        <v>3.57</v>
      </c>
      <c r="Z1645">
        <v>0</v>
      </c>
      <c r="AA1645" s="32">
        <v>1.4379999999999999</v>
      </c>
      <c r="AB1645">
        <v>0</v>
      </c>
      <c r="AC1645" s="34">
        <v>0.16200000000000001</v>
      </c>
      <c r="AD1645" s="32">
        <v>2.4209999999999998</v>
      </c>
    </row>
    <row r="1646" spans="1:30">
      <c r="A1646">
        <v>1644</v>
      </c>
      <c r="B1646">
        <v>31</v>
      </c>
      <c r="C1646">
        <v>1.673</v>
      </c>
      <c r="D1646">
        <v>3.57</v>
      </c>
      <c r="E1646">
        <v>0</v>
      </c>
      <c r="F1646">
        <v>1.52</v>
      </c>
      <c r="G1646">
        <v>0</v>
      </c>
      <c r="H1646">
        <v>0.17100000000000001</v>
      </c>
      <c r="I1646">
        <v>2.5630000000000002</v>
      </c>
      <c r="K1646">
        <v>1644</v>
      </c>
      <c r="L1646">
        <v>31</v>
      </c>
      <c r="M1646" s="32">
        <v>1.673</v>
      </c>
      <c r="N1646" s="32">
        <v>3.57</v>
      </c>
      <c r="P1646" s="47">
        <v>1.5209999999999999</v>
      </c>
      <c r="R1646" s="47">
        <v>0.17199999999999999</v>
      </c>
      <c r="S1646" s="47">
        <v>2.544</v>
      </c>
      <c r="T1646" s="31">
        <v>0</v>
      </c>
      <c r="V1646">
        <v>1644</v>
      </c>
      <c r="W1646">
        <v>29</v>
      </c>
      <c r="X1646">
        <v>1.6850000000000001</v>
      </c>
      <c r="Y1646" s="32">
        <v>3.57</v>
      </c>
      <c r="Z1646">
        <v>0</v>
      </c>
      <c r="AA1646" s="32">
        <v>1.4379999999999999</v>
      </c>
      <c r="AB1646">
        <v>0</v>
      </c>
      <c r="AC1646" s="34">
        <v>0.16200000000000001</v>
      </c>
      <c r="AD1646" s="32">
        <v>2.423</v>
      </c>
    </row>
    <row r="1647" spans="1:30">
      <c r="A1647">
        <v>1645</v>
      </c>
      <c r="B1647">
        <v>31</v>
      </c>
      <c r="C1647">
        <v>1.6739999999999999</v>
      </c>
      <c r="D1647">
        <v>3.57</v>
      </c>
      <c r="E1647">
        <v>0</v>
      </c>
      <c r="F1647">
        <v>1.52</v>
      </c>
      <c r="G1647">
        <v>0</v>
      </c>
      <c r="H1647">
        <v>0.17100000000000001</v>
      </c>
      <c r="I1647">
        <v>2.5649999999999999</v>
      </c>
      <c r="K1647">
        <v>1645</v>
      </c>
      <c r="L1647">
        <v>31</v>
      </c>
      <c r="M1647" s="32">
        <v>1.6739999999999999</v>
      </c>
      <c r="N1647" s="32">
        <v>3.57</v>
      </c>
      <c r="P1647" s="47">
        <v>1.5209999999999999</v>
      </c>
      <c r="R1647" s="47">
        <v>0.17199999999999999</v>
      </c>
      <c r="S1647" s="47">
        <v>2.5459999999999998</v>
      </c>
      <c r="T1647" s="31">
        <v>0</v>
      </c>
      <c r="V1647">
        <v>1645</v>
      </c>
      <c r="W1647">
        <v>29</v>
      </c>
      <c r="X1647">
        <v>1.6859999999999999</v>
      </c>
      <c r="Y1647" s="32">
        <v>3.57</v>
      </c>
      <c r="Z1647">
        <v>0</v>
      </c>
      <c r="AA1647" s="32">
        <v>1.4379999999999999</v>
      </c>
      <c r="AB1647">
        <v>0</v>
      </c>
      <c r="AC1647" s="34">
        <v>0.16200000000000001</v>
      </c>
      <c r="AD1647" s="32">
        <v>2.4239999999999999</v>
      </c>
    </row>
    <row r="1648" spans="1:30">
      <c r="A1648">
        <v>1646</v>
      </c>
      <c r="B1648">
        <v>31</v>
      </c>
      <c r="C1648">
        <v>1.675</v>
      </c>
      <c r="D1648">
        <v>3.57</v>
      </c>
      <c r="E1648">
        <v>0</v>
      </c>
      <c r="F1648">
        <v>1.52</v>
      </c>
      <c r="G1648">
        <v>0</v>
      </c>
      <c r="H1648">
        <v>0.17100000000000001</v>
      </c>
      <c r="I1648">
        <v>2.5670000000000002</v>
      </c>
      <c r="K1648">
        <v>1646</v>
      </c>
      <c r="L1648">
        <v>31</v>
      </c>
      <c r="M1648" s="32">
        <v>1.675</v>
      </c>
      <c r="N1648" s="32">
        <v>3.57</v>
      </c>
      <c r="P1648" s="47">
        <v>1.5209999999999999</v>
      </c>
      <c r="R1648" s="47">
        <v>0.17199999999999999</v>
      </c>
      <c r="S1648" s="47">
        <v>2.548</v>
      </c>
      <c r="T1648" s="31">
        <v>0</v>
      </c>
      <c r="V1648">
        <v>1646</v>
      </c>
      <c r="W1648">
        <v>29</v>
      </c>
      <c r="X1648">
        <v>1.6870000000000001</v>
      </c>
      <c r="Y1648" s="32">
        <v>3.57</v>
      </c>
      <c r="Z1648">
        <v>0</v>
      </c>
      <c r="AA1648" s="32">
        <v>1.4379999999999999</v>
      </c>
      <c r="AB1648">
        <v>0</v>
      </c>
      <c r="AC1648" s="34">
        <v>0.16200000000000001</v>
      </c>
      <c r="AD1648" s="32">
        <v>2.4260000000000002</v>
      </c>
    </row>
    <row r="1649" spans="1:30">
      <c r="A1649">
        <v>1647</v>
      </c>
      <c r="B1649">
        <v>31</v>
      </c>
      <c r="C1649">
        <v>1.6759999999999999</v>
      </c>
      <c r="D1649">
        <v>3.57</v>
      </c>
      <c r="E1649">
        <v>0</v>
      </c>
      <c r="F1649">
        <v>1.52</v>
      </c>
      <c r="G1649">
        <v>0</v>
      </c>
      <c r="H1649">
        <v>0.17100000000000001</v>
      </c>
      <c r="I1649">
        <v>2.569</v>
      </c>
      <c r="K1649">
        <v>1647</v>
      </c>
      <c r="L1649">
        <v>31</v>
      </c>
      <c r="M1649" s="32">
        <v>1.6759999999999999</v>
      </c>
      <c r="N1649" s="32">
        <v>3.57</v>
      </c>
      <c r="P1649" s="47">
        <v>1.5209999999999999</v>
      </c>
      <c r="R1649" s="47">
        <v>0.17199999999999999</v>
      </c>
      <c r="S1649" s="47">
        <v>2.5489999999999999</v>
      </c>
      <c r="T1649" s="31">
        <v>0</v>
      </c>
      <c r="V1649">
        <v>1647</v>
      </c>
      <c r="W1649">
        <v>29</v>
      </c>
      <c r="X1649">
        <v>1.6879999999999999</v>
      </c>
      <c r="Y1649" s="32">
        <v>3.57</v>
      </c>
      <c r="Z1649">
        <v>0</v>
      </c>
      <c r="AA1649" s="32">
        <v>1.4379999999999999</v>
      </c>
      <c r="AB1649">
        <v>0</v>
      </c>
      <c r="AC1649" s="34">
        <v>0.16200000000000001</v>
      </c>
      <c r="AD1649" s="32">
        <v>2.4279999999999999</v>
      </c>
    </row>
    <row r="1650" spans="1:30">
      <c r="A1650">
        <v>1648</v>
      </c>
      <c r="B1650">
        <v>31</v>
      </c>
      <c r="C1650">
        <v>1.677</v>
      </c>
      <c r="D1650">
        <v>3.57</v>
      </c>
      <c r="E1650">
        <v>0</v>
      </c>
      <c r="F1650">
        <v>1.52</v>
      </c>
      <c r="G1650">
        <v>0</v>
      </c>
      <c r="H1650">
        <v>0.17100000000000001</v>
      </c>
      <c r="I1650">
        <v>2.5710000000000002</v>
      </c>
      <c r="K1650">
        <v>1648</v>
      </c>
      <c r="L1650">
        <v>31</v>
      </c>
      <c r="M1650" s="32">
        <v>1.677</v>
      </c>
      <c r="N1650" s="32">
        <v>3.57</v>
      </c>
      <c r="P1650" s="47">
        <v>1.5209999999999999</v>
      </c>
      <c r="R1650" s="47">
        <v>0.17199999999999999</v>
      </c>
      <c r="S1650" s="47">
        <v>2.5510000000000002</v>
      </c>
      <c r="T1650" s="31">
        <v>0</v>
      </c>
      <c r="V1650">
        <v>1648</v>
      </c>
      <c r="W1650">
        <v>29</v>
      </c>
      <c r="X1650">
        <v>1.6890000000000001</v>
      </c>
      <c r="Y1650" s="32">
        <v>3.57</v>
      </c>
      <c r="Z1650">
        <v>0</v>
      </c>
      <c r="AA1650" s="32">
        <v>1.4390000000000001</v>
      </c>
      <c r="AB1650">
        <v>0</v>
      </c>
      <c r="AC1650" s="34">
        <v>0.16200000000000001</v>
      </c>
      <c r="AD1650" s="32">
        <v>2.4300000000000002</v>
      </c>
    </row>
    <row r="1651" spans="1:30">
      <c r="A1651">
        <v>1649</v>
      </c>
      <c r="B1651">
        <v>31</v>
      </c>
      <c r="C1651">
        <v>1.6779999999999999</v>
      </c>
      <c r="D1651">
        <v>3.57</v>
      </c>
      <c r="E1651">
        <v>0</v>
      </c>
      <c r="F1651">
        <v>1.52</v>
      </c>
      <c r="G1651">
        <v>0</v>
      </c>
      <c r="H1651">
        <v>0.17100000000000001</v>
      </c>
      <c r="I1651">
        <v>2.573</v>
      </c>
      <c r="K1651">
        <v>1649</v>
      </c>
      <c r="L1651">
        <v>31</v>
      </c>
      <c r="M1651" s="32">
        <v>1.6779999999999999</v>
      </c>
      <c r="N1651" s="32">
        <v>3.57</v>
      </c>
      <c r="P1651" s="47">
        <v>1.522</v>
      </c>
      <c r="R1651" s="47">
        <v>0.17199999999999999</v>
      </c>
      <c r="S1651" s="47">
        <v>2.5529999999999999</v>
      </c>
      <c r="T1651" s="31">
        <v>0</v>
      </c>
      <c r="V1651">
        <v>1649</v>
      </c>
      <c r="W1651">
        <v>29</v>
      </c>
      <c r="X1651">
        <v>1.69</v>
      </c>
      <c r="Y1651" s="32">
        <v>3.57</v>
      </c>
      <c r="Z1651">
        <v>0</v>
      </c>
      <c r="AA1651" s="32">
        <v>1.4390000000000001</v>
      </c>
      <c r="AB1651">
        <v>0</v>
      </c>
      <c r="AC1651" s="34">
        <v>0.16200000000000001</v>
      </c>
      <c r="AD1651" s="32">
        <v>2.431</v>
      </c>
    </row>
    <row r="1652" spans="1:30">
      <c r="A1652">
        <v>1650</v>
      </c>
      <c r="B1652">
        <v>31</v>
      </c>
      <c r="C1652">
        <v>1.679</v>
      </c>
      <c r="D1652">
        <v>3.57</v>
      </c>
      <c r="E1652">
        <v>0</v>
      </c>
      <c r="F1652">
        <v>1.52</v>
      </c>
      <c r="G1652">
        <v>0</v>
      </c>
      <c r="H1652">
        <v>0.17100000000000001</v>
      </c>
      <c r="I1652">
        <v>2.5750000000000002</v>
      </c>
      <c r="K1652">
        <v>1650</v>
      </c>
      <c r="L1652">
        <v>31</v>
      </c>
      <c r="M1652" s="32">
        <v>1.679</v>
      </c>
      <c r="N1652" s="32">
        <v>3.57</v>
      </c>
      <c r="P1652" s="47">
        <v>1.522</v>
      </c>
      <c r="R1652" s="47">
        <v>0.17199999999999999</v>
      </c>
      <c r="S1652" s="47">
        <v>2.5550000000000002</v>
      </c>
      <c r="T1652" s="31">
        <v>0</v>
      </c>
      <c r="V1652">
        <v>1650</v>
      </c>
      <c r="W1652">
        <v>29</v>
      </c>
      <c r="X1652">
        <v>1.6910000000000001</v>
      </c>
      <c r="Y1652" s="32">
        <v>3.57</v>
      </c>
      <c r="Z1652">
        <v>0</v>
      </c>
      <c r="AA1652" s="32">
        <v>1.4390000000000001</v>
      </c>
      <c r="AB1652">
        <v>0</v>
      </c>
      <c r="AC1652" s="34">
        <v>0.16200000000000001</v>
      </c>
      <c r="AD1652" s="32">
        <v>2.4329999999999998</v>
      </c>
    </row>
    <row r="1653" spans="1:30">
      <c r="A1653">
        <v>1651</v>
      </c>
      <c r="B1653">
        <v>31</v>
      </c>
      <c r="C1653">
        <v>1.68</v>
      </c>
      <c r="D1653">
        <v>3.57</v>
      </c>
      <c r="E1653">
        <v>0</v>
      </c>
      <c r="F1653">
        <v>1.522</v>
      </c>
      <c r="G1653">
        <v>0</v>
      </c>
      <c r="H1653">
        <v>0.17100000000000001</v>
      </c>
      <c r="I1653">
        <v>2.5960000000000001</v>
      </c>
      <c r="K1653">
        <v>1651</v>
      </c>
      <c r="L1653">
        <v>31</v>
      </c>
      <c r="M1653" s="32">
        <v>1.68</v>
      </c>
      <c r="N1653" s="32">
        <v>3.57</v>
      </c>
      <c r="P1653" s="32">
        <v>1.522</v>
      </c>
      <c r="R1653" s="47">
        <v>0.17199999999999999</v>
      </c>
      <c r="S1653" s="47">
        <v>2.5569999999999999</v>
      </c>
      <c r="T1653" s="31">
        <v>0</v>
      </c>
      <c r="V1653">
        <v>1651</v>
      </c>
      <c r="W1653">
        <v>29</v>
      </c>
      <c r="X1653">
        <v>1.6919999999999999</v>
      </c>
      <c r="Y1653" s="32">
        <v>3.57</v>
      </c>
      <c r="Z1653">
        <v>0</v>
      </c>
      <c r="AA1653" s="32">
        <v>1.4390000000000001</v>
      </c>
      <c r="AB1653">
        <v>0</v>
      </c>
      <c r="AC1653" s="34">
        <v>0.16200000000000001</v>
      </c>
      <c r="AD1653" s="32">
        <v>2.4350000000000001</v>
      </c>
    </row>
    <row r="1654" spans="1:30">
      <c r="A1654">
        <v>1652</v>
      </c>
      <c r="B1654">
        <v>31</v>
      </c>
      <c r="C1654">
        <v>1.681</v>
      </c>
      <c r="D1654">
        <v>3.57</v>
      </c>
      <c r="E1654">
        <v>0</v>
      </c>
      <c r="F1654">
        <v>1.522</v>
      </c>
      <c r="G1654">
        <v>0</v>
      </c>
      <c r="H1654">
        <v>0.17100000000000001</v>
      </c>
      <c r="I1654">
        <v>2.5979999999999999</v>
      </c>
      <c r="K1654">
        <v>1652</v>
      </c>
      <c r="L1654">
        <v>31</v>
      </c>
      <c r="M1654" s="32">
        <v>1.681</v>
      </c>
      <c r="N1654" s="32">
        <v>3.57</v>
      </c>
      <c r="P1654" s="32">
        <v>1.522</v>
      </c>
      <c r="R1654" s="47">
        <v>0.17199999999999999</v>
      </c>
      <c r="S1654" s="47">
        <v>2.5590000000000002</v>
      </c>
      <c r="T1654" s="31">
        <v>0</v>
      </c>
      <c r="V1654">
        <v>1652</v>
      </c>
      <c r="W1654">
        <v>29</v>
      </c>
      <c r="X1654">
        <v>1.6930000000000001</v>
      </c>
      <c r="Y1654" s="32">
        <v>3.57</v>
      </c>
      <c r="Z1654">
        <v>0</v>
      </c>
      <c r="AA1654" s="32">
        <v>1.44</v>
      </c>
      <c r="AB1654">
        <v>0</v>
      </c>
      <c r="AC1654" s="34">
        <v>0.16200000000000001</v>
      </c>
      <c r="AD1654" s="32">
        <v>2.4369999999999998</v>
      </c>
    </row>
    <row r="1655" spans="1:30">
      <c r="A1655">
        <v>1653</v>
      </c>
      <c r="B1655">
        <v>31</v>
      </c>
      <c r="C1655">
        <v>1.6819999999999999</v>
      </c>
      <c r="D1655">
        <v>3.57</v>
      </c>
      <c r="E1655">
        <v>0</v>
      </c>
      <c r="F1655">
        <v>1.522</v>
      </c>
      <c r="G1655">
        <v>0</v>
      </c>
      <c r="H1655">
        <v>0.17100000000000001</v>
      </c>
      <c r="I1655">
        <v>2.6</v>
      </c>
      <c r="K1655">
        <v>1653</v>
      </c>
      <c r="L1655">
        <v>31</v>
      </c>
      <c r="M1655" s="32">
        <v>1.6819999999999999</v>
      </c>
      <c r="N1655" s="32">
        <v>3.57</v>
      </c>
      <c r="P1655" s="47">
        <v>1.5229999999999999</v>
      </c>
      <c r="R1655" s="47">
        <v>0.17199999999999999</v>
      </c>
      <c r="S1655" s="47">
        <v>2.5609999999999999</v>
      </c>
      <c r="T1655" s="31">
        <v>0</v>
      </c>
      <c r="V1655">
        <v>1653</v>
      </c>
      <c r="W1655">
        <v>29</v>
      </c>
      <c r="X1655">
        <v>1.694</v>
      </c>
      <c r="Y1655" s="32">
        <v>3.57</v>
      </c>
      <c r="Z1655">
        <v>0</v>
      </c>
      <c r="AA1655" s="32">
        <v>1.44</v>
      </c>
      <c r="AB1655">
        <v>0</v>
      </c>
      <c r="AC1655" s="34">
        <v>0.16200000000000001</v>
      </c>
      <c r="AD1655" s="32">
        <v>2.4390000000000001</v>
      </c>
    </row>
    <row r="1656" spans="1:30">
      <c r="A1656">
        <v>1654</v>
      </c>
      <c r="B1656">
        <v>31</v>
      </c>
      <c r="C1656">
        <v>1.6830000000000001</v>
      </c>
      <c r="D1656">
        <v>3.57</v>
      </c>
      <c r="E1656">
        <v>0</v>
      </c>
      <c r="F1656">
        <v>1.522</v>
      </c>
      <c r="G1656">
        <v>0</v>
      </c>
      <c r="H1656">
        <v>0.17100000000000001</v>
      </c>
      <c r="I1656">
        <v>2.6019999999999999</v>
      </c>
      <c r="K1656">
        <v>1654</v>
      </c>
      <c r="L1656">
        <v>31</v>
      </c>
      <c r="M1656" s="32">
        <v>1.6830000000000001</v>
      </c>
      <c r="N1656" s="32">
        <v>3.57</v>
      </c>
      <c r="P1656" s="47">
        <v>1.5229999999999999</v>
      </c>
      <c r="R1656" s="47">
        <v>0.17199999999999999</v>
      </c>
      <c r="S1656" s="47">
        <v>2.5630000000000002</v>
      </c>
      <c r="T1656" s="31">
        <v>0</v>
      </c>
      <c r="V1656">
        <v>1654</v>
      </c>
      <c r="W1656">
        <v>29</v>
      </c>
      <c r="X1656">
        <v>1.6950000000000001</v>
      </c>
      <c r="Y1656" s="32">
        <v>3.57</v>
      </c>
      <c r="Z1656">
        <v>0</v>
      </c>
      <c r="AA1656" s="32">
        <v>1.44</v>
      </c>
      <c r="AB1656">
        <v>0</v>
      </c>
      <c r="AC1656" s="34">
        <v>0.16200000000000001</v>
      </c>
      <c r="AD1656" s="32">
        <v>2.44</v>
      </c>
    </row>
    <row r="1657" spans="1:30">
      <c r="A1657">
        <v>1655</v>
      </c>
      <c r="B1657">
        <v>31</v>
      </c>
      <c r="C1657">
        <v>1.6839999999999999</v>
      </c>
      <c r="D1657">
        <v>3.57</v>
      </c>
      <c r="E1657">
        <v>0</v>
      </c>
      <c r="F1657">
        <v>1.522</v>
      </c>
      <c r="G1657">
        <v>0</v>
      </c>
      <c r="H1657">
        <v>0.17100000000000001</v>
      </c>
      <c r="I1657">
        <v>2.6040000000000001</v>
      </c>
      <c r="K1657">
        <v>1655</v>
      </c>
      <c r="L1657">
        <v>31</v>
      </c>
      <c r="M1657" s="32">
        <v>1.6839999999999999</v>
      </c>
      <c r="N1657" s="32">
        <v>3.57</v>
      </c>
      <c r="P1657" s="47">
        <v>1.5229999999999999</v>
      </c>
      <c r="R1657" s="47">
        <v>0.17199999999999999</v>
      </c>
      <c r="S1657" s="47">
        <v>2.5649999999999999</v>
      </c>
      <c r="T1657" s="31">
        <v>0</v>
      </c>
      <c r="V1657">
        <v>1655</v>
      </c>
      <c r="W1657">
        <v>29</v>
      </c>
      <c r="X1657">
        <v>1.696</v>
      </c>
      <c r="Y1657" s="32">
        <v>3.57</v>
      </c>
      <c r="Z1657">
        <v>0</v>
      </c>
      <c r="AA1657" s="32">
        <v>1.44</v>
      </c>
      <c r="AB1657">
        <v>0</v>
      </c>
      <c r="AC1657" s="34">
        <v>0.16300000000000001</v>
      </c>
      <c r="AD1657" s="32">
        <v>2.4420000000000002</v>
      </c>
    </row>
    <row r="1658" spans="1:30">
      <c r="A1658">
        <v>1656</v>
      </c>
      <c r="B1658">
        <v>31</v>
      </c>
      <c r="C1658">
        <v>1.6850000000000001</v>
      </c>
      <c r="D1658">
        <v>3.57</v>
      </c>
      <c r="E1658">
        <v>0</v>
      </c>
      <c r="F1658">
        <v>1.522</v>
      </c>
      <c r="G1658">
        <v>0</v>
      </c>
      <c r="H1658">
        <v>0.17100000000000001</v>
      </c>
      <c r="I1658">
        <v>2.6059999999999999</v>
      </c>
      <c r="K1658">
        <v>1656</v>
      </c>
      <c r="L1658">
        <v>31</v>
      </c>
      <c r="M1658" s="32">
        <v>1.6850000000000001</v>
      </c>
      <c r="N1658" s="32">
        <v>3.57</v>
      </c>
      <c r="P1658" s="47">
        <v>1.524</v>
      </c>
      <c r="R1658" s="47">
        <v>0.17199999999999999</v>
      </c>
      <c r="S1658" s="47">
        <v>2.5670000000000002</v>
      </c>
      <c r="T1658" s="31">
        <v>0</v>
      </c>
      <c r="V1658">
        <v>1656</v>
      </c>
      <c r="W1658">
        <v>29</v>
      </c>
      <c r="X1658">
        <v>1.6970000000000001</v>
      </c>
      <c r="Y1658" s="32">
        <v>3.57</v>
      </c>
      <c r="Z1658">
        <v>0</v>
      </c>
      <c r="AA1658" s="32">
        <v>1.44</v>
      </c>
      <c r="AB1658">
        <v>0</v>
      </c>
      <c r="AC1658" s="34">
        <v>0.16300000000000001</v>
      </c>
      <c r="AD1658" s="32">
        <v>2.444</v>
      </c>
    </row>
    <row r="1659" spans="1:30">
      <c r="A1659">
        <v>1657</v>
      </c>
      <c r="B1659">
        <v>31</v>
      </c>
      <c r="C1659">
        <v>1.6859999999999999</v>
      </c>
      <c r="D1659">
        <v>3.57</v>
      </c>
      <c r="E1659">
        <v>0</v>
      </c>
      <c r="F1659">
        <v>1.522</v>
      </c>
      <c r="G1659">
        <v>0</v>
      </c>
      <c r="H1659">
        <v>0.17100000000000001</v>
      </c>
      <c r="I1659">
        <v>2.6080000000000001</v>
      </c>
      <c r="K1659">
        <v>1657</v>
      </c>
      <c r="L1659">
        <v>31</v>
      </c>
      <c r="M1659" s="32">
        <v>1.6859999999999999</v>
      </c>
      <c r="N1659" s="32">
        <v>3.57</v>
      </c>
      <c r="P1659" s="47">
        <v>1.524</v>
      </c>
      <c r="R1659" s="47">
        <v>0.17199999999999999</v>
      </c>
      <c r="S1659" s="47">
        <v>2.569</v>
      </c>
      <c r="T1659" s="31">
        <v>0</v>
      </c>
      <c r="V1659">
        <v>1657</v>
      </c>
      <c r="W1659">
        <v>29</v>
      </c>
      <c r="X1659">
        <v>1.698</v>
      </c>
      <c r="Y1659" s="32">
        <v>3.57</v>
      </c>
      <c r="Z1659">
        <v>0</v>
      </c>
      <c r="AA1659" s="32">
        <v>1.4410000000000001</v>
      </c>
      <c r="AB1659">
        <v>0</v>
      </c>
      <c r="AC1659" s="34">
        <v>0.16300000000000001</v>
      </c>
      <c r="AD1659" s="32">
        <v>2.4460000000000002</v>
      </c>
    </row>
    <row r="1660" spans="1:30">
      <c r="A1660">
        <v>1658</v>
      </c>
      <c r="B1660">
        <v>31</v>
      </c>
      <c r="C1660">
        <v>1.6870000000000001</v>
      </c>
      <c r="D1660">
        <v>3.57</v>
      </c>
      <c r="E1660">
        <v>0</v>
      </c>
      <c r="F1660">
        <v>1.522</v>
      </c>
      <c r="G1660">
        <v>0</v>
      </c>
      <c r="H1660">
        <v>0.17100000000000001</v>
      </c>
      <c r="I1660">
        <v>2.61</v>
      </c>
      <c r="K1660">
        <v>1658</v>
      </c>
      <c r="L1660">
        <v>31</v>
      </c>
      <c r="M1660" s="32">
        <v>1.6870000000000001</v>
      </c>
      <c r="N1660" s="32">
        <v>3.57</v>
      </c>
      <c r="P1660" s="47">
        <v>1.524</v>
      </c>
      <c r="R1660" s="47">
        <v>0.17299999999999999</v>
      </c>
      <c r="S1660" s="47">
        <v>2.5710000000000002</v>
      </c>
      <c r="T1660" s="31">
        <v>0</v>
      </c>
      <c r="V1660">
        <v>1658</v>
      </c>
      <c r="W1660">
        <v>29</v>
      </c>
      <c r="X1660">
        <v>1.6990000000000001</v>
      </c>
      <c r="Y1660" s="32">
        <v>3.57</v>
      </c>
      <c r="Z1660">
        <v>0</v>
      </c>
      <c r="AA1660" s="32">
        <v>1.4410000000000001</v>
      </c>
      <c r="AB1660">
        <v>0</v>
      </c>
      <c r="AC1660" s="34">
        <v>0.16300000000000001</v>
      </c>
      <c r="AD1660" s="32">
        <v>2.4470000000000001</v>
      </c>
    </row>
    <row r="1661" spans="1:30">
      <c r="A1661">
        <v>1659</v>
      </c>
      <c r="B1661">
        <v>31</v>
      </c>
      <c r="C1661">
        <v>1.6879999999999999</v>
      </c>
      <c r="D1661">
        <v>3.57</v>
      </c>
      <c r="E1661">
        <v>0</v>
      </c>
      <c r="F1661">
        <v>1.522</v>
      </c>
      <c r="G1661">
        <v>0</v>
      </c>
      <c r="H1661">
        <v>0.17100000000000001</v>
      </c>
      <c r="I1661">
        <v>2.6120000000000001</v>
      </c>
      <c r="K1661">
        <v>1659</v>
      </c>
      <c r="L1661">
        <v>31</v>
      </c>
      <c r="M1661" s="32">
        <v>1.6879999999999999</v>
      </c>
      <c r="N1661" s="32">
        <v>3.57</v>
      </c>
      <c r="P1661" s="47">
        <v>1.524</v>
      </c>
      <c r="R1661" s="47">
        <v>0.17299999999999999</v>
      </c>
      <c r="S1661" s="47">
        <v>2.573</v>
      </c>
      <c r="T1661" s="31">
        <v>0</v>
      </c>
      <c r="V1661">
        <v>1659</v>
      </c>
      <c r="W1661">
        <v>29</v>
      </c>
      <c r="X1661">
        <v>1.7</v>
      </c>
      <c r="Y1661" s="32">
        <v>3.57</v>
      </c>
      <c r="Z1661">
        <v>0</v>
      </c>
      <c r="AA1661" s="32">
        <v>1.4410000000000001</v>
      </c>
      <c r="AB1661">
        <v>0</v>
      </c>
      <c r="AC1661" s="34">
        <v>0.16300000000000001</v>
      </c>
      <c r="AD1661" s="32">
        <v>2.4489999999999998</v>
      </c>
    </row>
    <row r="1662" spans="1:30">
      <c r="A1662">
        <v>1660</v>
      </c>
      <c r="B1662">
        <v>31</v>
      </c>
      <c r="C1662">
        <v>1.6890000000000001</v>
      </c>
      <c r="D1662">
        <v>3.57</v>
      </c>
      <c r="E1662">
        <v>0</v>
      </c>
      <c r="F1662">
        <v>1.522</v>
      </c>
      <c r="G1662">
        <v>0</v>
      </c>
      <c r="H1662">
        <v>0.17100000000000001</v>
      </c>
      <c r="I1662">
        <v>2.6139999999999999</v>
      </c>
      <c r="K1662">
        <v>1660</v>
      </c>
      <c r="L1662">
        <v>31</v>
      </c>
      <c r="M1662" s="32">
        <v>1.6890000000000001</v>
      </c>
      <c r="N1662" s="32">
        <v>3.57</v>
      </c>
      <c r="P1662" s="47">
        <v>1.5249999999999999</v>
      </c>
      <c r="R1662" s="47">
        <v>0.17299999999999999</v>
      </c>
      <c r="S1662" s="47">
        <v>2.5750000000000002</v>
      </c>
      <c r="T1662" s="31">
        <v>0</v>
      </c>
      <c r="V1662">
        <v>1660</v>
      </c>
      <c r="W1662">
        <v>29</v>
      </c>
      <c r="X1662">
        <v>1.7010000000000001</v>
      </c>
      <c r="Y1662" s="32">
        <v>3.57</v>
      </c>
      <c r="Z1662">
        <v>0</v>
      </c>
      <c r="AA1662" s="32">
        <v>1.4410000000000001</v>
      </c>
      <c r="AB1662">
        <v>0</v>
      </c>
      <c r="AC1662" s="34">
        <v>0.16300000000000001</v>
      </c>
      <c r="AD1662" s="32">
        <v>2.4510000000000001</v>
      </c>
    </row>
    <row r="1663" spans="1:30">
      <c r="A1663">
        <v>1661</v>
      </c>
      <c r="B1663">
        <v>31</v>
      </c>
      <c r="C1663">
        <v>1.69</v>
      </c>
      <c r="D1663">
        <v>3.57</v>
      </c>
      <c r="E1663">
        <v>0</v>
      </c>
      <c r="F1663">
        <v>1.5249999999999999</v>
      </c>
      <c r="G1663">
        <v>0</v>
      </c>
      <c r="H1663">
        <v>0.17100000000000001</v>
      </c>
      <c r="I1663">
        <v>2.6360000000000001</v>
      </c>
      <c r="K1663">
        <v>1661</v>
      </c>
      <c r="L1663">
        <v>31</v>
      </c>
      <c r="M1663" s="32">
        <v>1.69</v>
      </c>
      <c r="N1663" s="32">
        <v>3.57</v>
      </c>
      <c r="P1663" s="32">
        <v>1.5249999999999999</v>
      </c>
      <c r="R1663" s="47">
        <v>0.17299999999999999</v>
      </c>
      <c r="S1663" s="47">
        <v>2.577</v>
      </c>
      <c r="T1663" s="31">
        <v>0</v>
      </c>
      <c r="V1663">
        <v>1661</v>
      </c>
      <c r="W1663">
        <v>29</v>
      </c>
      <c r="X1663">
        <v>1.702</v>
      </c>
      <c r="Y1663" s="32">
        <v>3.57</v>
      </c>
      <c r="Z1663">
        <v>0</v>
      </c>
      <c r="AA1663" s="32">
        <v>1.4410000000000001</v>
      </c>
      <c r="AB1663">
        <v>0</v>
      </c>
      <c r="AC1663" s="34">
        <v>0.16300000000000001</v>
      </c>
      <c r="AD1663" s="32">
        <v>2.4529999999999998</v>
      </c>
    </row>
    <row r="1664" spans="1:30">
      <c r="A1664">
        <v>1662</v>
      </c>
      <c r="B1664">
        <v>31</v>
      </c>
      <c r="C1664">
        <v>1.6910000000000001</v>
      </c>
      <c r="D1664">
        <v>3.57</v>
      </c>
      <c r="E1664">
        <v>0</v>
      </c>
      <c r="F1664">
        <v>1.5249999999999999</v>
      </c>
      <c r="G1664">
        <v>0</v>
      </c>
      <c r="H1664">
        <v>0.17100000000000001</v>
      </c>
      <c r="I1664">
        <v>2.6379999999999999</v>
      </c>
      <c r="K1664">
        <v>1662</v>
      </c>
      <c r="L1664">
        <v>31</v>
      </c>
      <c r="M1664" s="32">
        <v>1.6910000000000001</v>
      </c>
      <c r="N1664" s="32">
        <v>3.57</v>
      </c>
      <c r="P1664" s="32">
        <v>1.5249999999999999</v>
      </c>
      <c r="R1664" s="47">
        <v>0.17299999999999999</v>
      </c>
      <c r="S1664" s="47">
        <v>2.5790000000000002</v>
      </c>
      <c r="T1664" s="31">
        <v>0</v>
      </c>
      <c r="V1664">
        <v>1662</v>
      </c>
      <c r="W1664">
        <v>29</v>
      </c>
      <c r="X1664">
        <v>1.7030000000000001</v>
      </c>
      <c r="Y1664" s="32">
        <v>3.57</v>
      </c>
      <c r="Z1664">
        <v>0</v>
      </c>
      <c r="AA1664" s="32">
        <v>1.4419999999999999</v>
      </c>
      <c r="AB1664">
        <v>0</v>
      </c>
      <c r="AC1664" s="34">
        <v>0.16300000000000001</v>
      </c>
      <c r="AD1664" s="32">
        <v>2.4540000000000002</v>
      </c>
    </row>
    <row r="1665" spans="1:30">
      <c r="A1665">
        <v>1663</v>
      </c>
      <c r="B1665">
        <v>31</v>
      </c>
      <c r="C1665">
        <v>1.6919999999999999</v>
      </c>
      <c r="D1665">
        <v>3.57</v>
      </c>
      <c r="E1665">
        <v>0</v>
      </c>
      <c r="F1665">
        <v>1.5249999999999999</v>
      </c>
      <c r="G1665">
        <v>0</v>
      </c>
      <c r="H1665">
        <v>0.17100000000000001</v>
      </c>
      <c r="I1665">
        <v>2.64</v>
      </c>
      <c r="K1665">
        <v>1663</v>
      </c>
      <c r="L1665">
        <v>31</v>
      </c>
      <c r="M1665" s="32">
        <v>1.6919999999999999</v>
      </c>
      <c r="N1665" s="32">
        <v>3.57</v>
      </c>
      <c r="P1665" s="32">
        <v>1.5249999999999999</v>
      </c>
      <c r="R1665" s="47">
        <v>0.17299999999999999</v>
      </c>
      <c r="S1665" s="47">
        <v>2.581</v>
      </c>
      <c r="T1665" s="31">
        <v>0</v>
      </c>
      <c r="V1665">
        <v>1663</v>
      </c>
      <c r="W1665">
        <v>29</v>
      </c>
      <c r="X1665">
        <v>1.704</v>
      </c>
      <c r="Y1665" s="32">
        <v>3.57</v>
      </c>
      <c r="Z1665">
        <v>0</v>
      </c>
      <c r="AA1665" s="32">
        <v>1.4419999999999999</v>
      </c>
      <c r="AB1665">
        <v>0</v>
      </c>
      <c r="AC1665" s="34">
        <v>0.16300000000000001</v>
      </c>
      <c r="AD1665" s="32">
        <v>2.456</v>
      </c>
    </row>
    <row r="1666" spans="1:30">
      <c r="A1666">
        <v>1664</v>
      </c>
      <c r="B1666">
        <v>31</v>
      </c>
      <c r="C1666">
        <v>1.6930000000000001</v>
      </c>
      <c r="D1666">
        <v>3.57</v>
      </c>
      <c r="E1666">
        <v>0</v>
      </c>
      <c r="F1666">
        <v>1.5249999999999999</v>
      </c>
      <c r="G1666">
        <v>0</v>
      </c>
      <c r="H1666">
        <v>0.17100000000000001</v>
      </c>
      <c r="I1666">
        <v>2.6419999999999999</v>
      </c>
      <c r="K1666">
        <v>1664</v>
      </c>
      <c r="L1666">
        <v>31</v>
      </c>
      <c r="M1666" s="32">
        <v>1.6930000000000001</v>
      </c>
      <c r="N1666" s="32">
        <v>3.57</v>
      </c>
      <c r="P1666" s="47">
        <v>1.526</v>
      </c>
      <c r="R1666" s="47">
        <v>0.17299999999999999</v>
      </c>
      <c r="S1666" s="47">
        <v>2.5830000000000002</v>
      </c>
      <c r="T1666" s="31">
        <v>0</v>
      </c>
      <c r="V1666">
        <v>1664</v>
      </c>
      <c r="W1666">
        <v>30</v>
      </c>
      <c r="X1666">
        <v>1.7050000000000001</v>
      </c>
      <c r="Y1666" s="32">
        <v>3.57</v>
      </c>
      <c r="Z1666">
        <v>0</v>
      </c>
      <c r="AA1666" s="32">
        <v>1.4419999999999999</v>
      </c>
      <c r="AB1666">
        <v>0</v>
      </c>
      <c r="AC1666" s="34">
        <v>0.16300000000000001</v>
      </c>
      <c r="AD1666" s="32">
        <v>2.4580000000000002</v>
      </c>
    </row>
    <row r="1667" spans="1:30">
      <c r="A1667">
        <v>1665</v>
      </c>
      <c r="B1667">
        <v>31</v>
      </c>
      <c r="C1667">
        <v>1.694</v>
      </c>
      <c r="D1667">
        <v>3.57</v>
      </c>
      <c r="E1667">
        <v>0</v>
      </c>
      <c r="F1667">
        <v>1.5249999999999999</v>
      </c>
      <c r="G1667">
        <v>0</v>
      </c>
      <c r="H1667">
        <v>0.17100000000000001</v>
      </c>
      <c r="I1667">
        <v>2.6429999999999998</v>
      </c>
      <c r="K1667">
        <v>1665</v>
      </c>
      <c r="L1667">
        <v>31</v>
      </c>
      <c r="M1667" s="32">
        <v>1.694</v>
      </c>
      <c r="N1667" s="32">
        <v>3.57</v>
      </c>
      <c r="P1667" s="47">
        <v>1.526</v>
      </c>
      <c r="R1667" s="47">
        <v>0.17299999999999999</v>
      </c>
      <c r="S1667" s="47">
        <v>2.585</v>
      </c>
      <c r="T1667" s="31">
        <v>0</v>
      </c>
      <c r="V1667">
        <v>1665</v>
      </c>
      <c r="W1667">
        <v>30</v>
      </c>
      <c r="X1667">
        <v>1.706</v>
      </c>
      <c r="Y1667" s="32">
        <v>3.57</v>
      </c>
      <c r="Z1667">
        <v>0</v>
      </c>
      <c r="AA1667" s="32">
        <v>1.4419999999999999</v>
      </c>
      <c r="AB1667">
        <v>0</v>
      </c>
      <c r="AC1667" s="34">
        <v>0.16300000000000001</v>
      </c>
      <c r="AD1667" s="32">
        <v>2.46</v>
      </c>
    </row>
    <row r="1668" spans="1:30">
      <c r="A1668">
        <v>1666</v>
      </c>
      <c r="B1668">
        <v>31</v>
      </c>
      <c r="C1668">
        <v>1.6950000000000001</v>
      </c>
      <c r="D1668">
        <v>3.57</v>
      </c>
      <c r="E1668">
        <v>0</v>
      </c>
      <c r="F1668">
        <v>1.5249999999999999</v>
      </c>
      <c r="G1668">
        <v>0</v>
      </c>
      <c r="H1668">
        <v>0.17100000000000001</v>
      </c>
      <c r="I1668">
        <v>2.645</v>
      </c>
      <c r="K1668">
        <v>1666</v>
      </c>
      <c r="L1668">
        <v>31</v>
      </c>
      <c r="M1668" s="32">
        <v>1.6950000000000001</v>
      </c>
      <c r="N1668" s="32">
        <v>3.57</v>
      </c>
      <c r="P1668" s="47">
        <v>1.526</v>
      </c>
      <c r="R1668" s="47">
        <v>0.17299999999999999</v>
      </c>
      <c r="S1668" s="47">
        <v>2.5870000000000002</v>
      </c>
      <c r="T1668" s="31">
        <v>0</v>
      </c>
      <c r="V1668">
        <v>1666</v>
      </c>
      <c r="W1668">
        <v>30</v>
      </c>
      <c r="X1668">
        <v>1.7070000000000001</v>
      </c>
      <c r="Y1668" s="32">
        <v>3.57</v>
      </c>
      <c r="Z1668">
        <v>0</v>
      </c>
      <c r="AA1668" s="32">
        <v>1.4419999999999999</v>
      </c>
      <c r="AB1668">
        <v>0</v>
      </c>
      <c r="AC1668" s="34">
        <v>0.16300000000000001</v>
      </c>
      <c r="AD1668" s="32">
        <v>2.4620000000000002</v>
      </c>
    </row>
    <row r="1669" spans="1:30">
      <c r="A1669">
        <v>1667</v>
      </c>
      <c r="B1669">
        <v>31</v>
      </c>
      <c r="C1669">
        <v>1.696</v>
      </c>
      <c r="D1669">
        <v>3.57</v>
      </c>
      <c r="E1669">
        <v>0</v>
      </c>
      <c r="F1669">
        <v>1.5249999999999999</v>
      </c>
      <c r="G1669">
        <v>0</v>
      </c>
      <c r="H1669">
        <v>0.17100000000000001</v>
      </c>
      <c r="I1669">
        <v>2.6469999999999998</v>
      </c>
      <c r="K1669">
        <v>1667</v>
      </c>
      <c r="L1669">
        <v>31</v>
      </c>
      <c r="M1669" s="32">
        <v>1.696</v>
      </c>
      <c r="N1669" s="32">
        <v>3.57</v>
      </c>
      <c r="P1669" s="47">
        <v>1.526</v>
      </c>
      <c r="R1669" s="47">
        <v>0.17299999999999999</v>
      </c>
      <c r="S1669" s="47">
        <v>2.5880000000000001</v>
      </c>
      <c r="T1669" s="31">
        <v>0</v>
      </c>
      <c r="V1669">
        <v>1667</v>
      </c>
      <c r="W1669">
        <v>30</v>
      </c>
      <c r="X1669">
        <v>1.708</v>
      </c>
      <c r="Y1669" s="32">
        <v>3.57</v>
      </c>
      <c r="Z1669">
        <v>0</v>
      </c>
      <c r="AA1669" s="32">
        <v>1.4430000000000001</v>
      </c>
      <c r="AB1669">
        <v>0</v>
      </c>
      <c r="AC1669" s="34">
        <v>0.16300000000000001</v>
      </c>
      <c r="AD1669" s="32">
        <v>2.4630000000000001</v>
      </c>
    </row>
    <row r="1670" spans="1:30">
      <c r="A1670">
        <v>1668</v>
      </c>
      <c r="B1670">
        <v>31</v>
      </c>
      <c r="C1670">
        <v>1.6970000000000001</v>
      </c>
      <c r="D1670">
        <v>3.57</v>
      </c>
      <c r="E1670">
        <v>0</v>
      </c>
      <c r="F1670">
        <v>1.5249999999999999</v>
      </c>
      <c r="G1670">
        <v>0</v>
      </c>
      <c r="H1670">
        <v>0.17100000000000001</v>
      </c>
      <c r="I1670">
        <v>2.649</v>
      </c>
      <c r="K1670">
        <v>1668</v>
      </c>
      <c r="L1670">
        <v>31</v>
      </c>
      <c r="M1670" s="32">
        <v>1.6970000000000001</v>
      </c>
      <c r="N1670" s="32">
        <v>3.57</v>
      </c>
      <c r="P1670" s="47">
        <v>1.526</v>
      </c>
      <c r="R1670" s="47">
        <v>0.17299999999999999</v>
      </c>
      <c r="S1670" s="47">
        <v>2.59</v>
      </c>
      <c r="T1670" s="31">
        <v>0</v>
      </c>
      <c r="V1670">
        <v>1668</v>
      </c>
      <c r="W1670">
        <v>30</v>
      </c>
      <c r="X1670">
        <v>1.7090000000000001</v>
      </c>
      <c r="Y1670" s="32">
        <v>3.57</v>
      </c>
      <c r="Z1670">
        <v>0</v>
      </c>
      <c r="AA1670" s="32">
        <v>1.4430000000000001</v>
      </c>
      <c r="AB1670">
        <v>0</v>
      </c>
      <c r="AC1670" s="34">
        <v>0.16300000000000001</v>
      </c>
      <c r="AD1670" s="32">
        <v>2.4649999999999999</v>
      </c>
    </row>
    <row r="1671" spans="1:30">
      <c r="A1671">
        <v>1669</v>
      </c>
      <c r="B1671">
        <v>31</v>
      </c>
      <c r="C1671">
        <v>1.698</v>
      </c>
      <c r="D1671">
        <v>3.57</v>
      </c>
      <c r="E1671">
        <v>0</v>
      </c>
      <c r="F1671">
        <v>1.5249999999999999</v>
      </c>
      <c r="G1671">
        <v>0</v>
      </c>
      <c r="H1671">
        <v>0.17100000000000001</v>
      </c>
      <c r="I1671">
        <v>2.6509999999999998</v>
      </c>
      <c r="K1671">
        <v>1669</v>
      </c>
      <c r="L1671">
        <v>31</v>
      </c>
      <c r="M1671" s="32">
        <v>1.698</v>
      </c>
      <c r="N1671" s="32">
        <v>3.57</v>
      </c>
      <c r="P1671" s="47">
        <v>1.5269999999999999</v>
      </c>
      <c r="R1671" s="47">
        <v>0.17299999999999999</v>
      </c>
      <c r="S1671" s="47">
        <v>2.5920000000000001</v>
      </c>
      <c r="T1671" s="31">
        <v>0</v>
      </c>
      <c r="V1671">
        <v>1669</v>
      </c>
      <c r="W1671">
        <v>30</v>
      </c>
      <c r="X1671">
        <v>1.71</v>
      </c>
      <c r="Y1671" s="32">
        <v>3.57</v>
      </c>
      <c r="Z1671">
        <v>0</v>
      </c>
      <c r="AA1671" s="32">
        <v>1.4430000000000001</v>
      </c>
      <c r="AB1671">
        <v>0</v>
      </c>
      <c r="AC1671" s="34">
        <v>0.16300000000000001</v>
      </c>
      <c r="AD1671" s="32">
        <v>2.4670000000000001</v>
      </c>
    </row>
    <row r="1672" spans="1:30">
      <c r="A1672">
        <v>1670</v>
      </c>
      <c r="B1672">
        <v>31</v>
      </c>
      <c r="C1672">
        <v>1.6990000000000001</v>
      </c>
      <c r="D1672">
        <v>3.57</v>
      </c>
      <c r="E1672">
        <v>0</v>
      </c>
      <c r="F1672">
        <v>1.5249999999999999</v>
      </c>
      <c r="G1672">
        <v>0</v>
      </c>
      <c r="H1672">
        <v>0.17100000000000001</v>
      </c>
      <c r="I1672">
        <v>2.653</v>
      </c>
      <c r="K1672">
        <v>1670</v>
      </c>
      <c r="L1672">
        <v>31</v>
      </c>
      <c r="M1672" s="32">
        <v>1.6990000000000001</v>
      </c>
      <c r="N1672" s="32">
        <v>3.57</v>
      </c>
      <c r="P1672" s="47">
        <v>1.5269999999999999</v>
      </c>
      <c r="R1672" s="47">
        <v>0.17299999999999999</v>
      </c>
      <c r="S1672" s="47">
        <v>2.5939999999999999</v>
      </c>
      <c r="T1672" s="31">
        <v>0</v>
      </c>
      <c r="V1672">
        <v>1670</v>
      </c>
      <c r="W1672">
        <v>30</v>
      </c>
      <c r="X1672">
        <v>1.7110000000000001</v>
      </c>
      <c r="Y1672" s="32">
        <v>3.57</v>
      </c>
      <c r="Z1672">
        <v>0</v>
      </c>
      <c r="AA1672" s="32">
        <v>1.4430000000000001</v>
      </c>
      <c r="AB1672">
        <v>0</v>
      </c>
      <c r="AC1672" s="34">
        <v>0.16300000000000001</v>
      </c>
      <c r="AD1672" s="32">
        <v>2.4689999999999999</v>
      </c>
    </row>
    <row r="1673" spans="1:30">
      <c r="A1673">
        <v>1671</v>
      </c>
      <c r="B1673">
        <v>31</v>
      </c>
      <c r="C1673">
        <v>1.7</v>
      </c>
      <c r="D1673">
        <v>3.57</v>
      </c>
      <c r="E1673">
        <v>0</v>
      </c>
      <c r="F1673">
        <v>1.5269999999999999</v>
      </c>
      <c r="G1673">
        <v>0</v>
      </c>
      <c r="H1673">
        <v>0.17100000000000001</v>
      </c>
      <c r="I1673">
        <v>2.6739999999999999</v>
      </c>
      <c r="K1673">
        <v>1671</v>
      </c>
      <c r="L1673">
        <v>31</v>
      </c>
      <c r="M1673" s="32">
        <v>1.7</v>
      </c>
      <c r="N1673" s="32">
        <v>3.57</v>
      </c>
      <c r="P1673" s="32">
        <v>1.5269999999999999</v>
      </c>
      <c r="R1673" s="47">
        <v>0.17299999999999999</v>
      </c>
      <c r="S1673" s="47">
        <v>2.5960000000000001</v>
      </c>
      <c r="T1673" s="31">
        <v>0</v>
      </c>
      <c r="V1673">
        <v>1671</v>
      </c>
      <c r="W1673">
        <v>30</v>
      </c>
      <c r="X1673">
        <v>1.712</v>
      </c>
      <c r="Y1673" s="32">
        <v>3.57</v>
      </c>
      <c r="Z1673">
        <v>0</v>
      </c>
      <c r="AA1673" s="32">
        <v>1.4430000000000001</v>
      </c>
      <c r="AB1673">
        <v>0</v>
      </c>
      <c r="AC1673" s="34">
        <v>0.16300000000000001</v>
      </c>
      <c r="AD1673" s="32">
        <v>2.4710000000000001</v>
      </c>
    </row>
    <row r="1674" spans="1:30">
      <c r="A1674">
        <v>1672</v>
      </c>
      <c r="B1674">
        <v>31</v>
      </c>
      <c r="C1674">
        <v>1.7010000000000001</v>
      </c>
      <c r="D1674">
        <v>3.57</v>
      </c>
      <c r="E1674">
        <v>0</v>
      </c>
      <c r="F1674">
        <v>1.5269999999999999</v>
      </c>
      <c r="G1674">
        <v>0</v>
      </c>
      <c r="H1674">
        <v>0.17100000000000001</v>
      </c>
      <c r="I1674">
        <v>2.6760000000000002</v>
      </c>
      <c r="K1674">
        <v>1672</v>
      </c>
      <c r="L1674">
        <v>31</v>
      </c>
      <c r="M1674" s="32">
        <v>1.7010000000000001</v>
      </c>
      <c r="N1674" s="32">
        <v>3.57</v>
      </c>
      <c r="P1674" s="32">
        <v>1.5269999999999999</v>
      </c>
      <c r="R1674" s="47">
        <v>0.17299999999999999</v>
      </c>
      <c r="S1674" s="47">
        <v>2.5979999999999999</v>
      </c>
      <c r="T1674" s="31">
        <v>0</v>
      </c>
      <c r="V1674">
        <v>1672</v>
      </c>
      <c r="W1674">
        <v>30</v>
      </c>
      <c r="X1674">
        <v>1.7130000000000001</v>
      </c>
      <c r="Y1674" s="32">
        <v>3.57</v>
      </c>
      <c r="Z1674">
        <v>0</v>
      </c>
      <c r="AA1674" s="32">
        <v>1.444</v>
      </c>
      <c r="AB1674">
        <v>0</v>
      </c>
      <c r="AC1674" s="34">
        <v>0.16400000000000001</v>
      </c>
      <c r="AD1674" s="32">
        <v>2.472</v>
      </c>
    </row>
    <row r="1675" spans="1:30">
      <c r="A1675">
        <v>1673</v>
      </c>
      <c r="B1675">
        <v>31</v>
      </c>
      <c r="C1675">
        <v>1.702</v>
      </c>
      <c r="D1675">
        <v>3.57</v>
      </c>
      <c r="E1675">
        <v>0</v>
      </c>
      <c r="F1675">
        <v>1.5269999999999999</v>
      </c>
      <c r="G1675">
        <v>0</v>
      </c>
      <c r="H1675">
        <v>0.17100000000000001</v>
      </c>
      <c r="I1675">
        <v>2.6779999999999999</v>
      </c>
      <c r="K1675">
        <v>1673</v>
      </c>
      <c r="L1675">
        <v>31</v>
      </c>
      <c r="M1675" s="32">
        <v>1.702</v>
      </c>
      <c r="N1675" s="32">
        <v>3.57</v>
      </c>
      <c r="P1675" s="47">
        <v>1.528</v>
      </c>
      <c r="R1675" s="47">
        <v>0.17299999999999999</v>
      </c>
      <c r="S1675" s="47">
        <v>2.6</v>
      </c>
      <c r="T1675" s="31">
        <v>0</v>
      </c>
      <c r="V1675">
        <v>1673</v>
      </c>
      <c r="W1675">
        <v>30</v>
      </c>
      <c r="X1675">
        <v>1.714</v>
      </c>
      <c r="Y1675" s="32">
        <v>3.57</v>
      </c>
      <c r="Z1675">
        <v>0</v>
      </c>
      <c r="AA1675" s="32">
        <v>1.444</v>
      </c>
      <c r="AB1675">
        <v>0</v>
      </c>
      <c r="AC1675" s="34">
        <v>0.16400000000000001</v>
      </c>
      <c r="AD1675" s="32">
        <v>2.4740000000000002</v>
      </c>
    </row>
    <row r="1676" spans="1:30">
      <c r="A1676">
        <v>1674</v>
      </c>
      <c r="B1676">
        <v>31</v>
      </c>
      <c r="C1676">
        <v>1.7030000000000001</v>
      </c>
      <c r="D1676">
        <v>3.57</v>
      </c>
      <c r="E1676">
        <v>0</v>
      </c>
      <c r="F1676">
        <v>1.5269999999999999</v>
      </c>
      <c r="G1676">
        <v>0</v>
      </c>
      <c r="H1676">
        <v>0.17100000000000001</v>
      </c>
      <c r="I1676">
        <v>2.68</v>
      </c>
      <c r="K1676">
        <v>1674</v>
      </c>
      <c r="L1676">
        <v>31</v>
      </c>
      <c r="M1676" s="32">
        <v>1.7030000000000001</v>
      </c>
      <c r="N1676" s="32">
        <v>3.57</v>
      </c>
      <c r="P1676" s="47">
        <v>1.528</v>
      </c>
      <c r="R1676" s="47">
        <v>0.17299999999999999</v>
      </c>
      <c r="S1676" s="47">
        <v>2.6019999999999999</v>
      </c>
      <c r="T1676" s="31">
        <v>0</v>
      </c>
      <c r="V1676">
        <v>1674</v>
      </c>
      <c r="W1676">
        <v>30</v>
      </c>
      <c r="X1676">
        <v>1.7150000000000001</v>
      </c>
      <c r="Y1676" s="32">
        <v>3.57</v>
      </c>
      <c r="Z1676">
        <v>0</v>
      </c>
      <c r="AA1676" s="32">
        <v>1.444</v>
      </c>
      <c r="AB1676">
        <v>0</v>
      </c>
      <c r="AC1676" s="34">
        <v>0.16400000000000001</v>
      </c>
      <c r="AD1676" s="32">
        <v>2.476</v>
      </c>
    </row>
    <row r="1677" spans="1:30">
      <c r="A1677">
        <v>1675</v>
      </c>
      <c r="B1677">
        <v>31</v>
      </c>
      <c r="C1677">
        <v>1.704</v>
      </c>
      <c r="D1677">
        <v>3.57</v>
      </c>
      <c r="E1677">
        <v>0</v>
      </c>
      <c r="F1677">
        <v>1.5269999999999999</v>
      </c>
      <c r="G1677">
        <v>0</v>
      </c>
      <c r="H1677">
        <v>0.17100000000000001</v>
      </c>
      <c r="I1677">
        <v>2.6819999999999999</v>
      </c>
      <c r="K1677">
        <v>1675</v>
      </c>
      <c r="L1677">
        <v>31</v>
      </c>
      <c r="M1677" s="32">
        <v>1.704</v>
      </c>
      <c r="N1677" s="32">
        <v>3.57</v>
      </c>
      <c r="P1677" s="47">
        <v>1.528</v>
      </c>
      <c r="R1677" s="47">
        <v>0.17299999999999999</v>
      </c>
      <c r="S1677" s="47">
        <v>2.6040000000000001</v>
      </c>
      <c r="T1677" s="31">
        <v>0</v>
      </c>
      <c r="V1677">
        <v>1675</v>
      </c>
      <c r="W1677">
        <v>30</v>
      </c>
      <c r="X1677">
        <v>1.716</v>
      </c>
      <c r="Y1677" s="32">
        <v>3.57</v>
      </c>
      <c r="Z1677">
        <v>0</v>
      </c>
      <c r="AA1677" s="32">
        <v>1.444</v>
      </c>
      <c r="AB1677">
        <v>0</v>
      </c>
      <c r="AC1677" s="34">
        <v>0.16400000000000001</v>
      </c>
      <c r="AD1677" s="32">
        <v>2.4780000000000002</v>
      </c>
    </row>
    <row r="1678" spans="1:30">
      <c r="A1678">
        <v>1676</v>
      </c>
      <c r="B1678">
        <v>31</v>
      </c>
      <c r="C1678">
        <v>1.7050000000000001</v>
      </c>
      <c r="D1678">
        <v>3.57</v>
      </c>
      <c r="E1678">
        <v>0</v>
      </c>
      <c r="F1678">
        <v>1.5269999999999999</v>
      </c>
      <c r="G1678">
        <v>0</v>
      </c>
      <c r="H1678">
        <v>0.17100000000000001</v>
      </c>
      <c r="I1678">
        <v>2.6840000000000002</v>
      </c>
      <c r="K1678">
        <v>1676</v>
      </c>
      <c r="L1678">
        <v>31</v>
      </c>
      <c r="M1678" s="32">
        <v>1.7050000000000001</v>
      </c>
      <c r="N1678" s="32">
        <v>3.57</v>
      </c>
      <c r="P1678" s="47">
        <v>1.5289999999999999</v>
      </c>
      <c r="R1678" s="47">
        <v>0.17399999999999999</v>
      </c>
      <c r="S1678" s="47">
        <v>2.6059999999999999</v>
      </c>
      <c r="T1678" s="31">
        <v>0</v>
      </c>
      <c r="V1678">
        <v>1676</v>
      </c>
      <c r="W1678">
        <v>30</v>
      </c>
      <c r="X1678">
        <v>1.7170000000000001</v>
      </c>
      <c r="Y1678" s="32">
        <v>3.57</v>
      </c>
      <c r="Z1678">
        <v>0</v>
      </c>
      <c r="AA1678" s="32">
        <v>1.444</v>
      </c>
      <c r="AB1678">
        <v>0</v>
      </c>
      <c r="AC1678" s="34">
        <v>0.16400000000000001</v>
      </c>
      <c r="AD1678" s="32">
        <v>2.48</v>
      </c>
    </row>
    <row r="1679" spans="1:30">
      <c r="A1679">
        <v>1677</v>
      </c>
      <c r="B1679">
        <v>31</v>
      </c>
      <c r="C1679">
        <v>1.706</v>
      </c>
      <c r="D1679">
        <v>3.57</v>
      </c>
      <c r="E1679">
        <v>0</v>
      </c>
      <c r="F1679">
        <v>1.5269999999999999</v>
      </c>
      <c r="G1679">
        <v>0</v>
      </c>
      <c r="H1679">
        <v>0.17100000000000001</v>
      </c>
      <c r="I1679">
        <v>2.6859999999999999</v>
      </c>
      <c r="K1679">
        <v>1677</v>
      </c>
      <c r="L1679">
        <v>31</v>
      </c>
      <c r="M1679" s="32">
        <v>1.706</v>
      </c>
      <c r="N1679" s="32">
        <v>3.57</v>
      </c>
      <c r="P1679" s="47">
        <v>1.5289999999999999</v>
      </c>
      <c r="R1679" s="47">
        <v>0.17399999999999999</v>
      </c>
      <c r="S1679" s="47">
        <v>2.6080000000000001</v>
      </c>
      <c r="T1679" s="31">
        <v>0</v>
      </c>
      <c r="V1679">
        <v>1677</v>
      </c>
      <c r="W1679">
        <v>30</v>
      </c>
      <c r="X1679">
        <v>1.718</v>
      </c>
      <c r="Y1679" s="32">
        <v>3.57</v>
      </c>
      <c r="Z1679">
        <v>0</v>
      </c>
      <c r="AA1679" s="32">
        <v>1.444</v>
      </c>
      <c r="AB1679">
        <v>0</v>
      </c>
      <c r="AC1679" s="34">
        <v>0.16400000000000001</v>
      </c>
      <c r="AD1679" s="32">
        <v>2.4809999999999999</v>
      </c>
    </row>
    <row r="1680" spans="1:30">
      <c r="A1680">
        <v>1678</v>
      </c>
      <c r="B1680">
        <v>31</v>
      </c>
      <c r="C1680">
        <v>1.7070000000000001</v>
      </c>
      <c r="D1680">
        <v>3.57</v>
      </c>
      <c r="E1680">
        <v>0</v>
      </c>
      <c r="F1680">
        <v>1.5269999999999999</v>
      </c>
      <c r="G1680">
        <v>0</v>
      </c>
      <c r="H1680">
        <v>0.17100000000000001</v>
      </c>
      <c r="I1680">
        <v>2.6880000000000002</v>
      </c>
      <c r="K1680">
        <v>1678</v>
      </c>
      <c r="L1680">
        <v>31</v>
      </c>
      <c r="M1680" s="32">
        <v>1.7070000000000001</v>
      </c>
      <c r="N1680" s="32">
        <v>3.57</v>
      </c>
      <c r="P1680" s="47">
        <v>1.5289999999999999</v>
      </c>
      <c r="R1680" s="47">
        <v>0.17399999999999999</v>
      </c>
      <c r="S1680" s="47">
        <v>2.61</v>
      </c>
      <c r="T1680" s="31">
        <v>0</v>
      </c>
      <c r="V1680">
        <v>1678</v>
      </c>
      <c r="W1680">
        <v>30</v>
      </c>
      <c r="X1680">
        <v>1.7190000000000001</v>
      </c>
      <c r="Y1680" s="32">
        <v>3.57</v>
      </c>
      <c r="Z1680">
        <v>0</v>
      </c>
      <c r="AA1680" s="32">
        <v>1.4450000000000001</v>
      </c>
      <c r="AB1680">
        <v>0</v>
      </c>
      <c r="AC1680" s="34">
        <v>0.16400000000000001</v>
      </c>
      <c r="AD1680" s="32">
        <v>2.4830000000000001</v>
      </c>
    </row>
    <row r="1681" spans="1:30">
      <c r="A1681">
        <v>1679</v>
      </c>
      <c r="B1681">
        <v>31</v>
      </c>
      <c r="C1681">
        <v>1.708</v>
      </c>
      <c r="D1681">
        <v>3.57</v>
      </c>
      <c r="E1681">
        <v>0</v>
      </c>
      <c r="F1681">
        <v>1.5269999999999999</v>
      </c>
      <c r="G1681">
        <v>0</v>
      </c>
      <c r="H1681">
        <v>0.17100000000000001</v>
      </c>
      <c r="I1681">
        <v>2.69</v>
      </c>
      <c r="K1681">
        <v>1679</v>
      </c>
      <c r="L1681">
        <v>31</v>
      </c>
      <c r="M1681" s="32">
        <v>1.708</v>
      </c>
      <c r="N1681" s="32">
        <v>3.57</v>
      </c>
      <c r="P1681" s="47">
        <v>1.5289999999999999</v>
      </c>
      <c r="R1681" s="47">
        <v>0.17399999999999999</v>
      </c>
      <c r="S1681" s="47">
        <v>2.6120000000000001</v>
      </c>
      <c r="T1681" s="31">
        <v>0</v>
      </c>
      <c r="V1681">
        <v>1679</v>
      </c>
      <c r="W1681">
        <v>30</v>
      </c>
      <c r="X1681">
        <v>1.72</v>
      </c>
      <c r="Y1681" s="32">
        <v>3.57</v>
      </c>
      <c r="Z1681">
        <v>0</v>
      </c>
      <c r="AA1681" s="32">
        <v>1.4450000000000001</v>
      </c>
      <c r="AB1681">
        <v>0</v>
      </c>
      <c r="AC1681" s="34">
        <v>0.16400000000000001</v>
      </c>
      <c r="AD1681" s="32">
        <v>2.4849999999999999</v>
      </c>
    </row>
    <row r="1682" spans="1:30">
      <c r="A1682">
        <v>1680</v>
      </c>
      <c r="B1682">
        <v>31</v>
      </c>
      <c r="C1682">
        <v>1.7090000000000001</v>
      </c>
      <c r="D1682">
        <v>3.57</v>
      </c>
      <c r="E1682">
        <v>0</v>
      </c>
      <c r="F1682">
        <v>1.5269999999999999</v>
      </c>
      <c r="G1682">
        <v>0</v>
      </c>
      <c r="H1682">
        <v>0.17100000000000001</v>
      </c>
      <c r="I1682">
        <v>2.6920000000000002</v>
      </c>
      <c r="K1682">
        <v>1680</v>
      </c>
      <c r="L1682">
        <v>31</v>
      </c>
      <c r="M1682" s="32">
        <v>1.7090000000000001</v>
      </c>
      <c r="N1682" s="32">
        <v>3.57</v>
      </c>
      <c r="P1682" s="47">
        <v>1.53</v>
      </c>
      <c r="R1682" s="47">
        <v>0.17399999999999999</v>
      </c>
      <c r="S1682" s="47">
        <v>2.6139999999999999</v>
      </c>
      <c r="T1682" s="31">
        <v>0</v>
      </c>
      <c r="V1682">
        <v>1680</v>
      </c>
      <c r="W1682">
        <v>30</v>
      </c>
      <c r="X1682">
        <v>1.7210000000000001</v>
      </c>
      <c r="Y1682" s="32">
        <v>3.57</v>
      </c>
      <c r="Z1682">
        <v>0</v>
      </c>
      <c r="AA1682" s="32">
        <v>1.4450000000000001</v>
      </c>
      <c r="AB1682">
        <v>0</v>
      </c>
      <c r="AC1682" s="34">
        <v>0.16400000000000001</v>
      </c>
      <c r="AD1682" s="32">
        <v>2.4870000000000001</v>
      </c>
    </row>
    <row r="1683" spans="1:30">
      <c r="A1683">
        <v>1681</v>
      </c>
      <c r="B1683">
        <v>31</v>
      </c>
      <c r="C1683">
        <v>1.71</v>
      </c>
      <c r="D1683">
        <v>3.57</v>
      </c>
      <c r="E1683">
        <v>0</v>
      </c>
      <c r="F1683">
        <v>1.53</v>
      </c>
      <c r="G1683">
        <v>0</v>
      </c>
      <c r="H1683">
        <v>0.17100000000000001</v>
      </c>
      <c r="I1683">
        <v>2.6160000000000001</v>
      </c>
      <c r="K1683">
        <v>1681</v>
      </c>
      <c r="L1683">
        <v>31</v>
      </c>
      <c r="M1683" s="32">
        <v>1.71</v>
      </c>
      <c r="N1683" s="32">
        <v>3.57</v>
      </c>
      <c r="P1683" s="32">
        <v>1.53</v>
      </c>
      <c r="R1683" s="47">
        <v>0.17399999999999999</v>
      </c>
      <c r="S1683" s="32">
        <v>2.6160000000000001</v>
      </c>
      <c r="T1683" s="31">
        <v>0</v>
      </c>
      <c r="V1683">
        <v>1681</v>
      </c>
      <c r="W1683">
        <v>30</v>
      </c>
      <c r="X1683">
        <v>1.722</v>
      </c>
      <c r="Y1683" s="32">
        <v>3.57</v>
      </c>
      <c r="Z1683">
        <v>0</v>
      </c>
      <c r="AA1683" s="32">
        <v>1.4450000000000001</v>
      </c>
      <c r="AB1683">
        <v>0</v>
      </c>
      <c r="AC1683" s="34">
        <v>0.16400000000000001</v>
      </c>
      <c r="AD1683" s="32">
        <v>2.4889999999999999</v>
      </c>
    </row>
    <row r="1684" spans="1:30">
      <c r="A1684">
        <v>1682</v>
      </c>
      <c r="B1684">
        <v>31</v>
      </c>
      <c r="C1684">
        <v>1.7110000000000001</v>
      </c>
      <c r="D1684">
        <v>3.57</v>
      </c>
      <c r="E1684">
        <v>0</v>
      </c>
      <c r="F1684">
        <v>1.53</v>
      </c>
      <c r="G1684">
        <v>0</v>
      </c>
      <c r="H1684">
        <v>0.17100000000000001</v>
      </c>
      <c r="I1684">
        <v>2.7160000000000002</v>
      </c>
      <c r="K1684">
        <v>1682</v>
      </c>
      <c r="L1684">
        <v>31</v>
      </c>
      <c r="M1684" s="32">
        <v>1.7110000000000001</v>
      </c>
      <c r="N1684" s="32">
        <v>3.57</v>
      </c>
      <c r="P1684" s="32">
        <v>1.53</v>
      </c>
      <c r="R1684" s="47">
        <v>0.17399999999999999</v>
      </c>
      <c r="S1684" s="47">
        <v>2.6179999999999999</v>
      </c>
      <c r="T1684" s="31">
        <v>0</v>
      </c>
      <c r="V1684">
        <v>1682</v>
      </c>
      <c r="W1684">
        <v>30</v>
      </c>
      <c r="X1684">
        <v>1.7230000000000001</v>
      </c>
      <c r="Y1684" s="32">
        <v>3.57</v>
      </c>
      <c r="Z1684">
        <v>0</v>
      </c>
      <c r="AA1684" s="32">
        <v>1.4450000000000001</v>
      </c>
      <c r="AB1684">
        <v>0</v>
      </c>
      <c r="AC1684" s="34">
        <v>0.16400000000000001</v>
      </c>
      <c r="AD1684" s="32">
        <v>2.4900000000000002</v>
      </c>
    </row>
    <row r="1685" spans="1:30">
      <c r="A1685">
        <v>1683</v>
      </c>
      <c r="B1685">
        <v>31</v>
      </c>
      <c r="C1685">
        <v>1.712</v>
      </c>
      <c r="D1685">
        <v>3.57</v>
      </c>
      <c r="E1685">
        <v>0</v>
      </c>
      <c r="F1685">
        <v>1.53</v>
      </c>
      <c r="G1685">
        <v>0</v>
      </c>
      <c r="H1685">
        <v>0.17100000000000001</v>
      </c>
      <c r="I1685">
        <v>2.718</v>
      </c>
      <c r="K1685">
        <v>1683</v>
      </c>
      <c r="L1685">
        <v>31</v>
      </c>
      <c r="M1685" s="32">
        <v>1.712</v>
      </c>
      <c r="N1685" s="32">
        <v>3.57</v>
      </c>
      <c r="P1685" s="32">
        <v>1.53</v>
      </c>
      <c r="R1685" s="47">
        <v>0.17399999999999999</v>
      </c>
      <c r="S1685" s="47">
        <v>2.62</v>
      </c>
      <c r="T1685" s="31">
        <v>0</v>
      </c>
      <c r="V1685">
        <v>1683</v>
      </c>
      <c r="W1685">
        <v>30</v>
      </c>
      <c r="X1685">
        <v>1.724</v>
      </c>
      <c r="Y1685" s="32">
        <v>3.57</v>
      </c>
      <c r="Z1685">
        <v>0</v>
      </c>
      <c r="AA1685" s="32">
        <v>1.446</v>
      </c>
      <c r="AB1685">
        <v>0</v>
      </c>
      <c r="AC1685" s="34">
        <v>0.16400000000000001</v>
      </c>
      <c r="AD1685" s="32">
        <v>2.492</v>
      </c>
    </row>
    <row r="1686" spans="1:30">
      <c r="A1686">
        <v>1684</v>
      </c>
      <c r="B1686">
        <v>31</v>
      </c>
      <c r="C1686">
        <v>1.7130000000000001</v>
      </c>
      <c r="D1686">
        <v>3.57</v>
      </c>
      <c r="E1686">
        <v>0</v>
      </c>
      <c r="F1686">
        <v>1.53</v>
      </c>
      <c r="G1686">
        <v>0</v>
      </c>
      <c r="H1686">
        <v>0.17100000000000001</v>
      </c>
      <c r="I1686">
        <v>2.72</v>
      </c>
      <c r="K1686">
        <v>1684</v>
      </c>
      <c r="L1686">
        <v>31</v>
      </c>
      <c r="M1686" s="32">
        <v>1.7130000000000001</v>
      </c>
      <c r="N1686" s="32">
        <v>3.57</v>
      </c>
      <c r="P1686" s="47">
        <v>1.5309999999999999</v>
      </c>
      <c r="R1686" s="47">
        <v>0.17399999999999999</v>
      </c>
      <c r="S1686" s="47">
        <v>2.6219999999999999</v>
      </c>
      <c r="T1686" s="31">
        <v>0</v>
      </c>
      <c r="V1686">
        <v>1684</v>
      </c>
      <c r="W1686">
        <v>30</v>
      </c>
      <c r="X1686">
        <v>1.7250000000000001</v>
      </c>
      <c r="Y1686" s="32">
        <v>3.57</v>
      </c>
      <c r="Z1686">
        <v>0</v>
      </c>
      <c r="AA1686" s="32">
        <v>1.446</v>
      </c>
      <c r="AB1686">
        <v>0</v>
      </c>
      <c r="AC1686" s="34">
        <v>0.16400000000000001</v>
      </c>
      <c r="AD1686" s="32">
        <v>2.4940000000000002</v>
      </c>
    </row>
    <row r="1687" spans="1:30">
      <c r="A1687">
        <v>1685</v>
      </c>
      <c r="B1687">
        <v>31</v>
      </c>
      <c r="C1687">
        <v>1.714</v>
      </c>
      <c r="D1687">
        <v>3.57</v>
      </c>
      <c r="E1687">
        <v>0</v>
      </c>
      <c r="F1687">
        <v>1.53</v>
      </c>
      <c r="G1687">
        <v>0</v>
      </c>
      <c r="H1687">
        <v>0.17100000000000001</v>
      </c>
      <c r="I1687">
        <v>2.722</v>
      </c>
      <c r="K1687">
        <v>1685</v>
      </c>
      <c r="L1687">
        <v>31</v>
      </c>
      <c r="M1687" s="32">
        <v>1.714</v>
      </c>
      <c r="N1687" s="32">
        <v>3.57</v>
      </c>
      <c r="P1687" s="47">
        <v>1.5309999999999999</v>
      </c>
      <c r="R1687" s="47">
        <v>0.17399999999999999</v>
      </c>
      <c r="S1687" s="47">
        <v>2.6240000000000001</v>
      </c>
      <c r="T1687" s="31">
        <v>0</v>
      </c>
      <c r="V1687">
        <v>1685</v>
      </c>
      <c r="W1687">
        <v>30</v>
      </c>
      <c r="X1687">
        <v>1.726</v>
      </c>
      <c r="Y1687" s="32">
        <v>3.57</v>
      </c>
      <c r="Z1687">
        <v>0</v>
      </c>
      <c r="AA1687" s="32">
        <v>1.446</v>
      </c>
      <c r="AB1687">
        <v>0</v>
      </c>
      <c r="AC1687" s="34">
        <v>0.16400000000000001</v>
      </c>
      <c r="AD1687" s="32">
        <v>2.496</v>
      </c>
    </row>
    <row r="1688" spans="1:30">
      <c r="A1688">
        <v>1686</v>
      </c>
      <c r="B1688">
        <v>31</v>
      </c>
      <c r="C1688">
        <v>1.7150000000000001</v>
      </c>
      <c r="D1688">
        <v>3.57</v>
      </c>
      <c r="E1688">
        <v>0</v>
      </c>
      <c r="F1688">
        <v>1.53</v>
      </c>
      <c r="G1688">
        <v>0</v>
      </c>
      <c r="H1688">
        <v>0.17100000000000001</v>
      </c>
      <c r="I1688">
        <v>2.7240000000000002</v>
      </c>
      <c r="K1688">
        <v>1686</v>
      </c>
      <c r="L1688">
        <v>31</v>
      </c>
      <c r="M1688" s="32">
        <v>1.7150000000000001</v>
      </c>
      <c r="N1688" s="32">
        <v>3.57</v>
      </c>
      <c r="P1688" s="47">
        <v>1.5309999999999999</v>
      </c>
      <c r="R1688" s="47">
        <v>0.17399999999999999</v>
      </c>
      <c r="S1688" s="47">
        <v>2.6259999999999999</v>
      </c>
      <c r="T1688" s="31">
        <v>0</v>
      </c>
      <c r="V1688">
        <v>1686</v>
      </c>
      <c r="W1688">
        <v>30</v>
      </c>
      <c r="X1688">
        <v>1.7270000000000001</v>
      </c>
      <c r="Y1688" s="32">
        <v>3.57</v>
      </c>
      <c r="Z1688">
        <v>0</v>
      </c>
      <c r="AA1688" s="32">
        <v>1.446</v>
      </c>
      <c r="AB1688">
        <v>0</v>
      </c>
      <c r="AC1688" s="34">
        <v>0.16400000000000001</v>
      </c>
      <c r="AD1688" s="32">
        <v>2.4980000000000002</v>
      </c>
    </row>
    <row r="1689" spans="1:30">
      <c r="A1689">
        <v>1687</v>
      </c>
      <c r="B1689">
        <v>31</v>
      </c>
      <c r="C1689">
        <v>1.716</v>
      </c>
      <c r="D1689">
        <v>3.57</v>
      </c>
      <c r="E1689">
        <v>0</v>
      </c>
      <c r="F1689">
        <v>1.53</v>
      </c>
      <c r="G1689">
        <v>0</v>
      </c>
      <c r="H1689">
        <v>0.17100000000000001</v>
      </c>
      <c r="I1689">
        <v>2.726</v>
      </c>
      <c r="K1689">
        <v>1687</v>
      </c>
      <c r="L1689">
        <v>31</v>
      </c>
      <c r="M1689" s="32">
        <v>1.716</v>
      </c>
      <c r="N1689" s="32">
        <v>3.57</v>
      </c>
      <c r="P1689" s="47">
        <v>1.5309999999999999</v>
      </c>
      <c r="R1689" s="47">
        <v>0.17399999999999999</v>
      </c>
      <c r="S1689" s="47">
        <v>2.6280000000000001</v>
      </c>
      <c r="T1689" s="31">
        <v>0</v>
      </c>
      <c r="V1689">
        <v>1687</v>
      </c>
      <c r="W1689">
        <v>30</v>
      </c>
      <c r="X1689">
        <v>1.728</v>
      </c>
      <c r="Y1689" s="32">
        <v>3.57</v>
      </c>
      <c r="Z1689">
        <v>0</v>
      </c>
      <c r="AA1689" s="32">
        <v>1.446</v>
      </c>
      <c r="AB1689">
        <v>0</v>
      </c>
      <c r="AC1689" s="34">
        <v>0.16400000000000001</v>
      </c>
      <c r="AD1689" s="32">
        <v>2.4990000000000001</v>
      </c>
    </row>
    <row r="1690" spans="1:30">
      <c r="A1690">
        <v>1688</v>
      </c>
      <c r="B1690">
        <v>31</v>
      </c>
      <c r="C1690">
        <v>1.7170000000000001</v>
      </c>
      <c r="D1690">
        <v>3.57</v>
      </c>
      <c r="E1690">
        <v>0</v>
      </c>
      <c r="F1690">
        <v>1.53</v>
      </c>
      <c r="G1690">
        <v>0</v>
      </c>
      <c r="H1690">
        <v>0.17100000000000001</v>
      </c>
      <c r="I1690">
        <v>2.7269999999999999</v>
      </c>
      <c r="K1690">
        <v>1688</v>
      </c>
      <c r="L1690">
        <v>31</v>
      </c>
      <c r="M1690" s="32">
        <v>1.7170000000000001</v>
      </c>
      <c r="N1690" s="32">
        <v>3.57</v>
      </c>
      <c r="P1690" s="47">
        <v>1.5309999999999999</v>
      </c>
      <c r="R1690" s="47">
        <v>0.17399999999999999</v>
      </c>
      <c r="S1690" s="47">
        <v>2.63</v>
      </c>
      <c r="T1690" s="31">
        <v>0</v>
      </c>
      <c r="V1690">
        <v>1688</v>
      </c>
      <c r="W1690">
        <v>30</v>
      </c>
      <c r="X1690">
        <v>1.7290000000000001</v>
      </c>
      <c r="Y1690" s="32">
        <v>3.57</v>
      </c>
      <c r="Z1690">
        <v>0</v>
      </c>
      <c r="AA1690" s="32">
        <v>1.4470000000000001</v>
      </c>
      <c r="AB1690">
        <v>0</v>
      </c>
      <c r="AC1690" s="34">
        <v>0.16500000000000001</v>
      </c>
      <c r="AD1690" s="32">
        <v>2.5009999999999999</v>
      </c>
    </row>
    <row r="1691" spans="1:30">
      <c r="A1691">
        <v>1689</v>
      </c>
      <c r="B1691">
        <v>31</v>
      </c>
      <c r="C1691">
        <v>1.718</v>
      </c>
      <c r="D1691">
        <v>3.57</v>
      </c>
      <c r="E1691">
        <v>0</v>
      </c>
      <c r="F1691">
        <v>1.53</v>
      </c>
      <c r="G1691">
        <v>0</v>
      </c>
      <c r="H1691">
        <v>0.17100000000000001</v>
      </c>
      <c r="I1691">
        <v>2.7290000000000001</v>
      </c>
      <c r="K1691">
        <v>1689</v>
      </c>
      <c r="L1691">
        <v>31</v>
      </c>
      <c r="M1691" s="32">
        <v>1.718</v>
      </c>
      <c r="N1691" s="32">
        <v>3.57</v>
      </c>
      <c r="P1691" s="47">
        <v>1.532</v>
      </c>
      <c r="R1691" s="47">
        <v>0.17399999999999999</v>
      </c>
      <c r="S1691" s="47">
        <v>2.6320000000000001</v>
      </c>
      <c r="T1691" s="31">
        <v>0</v>
      </c>
      <c r="V1691">
        <v>1689</v>
      </c>
      <c r="W1691">
        <v>30</v>
      </c>
      <c r="X1691">
        <v>1.73</v>
      </c>
      <c r="Y1691" s="32">
        <v>3.57</v>
      </c>
      <c r="Z1691">
        <v>0</v>
      </c>
      <c r="AA1691" s="32">
        <v>1.4470000000000001</v>
      </c>
      <c r="AB1691">
        <v>0</v>
      </c>
      <c r="AC1691" s="34">
        <v>0.16500000000000001</v>
      </c>
      <c r="AD1691" s="32">
        <v>2.5030000000000001</v>
      </c>
    </row>
    <row r="1692" spans="1:30">
      <c r="A1692">
        <v>1690</v>
      </c>
      <c r="B1692">
        <v>31</v>
      </c>
      <c r="C1692">
        <v>1.7190000000000001</v>
      </c>
      <c r="D1692">
        <v>3.57</v>
      </c>
      <c r="E1692">
        <v>0</v>
      </c>
      <c r="F1692">
        <v>1.53</v>
      </c>
      <c r="G1692">
        <v>0</v>
      </c>
      <c r="H1692">
        <v>0.17100000000000001</v>
      </c>
      <c r="I1692">
        <v>2.7309999999999999</v>
      </c>
      <c r="K1692">
        <v>1690</v>
      </c>
      <c r="L1692">
        <v>31</v>
      </c>
      <c r="M1692" s="32">
        <v>1.7190000000000001</v>
      </c>
      <c r="N1692" s="32">
        <v>3.57</v>
      </c>
      <c r="P1692" s="47">
        <v>1.532</v>
      </c>
      <c r="R1692" s="47">
        <v>0.17399999999999999</v>
      </c>
      <c r="S1692" s="47">
        <v>2.6339999999999999</v>
      </c>
      <c r="T1692" s="31">
        <v>0</v>
      </c>
      <c r="V1692">
        <v>1690</v>
      </c>
      <c r="W1692">
        <v>30</v>
      </c>
      <c r="X1692">
        <v>1.7310000000000001</v>
      </c>
      <c r="Y1692" s="32">
        <v>3.57</v>
      </c>
      <c r="Z1692">
        <v>0</v>
      </c>
      <c r="AA1692" s="32">
        <v>1.4470000000000001</v>
      </c>
      <c r="AB1692">
        <v>0</v>
      </c>
      <c r="AC1692" s="34">
        <v>0.16500000000000001</v>
      </c>
      <c r="AD1692" s="32">
        <v>2.5049999999999999</v>
      </c>
    </row>
    <row r="1693" spans="1:30">
      <c r="A1693">
        <v>1691</v>
      </c>
      <c r="B1693">
        <v>31</v>
      </c>
      <c r="C1693">
        <v>1.72</v>
      </c>
      <c r="D1693">
        <v>3.57</v>
      </c>
      <c r="E1693">
        <v>0</v>
      </c>
      <c r="F1693">
        <v>1.532</v>
      </c>
      <c r="G1693">
        <v>0</v>
      </c>
      <c r="H1693">
        <v>0.17100000000000001</v>
      </c>
      <c r="I1693">
        <v>2.6360000000000001</v>
      </c>
      <c r="K1693">
        <v>1691</v>
      </c>
      <c r="L1693">
        <v>31</v>
      </c>
      <c r="M1693" s="32">
        <v>1.72</v>
      </c>
      <c r="N1693" s="32">
        <v>3.57</v>
      </c>
      <c r="P1693" s="32">
        <v>1.532</v>
      </c>
      <c r="R1693" s="47">
        <v>0.17399999999999999</v>
      </c>
      <c r="S1693" s="32">
        <v>2.6360000000000001</v>
      </c>
      <c r="T1693" s="31">
        <v>0</v>
      </c>
      <c r="V1693">
        <v>1691</v>
      </c>
      <c r="W1693">
        <v>30</v>
      </c>
      <c r="X1693">
        <v>1.732</v>
      </c>
      <c r="Y1693" s="32">
        <v>3.57</v>
      </c>
      <c r="Z1693">
        <v>0</v>
      </c>
      <c r="AA1693" s="32">
        <v>1.4470000000000001</v>
      </c>
      <c r="AB1693">
        <v>0</v>
      </c>
      <c r="AC1693" s="34">
        <v>0.16500000000000001</v>
      </c>
      <c r="AD1693" s="32">
        <v>2.5070000000000001</v>
      </c>
    </row>
    <row r="1694" spans="1:30">
      <c r="A1694">
        <v>1692</v>
      </c>
      <c r="B1694">
        <v>31</v>
      </c>
      <c r="C1694">
        <v>1.7210000000000001</v>
      </c>
      <c r="D1694">
        <v>3.57</v>
      </c>
      <c r="E1694">
        <v>0</v>
      </c>
      <c r="F1694">
        <v>1.532</v>
      </c>
      <c r="G1694">
        <v>0</v>
      </c>
      <c r="H1694">
        <v>0.17100000000000001</v>
      </c>
      <c r="I1694">
        <v>2.7549999999999999</v>
      </c>
      <c r="K1694">
        <v>1692</v>
      </c>
      <c r="L1694">
        <v>31</v>
      </c>
      <c r="M1694" s="32">
        <v>1.7210000000000001</v>
      </c>
      <c r="N1694" s="32">
        <v>3.57</v>
      </c>
      <c r="P1694" s="32">
        <v>1.532</v>
      </c>
      <c r="R1694" s="47">
        <v>0.17399999999999999</v>
      </c>
      <c r="S1694" s="47">
        <v>2.6379999999999999</v>
      </c>
      <c r="T1694" s="31">
        <v>0</v>
      </c>
      <c r="V1694">
        <v>1692</v>
      </c>
      <c r="W1694">
        <v>30</v>
      </c>
      <c r="X1694">
        <v>1.7330000000000001</v>
      </c>
      <c r="Y1694" s="32">
        <v>3.57</v>
      </c>
      <c r="Z1694">
        <v>0</v>
      </c>
      <c r="AA1694" s="32">
        <v>1.4470000000000001</v>
      </c>
      <c r="AB1694">
        <v>0</v>
      </c>
      <c r="AC1694" s="34">
        <v>0.16500000000000001</v>
      </c>
      <c r="AD1694" s="32">
        <v>2.508</v>
      </c>
    </row>
    <row r="1695" spans="1:30">
      <c r="A1695">
        <v>1693</v>
      </c>
      <c r="B1695">
        <v>31</v>
      </c>
      <c r="C1695">
        <v>1.722</v>
      </c>
      <c r="D1695">
        <v>3.57</v>
      </c>
      <c r="E1695">
        <v>0</v>
      </c>
      <c r="F1695">
        <v>1.532</v>
      </c>
      <c r="G1695">
        <v>0</v>
      </c>
      <c r="H1695">
        <v>0.17100000000000001</v>
      </c>
      <c r="I1695">
        <v>2.7570000000000001</v>
      </c>
      <c r="K1695">
        <v>1693</v>
      </c>
      <c r="L1695">
        <v>31</v>
      </c>
      <c r="M1695" s="32">
        <v>1.722</v>
      </c>
      <c r="N1695" s="32">
        <v>3.57</v>
      </c>
      <c r="P1695" s="47">
        <v>1.5329999999999999</v>
      </c>
      <c r="R1695" s="47">
        <v>0.17399999999999999</v>
      </c>
      <c r="S1695" s="47">
        <v>2.64</v>
      </c>
      <c r="T1695" s="31">
        <v>0</v>
      </c>
      <c r="V1695">
        <v>1693</v>
      </c>
      <c r="W1695">
        <v>30</v>
      </c>
      <c r="X1695">
        <v>1.734</v>
      </c>
      <c r="Y1695" s="32">
        <v>3.57</v>
      </c>
      <c r="Z1695">
        <v>0</v>
      </c>
      <c r="AA1695" s="32">
        <v>1.448</v>
      </c>
      <c r="AB1695">
        <v>0</v>
      </c>
      <c r="AC1695" s="34">
        <v>0.16500000000000001</v>
      </c>
      <c r="AD1695" s="32">
        <v>2.5099999999999998</v>
      </c>
    </row>
    <row r="1696" spans="1:30">
      <c r="A1696">
        <v>1694</v>
      </c>
      <c r="B1696">
        <v>31</v>
      </c>
      <c r="C1696">
        <v>1.7230000000000001</v>
      </c>
      <c r="D1696">
        <v>3.57</v>
      </c>
      <c r="E1696">
        <v>0</v>
      </c>
      <c r="F1696">
        <v>1.532</v>
      </c>
      <c r="G1696">
        <v>0</v>
      </c>
      <c r="H1696">
        <v>0.17100000000000001</v>
      </c>
      <c r="I1696">
        <v>2.7589999999999999</v>
      </c>
      <c r="K1696">
        <v>1694</v>
      </c>
      <c r="L1696">
        <v>31</v>
      </c>
      <c r="M1696" s="32">
        <v>1.7230000000000001</v>
      </c>
      <c r="N1696" s="32">
        <v>3.57</v>
      </c>
      <c r="P1696" s="47">
        <v>1.5329999999999999</v>
      </c>
      <c r="R1696" s="47">
        <v>0.17499999999999999</v>
      </c>
      <c r="S1696" s="47">
        <v>2.6419999999999999</v>
      </c>
      <c r="T1696" s="31">
        <v>0</v>
      </c>
      <c r="V1696">
        <v>1694</v>
      </c>
      <c r="W1696">
        <v>30</v>
      </c>
      <c r="X1696">
        <v>1.7350000000000001</v>
      </c>
      <c r="Y1696" s="32">
        <v>3.57</v>
      </c>
      <c r="Z1696">
        <v>0</v>
      </c>
      <c r="AA1696" s="32">
        <v>1.448</v>
      </c>
      <c r="AB1696">
        <v>0</v>
      </c>
      <c r="AC1696" s="34">
        <v>0.16500000000000001</v>
      </c>
      <c r="AD1696" s="32">
        <v>2.512</v>
      </c>
    </row>
    <row r="1697" spans="1:30">
      <c r="A1697">
        <v>1695</v>
      </c>
      <c r="B1697">
        <v>31</v>
      </c>
      <c r="C1697">
        <v>1.724</v>
      </c>
      <c r="D1697">
        <v>3.57</v>
      </c>
      <c r="E1697">
        <v>0</v>
      </c>
      <c r="F1697">
        <v>1.532</v>
      </c>
      <c r="G1697">
        <v>0</v>
      </c>
      <c r="H1697">
        <v>0.17100000000000001</v>
      </c>
      <c r="I1697">
        <v>2.7610000000000001</v>
      </c>
      <c r="K1697">
        <v>1695</v>
      </c>
      <c r="L1697">
        <v>31</v>
      </c>
      <c r="M1697" s="32">
        <v>1.724</v>
      </c>
      <c r="N1697" s="32">
        <v>3.57</v>
      </c>
      <c r="P1697" s="47">
        <v>1.5329999999999999</v>
      </c>
      <c r="R1697" s="47">
        <v>0.17499999999999999</v>
      </c>
      <c r="S1697" s="47">
        <v>2.6440000000000001</v>
      </c>
      <c r="T1697" s="31">
        <v>0</v>
      </c>
      <c r="V1697">
        <v>1695</v>
      </c>
      <c r="W1697">
        <v>30</v>
      </c>
      <c r="X1697">
        <v>1.736</v>
      </c>
      <c r="Y1697" s="32">
        <v>3.57</v>
      </c>
      <c r="Z1697">
        <v>0</v>
      </c>
      <c r="AA1697" s="32">
        <v>1.448</v>
      </c>
      <c r="AB1697">
        <v>0</v>
      </c>
      <c r="AC1697" s="34">
        <v>0.16500000000000001</v>
      </c>
      <c r="AD1697" s="32">
        <v>2.5139999999999998</v>
      </c>
    </row>
    <row r="1698" spans="1:30">
      <c r="A1698">
        <v>1696</v>
      </c>
      <c r="B1698">
        <v>31</v>
      </c>
      <c r="C1698">
        <v>1.7250000000000001</v>
      </c>
      <c r="D1698">
        <v>3.57</v>
      </c>
      <c r="E1698">
        <v>0</v>
      </c>
      <c r="F1698">
        <v>1.532</v>
      </c>
      <c r="G1698">
        <v>0</v>
      </c>
      <c r="H1698">
        <v>0.17100000000000001</v>
      </c>
      <c r="I1698">
        <v>2.7629999999999999</v>
      </c>
      <c r="K1698">
        <v>1696</v>
      </c>
      <c r="L1698">
        <v>31</v>
      </c>
      <c r="M1698" s="32">
        <v>1.7250000000000001</v>
      </c>
      <c r="N1698" s="32">
        <v>3.57</v>
      </c>
      <c r="P1698" s="47">
        <v>1.534</v>
      </c>
      <c r="R1698" s="47">
        <v>0.17499999999999999</v>
      </c>
      <c r="S1698" s="47">
        <v>2.6459999999999999</v>
      </c>
      <c r="T1698" s="31">
        <v>0</v>
      </c>
      <c r="V1698">
        <v>1696</v>
      </c>
      <c r="W1698">
        <v>30</v>
      </c>
      <c r="X1698">
        <v>1.7370000000000001</v>
      </c>
      <c r="Y1698" s="32">
        <v>3.57</v>
      </c>
      <c r="Z1698">
        <v>0</v>
      </c>
      <c r="AA1698" s="32">
        <v>1.448</v>
      </c>
      <c r="AB1698">
        <v>0</v>
      </c>
      <c r="AC1698" s="34">
        <v>0.16500000000000001</v>
      </c>
      <c r="AD1698" s="32">
        <v>2.516</v>
      </c>
    </row>
    <row r="1699" spans="1:30">
      <c r="A1699">
        <v>1697</v>
      </c>
      <c r="B1699">
        <v>31</v>
      </c>
      <c r="C1699">
        <v>1.726</v>
      </c>
      <c r="D1699">
        <v>3.57</v>
      </c>
      <c r="E1699">
        <v>0</v>
      </c>
      <c r="F1699">
        <v>1.532</v>
      </c>
      <c r="G1699">
        <v>0</v>
      </c>
      <c r="H1699">
        <v>0.17100000000000001</v>
      </c>
      <c r="I1699">
        <v>2.7650000000000001</v>
      </c>
      <c r="K1699">
        <v>1697</v>
      </c>
      <c r="L1699">
        <v>31</v>
      </c>
      <c r="M1699" s="32">
        <v>1.726</v>
      </c>
      <c r="N1699" s="32">
        <v>3.57</v>
      </c>
      <c r="P1699" s="47">
        <v>1.534</v>
      </c>
      <c r="R1699" s="47">
        <v>0.17499999999999999</v>
      </c>
      <c r="S1699" s="47">
        <v>2.6469999999999998</v>
      </c>
      <c r="T1699" s="31">
        <v>0</v>
      </c>
      <c r="V1699">
        <v>1697</v>
      </c>
      <c r="W1699">
        <v>30</v>
      </c>
      <c r="X1699">
        <v>1.738</v>
      </c>
      <c r="Y1699" s="32">
        <v>3.57</v>
      </c>
      <c r="Z1699">
        <v>0</v>
      </c>
      <c r="AA1699" s="32">
        <v>1.448</v>
      </c>
      <c r="AB1699">
        <v>0</v>
      </c>
      <c r="AC1699" s="34">
        <v>0.16500000000000001</v>
      </c>
      <c r="AD1699" s="32">
        <v>2.5169999999999999</v>
      </c>
    </row>
    <row r="1700" spans="1:30">
      <c r="A1700">
        <v>1698</v>
      </c>
      <c r="B1700">
        <v>31</v>
      </c>
      <c r="C1700">
        <v>1.7270000000000001</v>
      </c>
      <c r="D1700">
        <v>3.57</v>
      </c>
      <c r="E1700">
        <v>0</v>
      </c>
      <c r="F1700">
        <v>1.532</v>
      </c>
      <c r="G1700">
        <v>0</v>
      </c>
      <c r="H1700">
        <v>0.17100000000000001</v>
      </c>
      <c r="I1700">
        <v>2.7669999999999999</v>
      </c>
      <c r="K1700">
        <v>1698</v>
      </c>
      <c r="L1700">
        <v>31</v>
      </c>
      <c r="M1700" s="32">
        <v>1.7270000000000001</v>
      </c>
      <c r="N1700" s="32">
        <v>3.57</v>
      </c>
      <c r="P1700" s="47">
        <v>1.534</v>
      </c>
      <c r="R1700" s="47">
        <v>0.17499999999999999</v>
      </c>
      <c r="S1700" s="47">
        <v>2.649</v>
      </c>
      <c r="T1700" s="31">
        <v>0</v>
      </c>
      <c r="V1700">
        <v>1698</v>
      </c>
      <c r="W1700">
        <v>30</v>
      </c>
      <c r="X1700">
        <v>1.7390000000000001</v>
      </c>
      <c r="Y1700" s="32">
        <v>3.57</v>
      </c>
      <c r="Z1700">
        <v>0</v>
      </c>
      <c r="AA1700" s="32">
        <v>1.4490000000000001</v>
      </c>
      <c r="AB1700">
        <v>0</v>
      </c>
      <c r="AC1700" s="34">
        <v>0.16500000000000001</v>
      </c>
      <c r="AD1700" s="32">
        <v>2.5190000000000001</v>
      </c>
    </row>
    <row r="1701" spans="1:30">
      <c r="A1701">
        <v>1699</v>
      </c>
      <c r="B1701">
        <v>31</v>
      </c>
      <c r="C1701">
        <v>1.728</v>
      </c>
      <c r="D1701">
        <v>3.57</v>
      </c>
      <c r="E1701">
        <v>0</v>
      </c>
      <c r="F1701">
        <v>1.532</v>
      </c>
      <c r="G1701">
        <v>0</v>
      </c>
      <c r="H1701">
        <v>0.17100000000000001</v>
      </c>
      <c r="I1701">
        <v>2.7690000000000001</v>
      </c>
      <c r="K1701">
        <v>1699</v>
      </c>
      <c r="L1701">
        <v>31</v>
      </c>
      <c r="M1701" s="32">
        <v>1.728</v>
      </c>
      <c r="N1701" s="32">
        <v>3.57</v>
      </c>
      <c r="P1701" s="47">
        <v>1.534</v>
      </c>
      <c r="R1701" s="47">
        <v>0.17499999999999999</v>
      </c>
      <c r="S1701" s="47">
        <v>2.6509999999999998</v>
      </c>
      <c r="T1701" s="31">
        <v>0</v>
      </c>
      <c r="V1701">
        <v>1699</v>
      </c>
      <c r="W1701">
        <v>30</v>
      </c>
      <c r="X1701">
        <v>1.74</v>
      </c>
      <c r="Y1701" s="32">
        <v>3.57</v>
      </c>
      <c r="Z1701">
        <v>0</v>
      </c>
      <c r="AA1701" s="32">
        <v>1.4490000000000001</v>
      </c>
      <c r="AB1701">
        <v>0</v>
      </c>
      <c r="AC1701" s="34">
        <v>0.16500000000000001</v>
      </c>
      <c r="AD1701" s="32">
        <v>2.5209999999999999</v>
      </c>
    </row>
    <row r="1702" spans="1:30">
      <c r="A1702">
        <v>1700</v>
      </c>
      <c r="B1702">
        <v>31</v>
      </c>
      <c r="C1702">
        <v>1.7290000000000001</v>
      </c>
      <c r="D1702">
        <v>3.57</v>
      </c>
      <c r="E1702">
        <v>0</v>
      </c>
      <c r="F1702">
        <v>1.532</v>
      </c>
      <c r="G1702">
        <v>0</v>
      </c>
      <c r="H1702">
        <v>0.17100000000000001</v>
      </c>
      <c r="I1702">
        <v>2.7709999999999999</v>
      </c>
      <c r="K1702">
        <v>1700</v>
      </c>
      <c r="L1702">
        <v>31</v>
      </c>
      <c r="M1702" s="32">
        <v>1.7290000000000001</v>
      </c>
      <c r="N1702" s="32">
        <v>3.57</v>
      </c>
      <c r="P1702" s="47">
        <v>1.5349999999999999</v>
      </c>
      <c r="R1702" s="47">
        <v>0.17499999999999999</v>
      </c>
      <c r="S1702" s="47">
        <v>2.653</v>
      </c>
      <c r="T1702" s="31">
        <v>0</v>
      </c>
      <c r="V1702">
        <v>1700</v>
      </c>
      <c r="W1702">
        <v>30</v>
      </c>
      <c r="X1702">
        <v>1.7410000000000001</v>
      </c>
      <c r="Y1702" s="32">
        <v>3.581</v>
      </c>
      <c r="Z1702">
        <v>0</v>
      </c>
      <c r="AA1702" s="32">
        <v>1.4490000000000001</v>
      </c>
      <c r="AB1702">
        <v>0</v>
      </c>
      <c r="AC1702" s="34">
        <v>0.16500000000000001</v>
      </c>
      <c r="AD1702" s="32">
        <v>2.5230000000000001</v>
      </c>
    </row>
    <row r="1703" spans="1:30">
      <c r="A1703">
        <v>1701</v>
      </c>
      <c r="B1703">
        <v>31</v>
      </c>
      <c r="C1703">
        <v>1.73</v>
      </c>
      <c r="D1703">
        <v>3.57</v>
      </c>
      <c r="E1703">
        <v>0</v>
      </c>
      <c r="F1703">
        <v>1.5349999999999999</v>
      </c>
      <c r="G1703">
        <v>0</v>
      </c>
      <c r="H1703">
        <v>0.17100000000000001</v>
      </c>
      <c r="I1703">
        <v>2.6549999999999998</v>
      </c>
      <c r="K1703">
        <v>1701</v>
      </c>
      <c r="L1703">
        <v>31</v>
      </c>
      <c r="M1703" s="32">
        <v>1.73</v>
      </c>
      <c r="N1703" s="32">
        <v>3.57</v>
      </c>
      <c r="P1703" s="32">
        <v>1.5349999999999999</v>
      </c>
      <c r="R1703" s="47">
        <v>0.17499999999999999</v>
      </c>
      <c r="S1703" s="32">
        <v>2.6549999999999998</v>
      </c>
      <c r="T1703" s="31">
        <v>0</v>
      </c>
      <c r="V1703">
        <v>1701</v>
      </c>
      <c r="W1703">
        <v>30</v>
      </c>
      <c r="X1703">
        <v>1.742</v>
      </c>
      <c r="Y1703" s="32">
        <v>3.5920000000000001</v>
      </c>
      <c r="Z1703">
        <v>0</v>
      </c>
      <c r="AA1703" s="32">
        <v>1.4490000000000001</v>
      </c>
      <c r="AB1703">
        <v>0</v>
      </c>
      <c r="AC1703" s="34">
        <v>0.16500000000000001</v>
      </c>
      <c r="AD1703" s="32">
        <v>2.5249999999999999</v>
      </c>
    </row>
    <row r="1704" spans="1:30">
      <c r="A1704">
        <v>1702</v>
      </c>
      <c r="B1704">
        <v>31</v>
      </c>
      <c r="C1704">
        <v>1.7310000000000001</v>
      </c>
      <c r="D1704">
        <v>3.57</v>
      </c>
      <c r="E1704">
        <v>0</v>
      </c>
      <c r="F1704">
        <v>1.5349999999999999</v>
      </c>
      <c r="G1704">
        <v>0</v>
      </c>
      <c r="H1704">
        <v>0.17100000000000001</v>
      </c>
      <c r="I1704">
        <v>2.794</v>
      </c>
      <c r="K1704">
        <v>1702</v>
      </c>
      <c r="L1704">
        <v>31</v>
      </c>
      <c r="M1704" s="32">
        <v>1.7310000000000001</v>
      </c>
      <c r="N1704" s="32">
        <v>3.57</v>
      </c>
      <c r="P1704" s="32">
        <v>1.5349999999999999</v>
      </c>
      <c r="R1704" s="47">
        <v>0.17499999999999999</v>
      </c>
      <c r="S1704" s="47">
        <v>2.657</v>
      </c>
      <c r="T1704" s="31">
        <v>0</v>
      </c>
      <c r="V1704">
        <v>1702</v>
      </c>
      <c r="W1704">
        <v>30</v>
      </c>
      <c r="X1704">
        <v>1.7430000000000001</v>
      </c>
      <c r="Y1704" s="32">
        <v>3.6030000000000002</v>
      </c>
      <c r="Z1704">
        <v>0</v>
      </c>
      <c r="AA1704" s="32">
        <v>1.4490000000000001</v>
      </c>
      <c r="AB1704">
        <v>0</v>
      </c>
      <c r="AC1704" s="34">
        <v>0.16500000000000001</v>
      </c>
      <c r="AD1704" s="32">
        <v>2.5259999999999998</v>
      </c>
    </row>
    <row r="1705" spans="1:30">
      <c r="A1705">
        <v>1703</v>
      </c>
      <c r="B1705">
        <v>31</v>
      </c>
      <c r="C1705">
        <v>1.732</v>
      </c>
      <c r="D1705">
        <v>3.57</v>
      </c>
      <c r="E1705">
        <v>0</v>
      </c>
      <c r="F1705">
        <v>1.5349999999999999</v>
      </c>
      <c r="G1705">
        <v>0</v>
      </c>
      <c r="H1705">
        <v>0.17100000000000001</v>
      </c>
      <c r="I1705">
        <v>2.7959999999999998</v>
      </c>
      <c r="K1705">
        <v>1703</v>
      </c>
      <c r="L1705">
        <v>31</v>
      </c>
      <c r="M1705" s="32">
        <v>1.732</v>
      </c>
      <c r="N1705" s="32">
        <v>3.57</v>
      </c>
      <c r="P1705" s="32">
        <v>1.5349999999999999</v>
      </c>
      <c r="R1705" s="47">
        <v>0.17499999999999999</v>
      </c>
      <c r="S1705" s="47">
        <v>2.6589999999999998</v>
      </c>
      <c r="T1705" s="31">
        <v>0</v>
      </c>
      <c r="V1705">
        <v>1703</v>
      </c>
      <c r="W1705">
        <v>30</v>
      </c>
      <c r="X1705">
        <v>1.744</v>
      </c>
      <c r="Y1705" s="32">
        <v>3.6139999999999999</v>
      </c>
      <c r="Z1705">
        <v>0</v>
      </c>
      <c r="AA1705" s="32">
        <v>1.4490000000000001</v>
      </c>
      <c r="AB1705">
        <v>0</v>
      </c>
      <c r="AC1705" s="34">
        <v>0.16500000000000001</v>
      </c>
      <c r="AD1705" s="32">
        <v>2.528</v>
      </c>
    </row>
    <row r="1706" spans="1:30">
      <c r="A1706">
        <v>1704</v>
      </c>
      <c r="B1706">
        <v>31</v>
      </c>
      <c r="C1706">
        <v>1.7330000000000001</v>
      </c>
      <c r="D1706">
        <v>3.57</v>
      </c>
      <c r="E1706">
        <v>0</v>
      </c>
      <c r="F1706">
        <v>1.5349999999999999</v>
      </c>
      <c r="G1706">
        <v>0</v>
      </c>
      <c r="H1706">
        <v>0.17100000000000001</v>
      </c>
      <c r="I1706">
        <v>2.798</v>
      </c>
      <c r="K1706">
        <v>1704</v>
      </c>
      <c r="L1706">
        <v>31</v>
      </c>
      <c r="M1706" s="32">
        <v>1.7330000000000001</v>
      </c>
      <c r="N1706" s="32">
        <v>3.57</v>
      </c>
      <c r="P1706" s="47">
        <v>1.536</v>
      </c>
      <c r="R1706" s="47">
        <v>0.17499999999999999</v>
      </c>
      <c r="S1706" s="47">
        <v>2.661</v>
      </c>
      <c r="T1706" s="31">
        <v>0</v>
      </c>
      <c r="V1706">
        <v>1704</v>
      </c>
      <c r="W1706">
        <v>30</v>
      </c>
      <c r="X1706">
        <v>1.7450000000000001</v>
      </c>
      <c r="Y1706" s="32">
        <v>3.625</v>
      </c>
      <c r="Z1706">
        <v>0</v>
      </c>
      <c r="AA1706" s="32">
        <v>1.45</v>
      </c>
      <c r="AB1706">
        <v>0</v>
      </c>
      <c r="AC1706" s="34">
        <v>0.16600000000000001</v>
      </c>
      <c r="AD1706" s="32">
        <v>2.5299999999999998</v>
      </c>
    </row>
    <row r="1707" spans="1:30">
      <c r="A1707">
        <v>1705</v>
      </c>
      <c r="B1707">
        <v>31</v>
      </c>
      <c r="C1707">
        <v>1.734</v>
      </c>
      <c r="D1707">
        <v>3.57</v>
      </c>
      <c r="E1707">
        <v>0</v>
      </c>
      <c r="F1707">
        <v>1.5349999999999999</v>
      </c>
      <c r="G1707">
        <v>0</v>
      </c>
      <c r="H1707">
        <v>0.17100000000000001</v>
      </c>
      <c r="I1707">
        <v>2.8</v>
      </c>
      <c r="K1707">
        <v>1705</v>
      </c>
      <c r="L1707">
        <v>31</v>
      </c>
      <c r="M1707" s="32">
        <v>1.734</v>
      </c>
      <c r="N1707" s="32">
        <v>3.57</v>
      </c>
      <c r="P1707" s="47">
        <v>1.536</v>
      </c>
      <c r="R1707" s="47">
        <v>0.17499999999999999</v>
      </c>
      <c r="S1707" s="47">
        <v>2.6629999999999998</v>
      </c>
      <c r="T1707" s="31">
        <v>0</v>
      </c>
      <c r="V1707">
        <v>1705</v>
      </c>
      <c r="W1707">
        <v>30</v>
      </c>
      <c r="X1707">
        <v>1.746</v>
      </c>
      <c r="Y1707" s="32">
        <v>3.6360000000000001</v>
      </c>
      <c r="Z1707">
        <v>0</v>
      </c>
      <c r="AA1707" s="32">
        <v>1.45</v>
      </c>
      <c r="AB1707">
        <v>0</v>
      </c>
      <c r="AC1707" s="34">
        <v>0.16600000000000001</v>
      </c>
      <c r="AD1707" s="32">
        <v>2.532</v>
      </c>
    </row>
    <row r="1708" spans="1:30">
      <c r="A1708">
        <v>1706</v>
      </c>
      <c r="B1708">
        <v>31</v>
      </c>
      <c r="C1708">
        <v>1.7350000000000001</v>
      </c>
      <c r="D1708">
        <v>3.57</v>
      </c>
      <c r="E1708">
        <v>0</v>
      </c>
      <c r="F1708">
        <v>1.5349999999999999</v>
      </c>
      <c r="G1708">
        <v>0</v>
      </c>
      <c r="H1708">
        <v>0.17100000000000001</v>
      </c>
      <c r="I1708">
        <v>2.802</v>
      </c>
      <c r="K1708">
        <v>1706</v>
      </c>
      <c r="L1708">
        <v>31</v>
      </c>
      <c r="M1708" s="32">
        <v>1.7350000000000001</v>
      </c>
      <c r="N1708" s="32">
        <v>3.57</v>
      </c>
      <c r="P1708" s="47">
        <v>1.536</v>
      </c>
      <c r="R1708" s="47">
        <v>0.17499999999999999</v>
      </c>
      <c r="S1708" s="47">
        <v>2.665</v>
      </c>
      <c r="T1708" s="31">
        <v>0</v>
      </c>
      <c r="V1708">
        <v>1706</v>
      </c>
      <c r="W1708">
        <v>30</v>
      </c>
      <c r="X1708">
        <v>1.7470000000000001</v>
      </c>
      <c r="Y1708" s="32">
        <v>3.6469999999999998</v>
      </c>
      <c r="Z1708">
        <v>0</v>
      </c>
      <c r="AA1708" s="32">
        <v>1.45</v>
      </c>
      <c r="AB1708">
        <v>0</v>
      </c>
      <c r="AC1708" s="34">
        <v>0.16600000000000001</v>
      </c>
      <c r="AD1708" s="32">
        <v>2.5339999999999998</v>
      </c>
    </row>
    <row r="1709" spans="1:30">
      <c r="A1709">
        <v>1707</v>
      </c>
      <c r="B1709">
        <v>31</v>
      </c>
      <c r="C1709">
        <v>1.736</v>
      </c>
      <c r="D1709">
        <v>3.57</v>
      </c>
      <c r="E1709">
        <v>0</v>
      </c>
      <c r="F1709">
        <v>1.5349999999999999</v>
      </c>
      <c r="G1709">
        <v>0</v>
      </c>
      <c r="H1709">
        <v>0.17100000000000001</v>
      </c>
      <c r="I1709">
        <v>2.8039999999999998</v>
      </c>
      <c r="K1709">
        <v>1707</v>
      </c>
      <c r="L1709">
        <v>31</v>
      </c>
      <c r="M1709" s="32">
        <v>1.736</v>
      </c>
      <c r="N1709" s="32">
        <v>3.57</v>
      </c>
      <c r="P1709" s="47">
        <v>1.536</v>
      </c>
      <c r="R1709" s="47">
        <v>0.17499999999999999</v>
      </c>
      <c r="S1709" s="47">
        <v>2.6669999999999998</v>
      </c>
      <c r="T1709" s="31">
        <v>0</v>
      </c>
      <c r="V1709">
        <v>1707</v>
      </c>
      <c r="W1709">
        <v>30</v>
      </c>
      <c r="X1709">
        <v>1.748</v>
      </c>
      <c r="Y1709" s="32">
        <v>3.6579999999999999</v>
      </c>
      <c r="Z1709">
        <v>0</v>
      </c>
      <c r="AA1709" s="32">
        <v>1.45</v>
      </c>
      <c r="AB1709">
        <v>0</v>
      </c>
      <c r="AC1709" s="34">
        <v>0.16600000000000001</v>
      </c>
      <c r="AD1709" s="32">
        <v>2.5350000000000001</v>
      </c>
    </row>
    <row r="1710" spans="1:30">
      <c r="A1710">
        <v>1708</v>
      </c>
      <c r="B1710">
        <v>31</v>
      </c>
      <c r="C1710">
        <v>1.7370000000000001</v>
      </c>
      <c r="D1710">
        <v>3.57</v>
      </c>
      <c r="E1710">
        <v>0</v>
      </c>
      <c r="F1710">
        <v>1.5349999999999999</v>
      </c>
      <c r="G1710">
        <v>0</v>
      </c>
      <c r="H1710">
        <v>0.17100000000000001</v>
      </c>
      <c r="I1710">
        <v>2.806</v>
      </c>
      <c r="K1710">
        <v>1708</v>
      </c>
      <c r="L1710">
        <v>31</v>
      </c>
      <c r="M1710" s="32">
        <v>1.7370000000000001</v>
      </c>
      <c r="N1710" s="32">
        <v>3.57</v>
      </c>
      <c r="P1710" s="47">
        <v>1.536</v>
      </c>
      <c r="R1710" s="47">
        <v>0.17499999999999999</v>
      </c>
      <c r="S1710" s="47">
        <v>2.669</v>
      </c>
      <c r="T1710" s="31">
        <v>0</v>
      </c>
      <c r="V1710">
        <v>1708</v>
      </c>
      <c r="W1710">
        <v>30</v>
      </c>
      <c r="X1710">
        <v>1.7490000000000001</v>
      </c>
      <c r="Y1710" s="32">
        <v>3.669</v>
      </c>
      <c r="Z1710">
        <v>0</v>
      </c>
      <c r="AA1710" s="32">
        <v>1.45</v>
      </c>
      <c r="AB1710">
        <v>0</v>
      </c>
      <c r="AC1710" s="34">
        <v>0.16600000000000001</v>
      </c>
      <c r="AD1710" s="32">
        <v>2.5369999999999999</v>
      </c>
    </row>
    <row r="1711" spans="1:30">
      <c r="A1711">
        <v>1709</v>
      </c>
      <c r="B1711">
        <v>31</v>
      </c>
      <c r="C1711">
        <v>1.738</v>
      </c>
      <c r="D1711">
        <v>3.57</v>
      </c>
      <c r="E1711">
        <v>0</v>
      </c>
      <c r="F1711">
        <v>1.5349999999999999</v>
      </c>
      <c r="G1711">
        <v>0</v>
      </c>
      <c r="H1711">
        <v>0.17100000000000001</v>
      </c>
      <c r="I1711">
        <v>2.8079999999999998</v>
      </c>
      <c r="K1711">
        <v>1709</v>
      </c>
      <c r="L1711">
        <v>31</v>
      </c>
      <c r="M1711" s="32">
        <v>1.738</v>
      </c>
      <c r="N1711" s="32">
        <v>3.57</v>
      </c>
      <c r="P1711" s="47">
        <v>1.5369999999999999</v>
      </c>
      <c r="R1711" s="47">
        <v>0.17499999999999999</v>
      </c>
      <c r="S1711" s="47">
        <v>2.6709999999999998</v>
      </c>
      <c r="T1711" s="31">
        <v>0</v>
      </c>
      <c r="V1711">
        <v>1709</v>
      </c>
      <c r="W1711">
        <v>30</v>
      </c>
      <c r="X1711">
        <v>1.75</v>
      </c>
      <c r="Y1711" s="32">
        <v>3.68</v>
      </c>
      <c r="Z1711">
        <v>0</v>
      </c>
      <c r="AA1711" s="32">
        <v>1.4510000000000001</v>
      </c>
      <c r="AB1711">
        <v>0</v>
      </c>
      <c r="AC1711" s="34">
        <v>0.16600000000000001</v>
      </c>
      <c r="AD1711" s="32">
        <v>2.5390000000000001</v>
      </c>
    </row>
    <row r="1712" spans="1:30">
      <c r="A1712">
        <v>1710</v>
      </c>
      <c r="B1712">
        <v>31</v>
      </c>
      <c r="C1712">
        <v>1.7390000000000001</v>
      </c>
      <c r="D1712">
        <v>3.57</v>
      </c>
      <c r="E1712">
        <v>0</v>
      </c>
      <c r="F1712">
        <v>1.5349999999999999</v>
      </c>
      <c r="G1712">
        <v>0</v>
      </c>
      <c r="H1712">
        <v>0.17100000000000001</v>
      </c>
      <c r="I1712">
        <v>2.8090000000000002</v>
      </c>
      <c r="K1712">
        <v>1710</v>
      </c>
      <c r="L1712">
        <v>31</v>
      </c>
      <c r="M1712" s="32">
        <v>1.7390000000000001</v>
      </c>
      <c r="N1712" s="32">
        <v>3.57</v>
      </c>
      <c r="P1712" s="47">
        <v>1.5369999999999999</v>
      </c>
      <c r="R1712" s="47">
        <v>0.17499999999999999</v>
      </c>
      <c r="S1712" s="47">
        <v>2.673</v>
      </c>
      <c r="T1712" s="31">
        <v>0</v>
      </c>
      <c r="V1712">
        <v>1710</v>
      </c>
      <c r="W1712">
        <v>30</v>
      </c>
      <c r="X1712">
        <v>1.7509999999999999</v>
      </c>
      <c r="Y1712" s="32">
        <v>3.68</v>
      </c>
      <c r="Z1712">
        <v>0</v>
      </c>
      <c r="AA1712" s="32">
        <v>1.4510000000000001</v>
      </c>
      <c r="AB1712">
        <v>0</v>
      </c>
      <c r="AC1712" s="34">
        <v>0.16600000000000001</v>
      </c>
      <c r="AD1712" s="32">
        <v>2.5409999999999999</v>
      </c>
    </row>
    <row r="1713" spans="1:30">
      <c r="A1713">
        <v>1711</v>
      </c>
      <c r="B1713">
        <v>31</v>
      </c>
      <c r="C1713">
        <v>1.74</v>
      </c>
      <c r="D1713">
        <v>3.57</v>
      </c>
      <c r="E1713">
        <v>0</v>
      </c>
      <c r="F1713">
        <v>1.5369999999999999</v>
      </c>
      <c r="G1713">
        <v>0</v>
      </c>
      <c r="H1713">
        <v>0.17100000000000001</v>
      </c>
      <c r="I1713">
        <v>2.6749999999999998</v>
      </c>
      <c r="K1713">
        <v>1711</v>
      </c>
      <c r="L1713">
        <v>31</v>
      </c>
      <c r="M1713" s="32">
        <v>1.74</v>
      </c>
      <c r="N1713" s="32">
        <v>3.57</v>
      </c>
      <c r="P1713" s="32">
        <v>1.5369999999999999</v>
      </c>
      <c r="R1713" s="47">
        <v>0.17499999999999999</v>
      </c>
      <c r="S1713" s="32">
        <v>2.6749999999999998</v>
      </c>
      <c r="T1713" s="31">
        <v>0</v>
      </c>
      <c r="V1713">
        <v>1711</v>
      </c>
      <c r="W1713">
        <v>30</v>
      </c>
      <c r="X1713">
        <v>1.752</v>
      </c>
      <c r="Y1713" s="32">
        <v>3.68</v>
      </c>
      <c r="Z1713">
        <v>0</v>
      </c>
      <c r="AA1713" s="32">
        <v>1.4510000000000001</v>
      </c>
      <c r="AB1713">
        <v>0</v>
      </c>
      <c r="AC1713" s="34">
        <v>0.16600000000000001</v>
      </c>
      <c r="AD1713" s="32">
        <v>2.5430000000000001</v>
      </c>
    </row>
    <row r="1714" spans="1:30">
      <c r="A1714">
        <v>1712</v>
      </c>
      <c r="B1714">
        <v>31</v>
      </c>
      <c r="C1714">
        <v>1.7410000000000001</v>
      </c>
      <c r="D1714">
        <v>3.57</v>
      </c>
      <c r="E1714">
        <v>0</v>
      </c>
      <c r="F1714">
        <v>1.5369999999999999</v>
      </c>
      <c r="G1714">
        <v>0</v>
      </c>
      <c r="H1714">
        <v>0.17100000000000001</v>
      </c>
      <c r="I1714">
        <v>2.8330000000000002</v>
      </c>
      <c r="K1714">
        <v>1712</v>
      </c>
      <c r="L1714">
        <v>31</v>
      </c>
      <c r="M1714" s="32">
        <v>1.7410000000000001</v>
      </c>
      <c r="N1714" s="47">
        <v>3.581</v>
      </c>
      <c r="P1714" s="32">
        <v>1.5369999999999999</v>
      </c>
      <c r="R1714" s="47">
        <v>0.17599999999999999</v>
      </c>
      <c r="S1714" s="47">
        <v>2.677</v>
      </c>
      <c r="T1714" s="31">
        <v>0</v>
      </c>
      <c r="V1714">
        <v>1712</v>
      </c>
      <c r="W1714">
        <v>30</v>
      </c>
      <c r="X1714">
        <v>1.7529999999999999</v>
      </c>
      <c r="Y1714" s="32">
        <v>3.68</v>
      </c>
      <c r="Z1714">
        <v>0</v>
      </c>
      <c r="AA1714" s="32">
        <v>1.4510000000000001</v>
      </c>
      <c r="AB1714">
        <v>0</v>
      </c>
      <c r="AC1714" s="34">
        <v>0.16600000000000001</v>
      </c>
      <c r="AD1714" s="32">
        <v>2.544</v>
      </c>
    </row>
    <row r="1715" spans="1:30">
      <c r="A1715">
        <v>1713</v>
      </c>
      <c r="B1715">
        <v>31</v>
      </c>
      <c r="C1715">
        <v>1.742</v>
      </c>
      <c r="D1715">
        <v>3.57</v>
      </c>
      <c r="E1715">
        <v>0</v>
      </c>
      <c r="F1715">
        <v>1.5369999999999999</v>
      </c>
      <c r="G1715">
        <v>0</v>
      </c>
      <c r="H1715">
        <v>0.17100000000000001</v>
      </c>
      <c r="I1715">
        <v>2.835</v>
      </c>
      <c r="K1715">
        <v>1713</v>
      </c>
      <c r="L1715">
        <v>31</v>
      </c>
      <c r="M1715" s="32">
        <v>1.742</v>
      </c>
      <c r="N1715" s="47">
        <v>3.5920000000000001</v>
      </c>
      <c r="P1715" s="47">
        <v>1.538</v>
      </c>
      <c r="R1715" s="47">
        <v>0.17599999999999999</v>
      </c>
      <c r="S1715" s="47">
        <v>2.6789999999999998</v>
      </c>
      <c r="T1715" s="31">
        <v>0</v>
      </c>
      <c r="V1715">
        <v>1713</v>
      </c>
      <c r="W1715">
        <v>30</v>
      </c>
      <c r="X1715">
        <v>1.754</v>
      </c>
      <c r="Y1715" s="32">
        <v>3.68</v>
      </c>
      <c r="Z1715">
        <v>0</v>
      </c>
      <c r="AA1715" s="32">
        <v>1.4510000000000001</v>
      </c>
      <c r="AB1715">
        <v>0</v>
      </c>
      <c r="AC1715" s="34">
        <v>0.16600000000000001</v>
      </c>
      <c r="AD1715" s="32">
        <v>2.5459999999999998</v>
      </c>
    </row>
    <row r="1716" spans="1:30">
      <c r="A1716">
        <v>1714</v>
      </c>
      <c r="B1716">
        <v>31</v>
      </c>
      <c r="C1716">
        <v>1.7430000000000001</v>
      </c>
      <c r="D1716">
        <v>3.57</v>
      </c>
      <c r="E1716">
        <v>0</v>
      </c>
      <c r="F1716">
        <v>1.5369999999999999</v>
      </c>
      <c r="G1716">
        <v>0</v>
      </c>
      <c r="H1716">
        <v>0.17100000000000001</v>
      </c>
      <c r="I1716">
        <v>2.8370000000000002</v>
      </c>
      <c r="K1716">
        <v>1714</v>
      </c>
      <c r="L1716">
        <v>31</v>
      </c>
      <c r="M1716" s="32">
        <v>1.7430000000000001</v>
      </c>
      <c r="N1716" s="47">
        <v>3.6030000000000002</v>
      </c>
      <c r="P1716" s="47">
        <v>1.538</v>
      </c>
      <c r="R1716" s="47">
        <v>0.17599999999999999</v>
      </c>
      <c r="S1716" s="47">
        <v>2.6819999999999999</v>
      </c>
      <c r="T1716" s="31">
        <v>0</v>
      </c>
      <c r="V1716">
        <v>1714</v>
      </c>
      <c r="W1716">
        <v>30</v>
      </c>
      <c r="X1716">
        <v>1.7549999999999999</v>
      </c>
      <c r="Y1716" s="32">
        <v>3.68</v>
      </c>
      <c r="Z1716">
        <v>0</v>
      </c>
      <c r="AA1716" s="32">
        <v>1.452</v>
      </c>
      <c r="AB1716">
        <v>0</v>
      </c>
      <c r="AC1716" s="34">
        <v>0.16600000000000001</v>
      </c>
      <c r="AD1716" s="32">
        <v>2.548</v>
      </c>
    </row>
    <row r="1717" spans="1:30">
      <c r="A1717">
        <v>1715</v>
      </c>
      <c r="B1717">
        <v>31</v>
      </c>
      <c r="C1717">
        <v>1.744</v>
      </c>
      <c r="D1717">
        <v>3.57</v>
      </c>
      <c r="E1717">
        <v>0</v>
      </c>
      <c r="F1717">
        <v>1.5369999999999999</v>
      </c>
      <c r="G1717">
        <v>0</v>
      </c>
      <c r="H1717">
        <v>0.17100000000000001</v>
      </c>
      <c r="I1717">
        <v>2.839</v>
      </c>
      <c r="K1717">
        <v>1715</v>
      </c>
      <c r="L1717">
        <v>31</v>
      </c>
      <c r="M1717" s="32">
        <v>1.744</v>
      </c>
      <c r="N1717" s="47">
        <v>3.6139999999999999</v>
      </c>
      <c r="P1717" s="47">
        <v>1.538</v>
      </c>
      <c r="R1717" s="47">
        <v>0.17599999999999999</v>
      </c>
      <c r="S1717" s="47">
        <v>2.6840000000000002</v>
      </c>
      <c r="T1717" s="31">
        <v>0</v>
      </c>
      <c r="V1717">
        <v>1715</v>
      </c>
      <c r="W1717">
        <v>30</v>
      </c>
      <c r="X1717">
        <v>1.756</v>
      </c>
      <c r="Y1717" s="32">
        <v>3.68</v>
      </c>
      <c r="Z1717">
        <v>0</v>
      </c>
      <c r="AA1717" s="32">
        <v>1.452</v>
      </c>
      <c r="AB1717">
        <v>0</v>
      </c>
      <c r="AC1717" s="34">
        <v>0.16600000000000001</v>
      </c>
      <c r="AD1717" s="32">
        <v>2.5499999999999998</v>
      </c>
    </row>
    <row r="1718" spans="1:30">
      <c r="A1718">
        <v>1716</v>
      </c>
      <c r="B1718">
        <v>31</v>
      </c>
      <c r="C1718">
        <v>1.7450000000000001</v>
      </c>
      <c r="D1718">
        <v>3.57</v>
      </c>
      <c r="E1718">
        <v>0</v>
      </c>
      <c r="F1718">
        <v>1.5369999999999999</v>
      </c>
      <c r="G1718">
        <v>0</v>
      </c>
      <c r="H1718">
        <v>0.17100000000000001</v>
      </c>
      <c r="I1718">
        <v>2.8410000000000002</v>
      </c>
      <c r="K1718">
        <v>1716</v>
      </c>
      <c r="L1718">
        <v>31</v>
      </c>
      <c r="M1718" s="32">
        <v>1.7450000000000001</v>
      </c>
      <c r="N1718" s="47">
        <v>3.625</v>
      </c>
      <c r="P1718" s="47">
        <v>1.5389999999999999</v>
      </c>
      <c r="R1718" s="47">
        <v>0.17599999999999999</v>
      </c>
      <c r="S1718" s="47">
        <v>2.6859999999999999</v>
      </c>
      <c r="T1718" s="31">
        <v>0</v>
      </c>
      <c r="V1718">
        <v>1716</v>
      </c>
      <c r="W1718">
        <v>30</v>
      </c>
      <c r="X1718">
        <v>1.7569999999999999</v>
      </c>
      <c r="Y1718" s="32">
        <v>3.68</v>
      </c>
      <c r="Z1718">
        <v>0</v>
      </c>
      <c r="AA1718" s="32">
        <v>1.452</v>
      </c>
      <c r="AB1718">
        <v>0</v>
      </c>
      <c r="AC1718" s="34">
        <v>0.16600000000000001</v>
      </c>
      <c r="AD1718" s="32">
        <v>2.5510000000000002</v>
      </c>
    </row>
    <row r="1719" spans="1:30">
      <c r="A1719">
        <v>1717</v>
      </c>
      <c r="B1719">
        <v>31</v>
      </c>
      <c r="C1719">
        <v>1.746</v>
      </c>
      <c r="D1719">
        <v>3.57</v>
      </c>
      <c r="E1719">
        <v>0</v>
      </c>
      <c r="F1719">
        <v>1.5369999999999999</v>
      </c>
      <c r="G1719">
        <v>0</v>
      </c>
      <c r="H1719">
        <v>0.17100000000000001</v>
      </c>
      <c r="I1719">
        <v>2.843</v>
      </c>
      <c r="K1719">
        <v>1717</v>
      </c>
      <c r="L1719">
        <v>31</v>
      </c>
      <c r="M1719" s="32">
        <v>1.746</v>
      </c>
      <c r="N1719" s="47">
        <v>3.6360000000000001</v>
      </c>
      <c r="P1719" s="47">
        <v>1.5389999999999999</v>
      </c>
      <c r="R1719" s="47">
        <v>0.17599999999999999</v>
      </c>
      <c r="S1719" s="47">
        <v>2.6880000000000002</v>
      </c>
      <c r="T1719" s="31">
        <v>0</v>
      </c>
      <c r="V1719">
        <v>1717</v>
      </c>
      <c r="W1719">
        <v>30</v>
      </c>
      <c r="X1719">
        <v>1.758</v>
      </c>
      <c r="Y1719" s="32">
        <v>3.68</v>
      </c>
      <c r="Z1719">
        <v>0</v>
      </c>
      <c r="AA1719" s="32">
        <v>1.452</v>
      </c>
      <c r="AB1719">
        <v>0</v>
      </c>
      <c r="AC1719" s="34">
        <v>0.16600000000000001</v>
      </c>
      <c r="AD1719" s="32">
        <v>2.5529999999999999</v>
      </c>
    </row>
    <row r="1720" spans="1:30">
      <c r="A1720">
        <v>1718</v>
      </c>
      <c r="B1720">
        <v>31</v>
      </c>
      <c r="C1720">
        <v>1.7470000000000001</v>
      </c>
      <c r="D1720">
        <v>3.57</v>
      </c>
      <c r="E1720">
        <v>0</v>
      </c>
      <c r="F1720">
        <v>1.5369999999999999</v>
      </c>
      <c r="G1720">
        <v>0</v>
      </c>
      <c r="H1720">
        <v>0.17100000000000001</v>
      </c>
      <c r="I1720">
        <v>2.8450000000000002</v>
      </c>
      <c r="K1720">
        <v>1718</v>
      </c>
      <c r="L1720">
        <v>31</v>
      </c>
      <c r="M1720" s="32">
        <v>1.7470000000000001</v>
      </c>
      <c r="N1720" s="47">
        <v>3.6469999999999998</v>
      </c>
      <c r="P1720" s="47">
        <v>1.5389999999999999</v>
      </c>
      <c r="R1720" s="47">
        <v>0.17599999999999999</v>
      </c>
      <c r="S1720" s="47">
        <v>2.69</v>
      </c>
      <c r="T1720" s="31">
        <v>0</v>
      </c>
      <c r="V1720">
        <v>1718</v>
      </c>
      <c r="W1720">
        <v>30</v>
      </c>
      <c r="X1720">
        <v>1.7589999999999999</v>
      </c>
      <c r="Y1720" s="32">
        <v>3.68</v>
      </c>
      <c r="Z1720">
        <v>0</v>
      </c>
      <c r="AA1720" s="32">
        <v>1.452</v>
      </c>
      <c r="AB1720">
        <v>0</v>
      </c>
      <c r="AC1720" s="34">
        <v>0.16600000000000001</v>
      </c>
      <c r="AD1720" s="32">
        <v>2.5550000000000002</v>
      </c>
    </row>
    <row r="1721" spans="1:30">
      <c r="A1721">
        <v>1719</v>
      </c>
      <c r="B1721">
        <v>31</v>
      </c>
      <c r="C1721">
        <v>1.748</v>
      </c>
      <c r="D1721">
        <v>3.57</v>
      </c>
      <c r="E1721">
        <v>0</v>
      </c>
      <c r="F1721">
        <v>1.5369999999999999</v>
      </c>
      <c r="G1721">
        <v>0</v>
      </c>
      <c r="H1721">
        <v>0.17100000000000001</v>
      </c>
      <c r="I1721">
        <v>2.847</v>
      </c>
      <c r="K1721">
        <v>1719</v>
      </c>
      <c r="L1721">
        <v>31</v>
      </c>
      <c r="M1721" s="32">
        <v>1.748</v>
      </c>
      <c r="N1721" s="47">
        <v>3.6579999999999999</v>
      </c>
      <c r="P1721" s="47">
        <v>1.5389999999999999</v>
      </c>
      <c r="R1721" s="47">
        <v>0.17599999999999999</v>
      </c>
      <c r="S1721" s="47">
        <v>2.6930000000000001</v>
      </c>
      <c r="T1721" s="31">
        <v>0</v>
      </c>
      <c r="V1721">
        <v>1719</v>
      </c>
      <c r="W1721">
        <v>30</v>
      </c>
      <c r="X1721">
        <v>1.76</v>
      </c>
      <c r="Y1721" s="32">
        <v>3.68</v>
      </c>
      <c r="Z1721">
        <v>0</v>
      </c>
      <c r="AA1721" s="32">
        <v>1.4530000000000001</v>
      </c>
      <c r="AB1721">
        <v>0</v>
      </c>
      <c r="AC1721" s="34">
        <v>0.16700000000000001</v>
      </c>
      <c r="AD1721" s="32">
        <v>2.5569999999999999</v>
      </c>
    </row>
    <row r="1722" spans="1:30">
      <c r="A1722">
        <v>1720</v>
      </c>
      <c r="B1722">
        <v>31</v>
      </c>
      <c r="C1722">
        <v>1.7490000000000001</v>
      </c>
      <c r="D1722">
        <v>3.57</v>
      </c>
      <c r="E1722">
        <v>0</v>
      </c>
      <c r="F1722">
        <v>1.5369999999999999</v>
      </c>
      <c r="G1722">
        <v>0</v>
      </c>
      <c r="H1722">
        <v>0.17100000000000001</v>
      </c>
      <c r="I1722">
        <v>2.8490000000000002</v>
      </c>
      <c r="K1722">
        <v>1720</v>
      </c>
      <c r="L1722">
        <v>31</v>
      </c>
      <c r="M1722" s="32">
        <v>1.7490000000000001</v>
      </c>
      <c r="N1722" s="47">
        <v>3.669</v>
      </c>
      <c r="P1722" s="47">
        <v>1.54</v>
      </c>
      <c r="R1722" s="47">
        <v>0.17599999999999999</v>
      </c>
      <c r="S1722" s="47">
        <v>2.6949999999999998</v>
      </c>
      <c r="T1722" s="31">
        <v>0</v>
      </c>
      <c r="V1722">
        <v>1720</v>
      </c>
      <c r="W1722">
        <v>30</v>
      </c>
      <c r="X1722">
        <v>1.7609999999999999</v>
      </c>
      <c r="Y1722" s="32">
        <v>3.68</v>
      </c>
      <c r="Z1722">
        <v>0</v>
      </c>
      <c r="AA1722" s="32">
        <v>1.4530000000000001</v>
      </c>
      <c r="AB1722">
        <v>0</v>
      </c>
      <c r="AC1722" s="34">
        <v>0.16700000000000001</v>
      </c>
      <c r="AD1722" s="32">
        <v>2.5590000000000002</v>
      </c>
    </row>
    <row r="1723" spans="1:30">
      <c r="A1723">
        <v>1721</v>
      </c>
      <c r="B1723">
        <v>32</v>
      </c>
      <c r="C1723">
        <v>1.75</v>
      </c>
      <c r="D1723">
        <v>3.68</v>
      </c>
      <c r="E1723">
        <v>0</v>
      </c>
      <c r="F1723">
        <v>1.54</v>
      </c>
      <c r="G1723">
        <v>0</v>
      </c>
      <c r="H1723">
        <v>0.17599999999999999</v>
      </c>
      <c r="I1723">
        <v>2.6970000000000001</v>
      </c>
      <c r="K1723">
        <v>1721</v>
      </c>
      <c r="L1723">
        <v>32</v>
      </c>
      <c r="M1723" s="32">
        <v>1.75</v>
      </c>
      <c r="N1723" s="32">
        <v>3.68</v>
      </c>
      <c r="P1723" s="32">
        <v>1.54</v>
      </c>
      <c r="R1723" s="32">
        <v>0.17599999999999999</v>
      </c>
      <c r="S1723" s="32">
        <v>2.6970000000000001</v>
      </c>
      <c r="T1723" s="31">
        <v>0</v>
      </c>
      <c r="V1723">
        <v>1721</v>
      </c>
      <c r="W1723">
        <v>30</v>
      </c>
      <c r="X1723">
        <v>1.762</v>
      </c>
      <c r="Y1723" s="32">
        <v>3.68</v>
      </c>
      <c r="Z1723">
        <v>0</v>
      </c>
      <c r="AA1723" s="32">
        <v>1.4530000000000001</v>
      </c>
      <c r="AB1723">
        <v>0</v>
      </c>
      <c r="AC1723" s="34">
        <v>0.16700000000000001</v>
      </c>
      <c r="AD1723" s="32">
        <v>2.56</v>
      </c>
    </row>
    <row r="1724" spans="1:30">
      <c r="A1724">
        <v>1722</v>
      </c>
      <c r="B1724">
        <v>32</v>
      </c>
      <c r="C1724">
        <v>1.7509999999999999</v>
      </c>
      <c r="D1724">
        <v>3.68</v>
      </c>
      <c r="E1724">
        <v>0</v>
      </c>
      <c r="F1724">
        <v>1.54</v>
      </c>
      <c r="G1724">
        <v>0</v>
      </c>
      <c r="H1724">
        <v>0.17599999999999999</v>
      </c>
      <c r="I1724">
        <v>2.6989999999999998</v>
      </c>
      <c r="K1724">
        <v>1722</v>
      </c>
      <c r="L1724">
        <v>32</v>
      </c>
      <c r="M1724" s="32">
        <v>1.7509999999999999</v>
      </c>
      <c r="N1724" s="32">
        <v>3.68</v>
      </c>
      <c r="P1724" s="32">
        <v>1.54</v>
      </c>
      <c r="R1724" s="32">
        <v>0.17599999999999999</v>
      </c>
      <c r="S1724" s="32">
        <v>2.6989999999999998</v>
      </c>
      <c r="T1724" s="31">
        <v>0</v>
      </c>
      <c r="V1724">
        <v>1722</v>
      </c>
      <c r="W1724">
        <v>30</v>
      </c>
      <c r="X1724">
        <v>1.7629999999999999</v>
      </c>
      <c r="Y1724" s="32">
        <v>3.68</v>
      </c>
      <c r="Z1724">
        <v>0</v>
      </c>
      <c r="AA1724" s="32">
        <v>1.4530000000000001</v>
      </c>
      <c r="AB1724">
        <v>0</v>
      </c>
      <c r="AC1724" s="34">
        <v>0.16700000000000001</v>
      </c>
      <c r="AD1724" s="32">
        <v>2.5619999999999998</v>
      </c>
    </row>
    <row r="1725" spans="1:30">
      <c r="A1725">
        <v>1723</v>
      </c>
      <c r="B1725">
        <v>32</v>
      </c>
      <c r="C1725">
        <v>1.752</v>
      </c>
      <c r="D1725">
        <v>3.68</v>
      </c>
      <c r="E1725">
        <v>0</v>
      </c>
      <c r="F1725">
        <v>1.5409999999999999</v>
      </c>
      <c r="G1725">
        <v>0</v>
      </c>
      <c r="H1725">
        <v>0.17599999999999999</v>
      </c>
      <c r="I1725">
        <v>2.7010000000000001</v>
      </c>
      <c r="K1725">
        <v>1723</v>
      </c>
      <c r="L1725">
        <v>32</v>
      </c>
      <c r="M1725" s="32">
        <v>1.752</v>
      </c>
      <c r="N1725" s="32">
        <v>3.68</v>
      </c>
      <c r="P1725" s="32">
        <v>1.5409999999999999</v>
      </c>
      <c r="R1725" s="32">
        <v>0.17599999999999999</v>
      </c>
      <c r="S1725" s="32">
        <v>2.7010000000000001</v>
      </c>
      <c r="T1725" s="31">
        <v>0</v>
      </c>
      <c r="V1725">
        <v>1723</v>
      </c>
      <c r="W1725">
        <v>30</v>
      </c>
      <c r="X1725">
        <v>1.764</v>
      </c>
      <c r="Y1725" s="32">
        <v>3.68</v>
      </c>
      <c r="Z1725">
        <v>0</v>
      </c>
      <c r="AA1725" s="32">
        <v>1.4530000000000001</v>
      </c>
      <c r="AB1725">
        <v>0</v>
      </c>
      <c r="AC1725" s="34">
        <v>0.16700000000000001</v>
      </c>
      <c r="AD1725" s="32">
        <v>2.5640000000000001</v>
      </c>
    </row>
    <row r="1726" spans="1:30">
      <c r="A1726">
        <v>1724</v>
      </c>
      <c r="B1726">
        <v>32</v>
      </c>
      <c r="C1726">
        <v>1.7529999999999999</v>
      </c>
      <c r="D1726">
        <v>3.69</v>
      </c>
      <c r="E1726">
        <v>0</v>
      </c>
      <c r="F1726">
        <v>1.5409999999999999</v>
      </c>
      <c r="G1726">
        <v>0</v>
      </c>
      <c r="H1726">
        <v>0.17599999999999999</v>
      </c>
      <c r="I1726">
        <v>2.7029999999999998</v>
      </c>
      <c r="K1726">
        <v>1724</v>
      </c>
      <c r="L1726">
        <v>32</v>
      </c>
      <c r="M1726" s="32">
        <v>1.7529999999999999</v>
      </c>
      <c r="N1726" s="47">
        <v>3.68</v>
      </c>
      <c r="P1726" s="32">
        <v>1.5409999999999999</v>
      </c>
      <c r="R1726" s="32">
        <v>0.17599999999999999</v>
      </c>
      <c r="S1726" s="47">
        <v>2.702</v>
      </c>
      <c r="T1726" s="31">
        <v>0</v>
      </c>
      <c r="V1726">
        <v>1724</v>
      </c>
      <c r="W1726">
        <v>30</v>
      </c>
      <c r="X1726">
        <v>1.7649999999999999</v>
      </c>
      <c r="Y1726" s="32">
        <v>3.68</v>
      </c>
      <c r="Z1726">
        <v>0</v>
      </c>
      <c r="AA1726" s="32">
        <v>1.4530000000000001</v>
      </c>
      <c r="AB1726">
        <v>0</v>
      </c>
      <c r="AC1726" s="34">
        <v>0.16700000000000001</v>
      </c>
      <c r="AD1726" s="32">
        <v>2.5659999999999998</v>
      </c>
    </row>
    <row r="1727" spans="1:30">
      <c r="A1727">
        <v>1725</v>
      </c>
      <c r="B1727">
        <v>32</v>
      </c>
      <c r="C1727">
        <v>1.754</v>
      </c>
      <c r="D1727">
        <v>3.69</v>
      </c>
      <c r="E1727">
        <v>0</v>
      </c>
      <c r="F1727">
        <v>1.5409999999999999</v>
      </c>
      <c r="G1727">
        <v>0</v>
      </c>
      <c r="H1727">
        <v>0.17599999999999999</v>
      </c>
      <c r="I1727">
        <v>2.7050000000000001</v>
      </c>
      <c r="K1727">
        <v>1725</v>
      </c>
      <c r="L1727">
        <v>32</v>
      </c>
      <c r="M1727" s="32">
        <v>1.754</v>
      </c>
      <c r="N1727" s="47">
        <v>3.68</v>
      </c>
      <c r="P1727" s="32">
        <v>1.5409999999999999</v>
      </c>
      <c r="R1727" s="32">
        <v>0.17599999999999999</v>
      </c>
      <c r="S1727" s="47">
        <v>2.7040000000000002</v>
      </c>
      <c r="T1727" s="31">
        <v>0</v>
      </c>
      <c r="V1727">
        <v>1725</v>
      </c>
      <c r="W1727">
        <v>30</v>
      </c>
      <c r="X1727">
        <v>1.766</v>
      </c>
      <c r="Y1727" s="32">
        <v>3.68</v>
      </c>
      <c r="Z1727">
        <v>0</v>
      </c>
      <c r="AA1727" s="32">
        <v>1.454</v>
      </c>
      <c r="AB1727">
        <v>0</v>
      </c>
      <c r="AC1727" s="34">
        <v>0.16700000000000001</v>
      </c>
      <c r="AD1727" s="32">
        <v>2.5680000000000001</v>
      </c>
    </row>
    <row r="1728" spans="1:30">
      <c r="A1728">
        <v>1726</v>
      </c>
      <c r="B1728">
        <v>32</v>
      </c>
      <c r="C1728">
        <v>1.7549999999999999</v>
      </c>
      <c r="D1728">
        <v>3.69</v>
      </c>
      <c r="E1728">
        <v>0</v>
      </c>
      <c r="F1728">
        <v>1.5409999999999999</v>
      </c>
      <c r="G1728">
        <v>0</v>
      </c>
      <c r="H1728">
        <v>0.17599999999999999</v>
      </c>
      <c r="I1728">
        <v>2.7069999999999999</v>
      </c>
      <c r="K1728">
        <v>1726</v>
      </c>
      <c r="L1728">
        <v>32</v>
      </c>
      <c r="M1728" s="32">
        <v>1.7549999999999999</v>
      </c>
      <c r="N1728" s="47">
        <v>3.68</v>
      </c>
      <c r="P1728" s="47">
        <v>1.542</v>
      </c>
      <c r="R1728" s="32">
        <v>0.17599999999999999</v>
      </c>
      <c r="S1728" s="47">
        <v>2.706</v>
      </c>
      <c r="T1728" s="31">
        <v>0</v>
      </c>
      <c r="V1728">
        <v>1726</v>
      </c>
      <c r="W1728">
        <v>30</v>
      </c>
      <c r="X1728">
        <v>1.7669999999999999</v>
      </c>
      <c r="Y1728" s="32">
        <v>3.68</v>
      </c>
      <c r="Z1728">
        <v>0</v>
      </c>
      <c r="AA1728" s="32">
        <v>1.454</v>
      </c>
      <c r="AB1728">
        <v>0</v>
      </c>
      <c r="AC1728" s="34">
        <v>0.16700000000000001</v>
      </c>
      <c r="AD1728" s="32">
        <v>2.569</v>
      </c>
    </row>
    <row r="1729" spans="1:30">
      <c r="A1729">
        <v>1727</v>
      </c>
      <c r="B1729">
        <v>32</v>
      </c>
      <c r="C1729">
        <v>1.756</v>
      </c>
      <c r="D1729">
        <v>3.69</v>
      </c>
      <c r="E1729">
        <v>0</v>
      </c>
      <c r="F1729">
        <v>1.542</v>
      </c>
      <c r="G1729">
        <v>0</v>
      </c>
      <c r="H1729">
        <v>0.17599999999999999</v>
      </c>
      <c r="I1729">
        <v>2.7090000000000001</v>
      </c>
      <c r="K1729">
        <v>1727</v>
      </c>
      <c r="L1729">
        <v>32</v>
      </c>
      <c r="M1729" s="32">
        <v>1.756</v>
      </c>
      <c r="N1729" s="47">
        <v>3.68</v>
      </c>
      <c r="P1729" s="32">
        <v>1.542</v>
      </c>
      <c r="R1729" s="32">
        <v>0.17599999999999999</v>
      </c>
      <c r="S1729" s="47">
        <v>2.7080000000000002</v>
      </c>
      <c r="T1729" s="31">
        <v>0</v>
      </c>
      <c r="V1729">
        <v>1727</v>
      </c>
      <c r="W1729">
        <v>30</v>
      </c>
      <c r="X1729">
        <v>1.768</v>
      </c>
      <c r="Y1729" s="32">
        <v>3.68</v>
      </c>
      <c r="Z1729">
        <v>0</v>
      </c>
      <c r="AA1729" s="32">
        <v>1.454</v>
      </c>
      <c r="AB1729">
        <v>0</v>
      </c>
      <c r="AC1729" s="34">
        <v>0.16700000000000001</v>
      </c>
      <c r="AD1729" s="32">
        <v>2.5710000000000002</v>
      </c>
    </row>
    <row r="1730" spans="1:30">
      <c r="A1730">
        <v>1728</v>
      </c>
      <c r="B1730">
        <v>32</v>
      </c>
      <c r="C1730">
        <v>1.7569999999999999</v>
      </c>
      <c r="D1730">
        <v>3.69</v>
      </c>
      <c r="E1730">
        <v>0</v>
      </c>
      <c r="F1730">
        <v>1.542</v>
      </c>
      <c r="G1730">
        <v>0</v>
      </c>
      <c r="H1730">
        <v>0.17599999999999999</v>
      </c>
      <c r="I1730">
        <v>2.7109999999999999</v>
      </c>
      <c r="K1730">
        <v>1728</v>
      </c>
      <c r="L1730">
        <v>32</v>
      </c>
      <c r="M1730" s="32">
        <v>1.7569999999999999</v>
      </c>
      <c r="N1730" s="47">
        <v>3.68</v>
      </c>
      <c r="P1730" s="32">
        <v>1.542</v>
      </c>
      <c r="R1730" s="32">
        <v>0.17599999999999999</v>
      </c>
      <c r="S1730" s="47">
        <v>2.71</v>
      </c>
      <c r="T1730" s="31">
        <v>0</v>
      </c>
      <c r="V1730">
        <v>1728</v>
      </c>
      <c r="W1730">
        <v>30</v>
      </c>
      <c r="X1730">
        <v>1.7689999999999999</v>
      </c>
      <c r="Y1730" s="32">
        <v>3.68</v>
      </c>
      <c r="Z1730">
        <v>0</v>
      </c>
      <c r="AA1730" s="32">
        <v>1.454</v>
      </c>
      <c r="AB1730">
        <v>0</v>
      </c>
      <c r="AC1730" s="34">
        <v>0.16700000000000001</v>
      </c>
      <c r="AD1730" s="32">
        <v>2.573</v>
      </c>
    </row>
    <row r="1731" spans="1:30">
      <c r="A1731">
        <v>1729</v>
      </c>
      <c r="B1731">
        <v>32</v>
      </c>
      <c r="C1731">
        <v>1.758</v>
      </c>
      <c r="D1731">
        <v>3.7</v>
      </c>
      <c r="E1731">
        <v>0</v>
      </c>
      <c r="F1731">
        <v>1.542</v>
      </c>
      <c r="G1731">
        <v>0</v>
      </c>
      <c r="H1731">
        <v>0.17599999999999999</v>
      </c>
      <c r="I1731">
        <v>2.7130000000000001</v>
      </c>
      <c r="K1731">
        <v>1729</v>
      </c>
      <c r="L1731">
        <v>32</v>
      </c>
      <c r="M1731" s="32">
        <v>1.758</v>
      </c>
      <c r="N1731" s="47">
        <v>3.68</v>
      </c>
      <c r="P1731" s="32">
        <v>1.542</v>
      </c>
      <c r="R1731" s="32">
        <v>0.17599999999999999</v>
      </c>
      <c r="S1731" s="47">
        <v>2.7109999999999999</v>
      </c>
      <c r="T1731" s="31">
        <v>0</v>
      </c>
      <c r="V1731">
        <v>1729</v>
      </c>
      <c r="W1731">
        <v>30</v>
      </c>
      <c r="X1731">
        <v>1.77</v>
      </c>
      <c r="Y1731" s="32">
        <v>3.68</v>
      </c>
      <c r="Z1731">
        <v>0</v>
      </c>
      <c r="AA1731" s="32">
        <v>1.454</v>
      </c>
      <c r="AB1731">
        <v>0</v>
      </c>
      <c r="AC1731" s="34">
        <v>0.16700000000000001</v>
      </c>
      <c r="AD1731" s="32">
        <v>2.5750000000000002</v>
      </c>
    </row>
    <row r="1732" spans="1:30">
      <c r="A1732">
        <v>1730</v>
      </c>
      <c r="B1732">
        <v>32</v>
      </c>
      <c r="C1732">
        <v>1.7589999999999999</v>
      </c>
      <c r="D1732">
        <v>3.7</v>
      </c>
      <c r="E1732">
        <v>0</v>
      </c>
      <c r="F1732">
        <v>1.542</v>
      </c>
      <c r="G1732">
        <v>0</v>
      </c>
      <c r="H1732">
        <v>0.17599999999999999</v>
      </c>
      <c r="I1732">
        <v>2.7149999999999999</v>
      </c>
      <c r="K1732">
        <v>1730</v>
      </c>
      <c r="L1732">
        <v>32</v>
      </c>
      <c r="M1732" s="32">
        <v>1.7589999999999999</v>
      </c>
      <c r="N1732" s="47">
        <v>3.68</v>
      </c>
      <c r="P1732" s="47">
        <v>1.5429999999999999</v>
      </c>
      <c r="R1732" s="32">
        <v>0.17599999999999999</v>
      </c>
      <c r="S1732" s="47">
        <v>2.7130000000000001</v>
      </c>
      <c r="T1732" s="31">
        <v>0</v>
      </c>
      <c r="V1732">
        <v>1730</v>
      </c>
      <c r="W1732">
        <v>30</v>
      </c>
      <c r="X1732">
        <v>1.7709999999999999</v>
      </c>
      <c r="Y1732" s="32">
        <v>3.68</v>
      </c>
      <c r="Z1732">
        <v>0</v>
      </c>
      <c r="AA1732" s="32">
        <v>1.4550000000000001</v>
      </c>
      <c r="AB1732">
        <v>0</v>
      </c>
      <c r="AC1732" s="34">
        <v>0.16700000000000001</v>
      </c>
      <c r="AD1732" s="32">
        <v>2.577</v>
      </c>
    </row>
    <row r="1733" spans="1:30">
      <c r="A1733">
        <v>1731</v>
      </c>
      <c r="B1733">
        <v>32</v>
      </c>
      <c r="C1733">
        <v>1.76</v>
      </c>
      <c r="D1733">
        <v>3.68</v>
      </c>
      <c r="E1733">
        <v>0</v>
      </c>
      <c r="F1733">
        <v>1.5429999999999999</v>
      </c>
      <c r="G1733">
        <v>0</v>
      </c>
      <c r="H1733">
        <v>0.17599999999999999</v>
      </c>
      <c r="I1733">
        <v>2.7149999999999999</v>
      </c>
      <c r="K1733">
        <v>1731</v>
      </c>
      <c r="L1733">
        <v>32</v>
      </c>
      <c r="M1733" s="32">
        <v>1.76</v>
      </c>
      <c r="N1733" s="32">
        <v>3.68</v>
      </c>
      <c r="P1733" s="32">
        <v>1.5429999999999999</v>
      </c>
      <c r="R1733" s="32">
        <v>0.17599999999999999</v>
      </c>
      <c r="S1733" s="32">
        <v>2.7149999999999999</v>
      </c>
      <c r="T1733" s="31">
        <v>0</v>
      </c>
      <c r="V1733">
        <v>1731</v>
      </c>
      <c r="W1733">
        <v>30</v>
      </c>
      <c r="X1733">
        <v>1.772</v>
      </c>
      <c r="Y1733" s="32">
        <v>3.68</v>
      </c>
      <c r="Z1733">
        <v>0</v>
      </c>
      <c r="AA1733" s="32">
        <v>1.4550000000000001</v>
      </c>
      <c r="AB1733">
        <v>0</v>
      </c>
      <c r="AC1733" s="34">
        <v>0.16700000000000001</v>
      </c>
      <c r="AD1733" s="32">
        <v>2.5779999999999998</v>
      </c>
    </row>
    <row r="1734" spans="1:30">
      <c r="A1734">
        <v>1732</v>
      </c>
      <c r="B1734">
        <v>32</v>
      </c>
      <c r="C1734">
        <v>1.7609999999999999</v>
      </c>
      <c r="D1734">
        <v>3.68</v>
      </c>
      <c r="E1734">
        <v>0</v>
      </c>
      <c r="F1734">
        <v>1.5429999999999999</v>
      </c>
      <c r="G1734">
        <v>0</v>
      </c>
      <c r="H1734">
        <v>0.17599999999999999</v>
      </c>
      <c r="I1734">
        <v>2.7370000000000001</v>
      </c>
      <c r="K1734">
        <v>1732</v>
      </c>
      <c r="L1734">
        <v>32</v>
      </c>
      <c r="M1734" s="32">
        <v>1.7609999999999999</v>
      </c>
      <c r="N1734" s="32">
        <v>3.68</v>
      </c>
      <c r="P1734" s="32">
        <v>1.5429999999999999</v>
      </c>
      <c r="R1734" s="32">
        <v>0.17599999999999999</v>
      </c>
      <c r="S1734" s="47">
        <v>2.7170000000000001</v>
      </c>
      <c r="T1734" s="31">
        <v>0</v>
      </c>
      <c r="V1734">
        <v>1732</v>
      </c>
      <c r="W1734">
        <v>30</v>
      </c>
      <c r="X1734">
        <v>1.7729999999999999</v>
      </c>
      <c r="Y1734" s="32">
        <v>3.68</v>
      </c>
      <c r="Z1734">
        <v>0</v>
      </c>
      <c r="AA1734" s="32">
        <v>1.4550000000000001</v>
      </c>
      <c r="AB1734">
        <v>0</v>
      </c>
      <c r="AC1734" s="34">
        <v>0.16700000000000001</v>
      </c>
      <c r="AD1734" s="32">
        <v>2.58</v>
      </c>
    </row>
    <row r="1735" spans="1:30">
      <c r="A1735">
        <v>1733</v>
      </c>
      <c r="B1735">
        <v>32</v>
      </c>
      <c r="C1735">
        <v>1.762</v>
      </c>
      <c r="D1735">
        <v>3.68</v>
      </c>
      <c r="E1735">
        <v>0</v>
      </c>
      <c r="F1735">
        <v>1.5429999999999999</v>
      </c>
      <c r="G1735">
        <v>0</v>
      </c>
      <c r="H1735">
        <v>0.17599999999999999</v>
      </c>
      <c r="I1735">
        <v>2.7389999999999999</v>
      </c>
      <c r="K1735">
        <v>1733</v>
      </c>
      <c r="L1735">
        <v>32</v>
      </c>
      <c r="M1735" s="32">
        <v>1.762</v>
      </c>
      <c r="N1735" s="32">
        <v>3.68</v>
      </c>
      <c r="P1735" s="32">
        <v>1.5429999999999999</v>
      </c>
      <c r="R1735" s="32">
        <v>0.17599999999999999</v>
      </c>
      <c r="S1735" s="47">
        <v>2.7189999999999999</v>
      </c>
      <c r="T1735" s="31">
        <v>0</v>
      </c>
      <c r="V1735">
        <v>1733</v>
      </c>
      <c r="W1735">
        <v>30</v>
      </c>
      <c r="X1735">
        <v>1.774</v>
      </c>
      <c r="Y1735" s="32">
        <v>3.68</v>
      </c>
      <c r="Z1735">
        <v>0</v>
      </c>
      <c r="AA1735" s="32">
        <v>1.4550000000000001</v>
      </c>
      <c r="AB1735">
        <v>0</v>
      </c>
      <c r="AC1735" s="34">
        <v>0.16700000000000001</v>
      </c>
      <c r="AD1735" s="32">
        <v>2.5819999999999999</v>
      </c>
    </row>
    <row r="1736" spans="1:30">
      <c r="A1736">
        <v>1734</v>
      </c>
      <c r="B1736">
        <v>32</v>
      </c>
      <c r="C1736">
        <v>1.7629999999999999</v>
      </c>
      <c r="D1736">
        <v>3.68</v>
      </c>
      <c r="E1736">
        <v>0</v>
      </c>
      <c r="F1736">
        <v>1.5429999999999999</v>
      </c>
      <c r="G1736">
        <v>0</v>
      </c>
      <c r="H1736">
        <v>0.17599999999999999</v>
      </c>
      <c r="I1736">
        <v>2.7410000000000001</v>
      </c>
      <c r="K1736">
        <v>1734</v>
      </c>
      <c r="L1736">
        <v>32</v>
      </c>
      <c r="M1736" s="32">
        <v>1.7629999999999999</v>
      </c>
      <c r="N1736" s="32">
        <v>3.68</v>
      </c>
      <c r="P1736" s="47">
        <v>1.544</v>
      </c>
      <c r="R1736" s="32">
        <v>0.17599999999999999</v>
      </c>
      <c r="S1736" s="47">
        <v>2.7210000000000001</v>
      </c>
      <c r="T1736" s="31">
        <v>0</v>
      </c>
      <c r="V1736">
        <v>1734</v>
      </c>
      <c r="W1736">
        <v>30</v>
      </c>
      <c r="X1736">
        <v>1.7749999999999999</v>
      </c>
      <c r="Y1736" s="32">
        <v>3.68</v>
      </c>
      <c r="Z1736">
        <v>0</v>
      </c>
      <c r="AA1736" s="32">
        <v>1.4550000000000001</v>
      </c>
      <c r="AB1736">
        <v>0</v>
      </c>
      <c r="AC1736" s="34">
        <v>0.16700000000000001</v>
      </c>
      <c r="AD1736" s="32">
        <v>2.5840000000000001</v>
      </c>
    </row>
    <row r="1737" spans="1:30">
      <c r="A1737">
        <v>1735</v>
      </c>
      <c r="B1737">
        <v>32</v>
      </c>
      <c r="C1737">
        <v>1.764</v>
      </c>
      <c r="D1737">
        <v>3.68</v>
      </c>
      <c r="E1737">
        <v>0</v>
      </c>
      <c r="F1737">
        <v>1.5429999999999999</v>
      </c>
      <c r="G1737">
        <v>0</v>
      </c>
      <c r="H1737">
        <v>0.17599999999999999</v>
      </c>
      <c r="I1737">
        <v>2.7429999999999999</v>
      </c>
      <c r="K1737">
        <v>1735</v>
      </c>
      <c r="L1737">
        <v>32</v>
      </c>
      <c r="M1737" s="32">
        <v>1.764</v>
      </c>
      <c r="N1737" s="32">
        <v>3.68</v>
      </c>
      <c r="P1737" s="47">
        <v>1.544</v>
      </c>
      <c r="R1737" s="32">
        <v>0.17599999999999999</v>
      </c>
      <c r="S1737" s="47">
        <v>2.7229999999999999</v>
      </c>
      <c r="T1737" s="31">
        <v>0</v>
      </c>
      <c r="V1737">
        <v>1735</v>
      </c>
      <c r="W1737">
        <v>30</v>
      </c>
      <c r="X1737">
        <v>1.776</v>
      </c>
      <c r="Y1737" s="32">
        <v>3.68</v>
      </c>
      <c r="Z1737">
        <v>0</v>
      </c>
      <c r="AA1737" s="32">
        <v>1.456</v>
      </c>
      <c r="AB1737">
        <v>0</v>
      </c>
      <c r="AC1737" s="34">
        <v>0.16800000000000001</v>
      </c>
      <c r="AD1737" s="32">
        <v>2.5859999999999999</v>
      </c>
    </row>
    <row r="1738" spans="1:30">
      <c r="A1738">
        <v>1736</v>
      </c>
      <c r="B1738">
        <v>32</v>
      </c>
      <c r="C1738">
        <v>1.7649999999999999</v>
      </c>
      <c r="D1738">
        <v>3.68</v>
      </c>
      <c r="E1738">
        <v>0</v>
      </c>
      <c r="F1738">
        <v>1.5429999999999999</v>
      </c>
      <c r="G1738">
        <v>0</v>
      </c>
      <c r="H1738">
        <v>0.17599999999999999</v>
      </c>
      <c r="I1738">
        <v>2.7450000000000001</v>
      </c>
      <c r="K1738">
        <v>1736</v>
      </c>
      <c r="L1738">
        <v>32</v>
      </c>
      <c r="M1738" s="32">
        <v>1.7649999999999999</v>
      </c>
      <c r="N1738" s="32">
        <v>3.68</v>
      </c>
      <c r="P1738" s="47">
        <v>1.544</v>
      </c>
      <c r="R1738" s="47">
        <v>0.17699999999999999</v>
      </c>
      <c r="S1738" s="47">
        <v>2.7250000000000001</v>
      </c>
      <c r="T1738" s="31">
        <v>0</v>
      </c>
      <c r="V1738">
        <v>1736</v>
      </c>
      <c r="W1738">
        <v>30</v>
      </c>
      <c r="X1738">
        <v>1.7769999999999999</v>
      </c>
      <c r="Y1738" s="32">
        <v>3.68</v>
      </c>
      <c r="Z1738">
        <v>0</v>
      </c>
      <c r="AA1738" s="32">
        <v>1.456</v>
      </c>
      <c r="AB1738">
        <v>0</v>
      </c>
      <c r="AC1738" s="34">
        <v>0.16800000000000001</v>
      </c>
      <c r="AD1738" s="32">
        <v>2.5870000000000002</v>
      </c>
    </row>
    <row r="1739" spans="1:30">
      <c r="A1739">
        <v>1737</v>
      </c>
      <c r="B1739">
        <v>32</v>
      </c>
      <c r="C1739">
        <v>1.766</v>
      </c>
      <c r="D1739">
        <v>3.68</v>
      </c>
      <c r="E1739">
        <v>0</v>
      </c>
      <c r="F1739">
        <v>1.5429999999999999</v>
      </c>
      <c r="G1739">
        <v>0</v>
      </c>
      <c r="H1739">
        <v>0.17599999999999999</v>
      </c>
      <c r="I1739">
        <v>2.7469999999999999</v>
      </c>
      <c r="K1739">
        <v>1737</v>
      </c>
      <c r="L1739">
        <v>32</v>
      </c>
      <c r="M1739" s="32">
        <v>1.766</v>
      </c>
      <c r="N1739" s="32">
        <v>3.68</v>
      </c>
      <c r="P1739" s="47">
        <v>1.544</v>
      </c>
      <c r="R1739" s="47">
        <v>0.17699999999999999</v>
      </c>
      <c r="S1739" s="47">
        <v>2.7269999999999999</v>
      </c>
      <c r="T1739" s="31">
        <v>0</v>
      </c>
      <c r="V1739">
        <v>1737</v>
      </c>
      <c r="W1739">
        <v>30</v>
      </c>
      <c r="X1739">
        <v>1.778</v>
      </c>
      <c r="Y1739" s="32">
        <v>3.68</v>
      </c>
      <c r="Z1739">
        <v>0</v>
      </c>
      <c r="AA1739" s="32">
        <v>1.456</v>
      </c>
      <c r="AB1739">
        <v>0</v>
      </c>
      <c r="AC1739" s="34">
        <v>0.16800000000000001</v>
      </c>
      <c r="AD1739" s="32">
        <v>2.589</v>
      </c>
    </row>
    <row r="1740" spans="1:30">
      <c r="A1740">
        <v>1738</v>
      </c>
      <c r="B1740">
        <v>32</v>
      </c>
      <c r="C1740">
        <v>1.7669999999999999</v>
      </c>
      <c r="D1740">
        <v>3.68</v>
      </c>
      <c r="E1740">
        <v>0</v>
      </c>
      <c r="F1740">
        <v>1.5429999999999999</v>
      </c>
      <c r="G1740">
        <v>0</v>
      </c>
      <c r="H1740">
        <v>0.17599999999999999</v>
      </c>
      <c r="I1740">
        <v>2.7490000000000001</v>
      </c>
      <c r="K1740">
        <v>1738</v>
      </c>
      <c r="L1740">
        <v>32</v>
      </c>
      <c r="M1740" s="32">
        <v>1.7669999999999999</v>
      </c>
      <c r="N1740" s="32">
        <v>3.68</v>
      </c>
      <c r="P1740" s="47">
        <v>1.544</v>
      </c>
      <c r="R1740" s="47">
        <v>0.17699999999999999</v>
      </c>
      <c r="S1740" s="47">
        <v>2.7290000000000001</v>
      </c>
      <c r="T1740" s="31">
        <v>0</v>
      </c>
      <c r="V1740">
        <v>1738</v>
      </c>
      <c r="W1740">
        <v>30</v>
      </c>
      <c r="X1740">
        <v>1.7789999999999999</v>
      </c>
      <c r="Y1740" s="32">
        <v>3.68</v>
      </c>
      <c r="Z1740">
        <v>0</v>
      </c>
      <c r="AA1740" s="32">
        <v>1.456</v>
      </c>
      <c r="AB1740">
        <v>0</v>
      </c>
      <c r="AC1740" s="34">
        <v>0.16800000000000001</v>
      </c>
      <c r="AD1740" s="32">
        <v>2.5910000000000002</v>
      </c>
    </row>
    <row r="1741" spans="1:30">
      <c r="A1741">
        <v>1739</v>
      </c>
      <c r="B1741">
        <v>32</v>
      </c>
      <c r="C1741">
        <v>1.768</v>
      </c>
      <c r="D1741">
        <v>3.68</v>
      </c>
      <c r="E1741">
        <v>0</v>
      </c>
      <c r="F1741">
        <v>1.5429999999999999</v>
      </c>
      <c r="G1741">
        <v>0</v>
      </c>
      <c r="H1741">
        <v>0.17599999999999999</v>
      </c>
      <c r="I1741">
        <v>2.7509999999999999</v>
      </c>
      <c r="K1741">
        <v>1739</v>
      </c>
      <c r="L1741">
        <v>32</v>
      </c>
      <c r="M1741" s="32">
        <v>1.768</v>
      </c>
      <c r="N1741" s="32">
        <v>3.68</v>
      </c>
      <c r="P1741" s="47">
        <v>1.5449999999999999</v>
      </c>
      <c r="R1741" s="47">
        <v>0.17699999999999999</v>
      </c>
      <c r="S1741" s="47">
        <v>2.7309999999999999</v>
      </c>
      <c r="T1741" s="31">
        <v>0</v>
      </c>
      <c r="V1741">
        <v>1739</v>
      </c>
      <c r="W1741">
        <v>30</v>
      </c>
      <c r="X1741">
        <v>1.78</v>
      </c>
      <c r="Y1741" s="32">
        <v>3.68</v>
      </c>
      <c r="Z1741">
        <v>0</v>
      </c>
      <c r="AA1741" s="32">
        <v>1.456</v>
      </c>
      <c r="AB1741">
        <v>0</v>
      </c>
      <c r="AC1741" s="34">
        <v>0.16800000000000001</v>
      </c>
      <c r="AD1741" s="32">
        <v>2.593</v>
      </c>
    </row>
    <row r="1742" spans="1:30">
      <c r="A1742">
        <v>1740</v>
      </c>
      <c r="B1742">
        <v>32</v>
      </c>
      <c r="C1742">
        <v>1.7689999999999999</v>
      </c>
      <c r="D1742">
        <v>3.68</v>
      </c>
      <c r="E1742">
        <v>0</v>
      </c>
      <c r="F1742">
        <v>1.5429999999999999</v>
      </c>
      <c r="G1742">
        <v>0</v>
      </c>
      <c r="H1742">
        <v>0.17599999999999999</v>
      </c>
      <c r="I1742">
        <v>2.7530000000000001</v>
      </c>
      <c r="K1742">
        <v>1740</v>
      </c>
      <c r="L1742">
        <v>32</v>
      </c>
      <c r="M1742" s="32">
        <v>1.7689999999999999</v>
      </c>
      <c r="N1742" s="32">
        <v>3.68</v>
      </c>
      <c r="P1742" s="47">
        <v>1.5449999999999999</v>
      </c>
      <c r="R1742" s="47">
        <v>0.17699999999999999</v>
      </c>
      <c r="S1742" s="47">
        <v>2.7330000000000001</v>
      </c>
      <c r="T1742" s="31">
        <v>0</v>
      </c>
      <c r="V1742">
        <v>1740</v>
      </c>
      <c r="W1742">
        <v>30</v>
      </c>
      <c r="X1742">
        <v>1.7809999999999999</v>
      </c>
      <c r="Y1742" s="32">
        <v>3.68</v>
      </c>
      <c r="Z1742">
        <v>0</v>
      </c>
      <c r="AA1742" s="32">
        <v>1.4570000000000001</v>
      </c>
      <c r="AB1742">
        <v>0</v>
      </c>
      <c r="AC1742" s="34">
        <v>0.16800000000000001</v>
      </c>
      <c r="AD1742" s="32">
        <v>2.5950000000000002</v>
      </c>
    </row>
    <row r="1743" spans="1:30">
      <c r="A1743">
        <v>1741</v>
      </c>
      <c r="B1743">
        <v>32</v>
      </c>
      <c r="C1743">
        <v>1.77</v>
      </c>
      <c r="D1743">
        <v>3.68</v>
      </c>
      <c r="E1743">
        <v>0</v>
      </c>
      <c r="F1743">
        <v>1.5449999999999999</v>
      </c>
      <c r="G1743">
        <v>0</v>
      </c>
      <c r="H1743">
        <v>0.17599999999999999</v>
      </c>
      <c r="I1743">
        <v>2.7349999999999999</v>
      </c>
      <c r="K1743">
        <v>1741</v>
      </c>
      <c r="L1743">
        <v>32</v>
      </c>
      <c r="M1743" s="32">
        <v>1.77</v>
      </c>
      <c r="N1743" s="32">
        <v>3.68</v>
      </c>
      <c r="P1743" s="32">
        <v>1.5449999999999999</v>
      </c>
      <c r="R1743" s="47">
        <v>0.17699999999999999</v>
      </c>
      <c r="S1743" s="32">
        <v>2.7349999999999999</v>
      </c>
      <c r="T1743" s="31">
        <v>0</v>
      </c>
      <c r="V1743">
        <v>1741</v>
      </c>
      <c r="W1743">
        <v>30</v>
      </c>
      <c r="X1743">
        <v>1.782</v>
      </c>
      <c r="Y1743" s="32">
        <v>3.68</v>
      </c>
      <c r="Z1743">
        <v>0</v>
      </c>
      <c r="AA1743" s="32">
        <v>1.4570000000000001</v>
      </c>
      <c r="AB1743">
        <v>0</v>
      </c>
      <c r="AC1743" s="34">
        <v>0.16800000000000001</v>
      </c>
      <c r="AD1743" s="32">
        <v>2.5960000000000001</v>
      </c>
    </row>
    <row r="1744" spans="1:30">
      <c r="A1744">
        <v>1742</v>
      </c>
      <c r="B1744">
        <v>32</v>
      </c>
      <c r="C1744">
        <v>1.7709999999999999</v>
      </c>
      <c r="D1744">
        <v>3.68</v>
      </c>
      <c r="E1744">
        <v>0</v>
      </c>
      <c r="F1744">
        <v>1.5449999999999999</v>
      </c>
      <c r="G1744">
        <v>0</v>
      </c>
      <c r="H1744">
        <v>0.17599999999999999</v>
      </c>
      <c r="I1744">
        <v>2.7770000000000001</v>
      </c>
      <c r="K1744">
        <v>1742</v>
      </c>
      <c r="L1744">
        <v>32</v>
      </c>
      <c r="M1744" s="32">
        <v>1.7709999999999999</v>
      </c>
      <c r="N1744" s="32">
        <v>3.68</v>
      </c>
      <c r="P1744" s="32">
        <v>1.5449999999999999</v>
      </c>
      <c r="R1744" s="47">
        <v>0.17699999999999999</v>
      </c>
      <c r="S1744" s="47">
        <v>2.7349999999999999</v>
      </c>
      <c r="T1744" s="31">
        <v>0</v>
      </c>
      <c r="V1744">
        <v>1742</v>
      </c>
      <c r="W1744">
        <v>30</v>
      </c>
      <c r="X1744">
        <v>1.7829999999999999</v>
      </c>
      <c r="Y1744" s="32">
        <v>3.68</v>
      </c>
      <c r="Z1744">
        <v>0</v>
      </c>
      <c r="AA1744" s="32">
        <v>1.4570000000000001</v>
      </c>
      <c r="AB1744">
        <v>0</v>
      </c>
      <c r="AC1744" s="34">
        <v>0.16800000000000001</v>
      </c>
      <c r="AD1744" s="32">
        <v>2.5979999999999999</v>
      </c>
    </row>
    <row r="1745" spans="1:30">
      <c r="A1745">
        <v>1743</v>
      </c>
      <c r="B1745">
        <v>32</v>
      </c>
      <c r="C1745">
        <v>1.772</v>
      </c>
      <c r="D1745">
        <v>3.68</v>
      </c>
      <c r="E1745">
        <v>0</v>
      </c>
      <c r="F1745">
        <v>1.5449999999999999</v>
      </c>
      <c r="G1745">
        <v>0</v>
      </c>
      <c r="H1745">
        <v>0.17599999999999999</v>
      </c>
      <c r="I1745">
        <v>2.7789999999999999</v>
      </c>
      <c r="K1745">
        <v>1743</v>
      </c>
      <c r="L1745">
        <v>32</v>
      </c>
      <c r="M1745" s="32">
        <v>1.772</v>
      </c>
      <c r="N1745" s="32">
        <v>3.68</v>
      </c>
      <c r="P1745" s="47">
        <v>1.546</v>
      </c>
      <c r="R1745" s="47">
        <v>0.17699999999999999</v>
      </c>
      <c r="S1745" s="47">
        <v>2.7349999999999999</v>
      </c>
      <c r="T1745" s="31">
        <v>0</v>
      </c>
      <c r="V1745">
        <v>1743</v>
      </c>
      <c r="W1745">
        <v>30</v>
      </c>
      <c r="X1745">
        <v>1.784</v>
      </c>
      <c r="Y1745" s="32">
        <v>3.68</v>
      </c>
      <c r="Z1745">
        <v>0</v>
      </c>
      <c r="AA1745" s="32">
        <v>1.4570000000000001</v>
      </c>
      <c r="AB1745">
        <v>0</v>
      </c>
      <c r="AC1745" s="34">
        <v>0.16800000000000001</v>
      </c>
      <c r="AD1745" s="32">
        <v>2.6</v>
      </c>
    </row>
    <row r="1746" spans="1:30">
      <c r="A1746">
        <v>1744</v>
      </c>
      <c r="B1746">
        <v>32</v>
      </c>
      <c r="C1746">
        <v>1.7729999999999999</v>
      </c>
      <c r="D1746">
        <v>3.68</v>
      </c>
      <c r="E1746">
        <v>0</v>
      </c>
      <c r="F1746">
        <v>1.5449999999999999</v>
      </c>
      <c r="G1746">
        <v>0</v>
      </c>
      <c r="H1746">
        <v>0.17599999999999999</v>
      </c>
      <c r="I1746">
        <v>2.7810000000000001</v>
      </c>
      <c r="K1746">
        <v>1744</v>
      </c>
      <c r="L1746">
        <v>32</v>
      </c>
      <c r="M1746" s="32">
        <v>1.7729999999999999</v>
      </c>
      <c r="N1746" s="32">
        <v>3.68</v>
      </c>
      <c r="P1746" s="47">
        <v>1.546</v>
      </c>
      <c r="R1746" s="47">
        <v>0.17699999999999999</v>
      </c>
      <c r="S1746" s="47">
        <v>2.7349999999999999</v>
      </c>
      <c r="T1746" s="31">
        <v>0</v>
      </c>
      <c r="V1746">
        <v>1744</v>
      </c>
      <c r="W1746">
        <v>30</v>
      </c>
      <c r="X1746">
        <v>1.7849999999999999</v>
      </c>
      <c r="Y1746" s="32">
        <v>3.68</v>
      </c>
      <c r="Z1746">
        <v>0</v>
      </c>
      <c r="AA1746" s="32">
        <v>1.4570000000000001</v>
      </c>
      <c r="AB1746">
        <v>0</v>
      </c>
      <c r="AC1746" s="34">
        <v>0.16800000000000001</v>
      </c>
      <c r="AD1746" s="32">
        <v>2.6019999999999999</v>
      </c>
    </row>
    <row r="1747" spans="1:30">
      <c r="A1747">
        <v>1745</v>
      </c>
      <c r="B1747">
        <v>32</v>
      </c>
      <c r="C1747">
        <v>1.774</v>
      </c>
      <c r="D1747">
        <v>3.68</v>
      </c>
      <c r="E1747">
        <v>0</v>
      </c>
      <c r="F1747">
        <v>1.5449999999999999</v>
      </c>
      <c r="G1747">
        <v>0</v>
      </c>
      <c r="H1747">
        <v>0.17599999999999999</v>
      </c>
      <c r="I1747">
        <v>2.7829999999999999</v>
      </c>
      <c r="K1747">
        <v>1745</v>
      </c>
      <c r="L1747">
        <v>32</v>
      </c>
      <c r="M1747" s="32">
        <v>1.774</v>
      </c>
      <c r="N1747" s="32">
        <v>3.68</v>
      </c>
      <c r="P1747" s="47">
        <v>1.546</v>
      </c>
      <c r="R1747" s="47">
        <v>0.17699999999999999</v>
      </c>
      <c r="S1747" s="47">
        <v>2.7349999999999999</v>
      </c>
      <c r="T1747" s="31">
        <v>0</v>
      </c>
      <c r="V1747">
        <v>1745</v>
      </c>
      <c r="W1747">
        <v>30</v>
      </c>
      <c r="X1747">
        <v>1.786</v>
      </c>
      <c r="Y1747" s="32">
        <v>3.68</v>
      </c>
      <c r="Z1747">
        <v>0</v>
      </c>
      <c r="AA1747" s="32">
        <v>1.458</v>
      </c>
      <c r="AB1747">
        <v>0</v>
      </c>
      <c r="AC1747" s="34">
        <v>0.16800000000000001</v>
      </c>
      <c r="AD1747" s="32">
        <v>2.6040000000000001</v>
      </c>
    </row>
    <row r="1748" spans="1:30">
      <c r="A1748">
        <v>1746</v>
      </c>
      <c r="B1748">
        <v>32</v>
      </c>
      <c r="C1748">
        <v>1.7749999999999999</v>
      </c>
      <c r="D1748">
        <v>3.68</v>
      </c>
      <c r="E1748">
        <v>0</v>
      </c>
      <c r="F1748">
        <v>1.5449999999999999</v>
      </c>
      <c r="G1748">
        <v>0</v>
      </c>
      <c r="H1748">
        <v>0.17599999999999999</v>
      </c>
      <c r="I1748">
        <v>2.7850000000000001</v>
      </c>
      <c r="K1748">
        <v>1746</v>
      </c>
      <c r="L1748">
        <v>32</v>
      </c>
      <c r="M1748" s="32">
        <v>1.7749999999999999</v>
      </c>
      <c r="N1748" s="32">
        <v>3.68</v>
      </c>
      <c r="P1748" s="47">
        <v>1.5469999999999999</v>
      </c>
      <c r="R1748" s="47">
        <v>0.17699999999999999</v>
      </c>
      <c r="S1748" s="47">
        <v>2.7349999999999999</v>
      </c>
      <c r="T1748" s="31">
        <v>0</v>
      </c>
      <c r="V1748">
        <v>1746</v>
      </c>
      <c r="W1748">
        <v>30</v>
      </c>
      <c r="X1748">
        <v>1.7869999999999999</v>
      </c>
      <c r="Y1748" s="32">
        <v>3.68</v>
      </c>
      <c r="Z1748">
        <v>0</v>
      </c>
      <c r="AA1748" s="32">
        <v>1.458</v>
      </c>
      <c r="AB1748">
        <v>0</v>
      </c>
      <c r="AC1748" s="34">
        <v>0.16800000000000001</v>
      </c>
      <c r="AD1748" s="32">
        <v>2.605</v>
      </c>
    </row>
    <row r="1749" spans="1:30">
      <c r="A1749">
        <v>1747</v>
      </c>
      <c r="B1749">
        <v>32</v>
      </c>
      <c r="C1749">
        <v>1.776</v>
      </c>
      <c r="D1749">
        <v>3.68</v>
      </c>
      <c r="E1749">
        <v>0</v>
      </c>
      <c r="F1749">
        <v>1.5449999999999999</v>
      </c>
      <c r="G1749">
        <v>0</v>
      </c>
      <c r="H1749">
        <v>0.17599999999999999</v>
      </c>
      <c r="I1749">
        <v>2.7869999999999999</v>
      </c>
      <c r="K1749">
        <v>1747</v>
      </c>
      <c r="L1749">
        <v>32</v>
      </c>
      <c r="M1749" s="32">
        <v>1.776</v>
      </c>
      <c r="N1749" s="32">
        <v>3.68</v>
      </c>
      <c r="P1749" s="47">
        <v>1.5469999999999999</v>
      </c>
      <c r="R1749" s="47">
        <v>0.17699999999999999</v>
      </c>
      <c r="S1749" s="47">
        <v>2.7349999999999999</v>
      </c>
      <c r="T1749" s="31">
        <v>0</v>
      </c>
      <c r="V1749">
        <v>1747</v>
      </c>
      <c r="W1749">
        <v>30</v>
      </c>
      <c r="X1749">
        <v>1.788</v>
      </c>
      <c r="Y1749" s="32">
        <v>3.68</v>
      </c>
      <c r="Z1749">
        <v>0</v>
      </c>
      <c r="AA1749" s="32">
        <v>1.458</v>
      </c>
      <c r="AB1749">
        <v>0</v>
      </c>
      <c r="AC1749" s="34">
        <v>0.16800000000000001</v>
      </c>
      <c r="AD1749" s="32">
        <v>2.6070000000000002</v>
      </c>
    </row>
    <row r="1750" spans="1:30">
      <c r="A1750">
        <v>1748</v>
      </c>
      <c r="B1750">
        <v>32</v>
      </c>
      <c r="C1750">
        <v>1.7769999999999999</v>
      </c>
      <c r="D1750">
        <v>3.68</v>
      </c>
      <c r="E1750">
        <v>0</v>
      </c>
      <c r="F1750">
        <v>1.5449999999999999</v>
      </c>
      <c r="G1750">
        <v>0</v>
      </c>
      <c r="H1750">
        <v>0.17599999999999999</v>
      </c>
      <c r="I1750">
        <v>2.7890000000000001</v>
      </c>
      <c r="K1750">
        <v>1748</v>
      </c>
      <c r="L1750">
        <v>32</v>
      </c>
      <c r="M1750" s="32">
        <v>1.7769999999999999</v>
      </c>
      <c r="N1750" s="32">
        <v>3.68</v>
      </c>
      <c r="P1750" s="47">
        <v>1.5469999999999999</v>
      </c>
      <c r="R1750" s="47">
        <v>0.17699999999999999</v>
      </c>
      <c r="S1750" s="47">
        <v>2.7349999999999999</v>
      </c>
      <c r="T1750" s="31">
        <v>0</v>
      </c>
      <c r="V1750">
        <v>1748</v>
      </c>
      <c r="W1750">
        <v>30</v>
      </c>
      <c r="X1750">
        <v>1.7889999999999999</v>
      </c>
      <c r="Y1750" s="32">
        <v>3.68</v>
      </c>
      <c r="Z1750">
        <v>0</v>
      </c>
      <c r="AA1750" s="32">
        <v>1.458</v>
      </c>
      <c r="AB1750">
        <v>0</v>
      </c>
      <c r="AC1750" s="34">
        <v>0.16800000000000001</v>
      </c>
      <c r="AD1750" s="32">
        <v>2.609</v>
      </c>
    </row>
    <row r="1751" spans="1:30">
      <c r="A1751">
        <v>1749</v>
      </c>
      <c r="B1751">
        <v>32</v>
      </c>
      <c r="C1751">
        <v>1.778</v>
      </c>
      <c r="D1751">
        <v>3.68</v>
      </c>
      <c r="E1751">
        <v>0</v>
      </c>
      <c r="F1751">
        <v>1.5449999999999999</v>
      </c>
      <c r="G1751">
        <v>0</v>
      </c>
      <c r="H1751">
        <v>0.17599999999999999</v>
      </c>
      <c r="I1751">
        <v>2.7909999999999999</v>
      </c>
      <c r="K1751">
        <v>1749</v>
      </c>
      <c r="L1751">
        <v>32</v>
      </c>
      <c r="M1751" s="32">
        <v>1.778</v>
      </c>
      <c r="N1751" s="32">
        <v>3.68</v>
      </c>
      <c r="P1751" s="47">
        <v>1.5469999999999999</v>
      </c>
      <c r="R1751" s="47">
        <v>0.17699999999999999</v>
      </c>
      <c r="S1751" s="47">
        <v>2.7349999999999999</v>
      </c>
      <c r="T1751" s="31">
        <v>0</v>
      </c>
      <c r="V1751">
        <v>1749</v>
      </c>
      <c r="W1751">
        <v>30</v>
      </c>
      <c r="X1751">
        <v>1.79</v>
      </c>
      <c r="Y1751" s="32">
        <v>3.68</v>
      </c>
      <c r="Z1751">
        <v>0</v>
      </c>
      <c r="AA1751" s="32">
        <v>1.458</v>
      </c>
      <c r="AB1751">
        <v>0</v>
      </c>
      <c r="AC1751" s="34">
        <v>0.16800000000000001</v>
      </c>
      <c r="AD1751" s="32">
        <v>2.6110000000000002</v>
      </c>
    </row>
    <row r="1752" spans="1:30">
      <c r="A1752">
        <v>1750</v>
      </c>
      <c r="B1752">
        <v>32</v>
      </c>
      <c r="C1752">
        <v>1.7789999999999999</v>
      </c>
      <c r="D1752">
        <v>3.68</v>
      </c>
      <c r="E1752">
        <v>0</v>
      </c>
      <c r="F1752">
        <v>1.5449999999999999</v>
      </c>
      <c r="G1752">
        <v>0</v>
      </c>
      <c r="H1752">
        <v>0.17599999999999999</v>
      </c>
      <c r="I1752">
        <v>2.7930000000000001</v>
      </c>
      <c r="K1752">
        <v>1750</v>
      </c>
      <c r="L1752">
        <v>32</v>
      </c>
      <c r="M1752" s="32">
        <v>1.7789999999999999</v>
      </c>
      <c r="N1752" s="32">
        <v>3.68</v>
      </c>
      <c r="P1752" s="47">
        <v>1.548</v>
      </c>
      <c r="R1752" s="47">
        <v>0.17699999999999999</v>
      </c>
      <c r="S1752" s="47">
        <v>2.7349999999999999</v>
      </c>
      <c r="T1752" s="31">
        <v>0</v>
      </c>
      <c r="V1752">
        <v>1750</v>
      </c>
      <c r="W1752">
        <v>30</v>
      </c>
      <c r="X1752">
        <v>1.7909999999999999</v>
      </c>
      <c r="Y1752" s="32">
        <v>3.68</v>
      </c>
      <c r="Z1752">
        <v>0</v>
      </c>
      <c r="AA1752" s="32">
        <v>1.458</v>
      </c>
      <c r="AB1752">
        <v>0</v>
      </c>
      <c r="AC1752" s="34">
        <v>0.16800000000000001</v>
      </c>
      <c r="AD1752" s="32">
        <v>2.613</v>
      </c>
    </row>
    <row r="1753" spans="1:30">
      <c r="A1753">
        <v>1751</v>
      </c>
      <c r="B1753">
        <v>32</v>
      </c>
      <c r="C1753">
        <v>1.78</v>
      </c>
      <c r="D1753">
        <v>3.68</v>
      </c>
      <c r="E1753">
        <v>0</v>
      </c>
      <c r="F1753">
        <v>1.548</v>
      </c>
      <c r="G1753">
        <v>0</v>
      </c>
      <c r="H1753">
        <v>0.17599999999999999</v>
      </c>
      <c r="I1753">
        <v>2.7349999999999999</v>
      </c>
      <c r="K1753">
        <v>1751</v>
      </c>
      <c r="L1753">
        <v>32</v>
      </c>
      <c r="M1753" s="32">
        <v>1.78</v>
      </c>
      <c r="N1753" s="32">
        <v>3.68</v>
      </c>
      <c r="P1753" s="32">
        <v>1.548</v>
      </c>
      <c r="R1753" s="47">
        <v>0.17699999999999999</v>
      </c>
      <c r="S1753" s="32">
        <v>2.7349999999999999</v>
      </c>
      <c r="T1753" s="31">
        <v>0</v>
      </c>
      <c r="V1753">
        <v>1751</v>
      </c>
      <c r="W1753">
        <v>30</v>
      </c>
      <c r="X1753">
        <v>1.792</v>
      </c>
      <c r="Y1753" s="32">
        <v>3.68</v>
      </c>
      <c r="Z1753">
        <v>0</v>
      </c>
      <c r="AA1753" s="32">
        <v>1.4590000000000001</v>
      </c>
      <c r="AB1753">
        <v>0</v>
      </c>
      <c r="AC1753" s="34">
        <v>0.16900000000000001</v>
      </c>
      <c r="AD1753" s="32">
        <v>2.6139999999999999</v>
      </c>
    </row>
    <row r="1754" spans="1:30">
      <c r="A1754">
        <v>1752</v>
      </c>
      <c r="B1754">
        <v>32</v>
      </c>
      <c r="C1754">
        <v>1.7809999999999999</v>
      </c>
      <c r="D1754">
        <v>3.68</v>
      </c>
      <c r="E1754">
        <v>0</v>
      </c>
      <c r="F1754">
        <v>1.548</v>
      </c>
      <c r="G1754">
        <v>0</v>
      </c>
      <c r="H1754">
        <v>0.17599999999999999</v>
      </c>
      <c r="I1754">
        <v>2.7970000000000002</v>
      </c>
      <c r="K1754">
        <v>1752</v>
      </c>
      <c r="L1754">
        <v>32</v>
      </c>
      <c r="M1754" s="32">
        <v>1.7809999999999999</v>
      </c>
      <c r="N1754" s="32">
        <v>3.68</v>
      </c>
      <c r="P1754" s="32">
        <v>1.548</v>
      </c>
      <c r="R1754" s="47">
        <v>0.17699999999999999</v>
      </c>
      <c r="S1754" s="47">
        <v>2.7389999999999999</v>
      </c>
      <c r="T1754" s="31">
        <v>0</v>
      </c>
      <c r="V1754">
        <v>1752</v>
      </c>
      <c r="W1754">
        <v>30</v>
      </c>
      <c r="X1754">
        <v>1.7929999999999999</v>
      </c>
      <c r="Y1754" s="32">
        <v>3.68</v>
      </c>
      <c r="Z1754">
        <v>0</v>
      </c>
      <c r="AA1754" s="32">
        <v>1.4590000000000001</v>
      </c>
      <c r="AB1754">
        <v>0</v>
      </c>
      <c r="AC1754" s="34">
        <v>0.16900000000000001</v>
      </c>
      <c r="AD1754" s="32">
        <v>2.6160000000000001</v>
      </c>
    </row>
    <row r="1755" spans="1:30">
      <c r="A1755">
        <v>1753</v>
      </c>
      <c r="B1755">
        <v>32</v>
      </c>
      <c r="C1755">
        <v>1.782</v>
      </c>
      <c r="D1755">
        <v>3.68</v>
      </c>
      <c r="E1755">
        <v>0</v>
      </c>
      <c r="F1755">
        <v>1.548</v>
      </c>
      <c r="G1755">
        <v>0</v>
      </c>
      <c r="H1755">
        <v>0.17599999999999999</v>
      </c>
      <c r="I1755">
        <v>2.7989999999999999</v>
      </c>
      <c r="K1755">
        <v>1753</v>
      </c>
      <c r="L1755">
        <v>32</v>
      </c>
      <c r="M1755" s="32">
        <v>1.782</v>
      </c>
      <c r="N1755" s="32">
        <v>3.68</v>
      </c>
      <c r="P1755" s="47">
        <v>1.5489999999999999</v>
      </c>
      <c r="R1755" s="47">
        <v>0.17699999999999999</v>
      </c>
      <c r="S1755" s="47">
        <v>2.7429999999999999</v>
      </c>
      <c r="T1755" s="31">
        <v>0</v>
      </c>
      <c r="V1755">
        <v>1753</v>
      </c>
      <c r="W1755">
        <v>30</v>
      </c>
      <c r="X1755">
        <v>1.794</v>
      </c>
      <c r="Y1755" s="32">
        <v>3.68</v>
      </c>
      <c r="Z1755">
        <v>0</v>
      </c>
      <c r="AA1755" s="32">
        <v>1.4590000000000001</v>
      </c>
      <c r="AB1755">
        <v>0</v>
      </c>
      <c r="AC1755" s="34">
        <v>0.16900000000000001</v>
      </c>
      <c r="AD1755" s="32">
        <v>2.6179999999999999</v>
      </c>
    </row>
    <row r="1756" spans="1:30">
      <c r="A1756">
        <v>1754</v>
      </c>
      <c r="B1756">
        <v>32</v>
      </c>
      <c r="C1756">
        <v>1.7829999999999999</v>
      </c>
      <c r="D1756">
        <v>3.68</v>
      </c>
      <c r="E1756">
        <v>0</v>
      </c>
      <c r="F1756">
        <v>1.548</v>
      </c>
      <c r="G1756">
        <v>0</v>
      </c>
      <c r="H1756">
        <v>0.17599999999999999</v>
      </c>
      <c r="I1756">
        <v>2.8010000000000002</v>
      </c>
      <c r="K1756">
        <v>1754</v>
      </c>
      <c r="L1756">
        <v>32</v>
      </c>
      <c r="M1756" s="32">
        <v>1.7829999999999999</v>
      </c>
      <c r="N1756" s="32">
        <v>3.68</v>
      </c>
      <c r="P1756" s="47">
        <v>1.5489999999999999</v>
      </c>
      <c r="R1756" s="47">
        <v>0.17699999999999999</v>
      </c>
      <c r="S1756" s="47">
        <v>2.7469999999999999</v>
      </c>
      <c r="T1756" s="31">
        <v>0</v>
      </c>
      <c r="V1756">
        <v>1754</v>
      </c>
      <c r="W1756">
        <v>30</v>
      </c>
      <c r="X1756">
        <v>1.7949999999999999</v>
      </c>
      <c r="Y1756" s="32">
        <v>3.68</v>
      </c>
      <c r="Z1756">
        <v>0</v>
      </c>
      <c r="AA1756" s="32">
        <v>1.4590000000000001</v>
      </c>
      <c r="AB1756">
        <v>0</v>
      </c>
      <c r="AC1756" s="34">
        <v>0.16900000000000001</v>
      </c>
      <c r="AD1756" s="32">
        <v>2.62</v>
      </c>
    </row>
    <row r="1757" spans="1:30">
      <c r="A1757">
        <v>1755</v>
      </c>
      <c r="B1757">
        <v>32</v>
      </c>
      <c r="C1757">
        <v>1.784</v>
      </c>
      <c r="D1757">
        <v>3.68</v>
      </c>
      <c r="E1757">
        <v>0</v>
      </c>
      <c r="F1757">
        <v>1.548</v>
      </c>
      <c r="G1757">
        <v>0</v>
      </c>
      <c r="H1757">
        <v>0.17599999999999999</v>
      </c>
      <c r="I1757">
        <v>2.8029999999999999</v>
      </c>
      <c r="K1757">
        <v>1755</v>
      </c>
      <c r="L1757">
        <v>32</v>
      </c>
      <c r="M1757" s="32">
        <v>1.784</v>
      </c>
      <c r="N1757" s="32">
        <v>3.68</v>
      </c>
      <c r="P1757" s="47">
        <v>1.5489999999999999</v>
      </c>
      <c r="R1757" s="47">
        <v>0.17699999999999999</v>
      </c>
      <c r="S1757" s="47">
        <v>2.7509999999999999</v>
      </c>
      <c r="T1757" s="31">
        <v>0</v>
      </c>
      <c r="V1757">
        <v>1755</v>
      </c>
      <c r="W1757">
        <v>30</v>
      </c>
      <c r="X1757">
        <v>1.796</v>
      </c>
      <c r="Y1757" s="32">
        <v>3.68</v>
      </c>
      <c r="Z1757">
        <v>0</v>
      </c>
      <c r="AA1757" s="32">
        <v>1.4590000000000001</v>
      </c>
      <c r="AB1757">
        <v>0</v>
      </c>
      <c r="AC1757" s="34">
        <v>0.16900000000000001</v>
      </c>
      <c r="AD1757" s="32">
        <v>2.6219999999999999</v>
      </c>
    </row>
    <row r="1758" spans="1:30">
      <c r="A1758">
        <v>1756</v>
      </c>
      <c r="B1758">
        <v>32</v>
      </c>
      <c r="C1758">
        <v>1.7849999999999999</v>
      </c>
      <c r="D1758">
        <v>3.68</v>
      </c>
      <c r="E1758">
        <v>0</v>
      </c>
      <c r="F1758">
        <v>1.548</v>
      </c>
      <c r="G1758">
        <v>0</v>
      </c>
      <c r="H1758">
        <v>0.17599999999999999</v>
      </c>
      <c r="I1758">
        <v>2.8050000000000002</v>
      </c>
      <c r="K1758">
        <v>1756</v>
      </c>
      <c r="L1758">
        <v>32</v>
      </c>
      <c r="M1758" s="32">
        <v>1.7849999999999999</v>
      </c>
      <c r="N1758" s="32">
        <v>3.68</v>
      </c>
      <c r="P1758" s="47">
        <v>1.55</v>
      </c>
      <c r="R1758" s="47">
        <v>0.17699999999999999</v>
      </c>
      <c r="S1758" s="47">
        <v>2.7559999999999998</v>
      </c>
      <c r="T1758" s="31">
        <v>0</v>
      </c>
      <c r="V1758">
        <v>1756</v>
      </c>
      <c r="W1758">
        <v>30</v>
      </c>
      <c r="X1758">
        <v>1.7969999999999999</v>
      </c>
      <c r="Y1758" s="32">
        <v>3.68</v>
      </c>
      <c r="Z1758">
        <v>0</v>
      </c>
      <c r="AA1758" s="32">
        <v>1.46</v>
      </c>
      <c r="AB1758">
        <v>0</v>
      </c>
      <c r="AC1758" s="34">
        <v>0.16900000000000001</v>
      </c>
      <c r="AD1758" s="32">
        <v>2.6230000000000002</v>
      </c>
    </row>
    <row r="1759" spans="1:30">
      <c r="A1759">
        <v>1757</v>
      </c>
      <c r="B1759">
        <v>32</v>
      </c>
      <c r="C1759">
        <v>1.786</v>
      </c>
      <c r="D1759">
        <v>3.68</v>
      </c>
      <c r="E1759">
        <v>0</v>
      </c>
      <c r="F1759">
        <v>1.548</v>
      </c>
      <c r="G1759">
        <v>0</v>
      </c>
      <c r="H1759">
        <v>0.17599999999999999</v>
      </c>
      <c r="I1759">
        <v>2.8069999999999999</v>
      </c>
      <c r="K1759">
        <v>1757</v>
      </c>
      <c r="L1759">
        <v>32</v>
      </c>
      <c r="M1759" s="32">
        <v>1.786</v>
      </c>
      <c r="N1759" s="32">
        <v>3.68</v>
      </c>
      <c r="P1759" s="47">
        <v>1.55</v>
      </c>
      <c r="R1759" s="47">
        <v>0.17699999999999999</v>
      </c>
      <c r="S1759" s="47">
        <v>2.76</v>
      </c>
      <c r="T1759" s="31">
        <v>0</v>
      </c>
      <c r="V1759">
        <v>1757</v>
      </c>
      <c r="W1759">
        <v>30</v>
      </c>
      <c r="X1759">
        <v>1.798</v>
      </c>
      <c r="Y1759" s="32">
        <v>3.68</v>
      </c>
      <c r="Z1759">
        <v>0</v>
      </c>
      <c r="AA1759" s="32">
        <v>1.46</v>
      </c>
      <c r="AB1759">
        <v>0</v>
      </c>
      <c r="AC1759" s="34">
        <v>0.16900000000000001</v>
      </c>
      <c r="AD1759" s="32">
        <v>2.625</v>
      </c>
    </row>
    <row r="1760" spans="1:30">
      <c r="A1760">
        <v>1758</v>
      </c>
      <c r="B1760">
        <v>32</v>
      </c>
      <c r="C1760">
        <v>1.7869999999999999</v>
      </c>
      <c r="D1760">
        <v>3.68</v>
      </c>
      <c r="E1760">
        <v>0</v>
      </c>
      <c r="F1760">
        <v>1.548</v>
      </c>
      <c r="G1760">
        <v>0</v>
      </c>
      <c r="H1760">
        <v>0.17599999999999999</v>
      </c>
      <c r="I1760">
        <v>2.8090000000000002</v>
      </c>
      <c r="K1760">
        <v>1758</v>
      </c>
      <c r="L1760">
        <v>32</v>
      </c>
      <c r="M1760" s="32">
        <v>1.7869999999999999</v>
      </c>
      <c r="N1760" s="32">
        <v>3.68</v>
      </c>
      <c r="P1760" s="47">
        <v>1.55</v>
      </c>
      <c r="R1760" s="47">
        <v>0.17699999999999999</v>
      </c>
      <c r="S1760" s="47">
        <v>2.7639999999999998</v>
      </c>
      <c r="T1760" s="31">
        <v>0</v>
      </c>
      <c r="V1760">
        <v>1758</v>
      </c>
      <c r="W1760">
        <v>31</v>
      </c>
      <c r="X1760">
        <v>1.7989999999999999</v>
      </c>
      <c r="Y1760" s="32">
        <v>3.68</v>
      </c>
      <c r="Z1760">
        <v>0</v>
      </c>
      <c r="AA1760" s="32">
        <v>1.46</v>
      </c>
      <c r="AB1760">
        <v>0</v>
      </c>
      <c r="AC1760" s="34">
        <v>0.16900000000000001</v>
      </c>
      <c r="AD1760" s="32">
        <v>2.6269999999999998</v>
      </c>
    </row>
    <row r="1761" spans="1:30">
      <c r="A1761">
        <v>1759</v>
      </c>
      <c r="B1761">
        <v>32</v>
      </c>
      <c r="C1761">
        <v>1.788</v>
      </c>
      <c r="D1761">
        <v>3.68</v>
      </c>
      <c r="E1761">
        <v>0</v>
      </c>
      <c r="F1761">
        <v>1.548</v>
      </c>
      <c r="G1761">
        <v>0</v>
      </c>
      <c r="H1761">
        <v>0.17599999999999999</v>
      </c>
      <c r="I1761">
        <v>2.8109999999999999</v>
      </c>
      <c r="K1761">
        <v>1759</v>
      </c>
      <c r="L1761">
        <v>32</v>
      </c>
      <c r="M1761" s="32">
        <v>1.788</v>
      </c>
      <c r="N1761" s="32">
        <v>3.68</v>
      </c>
      <c r="P1761" s="47">
        <v>1.55</v>
      </c>
      <c r="R1761" s="47">
        <v>0.17699999999999999</v>
      </c>
      <c r="S1761" s="47">
        <v>2.7679999999999998</v>
      </c>
      <c r="T1761" s="31">
        <v>0</v>
      </c>
      <c r="V1761">
        <v>1759</v>
      </c>
      <c r="W1761">
        <v>31</v>
      </c>
      <c r="X1761">
        <v>1.8</v>
      </c>
      <c r="Y1761" s="32">
        <v>3.68</v>
      </c>
      <c r="Z1761">
        <v>0</v>
      </c>
      <c r="AA1761" s="32">
        <v>1.46</v>
      </c>
      <c r="AB1761">
        <v>0</v>
      </c>
      <c r="AC1761" s="34">
        <v>0.16900000000000001</v>
      </c>
      <c r="AD1761" s="32">
        <v>2.629</v>
      </c>
    </row>
    <row r="1762" spans="1:30">
      <c r="A1762">
        <v>1760</v>
      </c>
      <c r="B1762">
        <v>32</v>
      </c>
      <c r="C1762">
        <v>1.7889999999999999</v>
      </c>
      <c r="D1762">
        <v>3.68</v>
      </c>
      <c r="E1762">
        <v>0</v>
      </c>
      <c r="F1762">
        <v>1.548</v>
      </c>
      <c r="G1762">
        <v>0</v>
      </c>
      <c r="H1762">
        <v>0.17599999999999999</v>
      </c>
      <c r="I1762">
        <v>2.8130000000000002</v>
      </c>
      <c r="K1762">
        <v>1760</v>
      </c>
      <c r="L1762">
        <v>32</v>
      </c>
      <c r="M1762" s="32">
        <v>1.7889999999999999</v>
      </c>
      <c r="N1762" s="32">
        <v>3.68</v>
      </c>
      <c r="P1762" s="47">
        <v>1.5509999999999999</v>
      </c>
      <c r="R1762" s="47">
        <v>0.17699999999999999</v>
      </c>
      <c r="S1762" s="47">
        <v>2.7719999999999998</v>
      </c>
      <c r="T1762" s="31">
        <v>0</v>
      </c>
      <c r="V1762">
        <v>1760</v>
      </c>
      <c r="W1762">
        <v>31</v>
      </c>
      <c r="X1762">
        <v>1.8009999999999999</v>
      </c>
      <c r="Y1762" s="32">
        <v>3.68</v>
      </c>
      <c r="Z1762">
        <v>0</v>
      </c>
      <c r="AA1762" s="32">
        <v>1.46</v>
      </c>
      <c r="AB1762">
        <v>0</v>
      </c>
      <c r="AC1762" s="34">
        <v>0.16900000000000001</v>
      </c>
      <c r="AD1762" s="32">
        <v>2.6309999999999998</v>
      </c>
    </row>
    <row r="1763" spans="1:30">
      <c r="A1763">
        <v>1761</v>
      </c>
      <c r="B1763">
        <v>32</v>
      </c>
      <c r="C1763">
        <v>1.79</v>
      </c>
      <c r="D1763">
        <v>3.68</v>
      </c>
      <c r="E1763">
        <v>0</v>
      </c>
      <c r="F1763">
        <v>1.5509999999999999</v>
      </c>
      <c r="G1763">
        <v>0</v>
      </c>
      <c r="H1763">
        <v>0.17599999999999999</v>
      </c>
      <c r="I1763">
        <v>2.7759999999999998</v>
      </c>
      <c r="K1763">
        <v>1761</v>
      </c>
      <c r="L1763">
        <v>32</v>
      </c>
      <c r="M1763" s="32">
        <v>1.79</v>
      </c>
      <c r="N1763" s="32">
        <v>3.68</v>
      </c>
      <c r="P1763" s="32">
        <v>1.5509999999999999</v>
      </c>
      <c r="R1763" s="47">
        <v>0.17699999999999999</v>
      </c>
      <c r="S1763" s="32">
        <v>2.7759999999999998</v>
      </c>
      <c r="T1763" s="31">
        <v>0</v>
      </c>
      <c r="V1763">
        <v>1761</v>
      </c>
      <c r="W1763">
        <v>31</v>
      </c>
      <c r="X1763">
        <v>1.802</v>
      </c>
      <c r="Y1763" s="32">
        <v>3.68</v>
      </c>
      <c r="Z1763">
        <v>0</v>
      </c>
      <c r="AA1763" s="32">
        <v>1.4610000000000001</v>
      </c>
      <c r="AB1763">
        <v>0</v>
      </c>
      <c r="AC1763" s="34">
        <v>0.16900000000000001</v>
      </c>
      <c r="AD1763" s="32">
        <v>2.6320000000000001</v>
      </c>
    </row>
    <row r="1764" spans="1:30">
      <c r="A1764">
        <v>1762</v>
      </c>
      <c r="B1764">
        <v>32</v>
      </c>
      <c r="C1764">
        <v>1.7909999999999999</v>
      </c>
      <c r="D1764">
        <v>3.68</v>
      </c>
      <c r="E1764">
        <v>0</v>
      </c>
      <c r="F1764">
        <v>1.5509999999999999</v>
      </c>
      <c r="G1764">
        <v>0</v>
      </c>
      <c r="H1764">
        <v>0.17599999999999999</v>
      </c>
      <c r="I1764">
        <v>2.8580000000000001</v>
      </c>
      <c r="K1764">
        <v>1762</v>
      </c>
      <c r="L1764">
        <v>32</v>
      </c>
      <c r="M1764" s="32">
        <v>1.7909999999999999</v>
      </c>
      <c r="N1764" s="32">
        <v>3.68</v>
      </c>
      <c r="P1764" s="32">
        <v>1.5509999999999999</v>
      </c>
      <c r="R1764" s="47">
        <v>0.17699999999999999</v>
      </c>
      <c r="S1764" s="47">
        <v>2.778</v>
      </c>
      <c r="T1764" s="31">
        <v>0</v>
      </c>
      <c r="V1764">
        <v>1762</v>
      </c>
      <c r="W1764">
        <v>31</v>
      </c>
      <c r="X1764">
        <v>1.8029999999999999</v>
      </c>
      <c r="Y1764" s="32">
        <v>3.68</v>
      </c>
      <c r="Z1764">
        <v>0</v>
      </c>
      <c r="AA1764" s="32">
        <v>1.4610000000000001</v>
      </c>
      <c r="AB1764">
        <v>0</v>
      </c>
      <c r="AC1764" s="34">
        <v>0.16900000000000001</v>
      </c>
      <c r="AD1764" s="32">
        <v>2.6339999999999999</v>
      </c>
    </row>
    <row r="1765" spans="1:30">
      <c r="A1765">
        <v>1763</v>
      </c>
      <c r="B1765">
        <v>32</v>
      </c>
      <c r="C1765">
        <v>1.792</v>
      </c>
      <c r="D1765">
        <v>3.68</v>
      </c>
      <c r="E1765">
        <v>0</v>
      </c>
      <c r="F1765">
        <v>1.5509999999999999</v>
      </c>
      <c r="G1765">
        <v>0</v>
      </c>
      <c r="H1765">
        <v>0.17599999999999999</v>
      </c>
      <c r="I1765">
        <v>2.86</v>
      </c>
      <c r="K1765">
        <v>1763</v>
      </c>
      <c r="L1765">
        <v>32</v>
      </c>
      <c r="M1765" s="32">
        <v>1.792</v>
      </c>
      <c r="N1765" s="32">
        <v>3.68</v>
      </c>
      <c r="P1765" s="32">
        <v>1.5509999999999999</v>
      </c>
      <c r="R1765" s="47">
        <v>0.17699999999999999</v>
      </c>
      <c r="S1765" s="47">
        <v>2.78</v>
      </c>
      <c r="T1765" s="31">
        <v>0</v>
      </c>
      <c r="V1765">
        <v>1763</v>
      </c>
      <c r="W1765">
        <v>31</v>
      </c>
      <c r="X1765">
        <v>1.804</v>
      </c>
      <c r="Y1765" s="32">
        <v>3.68</v>
      </c>
      <c r="Z1765">
        <v>0</v>
      </c>
      <c r="AA1765" s="32">
        <v>1.4610000000000001</v>
      </c>
      <c r="AB1765">
        <v>0</v>
      </c>
      <c r="AC1765" s="34">
        <v>0.16900000000000001</v>
      </c>
      <c r="AD1765" s="32">
        <v>2.6360000000000001</v>
      </c>
    </row>
    <row r="1766" spans="1:30">
      <c r="A1766">
        <v>1764</v>
      </c>
      <c r="B1766">
        <v>32</v>
      </c>
      <c r="C1766">
        <v>1.7929999999999999</v>
      </c>
      <c r="D1766">
        <v>3.68</v>
      </c>
      <c r="E1766">
        <v>0</v>
      </c>
      <c r="F1766">
        <v>1.5509999999999999</v>
      </c>
      <c r="G1766">
        <v>0</v>
      </c>
      <c r="H1766">
        <v>0.17599999999999999</v>
      </c>
      <c r="I1766">
        <v>2.8620000000000001</v>
      </c>
      <c r="K1766">
        <v>1764</v>
      </c>
      <c r="L1766">
        <v>32</v>
      </c>
      <c r="M1766" s="32">
        <v>1.7929999999999999</v>
      </c>
      <c r="N1766" s="32">
        <v>3.68</v>
      </c>
      <c r="P1766" s="47">
        <v>1.552</v>
      </c>
      <c r="R1766" s="47">
        <v>0.17699999999999999</v>
      </c>
      <c r="S1766" s="47">
        <v>2.782</v>
      </c>
      <c r="T1766" s="31">
        <v>0</v>
      </c>
      <c r="V1766">
        <v>1764</v>
      </c>
      <c r="W1766">
        <v>31</v>
      </c>
      <c r="X1766">
        <v>1.8049999999999999</v>
      </c>
      <c r="Y1766" s="32">
        <v>3.68</v>
      </c>
      <c r="Z1766">
        <v>0</v>
      </c>
      <c r="AA1766" s="32">
        <v>1.4610000000000001</v>
      </c>
      <c r="AB1766">
        <v>0</v>
      </c>
      <c r="AC1766" s="34">
        <v>0.16900000000000001</v>
      </c>
      <c r="AD1766" s="32">
        <v>2.6379999999999999</v>
      </c>
    </row>
    <row r="1767" spans="1:30">
      <c r="A1767">
        <v>1765</v>
      </c>
      <c r="B1767">
        <v>32</v>
      </c>
      <c r="C1767">
        <v>1.794</v>
      </c>
      <c r="D1767">
        <v>3.68</v>
      </c>
      <c r="E1767">
        <v>0</v>
      </c>
      <c r="F1767">
        <v>1.5509999999999999</v>
      </c>
      <c r="G1767">
        <v>0</v>
      </c>
      <c r="H1767">
        <v>0.17599999999999999</v>
      </c>
      <c r="I1767">
        <v>2.8639999999999999</v>
      </c>
      <c r="K1767">
        <v>1765</v>
      </c>
      <c r="L1767">
        <v>32</v>
      </c>
      <c r="M1767" s="32">
        <v>1.794</v>
      </c>
      <c r="N1767" s="32">
        <v>3.68</v>
      </c>
      <c r="P1767" s="47">
        <v>1.552</v>
      </c>
      <c r="R1767" s="47">
        <v>0.17699999999999999</v>
      </c>
      <c r="S1767" s="47">
        <v>2.7839999999999998</v>
      </c>
      <c r="T1767" s="31">
        <v>0</v>
      </c>
      <c r="V1767">
        <v>1765</v>
      </c>
      <c r="W1767">
        <v>31</v>
      </c>
      <c r="X1767">
        <v>1.806</v>
      </c>
      <c r="Y1767" s="32">
        <v>3.68</v>
      </c>
      <c r="Z1767">
        <v>0</v>
      </c>
      <c r="AA1767" s="32">
        <v>1.4610000000000001</v>
      </c>
      <c r="AB1767">
        <v>0</v>
      </c>
      <c r="AC1767" s="34">
        <v>0.16900000000000001</v>
      </c>
      <c r="AD1767" s="32">
        <v>2.64</v>
      </c>
    </row>
    <row r="1768" spans="1:30">
      <c r="A1768">
        <v>1766</v>
      </c>
      <c r="B1768">
        <v>32</v>
      </c>
      <c r="C1768">
        <v>1.7949999999999999</v>
      </c>
      <c r="D1768">
        <v>3.68</v>
      </c>
      <c r="E1768">
        <v>0</v>
      </c>
      <c r="F1768">
        <v>1.5509999999999999</v>
      </c>
      <c r="G1768">
        <v>0</v>
      </c>
      <c r="H1768">
        <v>0.17599999999999999</v>
      </c>
      <c r="I1768">
        <v>2.8660000000000001</v>
      </c>
      <c r="K1768">
        <v>1766</v>
      </c>
      <c r="L1768">
        <v>32</v>
      </c>
      <c r="M1768" s="32">
        <v>1.7949999999999999</v>
      </c>
      <c r="N1768" s="32">
        <v>3.68</v>
      </c>
      <c r="P1768" s="47">
        <v>1.552</v>
      </c>
      <c r="R1768" s="47">
        <v>0.17799999999999999</v>
      </c>
      <c r="S1768" s="47">
        <v>2.786</v>
      </c>
      <c r="T1768" s="31">
        <v>0</v>
      </c>
      <c r="V1768">
        <v>1766</v>
      </c>
      <c r="W1768">
        <v>31</v>
      </c>
      <c r="X1768">
        <v>1.8069999999999999</v>
      </c>
      <c r="Y1768" s="32">
        <v>3.68</v>
      </c>
      <c r="Z1768">
        <v>0</v>
      </c>
      <c r="AA1768" s="32">
        <v>1.462</v>
      </c>
      <c r="AB1768">
        <v>0</v>
      </c>
      <c r="AC1768" s="34">
        <v>0.16900000000000001</v>
      </c>
      <c r="AD1768" s="32">
        <v>2.6419999999999999</v>
      </c>
    </row>
    <row r="1769" spans="1:30">
      <c r="A1769">
        <v>1767</v>
      </c>
      <c r="B1769">
        <v>32</v>
      </c>
      <c r="C1769">
        <v>1.796</v>
      </c>
      <c r="D1769">
        <v>3.68</v>
      </c>
      <c r="E1769">
        <v>0</v>
      </c>
      <c r="F1769">
        <v>1.5509999999999999</v>
      </c>
      <c r="G1769">
        <v>0</v>
      </c>
      <c r="H1769">
        <v>0.17599999999999999</v>
      </c>
      <c r="I1769">
        <v>2.867</v>
      </c>
      <c r="K1769">
        <v>1767</v>
      </c>
      <c r="L1769">
        <v>32</v>
      </c>
      <c r="M1769" s="32">
        <v>1.796</v>
      </c>
      <c r="N1769" s="32">
        <v>3.68</v>
      </c>
      <c r="P1769" s="47">
        <v>1.552</v>
      </c>
      <c r="R1769" s="47">
        <v>0.17799999999999999</v>
      </c>
      <c r="S1769" s="47">
        <v>2.7879999999999998</v>
      </c>
      <c r="T1769" s="31">
        <v>0</v>
      </c>
      <c r="V1769">
        <v>1767</v>
      </c>
      <c r="W1769">
        <v>31</v>
      </c>
      <c r="X1769">
        <v>1.8080000000000001</v>
      </c>
      <c r="Y1769" s="32">
        <v>3.68</v>
      </c>
      <c r="Z1769">
        <v>0</v>
      </c>
      <c r="AA1769" s="32">
        <v>1.462</v>
      </c>
      <c r="AB1769">
        <v>0</v>
      </c>
      <c r="AC1769" s="34">
        <v>0.16900000000000001</v>
      </c>
      <c r="AD1769" s="32">
        <v>2.6429999999999998</v>
      </c>
    </row>
    <row r="1770" spans="1:30">
      <c r="A1770">
        <v>1768</v>
      </c>
      <c r="B1770">
        <v>32</v>
      </c>
      <c r="C1770">
        <v>1.7969999999999999</v>
      </c>
      <c r="D1770">
        <v>3.68</v>
      </c>
      <c r="E1770">
        <v>0</v>
      </c>
      <c r="F1770">
        <v>1.5509999999999999</v>
      </c>
      <c r="G1770">
        <v>0</v>
      </c>
      <c r="H1770">
        <v>0.17599999999999999</v>
      </c>
      <c r="I1770">
        <v>2.8690000000000002</v>
      </c>
      <c r="K1770">
        <v>1768</v>
      </c>
      <c r="L1770">
        <v>32</v>
      </c>
      <c r="M1770" s="32">
        <v>1.7969999999999999</v>
      </c>
      <c r="N1770" s="32">
        <v>3.68</v>
      </c>
      <c r="P1770" s="47">
        <v>1.552</v>
      </c>
      <c r="R1770" s="47">
        <v>0.17799999999999999</v>
      </c>
      <c r="S1770" s="47">
        <v>2.79</v>
      </c>
      <c r="T1770" s="31">
        <v>0</v>
      </c>
      <c r="V1770">
        <v>1768</v>
      </c>
      <c r="W1770">
        <v>31</v>
      </c>
      <c r="X1770">
        <v>1.8089999999999999</v>
      </c>
      <c r="Y1770" s="32">
        <v>3.68</v>
      </c>
      <c r="Z1770">
        <v>0</v>
      </c>
      <c r="AA1770" s="32">
        <v>1.462</v>
      </c>
      <c r="AB1770">
        <v>0</v>
      </c>
      <c r="AC1770" s="34">
        <v>0.17</v>
      </c>
      <c r="AD1770" s="32">
        <v>2.645</v>
      </c>
    </row>
    <row r="1771" spans="1:30">
      <c r="A1771">
        <v>1769</v>
      </c>
      <c r="B1771">
        <v>32</v>
      </c>
      <c r="C1771">
        <v>1.798</v>
      </c>
      <c r="D1771">
        <v>3.68</v>
      </c>
      <c r="E1771">
        <v>0</v>
      </c>
      <c r="F1771">
        <v>1.5509999999999999</v>
      </c>
      <c r="G1771">
        <v>0</v>
      </c>
      <c r="H1771">
        <v>0.17599999999999999</v>
      </c>
      <c r="I1771">
        <v>2.871</v>
      </c>
      <c r="K1771">
        <v>1769</v>
      </c>
      <c r="L1771">
        <v>32</v>
      </c>
      <c r="M1771" s="32">
        <v>1.798</v>
      </c>
      <c r="N1771" s="32">
        <v>3.68</v>
      </c>
      <c r="P1771" s="47">
        <v>1.5529999999999999</v>
      </c>
      <c r="R1771" s="47">
        <v>0.17799999999999999</v>
      </c>
      <c r="S1771" s="47">
        <v>2.7919999999999998</v>
      </c>
      <c r="T1771" s="31">
        <v>0</v>
      </c>
      <c r="V1771">
        <v>1769</v>
      </c>
      <c r="W1771">
        <v>31</v>
      </c>
      <c r="X1771">
        <v>1.81</v>
      </c>
      <c r="Y1771" s="32">
        <v>3.68</v>
      </c>
      <c r="Z1771">
        <v>0</v>
      </c>
      <c r="AA1771" s="32">
        <v>1.462</v>
      </c>
      <c r="AB1771">
        <v>0</v>
      </c>
      <c r="AC1771" s="34">
        <v>0.17</v>
      </c>
      <c r="AD1771" s="32">
        <v>2.6469999999999998</v>
      </c>
    </row>
    <row r="1772" spans="1:30">
      <c r="A1772">
        <v>1770</v>
      </c>
      <c r="B1772">
        <v>32</v>
      </c>
      <c r="C1772">
        <v>1.7989999999999999</v>
      </c>
      <c r="D1772">
        <v>3.68</v>
      </c>
      <c r="E1772">
        <v>0</v>
      </c>
      <c r="F1772">
        <v>1.5509999999999999</v>
      </c>
      <c r="G1772">
        <v>0</v>
      </c>
      <c r="H1772">
        <v>0.17599999999999999</v>
      </c>
      <c r="I1772">
        <v>2.8730000000000002</v>
      </c>
      <c r="K1772">
        <v>1770</v>
      </c>
      <c r="L1772">
        <v>32</v>
      </c>
      <c r="M1772" s="32">
        <v>1.7989999999999999</v>
      </c>
      <c r="N1772" s="32">
        <v>3.68</v>
      </c>
      <c r="P1772" s="47">
        <v>1.5529999999999999</v>
      </c>
      <c r="R1772" s="47">
        <v>0.17799999999999999</v>
      </c>
      <c r="S1772" s="47">
        <v>2.794</v>
      </c>
      <c r="T1772" s="31">
        <v>0</v>
      </c>
      <c r="V1772">
        <v>1770</v>
      </c>
      <c r="W1772">
        <v>31</v>
      </c>
      <c r="X1772">
        <v>1.8109999999999999</v>
      </c>
      <c r="Y1772" s="32">
        <v>3.68</v>
      </c>
      <c r="Z1772">
        <v>0</v>
      </c>
      <c r="AA1772" s="32">
        <v>1.462</v>
      </c>
      <c r="AB1772">
        <v>0</v>
      </c>
      <c r="AC1772" s="34">
        <v>0.17</v>
      </c>
      <c r="AD1772" s="32">
        <v>2.649</v>
      </c>
    </row>
    <row r="1773" spans="1:30">
      <c r="A1773">
        <v>1771</v>
      </c>
      <c r="B1773">
        <v>32</v>
      </c>
      <c r="C1773">
        <v>1.8</v>
      </c>
      <c r="D1773">
        <v>3.68</v>
      </c>
      <c r="E1773">
        <v>0</v>
      </c>
      <c r="F1773">
        <v>1.5529999999999999</v>
      </c>
      <c r="G1773">
        <v>0</v>
      </c>
      <c r="H1773">
        <v>0.17599999999999999</v>
      </c>
      <c r="I1773">
        <v>2.7959999999999998</v>
      </c>
      <c r="K1773">
        <v>1771</v>
      </c>
      <c r="L1773">
        <v>32</v>
      </c>
      <c r="M1773" s="32">
        <v>1.8</v>
      </c>
      <c r="N1773" s="32">
        <v>3.68</v>
      </c>
      <c r="P1773" s="32">
        <v>1.5529999999999999</v>
      </c>
      <c r="R1773" s="47">
        <v>0.17799999999999999</v>
      </c>
      <c r="S1773" s="32">
        <v>2.7959999999999998</v>
      </c>
      <c r="T1773" s="31">
        <v>0</v>
      </c>
      <c r="V1773">
        <v>1771</v>
      </c>
      <c r="W1773">
        <v>31</v>
      </c>
      <c r="X1773">
        <v>1.8120000000000001</v>
      </c>
      <c r="Y1773" s="32">
        <v>3.68</v>
      </c>
      <c r="Z1773">
        <v>0</v>
      </c>
      <c r="AA1773" s="32">
        <v>1.462</v>
      </c>
      <c r="AB1773">
        <v>0</v>
      </c>
      <c r="AC1773" s="34">
        <v>0.17</v>
      </c>
      <c r="AD1773" s="32">
        <v>2.6509999999999998</v>
      </c>
    </row>
    <row r="1774" spans="1:30">
      <c r="A1774">
        <v>1772</v>
      </c>
      <c r="B1774">
        <v>32</v>
      </c>
      <c r="C1774">
        <v>1.8009999999999999</v>
      </c>
      <c r="D1774">
        <v>3.68</v>
      </c>
      <c r="E1774">
        <v>0</v>
      </c>
      <c r="F1774">
        <v>1.5529999999999999</v>
      </c>
      <c r="G1774">
        <v>0</v>
      </c>
      <c r="H1774">
        <v>0.17599999999999999</v>
      </c>
      <c r="I1774">
        <v>2.8969999999999998</v>
      </c>
      <c r="K1774">
        <v>1772</v>
      </c>
      <c r="L1774">
        <v>32</v>
      </c>
      <c r="M1774" s="32">
        <v>1.8009999999999999</v>
      </c>
      <c r="N1774" s="32">
        <v>3.68</v>
      </c>
      <c r="P1774" s="32">
        <v>1.5529999999999999</v>
      </c>
      <c r="R1774" s="47">
        <v>0.17799999999999999</v>
      </c>
      <c r="S1774" s="47">
        <v>2.798</v>
      </c>
      <c r="T1774" s="31">
        <v>0</v>
      </c>
      <c r="V1774">
        <v>1772</v>
      </c>
      <c r="W1774">
        <v>31</v>
      </c>
      <c r="X1774">
        <v>1.8129999999999999</v>
      </c>
      <c r="Y1774" s="32">
        <v>3.68</v>
      </c>
      <c r="Z1774">
        <v>0</v>
      </c>
      <c r="AA1774" s="32">
        <v>1.4630000000000001</v>
      </c>
      <c r="AB1774">
        <v>0</v>
      </c>
      <c r="AC1774" s="34">
        <v>0.17</v>
      </c>
      <c r="AD1774" s="32">
        <v>2.6520000000000001</v>
      </c>
    </row>
    <row r="1775" spans="1:30">
      <c r="A1775">
        <v>1773</v>
      </c>
      <c r="B1775">
        <v>32</v>
      </c>
      <c r="C1775">
        <v>1.802</v>
      </c>
      <c r="D1775">
        <v>3.68</v>
      </c>
      <c r="E1775">
        <v>0</v>
      </c>
      <c r="F1775">
        <v>1.5529999999999999</v>
      </c>
      <c r="G1775">
        <v>0</v>
      </c>
      <c r="H1775">
        <v>0.17599999999999999</v>
      </c>
      <c r="I1775">
        <v>2.899</v>
      </c>
      <c r="K1775">
        <v>1773</v>
      </c>
      <c r="L1775">
        <v>32</v>
      </c>
      <c r="M1775" s="32">
        <v>1.802</v>
      </c>
      <c r="N1775" s="32">
        <v>3.68</v>
      </c>
      <c r="P1775" s="47">
        <v>1.554</v>
      </c>
      <c r="R1775" s="47">
        <v>0.17799999999999999</v>
      </c>
      <c r="S1775" s="47">
        <v>2.8</v>
      </c>
      <c r="T1775" s="31">
        <v>0</v>
      </c>
      <c r="V1775">
        <v>1773</v>
      </c>
      <c r="W1775">
        <v>31</v>
      </c>
      <c r="X1775">
        <v>1.8140000000000001</v>
      </c>
      <c r="Y1775" s="32">
        <v>3.68</v>
      </c>
      <c r="Z1775">
        <v>0</v>
      </c>
      <c r="AA1775" s="32">
        <v>1.4630000000000001</v>
      </c>
      <c r="AB1775">
        <v>0</v>
      </c>
      <c r="AC1775" s="34">
        <v>0.17</v>
      </c>
      <c r="AD1775" s="32">
        <v>2.6539999999999999</v>
      </c>
    </row>
    <row r="1776" spans="1:30">
      <c r="A1776">
        <v>1774</v>
      </c>
      <c r="B1776">
        <v>32</v>
      </c>
      <c r="C1776">
        <v>1.8029999999999999</v>
      </c>
      <c r="D1776">
        <v>3.68</v>
      </c>
      <c r="E1776">
        <v>0</v>
      </c>
      <c r="F1776">
        <v>1.5529999999999999</v>
      </c>
      <c r="G1776">
        <v>0</v>
      </c>
      <c r="H1776">
        <v>0.17599999999999999</v>
      </c>
      <c r="I1776">
        <v>2.9009999999999998</v>
      </c>
      <c r="K1776">
        <v>1774</v>
      </c>
      <c r="L1776">
        <v>32</v>
      </c>
      <c r="M1776" s="32">
        <v>1.8029999999999999</v>
      </c>
      <c r="N1776" s="32">
        <v>3.68</v>
      </c>
      <c r="P1776" s="47">
        <v>1.554</v>
      </c>
      <c r="R1776" s="47">
        <v>0.17799999999999999</v>
      </c>
      <c r="S1776" s="47">
        <v>2.802</v>
      </c>
      <c r="T1776" s="31">
        <v>0</v>
      </c>
      <c r="V1776">
        <v>1774</v>
      </c>
      <c r="W1776">
        <v>31</v>
      </c>
      <c r="X1776">
        <v>1.8149999999999999</v>
      </c>
      <c r="Y1776" s="32">
        <v>3.68</v>
      </c>
      <c r="Z1776">
        <v>0</v>
      </c>
      <c r="AA1776" s="32">
        <v>1.4630000000000001</v>
      </c>
      <c r="AB1776">
        <v>0</v>
      </c>
      <c r="AC1776" s="34">
        <v>0.17</v>
      </c>
      <c r="AD1776" s="32">
        <v>2.6560000000000001</v>
      </c>
    </row>
    <row r="1777" spans="1:30">
      <c r="A1777">
        <v>1775</v>
      </c>
      <c r="B1777">
        <v>32</v>
      </c>
      <c r="C1777">
        <v>1.804</v>
      </c>
      <c r="D1777">
        <v>3.68</v>
      </c>
      <c r="E1777">
        <v>0</v>
      </c>
      <c r="F1777">
        <v>1.5529999999999999</v>
      </c>
      <c r="G1777">
        <v>0</v>
      </c>
      <c r="H1777">
        <v>0.17599999999999999</v>
      </c>
      <c r="I1777">
        <v>2.903</v>
      </c>
      <c r="K1777">
        <v>1775</v>
      </c>
      <c r="L1777">
        <v>32</v>
      </c>
      <c r="M1777" s="32">
        <v>1.804</v>
      </c>
      <c r="N1777" s="32">
        <v>3.68</v>
      </c>
      <c r="P1777" s="47">
        <v>1.554</v>
      </c>
      <c r="R1777" s="47">
        <v>0.17799999999999999</v>
      </c>
      <c r="S1777" s="47">
        <v>2.8039999999999998</v>
      </c>
      <c r="T1777" s="31">
        <v>0</v>
      </c>
      <c r="V1777">
        <v>1775</v>
      </c>
      <c r="W1777">
        <v>31</v>
      </c>
      <c r="X1777">
        <v>1.8160000000000001</v>
      </c>
      <c r="Y1777" s="32">
        <v>3.68</v>
      </c>
      <c r="Z1777">
        <v>0</v>
      </c>
      <c r="AA1777" s="32">
        <v>1.4630000000000001</v>
      </c>
      <c r="AB1777">
        <v>0</v>
      </c>
      <c r="AC1777" s="34">
        <v>0.17</v>
      </c>
      <c r="AD1777" s="32">
        <v>2.6579999999999999</v>
      </c>
    </row>
    <row r="1778" spans="1:30">
      <c r="A1778">
        <v>1776</v>
      </c>
      <c r="B1778">
        <v>32</v>
      </c>
      <c r="C1778">
        <v>1.8049999999999999</v>
      </c>
      <c r="D1778">
        <v>3.68</v>
      </c>
      <c r="E1778">
        <v>0</v>
      </c>
      <c r="F1778">
        <v>1.5529999999999999</v>
      </c>
      <c r="G1778">
        <v>0</v>
      </c>
      <c r="H1778">
        <v>0.17599999999999999</v>
      </c>
      <c r="I1778">
        <v>2.9049999999999998</v>
      </c>
      <c r="K1778">
        <v>1776</v>
      </c>
      <c r="L1778">
        <v>32</v>
      </c>
      <c r="M1778" s="32">
        <v>1.8049999999999999</v>
      </c>
      <c r="N1778" s="32">
        <v>3.68</v>
      </c>
      <c r="P1778" s="47">
        <v>1.5549999999999999</v>
      </c>
      <c r="R1778" s="47">
        <v>0.17799999999999999</v>
      </c>
      <c r="S1778" s="47">
        <v>2.806</v>
      </c>
      <c r="T1778" s="31">
        <v>0</v>
      </c>
      <c r="V1778">
        <v>1776</v>
      </c>
      <c r="W1778">
        <v>31</v>
      </c>
      <c r="X1778">
        <v>1.8169999999999999</v>
      </c>
      <c r="Y1778" s="32">
        <v>3.68</v>
      </c>
      <c r="Z1778">
        <v>0</v>
      </c>
      <c r="AA1778" s="32">
        <v>1.4630000000000001</v>
      </c>
      <c r="AB1778">
        <v>0</v>
      </c>
      <c r="AC1778" s="34">
        <v>0.17</v>
      </c>
      <c r="AD1778" s="32">
        <v>2.66</v>
      </c>
    </row>
    <row r="1779" spans="1:30">
      <c r="A1779">
        <v>1777</v>
      </c>
      <c r="B1779">
        <v>32</v>
      </c>
      <c r="C1779">
        <v>1.806</v>
      </c>
      <c r="D1779">
        <v>3.68</v>
      </c>
      <c r="E1779">
        <v>0</v>
      </c>
      <c r="F1779">
        <v>1.5529999999999999</v>
      </c>
      <c r="G1779">
        <v>0</v>
      </c>
      <c r="H1779">
        <v>0.17599999999999999</v>
      </c>
      <c r="I1779">
        <v>2.907</v>
      </c>
      <c r="K1779">
        <v>1777</v>
      </c>
      <c r="L1779">
        <v>32</v>
      </c>
      <c r="M1779" s="32">
        <v>1.806</v>
      </c>
      <c r="N1779" s="32">
        <v>3.68</v>
      </c>
      <c r="P1779" s="47">
        <v>1.5549999999999999</v>
      </c>
      <c r="R1779" s="47">
        <v>0.17799999999999999</v>
      </c>
      <c r="S1779" s="47">
        <v>2.8079999999999998</v>
      </c>
      <c r="T1779" s="31">
        <v>0</v>
      </c>
      <c r="V1779">
        <v>1777</v>
      </c>
      <c r="W1779">
        <v>31</v>
      </c>
      <c r="X1779">
        <v>1.8180000000000001</v>
      </c>
      <c r="Y1779" s="32">
        <v>3.68</v>
      </c>
      <c r="Z1779">
        <v>0</v>
      </c>
      <c r="AA1779" s="32">
        <v>1.464</v>
      </c>
      <c r="AB1779">
        <v>0</v>
      </c>
      <c r="AC1779" s="34">
        <v>0.17</v>
      </c>
      <c r="AD1779" s="32">
        <v>2.661</v>
      </c>
    </row>
    <row r="1780" spans="1:30">
      <c r="A1780">
        <v>1778</v>
      </c>
      <c r="B1780">
        <v>32</v>
      </c>
      <c r="C1780">
        <v>1.8069999999999999</v>
      </c>
      <c r="D1780">
        <v>3.68</v>
      </c>
      <c r="E1780">
        <v>0</v>
      </c>
      <c r="F1780">
        <v>1.5529999999999999</v>
      </c>
      <c r="G1780">
        <v>0</v>
      </c>
      <c r="H1780">
        <v>0.17599999999999999</v>
      </c>
      <c r="I1780">
        <v>2.9089999999999998</v>
      </c>
      <c r="K1780">
        <v>1778</v>
      </c>
      <c r="L1780">
        <v>32</v>
      </c>
      <c r="M1780" s="32">
        <v>1.8069999999999999</v>
      </c>
      <c r="N1780" s="32">
        <v>3.68</v>
      </c>
      <c r="P1780" s="47">
        <v>1.5549999999999999</v>
      </c>
      <c r="R1780" s="47">
        <v>0.17799999999999999</v>
      </c>
      <c r="S1780" s="47">
        <v>2.81</v>
      </c>
      <c r="T1780" s="31">
        <v>0</v>
      </c>
      <c r="V1780">
        <v>1778</v>
      </c>
      <c r="W1780">
        <v>31</v>
      </c>
      <c r="X1780">
        <v>1.819</v>
      </c>
      <c r="Y1780" s="32">
        <v>3.68</v>
      </c>
      <c r="Z1780">
        <v>0</v>
      </c>
      <c r="AA1780" s="32">
        <v>1.464</v>
      </c>
      <c r="AB1780">
        <v>0</v>
      </c>
      <c r="AC1780" s="34">
        <v>0.17</v>
      </c>
      <c r="AD1780" s="32">
        <v>2.6629999999999998</v>
      </c>
    </row>
    <row r="1781" spans="1:30">
      <c r="A1781">
        <v>1779</v>
      </c>
      <c r="B1781">
        <v>32</v>
      </c>
      <c r="C1781">
        <v>1.8080000000000001</v>
      </c>
      <c r="D1781">
        <v>3.68</v>
      </c>
      <c r="E1781">
        <v>0</v>
      </c>
      <c r="F1781">
        <v>1.5529999999999999</v>
      </c>
      <c r="G1781">
        <v>0</v>
      </c>
      <c r="H1781">
        <v>0.17599999999999999</v>
      </c>
      <c r="I1781">
        <v>2.911</v>
      </c>
      <c r="K1781">
        <v>1779</v>
      </c>
      <c r="L1781">
        <v>32</v>
      </c>
      <c r="M1781" s="32">
        <v>1.8080000000000001</v>
      </c>
      <c r="N1781" s="32">
        <v>3.68</v>
      </c>
      <c r="P1781" s="47">
        <v>1.5549999999999999</v>
      </c>
      <c r="R1781" s="47">
        <v>0.17799999999999999</v>
      </c>
      <c r="S1781" s="47">
        <v>2.8119999999999998</v>
      </c>
      <c r="T1781" s="31">
        <v>0</v>
      </c>
      <c r="V1781">
        <v>1779</v>
      </c>
      <c r="W1781">
        <v>31</v>
      </c>
      <c r="X1781">
        <v>1.82</v>
      </c>
      <c r="Y1781" s="32">
        <v>3.68</v>
      </c>
      <c r="Z1781">
        <v>0</v>
      </c>
      <c r="AA1781" s="32">
        <v>1.464</v>
      </c>
      <c r="AB1781">
        <v>0</v>
      </c>
      <c r="AC1781" s="34">
        <v>0.17</v>
      </c>
      <c r="AD1781" s="32">
        <v>2.665</v>
      </c>
    </row>
    <row r="1782" spans="1:30">
      <c r="A1782">
        <v>1780</v>
      </c>
      <c r="B1782">
        <v>32</v>
      </c>
      <c r="C1782">
        <v>1.8089999999999999</v>
      </c>
      <c r="D1782">
        <v>3.68</v>
      </c>
      <c r="E1782">
        <v>0</v>
      </c>
      <c r="F1782">
        <v>1.5529999999999999</v>
      </c>
      <c r="G1782">
        <v>0</v>
      </c>
      <c r="H1782">
        <v>0.17599999999999999</v>
      </c>
      <c r="I1782">
        <v>2.9129999999999998</v>
      </c>
      <c r="K1782">
        <v>1780</v>
      </c>
      <c r="L1782">
        <v>32</v>
      </c>
      <c r="M1782" s="32">
        <v>1.8089999999999999</v>
      </c>
      <c r="N1782" s="32">
        <v>3.68</v>
      </c>
      <c r="P1782" s="47">
        <v>1.556</v>
      </c>
      <c r="R1782" s="47">
        <v>0.17799999999999999</v>
      </c>
      <c r="S1782" s="47">
        <v>2.8140000000000001</v>
      </c>
      <c r="T1782" s="31">
        <v>0</v>
      </c>
      <c r="V1782">
        <v>1780</v>
      </c>
      <c r="W1782">
        <v>31</v>
      </c>
      <c r="X1782">
        <v>1.821</v>
      </c>
      <c r="Y1782" s="32">
        <v>3.68</v>
      </c>
      <c r="Z1782">
        <v>0</v>
      </c>
      <c r="AA1782" s="32">
        <v>1.464</v>
      </c>
      <c r="AB1782">
        <v>0</v>
      </c>
      <c r="AC1782" s="34">
        <v>0.17</v>
      </c>
      <c r="AD1782" s="32">
        <v>2.6669999999999998</v>
      </c>
    </row>
    <row r="1783" spans="1:30">
      <c r="A1783">
        <v>1781</v>
      </c>
      <c r="B1783">
        <v>32</v>
      </c>
      <c r="C1783">
        <v>1.81</v>
      </c>
      <c r="D1783">
        <v>3.68</v>
      </c>
      <c r="E1783">
        <v>0</v>
      </c>
      <c r="F1783">
        <v>1.556</v>
      </c>
      <c r="G1783">
        <v>0</v>
      </c>
      <c r="H1783">
        <v>0.17599999999999999</v>
      </c>
      <c r="I1783">
        <v>2.8159999999999998</v>
      </c>
      <c r="K1783">
        <v>1781</v>
      </c>
      <c r="L1783">
        <v>32</v>
      </c>
      <c r="M1783" s="32">
        <v>1.81</v>
      </c>
      <c r="N1783" s="32">
        <v>3.68</v>
      </c>
      <c r="P1783" s="32">
        <v>1.556</v>
      </c>
      <c r="R1783" s="47">
        <v>0.17799999999999999</v>
      </c>
      <c r="S1783" s="32">
        <v>2.8159999999999998</v>
      </c>
      <c r="T1783" s="31">
        <v>0</v>
      </c>
      <c r="V1783">
        <v>1781</v>
      </c>
      <c r="W1783">
        <v>31</v>
      </c>
      <c r="X1783">
        <v>1.8220000000000001</v>
      </c>
      <c r="Y1783" s="32">
        <v>3.68</v>
      </c>
      <c r="Z1783">
        <v>0</v>
      </c>
      <c r="AA1783" s="32">
        <v>1.464</v>
      </c>
      <c r="AB1783">
        <v>0</v>
      </c>
      <c r="AC1783" s="34">
        <v>0.17</v>
      </c>
      <c r="AD1783" s="32">
        <v>2.669</v>
      </c>
    </row>
    <row r="1784" spans="1:30">
      <c r="A1784">
        <v>1782</v>
      </c>
      <c r="B1784">
        <v>32</v>
      </c>
      <c r="C1784">
        <v>1.8109999999999999</v>
      </c>
      <c r="D1784">
        <v>3.68</v>
      </c>
      <c r="E1784">
        <v>0</v>
      </c>
      <c r="F1784">
        <v>1.556</v>
      </c>
      <c r="G1784">
        <v>0</v>
      </c>
      <c r="H1784">
        <v>0.17599999999999999</v>
      </c>
      <c r="I1784">
        <v>2.9369999999999998</v>
      </c>
      <c r="K1784">
        <v>1782</v>
      </c>
      <c r="L1784">
        <v>32</v>
      </c>
      <c r="M1784" s="32">
        <v>1.8109999999999999</v>
      </c>
      <c r="N1784" s="32">
        <v>3.68</v>
      </c>
      <c r="P1784" s="32">
        <v>1.556</v>
      </c>
      <c r="R1784" s="47">
        <v>0.17799999999999999</v>
      </c>
      <c r="S1784" s="47">
        <v>2.8180000000000001</v>
      </c>
      <c r="T1784" s="31">
        <v>0</v>
      </c>
      <c r="V1784">
        <v>1782</v>
      </c>
      <c r="W1784">
        <v>31</v>
      </c>
      <c r="X1784">
        <v>1.823</v>
      </c>
      <c r="Y1784" s="32">
        <v>3.68</v>
      </c>
      <c r="Z1784">
        <v>0</v>
      </c>
      <c r="AA1784" s="32">
        <v>1.4650000000000001</v>
      </c>
      <c r="AB1784">
        <v>0</v>
      </c>
      <c r="AC1784" s="34">
        <v>0.17</v>
      </c>
      <c r="AD1784" s="32">
        <v>2.6709999999999998</v>
      </c>
    </row>
    <row r="1785" spans="1:30">
      <c r="A1785">
        <v>1783</v>
      </c>
      <c r="B1785">
        <v>32</v>
      </c>
      <c r="C1785">
        <v>1.8120000000000001</v>
      </c>
      <c r="D1785">
        <v>3.68</v>
      </c>
      <c r="E1785">
        <v>0</v>
      </c>
      <c r="F1785">
        <v>1.556</v>
      </c>
      <c r="G1785">
        <v>0</v>
      </c>
      <c r="H1785">
        <v>0.17599999999999999</v>
      </c>
      <c r="I1785">
        <v>2.9390000000000001</v>
      </c>
      <c r="K1785">
        <v>1783</v>
      </c>
      <c r="L1785">
        <v>32</v>
      </c>
      <c r="M1785" s="32">
        <v>1.8120000000000001</v>
      </c>
      <c r="N1785" s="32">
        <v>3.68</v>
      </c>
      <c r="P1785" s="47">
        <v>1.5569999999999999</v>
      </c>
      <c r="R1785" s="47">
        <v>0.17799999999999999</v>
      </c>
      <c r="S1785" s="47">
        <v>2.82</v>
      </c>
      <c r="T1785" s="31">
        <v>0</v>
      </c>
      <c r="V1785">
        <v>1783</v>
      </c>
      <c r="W1785">
        <v>31</v>
      </c>
      <c r="X1785">
        <v>1.8240000000000001</v>
      </c>
      <c r="Y1785" s="32">
        <v>3.68</v>
      </c>
      <c r="Z1785">
        <v>0</v>
      </c>
      <c r="AA1785" s="32">
        <v>1.4650000000000001</v>
      </c>
      <c r="AB1785">
        <v>0</v>
      </c>
      <c r="AC1785" s="34">
        <v>0.17</v>
      </c>
      <c r="AD1785" s="32">
        <v>2.6720000000000002</v>
      </c>
    </row>
    <row r="1786" spans="1:30">
      <c r="A1786">
        <v>1784</v>
      </c>
      <c r="B1786">
        <v>32</v>
      </c>
      <c r="C1786">
        <v>1.8129999999999999</v>
      </c>
      <c r="D1786">
        <v>3.68</v>
      </c>
      <c r="E1786">
        <v>0</v>
      </c>
      <c r="F1786">
        <v>1.556</v>
      </c>
      <c r="G1786">
        <v>0</v>
      </c>
      <c r="H1786">
        <v>0.17599999999999999</v>
      </c>
      <c r="I1786">
        <v>2.9409999999999998</v>
      </c>
      <c r="K1786">
        <v>1784</v>
      </c>
      <c r="L1786">
        <v>32</v>
      </c>
      <c r="M1786" s="32">
        <v>1.8129999999999999</v>
      </c>
      <c r="N1786" s="32">
        <v>3.68</v>
      </c>
      <c r="P1786" s="47">
        <v>1.5569999999999999</v>
      </c>
      <c r="R1786" s="47">
        <v>0.17799999999999999</v>
      </c>
      <c r="S1786" s="47">
        <v>2.8220000000000001</v>
      </c>
      <c r="T1786" s="31">
        <v>0</v>
      </c>
      <c r="V1786">
        <v>1784</v>
      </c>
      <c r="W1786">
        <v>31</v>
      </c>
      <c r="X1786">
        <v>1.825</v>
      </c>
      <c r="Y1786" s="32">
        <v>3.68</v>
      </c>
      <c r="Z1786">
        <v>0</v>
      </c>
      <c r="AA1786" s="32">
        <v>1.4650000000000001</v>
      </c>
      <c r="AB1786">
        <v>0</v>
      </c>
      <c r="AC1786" s="34">
        <v>0.17</v>
      </c>
      <c r="AD1786" s="32">
        <v>2.6739999999999999</v>
      </c>
    </row>
    <row r="1787" spans="1:30">
      <c r="A1787">
        <v>1785</v>
      </c>
      <c r="B1787">
        <v>32</v>
      </c>
      <c r="C1787">
        <v>1.8140000000000001</v>
      </c>
      <c r="D1787">
        <v>3.68</v>
      </c>
      <c r="E1787">
        <v>0</v>
      </c>
      <c r="F1787">
        <v>1.556</v>
      </c>
      <c r="G1787">
        <v>0</v>
      </c>
      <c r="H1787">
        <v>0.17599999999999999</v>
      </c>
      <c r="I1787">
        <v>2.9430000000000001</v>
      </c>
      <c r="K1787">
        <v>1785</v>
      </c>
      <c r="L1787">
        <v>32</v>
      </c>
      <c r="M1787" s="32">
        <v>1.8140000000000001</v>
      </c>
      <c r="N1787" s="32">
        <v>3.68</v>
      </c>
      <c r="P1787" s="47">
        <v>1.5569999999999999</v>
      </c>
      <c r="R1787" s="47">
        <v>0.17799999999999999</v>
      </c>
      <c r="S1787" s="47">
        <v>2.8239999999999998</v>
      </c>
      <c r="T1787" s="31">
        <v>0</v>
      </c>
      <c r="V1787">
        <v>1785</v>
      </c>
      <c r="W1787">
        <v>31</v>
      </c>
      <c r="X1787">
        <v>1.8260000000000001</v>
      </c>
      <c r="Y1787" s="32">
        <v>3.68</v>
      </c>
      <c r="Z1787">
        <v>0</v>
      </c>
      <c r="AA1787" s="32">
        <v>1.4650000000000001</v>
      </c>
      <c r="AB1787">
        <v>0</v>
      </c>
      <c r="AC1787" s="34">
        <v>0.17</v>
      </c>
      <c r="AD1787" s="32">
        <v>2.6760000000000002</v>
      </c>
    </row>
    <row r="1788" spans="1:30">
      <c r="A1788">
        <v>1786</v>
      </c>
      <c r="B1788">
        <v>32</v>
      </c>
      <c r="C1788">
        <v>1.8149999999999999</v>
      </c>
      <c r="D1788">
        <v>3.68</v>
      </c>
      <c r="E1788">
        <v>0</v>
      </c>
      <c r="F1788">
        <v>1.556</v>
      </c>
      <c r="G1788">
        <v>0</v>
      </c>
      <c r="H1788">
        <v>0.17599999999999999</v>
      </c>
      <c r="I1788">
        <v>2.9449999999999998</v>
      </c>
      <c r="K1788">
        <v>1786</v>
      </c>
      <c r="L1788">
        <v>32</v>
      </c>
      <c r="M1788" s="32">
        <v>1.8149999999999999</v>
      </c>
      <c r="N1788" s="32">
        <v>3.68</v>
      </c>
      <c r="P1788" s="47">
        <v>1.5580000000000001</v>
      </c>
      <c r="R1788" s="47">
        <v>0.17799999999999999</v>
      </c>
      <c r="S1788" s="47">
        <v>2.827</v>
      </c>
      <c r="T1788" s="31">
        <v>0</v>
      </c>
      <c r="V1788">
        <v>1786</v>
      </c>
      <c r="W1788">
        <v>31</v>
      </c>
      <c r="X1788">
        <v>1.827</v>
      </c>
      <c r="Y1788" s="32">
        <v>3.68</v>
      </c>
      <c r="Z1788">
        <v>0</v>
      </c>
      <c r="AA1788" s="32">
        <v>1.4650000000000001</v>
      </c>
      <c r="AB1788">
        <v>0</v>
      </c>
      <c r="AC1788" s="34">
        <v>0.17</v>
      </c>
      <c r="AD1788" s="32">
        <v>2.6779999999999999</v>
      </c>
    </row>
    <row r="1789" spans="1:30">
      <c r="A1789">
        <v>1787</v>
      </c>
      <c r="B1789">
        <v>32</v>
      </c>
      <c r="C1789">
        <v>1.8160000000000001</v>
      </c>
      <c r="D1789">
        <v>3.68</v>
      </c>
      <c r="E1789">
        <v>0</v>
      </c>
      <c r="F1789">
        <v>1.556</v>
      </c>
      <c r="G1789">
        <v>0</v>
      </c>
      <c r="H1789">
        <v>0.17599999999999999</v>
      </c>
      <c r="I1789">
        <v>2.9470000000000001</v>
      </c>
      <c r="K1789">
        <v>1787</v>
      </c>
      <c r="L1789">
        <v>32</v>
      </c>
      <c r="M1789" s="32">
        <v>1.8160000000000001</v>
      </c>
      <c r="N1789" s="32">
        <v>3.68</v>
      </c>
      <c r="P1789" s="47">
        <v>1.5580000000000001</v>
      </c>
      <c r="R1789" s="47">
        <v>0.17799999999999999</v>
      </c>
      <c r="S1789" s="47">
        <v>2.8290000000000002</v>
      </c>
      <c r="T1789" s="31">
        <v>0</v>
      </c>
      <c r="V1789">
        <v>1787</v>
      </c>
      <c r="W1789">
        <v>31</v>
      </c>
      <c r="X1789">
        <v>1.8280000000000001</v>
      </c>
      <c r="Y1789" s="32">
        <v>3.68</v>
      </c>
      <c r="Z1789">
        <v>0</v>
      </c>
      <c r="AA1789" s="32">
        <v>1.4650000000000001</v>
      </c>
      <c r="AB1789">
        <v>0</v>
      </c>
      <c r="AC1789" s="34">
        <v>0.17100000000000001</v>
      </c>
      <c r="AD1789" s="32">
        <v>2.68</v>
      </c>
    </row>
    <row r="1790" spans="1:30">
      <c r="A1790">
        <v>1788</v>
      </c>
      <c r="B1790">
        <v>32</v>
      </c>
      <c r="C1790">
        <v>1.8169999999999999</v>
      </c>
      <c r="D1790">
        <v>3.68</v>
      </c>
      <c r="E1790">
        <v>0</v>
      </c>
      <c r="F1790">
        <v>1.556</v>
      </c>
      <c r="G1790">
        <v>0</v>
      </c>
      <c r="H1790">
        <v>0.17599999999999999</v>
      </c>
      <c r="I1790">
        <v>2.9489999999999998</v>
      </c>
      <c r="K1790">
        <v>1788</v>
      </c>
      <c r="L1790">
        <v>32</v>
      </c>
      <c r="M1790" s="32">
        <v>1.8169999999999999</v>
      </c>
      <c r="N1790" s="32">
        <v>3.68</v>
      </c>
      <c r="P1790" s="47">
        <v>1.5580000000000001</v>
      </c>
      <c r="R1790" s="47">
        <v>0.17799999999999999</v>
      </c>
      <c r="S1790" s="47">
        <v>2.831</v>
      </c>
      <c r="T1790" s="31">
        <v>0</v>
      </c>
      <c r="V1790">
        <v>1788</v>
      </c>
      <c r="W1790">
        <v>31</v>
      </c>
      <c r="X1790">
        <v>1.829</v>
      </c>
      <c r="Y1790" s="32">
        <v>3.68</v>
      </c>
      <c r="Z1790">
        <v>0</v>
      </c>
      <c r="AA1790" s="32">
        <v>1.466</v>
      </c>
      <c r="AB1790">
        <v>0</v>
      </c>
      <c r="AC1790" s="34">
        <v>0.17100000000000001</v>
      </c>
      <c r="AD1790" s="32">
        <v>2.681</v>
      </c>
    </row>
    <row r="1791" spans="1:30">
      <c r="A1791">
        <v>1789</v>
      </c>
      <c r="B1791">
        <v>32</v>
      </c>
      <c r="C1791">
        <v>1.8180000000000001</v>
      </c>
      <c r="D1791">
        <v>3.68</v>
      </c>
      <c r="E1791">
        <v>0</v>
      </c>
      <c r="F1791">
        <v>1.556</v>
      </c>
      <c r="G1791">
        <v>0</v>
      </c>
      <c r="H1791">
        <v>0.17599999999999999</v>
      </c>
      <c r="I1791">
        <v>2.9510000000000001</v>
      </c>
      <c r="K1791">
        <v>1789</v>
      </c>
      <c r="L1791">
        <v>32</v>
      </c>
      <c r="M1791" s="32">
        <v>1.8180000000000001</v>
      </c>
      <c r="N1791" s="32">
        <v>3.68</v>
      </c>
      <c r="P1791" s="47">
        <v>1.5580000000000001</v>
      </c>
      <c r="R1791" s="47">
        <v>0.17799999999999999</v>
      </c>
      <c r="S1791" s="47">
        <v>2.8330000000000002</v>
      </c>
      <c r="T1791" s="31">
        <v>0</v>
      </c>
      <c r="V1791">
        <v>1789</v>
      </c>
      <c r="W1791">
        <v>31</v>
      </c>
      <c r="X1791">
        <v>1.83</v>
      </c>
      <c r="Y1791" s="32">
        <v>3.68</v>
      </c>
      <c r="Z1791">
        <v>0</v>
      </c>
      <c r="AA1791" s="32">
        <v>1.466</v>
      </c>
      <c r="AB1791">
        <v>0</v>
      </c>
      <c r="AC1791" s="34">
        <v>0.17100000000000001</v>
      </c>
      <c r="AD1791" s="32">
        <v>2.6829999999999998</v>
      </c>
    </row>
    <row r="1792" spans="1:30">
      <c r="A1792">
        <v>1790</v>
      </c>
      <c r="B1792">
        <v>32</v>
      </c>
      <c r="C1792">
        <v>1.819</v>
      </c>
      <c r="D1792">
        <v>3.68</v>
      </c>
      <c r="E1792">
        <v>0</v>
      </c>
      <c r="F1792">
        <v>1.556</v>
      </c>
      <c r="G1792">
        <v>0</v>
      </c>
      <c r="H1792">
        <v>0.17599999999999999</v>
      </c>
      <c r="I1792">
        <v>2.9529999999999998</v>
      </c>
      <c r="K1792">
        <v>1790</v>
      </c>
      <c r="L1792">
        <v>32</v>
      </c>
      <c r="M1792" s="32">
        <v>1.819</v>
      </c>
      <c r="N1792" s="32">
        <v>3.68</v>
      </c>
      <c r="P1792" s="47">
        <v>1.5589999999999999</v>
      </c>
      <c r="R1792" s="47">
        <v>0.17799999999999999</v>
      </c>
      <c r="S1792" s="47">
        <v>2.835</v>
      </c>
      <c r="T1792" s="31">
        <v>0</v>
      </c>
      <c r="V1792">
        <v>1790</v>
      </c>
      <c r="W1792">
        <v>31</v>
      </c>
      <c r="X1792">
        <v>1.831</v>
      </c>
      <c r="Y1792" s="32">
        <v>3.6909999999999998</v>
      </c>
      <c r="Z1792">
        <v>0</v>
      </c>
      <c r="AA1792" s="32">
        <v>1.466</v>
      </c>
      <c r="AB1792">
        <v>0</v>
      </c>
      <c r="AC1792" s="34">
        <v>0.17100000000000001</v>
      </c>
      <c r="AD1792" s="32">
        <v>2.6850000000000001</v>
      </c>
    </row>
    <row r="1793" spans="1:30">
      <c r="A1793">
        <v>1791</v>
      </c>
      <c r="B1793">
        <v>32</v>
      </c>
      <c r="C1793">
        <v>1.82</v>
      </c>
      <c r="D1793">
        <v>3.68</v>
      </c>
      <c r="E1793">
        <v>0</v>
      </c>
      <c r="F1793">
        <v>1.5589999999999999</v>
      </c>
      <c r="G1793">
        <v>0</v>
      </c>
      <c r="H1793">
        <v>0.17599999999999999</v>
      </c>
      <c r="I1793">
        <v>2.8370000000000002</v>
      </c>
      <c r="K1793">
        <v>1791</v>
      </c>
      <c r="L1793">
        <v>32</v>
      </c>
      <c r="M1793" s="32">
        <v>1.82</v>
      </c>
      <c r="N1793" s="32">
        <v>3.68</v>
      </c>
      <c r="P1793" s="32">
        <v>1.5589999999999999</v>
      </c>
      <c r="R1793" s="47">
        <v>0.17799999999999999</v>
      </c>
      <c r="S1793" s="32">
        <v>2.8370000000000002</v>
      </c>
      <c r="T1793" s="31">
        <v>0</v>
      </c>
      <c r="V1793">
        <v>1791</v>
      </c>
      <c r="W1793">
        <v>31</v>
      </c>
      <c r="X1793">
        <v>1.8320000000000001</v>
      </c>
      <c r="Y1793" s="32">
        <v>3.702</v>
      </c>
      <c r="Z1793">
        <v>0</v>
      </c>
      <c r="AA1793" s="32">
        <v>1.466</v>
      </c>
      <c r="AB1793">
        <v>0</v>
      </c>
      <c r="AC1793" s="34">
        <v>0.17100000000000001</v>
      </c>
      <c r="AD1793" s="32">
        <v>2.6869999999999998</v>
      </c>
    </row>
    <row r="1794" spans="1:30">
      <c r="A1794">
        <v>1792</v>
      </c>
      <c r="B1794">
        <v>32</v>
      </c>
      <c r="C1794">
        <v>1.821</v>
      </c>
      <c r="D1794">
        <v>3.68</v>
      </c>
      <c r="E1794">
        <v>0</v>
      </c>
      <c r="F1794">
        <v>1.5589999999999999</v>
      </c>
      <c r="G1794">
        <v>0</v>
      </c>
      <c r="H1794">
        <v>0.17599999999999999</v>
      </c>
      <c r="I1794">
        <v>2.9780000000000002</v>
      </c>
      <c r="K1794">
        <v>1792</v>
      </c>
      <c r="L1794">
        <v>32</v>
      </c>
      <c r="M1794" s="32">
        <v>1.821</v>
      </c>
      <c r="N1794" s="32">
        <v>3.68</v>
      </c>
      <c r="P1794" s="32">
        <v>1.5589999999999999</v>
      </c>
      <c r="R1794" s="47">
        <v>0.17799999999999999</v>
      </c>
      <c r="S1794" s="47">
        <v>2.839</v>
      </c>
      <c r="T1794" s="31">
        <v>0</v>
      </c>
      <c r="V1794">
        <v>1792</v>
      </c>
      <c r="W1794">
        <v>31</v>
      </c>
      <c r="X1794">
        <v>1.833</v>
      </c>
      <c r="Y1794" s="32">
        <v>3.7130000000000001</v>
      </c>
      <c r="Z1794">
        <v>0</v>
      </c>
      <c r="AA1794" s="32">
        <v>1.466</v>
      </c>
      <c r="AB1794">
        <v>0</v>
      </c>
      <c r="AC1794" s="34">
        <v>0.17100000000000001</v>
      </c>
      <c r="AD1794" s="32">
        <v>2.6890000000000001</v>
      </c>
    </row>
    <row r="1795" spans="1:30">
      <c r="A1795">
        <v>1793</v>
      </c>
      <c r="B1795">
        <v>32</v>
      </c>
      <c r="C1795">
        <v>1.8220000000000001</v>
      </c>
      <c r="D1795">
        <v>3.68</v>
      </c>
      <c r="E1795">
        <v>0</v>
      </c>
      <c r="F1795">
        <v>1.5589999999999999</v>
      </c>
      <c r="G1795">
        <v>0</v>
      </c>
      <c r="H1795">
        <v>0.17599999999999999</v>
      </c>
      <c r="I1795">
        <v>2.98</v>
      </c>
      <c r="K1795">
        <v>1793</v>
      </c>
      <c r="L1795">
        <v>32</v>
      </c>
      <c r="M1795" s="32">
        <v>1.8220000000000001</v>
      </c>
      <c r="N1795" s="32">
        <v>3.68</v>
      </c>
      <c r="P1795" s="32">
        <v>1.5589999999999999</v>
      </c>
      <c r="R1795" s="47">
        <v>0.17799999999999999</v>
      </c>
      <c r="S1795" s="47">
        <v>2.8410000000000002</v>
      </c>
      <c r="T1795" s="31">
        <v>0</v>
      </c>
      <c r="V1795">
        <v>1793</v>
      </c>
      <c r="W1795">
        <v>31</v>
      </c>
      <c r="X1795">
        <v>1.8340000000000001</v>
      </c>
      <c r="Y1795" s="32">
        <v>3.7240000000000002</v>
      </c>
      <c r="Z1795">
        <v>0</v>
      </c>
      <c r="AA1795" s="32">
        <v>1.4670000000000001</v>
      </c>
      <c r="AB1795">
        <v>0</v>
      </c>
      <c r="AC1795" s="34">
        <v>0.17100000000000001</v>
      </c>
      <c r="AD1795" s="32">
        <v>2.69</v>
      </c>
    </row>
    <row r="1796" spans="1:30">
      <c r="A1796">
        <v>1794</v>
      </c>
      <c r="B1796">
        <v>32</v>
      </c>
      <c r="C1796">
        <v>1.823</v>
      </c>
      <c r="D1796">
        <v>3.68</v>
      </c>
      <c r="E1796">
        <v>0</v>
      </c>
      <c r="F1796">
        <v>1.5589999999999999</v>
      </c>
      <c r="G1796">
        <v>0</v>
      </c>
      <c r="H1796">
        <v>0.17599999999999999</v>
      </c>
      <c r="I1796">
        <v>2.9820000000000002</v>
      </c>
      <c r="K1796">
        <v>1794</v>
      </c>
      <c r="L1796">
        <v>32</v>
      </c>
      <c r="M1796" s="32">
        <v>1.823</v>
      </c>
      <c r="N1796" s="32">
        <v>3.68</v>
      </c>
      <c r="P1796" s="47">
        <v>1.56</v>
      </c>
      <c r="R1796" s="47">
        <v>0.17799999999999999</v>
      </c>
      <c r="S1796" s="47">
        <v>2.843</v>
      </c>
      <c r="T1796" s="31">
        <v>0</v>
      </c>
      <c r="V1796">
        <v>1794</v>
      </c>
      <c r="W1796">
        <v>31</v>
      </c>
      <c r="X1796">
        <v>1.835</v>
      </c>
      <c r="Y1796" s="32">
        <v>3.7349999999999999</v>
      </c>
      <c r="Z1796">
        <v>0</v>
      </c>
      <c r="AA1796" s="32">
        <v>1.4670000000000001</v>
      </c>
      <c r="AB1796">
        <v>0</v>
      </c>
      <c r="AC1796" s="34">
        <v>0.17100000000000001</v>
      </c>
      <c r="AD1796" s="32">
        <v>2.6920000000000002</v>
      </c>
    </row>
    <row r="1797" spans="1:30">
      <c r="A1797">
        <v>1795</v>
      </c>
      <c r="B1797">
        <v>32</v>
      </c>
      <c r="C1797">
        <v>1.8240000000000001</v>
      </c>
      <c r="D1797">
        <v>3.68</v>
      </c>
      <c r="E1797">
        <v>0</v>
      </c>
      <c r="F1797">
        <v>1.5589999999999999</v>
      </c>
      <c r="G1797">
        <v>0</v>
      </c>
      <c r="H1797">
        <v>0.17599999999999999</v>
      </c>
      <c r="I1797">
        <v>2.984</v>
      </c>
      <c r="K1797">
        <v>1795</v>
      </c>
      <c r="L1797">
        <v>32</v>
      </c>
      <c r="M1797" s="32">
        <v>1.8240000000000001</v>
      </c>
      <c r="N1797" s="32">
        <v>3.68</v>
      </c>
      <c r="P1797" s="47">
        <v>1.56</v>
      </c>
      <c r="R1797" s="47">
        <v>0.17799999999999999</v>
      </c>
      <c r="S1797" s="47">
        <v>2.8450000000000002</v>
      </c>
      <c r="T1797" s="31">
        <v>0</v>
      </c>
      <c r="V1797">
        <v>1795</v>
      </c>
      <c r="W1797">
        <v>31</v>
      </c>
      <c r="X1797">
        <v>1.8360000000000001</v>
      </c>
      <c r="Y1797" s="32">
        <v>3.746</v>
      </c>
      <c r="Z1797">
        <v>0</v>
      </c>
      <c r="AA1797" s="32">
        <v>1.4670000000000001</v>
      </c>
      <c r="AB1797">
        <v>0</v>
      </c>
      <c r="AC1797" s="34">
        <v>0.17100000000000001</v>
      </c>
      <c r="AD1797" s="32">
        <v>2.694</v>
      </c>
    </row>
    <row r="1798" spans="1:30">
      <c r="A1798">
        <v>1796</v>
      </c>
      <c r="B1798">
        <v>32</v>
      </c>
      <c r="C1798">
        <v>1.825</v>
      </c>
      <c r="D1798">
        <v>3.68</v>
      </c>
      <c r="E1798">
        <v>0</v>
      </c>
      <c r="F1798">
        <v>1.5589999999999999</v>
      </c>
      <c r="G1798">
        <v>0</v>
      </c>
      <c r="H1798">
        <v>0.17599999999999999</v>
      </c>
      <c r="I1798">
        <v>2.9860000000000002</v>
      </c>
      <c r="K1798">
        <v>1796</v>
      </c>
      <c r="L1798">
        <v>32</v>
      </c>
      <c r="M1798" s="32">
        <v>1.825</v>
      </c>
      <c r="N1798" s="32">
        <v>3.68</v>
      </c>
      <c r="P1798" s="47">
        <v>1.56</v>
      </c>
      <c r="R1798" s="47">
        <v>0.17899999999999999</v>
      </c>
      <c r="S1798" s="47">
        <v>2.847</v>
      </c>
      <c r="T1798" s="31">
        <v>0</v>
      </c>
      <c r="V1798">
        <v>1796</v>
      </c>
      <c r="W1798">
        <v>31</v>
      </c>
      <c r="X1798">
        <v>1.837</v>
      </c>
      <c r="Y1798" s="32">
        <v>3.7570000000000001</v>
      </c>
      <c r="Z1798">
        <v>0</v>
      </c>
      <c r="AA1798" s="32">
        <v>1.4670000000000001</v>
      </c>
      <c r="AB1798">
        <v>0</v>
      </c>
      <c r="AC1798" s="34">
        <v>0.17100000000000001</v>
      </c>
      <c r="AD1798" s="32">
        <v>2.6960000000000002</v>
      </c>
    </row>
    <row r="1799" spans="1:30">
      <c r="A1799">
        <v>1797</v>
      </c>
      <c r="B1799">
        <v>32</v>
      </c>
      <c r="C1799">
        <v>1.8260000000000001</v>
      </c>
      <c r="D1799">
        <v>3.68</v>
      </c>
      <c r="E1799">
        <v>0</v>
      </c>
      <c r="F1799">
        <v>1.5589999999999999</v>
      </c>
      <c r="G1799">
        <v>0</v>
      </c>
      <c r="H1799">
        <v>0.17599999999999999</v>
      </c>
      <c r="I1799">
        <v>2.988</v>
      </c>
      <c r="K1799">
        <v>1797</v>
      </c>
      <c r="L1799">
        <v>32</v>
      </c>
      <c r="M1799" s="32">
        <v>1.8260000000000001</v>
      </c>
      <c r="N1799" s="32">
        <v>3.68</v>
      </c>
      <c r="P1799" s="47">
        <v>1.56</v>
      </c>
      <c r="R1799" s="47">
        <v>0.17899999999999999</v>
      </c>
      <c r="S1799" s="47">
        <v>2.8490000000000002</v>
      </c>
      <c r="T1799" s="31">
        <v>0</v>
      </c>
      <c r="V1799">
        <v>1797</v>
      </c>
      <c r="W1799">
        <v>31</v>
      </c>
      <c r="X1799">
        <v>1.8380000000000001</v>
      </c>
      <c r="Y1799" s="32">
        <v>3.7679999999999998</v>
      </c>
      <c r="Z1799">
        <v>0</v>
      </c>
      <c r="AA1799" s="32">
        <v>1.4670000000000001</v>
      </c>
      <c r="AB1799">
        <v>0</v>
      </c>
      <c r="AC1799" s="34">
        <v>0.17100000000000001</v>
      </c>
      <c r="AD1799" s="32">
        <v>2.698</v>
      </c>
    </row>
    <row r="1800" spans="1:30">
      <c r="A1800">
        <v>1798</v>
      </c>
      <c r="B1800">
        <v>32</v>
      </c>
      <c r="C1800">
        <v>1.827</v>
      </c>
      <c r="D1800">
        <v>3.68</v>
      </c>
      <c r="E1800">
        <v>0</v>
      </c>
      <c r="F1800">
        <v>1.5589999999999999</v>
      </c>
      <c r="G1800">
        <v>0</v>
      </c>
      <c r="H1800">
        <v>0.17599999999999999</v>
      </c>
      <c r="I1800">
        <v>2.99</v>
      </c>
      <c r="K1800">
        <v>1798</v>
      </c>
      <c r="L1800">
        <v>32</v>
      </c>
      <c r="M1800" s="32">
        <v>1.827</v>
      </c>
      <c r="N1800" s="32">
        <v>3.68</v>
      </c>
      <c r="P1800" s="47">
        <v>1.56</v>
      </c>
      <c r="R1800" s="47">
        <v>0.17899999999999999</v>
      </c>
      <c r="S1800" s="47">
        <v>2.851</v>
      </c>
      <c r="T1800" s="31">
        <v>0</v>
      </c>
      <c r="V1800">
        <v>1798</v>
      </c>
      <c r="W1800">
        <v>31</v>
      </c>
      <c r="X1800">
        <v>1.839</v>
      </c>
      <c r="Y1800" s="32">
        <v>3.7789999999999999</v>
      </c>
      <c r="Z1800">
        <v>0</v>
      </c>
      <c r="AA1800" s="32">
        <v>1.468</v>
      </c>
      <c r="AB1800">
        <v>0</v>
      </c>
      <c r="AC1800" s="34">
        <v>0.17100000000000001</v>
      </c>
      <c r="AD1800" s="32">
        <v>2.7</v>
      </c>
    </row>
    <row r="1801" spans="1:30">
      <c r="A1801">
        <v>1799</v>
      </c>
      <c r="B1801">
        <v>32</v>
      </c>
      <c r="C1801">
        <v>1.8280000000000001</v>
      </c>
      <c r="D1801">
        <v>3.68</v>
      </c>
      <c r="E1801">
        <v>0</v>
      </c>
      <c r="F1801">
        <v>1.5589999999999999</v>
      </c>
      <c r="G1801">
        <v>0</v>
      </c>
      <c r="H1801">
        <v>0.17599999999999999</v>
      </c>
      <c r="I1801">
        <v>2.992</v>
      </c>
      <c r="K1801">
        <v>1799</v>
      </c>
      <c r="L1801">
        <v>32</v>
      </c>
      <c r="M1801" s="32">
        <v>1.8280000000000001</v>
      </c>
      <c r="N1801" s="32">
        <v>3.68</v>
      </c>
      <c r="P1801" s="47">
        <v>1.5609999999999999</v>
      </c>
      <c r="R1801" s="47">
        <v>0.17899999999999999</v>
      </c>
      <c r="S1801" s="47">
        <v>2.8530000000000002</v>
      </c>
      <c r="T1801" s="31">
        <v>0</v>
      </c>
      <c r="V1801">
        <v>1799</v>
      </c>
      <c r="W1801">
        <v>31</v>
      </c>
      <c r="X1801">
        <v>1.84</v>
      </c>
      <c r="Y1801" s="32">
        <v>3.79</v>
      </c>
      <c r="Z1801">
        <v>0</v>
      </c>
      <c r="AA1801" s="32">
        <v>1.468</v>
      </c>
      <c r="AB1801">
        <v>0</v>
      </c>
      <c r="AC1801" s="34">
        <v>0.17100000000000001</v>
      </c>
      <c r="AD1801" s="32">
        <v>2.7010000000000001</v>
      </c>
    </row>
    <row r="1802" spans="1:30">
      <c r="A1802">
        <v>1800</v>
      </c>
      <c r="B1802">
        <v>32</v>
      </c>
      <c r="C1802">
        <v>1.829</v>
      </c>
      <c r="D1802">
        <v>3.68</v>
      </c>
      <c r="E1802">
        <v>0</v>
      </c>
      <c r="F1802">
        <v>1.5589999999999999</v>
      </c>
      <c r="G1802">
        <v>0</v>
      </c>
      <c r="H1802">
        <v>0.17599999999999999</v>
      </c>
      <c r="I1802">
        <v>2.9940000000000002</v>
      </c>
      <c r="K1802">
        <v>1800</v>
      </c>
      <c r="L1802">
        <v>32</v>
      </c>
      <c r="M1802" s="32">
        <v>1.829</v>
      </c>
      <c r="N1802" s="32">
        <v>3.68</v>
      </c>
      <c r="P1802" s="47">
        <v>1.5609999999999999</v>
      </c>
      <c r="R1802" s="47">
        <v>0.17899999999999999</v>
      </c>
      <c r="S1802" s="47">
        <v>2.855</v>
      </c>
      <c r="T1802" s="31">
        <v>0</v>
      </c>
      <c r="V1802">
        <v>1800</v>
      </c>
      <c r="W1802">
        <v>31</v>
      </c>
      <c r="X1802">
        <v>1.841</v>
      </c>
      <c r="Y1802" s="32">
        <v>3.79</v>
      </c>
      <c r="Z1802">
        <v>0</v>
      </c>
      <c r="AA1802" s="32">
        <v>1.468</v>
      </c>
      <c r="AB1802">
        <v>0</v>
      </c>
      <c r="AC1802" s="34">
        <v>0.17100000000000001</v>
      </c>
      <c r="AD1802" s="32">
        <v>2.7029999999999998</v>
      </c>
    </row>
    <row r="1803" spans="1:30">
      <c r="A1803">
        <v>1801</v>
      </c>
      <c r="B1803">
        <v>32</v>
      </c>
      <c r="C1803">
        <v>1.83</v>
      </c>
      <c r="D1803">
        <v>3.68</v>
      </c>
      <c r="E1803">
        <v>0</v>
      </c>
      <c r="F1803">
        <v>1.5609999999999999</v>
      </c>
      <c r="G1803">
        <v>0</v>
      </c>
      <c r="H1803">
        <v>0.17599999999999999</v>
      </c>
      <c r="I1803">
        <v>2.8570000000000002</v>
      </c>
      <c r="K1803">
        <v>1801</v>
      </c>
      <c r="L1803">
        <v>32</v>
      </c>
      <c r="M1803" s="32">
        <v>1.83</v>
      </c>
      <c r="N1803" s="32">
        <v>3.68</v>
      </c>
      <c r="P1803" s="32">
        <v>1.5609999999999999</v>
      </c>
      <c r="R1803" s="47">
        <v>0.17899999999999999</v>
      </c>
      <c r="S1803" s="32">
        <v>2.8570000000000002</v>
      </c>
      <c r="T1803" s="31">
        <v>0</v>
      </c>
      <c r="V1803">
        <v>1801</v>
      </c>
      <c r="W1803">
        <v>31</v>
      </c>
      <c r="X1803">
        <v>1.8420000000000001</v>
      </c>
      <c r="Y1803" s="32">
        <v>3.79</v>
      </c>
      <c r="Z1803">
        <v>0</v>
      </c>
      <c r="AA1803" s="32">
        <v>1.468</v>
      </c>
      <c r="AB1803">
        <v>0</v>
      </c>
      <c r="AC1803" s="34">
        <v>0.17100000000000001</v>
      </c>
      <c r="AD1803" s="32">
        <v>2.7050000000000001</v>
      </c>
    </row>
    <row r="1804" spans="1:30">
      <c r="A1804">
        <v>1802</v>
      </c>
      <c r="B1804">
        <v>32</v>
      </c>
      <c r="C1804">
        <v>1.831</v>
      </c>
      <c r="D1804">
        <v>3.68</v>
      </c>
      <c r="E1804">
        <v>0</v>
      </c>
      <c r="F1804">
        <v>1.5609999999999999</v>
      </c>
      <c r="G1804">
        <v>0</v>
      </c>
      <c r="H1804">
        <v>0.17599999999999999</v>
      </c>
      <c r="I1804">
        <v>3.0179999999999998</v>
      </c>
      <c r="K1804">
        <v>1802</v>
      </c>
      <c r="L1804">
        <v>32</v>
      </c>
      <c r="M1804" s="32">
        <v>1.831</v>
      </c>
      <c r="N1804" s="47">
        <v>3.6909999999999998</v>
      </c>
      <c r="P1804" s="32">
        <v>1.5609999999999999</v>
      </c>
      <c r="R1804" s="47">
        <v>0.17899999999999999</v>
      </c>
      <c r="S1804" s="47">
        <v>2.859</v>
      </c>
      <c r="T1804" s="31">
        <v>0</v>
      </c>
      <c r="V1804">
        <v>1802</v>
      </c>
      <c r="W1804">
        <v>31</v>
      </c>
      <c r="X1804">
        <v>1.843</v>
      </c>
      <c r="Y1804" s="32">
        <v>3.79</v>
      </c>
      <c r="Z1804">
        <v>0</v>
      </c>
      <c r="AA1804" s="32">
        <v>1.468</v>
      </c>
      <c r="AB1804">
        <v>0</v>
      </c>
      <c r="AC1804" s="34">
        <v>0.17100000000000001</v>
      </c>
      <c r="AD1804" s="32">
        <v>2.7069999999999999</v>
      </c>
    </row>
    <row r="1805" spans="1:30">
      <c r="A1805">
        <v>1803</v>
      </c>
      <c r="B1805">
        <v>32</v>
      </c>
      <c r="C1805">
        <v>1.8320000000000001</v>
      </c>
      <c r="D1805">
        <v>3.68</v>
      </c>
      <c r="E1805">
        <v>0</v>
      </c>
      <c r="F1805">
        <v>1.5609999999999999</v>
      </c>
      <c r="G1805">
        <v>0</v>
      </c>
      <c r="H1805">
        <v>0.17599999999999999</v>
      </c>
      <c r="I1805">
        <v>3.02</v>
      </c>
      <c r="K1805">
        <v>1803</v>
      </c>
      <c r="L1805">
        <v>32</v>
      </c>
      <c r="M1805" s="32">
        <v>1.8320000000000001</v>
      </c>
      <c r="N1805" s="47">
        <v>3.702</v>
      </c>
      <c r="P1805" s="47">
        <v>1.5620000000000001</v>
      </c>
      <c r="R1805" s="47">
        <v>0.17899999999999999</v>
      </c>
      <c r="S1805" s="47">
        <v>2.8610000000000002</v>
      </c>
      <c r="T1805" s="31">
        <v>0</v>
      </c>
      <c r="V1805">
        <v>1803</v>
      </c>
      <c r="W1805">
        <v>31</v>
      </c>
      <c r="X1805">
        <v>1.8440000000000001</v>
      </c>
      <c r="Y1805" s="32">
        <v>3.79</v>
      </c>
      <c r="Z1805">
        <v>0</v>
      </c>
      <c r="AA1805" s="32">
        <v>1.468</v>
      </c>
      <c r="AB1805">
        <v>0</v>
      </c>
      <c r="AC1805" s="34">
        <v>0.17100000000000001</v>
      </c>
      <c r="AD1805" s="32">
        <v>2.7090000000000001</v>
      </c>
    </row>
    <row r="1806" spans="1:30">
      <c r="A1806">
        <v>1804</v>
      </c>
      <c r="B1806">
        <v>32</v>
      </c>
      <c r="C1806">
        <v>1.833</v>
      </c>
      <c r="D1806">
        <v>3.68</v>
      </c>
      <c r="E1806">
        <v>0</v>
      </c>
      <c r="F1806">
        <v>1.5609999999999999</v>
      </c>
      <c r="G1806">
        <v>0</v>
      </c>
      <c r="H1806">
        <v>0.17599999999999999</v>
      </c>
      <c r="I1806">
        <v>3.0219999999999998</v>
      </c>
      <c r="K1806">
        <v>1804</v>
      </c>
      <c r="L1806">
        <v>32</v>
      </c>
      <c r="M1806" s="32">
        <v>1.833</v>
      </c>
      <c r="N1806" s="47">
        <v>3.7130000000000001</v>
      </c>
      <c r="P1806" s="47">
        <v>1.5620000000000001</v>
      </c>
      <c r="R1806" s="47">
        <v>0.17899999999999999</v>
      </c>
      <c r="S1806" s="47">
        <v>2.863</v>
      </c>
      <c r="T1806" s="31">
        <v>0</v>
      </c>
      <c r="V1806">
        <v>1804</v>
      </c>
      <c r="W1806">
        <v>31</v>
      </c>
      <c r="X1806">
        <v>1.845</v>
      </c>
      <c r="Y1806" s="32">
        <v>3.79</v>
      </c>
      <c r="Z1806">
        <v>0</v>
      </c>
      <c r="AA1806" s="32">
        <v>1.4690000000000001</v>
      </c>
      <c r="AB1806">
        <v>0</v>
      </c>
      <c r="AC1806" s="34">
        <v>0.17100000000000001</v>
      </c>
      <c r="AD1806" s="32">
        <v>2.71</v>
      </c>
    </row>
    <row r="1807" spans="1:30">
      <c r="A1807">
        <v>1805</v>
      </c>
      <c r="B1807">
        <v>32</v>
      </c>
      <c r="C1807">
        <v>1.8340000000000001</v>
      </c>
      <c r="D1807">
        <v>3.68</v>
      </c>
      <c r="E1807">
        <v>0</v>
      </c>
      <c r="F1807">
        <v>1.5609999999999999</v>
      </c>
      <c r="G1807">
        <v>0</v>
      </c>
      <c r="H1807">
        <v>0.17599999999999999</v>
      </c>
      <c r="I1807">
        <v>3.024</v>
      </c>
      <c r="K1807">
        <v>1805</v>
      </c>
      <c r="L1807">
        <v>32</v>
      </c>
      <c r="M1807" s="32">
        <v>1.8340000000000001</v>
      </c>
      <c r="N1807" s="47">
        <v>3.7240000000000002</v>
      </c>
      <c r="P1807" s="47">
        <v>1.5620000000000001</v>
      </c>
      <c r="R1807" s="47">
        <v>0.17899999999999999</v>
      </c>
      <c r="S1807" s="47">
        <v>2.8650000000000002</v>
      </c>
      <c r="T1807" s="31">
        <v>0</v>
      </c>
      <c r="V1807">
        <v>1805</v>
      </c>
      <c r="W1807">
        <v>31</v>
      </c>
      <c r="X1807">
        <v>1.8460000000000001</v>
      </c>
      <c r="Y1807" s="32">
        <v>3.79</v>
      </c>
      <c r="Z1807">
        <v>0</v>
      </c>
      <c r="AA1807" s="32">
        <v>1.4690000000000001</v>
      </c>
      <c r="AB1807">
        <v>0</v>
      </c>
      <c r="AC1807" s="34">
        <v>0.17100000000000001</v>
      </c>
      <c r="AD1807" s="32">
        <v>2.7120000000000002</v>
      </c>
    </row>
    <row r="1808" spans="1:30">
      <c r="A1808">
        <v>1806</v>
      </c>
      <c r="B1808">
        <v>32</v>
      </c>
      <c r="C1808">
        <v>1.835</v>
      </c>
      <c r="D1808">
        <v>3.68</v>
      </c>
      <c r="E1808">
        <v>0</v>
      </c>
      <c r="F1808">
        <v>1.5609999999999999</v>
      </c>
      <c r="G1808">
        <v>0</v>
      </c>
      <c r="H1808">
        <v>0.17599999999999999</v>
      </c>
      <c r="I1808">
        <v>3.0259999999999998</v>
      </c>
      <c r="K1808">
        <v>1806</v>
      </c>
      <c r="L1808">
        <v>32</v>
      </c>
      <c r="M1808" s="32">
        <v>1.835</v>
      </c>
      <c r="N1808" s="47">
        <v>3.7349999999999999</v>
      </c>
      <c r="P1808" s="47">
        <v>1.5629999999999999</v>
      </c>
      <c r="R1808" s="47">
        <v>0.17899999999999999</v>
      </c>
      <c r="S1808" s="47">
        <v>2.867</v>
      </c>
      <c r="T1808" s="31">
        <v>0</v>
      </c>
      <c r="V1808">
        <v>1806</v>
      </c>
      <c r="W1808">
        <v>31</v>
      </c>
      <c r="X1808">
        <v>1.847</v>
      </c>
      <c r="Y1808" s="32">
        <v>3.79</v>
      </c>
      <c r="Z1808">
        <v>0</v>
      </c>
      <c r="AA1808" s="32">
        <v>1.4690000000000001</v>
      </c>
      <c r="AB1808">
        <v>0</v>
      </c>
      <c r="AC1808" s="34">
        <v>0.17199999999999999</v>
      </c>
      <c r="AD1808" s="32">
        <v>2.714</v>
      </c>
    </row>
    <row r="1809" spans="1:30">
      <c r="A1809">
        <v>1807</v>
      </c>
      <c r="B1809">
        <v>32</v>
      </c>
      <c r="C1809">
        <v>1.8360000000000001</v>
      </c>
      <c r="D1809">
        <v>3.68</v>
      </c>
      <c r="E1809">
        <v>0</v>
      </c>
      <c r="F1809">
        <v>1.5609999999999999</v>
      </c>
      <c r="G1809">
        <v>0</v>
      </c>
      <c r="H1809">
        <v>0.17599999999999999</v>
      </c>
      <c r="I1809">
        <v>3.028</v>
      </c>
      <c r="K1809">
        <v>1807</v>
      </c>
      <c r="L1809">
        <v>32</v>
      </c>
      <c r="M1809" s="32">
        <v>1.8360000000000001</v>
      </c>
      <c r="N1809" s="47">
        <v>3.746</v>
      </c>
      <c r="P1809" s="47">
        <v>1.5629999999999999</v>
      </c>
      <c r="R1809" s="47">
        <v>0.17899999999999999</v>
      </c>
      <c r="S1809" s="47">
        <v>2.8679999999999999</v>
      </c>
      <c r="T1809" s="31">
        <v>0</v>
      </c>
      <c r="V1809">
        <v>1807</v>
      </c>
      <c r="W1809">
        <v>31</v>
      </c>
      <c r="X1809">
        <v>1.8480000000000001</v>
      </c>
      <c r="Y1809" s="32">
        <v>3.79</v>
      </c>
      <c r="Z1809">
        <v>0</v>
      </c>
      <c r="AA1809" s="32">
        <v>1.4690000000000001</v>
      </c>
      <c r="AB1809">
        <v>0</v>
      </c>
      <c r="AC1809" s="34">
        <v>0.17199999999999999</v>
      </c>
      <c r="AD1809" s="32">
        <v>2.7160000000000002</v>
      </c>
    </row>
    <row r="1810" spans="1:30">
      <c r="A1810">
        <v>1808</v>
      </c>
      <c r="B1810">
        <v>32</v>
      </c>
      <c r="C1810">
        <v>1.837</v>
      </c>
      <c r="D1810">
        <v>3.68</v>
      </c>
      <c r="E1810">
        <v>0</v>
      </c>
      <c r="F1810">
        <v>1.5609999999999999</v>
      </c>
      <c r="G1810">
        <v>0</v>
      </c>
      <c r="H1810">
        <v>0.17599999999999999</v>
      </c>
      <c r="I1810">
        <v>3.03</v>
      </c>
      <c r="K1810">
        <v>1808</v>
      </c>
      <c r="L1810">
        <v>32</v>
      </c>
      <c r="M1810" s="32">
        <v>1.837</v>
      </c>
      <c r="N1810" s="47">
        <v>3.7570000000000001</v>
      </c>
      <c r="P1810" s="47">
        <v>1.5629999999999999</v>
      </c>
      <c r="R1810" s="47">
        <v>0.17899999999999999</v>
      </c>
      <c r="S1810" s="47">
        <v>2.87</v>
      </c>
      <c r="T1810" s="31">
        <v>0</v>
      </c>
      <c r="V1810">
        <v>1808</v>
      </c>
      <c r="W1810">
        <v>31</v>
      </c>
      <c r="X1810">
        <v>1.849</v>
      </c>
      <c r="Y1810" s="32">
        <v>3.79</v>
      </c>
      <c r="Z1810">
        <v>0</v>
      </c>
      <c r="AA1810" s="32">
        <v>1.4690000000000001</v>
      </c>
      <c r="AB1810">
        <v>0</v>
      </c>
      <c r="AC1810" s="34">
        <v>0.17199999999999999</v>
      </c>
      <c r="AD1810" s="32">
        <v>2.718</v>
      </c>
    </row>
    <row r="1811" spans="1:30">
      <c r="A1811">
        <v>1809</v>
      </c>
      <c r="B1811">
        <v>32</v>
      </c>
      <c r="C1811">
        <v>1.8380000000000001</v>
      </c>
      <c r="D1811">
        <v>3.68</v>
      </c>
      <c r="E1811">
        <v>0</v>
      </c>
      <c r="F1811">
        <v>1.5609999999999999</v>
      </c>
      <c r="G1811">
        <v>0</v>
      </c>
      <c r="H1811">
        <v>0.17599999999999999</v>
      </c>
      <c r="I1811">
        <v>3.032</v>
      </c>
      <c r="K1811">
        <v>1809</v>
      </c>
      <c r="L1811">
        <v>32</v>
      </c>
      <c r="M1811" s="32">
        <v>1.8380000000000001</v>
      </c>
      <c r="N1811" s="47">
        <v>3.7679999999999998</v>
      </c>
      <c r="P1811" s="47">
        <v>1.5629999999999999</v>
      </c>
      <c r="R1811" s="47">
        <v>0.17899999999999999</v>
      </c>
      <c r="S1811" s="47">
        <v>2.8719999999999999</v>
      </c>
      <c r="T1811" s="31">
        <v>0</v>
      </c>
      <c r="V1811">
        <v>1809</v>
      </c>
      <c r="W1811">
        <v>31</v>
      </c>
      <c r="X1811">
        <v>1.85</v>
      </c>
      <c r="Y1811" s="32">
        <v>3.79</v>
      </c>
      <c r="Z1811">
        <v>0</v>
      </c>
      <c r="AA1811" s="32">
        <v>1.47</v>
      </c>
      <c r="AB1811">
        <v>0</v>
      </c>
      <c r="AC1811" s="34">
        <v>0.17199999999999999</v>
      </c>
      <c r="AD1811" s="32">
        <v>2.7189999999999999</v>
      </c>
    </row>
    <row r="1812" spans="1:30">
      <c r="A1812">
        <v>1810</v>
      </c>
      <c r="B1812">
        <v>32</v>
      </c>
      <c r="C1812">
        <v>1.839</v>
      </c>
      <c r="D1812">
        <v>3.68</v>
      </c>
      <c r="E1812">
        <v>0</v>
      </c>
      <c r="F1812">
        <v>1.5609999999999999</v>
      </c>
      <c r="G1812">
        <v>0</v>
      </c>
      <c r="H1812">
        <v>0.17599999999999999</v>
      </c>
      <c r="I1812">
        <v>3.0339999999999998</v>
      </c>
      <c r="K1812">
        <v>1810</v>
      </c>
      <c r="L1812">
        <v>32</v>
      </c>
      <c r="M1812" s="32">
        <v>1.839</v>
      </c>
      <c r="N1812" s="47">
        <v>3.7789999999999999</v>
      </c>
      <c r="P1812" s="47">
        <v>1.5640000000000001</v>
      </c>
      <c r="R1812" s="47">
        <v>0.17899999999999999</v>
      </c>
      <c r="S1812" s="47">
        <v>2.8740000000000001</v>
      </c>
      <c r="T1812" s="31">
        <v>0</v>
      </c>
      <c r="V1812">
        <v>1810</v>
      </c>
      <c r="W1812">
        <v>31</v>
      </c>
      <c r="X1812">
        <v>1.851</v>
      </c>
      <c r="Y1812" s="32">
        <v>3.79</v>
      </c>
      <c r="Z1812">
        <v>0</v>
      </c>
      <c r="AA1812" s="32">
        <v>1.47</v>
      </c>
      <c r="AB1812">
        <v>0</v>
      </c>
      <c r="AC1812" s="34">
        <v>0.17199999999999999</v>
      </c>
      <c r="AD1812" s="32">
        <v>2.7210000000000001</v>
      </c>
    </row>
    <row r="1813" spans="1:30">
      <c r="A1813">
        <v>1811</v>
      </c>
      <c r="B1813">
        <v>33</v>
      </c>
      <c r="C1813">
        <v>1.84</v>
      </c>
      <c r="D1813">
        <v>3.79</v>
      </c>
      <c r="E1813">
        <v>0</v>
      </c>
      <c r="F1813">
        <v>1.5640000000000001</v>
      </c>
      <c r="G1813">
        <v>0</v>
      </c>
      <c r="H1813">
        <v>0.17899999999999999</v>
      </c>
      <c r="I1813">
        <v>2.8759999999999999</v>
      </c>
      <c r="K1813">
        <v>1811</v>
      </c>
      <c r="L1813">
        <v>33</v>
      </c>
      <c r="M1813" s="32">
        <v>1.84</v>
      </c>
      <c r="N1813" s="32">
        <v>3.79</v>
      </c>
      <c r="P1813" s="32">
        <v>1.5640000000000001</v>
      </c>
      <c r="R1813" s="32">
        <v>0.17899999999999999</v>
      </c>
      <c r="S1813" s="32">
        <v>2.8759999999999999</v>
      </c>
      <c r="T1813" s="31">
        <v>0</v>
      </c>
      <c r="V1813">
        <v>1811</v>
      </c>
      <c r="W1813">
        <v>31</v>
      </c>
      <c r="X1813">
        <v>1.8520000000000001</v>
      </c>
      <c r="Y1813" s="32">
        <v>3.79</v>
      </c>
      <c r="Z1813">
        <v>0</v>
      </c>
      <c r="AA1813" s="32">
        <v>1.47</v>
      </c>
      <c r="AB1813">
        <v>0</v>
      </c>
      <c r="AC1813" s="34">
        <v>0.17199999999999999</v>
      </c>
      <c r="AD1813" s="32">
        <v>2.7229999999999999</v>
      </c>
    </row>
    <row r="1814" spans="1:30">
      <c r="A1814">
        <v>1812</v>
      </c>
      <c r="B1814">
        <v>33</v>
      </c>
      <c r="C1814">
        <v>1.841</v>
      </c>
      <c r="D1814">
        <v>3.79</v>
      </c>
      <c r="E1814">
        <v>0</v>
      </c>
      <c r="F1814">
        <v>1.5640000000000001</v>
      </c>
      <c r="G1814">
        <v>0</v>
      </c>
      <c r="H1814">
        <v>0.17899999999999999</v>
      </c>
      <c r="I1814">
        <v>2.8780000000000001</v>
      </c>
      <c r="K1814">
        <v>1812</v>
      </c>
      <c r="L1814">
        <v>33</v>
      </c>
      <c r="M1814" s="32">
        <v>1.841</v>
      </c>
      <c r="N1814" s="32">
        <v>3.79</v>
      </c>
      <c r="P1814" s="32">
        <v>1.5640000000000001</v>
      </c>
      <c r="R1814" s="32">
        <v>0.17899999999999999</v>
      </c>
      <c r="S1814" s="32">
        <v>2.8780000000000001</v>
      </c>
      <c r="T1814" s="31">
        <v>0</v>
      </c>
      <c r="V1814">
        <v>1812</v>
      </c>
      <c r="W1814">
        <v>31</v>
      </c>
      <c r="X1814">
        <v>1.853</v>
      </c>
      <c r="Y1814" s="32">
        <v>3.79</v>
      </c>
      <c r="Z1814">
        <v>0</v>
      </c>
      <c r="AA1814" s="32">
        <v>1.47</v>
      </c>
      <c r="AB1814">
        <v>0</v>
      </c>
      <c r="AC1814" s="34">
        <v>0.17199999999999999</v>
      </c>
      <c r="AD1814" s="32">
        <v>2.7250000000000001</v>
      </c>
    </row>
    <row r="1815" spans="1:30">
      <c r="A1815">
        <v>1813</v>
      </c>
      <c r="B1815">
        <v>33</v>
      </c>
      <c r="C1815">
        <v>1.8420000000000001</v>
      </c>
      <c r="D1815">
        <v>3.79</v>
      </c>
      <c r="E1815">
        <v>0</v>
      </c>
      <c r="F1815">
        <v>1.5649999999999999</v>
      </c>
      <c r="G1815">
        <v>0</v>
      </c>
      <c r="H1815">
        <v>0.17899999999999999</v>
      </c>
      <c r="I1815">
        <v>2.88</v>
      </c>
      <c r="K1815">
        <v>1813</v>
      </c>
      <c r="L1815">
        <v>33</v>
      </c>
      <c r="M1815" s="32">
        <v>1.8420000000000001</v>
      </c>
      <c r="N1815" s="32">
        <v>3.79</v>
      </c>
      <c r="P1815" s="32">
        <v>1.5649999999999999</v>
      </c>
      <c r="R1815" s="32">
        <v>0.17899999999999999</v>
      </c>
      <c r="S1815" s="32">
        <v>2.88</v>
      </c>
      <c r="T1815" s="31">
        <v>0</v>
      </c>
      <c r="V1815">
        <v>1813</v>
      </c>
      <c r="W1815">
        <v>31</v>
      </c>
      <c r="X1815">
        <v>1.8540000000000001</v>
      </c>
      <c r="Y1815" s="32">
        <v>3.79</v>
      </c>
      <c r="Z1815">
        <v>0</v>
      </c>
      <c r="AA1815" s="32">
        <v>1.47</v>
      </c>
      <c r="AB1815">
        <v>0</v>
      </c>
      <c r="AC1815" s="34">
        <v>0.17199999999999999</v>
      </c>
      <c r="AD1815" s="32">
        <v>2.7269999999999999</v>
      </c>
    </row>
    <row r="1816" spans="1:30">
      <c r="A1816">
        <v>1814</v>
      </c>
      <c r="B1816">
        <v>33</v>
      </c>
      <c r="C1816">
        <v>1.843</v>
      </c>
      <c r="D1816">
        <v>3.8</v>
      </c>
      <c r="E1816">
        <v>0</v>
      </c>
      <c r="F1816">
        <v>1.5649999999999999</v>
      </c>
      <c r="G1816">
        <v>0</v>
      </c>
      <c r="H1816">
        <v>0.17899999999999999</v>
      </c>
      <c r="I1816">
        <v>2.8820000000000001</v>
      </c>
      <c r="K1816">
        <v>1814</v>
      </c>
      <c r="L1816">
        <v>33</v>
      </c>
      <c r="M1816" s="32">
        <v>1.843</v>
      </c>
      <c r="N1816" s="47">
        <v>3.79</v>
      </c>
      <c r="P1816" s="32">
        <v>1.5649999999999999</v>
      </c>
      <c r="R1816" s="32">
        <v>0.17899999999999999</v>
      </c>
      <c r="S1816" s="47">
        <v>2.883</v>
      </c>
      <c r="T1816" s="31">
        <v>0</v>
      </c>
      <c r="V1816">
        <v>1814</v>
      </c>
      <c r="W1816">
        <v>31</v>
      </c>
      <c r="X1816">
        <v>1.855</v>
      </c>
      <c r="Y1816" s="32">
        <v>3.79</v>
      </c>
      <c r="Z1816">
        <v>0</v>
      </c>
      <c r="AA1816" s="32">
        <v>1.4710000000000001</v>
      </c>
      <c r="AB1816">
        <v>0</v>
      </c>
      <c r="AC1816" s="34">
        <v>0.17199999999999999</v>
      </c>
      <c r="AD1816" s="32">
        <v>2.7290000000000001</v>
      </c>
    </row>
    <row r="1817" spans="1:30">
      <c r="A1817">
        <v>1815</v>
      </c>
      <c r="B1817">
        <v>33</v>
      </c>
      <c r="C1817">
        <v>1.8440000000000001</v>
      </c>
      <c r="D1817">
        <v>3.8</v>
      </c>
      <c r="E1817">
        <v>0</v>
      </c>
      <c r="F1817">
        <v>1.5649999999999999</v>
      </c>
      <c r="G1817">
        <v>0</v>
      </c>
      <c r="H1817">
        <v>0.17899999999999999</v>
      </c>
      <c r="I1817">
        <v>2.8839999999999999</v>
      </c>
      <c r="K1817">
        <v>1815</v>
      </c>
      <c r="L1817">
        <v>33</v>
      </c>
      <c r="M1817" s="32">
        <v>1.8440000000000001</v>
      </c>
      <c r="N1817" s="47">
        <v>3.79</v>
      </c>
      <c r="P1817" s="32">
        <v>1.5649999999999999</v>
      </c>
      <c r="R1817" s="32">
        <v>0.17899999999999999</v>
      </c>
      <c r="S1817" s="47">
        <v>2.8849999999999998</v>
      </c>
      <c r="T1817" s="31">
        <v>0</v>
      </c>
      <c r="V1817">
        <v>1815</v>
      </c>
      <c r="W1817">
        <v>31</v>
      </c>
      <c r="X1817">
        <v>1.8560000000000001</v>
      </c>
      <c r="Y1817" s="32">
        <v>3.79</v>
      </c>
      <c r="Z1817">
        <v>0</v>
      </c>
      <c r="AA1817" s="32">
        <v>1.4710000000000001</v>
      </c>
      <c r="AB1817">
        <v>0</v>
      </c>
      <c r="AC1817" s="34">
        <v>0.17199999999999999</v>
      </c>
      <c r="AD1817" s="32">
        <v>2.73</v>
      </c>
    </row>
    <row r="1818" spans="1:30">
      <c r="A1818">
        <v>1816</v>
      </c>
      <c r="B1818">
        <v>33</v>
      </c>
      <c r="C1818">
        <v>1.845</v>
      </c>
      <c r="D1818">
        <v>3.8</v>
      </c>
      <c r="E1818">
        <v>0</v>
      </c>
      <c r="F1818">
        <v>1.5649999999999999</v>
      </c>
      <c r="G1818">
        <v>0</v>
      </c>
      <c r="H1818">
        <v>0.17899999999999999</v>
      </c>
      <c r="I1818">
        <v>2.8860000000000001</v>
      </c>
      <c r="K1818">
        <v>1816</v>
      </c>
      <c r="L1818">
        <v>33</v>
      </c>
      <c r="M1818" s="32">
        <v>1.845</v>
      </c>
      <c r="N1818" s="47">
        <v>3.79</v>
      </c>
      <c r="P1818" s="47">
        <v>1.5660000000000001</v>
      </c>
      <c r="R1818" s="32">
        <v>0.17899999999999999</v>
      </c>
      <c r="S1818" s="47">
        <v>2.887</v>
      </c>
      <c r="T1818" s="31">
        <v>0</v>
      </c>
      <c r="V1818">
        <v>1816</v>
      </c>
      <c r="W1818">
        <v>31</v>
      </c>
      <c r="X1818">
        <v>1.857</v>
      </c>
      <c r="Y1818" s="32">
        <v>3.79</v>
      </c>
      <c r="Z1818">
        <v>0</v>
      </c>
      <c r="AA1818" s="32">
        <v>1.4710000000000001</v>
      </c>
      <c r="AB1818">
        <v>0</v>
      </c>
      <c r="AC1818" s="34">
        <v>0.17199999999999999</v>
      </c>
      <c r="AD1818" s="32">
        <v>2.7320000000000002</v>
      </c>
    </row>
    <row r="1819" spans="1:30">
      <c r="A1819">
        <v>1817</v>
      </c>
      <c r="B1819">
        <v>33</v>
      </c>
      <c r="C1819">
        <v>1.8460000000000001</v>
      </c>
      <c r="D1819">
        <v>3.8</v>
      </c>
      <c r="E1819">
        <v>0</v>
      </c>
      <c r="F1819">
        <v>1.5660000000000001</v>
      </c>
      <c r="G1819">
        <v>0</v>
      </c>
      <c r="H1819">
        <v>0.17899999999999999</v>
      </c>
      <c r="I1819">
        <v>2.8879999999999999</v>
      </c>
      <c r="K1819">
        <v>1817</v>
      </c>
      <c r="L1819">
        <v>33</v>
      </c>
      <c r="M1819" s="32">
        <v>1.8460000000000001</v>
      </c>
      <c r="N1819" s="47">
        <v>3.79</v>
      </c>
      <c r="P1819" s="32">
        <v>1.5660000000000001</v>
      </c>
      <c r="R1819" s="32">
        <v>0.17899999999999999</v>
      </c>
      <c r="S1819" s="47">
        <v>2.8889999999999998</v>
      </c>
      <c r="T1819" s="31">
        <v>0</v>
      </c>
      <c r="V1819">
        <v>1817</v>
      </c>
      <c r="W1819">
        <v>31</v>
      </c>
      <c r="X1819">
        <v>1.8580000000000001</v>
      </c>
      <c r="Y1819" s="32">
        <v>3.79</v>
      </c>
      <c r="Z1819">
        <v>0</v>
      </c>
      <c r="AA1819" s="32">
        <v>1.4710000000000001</v>
      </c>
      <c r="AB1819">
        <v>0</v>
      </c>
      <c r="AC1819" s="34">
        <v>0.17199999999999999</v>
      </c>
      <c r="AD1819" s="32">
        <v>2.734</v>
      </c>
    </row>
    <row r="1820" spans="1:30">
      <c r="A1820">
        <v>1818</v>
      </c>
      <c r="B1820">
        <v>33</v>
      </c>
      <c r="C1820">
        <v>1.847</v>
      </c>
      <c r="D1820">
        <v>3.8</v>
      </c>
      <c r="E1820">
        <v>0</v>
      </c>
      <c r="F1820">
        <v>1.5660000000000001</v>
      </c>
      <c r="G1820">
        <v>0</v>
      </c>
      <c r="H1820">
        <v>0.17899999999999999</v>
      </c>
      <c r="I1820">
        <v>2.89</v>
      </c>
      <c r="K1820">
        <v>1818</v>
      </c>
      <c r="L1820">
        <v>33</v>
      </c>
      <c r="M1820" s="32">
        <v>1.847</v>
      </c>
      <c r="N1820" s="47">
        <v>3.79</v>
      </c>
      <c r="P1820" s="32">
        <v>1.5660000000000001</v>
      </c>
      <c r="R1820" s="32">
        <v>0.17899999999999999</v>
      </c>
      <c r="S1820" s="47">
        <v>2.891</v>
      </c>
      <c r="T1820" s="31">
        <v>0</v>
      </c>
      <c r="V1820">
        <v>1818</v>
      </c>
      <c r="W1820">
        <v>31</v>
      </c>
      <c r="X1820">
        <v>1.859</v>
      </c>
      <c r="Y1820" s="32">
        <v>3.79</v>
      </c>
      <c r="Z1820">
        <v>0</v>
      </c>
      <c r="AA1820" s="32">
        <v>1.4710000000000001</v>
      </c>
      <c r="AB1820">
        <v>0</v>
      </c>
      <c r="AC1820" s="34">
        <v>0.17199999999999999</v>
      </c>
      <c r="AD1820" s="32">
        <v>2.7360000000000002</v>
      </c>
    </row>
    <row r="1821" spans="1:30">
      <c r="A1821">
        <v>1819</v>
      </c>
      <c r="B1821">
        <v>33</v>
      </c>
      <c r="C1821">
        <v>1.8480000000000001</v>
      </c>
      <c r="D1821">
        <v>3.81</v>
      </c>
      <c r="E1821">
        <v>0</v>
      </c>
      <c r="F1821">
        <v>1.5660000000000001</v>
      </c>
      <c r="G1821">
        <v>0</v>
      </c>
      <c r="H1821">
        <v>0.17899999999999999</v>
      </c>
      <c r="I1821">
        <v>2.8919999999999999</v>
      </c>
      <c r="K1821">
        <v>1819</v>
      </c>
      <c r="L1821">
        <v>33</v>
      </c>
      <c r="M1821" s="32">
        <v>1.8480000000000001</v>
      </c>
      <c r="N1821" s="47">
        <v>3.79</v>
      </c>
      <c r="P1821" s="32">
        <v>1.5660000000000001</v>
      </c>
      <c r="R1821" s="32">
        <v>0.17899999999999999</v>
      </c>
      <c r="S1821" s="47">
        <v>2.8940000000000001</v>
      </c>
      <c r="T1821" s="31">
        <v>0</v>
      </c>
      <c r="V1821">
        <v>1819</v>
      </c>
      <c r="W1821">
        <v>31</v>
      </c>
      <c r="X1821">
        <v>1.86</v>
      </c>
      <c r="Y1821" s="32">
        <v>3.79</v>
      </c>
      <c r="Z1821">
        <v>0</v>
      </c>
      <c r="AA1821" s="32">
        <v>1.4710000000000001</v>
      </c>
      <c r="AB1821">
        <v>0</v>
      </c>
      <c r="AC1821" s="34">
        <v>0.17199999999999999</v>
      </c>
      <c r="AD1821" s="32">
        <v>2.738</v>
      </c>
    </row>
    <row r="1822" spans="1:30">
      <c r="A1822">
        <v>1820</v>
      </c>
      <c r="B1822">
        <v>33</v>
      </c>
      <c r="C1822">
        <v>1.849</v>
      </c>
      <c r="D1822">
        <v>3.81</v>
      </c>
      <c r="E1822">
        <v>0</v>
      </c>
      <c r="F1822">
        <v>1.5660000000000001</v>
      </c>
      <c r="G1822">
        <v>0</v>
      </c>
      <c r="H1822">
        <v>0.17899999999999999</v>
      </c>
      <c r="I1822">
        <v>2.8940000000000001</v>
      </c>
      <c r="K1822">
        <v>1820</v>
      </c>
      <c r="L1822">
        <v>33</v>
      </c>
      <c r="M1822" s="32">
        <v>1.849</v>
      </c>
      <c r="N1822" s="47">
        <v>3.79</v>
      </c>
      <c r="P1822" s="47">
        <v>1.5669999999999999</v>
      </c>
      <c r="R1822" s="47">
        <v>0.18</v>
      </c>
      <c r="S1822" s="47">
        <v>2.8959999999999999</v>
      </c>
      <c r="T1822" s="31">
        <v>0</v>
      </c>
      <c r="V1822">
        <v>1820</v>
      </c>
      <c r="W1822">
        <v>31</v>
      </c>
      <c r="X1822">
        <v>1.861</v>
      </c>
      <c r="Y1822" s="32">
        <v>3.79</v>
      </c>
      <c r="Z1822">
        <v>0</v>
      </c>
      <c r="AA1822" s="32">
        <v>1.472</v>
      </c>
      <c r="AB1822">
        <v>0</v>
      </c>
      <c r="AC1822" s="34">
        <v>0.17199999999999999</v>
      </c>
      <c r="AD1822" s="32">
        <v>2.7389999999999999</v>
      </c>
    </row>
    <row r="1823" spans="1:30">
      <c r="A1823">
        <v>1821</v>
      </c>
      <c r="B1823">
        <v>33</v>
      </c>
      <c r="C1823">
        <v>1.85</v>
      </c>
      <c r="D1823">
        <v>3.79</v>
      </c>
      <c r="E1823">
        <v>0</v>
      </c>
      <c r="F1823">
        <v>1.5669999999999999</v>
      </c>
      <c r="G1823">
        <v>0</v>
      </c>
      <c r="H1823">
        <v>0.17899999999999999</v>
      </c>
      <c r="I1823">
        <v>2.8980000000000001</v>
      </c>
      <c r="K1823">
        <v>1821</v>
      </c>
      <c r="L1823">
        <v>33</v>
      </c>
      <c r="M1823" s="32">
        <v>1.85</v>
      </c>
      <c r="N1823" s="32">
        <v>3.79</v>
      </c>
      <c r="P1823" s="32">
        <v>1.5669999999999999</v>
      </c>
      <c r="R1823" s="47">
        <v>0.18</v>
      </c>
      <c r="S1823" s="32">
        <v>2.8980000000000001</v>
      </c>
      <c r="T1823" s="31">
        <v>0</v>
      </c>
      <c r="V1823">
        <v>1821</v>
      </c>
      <c r="W1823">
        <v>31</v>
      </c>
      <c r="X1823">
        <v>1.8620000000000001</v>
      </c>
      <c r="Y1823" s="32">
        <v>3.79</v>
      </c>
      <c r="Z1823">
        <v>0</v>
      </c>
      <c r="AA1823" s="32">
        <v>1.472</v>
      </c>
      <c r="AB1823">
        <v>0</v>
      </c>
      <c r="AC1823" s="34">
        <v>0.17199999999999999</v>
      </c>
      <c r="AD1823" s="32">
        <v>2.7410000000000001</v>
      </c>
    </row>
    <row r="1824" spans="1:30">
      <c r="A1824">
        <v>1822</v>
      </c>
      <c r="B1824">
        <v>33</v>
      </c>
      <c r="C1824">
        <v>1.851</v>
      </c>
      <c r="D1824">
        <v>3.79</v>
      </c>
      <c r="E1824">
        <v>0</v>
      </c>
      <c r="F1824">
        <v>1.5669999999999999</v>
      </c>
      <c r="G1824">
        <v>0</v>
      </c>
      <c r="H1824">
        <v>0.17899999999999999</v>
      </c>
      <c r="I1824">
        <v>2.92</v>
      </c>
      <c r="K1824">
        <v>1822</v>
      </c>
      <c r="L1824">
        <v>33</v>
      </c>
      <c r="M1824" s="32">
        <v>1.851</v>
      </c>
      <c r="N1824" s="32">
        <v>3.79</v>
      </c>
      <c r="P1824" s="32">
        <v>1.5669999999999999</v>
      </c>
      <c r="R1824" s="47">
        <v>0.18</v>
      </c>
      <c r="S1824" s="47">
        <v>2.9</v>
      </c>
      <c r="T1824" s="31">
        <v>0</v>
      </c>
      <c r="V1824">
        <v>1822</v>
      </c>
      <c r="W1824">
        <v>31</v>
      </c>
      <c r="X1824">
        <v>1.863</v>
      </c>
      <c r="Y1824" s="32">
        <v>3.79</v>
      </c>
      <c r="Z1824">
        <v>0</v>
      </c>
      <c r="AA1824" s="32">
        <v>1.472</v>
      </c>
      <c r="AB1824">
        <v>0</v>
      </c>
      <c r="AC1824" s="34">
        <v>0.17199999999999999</v>
      </c>
      <c r="AD1824" s="32">
        <v>2.7429999999999999</v>
      </c>
    </row>
    <row r="1825" spans="1:30">
      <c r="A1825">
        <v>1823</v>
      </c>
      <c r="B1825">
        <v>33</v>
      </c>
      <c r="C1825">
        <v>1.8520000000000001</v>
      </c>
      <c r="D1825">
        <v>3.79</v>
      </c>
      <c r="E1825">
        <v>0</v>
      </c>
      <c r="F1825">
        <v>1.5669999999999999</v>
      </c>
      <c r="G1825">
        <v>0</v>
      </c>
      <c r="H1825">
        <v>0.17899999999999999</v>
      </c>
      <c r="I1825">
        <v>2.923</v>
      </c>
      <c r="K1825">
        <v>1823</v>
      </c>
      <c r="L1825">
        <v>33</v>
      </c>
      <c r="M1825" s="32">
        <v>1.8520000000000001</v>
      </c>
      <c r="N1825" s="32">
        <v>3.79</v>
      </c>
      <c r="P1825" s="32">
        <v>1.5669999999999999</v>
      </c>
      <c r="R1825" s="47">
        <v>0.18</v>
      </c>
      <c r="S1825" s="47">
        <v>2.9020000000000001</v>
      </c>
      <c r="T1825" s="31">
        <v>0</v>
      </c>
      <c r="V1825">
        <v>1823</v>
      </c>
      <c r="W1825">
        <v>31</v>
      </c>
      <c r="X1825">
        <v>1.8640000000000001</v>
      </c>
      <c r="Y1825" s="32">
        <v>3.79</v>
      </c>
      <c r="Z1825">
        <v>0</v>
      </c>
      <c r="AA1825" s="32">
        <v>1.472</v>
      </c>
      <c r="AB1825">
        <v>0</v>
      </c>
      <c r="AC1825" s="34">
        <v>0.17199999999999999</v>
      </c>
      <c r="AD1825" s="32">
        <v>2.7450000000000001</v>
      </c>
    </row>
    <row r="1826" spans="1:30">
      <c r="A1826">
        <v>1824</v>
      </c>
      <c r="B1826">
        <v>33</v>
      </c>
      <c r="C1826">
        <v>1.853</v>
      </c>
      <c r="D1826">
        <v>3.79</v>
      </c>
      <c r="E1826">
        <v>0</v>
      </c>
      <c r="F1826">
        <v>1.5669999999999999</v>
      </c>
      <c r="G1826">
        <v>0</v>
      </c>
      <c r="H1826">
        <v>0.17899999999999999</v>
      </c>
      <c r="I1826">
        <v>2.9249999999999998</v>
      </c>
      <c r="K1826">
        <v>1824</v>
      </c>
      <c r="L1826">
        <v>33</v>
      </c>
      <c r="M1826" s="32">
        <v>1.853</v>
      </c>
      <c r="N1826" s="32">
        <v>3.79</v>
      </c>
      <c r="P1826" s="47">
        <v>1.5680000000000001</v>
      </c>
      <c r="R1826" s="47">
        <v>0.18</v>
      </c>
      <c r="S1826" s="47">
        <v>2.9039999999999999</v>
      </c>
      <c r="T1826" s="31">
        <v>0</v>
      </c>
      <c r="V1826">
        <v>1824</v>
      </c>
      <c r="W1826">
        <v>31</v>
      </c>
      <c r="X1826">
        <v>1.865</v>
      </c>
      <c r="Y1826" s="32">
        <v>3.79</v>
      </c>
      <c r="Z1826">
        <v>0</v>
      </c>
      <c r="AA1826" s="32">
        <v>1.472</v>
      </c>
      <c r="AB1826">
        <v>0</v>
      </c>
      <c r="AC1826" s="34">
        <v>0.17199999999999999</v>
      </c>
      <c r="AD1826" s="32">
        <v>2.7469999999999999</v>
      </c>
    </row>
    <row r="1827" spans="1:30">
      <c r="A1827">
        <v>1825</v>
      </c>
      <c r="B1827">
        <v>33</v>
      </c>
      <c r="C1827">
        <v>1.8540000000000001</v>
      </c>
      <c r="D1827">
        <v>3.79</v>
      </c>
      <c r="E1827">
        <v>0</v>
      </c>
      <c r="F1827">
        <v>1.5669999999999999</v>
      </c>
      <c r="G1827">
        <v>0</v>
      </c>
      <c r="H1827">
        <v>0.17899999999999999</v>
      </c>
      <c r="I1827">
        <v>2.927</v>
      </c>
      <c r="K1827">
        <v>1825</v>
      </c>
      <c r="L1827">
        <v>33</v>
      </c>
      <c r="M1827" s="32">
        <v>1.8540000000000001</v>
      </c>
      <c r="N1827" s="32">
        <v>3.79</v>
      </c>
      <c r="P1827" s="47">
        <v>1.5680000000000001</v>
      </c>
      <c r="R1827" s="47">
        <v>0.18</v>
      </c>
      <c r="S1827" s="47">
        <v>2.9060000000000001</v>
      </c>
      <c r="T1827" s="31">
        <v>0</v>
      </c>
      <c r="V1827">
        <v>1825</v>
      </c>
      <c r="W1827">
        <v>31</v>
      </c>
      <c r="X1827">
        <v>1.8660000000000001</v>
      </c>
      <c r="Y1827" s="32">
        <v>3.79</v>
      </c>
      <c r="Z1827">
        <v>0</v>
      </c>
      <c r="AA1827" s="32">
        <v>1.4730000000000001</v>
      </c>
      <c r="AB1827">
        <v>0</v>
      </c>
      <c r="AC1827" s="34">
        <v>0.17199999999999999</v>
      </c>
      <c r="AD1827" s="32">
        <v>2.7480000000000002</v>
      </c>
    </row>
    <row r="1828" spans="1:30">
      <c r="A1828">
        <v>1826</v>
      </c>
      <c r="B1828">
        <v>33</v>
      </c>
      <c r="C1828">
        <v>1.855</v>
      </c>
      <c r="D1828">
        <v>3.79</v>
      </c>
      <c r="E1828">
        <v>0</v>
      </c>
      <c r="F1828">
        <v>1.5669999999999999</v>
      </c>
      <c r="G1828">
        <v>0</v>
      </c>
      <c r="H1828">
        <v>0.17899999999999999</v>
      </c>
      <c r="I1828">
        <v>2.9289999999999998</v>
      </c>
      <c r="K1828">
        <v>1826</v>
      </c>
      <c r="L1828">
        <v>33</v>
      </c>
      <c r="M1828" s="32">
        <v>1.855</v>
      </c>
      <c r="N1828" s="32">
        <v>3.79</v>
      </c>
      <c r="P1828" s="47">
        <v>1.5680000000000001</v>
      </c>
      <c r="R1828" s="47">
        <v>0.18</v>
      </c>
      <c r="S1828" s="47">
        <v>2.9089999999999998</v>
      </c>
      <c r="T1828" s="31">
        <v>0</v>
      </c>
      <c r="V1828">
        <v>1826</v>
      </c>
      <c r="W1828">
        <v>31</v>
      </c>
      <c r="X1828">
        <v>1.867</v>
      </c>
      <c r="Y1828" s="32">
        <v>3.79</v>
      </c>
      <c r="Z1828">
        <v>0</v>
      </c>
      <c r="AA1828" s="32">
        <v>1.4730000000000001</v>
      </c>
      <c r="AB1828">
        <v>0</v>
      </c>
      <c r="AC1828" s="34">
        <v>0.17299999999999999</v>
      </c>
      <c r="AD1828" s="32">
        <v>2.75</v>
      </c>
    </row>
    <row r="1829" spans="1:30">
      <c r="A1829">
        <v>1827</v>
      </c>
      <c r="B1829">
        <v>33</v>
      </c>
      <c r="C1829">
        <v>1.8560000000000001</v>
      </c>
      <c r="D1829">
        <v>3.79</v>
      </c>
      <c r="E1829">
        <v>0</v>
      </c>
      <c r="F1829">
        <v>1.5669999999999999</v>
      </c>
      <c r="G1829">
        <v>0</v>
      </c>
      <c r="H1829">
        <v>0.17899999999999999</v>
      </c>
      <c r="I1829">
        <v>2.931</v>
      </c>
      <c r="K1829">
        <v>1827</v>
      </c>
      <c r="L1829">
        <v>33</v>
      </c>
      <c r="M1829" s="32">
        <v>1.8560000000000001</v>
      </c>
      <c r="N1829" s="32">
        <v>3.79</v>
      </c>
      <c r="P1829" s="47">
        <v>1.5680000000000001</v>
      </c>
      <c r="R1829" s="47">
        <v>0.18</v>
      </c>
      <c r="S1829" s="47">
        <v>2.911</v>
      </c>
      <c r="T1829" s="31">
        <v>0</v>
      </c>
      <c r="V1829">
        <v>1827</v>
      </c>
      <c r="W1829">
        <v>31</v>
      </c>
      <c r="X1829">
        <v>1.8680000000000001</v>
      </c>
      <c r="Y1829" s="32">
        <v>3.79</v>
      </c>
      <c r="Z1829">
        <v>0</v>
      </c>
      <c r="AA1829" s="32">
        <v>1.4730000000000001</v>
      </c>
      <c r="AB1829">
        <v>0</v>
      </c>
      <c r="AC1829" s="34">
        <v>0.17299999999999999</v>
      </c>
      <c r="AD1829" s="32">
        <v>2.7519999999999998</v>
      </c>
    </row>
    <row r="1830" spans="1:30">
      <c r="A1830">
        <v>1828</v>
      </c>
      <c r="B1830">
        <v>33</v>
      </c>
      <c r="C1830">
        <v>1.857</v>
      </c>
      <c r="D1830">
        <v>3.79</v>
      </c>
      <c r="E1830">
        <v>0</v>
      </c>
      <c r="F1830">
        <v>1.5669999999999999</v>
      </c>
      <c r="G1830">
        <v>0</v>
      </c>
      <c r="H1830">
        <v>0.17899999999999999</v>
      </c>
      <c r="I1830">
        <v>2.9329999999999998</v>
      </c>
      <c r="K1830">
        <v>1828</v>
      </c>
      <c r="L1830">
        <v>33</v>
      </c>
      <c r="M1830" s="32">
        <v>1.857</v>
      </c>
      <c r="N1830" s="32">
        <v>3.79</v>
      </c>
      <c r="P1830" s="47">
        <v>1.5680000000000001</v>
      </c>
      <c r="R1830" s="47">
        <v>0.18</v>
      </c>
      <c r="S1830" s="47">
        <v>2.9129999999999998</v>
      </c>
      <c r="T1830" s="31">
        <v>0</v>
      </c>
      <c r="V1830">
        <v>1828</v>
      </c>
      <c r="W1830">
        <v>31</v>
      </c>
      <c r="X1830">
        <v>1.869</v>
      </c>
      <c r="Y1830" s="32">
        <v>3.79</v>
      </c>
      <c r="Z1830">
        <v>0</v>
      </c>
      <c r="AA1830" s="32">
        <v>1.4730000000000001</v>
      </c>
      <c r="AB1830">
        <v>0</v>
      </c>
      <c r="AC1830" s="34">
        <v>0.17299999999999999</v>
      </c>
      <c r="AD1830" s="32">
        <v>2.754</v>
      </c>
    </row>
    <row r="1831" spans="1:30">
      <c r="A1831">
        <v>1829</v>
      </c>
      <c r="B1831">
        <v>33</v>
      </c>
      <c r="C1831">
        <v>1.8580000000000001</v>
      </c>
      <c r="D1831">
        <v>3.79</v>
      </c>
      <c r="E1831">
        <v>0</v>
      </c>
      <c r="F1831">
        <v>1.5669999999999999</v>
      </c>
      <c r="G1831">
        <v>0</v>
      </c>
      <c r="H1831">
        <v>0.17899999999999999</v>
      </c>
      <c r="I1831">
        <v>2.9350000000000001</v>
      </c>
      <c r="K1831">
        <v>1829</v>
      </c>
      <c r="L1831">
        <v>33</v>
      </c>
      <c r="M1831" s="32">
        <v>1.8580000000000001</v>
      </c>
      <c r="N1831" s="32">
        <v>3.79</v>
      </c>
      <c r="P1831" s="47">
        <v>1.569</v>
      </c>
      <c r="R1831" s="47">
        <v>0.18</v>
      </c>
      <c r="S1831" s="47">
        <v>2.915</v>
      </c>
      <c r="T1831" s="31">
        <v>0</v>
      </c>
      <c r="V1831">
        <v>1829</v>
      </c>
      <c r="W1831">
        <v>31</v>
      </c>
      <c r="X1831">
        <v>1.87</v>
      </c>
      <c r="Y1831" s="32">
        <v>3.79</v>
      </c>
      <c r="Z1831">
        <v>0</v>
      </c>
      <c r="AA1831" s="32">
        <v>1.4730000000000001</v>
      </c>
      <c r="AB1831">
        <v>0</v>
      </c>
      <c r="AC1831" s="34">
        <v>0.17299999999999999</v>
      </c>
      <c r="AD1831" s="32">
        <v>2.7559999999999998</v>
      </c>
    </row>
    <row r="1832" spans="1:30">
      <c r="A1832">
        <v>1830</v>
      </c>
      <c r="B1832">
        <v>33</v>
      </c>
      <c r="C1832">
        <v>1.859</v>
      </c>
      <c r="D1832">
        <v>3.79</v>
      </c>
      <c r="E1832">
        <v>0</v>
      </c>
      <c r="F1832">
        <v>1.5669999999999999</v>
      </c>
      <c r="G1832">
        <v>0</v>
      </c>
      <c r="H1832">
        <v>0.17899999999999999</v>
      </c>
      <c r="I1832">
        <v>2.9369999999999998</v>
      </c>
      <c r="K1832">
        <v>1830</v>
      </c>
      <c r="L1832">
        <v>33</v>
      </c>
      <c r="M1832" s="32">
        <v>1.859</v>
      </c>
      <c r="N1832" s="32">
        <v>3.79</v>
      </c>
      <c r="P1832" s="47">
        <v>1.569</v>
      </c>
      <c r="R1832" s="47">
        <v>0.18</v>
      </c>
      <c r="S1832" s="47">
        <v>2.9169999999999998</v>
      </c>
      <c r="T1832" s="31">
        <v>0</v>
      </c>
      <c r="V1832">
        <v>1830</v>
      </c>
      <c r="W1832">
        <v>31</v>
      </c>
      <c r="X1832">
        <v>1.871</v>
      </c>
      <c r="Y1832" s="32">
        <v>3.79</v>
      </c>
      <c r="Z1832">
        <v>0</v>
      </c>
      <c r="AA1832" s="32">
        <v>1.474</v>
      </c>
      <c r="AB1832">
        <v>0</v>
      </c>
      <c r="AC1832" s="34">
        <v>0.17299999999999999</v>
      </c>
      <c r="AD1832" s="32">
        <v>2.758</v>
      </c>
    </row>
    <row r="1833" spans="1:30">
      <c r="A1833">
        <v>1831</v>
      </c>
      <c r="B1833">
        <v>33</v>
      </c>
      <c r="C1833">
        <v>1.86</v>
      </c>
      <c r="D1833">
        <v>3.79</v>
      </c>
      <c r="E1833">
        <v>0</v>
      </c>
      <c r="F1833">
        <v>1.569</v>
      </c>
      <c r="G1833">
        <v>0</v>
      </c>
      <c r="H1833">
        <v>0.17899999999999999</v>
      </c>
      <c r="I1833">
        <v>2.919</v>
      </c>
      <c r="K1833">
        <v>1831</v>
      </c>
      <c r="L1833">
        <v>33</v>
      </c>
      <c r="M1833" s="32">
        <v>1.86</v>
      </c>
      <c r="N1833" s="32">
        <v>3.79</v>
      </c>
      <c r="P1833" s="32">
        <v>1.569</v>
      </c>
      <c r="R1833" s="47">
        <v>0.18</v>
      </c>
      <c r="S1833" s="32">
        <v>2.919</v>
      </c>
      <c r="T1833" s="31">
        <v>0</v>
      </c>
      <c r="V1833">
        <v>1831</v>
      </c>
      <c r="W1833">
        <v>31</v>
      </c>
      <c r="X1833">
        <v>1.8720000000000001</v>
      </c>
      <c r="Y1833" s="32">
        <v>3.79</v>
      </c>
      <c r="Z1833">
        <v>0</v>
      </c>
      <c r="AA1833" s="32">
        <v>1.474</v>
      </c>
      <c r="AB1833">
        <v>0</v>
      </c>
      <c r="AC1833" s="34">
        <v>0.17299999999999999</v>
      </c>
      <c r="AD1833" s="32">
        <v>2.7589999999999999</v>
      </c>
    </row>
    <row r="1834" spans="1:30">
      <c r="A1834">
        <v>1832</v>
      </c>
      <c r="B1834">
        <v>33</v>
      </c>
      <c r="C1834">
        <v>1.861</v>
      </c>
      <c r="D1834">
        <v>3.79</v>
      </c>
      <c r="E1834">
        <v>0</v>
      </c>
      <c r="F1834">
        <v>1.569</v>
      </c>
      <c r="G1834">
        <v>0</v>
      </c>
      <c r="H1834">
        <v>0.17899999999999999</v>
      </c>
      <c r="I1834">
        <v>2.9620000000000002</v>
      </c>
      <c r="K1834">
        <v>1832</v>
      </c>
      <c r="L1834">
        <v>33</v>
      </c>
      <c r="M1834" s="32">
        <v>1.861</v>
      </c>
      <c r="N1834" s="32">
        <v>3.79</v>
      </c>
      <c r="P1834" s="32">
        <v>1.569</v>
      </c>
      <c r="R1834" s="47">
        <v>0.18</v>
      </c>
      <c r="S1834" s="47">
        <v>2.9209999999999998</v>
      </c>
      <c r="T1834" s="31">
        <v>0</v>
      </c>
      <c r="V1834">
        <v>1832</v>
      </c>
      <c r="W1834">
        <v>31</v>
      </c>
      <c r="X1834">
        <v>1.873</v>
      </c>
      <c r="Y1834" s="32">
        <v>3.79</v>
      </c>
      <c r="Z1834">
        <v>0</v>
      </c>
      <c r="AA1834" s="32">
        <v>1.474</v>
      </c>
      <c r="AB1834">
        <v>0</v>
      </c>
      <c r="AC1834" s="34">
        <v>0.17299999999999999</v>
      </c>
      <c r="AD1834" s="32">
        <v>2.7610000000000001</v>
      </c>
    </row>
    <row r="1835" spans="1:30">
      <c r="A1835">
        <v>1833</v>
      </c>
      <c r="B1835">
        <v>33</v>
      </c>
      <c r="C1835">
        <v>1.8620000000000001</v>
      </c>
      <c r="D1835">
        <v>3.79</v>
      </c>
      <c r="E1835">
        <v>0</v>
      </c>
      <c r="F1835">
        <v>1.569</v>
      </c>
      <c r="G1835">
        <v>0</v>
      </c>
      <c r="H1835">
        <v>0.17899999999999999</v>
      </c>
      <c r="I1835">
        <v>2.964</v>
      </c>
      <c r="K1835">
        <v>1833</v>
      </c>
      <c r="L1835">
        <v>33</v>
      </c>
      <c r="M1835" s="32">
        <v>1.8620000000000001</v>
      </c>
      <c r="N1835" s="32">
        <v>3.79</v>
      </c>
      <c r="P1835" s="47">
        <v>1.57</v>
      </c>
      <c r="R1835" s="47">
        <v>0.18</v>
      </c>
      <c r="S1835" s="47">
        <v>2.923</v>
      </c>
      <c r="T1835" s="31">
        <v>0</v>
      </c>
      <c r="V1835">
        <v>1833</v>
      </c>
      <c r="W1835">
        <v>31</v>
      </c>
      <c r="X1835">
        <v>1.8740000000000001</v>
      </c>
      <c r="Y1835" s="32">
        <v>3.79</v>
      </c>
      <c r="Z1835">
        <v>0</v>
      </c>
      <c r="AA1835" s="32">
        <v>1.474</v>
      </c>
      <c r="AB1835">
        <v>0</v>
      </c>
      <c r="AC1835" s="34">
        <v>0.17299999999999999</v>
      </c>
      <c r="AD1835" s="32">
        <v>2.7629999999999999</v>
      </c>
    </row>
    <row r="1836" spans="1:30">
      <c r="A1836">
        <v>1834</v>
      </c>
      <c r="B1836">
        <v>33</v>
      </c>
      <c r="C1836">
        <v>1.863</v>
      </c>
      <c r="D1836">
        <v>3.79</v>
      </c>
      <c r="E1836">
        <v>0</v>
      </c>
      <c r="F1836">
        <v>1.569</v>
      </c>
      <c r="G1836">
        <v>0</v>
      </c>
      <c r="H1836">
        <v>0.17899999999999999</v>
      </c>
      <c r="I1836">
        <v>2.9660000000000002</v>
      </c>
      <c r="K1836">
        <v>1834</v>
      </c>
      <c r="L1836">
        <v>33</v>
      </c>
      <c r="M1836" s="32">
        <v>1.863</v>
      </c>
      <c r="N1836" s="32">
        <v>3.79</v>
      </c>
      <c r="P1836" s="47">
        <v>1.57</v>
      </c>
      <c r="R1836" s="47">
        <v>0.18</v>
      </c>
      <c r="S1836" s="47">
        <v>2.9249999999999998</v>
      </c>
      <c r="T1836" s="31">
        <v>0</v>
      </c>
      <c r="V1836">
        <v>1834</v>
      </c>
      <c r="W1836">
        <v>31</v>
      </c>
      <c r="X1836">
        <v>1.875</v>
      </c>
      <c r="Y1836" s="32">
        <v>3.79</v>
      </c>
      <c r="Z1836">
        <v>0</v>
      </c>
      <c r="AA1836" s="32">
        <v>1.474</v>
      </c>
      <c r="AB1836">
        <v>0</v>
      </c>
      <c r="AC1836" s="34">
        <v>0.17299999999999999</v>
      </c>
      <c r="AD1836" s="32">
        <v>2.7650000000000001</v>
      </c>
    </row>
    <row r="1837" spans="1:30">
      <c r="A1837">
        <v>1835</v>
      </c>
      <c r="B1837">
        <v>33</v>
      </c>
      <c r="C1837">
        <v>1.8640000000000001</v>
      </c>
      <c r="D1837">
        <v>3.79</v>
      </c>
      <c r="E1837">
        <v>0</v>
      </c>
      <c r="F1837">
        <v>1.569</v>
      </c>
      <c r="G1837">
        <v>0</v>
      </c>
      <c r="H1837">
        <v>0.17899999999999999</v>
      </c>
      <c r="I1837">
        <v>2.968</v>
      </c>
      <c r="K1837">
        <v>1835</v>
      </c>
      <c r="L1837">
        <v>33</v>
      </c>
      <c r="M1837" s="32">
        <v>1.8640000000000001</v>
      </c>
      <c r="N1837" s="32">
        <v>3.79</v>
      </c>
      <c r="P1837" s="47">
        <v>1.57</v>
      </c>
      <c r="R1837" s="47">
        <v>0.18</v>
      </c>
      <c r="S1837" s="47">
        <v>2.927</v>
      </c>
      <c r="T1837" s="31">
        <v>0</v>
      </c>
      <c r="V1837">
        <v>1835</v>
      </c>
      <c r="W1837">
        <v>31</v>
      </c>
      <c r="X1837">
        <v>1.8759999999999999</v>
      </c>
      <c r="Y1837" s="32">
        <v>3.79</v>
      </c>
      <c r="Z1837">
        <v>0</v>
      </c>
      <c r="AA1837" s="32">
        <v>1.474</v>
      </c>
      <c r="AB1837">
        <v>0</v>
      </c>
      <c r="AC1837" s="34">
        <v>0.17299999999999999</v>
      </c>
      <c r="AD1837" s="32">
        <v>2.7669999999999999</v>
      </c>
    </row>
    <row r="1838" spans="1:30">
      <c r="A1838">
        <v>1836</v>
      </c>
      <c r="B1838">
        <v>33</v>
      </c>
      <c r="C1838">
        <v>1.865</v>
      </c>
      <c r="D1838">
        <v>3.79</v>
      </c>
      <c r="E1838">
        <v>0</v>
      </c>
      <c r="F1838">
        <v>1.569</v>
      </c>
      <c r="G1838">
        <v>0</v>
      </c>
      <c r="H1838">
        <v>0.17899999999999999</v>
      </c>
      <c r="I1838">
        <v>2.97</v>
      </c>
      <c r="K1838">
        <v>1836</v>
      </c>
      <c r="L1838">
        <v>33</v>
      </c>
      <c r="M1838" s="32">
        <v>1.865</v>
      </c>
      <c r="N1838" s="32">
        <v>3.79</v>
      </c>
      <c r="P1838" s="47">
        <v>1.571</v>
      </c>
      <c r="R1838" s="47">
        <v>0.18</v>
      </c>
      <c r="S1838" s="47">
        <v>2.9289999999999998</v>
      </c>
      <c r="T1838" s="31">
        <v>0</v>
      </c>
      <c r="V1838">
        <v>1836</v>
      </c>
      <c r="W1838">
        <v>31</v>
      </c>
      <c r="X1838">
        <v>1.877</v>
      </c>
      <c r="Y1838" s="32">
        <v>3.79</v>
      </c>
      <c r="Z1838">
        <v>0</v>
      </c>
      <c r="AA1838" s="32">
        <v>1.4750000000000001</v>
      </c>
      <c r="AB1838">
        <v>0</v>
      </c>
      <c r="AC1838" s="34">
        <v>0.17299999999999999</v>
      </c>
      <c r="AD1838" s="32">
        <v>2.7679999999999998</v>
      </c>
    </row>
    <row r="1839" spans="1:30">
      <c r="A1839">
        <v>1837</v>
      </c>
      <c r="B1839">
        <v>33</v>
      </c>
      <c r="C1839">
        <v>1.8660000000000001</v>
      </c>
      <c r="D1839">
        <v>3.79</v>
      </c>
      <c r="E1839">
        <v>0</v>
      </c>
      <c r="F1839">
        <v>1.569</v>
      </c>
      <c r="G1839">
        <v>0</v>
      </c>
      <c r="H1839">
        <v>0.17899999999999999</v>
      </c>
      <c r="I1839">
        <v>2.972</v>
      </c>
      <c r="K1839">
        <v>1837</v>
      </c>
      <c r="L1839">
        <v>33</v>
      </c>
      <c r="M1839" s="32">
        <v>1.8660000000000001</v>
      </c>
      <c r="N1839" s="32">
        <v>3.79</v>
      </c>
      <c r="P1839" s="47">
        <v>1.571</v>
      </c>
      <c r="R1839" s="47">
        <v>0.18</v>
      </c>
      <c r="S1839" s="47">
        <v>2.931</v>
      </c>
      <c r="T1839" s="31">
        <v>0</v>
      </c>
      <c r="V1839">
        <v>1837</v>
      </c>
      <c r="W1839">
        <v>31</v>
      </c>
      <c r="X1839">
        <v>1.8779999999999999</v>
      </c>
      <c r="Y1839" s="32">
        <v>3.79</v>
      </c>
      <c r="Z1839">
        <v>0</v>
      </c>
      <c r="AA1839" s="32">
        <v>1.4750000000000001</v>
      </c>
      <c r="AB1839">
        <v>0</v>
      </c>
      <c r="AC1839" s="34">
        <v>0.17299999999999999</v>
      </c>
      <c r="AD1839" s="32">
        <v>2.77</v>
      </c>
    </row>
    <row r="1840" spans="1:30">
      <c r="A1840">
        <v>1838</v>
      </c>
      <c r="B1840">
        <v>33</v>
      </c>
      <c r="C1840">
        <v>1.867</v>
      </c>
      <c r="D1840">
        <v>3.79</v>
      </c>
      <c r="E1840">
        <v>0</v>
      </c>
      <c r="F1840">
        <v>1.569</v>
      </c>
      <c r="G1840">
        <v>0</v>
      </c>
      <c r="H1840">
        <v>0.17899999999999999</v>
      </c>
      <c r="I1840">
        <v>2.9740000000000002</v>
      </c>
      <c r="K1840">
        <v>1838</v>
      </c>
      <c r="L1840">
        <v>33</v>
      </c>
      <c r="M1840" s="32">
        <v>1.867</v>
      </c>
      <c r="N1840" s="32">
        <v>3.79</v>
      </c>
      <c r="P1840" s="47">
        <v>1.571</v>
      </c>
      <c r="R1840" s="47">
        <v>0.18099999999999999</v>
      </c>
      <c r="S1840" s="47">
        <v>2.9329999999999998</v>
      </c>
      <c r="T1840" s="31">
        <v>0</v>
      </c>
      <c r="V1840">
        <v>1838</v>
      </c>
      <c r="W1840">
        <v>31</v>
      </c>
      <c r="X1840">
        <v>1.879</v>
      </c>
      <c r="Y1840" s="32">
        <v>3.79</v>
      </c>
      <c r="Z1840">
        <v>0</v>
      </c>
      <c r="AA1840" s="32">
        <v>1.4750000000000001</v>
      </c>
      <c r="AB1840">
        <v>0</v>
      </c>
      <c r="AC1840" s="34">
        <v>0.17299999999999999</v>
      </c>
      <c r="AD1840" s="32">
        <v>2.7719999999999998</v>
      </c>
    </row>
    <row r="1841" spans="1:30">
      <c r="A1841">
        <v>1839</v>
      </c>
      <c r="B1841">
        <v>33</v>
      </c>
      <c r="C1841">
        <v>1.8680000000000001</v>
      </c>
      <c r="D1841">
        <v>3.79</v>
      </c>
      <c r="E1841">
        <v>0</v>
      </c>
      <c r="F1841">
        <v>1.569</v>
      </c>
      <c r="G1841">
        <v>0</v>
      </c>
      <c r="H1841">
        <v>0.17899999999999999</v>
      </c>
      <c r="I1841">
        <v>2.976</v>
      </c>
      <c r="K1841">
        <v>1839</v>
      </c>
      <c r="L1841">
        <v>33</v>
      </c>
      <c r="M1841" s="32">
        <v>1.8680000000000001</v>
      </c>
      <c r="N1841" s="32">
        <v>3.79</v>
      </c>
      <c r="P1841" s="47">
        <v>1.571</v>
      </c>
      <c r="R1841" s="47">
        <v>0.18099999999999999</v>
      </c>
      <c r="S1841" s="47">
        <v>2.9350000000000001</v>
      </c>
      <c r="T1841" s="31">
        <v>0</v>
      </c>
      <c r="V1841">
        <v>1839</v>
      </c>
      <c r="W1841">
        <v>31</v>
      </c>
      <c r="X1841">
        <v>1.88</v>
      </c>
      <c r="Y1841" s="32">
        <v>3.79</v>
      </c>
      <c r="Z1841">
        <v>0</v>
      </c>
      <c r="AA1841" s="32">
        <v>1.4750000000000001</v>
      </c>
      <c r="AB1841">
        <v>0</v>
      </c>
      <c r="AC1841" s="34">
        <v>0.17299999999999999</v>
      </c>
      <c r="AD1841" s="32">
        <v>2.774</v>
      </c>
    </row>
    <row r="1842" spans="1:30">
      <c r="A1842">
        <v>1840</v>
      </c>
      <c r="B1842">
        <v>33</v>
      </c>
      <c r="C1842">
        <v>1.869</v>
      </c>
      <c r="D1842">
        <v>3.79</v>
      </c>
      <c r="E1842">
        <v>0</v>
      </c>
      <c r="F1842">
        <v>1.569</v>
      </c>
      <c r="G1842">
        <v>0</v>
      </c>
      <c r="H1842">
        <v>0.17899999999999999</v>
      </c>
      <c r="I1842">
        <v>2.9780000000000002</v>
      </c>
      <c r="K1842">
        <v>1840</v>
      </c>
      <c r="L1842">
        <v>33</v>
      </c>
      <c r="M1842" s="32">
        <v>1.869</v>
      </c>
      <c r="N1842" s="32">
        <v>3.79</v>
      </c>
      <c r="P1842" s="47">
        <v>1.5720000000000001</v>
      </c>
      <c r="R1842" s="47">
        <v>0.18099999999999999</v>
      </c>
      <c r="S1842" s="47">
        <v>2.9369999999999998</v>
      </c>
      <c r="T1842" s="31">
        <v>0</v>
      </c>
      <c r="V1842">
        <v>1840</v>
      </c>
      <c r="W1842">
        <v>31</v>
      </c>
      <c r="X1842">
        <v>1.881</v>
      </c>
      <c r="Y1842" s="32">
        <v>3.79</v>
      </c>
      <c r="Z1842">
        <v>0</v>
      </c>
      <c r="AA1842" s="32">
        <v>1.4750000000000001</v>
      </c>
      <c r="AB1842">
        <v>0</v>
      </c>
      <c r="AC1842" s="34">
        <v>0.17299999999999999</v>
      </c>
      <c r="AD1842" s="32">
        <v>2.7759999999999998</v>
      </c>
    </row>
    <row r="1843" spans="1:30">
      <c r="A1843">
        <v>1841</v>
      </c>
      <c r="B1843">
        <v>33</v>
      </c>
      <c r="C1843">
        <v>1.87</v>
      </c>
      <c r="D1843">
        <v>3.79</v>
      </c>
      <c r="E1843">
        <v>0</v>
      </c>
      <c r="F1843">
        <v>1.5720000000000001</v>
      </c>
      <c r="G1843">
        <v>0</v>
      </c>
      <c r="H1843">
        <v>0.17899999999999999</v>
      </c>
      <c r="I1843">
        <v>2.9390000000000001</v>
      </c>
      <c r="K1843">
        <v>1841</v>
      </c>
      <c r="L1843">
        <v>33</v>
      </c>
      <c r="M1843" s="32">
        <v>1.87</v>
      </c>
      <c r="N1843" s="32">
        <v>3.79</v>
      </c>
      <c r="P1843" s="32">
        <v>1.5720000000000001</v>
      </c>
      <c r="R1843" s="47">
        <v>0.18099999999999999</v>
      </c>
      <c r="S1843" s="32">
        <v>2.9390000000000001</v>
      </c>
      <c r="T1843" s="31">
        <v>0</v>
      </c>
      <c r="V1843">
        <v>1841</v>
      </c>
      <c r="W1843">
        <v>31</v>
      </c>
      <c r="X1843">
        <v>1.8819999999999999</v>
      </c>
      <c r="Y1843" s="32">
        <v>3.79</v>
      </c>
      <c r="Z1843">
        <v>0</v>
      </c>
      <c r="AA1843" s="32">
        <v>1.476</v>
      </c>
      <c r="AB1843">
        <v>0</v>
      </c>
      <c r="AC1843" s="34">
        <v>0.17299999999999999</v>
      </c>
      <c r="AD1843" s="32">
        <v>2.7770000000000001</v>
      </c>
    </row>
    <row r="1844" spans="1:30">
      <c r="A1844">
        <v>1842</v>
      </c>
      <c r="B1844">
        <v>33</v>
      </c>
      <c r="C1844">
        <v>1.871</v>
      </c>
      <c r="D1844">
        <v>3.79</v>
      </c>
      <c r="E1844">
        <v>0</v>
      </c>
      <c r="F1844">
        <v>1.5720000000000001</v>
      </c>
      <c r="G1844">
        <v>0</v>
      </c>
      <c r="H1844">
        <v>0.17899999999999999</v>
      </c>
      <c r="I1844">
        <v>3.0019999999999998</v>
      </c>
      <c r="K1844">
        <v>1842</v>
      </c>
      <c r="L1844">
        <v>33</v>
      </c>
      <c r="M1844" s="32">
        <v>1.871</v>
      </c>
      <c r="N1844" s="32">
        <v>3.79</v>
      </c>
      <c r="P1844" s="32">
        <v>1.5720000000000001</v>
      </c>
      <c r="R1844" s="47">
        <v>0.18099999999999999</v>
      </c>
      <c r="S1844" s="47">
        <v>2.9409999999999998</v>
      </c>
      <c r="T1844" s="31">
        <v>0</v>
      </c>
      <c r="V1844">
        <v>1842</v>
      </c>
      <c r="W1844">
        <v>31</v>
      </c>
      <c r="X1844">
        <v>1.883</v>
      </c>
      <c r="Y1844" s="32">
        <v>3.79</v>
      </c>
      <c r="Z1844">
        <v>0</v>
      </c>
      <c r="AA1844" s="32">
        <v>1.476</v>
      </c>
      <c r="AB1844">
        <v>0</v>
      </c>
      <c r="AC1844" s="34">
        <v>0.17299999999999999</v>
      </c>
      <c r="AD1844" s="32">
        <v>2.7789999999999999</v>
      </c>
    </row>
    <row r="1845" spans="1:30">
      <c r="A1845">
        <v>1843</v>
      </c>
      <c r="B1845">
        <v>33</v>
      </c>
      <c r="C1845">
        <v>1.8720000000000001</v>
      </c>
      <c r="D1845">
        <v>3.79</v>
      </c>
      <c r="E1845">
        <v>0</v>
      </c>
      <c r="F1845">
        <v>1.5720000000000001</v>
      </c>
      <c r="G1845">
        <v>0</v>
      </c>
      <c r="H1845">
        <v>0.17899999999999999</v>
      </c>
      <c r="I1845">
        <v>3.004</v>
      </c>
      <c r="K1845">
        <v>1843</v>
      </c>
      <c r="L1845">
        <v>33</v>
      </c>
      <c r="M1845" s="32">
        <v>1.8720000000000001</v>
      </c>
      <c r="N1845" s="32">
        <v>3.79</v>
      </c>
      <c r="P1845" s="32">
        <v>1.5720000000000001</v>
      </c>
      <c r="R1845" s="47">
        <v>0.18099999999999999</v>
      </c>
      <c r="S1845" s="47">
        <v>2.9430000000000001</v>
      </c>
      <c r="T1845" s="31">
        <v>0</v>
      </c>
      <c r="V1845">
        <v>1843</v>
      </c>
      <c r="W1845">
        <v>31</v>
      </c>
      <c r="X1845">
        <v>1.8839999999999999</v>
      </c>
      <c r="Y1845" s="32">
        <v>3.79</v>
      </c>
      <c r="Z1845">
        <v>0</v>
      </c>
      <c r="AA1845" s="32">
        <v>1.476</v>
      </c>
      <c r="AB1845">
        <v>0</v>
      </c>
      <c r="AC1845" s="34">
        <v>0.17299999999999999</v>
      </c>
      <c r="AD1845" s="32">
        <v>2.7810000000000001</v>
      </c>
    </row>
    <row r="1846" spans="1:30">
      <c r="A1846">
        <v>1844</v>
      </c>
      <c r="B1846">
        <v>33</v>
      </c>
      <c r="C1846">
        <v>1.873</v>
      </c>
      <c r="D1846">
        <v>3.79</v>
      </c>
      <c r="E1846">
        <v>0</v>
      </c>
      <c r="F1846">
        <v>1.5720000000000001</v>
      </c>
      <c r="G1846">
        <v>0</v>
      </c>
      <c r="H1846">
        <v>0.17899999999999999</v>
      </c>
      <c r="I1846">
        <v>3.0059999999999998</v>
      </c>
      <c r="K1846">
        <v>1844</v>
      </c>
      <c r="L1846">
        <v>33</v>
      </c>
      <c r="M1846" s="32">
        <v>1.873</v>
      </c>
      <c r="N1846" s="32">
        <v>3.79</v>
      </c>
      <c r="P1846" s="47">
        <v>1.573</v>
      </c>
      <c r="R1846" s="47">
        <v>0.18099999999999999</v>
      </c>
      <c r="S1846" s="47">
        <v>2.9449999999999998</v>
      </c>
      <c r="T1846" s="31">
        <v>0</v>
      </c>
      <c r="V1846">
        <v>1844</v>
      </c>
      <c r="W1846">
        <v>31</v>
      </c>
      <c r="X1846">
        <v>1.885</v>
      </c>
      <c r="Y1846" s="32">
        <v>3.79</v>
      </c>
      <c r="Z1846">
        <v>0</v>
      </c>
      <c r="AA1846" s="32">
        <v>1.476</v>
      </c>
      <c r="AB1846">
        <v>0</v>
      </c>
      <c r="AC1846" s="34">
        <v>0.17299999999999999</v>
      </c>
      <c r="AD1846" s="32">
        <v>2.7829999999999999</v>
      </c>
    </row>
    <row r="1847" spans="1:30">
      <c r="A1847">
        <v>1845</v>
      </c>
      <c r="B1847">
        <v>33</v>
      </c>
      <c r="C1847">
        <v>1.8740000000000001</v>
      </c>
      <c r="D1847">
        <v>3.79</v>
      </c>
      <c r="E1847">
        <v>0</v>
      </c>
      <c r="F1847">
        <v>1.5720000000000001</v>
      </c>
      <c r="G1847">
        <v>0</v>
      </c>
      <c r="H1847">
        <v>0.17899999999999999</v>
      </c>
      <c r="I1847">
        <v>3.0089999999999999</v>
      </c>
      <c r="K1847">
        <v>1845</v>
      </c>
      <c r="L1847">
        <v>33</v>
      </c>
      <c r="M1847" s="32">
        <v>1.8740000000000001</v>
      </c>
      <c r="N1847" s="32">
        <v>3.79</v>
      </c>
      <c r="P1847" s="47">
        <v>1.573</v>
      </c>
      <c r="R1847" s="47">
        <v>0.18099999999999999</v>
      </c>
      <c r="S1847" s="47">
        <v>2.9470000000000001</v>
      </c>
      <c r="T1847" s="31">
        <v>0</v>
      </c>
      <c r="V1847">
        <v>1845</v>
      </c>
      <c r="W1847">
        <v>31</v>
      </c>
      <c r="X1847">
        <v>1.8859999999999999</v>
      </c>
      <c r="Y1847" s="32">
        <v>3.79</v>
      </c>
      <c r="Z1847">
        <v>0</v>
      </c>
      <c r="AA1847" s="32">
        <v>1.476</v>
      </c>
      <c r="AB1847">
        <v>0</v>
      </c>
      <c r="AC1847" s="34">
        <v>0.17399999999999999</v>
      </c>
      <c r="AD1847" s="32">
        <v>2.7850000000000001</v>
      </c>
    </row>
    <row r="1848" spans="1:30">
      <c r="A1848">
        <v>1846</v>
      </c>
      <c r="B1848">
        <v>33</v>
      </c>
      <c r="C1848">
        <v>1.875</v>
      </c>
      <c r="D1848">
        <v>3.79</v>
      </c>
      <c r="E1848">
        <v>0</v>
      </c>
      <c r="F1848">
        <v>1.5720000000000001</v>
      </c>
      <c r="G1848">
        <v>0</v>
      </c>
      <c r="H1848">
        <v>0.17899999999999999</v>
      </c>
      <c r="I1848">
        <v>3.0110000000000001</v>
      </c>
      <c r="K1848">
        <v>1846</v>
      </c>
      <c r="L1848">
        <v>33</v>
      </c>
      <c r="M1848" s="32">
        <v>1.875</v>
      </c>
      <c r="N1848" s="32">
        <v>3.79</v>
      </c>
      <c r="P1848" s="47">
        <v>1.573</v>
      </c>
      <c r="R1848" s="47">
        <v>0.18099999999999999</v>
      </c>
      <c r="S1848" s="47">
        <v>2.9489999999999998</v>
      </c>
      <c r="T1848" s="31">
        <v>0</v>
      </c>
      <c r="V1848">
        <v>1846</v>
      </c>
      <c r="W1848">
        <v>31</v>
      </c>
      <c r="X1848">
        <v>1.887</v>
      </c>
      <c r="Y1848" s="32">
        <v>3.79</v>
      </c>
      <c r="Z1848">
        <v>0</v>
      </c>
      <c r="AA1848" s="32">
        <v>1.4770000000000001</v>
      </c>
      <c r="AB1848">
        <v>0</v>
      </c>
      <c r="AC1848" s="34">
        <v>0.17399999999999999</v>
      </c>
      <c r="AD1848" s="32">
        <v>2.7869999999999999</v>
      </c>
    </row>
    <row r="1849" spans="1:30">
      <c r="A1849">
        <v>1847</v>
      </c>
      <c r="B1849">
        <v>33</v>
      </c>
      <c r="C1849">
        <v>1.8759999999999999</v>
      </c>
      <c r="D1849">
        <v>3.79</v>
      </c>
      <c r="E1849">
        <v>0</v>
      </c>
      <c r="F1849">
        <v>1.5720000000000001</v>
      </c>
      <c r="G1849">
        <v>0</v>
      </c>
      <c r="H1849">
        <v>0.17899999999999999</v>
      </c>
      <c r="I1849">
        <v>3.0129999999999999</v>
      </c>
      <c r="K1849">
        <v>1847</v>
      </c>
      <c r="L1849">
        <v>33</v>
      </c>
      <c r="M1849" s="32">
        <v>1.8759999999999999</v>
      </c>
      <c r="N1849" s="32">
        <v>3.79</v>
      </c>
      <c r="P1849" s="47">
        <v>1.573</v>
      </c>
      <c r="R1849" s="47">
        <v>0.18099999999999999</v>
      </c>
      <c r="S1849" s="47">
        <v>2.9510000000000001</v>
      </c>
      <c r="T1849" s="31">
        <v>0</v>
      </c>
      <c r="V1849">
        <v>1847</v>
      </c>
      <c r="W1849">
        <v>31</v>
      </c>
      <c r="X1849">
        <v>1.8879999999999999</v>
      </c>
      <c r="Y1849" s="32">
        <v>3.79</v>
      </c>
      <c r="Z1849">
        <v>0</v>
      </c>
      <c r="AA1849" s="32">
        <v>1.4770000000000001</v>
      </c>
      <c r="AB1849">
        <v>0</v>
      </c>
      <c r="AC1849" s="34">
        <v>0.17399999999999999</v>
      </c>
      <c r="AD1849" s="32">
        <v>2.7879999999999998</v>
      </c>
    </row>
    <row r="1850" spans="1:30">
      <c r="A1850">
        <v>1848</v>
      </c>
      <c r="B1850">
        <v>33</v>
      </c>
      <c r="C1850">
        <v>1.877</v>
      </c>
      <c r="D1850">
        <v>3.79</v>
      </c>
      <c r="E1850">
        <v>0</v>
      </c>
      <c r="F1850">
        <v>1.5720000000000001</v>
      </c>
      <c r="G1850">
        <v>0</v>
      </c>
      <c r="H1850">
        <v>0.17899999999999999</v>
      </c>
      <c r="I1850">
        <v>3.0150000000000001</v>
      </c>
      <c r="K1850">
        <v>1848</v>
      </c>
      <c r="L1850">
        <v>33</v>
      </c>
      <c r="M1850" s="32">
        <v>1.877</v>
      </c>
      <c r="N1850" s="32">
        <v>3.79</v>
      </c>
      <c r="P1850" s="47">
        <v>1.573</v>
      </c>
      <c r="R1850" s="47">
        <v>0.18099999999999999</v>
      </c>
      <c r="S1850" s="47">
        <v>2.9529999999999998</v>
      </c>
      <c r="T1850" s="31">
        <v>0</v>
      </c>
      <c r="V1850">
        <v>1848</v>
      </c>
      <c r="W1850">
        <v>31</v>
      </c>
      <c r="X1850">
        <v>1.889</v>
      </c>
      <c r="Y1850" s="32">
        <v>3.79</v>
      </c>
      <c r="Z1850">
        <v>0</v>
      </c>
      <c r="AA1850" s="32">
        <v>1.4770000000000001</v>
      </c>
      <c r="AB1850">
        <v>0</v>
      </c>
      <c r="AC1850" s="34">
        <v>0.17399999999999999</v>
      </c>
      <c r="AD1850" s="32">
        <v>2.79</v>
      </c>
    </row>
    <row r="1851" spans="1:30">
      <c r="A1851">
        <v>1849</v>
      </c>
      <c r="B1851">
        <v>33</v>
      </c>
      <c r="C1851">
        <v>1.8779999999999999</v>
      </c>
      <c r="D1851">
        <v>3.79</v>
      </c>
      <c r="E1851">
        <v>0</v>
      </c>
      <c r="F1851">
        <v>1.5720000000000001</v>
      </c>
      <c r="G1851">
        <v>0</v>
      </c>
      <c r="H1851">
        <v>0.17899999999999999</v>
      </c>
      <c r="I1851">
        <v>3.0169999999999999</v>
      </c>
      <c r="K1851">
        <v>1849</v>
      </c>
      <c r="L1851">
        <v>33</v>
      </c>
      <c r="M1851" s="32">
        <v>1.8779999999999999</v>
      </c>
      <c r="N1851" s="32">
        <v>3.79</v>
      </c>
      <c r="P1851" s="47">
        <v>1.5740000000000001</v>
      </c>
      <c r="R1851" s="47">
        <v>0.18099999999999999</v>
      </c>
      <c r="S1851" s="47">
        <v>2.9550000000000001</v>
      </c>
      <c r="T1851" s="31">
        <v>0</v>
      </c>
      <c r="V1851">
        <v>1849</v>
      </c>
      <c r="W1851">
        <v>31</v>
      </c>
      <c r="X1851">
        <v>1.89</v>
      </c>
      <c r="Y1851" s="32">
        <v>3.79</v>
      </c>
      <c r="Z1851">
        <v>0</v>
      </c>
      <c r="AA1851" s="32">
        <v>1.4770000000000001</v>
      </c>
      <c r="AB1851">
        <v>0</v>
      </c>
      <c r="AC1851" s="34">
        <v>0.17399999999999999</v>
      </c>
      <c r="AD1851" s="32">
        <v>2.7919999999999998</v>
      </c>
    </row>
    <row r="1852" spans="1:30">
      <c r="A1852">
        <v>1850</v>
      </c>
      <c r="B1852">
        <v>33</v>
      </c>
      <c r="C1852">
        <v>1.879</v>
      </c>
      <c r="D1852">
        <v>3.79</v>
      </c>
      <c r="E1852">
        <v>0</v>
      </c>
      <c r="F1852">
        <v>1.5720000000000001</v>
      </c>
      <c r="G1852">
        <v>0</v>
      </c>
      <c r="H1852">
        <v>0.17899999999999999</v>
      </c>
      <c r="I1852">
        <v>3.0190000000000001</v>
      </c>
      <c r="K1852">
        <v>1850</v>
      </c>
      <c r="L1852">
        <v>33</v>
      </c>
      <c r="M1852" s="32">
        <v>1.879</v>
      </c>
      <c r="N1852" s="32">
        <v>3.79</v>
      </c>
      <c r="P1852" s="47">
        <v>1.5740000000000001</v>
      </c>
      <c r="R1852" s="47">
        <v>0.18099999999999999</v>
      </c>
      <c r="S1852" s="47">
        <v>2.9569999999999999</v>
      </c>
      <c r="T1852" s="31">
        <v>0</v>
      </c>
      <c r="V1852">
        <v>1850</v>
      </c>
      <c r="W1852">
        <v>31</v>
      </c>
      <c r="X1852">
        <v>1.891</v>
      </c>
      <c r="Y1852" s="32">
        <v>3.79</v>
      </c>
      <c r="Z1852">
        <v>0</v>
      </c>
      <c r="AA1852" s="32">
        <v>1.4770000000000001</v>
      </c>
      <c r="AB1852">
        <v>0</v>
      </c>
      <c r="AC1852" s="34">
        <v>0.17399999999999999</v>
      </c>
      <c r="AD1852" s="32">
        <v>2.794</v>
      </c>
    </row>
    <row r="1853" spans="1:30">
      <c r="A1853">
        <v>1851</v>
      </c>
      <c r="B1853">
        <v>33</v>
      </c>
      <c r="C1853">
        <v>1.88</v>
      </c>
      <c r="D1853">
        <v>3.79</v>
      </c>
      <c r="E1853">
        <v>0</v>
      </c>
      <c r="F1853">
        <v>1.5740000000000001</v>
      </c>
      <c r="G1853">
        <v>0</v>
      </c>
      <c r="H1853">
        <v>0.17899999999999999</v>
      </c>
      <c r="I1853">
        <v>3.0409999999999999</v>
      </c>
      <c r="K1853">
        <v>1851</v>
      </c>
      <c r="L1853">
        <v>33</v>
      </c>
      <c r="M1853" s="32">
        <v>1.88</v>
      </c>
      <c r="N1853" s="32">
        <v>3.79</v>
      </c>
      <c r="P1853" s="32">
        <v>1.5740000000000001</v>
      </c>
      <c r="R1853" s="47">
        <v>0.18099999999999999</v>
      </c>
      <c r="S1853" s="47">
        <v>2.9590000000000001</v>
      </c>
      <c r="T1853" s="31">
        <v>0</v>
      </c>
      <c r="V1853">
        <v>1851</v>
      </c>
      <c r="W1853">
        <v>31</v>
      </c>
      <c r="X1853">
        <v>1.8919999999999999</v>
      </c>
      <c r="Y1853" s="32">
        <v>3.79</v>
      </c>
      <c r="Z1853">
        <v>0</v>
      </c>
      <c r="AA1853" s="32">
        <v>1.4770000000000001</v>
      </c>
      <c r="AB1853">
        <v>0</v>
      </c>
      <c r="AC1853" s="34">
        <v>0.17399999999999999</v>
      </c>
      <c r="AD1853" s="32">
        <v>2.7959999999999998</v>
      </c>
    </row>
    <row r="1854" spans="1:30">
      <c r="A1854">
        <v>1852</v>
      </c>
      <c r="B1854">
        <v>33</v>
      </c>
      <c r="C1854">
        <v>1.881</v>
      </c>
      <c r="D1854">
        <v>3.79</v>
      </c>
      <c r="E1854">
        <v>0</v>
      </c>
      <c r="F1854">
        <v>1.5740000000000001</v>
      </c>
      <c r="G1854">
        <v>0</v>
      </c>
      <c r="H1854">
        <v>0.17899999999999999</v>
      </c>
      <c r="I1854">
        <v>3.0430000000000001</v>
      </c>
      <c r="K1854">
        <v>1852</v>
      </c>
      <c r="L1854">
        <v>33</v>
      </c>
      <c r="M1854" s="32">
        <v>1.881</v>
      </c>
      <c r="N1854" s="32">
        <v>3.79</v>
      </c>
      <c r="P1854" s="32">
        <v>1.5740000000000001</v>
      </c>
      <c r="R1854" s="47">
        <v>0.18099999999999999</v>
      </c>
      <c r="S1854" s="47">
        <v>2.9609999999999999</v>
      </c>
      <c r="T1854" s="31">
        <v>0</v>
      </c>
      <c r="V1854">
        <v>1852</v>
      </c>
      <c r="W1854">
        <v>31</v>
      </c>
      <c r="X1854">
        <v>1.893</v>
      </c>
      <c r="Y1854" s="32">
        <v>3.79</v>
      </c>
      <c r="Z1854">
        <v>0</v>
      </c>
      <c r="AA1854" s="32">
        <v>1.478</v>
      </c>
      <c r="AB1854">
        <v>0</v>
      </c>
      <c r="AC1854" s="34">
        <v>0.17399999999999999</v>
      </c>
      <c r="AD1854" s="32">
        <v>2.7970000000000002</v>
      </c>
    </row>
    <row r="1855" spans="1:30">
      <c r="A1855">
        <v>1853</v>
      </c>
      <c r="B1855">
        <v>33</v>
      </c>
      <c r="C1855">
        <v>1.8819999999999999</v>
      </c>
      <c r="D1855">
        <v>3.79</v>
      </c>
      <c r="E1855">
        <v>0</v>
      </c>
      <c r="F1855">
        <v>1.5740000000000001</v>
      </c>
      <c r="G1855">
        <v>0</v>
      </c>
      <c r="H1855">
        <v>0.17899999999999999</v>
      </c>
      <c r="I1855">
        <v>3.0449999999999999</v>
      </c>
      <c r="K1855">
        <v>1853</v>
      </c>
      <c r="L1855">
        <v>33</v>
      </c>
      <c r="M1855" s="32">
        <v>1.8819999999999999</v>
      </c>
      <c r="N1855" s="32">
        <v>3.79</v>
      </c>
      <c r="P1855" s="47">
        <v>1.575</v>
      </c>
      <c r="R1855" s="47">
        <v>0.18099999999999999</v>
      </c>
      <c r="S1855" s="47">
        <v>2.9630000000000001</v>
      </c>
      <c r="T1855" s="31">
        <v>0</v>
      </c>
      <c r="V1855">
        <v>1853</v>
      </c>
      <c r="W1855">
        <v>31</v>
      </c>
      <c r="X1855">
        <v>1.8939999999999999</v>
      </c>
      <c r="Y1855" s="32">
        <v>3.79</v>
      </c>
      <c r="Z1855">
        <v>0</v>
      </c>
      <c r="AA1855" s="32">
        <v>1.478</v>
      </c>
      <c r="AB1855">
        <v>0</v>
      </c>
      <c r="AC1855" s="34">
        <v>0.17399999999999999</v>
      </c>
      <c r="AD1855" s="32">
        <v>2.7989999999999999</v>
      </c>
    </row>
    <row r="1856" spans="1:30">
      <c r="A1856">
        <v>1854</v>
      </c>
      <c r="B1856">
        <v>33</v>
      </c>
      <c r="C1856">
        <v>1.883</v>
      </c>
      <c r="D1856">
        <v>3.79</v>
      </c>
      <c r="E1856">
        <v>0</v>
      </c>
      <c r="F1856">
        <v>1.5740000000000001</v>
      </c>
      <c r="G1856">
        <v>0</v>
      </c>
      <c r="H1856">
        <v>0.17899999999999999</v>
      </c>
      <c r="I1856">
        <v>3.0470000000000002</v>
      </c>
      <c r="K1856">
        <v>1854</v>
      </c>
      <c r="L1856">
        <v>33</v>
      </c>
      <c r="M1856" s="32">
        <v>1.883</v>
      </c>
      <c r="N1856" s="32">
        <v>3.79</v>
      </c>
      <c r="P1856" s="47">
        <v>1.575</v>
      </c>
      <c r="R1856" s="47">
        <v>0.18099999999999999</v>
      </c>
      <c r="S1856" s="47">
        <v>2.9649999999999999</v>
      </c>
      <c r="T1856" s="31">
        <v>0</v>
      </c>
      <c r="V1856">
        <v>1854</v>
      </c>
      <c r="W1856">
        <v>32</v>
      </c>
      <c r="X1856">
        <v>1.895</v>
      </c>
      <c r="Y1856" s="32">
        <v>3.79</v>
      </c>
      <c r="Z1856">
        <v>0</v>
      </c>
      <c r="AA1856" s="32">
        <v>1.478</v>
      </c>
      <c r="AB1856">
        <v>0</v>
      </c>
      <c r="AC1856" s="34">
        <v>0.17399999999999999</v>
      </c>
      <c r="AD1856" s="32">
        <v>2.8010000000000002</v>
      </c>
    </row>
    <row r="1857" spans="1:30">
      <c r="A1857">
        <v>1855</v>
      </c>
      <c r="B1857">
        <v>33</v>
      </c>
      <c r="C1857">
        <v>1.8839999999999999</v>
      </c>
      <c r="D1857">
        <v>3.79</v>
      </c>
      <c r="E1857">
        <v>0</v>
      </c>
      <c r="F1857">
        <v>1.5740000000000001</v>
      </c>
      <c r="G1857">
        <v>0</v>
      </c>
      <c r="H1857">
        <v>0.17899999999999999</v>
      </c>
      <c r="I1857">
        <v>3.0489999999999999</v>
      </c>
      <c r="K1857">
        <v>1855</v>
      </c>
      <c r="L1857">
        <v>33</v>
      </c>
      <c r="M1857" s="32">
        <v>1.8839999999999999</v>
      </c>
      <c r="N1857" s="32">
        <v>3.79</v>
      </c>
      <c r="P1857" s="47">
        <v>1.575</v>
      </c>
      <c r="R1857" s="47">
        <v>0.18099999999999999</v>
      </c>
      <c r="S1857" s="47">
        <v>2.9670000000000001</v>
      </c>
      <c r="T1857" s="31">
        <v>0</v>
      </c>
      <c r="V1857">
        <v>1855</v>
      </c>
      <c r="W1857">
        <v>32</v>
      </c>
      <c r="X1857">
        <v>1.8959999999999999</v>
      </c>
      <c r="Y1857" s="32">
        <v>3.79</v>
      </c>
      <c r="Z1857">
        <v>0</v>
      </c>
      <c r="AA1857" s="32">
        <v>1.478</v>
      </c>
      <c r="AB1857">
        <v>0</v>
      </c>
      <c r="AC1857" s="34">
        <v>0.17399999999999999</v>
      </c>
      <c r="AD1857" s="32">
        <v>2.8029999999999999</v>
      </c>
    </row>
    <row r="1858" spans="1:30">
      <c r="A1858">
        <v>1856</v>
      </c>
      <c r="B1858">
        <v>33</v>
      </c>
      <c r="C1858">
        <v>1.885</v>
      </c>
      <c r="D1858">
        <v>3.79</v>
      </c>
      <c r="E1858">
        <v>0</v>
      </c>
      <c r="F1858">
        <v>1.5740000000000001</v>
      </c>
      <c r="G1858">
        <v>0</v>
      </c>
      <c r="H1858">
        <v>0.17899999999999999</v>
      </c>
      <c r="I1858">
        <v>3.0510000000000002</v>
      </c>
      <c r="K1858">
        <v>1856</v>
      </c>
      <c r="L1858">
        <v>33</v>
      </c>
      <c r="M1858" s="32">
        <v>1.885</v>
      </c>
      <c r="N1858" s="32">
        <v>3.79</v>
      </c>
      <c r="P1858" s="47">
        <v>1.5760000000000001</v>
      </c>
      <c r="R1858" s="47">
        <v>0.182</v>
      </c>
      <c r="S1858" s="47">
        <v>2.97</v>
      </c>
      <c r="T1858" s="31">
        <v>0</v>
      </c>
      <c r="V1858">
        <v>1856</v>
      </c>
      <c r="W1858">
        <v>32</v>
      </c>
      <c r="X1858">
        <v>1.897</v>
      </c>
      <c r="Y1858" s="32">
        <v>3.79</v>
      </c>
      <c r="Z1858">
        <v>0</v>
      </c>
      <c r="AA1858" s="32">
        <v>1.478</v>
      </c>
      <c r="AB1858">
        <v>0</v>
      </c>
      <c r="AC1858" s="34">
        <v>0.17399999999999999</v>
      </c>
      <c r="AD1858" s="32">
        <v>2.8050000000000002</v>
      </c>
    </row>
    <row r="1859" spans="1:30">
      <c r="A1859">
        <v>1857</v>
      </c>
      <c r="B1859">
        <v>33</v>
      </c>
      <c r="C1859">
        <v>1.8859999999999999</v>
      </c>
      <c r="D1859">
        <v>3.79</v>
      </c>
      <c r="E1859">
        <v>0</v>
      </c>
      <c r="F1859">
        <v>1.5740000000000001</v>
      </c>
      <c r="G1859">
        <v>0</v>
      </c>
      <c r="H1859">
        <v>0.17899999999999999</v>
      </c>
      <c r="I1859">
        <v>3.0529999999999999</v>
      </c>
      <c r="K1859">
        <v>1857</v>
      </c>
      <c r="L1859">
        <v>33</v>
      </c>
      <c r="M1859" s="32">
        <v>1.8859999999999999</v>
      </c>
      <c r="N1859" s="32">
        <v>3.79</v>
      </c>
      <c r="P1859" s="47">
        <v>1.5760000000000001</v>
      </c>
      <c r="R1859" s="47">
        <v>0.182</v>
      </c>
      <c r="S1859" s="47">
        <v>2.972</v>
      </c>
      <c r="T1859" s="31">
        <v>0</v>
      </c>
      <c r="V1859">
        <v>1857</v>
      </c>
      <c r="W1859">
        <v>32</v>
      </c>
      <c r="X1859">
        <v>1.8979999999999999</v>
      </c>
      <c r="Y1859" s="32">
        <v>3.79</v>
      </c>
      <c r="Z1859">
        <v>0</v>
      </c>
      <c r="AA1859" s="32">
        <v>1.4790000000000001</v>
      </c>
      <c r="AB1859">
        <v>0</v>
      </c>
      <c r="AC1859" s="34">
        <v>0.17399999999999999</v>
      </c>
      <c r="AD1859" s="32">
        <v>2.8069999999999999</v>
      </c>
    </row>
    <row r="1860" spans="1:30">
      <c r="A1860">
        <v>1858</v>
      </c>
      <c r="B1860">
        <v>33</v>
      </c>
      <c r="C1860">
        <v>1.887</v>
      </c>
      <c r="D1860">
        <v>3.79</v>
      </c>
      <c r="E1860">
        <v>0</v>
      </c>
      <c r="F1860">
        <v>1.5740000000000001</v>
      </c>
      <c r="G1860">
        <v>0</v>
      </c>
      <c r="H1860">
        <v>0.17899999999999999</v>
      </c>
      <c r="I1860">
        <v>3.0550000000000002</v>
      </c>
      <c r="K1860">
        <v>1858</v>
      </c>
      <c r="L1860">
        <v>33</v>
      </c>
      <c r="M1860" s="32">
        <v>1.887</v>
      </c>
      <c r="N1860" s="32">
        <v>3.79</v>
      </c>
      <c r="P1860" s="47">
        <v>1.5760000000000001</v>
      </c>
      <c r="R1860" s="47">
        <v>0.182</v>
      </c>
      <c r="S1860" s="47">
        <v>2.9740000000000002</v>
      </c>
      <c r="T1860" s="31">
        <v>0</v>
      </c>
      <c r="V1860">
        <v>1858</v>
      </c>
      <c r="W1860">
        <v>32</v>
      </c>
      <c r="X1860">
        <v>1.899</v>
      </c>
      <c r="Y1860" s="32">
        <v>3.79</v>
      </c>
      <c r="Z1860">
        <v>0</v>
      </c>
      <c r="AA1860" s="32">
        <v>1.4790000000000001</v>
      </c>
      <c r="AB1860">
        <v>0</v>
      </c>
      <c r="AC1860" s="34">
        <v>0.17399999999999999</v>
      </c>
      <c r="AD1860" s="32">
        <v>2.8079999999999998</v>
      </c>
    </row>
    <row r="1861" spans="1:30">
      <c r="A1861">
        <v>1859</v>
      </c>
      <c r="B1861">
        <v>33</v>
      </c>
      <c r="C1861">
        <v>1.8879999999999999</v>
      </c>
      <c r="D1861">
        <v>3.79</v>
      </c>
      <c r="E1861">
        <v>0</v>
      </c>
      <c r="F1861">
        <v>1.5740000000000001</v>
      </c>
      <c r="G1861">
        <v>0</v>
      </c>
      <c r="H1861">
        <v>0.17899999999999999</v>
      </c>
      <c r="I1861">
        <v>3.0569999999999999</v>
      </c>
      <c r="K1861">
        <v>1859</v>
      </c>
      <c r="L1861">
        <v>33</v>
      </c>
      <c r="M1861" s="32">
        <v>1.8879999999999999</v>
      </c>
      <c r="N1861" s="32">
        <v>3.79</v>
      </c>
      <c r="P1861" s="47">
        <v>1.5760000000000001</v>
      </c>
      <c r="R1861" s="47">
        <v>0.182</v>
      </c>
      <c r="S1861" s="47">
        <v>2.976</v>
      </c>
      <c r="T1861" s="31">
        <v>0</v>
      </c>
      <c r="V1861">
        <v>1859</v>
      </c>
      <c r="W1861">
        <v>32</v>
      </c>
      <c r="X1861">
        <v>1.9</v>
      </c>
      <c r="Y1861" s="32">
        <v>3.79</v>
      </c>
      <c r="Z1861">
        <v>0</v>
      </c>
      <c r="AA1861" s="32">
        <v>1.4790000000000001</v>
      </c>
      <c r="AB1861">
        <v>0</v>
      </c>
      <c r="AC1861" s="34">
        <v>0.17399999999999999</v>
      </c>
      <c r="AD1861" s="32">
        <v>2.81</v>
      </c>
    </row>
    <row r="1862" spans="1:30">
      <c r="A1862">
        <v>1860</v>
      </c>
      <c r="B1862">
        <v>33</v>
      </c>
      <c r="C1862">
        <v>1.889</v>
      </c>
      <c r="D1862">
        <v>3.79</v>
      </c>
      <c r="E1862">
        <v>0</v>
      </c>
      <c r="F1862">
        <v>1.5740000000000001</v>
      </c>
      <c r="G1862">
        <v>0</v>
      </c>
      <c r="H1862">
        <v>0.17899999999999999</v>
      </c>
      <c r="I1862">
        <v>3.0590000000000002</v>
      </c>
      <c r="K1862">
        <v>1860</v>
      </c>
      <c r="L1862">
        <v>33</v>
      </c>
      <c r="M1862" s="32">
        <v>1.889</v>
      </c>
      <c r="N1862" s="32">
        <v>3.79</v>
      </c>
      <c r="P1862" s="47">
        <v>1.577</v>
      </c>
      <c r="R1862" s="47">
        <v>0.182</v>
      </c>
      <c r="S1862" s="47">
        <v>2.9780000000000002</v>
      </c>
      <c r="T1862" s="31">
        <v>0</v>
      </c>
      <c r="V1862">
        <v>1860</v>
      </c>
      <c r="W1862">
        <v>32</v>
      </c>
      <c r="X1862">
        <v>1.901</v>
      </c>
      <c r="Y1862" s="32">
        <v>3.79</v>
      </c>
      <c r="Z1862">
        <v>0</v>
      </c>
      <c r="AA1862" s="32">
        <v>1.4790000000000001</v>
      </c>
      <c r="AB1862">
        <v>0</v>
      </c>
      <c r="AC1862" s="34">
        <v>0.17399999999999999</v>
      </c>
      <c r="AD1862" s="32">
        <v>2.8119999999999998</v>
      </c>
    </row>
    <row r="1863" spans="1:30">
      <c r="A1863">
        <v>1861</v>
      </c>
      <c r="B1863">
        <v>33</v>
      </c>
      <c r="C1863">
        <v>1.89</v>
      </c>
      <c r="D1863">
        <v>3.79</v>
      </c>
      <c r="E1863">
        <v>0</v>
      </c>
      <c r="F1863">
        <v>1.577</v>
      </c>
      <c r="G1863">
        <v>0</v>
      </c>
      <c r="H1863">
        <v>0.17899999999999999</v>
      </c>
      <c r="I1863">
        <v>3.0819999999999999</v>
      </c>
      <c r="K1863">
        <v>1861</v>
      </c>
      <c r="L1863">
        <v>33</v>
      </c>
      <c r="M1863" s="32">
        <v>1.89</v>
      </c>
      <c r="N1863" s="32">
        <v>3.79</v>
      </c>
      <c r="P1863" s="32">
        <v>1.577</v>
      </c>
      <c r="R1863" s="47">
        <v>0.182</v>
      </c>
      <c r="S1863" s="47">
        <v>2.98</v>
      </c>
      <c r="T1863" s="31">
        <v>0</v>
      </c>
      <c r="V1863">
        <v>1861</v>
      </c>
      <c r="W1863">
        <v>32</v>
      </c>
      <c r="X1863">
        <v>1.9019999999999999</v>
      </c>
      <c r="Y1863" s="32">
        <v>3.79</v>
      </c>
      <c r="Z1863">
        <v>0</v>
      </c>
      <c r="AA1863" s="32">
        <v>1.4790000000000001</v>
      </c>
      <c r="AB1863">
        <v>0</v>
      </c>
      <c r="AC1863" s="34">
        <v>0.17399999999999999</v>
      </c>
      <c r="AD1863" s="32">
        <v>2.8140000000000001</v>
      </c>
    </row>
    <row r="1864" spans="1:30">
      <c r="A1864">
        <v>1862</v>
      </c>
      <c r="B1864">
        <v>33</v>
      </c>
      <c r="C1864">
        <v>1.891</v>
      </c>
      <c r="D1864">
        <v>3.79</v>
      </c>
      <c r="E1864">
        <v>0</v>
      </c>
      <c r="F1864">
        <v>1.577</v>
      </c>
      <c r="G1864">
        <v>0</v>
      </c>
      <c r="H1864">
        <v>0.17899999999999999</v>
      </c>
      <c r="I1864">
        <v>3.0840000000000001</v>
      </c>
      <c r="K1864">
        <v>1862</v>
      </c>
      <c r="L1864">
        <v>33</v>
      </c>
      <c r="M1864" s="32">
        <v>1.891</v>
      </c>
      <c r="N1864" s="32">
        <v>3.79</v>
      </c>
      <c r="P1864" s="32">
        <v>1.577</v>
      </c>
      <c r="R1864" s="47">
        <v>0.182</v>
      </c>
      <c r="S1864" s="47">
        <v>2.9820000000000002</v>
      </c>
      <c r="T1864" s="31">
        <v>0</v>
      </c>
      <c r="V1864">
        <v>1862</v>
      </c>
      <c r="W1864">
        <v>32</v>
      </c>
      <c r="X1864">
        <v>1.903</v>
      </c>
      <c r="Y1864" s="32">
        <v>3.79</v>
      </c>
      <c r="Z1864">
        <v>0</v>
      </c>
      <c r="AA1864" s="32">
        <v>1.4790000000000001</v>
      </c>
      <c r="AB1864">
        <v>0</v>
      </c>
      <c r="AC1864" s="34">
        <v>0.17399999999999999</v>
      </c>
      <c r="AD1864" s="32">
        <v>2.8159999999999998</v>
      </c>
    </row>
    <row r="1865" spans="1:30">
      <c r="A1865">
        <v>1863</v>
      </c>
      <c r="B1865">
        <v>33</v>
      </c>
      <c r="C1865">
        <v>1.8919999999999999</v>
      </c>
      <c r="D1865">
        <v>3.79</v>
      </c>
      <c r="E1865">
        <v>0</v>
      </c>
      <c r="F1865">
        <v>1.577</v>
      </c>
      <c r="G1865">
        <v>0</v>
      </c>
      <c r="H1865">
        <v>0.17899999999999999</v>
      </c>
      <c r="I1865">
        <v>3.0859999999999999</v>
      </c>
      <c r="K1865">
        <v>1863</v>
      </c>
      <c r="L1865">
        <v>33</v>
      </c>
      <c r="M1865" s="32">
        <v>1.8919999999999999</v>
      </c>
      <c r="N1865" s="32">
        <v>3.79</v>
      </c>
      <c r="P1865" s="32">
        <v>1.577</v>
      </c>
      <c r="R1865" s="47">
        <v>0.182</v>
      </c>
      <c r="S1865" s="47">
        <v>2.984</v>
      </c>
      <c r="T1865" s="31">
        <v>0</v>
      </c>
      <c r="V1865">
        <v>1863</v>
      </c>
      <c r="W1865">
        <v>32</v>
      </c>
      <c r="X1865">
        <v>1.9039999999999999</v>
      </c>
      <c r="Y1865" s="32">
        <v>3.79</v>
      </c>
      <c r="Z1865">
        <v>0</v>
      </c>
      <c r="AA1865" s="32">
        <v>1.48</v>
      </c>
      <c r="AB1865">
        <v>0</v>
      </c>
      <c r="AC1865" s="34">
        <v>0.17499999999999999</v>
      </c>
      <c r="AD1865" s="32">
        <v>2.8180000000000001</v>
      </c>
    </row>
    <row r="1866" spans="1:30">
      <c r="A1866">
        <v>1864</v>
      </c>
      <c r="B1866">
        <v>33</v>
      </c>
      <c r="C1866">
        <v>1.893</v>
      </c>
      <c r="D1866">
        <v>3.79</v>
      </c>
      <c r="E1866">
        <v>0</v>
      </c>
      <c r="F1866">
        <v>1.577</v>
      </c>
      <c r="G1866">
        <v>0</v>
      </c>
      <c r="H1866">
        <v>0.17899999999999999</v>
      </c>
      <c r="I1866">
        <v>3.0880000000000001</v>
      </c>
      <c r="K1866">
        <v>1864</v>
      </c>
      <c r="L1866">
        <v>33</v>
      </c>
      <c r="M1866" s="32">
        <v>1.893</v>
      </c>
      <c r="N1866" s="32">
        <v>3.79</v>
      </c>
      <c r="P1866" s="47">
        <v>1.5780000000000001</v>
      </c>
      <c r="R1866" s="47">
        <v>0.182</v>
      </c>
      <c r="S1866" s="47">
        <v>2.9860000000000002</v>
      </c>
      <c r="T1866" s="31">
        <v>0</v>
      </c>
      <c r="V1866">
        <v>1864</v>
      </c>
      <c r="W1866">
        <v>32</v>
      </c>
      <c r="X1866">
        <v>1.905</v>
      </c>
      <c r="Y1866" s="32">
        <v>3.79</v>
      </c>
      <c r="Z1866">
        <v>0</v>
      </c>
      <c r="AA1866" s="32">
        <v>1.48</v>
      </c>
      <c r="AB1866">
        <v>0</v>
      </c>
      <c r="AC1866" s="34">
        <v>0.17499999999999999</v>
      </c>
      <c r="AD1866" s="32">
        <v>2.819</v>
      </c>
    </row>
    <row r="1867" spans="1:30">
      <c r="A1867">
        <v>1865</v>
      </c>
      <c r="B1867">
        <v>33</v>
      </c>
      <c r="C1867">
        <v>1.8939999999999999</v>
      </c>
      <c r="D1867">
        <v>3.79</v>
      </c>
      <c r="E1867">
        <v>0</v>
      </c>
      <c r="F1867">
        <v>1.577</v>
      </c>
      <c r="G1867">
        <v>0</v>
      </c>
      <c r="H1867">
        <v>0.17899999999999999</v>
      </c>
      <c r="I1867">
        <v>3.09</v>
      </c>
      <c r="K1867">
        <v>1865</v>
      </c>
      <c r="L1867">
        <v>33</v>
      </c>
      <c r="M1867" s="32">
        <v>1.8939999999999999</v>
      </c>
      <c r="N1867" s="32">
        <v>3.79</v>
      </c>
      <c r="P1867" s="47">
        <v>1.5780000000000001</v>
      </c>
      <c r="R1867" s="47">
        <v>0.182</v>
      </c>
      <c r="S1867" s="47">
        <v>2.988</v>
      </c>
      <c r="T1867" s="31">
        <v>0</v>
      </c>
      <c r="V1867">
        <v>1865</v>
      </c>
      <c r="W1867">
        <v>32</v>
      </c>
      <c r="X1867">
        <v>1.9059999999999999</v>
      </c>
      <c r="Y1867" s="32">
        <v>3.79</v>
      </c>
      <c r="Z1867">
        <v>0</v>
      </c>
      <c r="AA1867" s="32">
        <v>1.48</v>
      </c>
      <c r="AB1867">
        <v>0</v>
      </c>
      <c r="AC1867" s="34">
        <v>0.17499999999999999</v>
      </c>
      <c r="AD1867" s="32">
        <v>2.8210000000000002</v>
      </c>
    </row>
    <row r="1868" spans="1:30">
      <c r="A1868">
        <v>1866</v>
      </c>
      <c r="B1868">
        <v>33</v>
      </c>
      <c r="C1868">
        <v>1.895</v>
      </c>
      <c r="D1868">
        <v>3.79</v>
      </c>
      <c r="E1868">
        <v>0</v>
      </c>
      <c r="F1868">
        <v>1.577</v>
      </c>
      <c r="G1868">
        <v>0</v>
      </c>
      <c r="H1868">
        <v>0.17899999999999999</v>
      </c>
      <c r="I1868">
        <v>3.0920000000000001</v>
      </c>
      <c r="K1868">
        <v>1866</v>
      </c>
      <c r="L1868">
        <v>33</v>
      </c>
      <c r="M1868" s="32">
        <v>1.895</v>
      </c>
      <c r="N1868" s="32">
        <v>3.79</v>
      </c>
      <c r="P1868" s="47">
        <v>1.5780000000000001</v>
      </c>
      <c r="R1868" s="47">
        <v>0.182</v>
      </c>
      <c r="S1868" s="47">
        <v>2.9910000000000001</v>
      </c>
      <c r="T1868" s="31">
        <v>0</v>
      </c>
      <c r="V1868">
        <v>1866</v>
      </c>
      <c r="W1868">
        <v>32</v>
      </c>
      <c r="X1868">
        <v>1.907</v>
      </c>
      <c r="Y1868" s="32">
        <v>3.79</v>
      </c>
      <c r="Z1868">
        <v>0</v>
      </c>
      <c r="AA1868" s="32">
        <v>1.48</v>
      </c>
      <c r="AB1868">
        <v>0</v>
      </c>
      <c r="AC1868" s="34">
        <v>0.17499999999999999</v>
      </c>
      <c r="AD1868" s="32">
        <v>2.823</v>
      </c>
    </row>
    <row r="1869" spans="1:30">
      <c r="A1869">
        <v>1867</v>
      </c>
      <c r="B1869">
        <v>33</v>
      </c>
      <c r="C1869">
        <v>1.8959999999999999</v>
      </c>
      <c r="D1869">
        <v>3.79</v>
      </c>
      <c r="E1869">
        <v>0</v>
      </c>
      <c r="F1869">
        <v>1.577</v>
      </c>
      <c r="G1869">
        <v>0</v>
      </c>
      <c r="H1869">
        <v>0.17899999999999999</v>
      </c>
      <c r="I1869">
        <v>3.0939999999999999</v>
      </c>
      <c r="K1869">
        <v>1867</v>
      </c>
      <c r="L1869">
        <v>33</v>
      </c>
      <c r="M1869" s="32">
        <v>1.8959999999999999</v>
      </c>
      <c r="N1869" s="32">
        <v>3.79</v>
      </c>
      <c r="P1869" s="47">
        <v>1.5780000000000001</v>
      </c>
      <c r="R1869" s="47">
        <v>0.182</v>
      </c>
      <c r="S1869" s="47">
        <v>2.9929999999999999</v>
      </c>
      <c r="T1869" s="31">
        <v>0</v>
      </c>
      <c r="V1869">
        <v>1867</v>
      </c>
      <c r="W1869">
        <v>32</v>
      </c>
      <c r="X1869">
        <v>1.9079999999999999</v>
      </c>
      <c r="Y1869" s="32">
        <v>3.79</v>
      </c>
      <c r="Z1869">
        <v>0</v>
      </c>
      <c r="AA1869" s="32">
        <v>1.48</v>
      </c>
      <c r="AB1869">
        <v>0</v>
      </c>
      <c r="AC1869" s="34">
        <v>0.17499999999999999</v>
      </c>
      <c r="AD1869" s="32">
        <v>2.8250000000000002</v>
      </c>
    </row>
    <row r="1870" spans="1:30">
      <c r="A1870">
        <v>1868</v>
      </c>
      <c r="B1870">
        <v>33</v>
      </c>
      <c r="C1870">
        <v>1.897</v>
      </c>
      <c r="D1870">
        <v>3.79</v>
      </c>
      <c r="E1870">
        <v>0</v>
      </c>
      <c r="F1870">
        <v>1.577</v>
      </c>
      <c r="G1870">
        <v>0</v>
      </c>
      <c r="H1870">
        <v>0.17899999999999999</v>
      </c>
      <c r="I1870">
        <v>3.097</v>
      </c>
      <c r="K1870">
        <v>1868</v>
      </c>
      <c r="L1870">
        <v>33</v>
      </c>
      <c r="M1870" s="32">
        <v>1.897</v>
      </c>
      <c r="N1870" s="32">
        <v>3.79</v>
      </c>
      <c r="P1870" s="47">
        <v>1.5780000000000001</v>
      </c>
      <c r="R1870" s="47">
        <v>0.182</v>
      </c>
      <c r="S1870" s="47">
        <v>2.9950000000000001</v>
      </c>
      <c r="T1870" s="31">
        <v>0</v>
      </c>
      <c r="V1870">
        <v>1868</v>
      </c>
      <c r="W1870">
        <v>32</v>
      </c>
      <c r="X1870">
        <v>1.909</v>
      </c>
      <c r="Y1870" s="32">
        <v>3.79</v>
      </c>
      <c r="Z1870">
        <v>0</v>
      </c>
      <c r="AA1870" s="32">
        <v>1.4810000000000001</v>
      </c>
      <c r="AB1870">
        <v>0</v>
      </c>
      <c r="AC1870" s="34">
        <v>0.17499999999999999</v>
      </c>
      <c r="AD1870" s="32">
        <v>2.827</v>
      </c>
    </row>
    <row r="1871" spans="1:30">
      <c r="A1871">
        <v>1869</v>
      </c>
      <c r="B1871">
        <v>33</v>
      </c>
      <c r="C1871">
        <v>1.8979999999999999</v>
      </c>
      <c r="D1871">
        <v>3.79</v>
      </c>
      <c r="E1871">
        <v>0</v>
      </c>
      <c r="F1871">
        <v>1.577</v>
      </c>
      <c r="G1871">
        <v>0</v>
      </c>
      <c r="H1871">
        <v>0.17899999999999999</v>
      </c>
      <c r="I1871">
        <v>3.0990000000000002</v>
      </c>
      <c r="K1871">
        <v>1869</v>
      </c>
      <c r="L1871">
        <v>33</v>
      </c>
      <c r="M1871" s="32">
        <v>1.8979999999999999</v>
      </c>
      <c r="N1871" s="32">
        <v>3.79</v>
      </c>
      <c r="P1871" s="47">
        <v>1.579</v>
      </c>
      <c r="R1871" s="47">
        <v>0.182</v>
      </c>
      <c r="S1871" s="47">
        <v>2.9969999999999999</v>
      </c>
      <c r="T1871" s="31">
        <v>0</v>
      </c>
      <c r="V1871">
        <v>1869</v>
      </c>
      <c r="W1871">
        <v>32</v>
      </c>
      <c r="X1871">
        <v>1.91</v>
      </c>
      <c r="Y1871" s="32">
        <v>3.79</v>
      </c>
      <c r="Z1871">
        <v>0</v>
      </c>
      <c r="AA1871" s="32">
        <v>1.4810000000000001</v>
      </c>
      <c r="AB1871">
        <v>0</v>
      </c>
      <c r="AC1871" s="34">
        <v>0.17499999999999999</v>
      </c>
      <c r="AD1871" s="32">
        <v>2.8290000000000002</v>
      </c>
    </row>
    <row r="1872" spans="1:30">
      <c r="A1872">
        <v>1870</v>
      </c>
      <c r="B1872">
        <v>33</v>
      </c>
      <c r="C1872">
        <v>1.899</v>
      </c>
      <c r="D1872">
        <v>3.79</v>
      </c>
      <c r="E1872">
        <v>0</v>
      </c>
      <c r="F1872">
        <v>1.577</v>
      </c>
      <c r="G1872">
        <v>0</v>
      </c>
      <c r="H1872">
        <v>0.17899999999999999</v>
      </c>
      <c r="I1872">
        <v>3.101</v>
      </c>
      <c r="K1872">
        <v>1870</v>
      </c>
      <c r="L1872">
        <v>33</v>
      </c>
      <c r="M1872" s="32">
        <v>1.899</v>
      </c>
      <c r="N1872" s="32">
        <v>3.79</v>
      </c>
      <c r="P1872" s="47">
        <v>1.579</v>
      </c>
      <c r="R1872" s="47">
        <v>0.182</v>
      </c>
      <c r="S1872" s="47">
        <v>2.9990000000000001</v>
      </c>
      <c r="T1872" s="31">
        <v>0</v>
      </c>
      <c r="V1872">
        <v>1870</v>
      </c>
      <c r="W1872">
        <v>32</v>
      </c>
      <c r="X1872">
        <v>1.911</v>
      </c>
      <c r="Y1872" s="32">
        <v>3.79</v>
      </c>
      <c r="Z1872">
        <v>0</v>
      </c>
      <c r="AA1872" s="32">
        <v>1.4810000000000001</v>
      </c>
      <c r="AB1872">
        <v>0</v>
      </c>
      <c r="AC1872" s="34">
        <v>0.17499999999999999</v>
      </c>
      <c r="AD1872" s="32">
        <v>2.83</v>
      </c>
    </row>
    <row r="1873" spans="1:30">
      <c r="A1873">
        <v>1871</v>
      </c>
      <c r="B1873">
        <v>33</v>
      </c>
      <c r="C1873">
        <v>1.9</v>
      </c>
      <c r="D1873">
        <v>3.79</v>
      </c>
      <c r="E1873">
        <v>0</v>
      </c>
      <c r="F1873">
        <v>1.579</v>
      </c>
      <c r="G1873">
        <v>0</v>
      </c>
      <c r="H1873">
        <v>0.17899999999999999</v>
      </c>
      <c r="I1873">
        <v>3.1240000000000001</v>
      </c>
      <c r="K1873">
        <v>1871</v>
      </c>
      <c r="L1873">
        <v>33</v>
      </c>
      <c r="M1873" s="32">
        <v>1.9</v>
      </c>
      <c r="N1873" s="32">
        <v>3.79</v>
      </c>
      <c r="P1873" s="32">
        <v>1.579</v>
      </c>
      <c r="R1873" s="47">
        <v>0.182</v>
      </c>
      <c r="S1873" s="47">
        <v>3.0009999999999999</v>
      </c>
      <c r="T1873" s="31">
        <v>0</v>
      </c>
      <c r="V1873">
        <v>1871</v>
      </c>
      <c r="W1873">
        <v>32</v>
      </c>
      <c r="X1873">
        <v>1.9119999999999999</v>
      </c>
      <c r="Y1873" s="32">
        <v>3.79</v>
      </c>
      <c r="Z1873">
        <v>0</v>
      </c>
      <c r="AA1873" s="32">
        <v>1.4810000000000001</v>
      </c>
      <c r="AB1873">
        <v>0</v>
      </c>
      <c r="AC1873" s="34">
        <v>0.17499999999999999</v>
      </c>
      <c r="AD1873" s="32">
        <v>2.8319999999999999</v>
      </c>
    </row>
    <row r="1874" spans="1:30">
      <c r="A1874">
        <v>1872</v>
      </c>
      <c r="B1874">
        <v>33</v>
      </c>
      <c r="C1874">
        <v>1.901</v>
      </c>
      <c r="D1874">
        <v>3.79</v>
      </c>
      <c r="E1874">
        <v>0</v>
      </c>
      <c r="F1874">
        <v>1.579</v>
      </c>
      <c r="G1874">
        <v>0</v>
      </c>
      <c r="H1874">
        <v>0.17899999999999999</v>
      </c>
      <c r="I1874">
        <v>3.1259999999999999</v>
      </c>
      <c r="K1874">
        <v>1872</v>
      </c>
      <c r="L1874">
        <v>33</v>
      </c>
      <c r="M1874" s="32">
        <v>1.901</v>
      </c>
      <c r="N1874" s="32">
        <v>3.79</v>
      </c>
      <c r="P1874" s="32">
        <v>1.579</v>
      </c>
      <c r="R1874" s="47">
        <v>0.182</v>
      </c>
      <c r="S1874" s="47">
        <v>3.0030000000000001</v>
      </c>
      <c r="T1874" s="31">
        <v>0</v>
      </c>
      <c r="V1874">
        <v>1872</v>
      </c>
      <c r="W1874">
        <v>32</v>
      </c>
      <c r="X1874">
        <v>1.913</v>
      </c>
      <c r="Y1874" s="32">
        <v>3.79</v>
      </c>
      <c r="Z1874">
        <v>0</v>
      </c>
      <c r="AA1874" s="32">
        <v>1.4810000000000001</v>
      </c>
      <c r="AB1874">
        <v>0</v>
      </c>
      <c r="AC1874" s="34">
        <v>0.17499999999999999</v>
      </c>
      <c r="AD1874" s="32">
        <v>2.8340000000000001</v>
      </c>
    </row>
    <row r="1875" spans="1:30">
      <c r="A1875">
        <v>1873</v>
      </c>
      <c r="B1875">
        <v>33</v>
      </c>
      <c r="C1875">
        <v>1.9019999999999999</v>
      </c>
      <c r="D1875">
        <v>3.79</v>
      </c>
      <c r="E1875">
        <v>0</v>
      </c>
      <c r="F1875">
        <v>1.579</v>
      </c>
      <c r="G1875">
        <v>0</v>
      </c>
      <c r="H1875">
        <v>0.17899999999999999</v>
      </c>
      <c r="I1875">
        <v>3.1280000000000001</v>
      </c>
      <c r="K1875">
        <v>1873</v>
      </c>
      <c r="L1875">
        <v>33</v>
      </c>
      <c r="M1875" s="32">
        <v>1.9019999999999999</v>
      </c>
      <c r="N1875" s="32">
        <v>3.79</v>
      </c>
      <c r="P1875" s="47">
        <v>1.58</v>
      </c>
      <c r="R1875" s="47">
        <v>0.182</v>
      </c>
      <c r="S1875" s="47">
        <v>3.0049999999999999</v>
      </c>
      <c r="T1875" s="31">
        <v>0</v>
      </c>
      <c r="V1875">
        <v>1873</v>
      </c>
      <c r="W1875">
        <v>32</v>
      </c>
      <c r="X1875">
        <v>1.9139999999999999</v>
      </c>
      <c r="Y1875" s="32">
        <v>3.79</v>
      </c>
      <c r="Z1875">
        <v>0</v>
      </c>
      <c r="AA1875" s="32">
        <v>1.4810000000000001</v>
      </c>
      <c r="AB1875">
        <v>0</v>
      </c>
      <c r="AC1875" s="34">
        <v>0.17499999999999999</v>
      </c>
      <c r="AD1875" s="32">
        <v>2.8359999999999999</v>
      </c>
    </row>
    <row r="1876" spans="1:30">
      <c r="A1876">
        <v>1874</v>
      </c>
      <c r="B1876">
        <v>33</v>
      </c>
      <c r="C1876">
        <v>1.903</v>
      </c>
      <c r="D1876">
        <v>3.79</v>
      </c>
      <c r="E1876">
        <v>0</v>
      </c>
      <c r="F1876">
        <v>1.579</v>
      </c>
      <c r="G1876">
        <v>0</v>
      </c>
      <c r="H1876">
        <v>0.17899999999999999</v>
      </c>
      <c r="I1876">
        <v>3.13</v>
      </c>
      <c r="K1876">
        <v>1874</v>
      </c>
      <c r="L1876">
        <v>33</v>
      </c>
      <c r="M1876" s="32">
        <v>1.903</v>
      </c>
      <c r="N1876" s="32">
        <v>3.79</v>
      </c>
      <c r="P1876" s="47">
        <v>1.58</v>
      </c>
      <c r="R1876" s="47">
        <v>0.183</v>
      </c>
      <c r="S1876" s="47">
        <v>3.0070000000000001</v>
      </c>
      <c r="T1876" s="31">
        <v>0</v>
      </c>
      <c r="V1876">
        <v>1874</v>
      </c>
      <c r="W1876">
        <v>32</v>
      </c>
      <c r="X1876">
        <v>1.915</v>
      </c>
      <c r="Y1876" s="32">
        <v>3.79</v>
      </c>
      <c r="Z1876">
        <v>0</v>
      </c>
      <c r="AA1876" s="32">
        <v>1.482</v>
      </c>
      <c r="AB1876">
        <v>0</v>
      </c>
      <c r="AC1876" s="34">
        <v>0.17499999999999999</v>
      </c>
      <c r="AD1876" s="32">
        <v>2.8380000000000001</v>
      </c>
    </row>
    <row r="1877" spans="1:30">
      <c r="A1877">
        <v>1875</v>
      </c>
      <c r="B1877">
        <v>33</v>
      </c>
      <c r="C1877">
        <v>1.9039999999999999</v>
      </c>
      <c r="D1877">
        <v>3.79</v>
      </c>
      <c r="E1877">
        <v>0</v>
      </c>
      <c r="F1877">
        <v>1.579</v>
      </c>
      <c r="G1877">
        <v>0</v>
      </c>
      <c r="H1877">
        <v>0.17899999999999999</v>
      </c>
      <c r="I1877">
        <v>3.1320000000000001</v>
      </c>
      <c r="K1877">
        <v>1875</v>
      </c>
      <c r="L1877">
        <v>33</v>
      </c>
      <c r="M1877" s="32">
        <v>1.9039999999999999</v>
      </c>
      <c r="N1877" s="32">
        <v>3.79</v>
      </c>
      <c r="P1877" s="47">
        <v>1.58</v>
      </c>
      <c r="R1877" s="47">
        <v>0.183</v>
      </c>
      <c r="S1877" s="47">
        <v>3.0089999999999999</v>
      </c>
      <c r="T1877" s="31">
        <v>0</v>
      </c>
      <c r="V1877">
        <v>1875</v>
      </c>
      <c r="W1877">
        <v>32</v>
      </c>
      <c r="X1877">
        <v>1.9159999999999999</v>
      </c>
      <c r="Y1877" s="32">
        <v>3.79</v>
      </c>
      <c r="Z1877">
        <v>0</v>
      </c>
      <c r="AA1877" s="32">
        <v>1.482</v>
      </c>
      <c r="AB1877">
        <v>0</v>
      </c>
      <c r="AC1877" s="34">
        <v>0.17499999999999999</v>
      </c>
      <c r="AD1877" s="32">
        <v>2.84</v>
      </c>
    </row>
    <row r="1878" spans="1:30">
      <c r="A1878">
        <v>1876</v>
      </c>
      <c r="B1878">
        <v>33</v>
      </c>
      <c r="C1878">
        <v>1.905</v>
      </c>
      <c r="D1878">
        <v>3.79</v>
      </c>
      <c r="E1878">
        <v>0</v>
      </c>
      <c r="F1878">
        <v>1.579</v>
      </c>
      <c r="G1878">
        <v>0</v>
      </c>
      <c r="H1878">
        <v>0.17899999999999999</v>
      </c>
      <c r="I1878">
        <v>3.1339999999999999</v>
      </c>
      <c r="K1878">
        <v>1876</v>
      </c>
      <c r="L1878">
        <v>33</v>
      </c>
      <c r="M1878" s="32">
        <v>1.905</v>
      </c>
      <c r="N1878" s="32">
        <v>3.79</v>
      </c>
      <c r="P1878" s="47">
        <v>1.581</v>
      </c>
      <c r="R1878" s="47">
        <v>0.183</v>
      </c>
      <c r="S1878" s="47">
        <v>3.0110000000000001</v>
      </c>
      <c r="T1878" s="31">
        <v>0</v>
      </c>
      <c r="V1878">
        <v>1876</v>
      </c>
      <c r="W1878">
        <v>32</v>
      </c>
      <c r="X1878">
        <v>1.917</v>
      </c>
      <c r="Y1878" s="32">
        <v>3.79</v>
      </c>
      <c r="Z1878">
        <v>0</v>
      </c>
      <c r="AA1878" s="32">
        <v>1.482</v>
      </c>
      <c r="AB1878">
        <v>0</v>
      </c>
      <c r="AC1878" s="34">
        <v>0.17499999999999999</v>
      </c>
      <c r="AD1878" s="32">
        <v>2.8410000000000002</v>
      </c>
    </row>
    <row r="1879" spans="1:30">
      <c r="A1879">
        <v>1877</v>
      </c>
      <c r="B1879">
        <v>33</v>
      </c>
      <c r="C1879">
        <v>1.9059999999999999</v>
      </c>
      <c r="D1879">
        <v>3.79</v>
      </c>
      <c r="E1879">
        <v>0</v>
      </c>
      <c r="F1879">
        <v>1.579</v>
      </c>
      <c r="G1879">
        <v>0</v>
      </c>
      <c r="H1879">
        <v>0.17899999999999999</v>
      </c>
      <c r="I1879">
        <v>3.1360000000000001</v>
      </c>
      <c r="K1879">
        <v>1877</v>
      </c>
      <c r="L1879">
        <v>33</v>
      </c>
      <c r="M1879" s="32">
        <v>1.9059999999999999</v>
      </c>
      <c r="N1879" s="32">
        <v>3.79</v>
      </c>
      <c r="P1879" s="47">
        <v>1.581</v>
      </c>
      <c r="R1879" s="47">
        <v>0.183</v>
      </c>
      <c r="S1879" s="47">
        <v>3.0129999999999999</v>
      </c>
      <c r="T1879" s="31">
        <v>0</v>
      </c>
      <c r="V1879">
        <v>1877</v>
      </c>
      <c r="W1879">
        <v>32</v>
      </c>
      <c r="X1879">
        <v>1.9179999999999999</v>
      </c>
      <c r="Y1879" s="32">
        <v>3.79</v>
      </c>
      <c r="Z1879">
        <v>0</v>
      </c>
      <c r="AA1879" s="32">
        <v>1.482</v>
      </c>
      <c r="AB1879">
        <v>0</v>
      </c>
      <c r="AC1879" s="34">
        <v>0.17499999999999999</v>
      </c>
      <c r="AD1879" s="32">
        <v>2.843</v>
      </c>
    </row>
    <row r="1880" spans="1:30">
      <c r="A1880">
        <v>1878</v>
      </c>
      <c r="B1880">
        <v>33</v>
      </c>
      <c r="C1880">
        <v>1.907</v>
      </c>
      <c r="D1880">
        <v>3.79</v>
      </c>
      <c r="E1880">
        <v>0</v>
      </c>
      <c r="F1880">
        <v>1.579</v>
      </c>
      <c r="G1880">
        <v>0</v>
      </c>
      <c r="H1880">
        <v>0.17899999999999999</v>
      </c>
      <c r="I1880">
        <v>3.1379999999999999</v>
      </c>
      <c r="K1880">
        <v>1878</v>
      </c>
      <c r="L1880">
        <v>33</v>
      </c>
      <c r="M1880" s="32">
        <v>1.907</v>
      </c>
      <c r="N1880" s="32">
        <v>3.79</v>
      </c>
      <c r="P1880" s="47">
        <v>1.581</v>
      </c>
      <c r="R1880" s="47">
        <v>0.183</v>
      </c>
      <c r="S1880" s="47">
        <v>3.0150000000000001</v>
      </c>
      <c r="T1880" s="31">
        <v>0</v>
      </c>
      <c r="V1880">
        <v>1878</v>
      </c>
      <c r="W1880">
        <v>32</v>
      </c>
      <c r="X1880">
        <v>1.919</v>
      </c>
      <c r="Y1880" s="32">
        <v>3.79</v>
      </c>
      <c r="Z1880">
        <v>0</v>
      </c>
      <c r="AA1880" s="32">
        <v>1.482</v>
      </c>
      <c r="AB1880">
        <v>0</v>
      </c>
      <c r="AC1880" s="34">
        <v>0.17499999999999999</v>
      </c>
      <c r="AD1880" s="32">
        <v>2.8450000000000002</v>
      </c>
    </row>
    <row r="1881" spans="1:30">
      <c r="A1881">
        <v>1879</v>
      </c>
      <c r="B1881">
        <v>33</v>
      </c>
      <c r="C1881">
        <v>1.9079999999999999</v>
      </c>
      <c r="D1881">
        <v>3.79</v>
      </c>
      <c r="E1881">
        <v>0</v>
      </c>
      <c r="F1881">
        <v>1.579</v>
      </c>
      <c r="G1881">
        <v>0</v>
      </c>
      <c r="H1881">
        <v>0.17899999999999999</v>
      </c>
      <c r="I1881">
        <v>3.14</v>
      </c>
      <c r="K1881">
        <v>1879</v>
      </c>
      <c r="L1881">
        <v>33</v>
      </c>
      <c r="M1881" s="32">
        <v>1.9079999999999999</v>
      </c>
      <c r="N1881" s="32">
        <v>3.79</v>
      </c>
      <c r="P1881" s="47">
        <v>1.581</v>
      </c>
      <c r="R1881" s="47">
        <v>0.183</v>
      </c>
      <c r="S1881" s="47">
        <v>3.0169999999999999</v>
      </c>
      <c r="T1881" s="31">
        <v>0</v>
      </c>
      <c r="V1881">
        <v>1879</v>
      </c>
      <c r="W1881">
        <v>32</v>
      </c>
      <c r="X1881">
        <v>1.92</v>
      </c>
      <c r="Y1881" s="32">
        <v>3.79</v>
      </c>
      <c r="Z1881">
        <v>0</v>
      </c>
      <c r="AA1881" s="32">
        <v>1.4830000000000001</v>
      </c>
      <c r="AB1881">
        <v>0</v>
      </c>
      <c r="AC1881" s="34">
        <v>0.17599999999999999</v>
      </c>
      <c r="AD1881" s="32">
        <v>2.847</v>
      </c>
    </row>
    <row r="1882" spans="1:30">
      <c r="A1882">
        <v>1880</v>
      </c>
      <c r="B1882">
        <v>33</v>
      </c>
      <c r="C1882">
        <v>1.909</v>
      </c>
      <c r="D1882">
        <v>3.79</v>
      </c>
      <c r="E1882">
        <v>0</v>
      </c>
      <c r="F1882">
        <v>1.579</v>
      </c>
      <c r="G1882">
        <v>0</v>
      </c>
      <c r="H1882">
        <v>0.17899999999999999</v>
      </c>
      <c r="I1882">
        <v>3.1419999999999999</v>
      </c>
      <c r="K1882">
        <v>1880</v>
      </c>
      <c r="L1882">
        <v>33</v>
      </c>
      <c r="M1882" s="32">
        <v>1.909</v>
      </c>
      <c r="N1882" s="32">
        <v>3.79</v>
      </c>
      <c r="P1882" s="47">
        <v>1.5820000000000001</v>
      </c>
      <c r="R1882" s="47">
        <v>0.183</v>
      </c>
      <c r="S1882" s="47">
        <v>3.0190000000000001</v>
      </c>
      <c r="T1882" s="31">
        <v>0</v>
      </c>
      <c r="V1882">
        <v>1880</v>
      </c>
      <c r="W1882">
        <v>32</v>
      </c>
      <c r="X1882">
        <v>1.921</v>
      </c>
      <c r="Y1882" s="32">
        <v>3.8</v>
      </c>
      <c r="Z1882">
        <v>0</v>
      </c>
      <c r="AA1882" s="32">
        <v>1.4830000000000001</v>
      </c>
      <c r="AB1882">
        <v>0</v>
      </c>
      <c r="AC1882" s="34">
        <v>0.17599999999999999</v>
      </c>
      <c r="AD1882" s="32">
        <v>2.8490000000000002</v>
      </c>
    </row>
    <row r="1883" spans="1:30">
      <c r="A1883">
        <v>1881</v>
      </c>
      <c r="B1883">
        <v>33</v>
      </c>
      <c r="C1883">
        <v>1.91</v>
      </c>
      <c r="D1883">
        <v>3.79</v>
      </c>
      <c r="E1883">
        <v>0</v>
      </c>
      <c r="F1883">
        <v>1.5820000000000001</v>
      </c>
      <c r="G1883">
        <v>0</v>
      </c>
      <c r="H1883">
        <v>0.17899999999999999</v>
      </c>
      <c r="I1883">
        <v>3.1640000000000001</v>
      </c>
      <c r="K1883">
        <v>1881</v>
      </c>
      <c r="L1883">
        <v>33</v>
      </c>
      <c r="M1883" s="32">
        <v>1.91</v>
      </c>
      <c r="N1883" s="32">
        <v>3.79</v>
      </c>
      <c r="P1883" s="32">
        <v>1.5820000000000001</v>
      </c>
      <c r="R1883" s="47">
        <v>0.183</v>
      </c>
      <c r="S1883" s="47">
        <v>3.0209999999999999</v>
      </c>
      <c r="T1883" s="31">
        <v>0</v>
      </c>
      <c r="V1883">
        <v>1881</v>
      </c>
      <c r="W1883">
        <v>32</v>
      </c>
      <c r="X1883">
        <v>1.9219999999999999</v>
      </c>
      <c r="Y1883" s="32">
        <v>3.81</v>
      </c>
      <c r="Z1883">
        <v>0</v>
      </c>
      <c r="AA1883" s="32">
        <v>1.4830000000000001</v>
      </c>
      <c r="AB1883">
        <v>0</v>
      </c>
      <c r="AC1883" s="34">
        <v>0.17599999999999999</v>
      </c>
      <c r="AD1883" s="32">
        <v>2.851</v>
      </c>
    </row>
    <row r="1884" spans="1:30">
      <c r="A1884">
        <v>1882</v>
      </c>
      <c r="B1884">
        <v>33</v>
      </c>
      <c r="C1884">
        <v>1.911</v>
      </c>
      <c r="D1884">
        <v>3.79</v>
      </c>
      <c r="E1884">
        <v>0</v>
      </c>
      <c r="F1884">
        <v>1.5820000000000001</v>
      </c>
      <c r="G1884">
        <v>0</v>
      </c>
      <c r="H1884">
        <v>0.17899999999999999</v>
      </c>
      <c r="I1884">
        <v>3.1659999999999999</v>
      </c>
      <c r="K1884">
        <v>1882</v>
      </c>
      <c r="L1884">
        <v>33</v>
      </c>
      <c r="M1884" s="32">
        <v>1.911</v>
      </c>
      <c r="N1884" s="32">
        <v>3.79</v>
      </c>
      <c r="P1884" s="32">
        <v>1.5820000000000001</v>
      </c>
      <c r="R1884" s="47">
        <v>0.183</v>
      </c>
      <c r="S1884" s="47">
        <v>3.0230000000000001</v>
      </c>
      <c r="T1884" s="31">
        <v>0</v>
      </c>
      <c r="V1884">
        <v>1882</v>
      </c>
      <c r="W1884">
        <v>32</v>
      </c>
      <c r="X1884">
        <v>1.923</v>
      </c>
      <c r="Y1884" s="32">
        <v>3.82</v>
      </c>
      <c r="Z1884">
        <v>0</v>
      </c>
      <c r="AA1884" s="32">
        <v>1.4830000000000001</v>
      </c>
      <c r="AB1884">
        <v>0</v>
      </c>
      <c r="AC1884" s="34">
        <v>0.17599999999999999</v>
      </c>
      <c r="AD1884" s="32">
        <v>2.8519999999999999</v>
      </c>
    </row>
    <row r="1885" spans="1:30">
      <c r="A1885">
        <v>1883</v>
      </c>
      <c r="B1885">
        <v>33</v>
      </c>
      <c r="C1885">
        <v>1.9119999999999999</v>
      </c>
      <c r="D1885">
        <v>3.79</v>
      </c>
      <c r="E1885">
        <v>0</v>
      </c>
      <c r="F1885">
        <v>1.5820000000000001</v>
      </c>
      <c r="G1885">
        <v>0</v>
      </c>
      <c r="H1885">
        <v>0.17899999999999999</v>
      </c>
      <c r="I1885">
        <v>3.1680000000000001</v>
      </c>
      <c r="K1885">
        <v>1883</v>
      </c>
      <c r="L1885">
        <v>33</v>
      </c>
      <c r="M1885" s="32">
        <v>1.9119999999999999</v>
      </c>
      <c r="N1885" s="32">
        <v>3.79</v>
      </c>
      <c r="P1885" s="32">
        <v>1.5820000000000001</v>
      </c>
      <c r="R1885" s="47">
        <v>0.183</v>
      </c>
      <c r="S1885" s="47">
        <v>3.0249999999999999</v>
      </c>
      <c r="T1885" s="31">
        <v>0</v>
      </c>
      <c r="V1885">
        <v>1883</v>
      </c>
      <c r="W1885">
        <v>32</v>
      </c>
      <c r="X1885">
        <v>1.9239999999999999</v>
      </c>
      <c r="Y1885" s="32">
        <v>3.83</v>
      </c>
      <c r="Z1885">
        <v>0</v>
      </c>
      <c r="AA1885" s="32">
        <v>1.4830000000000001</v>
      </c>
      <c r="AB1885">
        <v>0</v>
      </c>
      <c r="AC1885" s="34">
        <v>0.17599999999999999</v>
      </c>
      <c r="AD1885" s="32">
        <v>2.8540000000000001</v>
      </c>
    </row>
    <row r="1886" spans="1:30">
      <c r="A1886">
        <v>1884</v>
      </c>
      <c r="B1886">
        <v>33</v>
      </c>
      <c r="C1886">
        <v>1.913</v>
      </c>
      <c r="D1886">
        <v>3.79</v>
      </c>
      <c r="E1886">
        <v>0</v>
      </c>
      <c r="F1886">
        <v>1.5820000000000001</v>
      </c>
      <c r="G1886">
        <v>0</v>
      </c>
      <c r="H1886">
        <v>0.17899999999999999</v>
      </c>
      <c r="I1886">
        <v>3.17</v>
      </c>
      <c r="K1886">
        <v>1884</v>
      </c>
      <c r="L1886">
        <v>33</v>
      </c>
      <c r="M1886" s="32">
        <v>1.913</v>
      </c>
      <c r="N1886" s="32">
        <v>3.79</v>
      </c>
      <c r="P1886" s="47">
        <v>1.583</v>
      </c>
      <c r="R1886" s="47">
        <v>0.183</v>
      </c>
      <c r="S1886" s="47">
        <v>3.0270000000000001</v>
      </c>
      <c r="T1886" s="31">
        <v>0</v>
      </c>
      <c r="V1886">
        <v>1884</v>
      </c>
      <c r="W1886">
        <v>32</v>
      </c>
      <c r="X1886">
        <v>1.925</v>
      </c>
      <c r="Y1886" s="32">
        <v>3.84</v>
      </c>
      <c r="Z1886">
        <v>0</v>
      </c>
      <c r="AA1886" s="32">
        <v>1.484</v>
      </c>
      <c r="AB1886">
        <v>0</v>
      </c>
      <c r="AC1886" s="34">
        <v>0.17599999999999999</v>
      </c>
      <c r="AD1886" s="32">
        <v>2.8559999999999999</v>
      </c>
    </row>
    <row r="1887" spans="1:30">
      <c r="A1887">
        <v>1885</v>
      </c>
      <c r="B1887">
        <v>33</v>
      </c>
      <c r="C1887">
        <v>1.9139999999999999</v>
      </c>
      <c r="D1887">
        <v>3.79</v>
      </c>
      <c r="E1887">
        <v>0</v>
      </c>
      <c r="F1887">
        <v>1.5820000000000001</v>
      </c>
      <c r="G1887">
        <v>0</v>
      </c>
      <c r="H1887">
        <v>0.17899999999999999</v>
      </c>
      <c r="I1887">
        <v>3.1720000000000002</v>
      </c>
      <c r="K1887">
        <v>1885</v>
      </c>
      <c r="L1887">
        <v>33</v>
      </c>
      <c r="M1887" s="32">
        <v>1.9139999999999999</v>
      </c>
      <c r="N1887" s="32">
        <v>3.79</v>
      </c>
      <c r="P1887" s="47">
        <v>1.583</v>
      </c>
      <c r="R1887" s="47">
        <v>0.183</v>
      </c>
      <c r="S1887" s="47">
        <v>3.0289999999999999</v>
      </c>
      <c r="T1887" s="31">
        <v>0</v>
      </c>
      <c r="V1887">
        <v>1885</v>
      </c>
      <c r="W1887">
        <v>32</v>
      </c>
      <c r="X1887">
        <v>1.9259999999999999</v>
      </c>
      <c r="Y1887" s="32">
        <v>3.85</v>
      </c>
      <c r="Z1887">
        <v>0</v>
      </c>
      <c r="AA1887" s="32">
        <v>1.484</v>
      </c>
      <c r="AB1887">
        <v>0</v>
      </c>
      <c r="AC1887" s="34">
        <v>0.17599999999999999</v>
      </c>
      <c r="AD1887" s="32">
        <v>2.8580000000000001</v>
      </c>
    </row>
    <row r="1888" spans="1:30">
      <c r="A1888">
        <v>1886</v>
      </c>
      <c r="B1888">
        <v>33</v>
      </c>
      <c r="C1888">
        <v>1.915</v>
      </c>
      <c r="D1888">
        <v>3.79</v>
      </c>
      <c r="E1888">
        <v>0</v>
      </c>
      <c r="F1888">
        <v>1.5820000000000001</v>
      </c>
      <c r="G1888">
        <v>0</v>
      </c>
      <c r="H1888">
        <v>0.17899999999999999</v>
      </c>
      <c r="I1888">
        <v>3.1739999999999999</v>
      </c>
      <c r="K1888">
        <v>1886</v>
      </c>
      <c r="L1888">
        <v>33</v>
      </c>
      <c r="M1888" s="32">
        <v>1.915</v>
      </c>
      <c r="N1888" s="32">
        <v>3.79</v>
      </c>
      <c r="P1888" s="47">
        <v>1.583</v>
      </c>
      <c r="R1888" s="47">
        <v>0.183</v>
      </c>
      <c r="S1888" s="47">
        <v>3.032</v>
      </c>
      <c r="T1888" s="31">
        <v>0</v>
      </c>
      <c r="V1888">
        <v>1886</v>
      </c>
      <c r="W1888">
        <v>32</v>
      </c>
      <c r="X1888">
        <v>1.927</v>
      </c>
      <c r="Y1888" s="32">
        <v>3.86</v>
      </c>
      <c r="Z1888">
        <v>0</v>
      </c>
      <c r="AA1888" s="32">
        <v>1.484</v>
      </c>
      <c r="AB1888">
        <v>0</v>
      </c>
      <c r="AC1888" s="34">
        <v>0.17599999999999999</v>
      </c>
      <c r="AD1888" s="32">
        <v>2.86</v>
      </c>
    </row>
    <row r="1889" spans="1:30">
      <c r="A1889">
        <v>1887</v>
      </c>
      <c r="B1889">
        <v>33</v>
      </c>
      <c r="C1889">
        <v>1.9159999999999999</v>
      </c>
      <c r="D1889">
        <v>3.79</v>
      </c>
      <c r="E1889">
        <v>0</v>
      </c>
      <c r="F1889">
        <v>1.5820000000000001</v>
      </c>
      <c r="G1889">
        <v>0</v>
      </c>
      <c r="H1889">
        <v>0.17899999999999999</v>
      </c>
      <c r="I1889">
        <v>3.1760000000000002</v>
      </c>
      <c r="K1889">
        <v>1887</v>
      </c>
      <c r="L1889">
        <v>33</v>
      </c>
      <c r="M1889" s="32">
        <v>1.9159999999999999</v>
      </c>
      <c r="N1889" s="32">
        <v>3.79</v>
      </c>
      <c r="P1889" s="47">
        <v>1.583</v>
      </c>
      <c r="R1889" s="47">
        <v>0.183</v>
      </c>
      <c r="S1889" s="47">
        <v>3.0339999999999998</v>
      </c>
      <c r="T1889" s="31">
        <v>0</v>
      </c>
      <c r="V1889">
        <v>1887</v>
      </c>
      <c r="W1889">
        <v>32</v>
      </c>
      <c r="X1889">
        <v>1.9279999999999999</v>
      </c>
      <c r="Y1889" s="32">
        <v>3.87</v>
      </c>
      <c r="Z1889">
        <v>0</v>
      </c>
      <c r="AA1889" s="32">
        <v>1.484</v>
      </c>
      <c r="AB1889">
        <v>0</v>
      </c>
      <c r="AC1889" s="34">
        <v>0.17599999999999999</v>
      </c>
      <c r="AD1889" s="32">
        <v>2.8620000000000001</v>
      </c>
    </row>
    <row r="1890" spans="1:30">
      <c r="A1890">
        <v>1888</v>
      </c>
      <c r="B1890">
        <v>33</v>
      </c>
      <c r="C1890">
        <v>1.917</v>
      </c>
      <c r="D1890">
        <v>3.79</v>
      </c>
      <c r="E1890">
        <v>0</v>
      </c>
      <c r="F1890">
        <v>1.5820000000000001</v>
      </c>
      <c r="G1890">
        <v>0</v>
      </c>
      <c r="H1890">
        <v>0.17899999999999999</v>
      </c>
      <c r="I1890">
        <v>3.1779999999999999</v>
      </c>
      <c r="K1890">
        <v>1888</v>
      </c>
      <c r="L1890">
        <v>33</v>
      </c>
      <c r="M1890" s="32">
        <v>1.917</v>
      </c>
      <c r="N1890" s="32">
        <v>3.79</v>
      </c>
      <c r="P1890" s="47">
        <v>1.583</v>
      </c>
      <c r="R1890" s="47">
        <v>0.183</v>
      </c>
      <c r="S1890" s="47">
        <v>3.036</v>
      </c>
      <c r="T1890" s="31">
        <v>0</v>
      </c>
      <c r="V1890">
        <v>1888</v>
      </c>
      <c r="W1890">
        <v>32</v>
      </c>
      <c r="X1890">
        <v>1.929</v>
      </c>
      <c r="Y1890" s="32">
        <v>3.88</v>
      </c>
      <c r="Z1890">
        <v>0</v>
      </c>
      <c r="AA1890" s="32">
        <v>1.484</v>
      </c>
      <c r="AB1890">
        <v>0</v>
      </c>
      <c r="AC1890" s="34">
        <v>0.17599999999999999</v>
      </c>
      <c r="AD1890" s="32">
        <v>2.863</v>
      </c>
    </row>
    <row r="1891" spans="1:30">
      <c r="A1891">
        <v>1889</v>
      </c>
      <c r="B1891">
        <v>33</v>
      </c>
      <c r="C1891">
        <v>1.9179999999999999</v>
      </c>
      <c r="D1891">
        <v>3.79</v>
      </c>
      <c r="E1891">
        <v>0</v>
      </c>
      <c r="F1891">
        <v>1.5820000000000001</v>
      </c>
      <c r="G1891">
        <v>0</v>
      </c>
      <c r="H1891">
        <v>0.17899999999999999</v>
      </c>
      <c r="I1891">
        <v>3.18</v>
      </c>
      <c r="K1891">
        <v>1889</v>
      </c>
      <c r="L1891">
        <v>33</v>
      </c>
      <c r="M1891" s="32">
        <v>1.9179999999999999</v>
      </c>
      <c r="N1891" s="32">
        <v>3.79</v>
      </c>
      <c r="P1891" s="47">
        <v>1.5840000000000001</v>
      </c>
      <c r="R1891" s="47">
        <v>0.183</v>
      </c>
      <c r="S1891" s="47">
        <v>3.0379999999999998</v>
      </c>
      <c r="T1891" s="31">
        <v>0</v>
      </c>
      <c r="V1891">
        <v>1889</v>
      </c>
      <c r="W1891">
        <v>32</v>
      </c>
      <c r="X1891">
        <v>1.93</v>
      </c>
      <c r="Y1891" s="32">
        <v>3.89</v>
      </c>
      <c r="Z1891">
        <v>0</v>
      </c>
      <c r="AA1891" s="32">
        <v>1.484</v>
      </c>
      <c r="AB1891">
        <v>0</v>
      </c>
      <c r="AC1891" s="34">
        <v>0.17599999999999999</v>
      </c>
      <c r="AD1891" s="32">
        <v>2.8650000000000002</v>
      </c>
    </row>
    <row r="1892" spans="1:30">
      <c r="A1892">
        <v>1890</v>
      </c>
      <c r="B1892">
        <v>33</v>
      </c>
      <c r="C1892">
        <v>1.919</v>
      </c>
      <c r="D1892">
        <v>3.79</v>
      </c>
      <c r="E1892">
        <v>0</v>
      </c>
      <c r="F1892">
        <v>1.5820000000000001</v>
      </c>
      <c r="G1892">
        <v>0</v>
      </c>
      <c r="H1892">
        <v>0.17899999999999999</v>
      </c>
      <c r="I1892">
        <v>3.1829999999999998</v>
      </c>
      <c r="K1892">
        <v>1890</v>
      </c>
      <c r="L1892">
        <v>33</v>
      </c>
      <c r="M1892" s="32">
        <v>1.919</v>
      </c>
      <c r="N1892" s="32">
        <v>3.79</v>
      </c>
      <c r="P1892" s="47">
        <v>1.5840000000000001</v>
      </c>
      <c r="R1892" s="47">
        <v>0.183</v>
      </c>
      <c r="S1892" s="47">
        <v>3.04</v>
      </c>
      <c r="T1892" s="31">
        <v>0</v>
      </c>
      <c r="V1892">
        <v>1890</v>
      </c>
      <c r="W1892">
        <v>32</v>
      </c>
      <c r="X1892">
        <v>1.931</v>
      </c>
      <c r="Y1892" s="32">
        <v>3.89</v>
      </c>
      <c r="Z1892">
        <v>0</v>
      </c>
      <c r="AA1892" s="32">
        <v>1.4850000000000001</v>
      </c>
      <c r="AB1892">
        <v>0</v>
      </c>
      <c r="AC1892" s="34">
        <v>0.17599999999999999</v>
      </c>
      <c r="AD1892" s="32">
        <v>2.867</v>
      </c>
    </row>
    <row r="1893" spans="1:30">
      <c r="A1893">
        <v>1891</v>
      </c>
      <c r="B1893">
        <v>33</v>
      </c>
      <c r="C1893">
        <v>1.92</v>
      </c>
      <c r="D1893">
        <v>3.79</v>
      </c>
      <c r="E1893">
        <v>0</v>
      </c>
      <c r="F1893">
        <v>1.5840000000000001</v>
      </c>
      <c r="G1893">
        <v>0</v>
      </c>
      <c r="H1893">
        <v>0.17899999999999999</v>
      </c>
      <c r="I1893">
        <v>3.206</v>
      </c>
      <c r="K1893">
        <v>1891</v>
      </c>
      <c r="L1893">
        <v>33</v>
      </c>
      <c r="M1893" s="32">
        <v>1.92</v>
      </c>
      <c r="N1893" s="32">
        <v>3.79</v>
      </c>
      <c r="P1893" s="32">
        <v>1.5840000000000001</v>
      </c>
      <c r="R1893" s="47">
        <v>0.183</v>
      </c>
      <c r="S1893" s="47">
        <v>3.0419999999999998</v>
      </c>
      <c r="T1893" s="31">
        <v>0</v>
      </c>
      <c r="V1893">
        <v>1891</v>
      </c>
      <c r="W1893">
        <v>32</v>
      </c>
      <c r="X1893">
        <v>1.9319999999999999</v>
      </c>
      <c r="Y1893" s="32">
        <v>3.89</v>
      </c>
      <c r="Z1893">
        <v>0</v>
      </c>
      <c r="AA1893" s="32">
        <v>1.4850000000000001</v>
      </c>
      <c r="AB1893">
        <v>0</v>
      </c>
      <c r="AC1893" s="34">
        <v>0.17599999999999999</v>
      </c>
      <c r="AD1893" s="32">
        <v>2.8690000000000002</v>
      </c>
    </row>
    <row r="1894" spans="1:30">
      <c r="A1894">
        <v>1892</v>
      </c>
      <c r="B1894">
        <v>33</v>
      </c>
      <c r="C1894">
        <v>1.921</v>
      </c>
      <c r="D1894">
        <v>3.79</v>
      </c>
      <c r="E1894">
        <v>0</v>
      </c>
      <c r="F1894">
        <v>1.5840000000000001</v>
      </c>
      <c r="G1894">
        <v>0</v>
      </c>
      <c r="H1894">
        <v>0.17899999999999999</v>
      </c>
      <c r="I1894">
        <v>3.2080000000000002</v>
      </c>
      <c r="K1894">
        <v>1892</v>
      </c>
      <c r="L1894">
        <v>33</v>
      </c>
      <c r="M1894" s="32">
        <v>1.921</v>
      </c>
      <c r="N1894" s="47">
        <v>3.8</v>
      </c>
      <c r="P1894" s="32">
        <v>1.5840000000000001</v>
      </c>
      <c r="R1894" s="47">
        <v>0.184</v>
      </c>
      <c r="S1894" s="47">
        <v>3.044</v>
      </c>
      <c r="T1894" s="31">
        <v>0</v>
      </c>
      <c r="V1894">
        <v>1892</v>
      </c>
      <c r="W1894">
        <v>32</v>
      </c>
      <c r="X1894">
        <v>1.9330000000000001</v>
      </c>
      <c r="Y1894" s="32">
        <v>3.89</v>
      </c>
      <c r="Z1894">
        <v>0</v>
      </c>
      <c r="AA1894" s="32">
        <v>1.4850000000000001</v>
      </c>
      <c r="AB1894">
        <v>0</v>
      </c>
      <c r="AC1894" s="34">
        <v>0.17599999999999999</v>
      </c>
      <c r="AD1894" s="32">
        <v>2.871</v>
      </c>
    </row>
    <row r="1895" spans="1:30">
      <c r="A1895">
        <v>1893</v>
      </c>
      <c r="B1895">
        <v>33</v>
      </c>
      <c r="C1895">
        <v>1.9219999999999999</v>
      </c>
      <c r="D1895">
        <v>3.79</v>
      </c>
      <c r="E1895">
        <v>0</v>
      </c>
      <c r="F1895">
        <v>1.5840000000000001</v>
      </c>
      <c r="G1895">
        <v>0</v>
      </c>
      <c r="H1895">
        <v>0.17899999999999999</v>
      </c>
      <c r="I1895">
        <v>3.21</v>
      </c>
      <c r="K1895">
        <v>1893</v>
      </c>
      <c r="L1895">
        <v>33</v>
      </c>
      <c r="M1895" s="32">
        <v>1.9219999999999999</v>
      </c>
      <c r="N1895" s="47">
        <v>3.81</v>
      </c>
      <c r="P1895" s="47">
        <v>1.585</v>
      </c>
      <c r="R1895" s="47">
        <v>0.184</v>
      </c>
      <c r="S1895" s="47">
        <v>3.0459999999999998</v>
      </c>
      <c r="T1895" s="31">
        <v>0</v>
      </c>
      <c r="V1895">
        <v>1893</v>
      </c>
      <c r="W1895">
        <v>32</v>
      </c>
      <c r="X1895">
        <v>1.9339999999999999</v>
      </c>
      <c r="Y1895" s="32">
        <v>3.89</v>
      </c>
      <c r="Z1895">
        <v>0</v>
      </c>
      <c r="AA1895" s="32">
        <v>1.4850000000000001</v>
      </c>
      <c r="AB1895">
        <v>0</v>
      </c>
      <c r="AC1895" s="34">
        <v>0.17599999999999999</v>
      </c>
      <c r="AD1895" s="32">
        <v>2.8730000000000002</v>
      </c>
    </row>
    <row r="1896" spans="1:30">
      <c r="A1896">
        <v>1894</v>
      </c>
      <c r="B1896">
        <v>33</v>
      </c>
      <c r="C1896">
        <v>1.923</v>
      </c>
      <c r="D1896">
        <v>3.79</v>
      </c>
      <c r="E1896">
        <v>0</v>
      </c>
      <c r="F1896">
        <v>1.5840000000000001</v>
      </c>
      <c r="G1896">
        <v>0</v>
      </c>
      <c r="H1896">
        <v>0.17899999999999999</v>
      </c>
      <c r="I1896">
        <v>3.2120000000000002</v>
      </c>
      <c r="K1896">
        <v>1894</v>
      </c>
      <c r="L1896">
        <v>33</v>
      </c>
      <c r="M1896" s="32">
        <v>1.923</v>
      </c>
      <c r="N1896" s="47">
        <v>3.82</v>
      </c>
      <c r="P1896" s="47">
        <v>1.585</v>
      </c>
      <c r="R1896" s="47">
        <v>0.184</v>
      </c>
      <c r="S1896" s="47">
        <v>3.0470000000000002</v>
      </c>
      <c r="T1896" s="31">
        <v>0</v>
      </c>
      <c r="V1896">
        <v>1894</v>
      </c>
      <c r="W1896">
        <v>32</v>
      </c>
      <c r="X1896">
        <v>1.9350000000000001</v>
      </c>
      <c r="Y1896" s="32">
        <v>3.89</v>
      </c>
      <c r="Z1896">
        <v>0</v>
      </c>
      <c r="AA1896" s="32">
        <v>1.4850000000000001</v>
      </c>
      <c r="AB1896">
        <v>0</v>
      </c>
      <c r="AC1896" s="34">
        <v>0.17599999999999999</v>
      </c>
      <c r="AD1896" s="32">
        <v>2.8740000000000001</v>
      </c>
    </row>
    <row r="1897" spans="1:30">
      <c r="A1897">
        <v>1895</v>
      </c>
      <c r="B1897">
        <v>33</v>
      </c>
      <c r="C1897">
        <v>1.9239999999999999</v>
      </c>
      <c r="D1897">
        <v>3.79</v>
      </c>
      <c r="E1897">
        <v>0</v>
      </c>
      <c r="F1897">
        <v>1.5840000000000001</v>
      </c>
      <c r="G1897">
        <v>0</v>
      </c>
      <c r="H1897">
        <v>0.17899999999999999</v>
      </c>
      <c r="I1897">
        <v>3.214</v>
      </c>
      <c r="K1897">
        <v>1895</v>
      </c>
      <c r="L1897">
        <v>33</v>
      </c>
      <c r="M1897" s="32">
        <v>1.9239999999999999</v>
      </c>
      <c r="N1897" s="47">
        <v>3.83</v>
      </c>
      <c r="P1897" s="47">
        <v>1.585</v>
      </c>
      <c r="R1897" s="47">
        <v>0.184</v>
      </c>
      <c r="S1897" s="47">
        <v>3.0489999999999999</v>
      </c>
      <c r="T1897" s="31">
        <v>0</v>
      </c>
      <c r="V1897">
        <v>1895</v>
      </c>
      <c r="W1897">
        <v>32</v>
      </c>
      <c r="X1897">
        <v>1.9359999999999999</v>
      </c>
      <c r="Y1897" s="32">
        <v>3.89</v>
      </c>
      <c r="Z1897">
        <v>0</v>
      </c>
      <c r="AA1897" s="32">
        <v>1.486</v>
      </c>
      <c r="AB1897">
        <v>0</v>
      </c>
      <c r="AC1897" s="34">
        <v>0.17699999999999999</v>
      </c>
      <c r="AD1897" s="32">
        <v>2.8759999999999999</v>
      </c>
    </row>
    <row r="1898" spans="1:30">
      <c r="A1898">
        <v>1896</v>
      </c>
      <c r="B1898">
        <v>33</v>
      </c>
      <c r="C1898">
        <v>1.925</v>
      </c>
      <c r="D1898">
        <v>3.79</v>
      </c>
      <c r="E1898">
        <v>0</v>
      </c>
      <c r="F1898">
        <v>1.5840000000000001</v>
      </c>
      <c r="G1898">
        <v>0</v>
      </c>
      <c r="H1898">
        <v>0.17899999999999999</v>
      </c>
      <c r="I1898">
        <v>3.2160000000000002</v>
      </c>
      <c r="K1898">
        <v>1896</v>
      </c>
      <c r="L1898">
        <v>33</v>
      </c>
      <c r="M1898" s="32">
        <v>1.925</v>
      </c>
      <c r="N1898" s="47">
        <v>3.84</v>
      </c>
      <c r="P1898" s="47">
        <v>1.5860000000000001</v>
      </c>
      <c r="R1898" s="47">
        <v>0.184</v>
      </c>
      <c r="S1898" s="47">
        <v>3.0510000000000002</v>
      </c>
      <c r="T1898" s="31">
        <v>0</v>
      </c>
      <c r="V1898">
        <v>1896</v>
      </c>
      <c r="W1898">
        <v>32</v>
      </c>
      <c r="X1898">
        <v>1.9370000000000001</v>
      </c>
      <c r="Y1898" s="32">
        <v>3.89</v>
      </c>
      <c r="Z1898">
        <v>0</v>
      </c>
      <c r="AA1898" s="32">
        <v>1.486</v>
      </c>
      <c r="AB1898">
        <v>0</v>
      </c>
      <c r="AC1898" s="34">
        <v>0.17699999999999999</v>
      </c>
      <c r="AD1898" s="32">
        <v>2.8780000000000001</v>
      </c>
    </row>
    <row r="1899" spans="1:30">
      <c r="A1899">
        <v>1897</v>
      </c>
      <c r="B1899">
        <v>33</v>
      </c>
      <c r="C1899">
        <v>1.9259999999999999</v>
      </c>
      <c r="D1899">
        <v>3.79</v>
      </c>
      <c r="E1899">
        <v>0</v>
      </c>
      <c r="F1899">
        <v>1.5840000000000001</v>
      </c>
      <c r="G1899">
        <v>0</v>
      </c>
      <c r="H1899">
        <v>0.17899999999999999</v>
      </c>
      <c r="I1899">
        <v>3.218</v>
      </c>
      <c r="K1899">
        <v>1897</v>
      </c>
      <c r="L1899">
        <v>33</v>
      </c>
      <c r="M1899" s="32">
        <v>1.9259999999999999</v>
      </c>
      <c r="N1899" s="47">
        <v>3.85</v>
      </c>
      <c r="P1899" s="47">
        <v>1.5860000000000001</v>
      </c>
      <c r="R1899" s="47">
        <v>0.184</v>
      </c>
      <c r="S1899" s="47">
        <v>3.0529999999999999</v>
      </c>
      <c r="T1899" s="31">
        <v>0</v>
      </c>
      <c r="V1899">
        <v>1897</v>
      </c>
      <c r="W1899">
        <v>32</v>
      </c>
      <c r="X1899">
        <v>1.9379999999999999</v>
      </c>
      <c r="Y1899" s="32">
        <v>3.89</v>
      </c>
      <c r="Z1899">
        <v>0</v>
      </c>
      <c r="AA1899" s="32">
        <v>1.486</v>
      </c>
      <c r="AB1899">
        <v>0</v>
      </c>
      <c r="AC1899" s="34">
        <v>0.17699999999999999</v>
      </c>
      <c r="AD1899" s="32">
        <v>2.88</v>
      </c>
    </row>
    <row r="1900" spans="1:30">
      <c r="A1900">
        <v>1898</v>
      </c>
      <c r="B1900">
        <v>33</v>
      </c>
      <c r="C1900">
        <v>1.927</v>
      </c>
      <c r="D1900">
        <v>3.79</v>
      </c>
      <c r="E1900">
        <v>0</v>
      </c>
      <c r="F1900">
        <v>1.5840000000000001</v>
      </c>
      <c r="G1900">
        <v>0</v>
      </c>
      <c r="H1900">
        <v>0.17899999999999999</v>
      </c>
      <c r="I1900">
        <v>3.22</v>
      </c>
      <c r="K1900">
        <v>1898</v>
      </c>
      <c r="L1900">
        <v>33</v>
      </c>
      <c r="M1900" s="32">
        <v>1.927</v>
      </c>
      <c r="N1900" s="47">
        <v>3.86</v>
      </c>
      <c r="P1900" s="47">
        <v>1.5860000000000001</v>
      </c>
      <c r="R1900" s="47">
        <v>0.184</v>
      </c>
      <c r="S1900" s="47">
        <v>3.0550000000000002</v>
      </c>
      <c r="T1900" s="31">
        <v>0</v>
      </c>
      <c r="V1900">
        <v>1898</v>
      </c>
      <c r="W1900">
        <v>32</v>
      </c>
      <c r="X1900">
        <v>1.9390000000000001</v>
      </c>
      <c r="Y1900" s="32">
        <v>3.89</v>
      </c>
      <c r="Z1900">
        <v>0</v>
      </c>
      <c r="AA1900" s="32">
        <v>1.486</v>
      </c>
      <c r="AB1900">
        <v>0</v>
      </c>
      <c r="AC1900" s="34">
        <v>0.17699999999999999</v>
      </c>
      <c r="AD1900" s="32">
        <v>2.8820000000000001</v>
      </c>
    </row>
    <row r="1901" spans="1:30">
      <c r="A1901">
        <v>1899</v>
      </c>
      <c r="B1901">
        <v>33</v>
      </c>
      <c r="C1901">
        <v>1.9279999999999999</v>
      </c>
      <c r="D1901">
        <v>3.79</v>
      </c>
      <c r="E1901">
        <v>0</v>
      </c>
      <c r="F1901">
        <v>1.5840000000000001</v>
      </c>
      <c r="G1901">
        <v>0</v>
      </c>
      <c r="H1901">
        <v>0.17899999999999999</v>
      </c>
      <c r="I1901">
        <v>3.222</v>
      </c>
      <c r="K1901">
        <v>1899</v>
      </c>
      <c r="L1901">
        <v>33</v>
      </c>
      <c r="M1901" s="32">
        <v>1.9279999999999999</v>
      </c>
      <c r="N1901" s="47">
        <v>3.87</v>
      </c>
      <c r="P1901" s="47">
        <v>1.5860000000000001</v>
      </c>
      <c r="R1901" s="47">
        <v>0.184</v>
      </c>
      <c r="S1901" s="47">
        <v>3.056</v>
      </c>
      <c r="T1901" s="31">
        <v>0</v>
      </c>
      <c r="V1901">
        <v>1899</v>
      </c>
      <c r="W1901">
        <v>32</v>
      </c>
      <c r="X1901">
        <v>1.94</v>
      </c>
      <c r="Y1901" s="32">
        <v>3.89</v>
      </c>
      <c r="Z1901">
        <v>0</v>
      </c>
      <c r="AA1901" s="32">
        <v>1.486</v>
      </c>
      <c r="AB1901">
        <v>0</v>
      </c>
      <c r="AC1901" s="34">
        <v>0.17699999999999999</v>
      </c>
      <c r="AD1901" s="32">
        <v>2.8839999999999999</v>
      </c>
    </row>
    <row r="1902" spans="1:30">
      <c r="A1902">
        <v>1900</v>
      </c>
      <c r="B1902">
        <v>33</v>
      </c>
      <c r="C1902">
        <v>1.929</v>
      </c>
      <c r="D1902">
        <v>3.79</v>
      </c>
      <c r="E1902">
        <v>0</v>
      </c>
      <c r="F1902">
        <v>1.5840000000000001</v>
      </c>
      <c r="G1902">
        <v>0</v>
      </c>
      <c r="H1902">
        <v>0.17899999999999999</v>
      </c>
      <c r="I1902">
        <v>3.2240000000000002</v>
      </c>
      <c r="K1902">
        <v>1900</v>
      </c>
      <c r="L1902">
        <v>33</v>
      </c>
      <c r="M1902" s="32">
        <v>1.929</v>
      </c>
      <c r="N1902" s="47">
        <v>3.88</v>
      </c>
      <c r="P1902" s="47">
        <v>1.587</v>
      </c>
      <c r="R1902" s="47">
        <v>0.184</v>
      </c>
      <c r="S1902" s="47">
        <v>3.0579999999999998</v>
      </c>
      <c r="T1902" s="31">
        <v>0</v>
      </c>
      <c r="V1902">
        <v>1900</v>
      </c>
      <c r="W1902">
        <v>32</v>
      </c>
      <c r="X1902">
        <v>1.9410000000000001</v>
      </c>
      <c r="Y1902" s="32">
        <v>3.89</v>
      </c>
      <c r="Z1902">
        <v>0</v>
      </c>
      <c r="AA1902" s="32">
        <v>1.486</v>
      </c>
      <c r="AB1902">
        <v>0</v>
      </c>
      <c r="AC1902" s="34">
        <v>0.17699999999999999</v>
      </c>
      <c r="AD1902" s="32">
        <v>2.8849999999999998</v>
      </c>
    </row>
    <row r="1903" spans="1:30">
      <c r="A1903">
        <v>1901</v>
      </c>
      <c r="B1903">
        <v>34</v>
      </c>
      <c r="C1903">
        <v>1.93</v>
      </c>
      <c r="D1903">
        <v>3.89</v>
      </c>
      <c r="E1903">
        <v>0</v>
      </c>
      <c r="F1903">
        <v>1.587</v>
      </c>
      <c r="G1903">
        <v>0</v>
      </c>
      <c r="H1903">
        <v>0.184</v>
      </c>
      <c r="I1903">
        <v>3.06</v>
      </c>
      <c r="K1903">
        <v>1901</v>
      </c>
      <c r="L1903">
        <v>34</v>
      </c>
      <c r="M1903" s="32">
        <v>1.93</v>
      </c>
      <c r="N1903" s="32">
        <v>3.89</v>
      </c>
      <c r="P1903" s="32">
        <v>1.587</v>
      </c>
      <c r="R1903" s="32">
        <v>0.184</v>
      </c>
      <c r="S1903" s="32">
        <v>3.06</v>
      </c>
      <c r="T1903" s="31">
        <v>0</v>
      </c>
      <c r="V1903">
        <v>1901</v>
      </c>
      <c r="W1903">
        <v>32</v>
      </c>
      <c r="X1903">
        <v>1.9419999999999999</v>
      </c>
      <c r="Y1903" s="32">
        <v>3.89</v>
      </c>
      <c r="Z1903">
        <v>0</v>
      </c>
      <c r="AA1903" s="32">
        <v>1.4870000000000001</v>
      </c>
      <c r="AB1903">
        <v>0</v>
      </c>
      <c r="AC1903" s="34">
        <v>0.17699999999999999</v>
      </c>
      <c r="AD1903" s="32">
        <v>2.887</v>
      </c>
    </row>
    <row r="1904" spans="1:30">
      <c r="A1904">
        <v>1902</v>
      </c>
      <c r="B1904">
        <v>34</v>
      </c>
      <c r="C1904">
        <v>1.931</v>
      </c>
      <c r="D1904">
        <v>3.89</v>
      </c>
      <c r="E1904">
        <v>0</v>
      </c>
      <c r="F1904">
        <v>1.587</v>
      </c>
      <c r="G1904">
        <v>0</v>
      </c>
      <c r="H1904">
        <v>0.184</v>
      </c>
      <c r="I1904">
        <v>3.0619999999999998</v>
      </c>
      <c r="K1904">
        <v>1902</v>
      </c>
      <c r="L1904">
        <v>34</v>
      </c>
      <c r="M1904" s="32">
        <v>1.931</v>
      </c>
      <c r="N1904" s="32">
        <v>3.89</v>
      </c>
      <c r="P1904" s="32">
        <v>1.587</v>
      </c>
      <c r="R1904" s="32">
        <v>0.184</v>
      </c>
      <c r="S1904" s="32">
        <v>3.0619999999999998</v>
      </c>
      <c r="T1904" s="31">
        <v>0</v>
      </c>
      <c r="V1904">
        <v>1902</v>
      </c>
      <c r="W1904">
        <v>32</v>
      </c>
      <c r="X1904">
        <v>1.9430000000000001</v>
      </c>
      <c r="Y1904" s="32">
        <v>3.89</v>
      </c>
      <c r="Z1904">
        <v>0</v>
      </c>
      <c r="AA1904" s="32">
        <v>1.4870000000000001</v>
      </c>
      <c r="AB1904">
        <v>0</v>
      </c>
      <c r="AC1904" s="34">
        <v>0.17699999999999999</v>
      </c>
      <c r="AD1904" s="32">
        <v>2.8889999999999998</v>
      </c>
    </row>
    <row r="1905" spans="1:30">
      <c r="A1905">
        <v>1903</v>
      </c>
      <c r="B1905">
        <v>34</v>
      </c>
      <c r="C1905">
        <v>1.9319999999999999</v>
      </c>
      <c r="D1905">
        <v>3.89</v>
      </c>
      <c r="E1905">
        <v>0</v>
      </c>
      <c r="F1905">
        <v>1.5880000000000001</v>
      </c>
      <c r="G1905">
        <v>0</v>
      </c>
      <c r="H1905">
        <v>0.184</v>
      </c>
      <c r="I1905">
        <v>3.0640000000000001</v>
      </c>
      <c r="K1905">
        <v>1903</v>
      </c>
      <c r="L1905">
        <v>34</v>
      </c>
      <c r="M1905" s="32">
        <v>1.9319999999999999</v>
      </c>
      <c r="N1905" s="32">
        <v>3.89</v>
      </c>
      <c r="P1905" s="32">
        <v>1.5880000000000001</v>
      </c>
      <c r="R1905" s="32">
        <v>0.184</v>
      </c>
      <c r="S1905" s="47">
        <v>3.0649999999999999</v>
      </c>
      <c r="T1905" s="31">
        <v>0</v>
      </c>
      <c r="V1905">
        <v>1903</v>
      </c>
      <c r="W1905">
        <v>32</v>
      </c>
      <c r="X1905">
        <v>1.944</v>
      </c>
      <c r="Y1905" s="32">
        <v>3.89</v>
      </c>
      <c r="Z1905">
        <v>0</v>
      </c>
      <c r="AA1905" s="32">
        <v>1.4870000000000001</v>
      </c>
      <c r="AB1905">
        <v>0</v>
      </c>
      <c r="AC1905" s="34">
        <v>0.17699999999999999</v>
      </c>
      <c r="AD1905" s="32">
        <v>2.891</v>
      </c>
    </row>
    <row r="1906" spans="1:30">
      <c r="A1906">
        <v>1904</v>
      </c>
      <c r="B1906">
        <v>34</v>
      </c>
      <c r="C1906">
        <v>1.9330000000000001</v>
      </c>
      <c r="D1906">
        <v>3.9</v>
      </c>
      <c r="E1906">
        <v>0</v>
      </c>
      <c r="F1906">
        <v>1.5880000000000001</v>
      </c>
      <c r="G1906">
        <v>0</v>
      </c>
      <c r="H1906">
        <v>0.184</v>
      </c>
      <c r="I1906">
        <v>3.0659999999999998</v>
      </c>
      <c r="K1906">
        <v>1904</v>
      </c>
      <c r="L1906">
        <v>34</v>
      </c>
      <c r="M1906" s="32">
        <v>1.9330000000000001</v>
      </c>
      <c r="N1906" s="47">
        <v>3.89</v>
      </c>
      <c r="P1906" s="32">
        <v>1.5880000000000001</v>
      </c>
      <c r="R1906" s="32">
        <v>0.184</v>
      </c>
      <c r="S1906" s="47">
        <v>3.0670000000000002</v>
      </c>
      <c r="T1906" s="31">
        <v>0</v>
      </c>
      <c r="V1906">
        <v>1904</v>
      </c>
      <c r="W1906">
        <v>32</v>
      </c>
      <c r="X1906">
        <v>1.9450000000000001</v>
      </c>
      <c r="Y1906" s="32">
        <v>3.89</v>
      </c>
      <c r="Z1906">
        <v>0</v>
      </c>
      <c r="AA1906" s="32">
        <v>1.4870000000000001</v>
      </c>
      <c r="AB1906">
        <v>0</v>
      </c>
      <c r="AC1906" s="34">
        <v>0.17699999999999999</v>
      </c>
      <c r="AD1906" s="32">
        <v>2.8929999999999998</v>
      </c>
    </row>
    <row r="1907" spans="1:30">
      <c r="A1907">
        <v>1905</v>
      </c>
      <c r="B1907">
        <v>34</v>
      </c>
      <c r="C1907">
        <v>1.9339999999999999</v>
      </c>
      <c r="D1907">
        <v>3.9</v>
      </c>
      <c r="E1907">
        <v>0</v>
      </c>
      <c r="F1907">
        <v>1.5880000000000001</v>
      </c>
      <c r="G1907">
        <v>0</v>
      </c>
      <c r="H1907">
        <v>0.184</v>
      </c>
      <c r="I1907">
        <v>3.0680000000000001</v>
      </c>
      <c r="K1907">
        <v>1905</v>
      </c>
      <c r="L1907">
        <v>34</v>
      </c>
      <c r="M1907" s="32">
        <v>1.9339999999999999</v>
      </c>
      <c r="N1907" s="47">
        <v>3.89</v>
      </c>
      <c r="P1907" s="32">
        <v>1.5880000000000001</v>
      </c>
      <c r="R1907" s="32">
        <v>0.184</v>
      </c>
      <c r="S1907" s="47">
        <v>3.07</v>
      </c>
      <c r="T1907" s="31">
        <v>0</v>
      </c>
      <c r="V1907">
        <v>1905</v>
      </c>
      <c r="W1907">
        <v>32</v>
      </c>
      <c r="X1907">
        <v>1.946</v>
      </c>
      <c r="Y1907" s="32">
        <v>3.89</v>
      </c>
      <c r="Z1907">
        <v>0</v>
      </c>
      <c r="AA1907" s="32">
        <v>1.4870000000000001</v>
      </c>
      <c r="AB1907">
        <v>0</v>
      </c>
      <c r="AC1907" s="34">
        <v>0.17699999999999999</v>
      </c>
      <c r="AD1907" s="32">
        <v>2.895</v>
      </c>
    </row>
    <row r="1908" spans="1:30">
      <c r="A1908">
        <v>1906</v>
      </c>
      <c r="B1908">
        <v>34</v>
      </c>
      <c r="C1908">
        <v>1.9350000000000001</v>
      </c>
      <c r="D1908">
        <v>3.9</v>
      </c>
      <c r="E1908">
        <v>0</v>
      </c>
      <c r="F1908">
        <v>1.5880000000000001</v>
      </c>
      <c r="G1908">
        <v>0</v>
      </c>
      <c r="H1908">
        <v>0.184</v>
      </c>
      <c r="I1908">
        <v>3.0710000000000002</v>
      </c>
      <c r="K1908">
        <v>1906</v>
      </c>
      <c r="L1908">
        <v>34</v>
      </c>
      <c r="M1908" s="32">
        <v>1.9350000000000001</v>
      </c>
      <c r="N1908" s="47">
        <v>3.89</v>
      </c>
      <c r="P1908" s="47">
        <v>1.589</v>
      </c>
      <c r="R1908" s="32">
        <v>0.184</v>
      </c>
      <c r="S1908" s="47">
        <v>3.0720000000000001</v>
      </c>
      <c r="T1908" s="31">
        <v>0</v>
      </c>
      <c r="V1908">
        <v>1906</v>
      </c>
      <c r="W1908">
        <v>32</v>
      </c>
      <c r="X1908">
        <v>1.9470000000000001</v>
      </c>
      <c r="Y1908" s="32">
        <v>3.89</v>
      </c>
      <c r="Z1908">
        <v>0</v>
      </c>
      <c r="AA1908" s="32">
        <v>1.488</v>
      </c>
      <c r="AB1908">
        <v>0</v>
      </c>
      <c r="AC1908" s="34">
        <v>0.17699999999999999</v>
      </c>
      <c r="AD1908" s="32">
        <v>2.8969999999999998</v>
      </c>
    </row>
    <row r="1909" spans="1:30">
      <c r="A1909">
        <v>1907</v>
      </c>
      <c r="B1909">
        <v>34</v>
      </c>
      <c r="C1909">
        <v>1.9359999999999999</v>
      </c>
      <c r="D1909">
        <v>3.9</v>
      </c>
      <c r="E1909">
        <v>0</v>
      </c>
      <c r="F1909">
        <v>1.589</v>
      </c>
      <c r="G1909">
        <v>0</v>
      </c>
      <c r="H1909">
        <v>0.184</v>
      </c>
      <c r="I1909">
        <v>3.073</v>
      </c>
      <c r="K1909">
        <v>1907</v>
      </c>
      <c r="L1909">
        <v>34</v>
      </c>
      <c r="M1909" s="32">
        <v>1.9359999999999999</v>
      </c>
      <c r="N1909" s="47">
        <v>3.89</v>
      </c>
      <c r="P1909" s="32">
        <v>1.589</v>
      </c>
      <c r="R1909" s="32">
        <v>0.184</v>
      </c>
      <c r="S1909" s="47">
        <v>3.0739999999999998</v>
      </c>
      <c r="T1909" s="31">
        <v>0</v>
      </c>
      <c r="V1909">
        <v>1907</v>
      </c>
      <c r="W1909">
        <v>32</v>
      </c>
      <c r="X1909">
        <v>1.948</v>
      </c>
      <c r="Y1909" s="32">
        <v>3.89</v>
      </c>
      <c r="Z1909">
        <v>0</v>
      </c>
      <c r="AA1909" s="32">
        <v>1.488</v>
      </c>
      <c r="AB1909">
        <v>0</v>
      </c>
      <c r="AC1909" s="34">
        <v>0.17699999999999999</v>
      </c>
      <c r="AD1909" s="32">
        <v>2.8980000000000001</v>
      </c>
    </row>
    <row r="1910" spans="1:30">
      <c r="A1910">
        <v>1908</v>
      </c>
      <c r="B1910">
        <v>34</v>
      </c>
      <c r="C1910">
        <v>1.9370000000000001</v>
      </c>
      <c r="D1910">
        <v>3.9</v>
      </c>
      <c r="E1910">
        <v>0</v>
      </c>
      <c r="F1910">
        <v>1.589</v>
      </c>
      <c r="G1910">
        <v>0</v>
      </c>
      <c r="H1910">
        <v>0.184</v>
      </c>
      <c r="I1910">
        <v>3.0750000000000002</v>
      </c>
      <c r="K1910">
        <v>1908</v>
      </c>
      <c r="L1910">
        <v>34</v>
      </c>
      <c r="M1910" s="32">
        <v>1.9370000000000001</v>
      </c>
      <c r="N1910" s="47">
        <v>3.89</v>
      </c>
      <c r="P1910" s="32">
        <v>1.589</v>
      </c>
      <c r="R1910" s="32">
        <v>0.184</v>
      </c>
      <c r="S1910" s="47">
        <v>3.077</v>
      </c>
      <c r="T1910" s="31">
        <v>0</v>
      </c>
      <c r="V1910">
        <v>1908</v>
      </c>
      <c r="W1910">
        <v>32</v>
      </c>
      <c r="X1910">
        <v>1.9490000000000001</v>
      </c>
      <c r="Y1910" s="32">
        <v>3.89</v>
      </c>
      <c r="Z1910">
        <v>0</v>
      </c>
      <c r="AA1910" s="32">
        <v>1.488</v>
      </c>
      <c r="AB1910">
        <v>0</v>
      </c>
      <c r="AC1910" s="34">
        <v>0.17699999999999999</v>
      </c>
      <c r="AD1910" s="32">
        <v>2.9</v>
      </c>
    </row>
    <row r="1911" spans="1:30">
      <c r="A1911">
        <v>1909</v>
      </c>
      <c r="B1911">
        <v>34</v>
      </c>
      <c r="C1911">
        <v>1.9379999999999999</v>
      </c>
      <c r="D1911">
        <v>3.91</v>
      </c>
      <c r="E1911">
        <v>0</v>
      </c>
      <c r="F1911">
        <v>1.589</v>
      </c>
      <c r="G1911">
        <v>0</v>
      </c>
      <c r="H1911">
        <v>0.184</v>
      </c>
      <c r="I1911">
        <v>3.077</v>
      </c>
      <c r="K1911">
        <v>1909</v>
      </c>
      <c r="L1911">
        <v>34</v>
      </c>
      <c r="M1911" s="32">
        <v>1.9379999999999999</v>
      </c>
      <c r="N1911" s="47">
        <v>3.89</v>
      </c>
      <c r="P1911" s="32">
        <v>1.589</v>
      </c>
      <c r="R1911" s="32">
        <v>0.184</v>
      </c>
      <c r="S1911" s="47">
        <v>3.0790000000000002</v>
      </c>
      <c r="T1911" s="31">
        <v>0</v>
      </c>
      <c r="V1911">
        <v>1909</v>
      </c>
      <c r="W1911">
        <v>32</v>
      </c>
      <c r="X1911">
        <v>1.95</v>
      </c>
      <c r="Y1911" s="32">
        <v>3.89</v>
      </c>
      <c r="Z1911">
        <v>0</v>
      </c>
      <c r="AA1911" s="32">
        <v>1.488</v>
      </c>
      <c r="AB1911">
        <v>0</v>
      </c>
      <c r="AC1911" s="34">
        <v>0.17699999999999999</v>
      </c>
      <c r="AD1911" s="32">
        <v>2.9020000000000001</v>
      </c>
    </row>
    <row r="1912" spans="1:30">
      <c r="A1912">
        <v>1910</v>
      </c>
      <c r="B1912">
        <v>34</v>
      </c>
      <c r="C1912">
        <v>1.9390000000000001</v>
      </c>
      <c r="D1912">
        <v>3.91</v>
      </c>
      <c r="E1912">
        <v>0</v>
      </c>
      <c r="F1912">
        <v>1.589</v>
      </c>
      <c r="G1912">
        <v>0</v>
      </c>
      <c r="H1912">
        <v>0.184</v>
      </c>
      <c r="I1912">
        <v>3.0790000000000002</v>
      </c>
      <c r="K1912">
        <v>1910</v>
      </c>
      <c r="L1912">
        <v>34</v>
      </c>
      <c r="M1912" s="32">
        <v>1.9390000000000001</v>
      </c>
      <c r="N1912" s="47">
        <v>3.89</v>
      </c>
      <c r="P1912" s="47">
        <v>1.59</v>
      </c>
      <c r="R1912" s="47">
        <v>0.185</v>
      </c>
      <c r="S1912" s="47">
        <v>3.0819999999999999</v>
      </c>
      <c r="T1912" s="31">
        <v>0</v>
      </c>
      <c r="V1912">
        <v>1910</v>
      </c>
      <c r="W1912">
        <v>32</v>
      </c>
      <c r="X1912">
        <v>1.9510000000000001</v>
      </c>
      <c r="Y1912" s="32">
        <v>3.89</v>
      </c>
      <c r="Z1912">
        <v>0</v>
      </c>
      <c r="AA1912" s="32">
        <v>1.488</v>
      </c>
      <c r="AB1912">
        <v>0</v>
      </c>
      <c r="AC1912" s="34">
        <v>0.17699999999999999</v>
      </c>
      <c r="AD1912" s="32">
        <v>2.9039999999999999</v>
      </c>
    </row>
    <row r="1913" spans="1:30">
      <c r="A1913">
        <v>1911</v>
      </c>
      <c r="B1913">
        <v>34</v>
      </c>
      <c r="C1913">
        <v>1.94</v>
      </c>
      <c r="D1913">
        <v>3.89</v>
      </c>
      <c r="E1913">
        <v>0</v>
      </c>
      <c r="F1913">
        <v>1.59</v>
      </c>
      <c r="G1913">
        <v>0</v>
      </c>
      <c r="H1913">
        <v>0.184</v>
      </c>
      <c r="I1913">
        <v>3.105</v>
      </c>
      <c r="K1913">
        <v>1911</v>
      </c>
      <c r="L1913">
        <v>34</v>
      </c>
      <c r="M1913" s="32">
        <v>1.94</v>
      </c>
      <c r="N1913" s="32">
        <v>3.89</v>
      </c>
      <c r="P1913" s="32">
        <v>1.59</v>
      </c>
      <c r="R1913" s="47">
        <v>0.185</v>
      </c>
      <c r="S1913" s="47">
        <v>3.0840000000000001</v>
      </c>
      <c r="T1913" s="31">
        <v>0</v>
      </c>
      <c r="V1913">
        <v>1911</v>
      </c>
      <c r="W1913">
        <v>32</v>
      </c>
      <c r="X1913">
        <v>1.952</v>
      </c>
      <c r="Y1913" s="32">
        <v>3.89</v>
      </c>
      <c r="Z1913">
        <v>0</v>
      </c>
      <c r="AA1913" s="32">
        <v>1.488</v>
      </c>
      <c r="AB1913">
        <v>0</v>
      </c>
      <c r="AC1913" s="34">
        <v>0.17699999999999999</v>
      </c>
      <c r="AD1913" s="32">
        <v>2.9060000000000001</v>
      </c>
    </row>
    <row r="1914" spans="1:30">
      <c r="A1914">
        <v>1912</v>
      </c>
      <c r="B1914">
        <v>34</v>
      </c>
      <c r="C1914">
        <v>1.9410000000000001</v>
      </c>
      <c r="D1914">
        <v>3.89</v>
      </c>
      <c r="E1914">
        <v>0</v>
      </c>
      <c r="F1914">
        <v>1.59</v>
      </c>
      <c r="G1914">
        <v>0</v>
      </c>
      <c r="H1914">
        <v>0.184</v>
      </c>
      <c r="I1914">
        <v>3.1070000000000002</v>
      </c>
      <c r="K1914">
        <v>1912</v>
      </c>
      <c r="L1914">
        <v>34</v>
      </c>
      <c r="M1914" s="32">
        <v>1.9410000000000001</v>
      </c>
      <c r="N1914" s="32">
        <v>3.89</v>
      </c>
      <c r="P1914" s="32">
        <v>1.59</v>
      </c>
      <c r="R1914" s="47">
        <v>0.185</v>
      </c>
      <c r="S1914" s="47">
        <v>3.0859999999999999</v>
      </c>
      <c r="T1914" s="31">
        <v>0</v>
      </c>
      <c r="V1914">
        <v>1912</v>
      </c>
      <c r="W1914">
        <v>32</v>
      </c>
      <c r="X1914">
        <v>1.9530000000000001</v>
      </c>
      <c r="Y1914" s="32">
        <v>3.89</v>
      </c>
      <c r="Z1914">
        <v>0</v>
      </c>
      <c r="AA1914" s="32">
        <v>1.4890000000000001</v>
      </c>
      <c r="AB1914">
        <v>0</v>
      </c>
      <c r="AC1914" s="34">
        <v>0.17799999999999999</v>
      </c>
      <c r="AD1914" s="32">
        <v>2.9079999999999999</v>
      </c>
    </row>
    <row r="1915" spans="1:30">
      <c r="A1915">
        <v>1913</v>
      </c>
      <c r="B1915">
        <v>34</v>
      </c>
      <c r="C1915">
        <v>1.9419999999999999</v>
      </c>
      <c r="D1915">
        <v>3.89</v>
      </c>
      <c r="E1915">
        <v>0</v>
      </c>
      <c r="F1915">
        <v>1.59</v>
      </c>
      <c r="G1915">
        <v>0</v>
      </c>
      <c r="H1915">
        <v>0.184</v>
      </c>
      <c r="I1915">
        <v>3.109</v>
      </c>
      <c r="K1915">
        <v>1913</v>
      </c>
      <c r="L1915">
        <v>34</v>
      </c>
      <c r="M1915" s="32">
        <v>1.9419999999999999</v>
      </c>
      <c r="N1915" s="32">
        <v>3.89</v>
      </c>
      <c r="P1915" s="32">
        <v>1.59</v>
      </c>
      <c r="R1915" s="47">
        <v>0.185</v>
      </c>
      <c r="S1915" s="47">
        <v>3.0880000000000001</v>
      </c>
      <c r="T1915" s="31">
        <v>0</v>
      </c>
      <c r="V1915">
        <v>1913</v>
      </c>
      <c r="W1915">
        <v>32</v>
      </c>
      <c r="X1915">
        <v>1.954</v>
      </c>
      <c r="Y1915" s="32">
        <v>3.89</v>
      </c>
      <c r="Z1915">
        <v>0</v>
      </c>
      <c r="AA1915" s="32">
        <v>1.4890000000000001</v>
      </c>
      <c r="AB1915">
        <v>0</v>
      </c>
      <c r="AC1915" s="34">
        <v>0.17799999999999999</v>
      </c>
      <c r="AD1915" s="32">
        <v>2.9089999999999998</v>
      </c>
    </row>
    <row r="1916" spans="1:30">
      <c r="A1916">
        <v>1914</v>
      </c>
      <c r="B1916">
        <v>34</v>
      </c>
      <c r="C1916">
        <v>1.9430000000000001</v>
      </c>
      <c r="D1916">
        <v>3.89</v>
      </c>
      <c r="E1916">
        <v>0</v>
      </c>
      <c r="F1916">
        <v>1.59</v>
      </c>
      <c r="G1916">
        <v>0</v>
      </c>
      <c r="H1916">
        <v>0.184</v>
      </c>
      <c r="I1916">
        <v>3.1110000000000002</v>
      </c>
      <c r="K1916">
        <v>1914</v>
      </c>
      <c r="L1916">
        <v>34</v>
      </c>
      <c r="M1916" s="32">
        <v>1.9430000000000001</v>
      </c>
      <c r="N1916" s="32">
        <v>3.89</v>
      </c>
      <c r="P1916" s="47">
        <v>1.591</v>
      </c>
      <c r="R1916" s="47">
        <v>0.185</v>
      </c>
      <c r="S1916" s="47">
        <v>3.09</v>
      </c>
      <c r="T1916" s="31">
        <v>0</v>
      </c>
      <c r="V1916">
        <v>1914</v>
      </c>
      <c r="W1916">
        <v>32</v>
      </c>
      <c r="X1916">
        <v>1.9550000000000001</v>
      </c>
      <c r="Y1916" s="32">
        <v>3.89</v>
      </c>
      <c r="Z1916">
        <v>0</v>
      </c>
      <c r="AA1916" s="32">
        <v>1.4890000000000001</v>
      </c>
      <c r="AB1916">
        <v>0</v>
      </c>
      <c r="AC1916" s="34">
        <v>0.17799999999999999</v>
      </c>
      <c r="AD1916" s="32">
        <v>2.911</v>
      </c>
    </row>
    <row r="1917" spans="1:30">
      <c r="A1917">
        <v>1915</v>
      </c>
      <c r="B1917">
        <v>34</v>
      </c>
      <c r="C1917">
        <v>1.944</v>
      </c>
      <c r="D1917">
        <v>3.89</v>
      </c>
      <c r="E1917">
        <v>0</v>
      </c>
      <c r="F1917">
        <v>1.59</v>
      </c>
      <c r="G1917">
        <v>0</v>
      </c>
      <c r="H1917">
        <v>0.184</v>
      </c>
      <c r="I1917">
        <v>3.113</v>
      </c>
      <c r="K1917">
        <v>1915</v>
      </c>
      <c r="L1917">
        <v>34</v>
      </c>
      <c r="M1917" s="32">
        <v>1.944</v>
      </c>
      <c r="N1917" s="32">
        <v>3.89</v>
      </c>
      <c r="P1917" s="47">
        <v>1.591</v>
      </c>
      <c r="R1917" s="47">
        <v>0.185</v>
      </c>
      <c r="S1917" s="47">
        <v>3.0920000000000001</v>
      </c>
      <c r="T1917" s="31">
        <v>0</v>
      </c>
      <c r="V1917">
        <v>1915</v>
      </c>
      <c r="W1917">
        <v>32</v>
      </c>
      <c r="X1917">
        <v>1.956</v>
      </c>
      <c r="Y1917" s="32">
        <v>3.89</v>
      </c>
      <c r="Z1917">
        <v>0</v>
      </c>
      <c r="AA1917" s="32">
        <v>1.4890000000000001</v>
      </c>
      <c r="AB1917">
        <v>0</v>
      </c>
      <c r="AC1917" s="34">
        <v>0.17799999999999999</v>
      </c>
      <c r="AD1917" s="32">
        <v>2.9129999999999998</v>
      </c>
    </row>
    <row r="1918" spans="1:30">
      <c r="A1918">
        <v>1916</v>
      </c>
      <c r="B1918">
        <v>34</v>
      </c>
      <c r="C1918">
        <v>1.9450000000000001</v>
      </c>
      <c r="D1918">
        <v>3.89</v>
      </c>
      <c r="E1918">
        <v>0</v>
      </c>
      <c r="F1918">
        <v>1.59</v>
      </c>
      <c r="G1918">
        <v>0</v>
      </c>
      <c r="H1918">
        <v>0.184</v>
      </c>
      <c r="I1918">
        <v>3.1160000000000001</v>
      </c>
      <c r="K1918">
        <v>1916</v>
      </c>
      <c r="L1918">
        <v>34</v>
      </c>
      <c r="M1918" s="32">
        <v>1.9450000000000001</v>
      </c>
      <c r="N1918" s="32">
        <v>3.89</v>
      </c>
      <c r="P1918" s="47">
        <v>1.591</v>
      </c>
      <c r="R1918" s="47">
        <v>0.185</v>
      </c>
      <c r="S1918" s="47">
        <v>3.0950000000000002</v>
      </c>
      <c r="T1918" s="31">
        <v>0</v>
      </c>
      <c r="V1918">
        <v>1916</v>
      </c>
      <c r="W1918">
        <v>32</v>
      </c>
      <c r="X1918">
        <v>1.9570000000000001</v>
      </c>
      <c r="Y1918" s="32">
        <v>3.89</v>
      </c>
      <c r="Z1918">
        <v>0</v>
      </c>
      <c r="AA1918" s="32">
        <v>1.4890000000000001</v>
      </c>
      <c r="AB1918">
        <v>0</v>
      </c>
      <c r="AC1918" s="34">
        <v>0.17799999999999999</v>
      </c>
      <c r="AD1918" s="32">
        <v>2.915</v>
      </c>
    </row>
    <row r="1919" spans="1:30">
      <c r="A1919">
        <v>1917</v>
      </c>
      <c r="B1919">
        <v>34</v>
      </c>
      <c r="C1919">
        <v>1.946</v>
      </c>
      <c r="D1919">
        <v>3.89</v>
      </c>
      <c r="E1919">
        <v>0</v>
      </c>
      <c r="F1919">
        <v>1.59</v>
      </c>
      <c r="G1919">
        <v>0</v>
      </c>
      <c r="H1919">
        <v>0.184</v>
      </c>
      <c r="I1919">
        <v>3.1179999999999999</v>
      </c>
      <c r="K1919">
        <v>1917</v>
      </c>
      <c r="L1919">
        <v>34</v>
      </c>
      <c r="M1919" s="32">
        <v>1.946</v>
      </c>
      <c r="N1919" s="32">
        <v>3.89</v>
      </c>
      <c r="P1919" s="47">
        <v>1.591</v>
      </c>
      <c r="R1919" s="47">
        <v>0.185</v>
      </c>
      <c r="S1919" s="47">
        <v>3.097</v>
      </c>
      <c r="T1919" s="31">
        <v>0</v>
      </c>
      <c r="V1919">
        <v>1917</v>
      </c>
      <c r="W1919">
        <v>32</v>
      </c>
      <c r="X1919">
        <v>1.958</v>
      </c>
      <c r="Y1919" s="32">
        <v>3.89</v>
      </c>
      <c r="Z1919">
        <v>0</v>
      </c>
      <c r="AA1919" s="32">
        <v>1.49</v>
      </c>
      <c r="AB1919">
        <v>0</v>
      </c>
      <c r="AC1919" s="34">
        <v>0.17799999999999999</v>
      </c>
      <c r="AD1919" s="32">
        <v>2.9169999999999998</v>
      </c>
    </row>
    <row r="1920" spans="1:30">
      <c r="A1920">
        <v>1918</v>
      </c>
      <c r="B1920">
        <v>34</v>
      </c>
      <c r="C1920">
        <v>1.9470000000000001</v>
      </c>
      <c r="D1920">
        <v>3.89</v>
      </c>
      <c r="E1920">
        <v>0</v>
      </c>
      <c r="F1920">
        <v>1.59</v>
      </c>
      <c r="G1920">
        <v>0</v>
      </c>
      <c r="H1920">
        <v>0.184</v>
      </c>
      <c r="I1920">
        <v>3.12</v>
      </c>
      <c r="K1920">
        <v>1918</v>
      </c>
      <c r="L1920">
        <v>34</v>
      </c>
      <c r="M1920" s="32">
        <v>1.9470000000000001</v>
      </c>
      <c r="N1920" s="32">
        <v>3.89</v>
      </c>
      <c r="P1920" s="47">
        <v>1.591</v>
      </c>
      <c r="R1920" s="47">
        <v>0.185</v>
      </c>
      <c r="S1920" s="47">
        <v>3.0990000000000002</v>
      </c>
      <c r="T1920" s="31">
        <v>0</v>
      </c>
      <c r="V1920">
        <v>1918</v>
      </c>
      <c r="W1920">
        <v>32</v>
      </c>
      <c r="X1920">
        <v>1.9590000000000001</v>
      </c>
      <c r="Y1920" s="32">
        <v>3.89</v>
      </c>
      <c r="Z1920">
        <v>0</v>
      </c>
      <c r="AA1920" s="32">
        <v>1.49</v>
      </c>
      <c r="AB1920">
        <v>0</v>
      </c>
      <c r="AC1920" s="34">
        <v>0.17799999999999999</v>
      </c>
      <c r="AD1920" s="32">
        <v>2.919</v>
      </c>
    </row>
    <row r="1921" spans="1:30">
      <c r="A1921">
        <v>1919</v>
      </c>
      <c r="B1921">
        <v>34</v>
      </c>
      <c r="C1921">
        <v>1.948</v>
      </c>
      <c r="D1921">
        <v>3.89</v>
      </c>
      <c r="E1921">
        <v>0</v>
      </c>
      <c r="F1921">
        <v>1.59</v>
      </c>
      <c r="G1921">
        <v>0</v>
      </c>
      <c r="H1921">
        <v>0.184</v>
      </c>
      <c r="I1921">
        <v>3.1219999999999999</v>
      </c>
      <c r="K1921">
        <v>1919</v>
      </c>
      <c r="L1921">
        <v>34</v>
      </c>
      <c r="M1921" s="32">
        <v>1.948</v>
      </c>
      <c r="N1921" s="32">
        <v>3.89</v>
      </c>
      <c r="P1921" s="47">
        <v>1.5920000000000001</v>
      </c>
      <c r="R1921" s="47">
        <v>0.185</v>
      </c>
      <c r="S1921" s="47">
        <v>3.101</v>
      </c>
      <c r="T1921" s="31">
        <v>0</v>
      </c>
      <c r="V1921">
        <v>1919</v>
      </c>
      <c r="W1921">
        <v>32</v>
      </c>
      <c r="X1921">
        <v>1.96</v>
      </c>
      <c r="Y1921" s="32">
        <v>3.89</v>
      </c>
      <c r="Z1921">
        <v>0</v>
      </c>
      <c r="AA1921" s="32">
        <v>1.49</v>
      </c>
      <c r="AB1921">
        <v>0</v>
      </c>
      <c r="AC1921" s="34">
        <v>0.17799999999999999</v>
      </c>
      <c r="AD1921" s="32">
        <v>2.92</v>
      </c>
    </row>
    <row r="1922" spans="1:30">
      <c r="A1922">
        <v>1920</v>
      </c>
      <c r="B1922">
        <v>34</v>
      </c>
      <c r="C1922">
        <v>1.9490000000000001</v>
      </c>
      <c r="D1922">
        <v>3.89</v>
      </c>
      <c r="E1922">
        <v>0</v>
      </c>
      <c r="F1922">
        <v>1.59</v>
      </c>
      <c r="G1922">
        <v>0</v>
      </c>
      <c r="H1922">
        <v>0.184</v>
      </c>
      <c r="I1922">
        <v>3.1240000000000001</v>
      </c>
      <c r="K1922">
        <v>1920</v>
      </c>
      <c r="L1922">
        <v>34</v>
      </c>
      <c r="M1922" s="32">
        <v>1.9490000000000001</v>
      </c>
      <c r="N1922" s="32">
        <v>3.89</v>
      </c>
      <c r="P1922" s="47">
        <v>1.5920000000000001</v>
      </c>
      <c r="R1922" s="47">
        <v>0.185</v>
      </c>
      <c r="S1922" s="47">
        <v>3.1030000000000002</v>
      </c>
      <c r="T1922" s="31">
        <v>0</v>
      </c>
      <c r="V1922">
        <v>1920</v>
      </c>
      <c r="W1922">
        <v>32</v>
      </c>
      <c r="X1922">
        <v>1.9610000000000001</v>
      </c>
      <c r="Y1922" s="32">
        <v>3.89</v>
      </c>
      <c r="Z1922">
        <v>0</v>
      </c>
      <c r="AA1922" s="32">
        <v>1.49</v>
      </c>
      <c r="AB1922">
        <v>0</v>
      </c>
      <c r="AC1922" s="34">
        <v>0.17799999999999999</v>
      </c>
      <c r="AD1922" s="32">
        <v>2.9220000000000002</v>
      </c>
    </row>
    <row r="1923" spans="1:30">
      <c r="A1923">
        <v>1921</v>
      </c>
      <c r="B1923">
        <v>34</v>
      </c>
      <c r="C1923">
        <v>1.95</v>
      </c>
      <c r="D1923">
        <v>3.89</v>
      </c>
      <c r="E1923">
        <v>0</v>
      </c>
      <c r="F1923">
        <v>1.5920000000000001</v>
      </c>
      <c r="G1923">
        <v>0</v>
      </c>
      <c r="H1923">
        <v>0.184</v>
      </c>
      <c r="I1923">
        <v>3.1469999999999998</v>
      </c>
      <c r="K1923">
        <v>1921</v>
      </c>
      <c r="L1923">
        <v>34</v>
      </c>
      <c r="M1923" s="32">
        <v>1.95</v>
      </c>
      <c r="N1923" s="32">
        <v>3.89</v>
      </c>
      <c r="P1923" s="32">
        <v>1.5920000000000001</v>
      </c>
      <c r="R1923" s="47">
        <v>0.185</v>
      </c>
      <c r="S1923" s="47">
        <v>3.105</v>
      </c>
      <c r="T1923" s="31">
        <v>0</v>
      </c>
      <c r="V1923">
        <v>1921</v>
      </c>
      <c r="W1923">
        <v>32</v>
      </c>
      <c r="X1923">
        <v>1.962</v>
      </c>
      <c r="Y1923" s="32">
        <v>3.89</v>
      </c>
      <c r="Z1923">
        <v>0</v>
      </c>
      <c r="AA1923" s="32">
        <v>1.49</v>
      </c>
      <c r="AB1923">
        <v>0</v>
      </c>
      <c r="AC1923" s="34">
        <v>0.17799999999999999</v>
      </c>
      <c r="AD1923" s="32">
        <v>2.9239999999999999</v>
      </c>
    </row>
    <row r="1924" spans="1:30">
      <c r="A1924">
        <v>1922</v>
      </c>
      <c r="B1924">
        <v>34</v>
      </c>
      <c r="C1924">
        <v>1.9510000000000001</v>
      </c>
      <c r="D1924">
        <v>3.89</v>
      </c>
      <c r="E1924">
        <v>0</v>
      </c>
      <c r="F1924">
        <v>1.5920000000000001</v>
      </c>
      <c r="G1924">
        <v>0</v>
      </c>
      <c r="H1924">
        <v>0.184</v>
      </c>
      <c r="I1924">
        <v>3.149</v>
      </c>
      <c r="K1924">
        <v>1922</v>
      </c>
      <c r="L1924">
        <v>34</v>
      </c>
      <c r="M1924" s="32">
        <v>1.9510000000000001</v>
      </c>
      <c r="N1924" s="32">
        <v>3.89</v>
      </c>
      <c r="P1924" s="32">
        <v>1.5920000000000001</v>
      </c>
      <c r="R1924" s="47">
        <v>0.185</v>
      </c>
      <c r="S1924" s="47">
        <v>3.1070000000000002</v>
      </c>
      <c r="T1924" s="31">
        <v>0</v>
      </c>
      <c r="V1924">
        <v>1922</v>
      </c>
      <c r="W1924">
        <v>32</v>
      </c>
      <c r="X1924">
        <v>1.9630000000000001</v>
      </c>
      <c r="Y1924" s="32">
        <v>3.89</v>
      </c>
      <c r="Z1924">
        <v>0</v>
      </c>
      <c r="AA1924" s="32">
        <v>1.49</v>
      </c>
      <c r="AB1924">
        <v>0</v>
      </c>
      <c r="AC1924" s="34">
        <v>0.17799999999999999</v>
      </c>
      <c r="AD1924" s="32">
        <v>2.9260000000000002</v>
      </c>
    </row>
    <row r="1925" spans="1:30">
      <c r="A1925">
        <v>1923</v>
      </c>
      <c r="B1925">
        <v>34</v>
      </c>
      <c r="C1925">
        <v>1.952</v>
      </c>
      <c r="D1925">
        <v>3.89</v>
      </c>
      <c r="E1925">
        <v>0</v>
      </c>
      <c r="F1925">
        <v>1.5920000000000001</v>
      </c>
      <c r="G1925">
        <v>0</v>
      </c>
      <c r="H1925">
        <v>0.184</v>
      </c>
      <c r="I1925">
        <v>3.1509999999999998</v>
      </c>
      <c r="K1925">
        <v>1923</v>
      </c>
      <c r="L1925">
        <v>34</v>
      </c>
      <c r="M1925" s="32">
        <v>1.952</v>
      </c>
      <c r="N1925" s="32">
        <v>3.89</v>
      </c>
      <c r="P1925" s="47">
        <v>1.593</v>
      </c>
      <c r="R1925" s="47">
        <v>0.185</v>
      </c>
      <c r="S1925" s="47">
        <v>3.109</v>
      </c>
      <c r="T1925" s="31">
        <v>0</v>
      </c>
      <c r="V1925">
        <v>1923</v>
      </c>
      <c r="W1925">
        <v>32</v>
      </c>
      <c r="X1925">
        <v>1.964</v>
      </c>
      <c r="Y1925" s="32">
        <v>3.89</v>
      </c>
      <c r="Z1925">
        <v>0</v>
      </c>
      <c r="AA1925" s="32">
        <v>1.4910000000000001</v>
      </c>
      <c r="AB1925">
        <v>0</v>
      </c>
      <c r="AC1925" s="34">
        <v>0.17799999999999999</v>
      </c>
      <c r="AD1925" s="32">
        <v>2.9279999999999999</v>
      </c>
    </row>
    <row r="1926" spans="1:30">
      <c r="A1926">
        <v>1924</v>
      </c>
      <c r="B1926">
        <v>34</v>
      </c>
      <c r="C1926">
        <v>1.9530000000000001</v>
      </c>
      <c r="D1926">
        <v>3.89</v>
      </c>
      <c r="E1926">
        <v>0</v>
      </c>
      <c r="F1926">
        <v>1.5920000000000001</v>
      </c>
      <c r="G1926">
        <v>0</v>
      </c>
      <c r="H1926">
        <v>0.184</v>
      </c>
      <c r="I1926">
        <v>3.153</v>
      </c>
      <c r="K1926">
        <v>1924</v>
      </c>
      <c r="L1926">
        <v>34</v>
      </c>
      <c r="M1926" s="32">
        <v>1.9530000000000001</v>
      </c>
      <c r="N1926" s="32">
        <v>3.89</v>
      </c>
      <c r="P1926" s="47">
        <v>1.593</v>
      </c>
      <c r="R1926" s="47">
        <v>0.185</v>
      </c>
      <c r="S1926" s="47">
        <v>3.1110000000000002</v>
      </c>
      <c r="T1926" s="31">
        <v>0</v>
      </c>
      <c r="V1926">
        <v>1924</v>
      </c>
      <c r="W1926">
        <v>32</v>
      </c>
      <c r="X1926">
        <v>1.9650000000000001</v>
      </c>
      <c r="Y1926" s="32">
        <v>3.89</v>
      </c>
      <c r="Z1926">
        <v>0</v>
      </c>
      <c r="AA1926" s="32">
        <v>1.4910000000000001</v>
      </c>
      <c r="AB1926">
        <v>0</v>
      </c>
      <c r="AC1926" s="34">
        <v>0.17799999999999999</v>
      </c>
      <c r="AD1926" s="32">
        <v>2.93</v>
      </c>
    </row>
    <row r="1927" spans="1:30">
      <c r="A1927">
        <v>1925</v>
      </c>
      <c r="B1927">
        <v>34</v>
      </c>
      <c r="C1927">
        <v>1.954</v>
      </c>
      <c r="D1927">
        <v>3.89</v>
      </c>
      <c r="E1927">
        <v>0</v>
      </c>
      <c r="F1927">
        <v>1.5920000000000001</v>
      </c>
      <c r="G1927">
        <v>0</v>
      </c>
      <c r="H1927">
        <v>0.184</v>
      </c>
      <c r="I1927">
        <v>3.1549999999999998</v>
      </c>
      <c r="K1927">
        <v>1925</v>
      </c>
      <c r="L1927">
        <v>34</v>
      </c>
      <c r="M1927" s="32">
        <v>1.954</v>
      </c>
      <c r="N1927" s="32">
        <v>3.89</v>
      </c>
      <c r="P1927" s="47">
        <v>1.593</v>
      </c>
      <c r="R1927" s="47">
        <v>0.185</v>
      </c>
      <c r="S1927" s="47">
        <v>3.113</v>
      </c>
      <c r="T1927" s="31">
        <v>0</v>
      </c>
      <c r="V1927">
        <v>1925</v>
      </c>
      <c r="W1927">
        <v>32</v>
      </c>
      <c r="X1927">
        <v>1.966</v>
      </c>
      <c r="Y1927" s="32">
        <v>3.89</v>
      </c>
      <c r="Z1927">
        <v>0</v>
      </c>
      <c r="AA1927" s="32">
        <v>1.4910000000000001</v>
      </c>
      <c r="AB1927">
        <v>0</v>
      </c>
      <c r="AC1927" s="34">
        <v>0.17799999999999999</v>
      </c>
      <c r="AD1927" s="32">
        <v>2.931</v>
      </c>
    </row>
    <row r="1928" spans="1:30">
      <c r="A1928">
        <v>1926</v>
      </c>
      <c r="B1928">
        <v>34</v>
      </c>
      <c r="C1928">
        <v>1.9550000000000001</v>
      </c>
      <c r="D1928">
        <v>3.89</v>
      </c>
      <c r="E1928">
        <v>0</v>
      </c>
      <c r="F1928">
        <v>1.5920000000000001</v>
      </c>
      <c r="G1928">
        <v>0</v>
      </c>
      <c r="H1928">
        <v>0.184</v>
      </c>
      <c r="I1928">
        <v>3.1579999999999999</v>
      </c>
      <c r="K1928">
        <v>1926</v>
      </c>
      <c r="L1928">
        <v>34</v>
      </c>
      <c r="M1928" s="32">
        <v>1.9550000000000001</v>
      </c>
      <c r="N1928" s="32">
        <v>3.89</v>
      </c>
      <c r="P1928" s="47">
        <v>1.5940000000000001</v>
      </c>
      <c r="R1928" s="47">
        <v>0.185</v>
      </c>
      <c r="S1928" s="47">
        <v>3.1160000000000001</v>
      </c>
      <c r="T1928" s="31">
        <v>0</v>
      </c>
      <c r="V1928">
        <v>1926</v>
      </c>
      <c r="W1928">
        <v>32</v>
      </c>
      <c r="X1928">
        <v>1.9670000000000001</v>
      </c>
      <c r="Y1928" s="32">
        <v>3.89</v>
      </c>
      <c r="Z1928">
        <v>0</v>
      </c>
      <c r="AA1928" s="32">
        <v>1.4910000000000001</v>
      </c>
      <c r="AB1928">
        <v>0</v>
      </c>
      <c r="AC1928" s="34">
        <v>0.17799999999999999</v>
      </c>
      <c r="AD1928" s="32">
        <v>2.9329999999999998</v>
      </c>
    </row>
    <row r="1929" spans="1:30">
      <c r="A1929">
        <v>1927</v>
      </c>
      <c r="B1929">
        <v>34</v>
      </c>
      <c r="C1929">
        <v>1.956</v>
      </c>
      <c r="D1929">
        <v>3.89</v>
      </c>
      <c r="E1929">
        <v>0</v>
      </c>
      <c r="F1929">
        <v>1.5920000000000001</v>
      </c>
      <c r="G1929">
        <v>0</v>
      </c>
      <c r="H1929">
        <v>0.184</v>
      </c>
      <c r="I1929">
        <v>3.16</v>
      </c>
      <c r="K1929">
        <v>1927</v>
      </c>
      <c r="L1929">
        <v>34</v>
      </c>
      <c r="M1929" s="32">
        <v>1.956</v>
      </c>
      <c r="N1929" s="32">
        <v>3.89</v>
      </c>
      <c r="P1929" s="47">
        <v>1.5940000000000001</v>
      </c>
      <c r="R1929" s="47">
        <v>0.185</v>
      </c>
      <c r="S1929" s="47">
        <v>3.1179999999999999</v>
      </c>
      <c r="T1929" s="31">
        <v>0</v>
      </c>
      <c r="V1929">
        <v>1927</v>
      </c>
      <c r="W1929">
        <v>32</v>
      </c>
      <c r="X1929">
        <v>1.968</v>
      </c>
      <c r="Y1929" s="32">
        <v>3.89</v>
      </c>
      <c r="Z1929">
        <v>0</v>
      </c>
      <c r="AA1929" s="32">
        <v>1.4910000000000001</v>
      </c>
      <c r="AB1929">
        <v>0</v>
      </c>
      <c r="AC1929" s="34">
        <v>0.17799999999999999</v>
      </c>
      <c r="AD1929" s="32">
        <v>2.9350000000000001</v>
      </c>
    </row>
    <row r="1930" spans="1:30">
      <c r="A1930">
        <v>1928</v>
      </c>
      <c r="B1930">
        <v>34</v>
      </c>
      <c r="C1930">
        <v>1.9570000000000001</v>
      </c>
      <c r="D1930">
        <v>3.89</v>
      </c>
      <c r="E1930">
        <v>0</v>
      </c>
      <c r="F1930">
        <v>1.5920000000000001</v>
      </c>
      <c r="G1930">
        <v>0</v>
      </c>
      <c r="H1930">
        <v>0.184</v>
      </c>
      <c r="I1930">
        <v>3.1619999999999999</v>
      </c>
      <c r="K1930">
        <v>1928</v>
      </c>
      <c r="L1930">
        <v>34</v>
      </c>
      <c r="M1930" s="32">
        <v>1.9570000000000001</v>
      </c>
      <c r="N1930" s="32">
        <v>3.89</v>
      </c>
      <c r="P1930" s="47">
        <v>1.5940000000000001</v>
      </c>
      <c r="R1930" s="47">
        <v>0.186</v>
      </c>
      <c r="S1930" s="47">
        <v>3.12</v>
      </c>
      <c r="T1930" s="31">
        <v>0</v>
      </c>
      <c r="V1930">
        <v>1928</v>
      </c>
      <c r="W1930">
        <v>32</v>
      </c>
      <c r="X1930">
        <v>1.9690000000000001</v>
      </c>
      <c r="Y1930" s="32">
        <v>3.89</v>
      </c>
      <c r="Z1930">
        <v>0</v>
      </c>
      <c r="AA1930" s="32">
        <v>1.492</v>
      </c>
      <c r="AB1930">
        <v>0</v>
      </c>
      <c r="AC1930" s="34">
        <v>0.17899999999999999</v>
      </c>
      <c r="AD1930" s="32">
        <v>2.9369999999999998</v>
      </c>
    </row>
    <row r="1931" spans="1:30">
      <c r="A1931">
        <v>1929</v>
      </c>
      <c r="B1931">
        <v>34</v>
      </c>
      <c r="C1931">
        <v>1.958</v>
      </c>
      <c r="D1931">
        <v>3.89</v>
      </c>
      <c r="E1931">
        <v>0</v>
      </c>
      <c r="F1931">
        <v>1.5920000000000001</v>
      </c>
      <c r="G1931">
        <v>0</v>
      </c>
      <c r="H1931">
        <v>0.184</v>
      </c>
      <c r="I1931">
        <v>3.1640000000000001</v>
      </c>
      <c r="K1931">
        <v>1929</v>
      </c>
      <c r="L1931">
        <v>34</v>
      </c>
      <c r="M1931" s="32">
        <v>1.958</v>
      </c>
      <c r="N1931" s="32">
        <v>3.89</v>
      </c>
      <c r="P1931" s="47">
        <v>1.5940000000000001</v>
      </c>
      <c r="R1931" s="47">
        <v>0.186</v>
      </c>
      <c r="S1931" s="47">
        <v>3.1219999999999999</v>
      </c>
      <c r="T1931" s="31">
        <v>0</v>
      </c>
      <c r="V1931">
        <v>1929</v>
      </c>
      <c r="W1931">
        <v>32</v>
      </c>
      <c r="X1931">
        <v>1.97</v>
      </c>
      <c r="Y1931" s="32">
        <v>3.89</v>
      </c>
      <c r="Z1931">
        <v>0</v>
      </c>
      <c r="AA1931" s="32">
        <v>1.492</v>
      </c>
      <c r="AB1931">
        <v>0</v>
      </c>
      <c r="AC1931" s="34">
        <v>0.17899999999999999</v>
      </c>
      <c r="AD1931" s="32">
        <v>2.9390000000000001</v>
      </c>
    </row>
    <row r="1932" spans="1:30">
      <c r="A1932">
        <v>1930</v>
      </c>
      <c r="B1932">
        <v>34</v>
      </c>
      <c r="C1932">
        <v>1.9590000000000001</v>
      </c>
      <c r="D1932">
        <v>3.89</v>
      </c>
      <c r="E1932">
        <v>0</v>
      </c>
      <c r="F1932">
        <v>1.5920000000000001</v>
      </c>
      <c r="G1932">
        <v>0</v>
      </c>
      <c r="H1932">
        <v>0.184</v>
      </c>
      <c r="I1932">
        <v>3.1659999999999999</v>
      </c>
      <c r="K1932">
        <v>1930</v>
      </c>
      <c r="L1932">
        <v>34</v>
      </c>
      <c r="M1932" s="32">
        <v>1.9590000000000001</v>
      </c>
      <c r="N1932" s="32">
        <v>3.89</v>
      </c>
      <c r="P1932" s="47">
        <v>1.595</v>
      </c>
      <c r="R1932" s="47">
        <v>0.186</v>
      </c>
      <c r="S1932" s="47">
        <v>3.1240000000000001</v>
      </c>
      <c r="T1932" s="31">
        <v>0</v>
      </c>
      <c r="V1932">
        <v>1930</v>
      </c>
      <c r="W1932">
        <v>32</v>
      </c>
      <c r="X1932">
        <v>1.9710000000000001</v>
      </c>
      <c r="Y1932" s="32">
        <v>3.89</v>
      </c>
      <c r="Z1932">
        <v>0</v>
      </c>
      <c r="AA1932" s="32">
        <v>1.492</v>
      </c>
      <c r="AB1932">
        <v>0</v>
      </c>
      <c r="AC1932" s="34">
        <v>0.17899999999999999</v>
      </c>
      <c r="AD1932" s="32">
        <v>2.9409999999999998</v>
      </c>
    </row>
    <row r="1933" spans="1:30">
      <c r="A1933">
        <v>1931</v>
      </c>
      <c r="B1933">
        <v>34</v>
      </c>
      <c r="C1933">
        <v>1.96</v>
      </c>
      <c r="D1933">
        <v>3.89</v>
      </c>
      <c r="E1933">
        <v>0</v>
      </c>
      <c r="F1933">
        <v>1.595</v>
      </c>
      <c r="G1933">
        <v>0</v>
      </c>
      <c r="H1933">
        <v>0.184</v>
      </c>
      <c r="I1933">
        <v>3.1259999999999999</v>
      </c>
      <c r="K1933">
        <v>1931</v>
      </c>
      <c r="L1933">
        <v>34</v>
      </c>
      <c r="M1933" s="32">
        <v>1.96</v>
      </c>
      <c r="N1933" s="32">
        <v>3.89</v>
      </c>
      <c r="P1933" s="32">
        <v>1.595</v>
      </c>
      <c r="R1933" s="47">
        <v>0.186</v>
      </c>
      <c r="S1933" s="32">
        <v>3.1259999999999999</v>
      </c>
      <c r="T1933" s="31">
        <v>0</v>
      </c>
      <c r="V1933">
        <v>1931</v>
      </c>
      <c r="W1933">
        <v>32</v>
      </c>
      <c r="X1933">
        <v>1.972</v>
      </c>
      <c r="Y1933" s="32">
        <v>3.89</v>
      </c>
      <c r="Z1933">
        <v>0</v>
      </c>
      <c r="AA1933" s="32">
        <v>1.492</v>
      </c>
      <c r="AB1933">
        <v>0</v>
      </c>
      <c r="AC1933" s="34">
        <v>0.17899999999999999</v>
      </c>
      <c r="AD1933" s="32">
        <v>2.9420000000000002</v>
      </c>
    </row>
    <row r="1934" spans="1:30">
      <c r="A1934">
        <v>1932</v>
      </c>
      <c r="B1934">
        <v>34</v>
      </c>
      <c r="C1934">
        <v>1.9610000000000001</v>
      </c>
      <c r="D1934">
        <v>3.89</v>
      </c>
      <c r="E1934">
        <v>0</v>
      </c>
      <c r="F1934">
        <v>1.595</v>
      </c>
      <c r="G1934">
        <v>0</v>
      </c>
      <c r="H1934">
        <v>0.184</v>
      </c>
      <c r="I1934">
        <v>3.1909999999999998</v>
      </c>
      <c r="K1934">
        <v>1932</v>
      </c>
      <c r="L1934">
        <v>34</v>
      </c>
      <c r="M1934" s="32">
        <v>1.9610000000000001</v>
      </c>
      <c r="N1934" s="32">
        <v>3.89</v>
      </c>
      <c r="P1934" s="32">
        <v>1.595</v>
      </c>
      <c r="R1934" s="47">
        <v>0.186</v>
      </c>
      <c r="S1934" s="47">
        <v>3.1280000000000001</v>
      </c>
      <c r="T1934" s="31">
        <v>0</v>
      </c>
      <c r="V1934">
        <v>1932</v>
      </c>
      <c r="W1934">
        <v>32</v>
      </c>
      <c r="X1934">
        <v>1.9730000000000001</v>
      </c>
      <c r="Y1934" s="32">
        <v>3.89</v>
      </c>
      <c r="Z1934">
        <v>0</v>
      </c>
      <c r="AA1934" s="32">
        <v>1.492</v>
      </c>
      <c r="AB1934">
        <v>0</v>
      </c>
      <c r="AC1934" s="34">
        <v>0.17899999999999999</v>
      </c>
      <c r="AD1934" s="32">
        <v>2.944</v>
      </c>
    </row>
    <row r="1935" spans="1:30">
      <c r="A1935">
        <v>1933</v>
      </c>
      <c r="B1935">
        <v>34</v>
      </c>
      <c r="C1935">
        <v>1.962</v>
      </c>
      <c r="D1935">
        <v>3.89</v>
      </c>
      <c r="E1935">
        <v>0</v>
      </c>
      <c r="F1935">
        <v>1.595</v>
      </c>
      <c r="G1935">
        <v>0</v>
      </c>
      <c r="H1935">
        <v>0.184</v>
      </c>
      <c r="I1935">
        <v>3.1930000000000001</v>
      </c>
      <c r="K1935">
        <v>1933</v>
      </c>
      <c r="L1935">
        <v>34</v>
      </c>
      <c r="M1935" s="32">
        <v>1.962</v>
      </c>
      <c r="N1935" s="32">
        <v>3.89</v>
      </c>
      <c r="P1935" s="47">
        <v>1.5960000000000001</v>
      </c>
      <c r="R1935" s="47">
        <v>0.186</v>
      </c>
      <c r="S1935" s="47">
        <v>3.13</v>
      </c>
      <c r="T1935" s="31">
        <v>0</v>
      </c>
      <c r="V1935">
        <v>1933</v>
      </c>
      <c r="W1935">
        <v>32</v>
      </c>
      <c r="X1935">
        <v>1.974</v>
      </c>
      <c r="Y1935" s="32">
        <v>3.89</v>
      </c>
      <c r="Z1935">
        <v>0</v>
      </c>
      <c r="AA1935" s="32">
        <v>1.4930000000000001</v>
      </c>
      <c r="AB1935">
        <v>0</v>
      </c>
      <c r="AC1935" s="34">
        <v>0.17899999999999999</v>
      </c>
      <c r="AD1935" s="32">
        <v>2.9460000000000002</v>
      </c>
    </row>
    <row r="1936" spans="1:30">
      <c r="A1936">
        <v>1934</v>
      </c>
      <c r="B1936">
        <v>34</v>
      </c>
      <c r="C1936">
        <v>1.9630000000000001</v>
      </c>
      <c r="D1936">
        <v>3.89</v>
      </c>
      <c r="E1936">
        <v>0</v>
      </c>
      <c r="F1936">
        <v>1.595</v>
      </c>
      <c r="G1936">
        <v>0</v>
      </c>
      <c r="H1936">
        <v>0.184</v>
      </c>
      <c r="I1936">
        <v>3.1949999999999998</v>
      </c>
      <c r="K1936">
        <v>1934</v>
      </c>
      <c r="L1936">
        <v>34</v>
      </c>
      <c r="M1936" s="32">
        <v>1.9630000000000001</v>
      </c>
      <c r="N1936" s="32">
        <v>3.89</v>
      </c>
      <c r="P1936" s="47">
        <v>1.5960000000000001</v>
      </c>
      <c r="R1936" s="47">
        <v>0.186</v>
      </c>
      <c r="S1936" s="47">
        <v>3.1320000000000001</v>
      </c>
      <c r="T1936" s="31">
        <v>0</v>
      </c>
      <c r="V1936">
        <v>1934</v>
      </c>
      <c r="W1936">
        <v>32</v>
      </c>
      <c r="X1936">
        <v>1.9750000000000001</v>
      </c>
      <c r="Y1936" s="32">
        <v>3.89</v>
      </c>
      <c r="Z1936">
        <v>0</v>
      </c>
      <c r="AA1936" s="32">
        <v>1.4930000000000001</v>
      </c>
      <c r="AB1936">
        <v>0</v>
      </c>
      <c r="AC1936" s="34">
        <v>0.17899999999999999</v>
      </c>
      <c r="AD1936" s="32">
        <v>2.948</v>
      </c>
    </row>
    <row r="1937" spans="1:30">
      <c r="A1937">
        <v>1935</v>
      </c>
      <c r="B1937">
        <v>34</v>
      </c>
      <c r="C1937">
        <v>1.964</v>
      </c>
      <c r="D1937">
        <v>3.89</v>
      </c>
      <c r="E1937">
        <v>0</v>
      </c>
      <c r="F1937">
        <v>1.595</v>
      </c>
      <c r="G1937">
        <v>0</v>
      </c>
      <c r="H1937">
        <v>0.184</v>
      </c>
      <c r="I1937">
        <v>3.1970000000000001</v>
      </c>
      <c r="K1937">
        <v>1935</v>
      </c>
      <c r="L1937">
        <v>34</v>
      </c>
      <c r="M1937" s="32">
        <v>1.964</v>
      </c>
      <c r="N1937" s="32">
        <v>3.89</v>
      </c>
      <c r="P1937" s="47">
        <v>1.5960000000000001</v>
      </c>
      <c r="R1937" s="47">
        <v>0.186</v>
      </c>
      <c r="S1937" s="47">
        <v>3.1339999999999999</v>
      </c>
      <c r="T1937" s="31">
        <v>0</v>
      </c>
      <c r="V1937">
        <v>1935</v>
      </c>
      <c r="W1937">
        <v>32</v>
      </c>
      <c r="X1937">
        <v>1.976</v>
      </c>
      <c r="Y1937" s="32">
        <v>3.89</v>
      </c>
      <c r="Z1937">
        <v>0</v>
      </c>
      <c r="AA1937" s="32">
        <v>1.4930000000000001</v>
      </c>
      <c r="AB1937">
        <v>0</v>
      </c>
      <c r="AC1937" s="34">
        <v>0.17899999999999999</v>
      </c>
      <c r="AD1937" s="32">
        <v>2.95</v>
      </c>
    </row>
    <row r="1938" spans="1:30">
      <c r="A1938">
        <v>1936</v>
      </c>
      <c r="B1938">
        <v>34</v>
      </c>
      <c r="C1938">
        <v>1.9650000000000001</v>
      </c>
      <c r="D1938">
        <v>3.89</v>
      </c>
      <c r="E1938">
        <v>0</v>
      </c>
      <c r="F1938">
        <v>1.595</v>
      </c>
      <c r="G1938">
        <v>0</v>
      </c>
      <c r="H1938">
        <v>0.184</v>
      </c>
      <c r="I1938">
        <v>3.2</v>
      </c>
      <c r="K1938">
        <v>1936</v>
      </c>
      <c r="L1938">
        <v>34</v>
      </c>
      <c r="M1938" s="32">
        <v>1.9650000000000001</v>
      </c>
      <c r="N1938" s="32">
        <v>3.89</v>
      </c>
      <c r="P1938" s="47">
        <v>1.597</v>
      </c>
      <c r="R1938" s="47">
        <v>0.186</v>
      </c>
      <c r="S1938" s="47">
        <v>3.137</v>
      </c>
      <c r="T1938" s="31">
        <v>0</v>
      </c>
      <c r="V1938">
        <v>1936</v>
      </c>
      <c r="W1938">
        <v>32</v>
      </c>
      <c r="X1938">
        <v>1.9770000000000001</v>
      </c>
      <c r="Y1938" s="32">
        <v>3.89</v>
      </c>
      <c r="Z1938">
        <v>0</v>
      </c>
      <c r="AA1938" s="32">
        <v>1.4930000000000001</v>
      </c>
      <c r="AB1938">
        <v>0</v>
      </c>
      <c r="AC1938" s="34">
        <v>0.17899999999999999</v>
      </c>
      <c r="AD1938" s="32">
        <v>2.952</v>
      </c>
    </row>
    <row r="1939" spans="1:30">
      <c r="A1939">
        <v>1937</v>
      </c>
      <c r="B1939">
        <v>34</v>
      </c>
      <c r="C1939">
        <v>1.966</v>
      </c>
      <c r="D1939">
        <v>3.89</v>
      </c>
      <c r="E1939">
        <v>0</v>
      </c>
      <c r="F1939">
        <v>1.595</v>
      </c>
      <c r="G1939">
        <v>0</v>
      </c>
      <c r="H1939">
        <v>0.184</v>
      </c>
      <c r="I1939">
        <v>3.202</v>
      </c>
      <c r="K1939">
        <v>1937</v>
      </c>
      <c r="L1939">
        <v>34</v>
      </c>
      <c r="M1939" s="32">
        <v>1.966</v>
      </c>
      <c r="N1939" s="32">
        <v>3.89</v>
      </c>
      <c r="P1939" s="47">
        <v>1.597</v>
      </c>
      <c r="R1939" s="47">
        <v>0.186</v>
      </c>
      <c r="S1939" s="47">
        <v>3.1389999999999998</v>
      </c>
      <c r="T1939" s="31">
        <v>0</v>
      </c>
      <c r="V1939">
        <v>1937</v>
      </c>
      <c r="W1939">
        <v>32</v>
      </c>
      <c r="X1939">
        <v>1.978</v>
      </c>
      <c r="Y1939" s="32">
        <v>3.89</v>
      </c>
      <c r="Z1939">
        <v>0</v>
      </c>
      <c r="AA1939" s="32">
        <v>1.4930000000000001</v>
      </c>
      <c r="AB1939">
        <v>0</v>
      </c>
      <c r="AC1939" s="34">
        <v>0.17899999999999999</v>
      </c>
      <c r="AD1939" s="32">
        <v>2.9529999999999998</v>
      </c>
    </row>
    <row r="1940" spans="1:30">
      <c r="A1940">
        <v>1938</v>
      </c>
      <c r="B1940">
        <v>34</v>
      </c>
      <c r="C1940">
        <v>1.9670000000000001</v>
      </c>
      <c r="D1940">
        <v>3.89</v>
      </c>
      <c r="E1940">
        <v>0</v>
      </c>
      <c r="F1940">
        <v>1.595</v>
      </c>
      <c r="G1940">
        <v>0</v>
      </c>
      <c r="H1940">
        <v>0.184</v>
      </c>
      <c r="I1940">
        <v>3.2040000000000002</v>
      </c>
      <c r="K1940">
        <v>1938</v>
      </c>
      <c r="L1940">
        <v>34</v>
      </c>
      <c r="M1940" s="32">
        <v>1.9670000000000001</v>
      </c>
      <c r="N1940" s="32">
        <v>3.89</v>
      </c>
      <c r="P1940" s="47">
        <v>1.597</v>
      </c>
      <c r="R1940" s="47">
        <v>0.186</v>
      </c>
      <c r="S1940" s="47">
        <v>3.141</v>
      </c>
      <c r="T1940" s="31">
        <v>0</v>
      </c>
      <c r="V1940">
        <v>1938</v>
      </c>
      <c r="W1940">
        <v>32</v>
      </c>
      <c r="X1940">
        <v>1.9790000000000001</v>
      </c>
      <c r="Y1940" s="32">
        <v>3.89</v>
      </c>
      <c r="Z1940">
        <v>0</v>
      </c>
      <c r="AA1940" s="32">
        <v>1.4930000000000001</v>
      </c>
      <c r="AB1940">
        <v>0</v>
      </c>
      <c r="AC1940" s="34">
        <v>0.17899999999999999</v>
      </c>
      <c r="AD1940" s="32">
        <v>2.9550000000000001</v>
      </c>
    </row>
    <row r="1941" spans="1:30">
      <c r="A1941">
        <v>1939</v>
      </c>
      <c r="B1941">
        <v>34</v>
      </c>
      <c r="C1941">
        <v>1.968</v>
      </c>
      <c r="D1941">
        <v>3.89</v>
      </c>
      <c r="E1941">
        <v>0</v>
      </c>
      <c r="F1941">
        <v>1.595</v>
      </c>
      <c r="G1941">
        <v>0</v>
      </c>
      <c r="H1941">
        <v>0.184</v>
      </c>
      <c r="I1941">
        <v>3.206</v>
      </c>
      <c r="K1941">
        <v>1939</v>
      </c>
      <c r="L1941">
        <v>34</v>
      </c>
      <c r="M1941" s="32">
        <v>1.968</v>
      </c>
      <c r="N1941" s="32">
        <v>3.89</v>
      </c>
      <c r="P1941" s="47">
        <v>1.597</v>
      </c>
      <c r="R1941" s="47">
        <v>0.186</v>
      </c>
      <c r="S1941" s="47">
        <v>3.1429999999999998</v>
      </c>
      <c r="T1941" s="31">
        <v>0</v>
      </c>
      <c r="V1941">
        <v>1939</v>
      </c>
      <c r="W1941">
        <v>32</v>
      </c>
      <c r="X1941">
        <v>1.98</v>
      </c>
      <c r="Y1941" s="32">
        <v>3.89</v>
      </c>
      <c r="Z1941">
        <v>0</v>
      </c>
      <c r="AA1941" s="32">
        <v>1.494</v>
      </c>
      <c r="AB1941">
        <v>0</v>
      </c>
      <c r="AC1941" s="34">
        <v>0.17899999999999999</v>
      </c>
      <c r="AD1941" s="32">
        <v>2.9569999999999999</v>
      </c>
    </row>
    <row r="1942" spans="1:30">
      <c r="A1942">
        <v>1940</v>
      </c>
      <c r="B1942">
        <v>34</v>
      </c>
      <c r="C1942">
        <v>1.9690000000000001</v>
      </c>
      <c r="D1942">
        <v>3.89</v>
      </c>
      <c r="E1942">
        <v>0</v>
      </c>
      <c r="F1942">
        <v>1.595</v>
      </c>
      <c r="G1942">
        <v>0</v>
      </c>
      <c r="H1942">
        <v>0.184</v>
      </c>
      <c r="I1942">
        <v>3.2080000000000002</v>
      </c>
      <c r="K1942">
        <v>1940</v>
      </c>
      <c r="L1942">
        <v>34</v>
      </c>
      <c r="M1942" s="32">
        <v>1.9690000000000001</v>
      </c>
      <c r="N1942" s="32">
        <v>3.89</v>
      </c>
      <c r="P1942" s="47">
        <v>1.5980000000000001</v>
      </c>
      <c r="R1942" s="47">
        <v>0.186</v>
      </c>
      <c r="S1942" s="47">
        <v>3.145</v>
      </c>
      <c r="T1942" s="31">
        <v>0</v>
      </c>
      <c r="V1942">
        <v>1940</v>
      </c>
      <c r="W1942">
        <v>32</v>
      </c>
      <c r="X1942">
        <v>1.9810000000000001</v>
      </c>
      <c r="Y1942" s="32">
        <v>3.89</v>
      </c>
      <c r="Z1942">
        <v>0</v>
      </c>
      <c r="AA1942" s="32">
        <v>1.494</v>
      </c>
      <c r="AB1942">
        <v>0</v>
      </c>
      <c r="AC1942" s="34">
        <v>0.17899999999999999</v>
      </c>
      <c r="AD1942" s="32">
        <v>2.9590000000000001</v>
      </c>
    </row>
    <row r="1943" spans="1:30">
      <c r="A1943">
        <v>1941</v>
      </c>
      <c r="B1943">
        <v>34</v>
      </c>
      <c r="C1943">
        <v>1.97</v>
      </c>
      <c r="D1943">
        <v>3.89</v>
      </c>
      <c r="E1943">
        <v>0</v>
      </c>
      <c r="F1943">
        <v>1.5980000000000001</v>
      </c>
      <c r="G1943">
        <v>0</v>
      </c>
      <c r="H1943">
        <v>0.184</v>
      </c>
      <c r="I1943">
        <v>3.1469999999999998</v>
      </c>
      <c r="K1943">
        <v>1941</v>
      </c>
      <c r="L1943">
        <v>34</v>
      </c>
      <c r="M1943" s="32">
        <v>1.97</v>
      </c>
      <c r="N1943" s="32">
        <v>3.89</v>
      </c>
      <c r="P1943" s="32">
        <v>1.5980000000000001</v>
      </c>
      <c r="R1943" s="47">
        <v>0.186</v>
      </c>
      <c r="S1943" s="32">
        <v>3.1469999999999998</v>
      </c>
      <c r="T1943" s="31">
        <v>0</v>
      </c>
      <c r="V1943">
        <v>1941</v>
      </c>
      <c r="W1943">
        <v>32</v>
      </c>
      <c r="X1943">
        <v>1.982</v>
      </c>
      <c r="Y1943" s="32">
        <v>3.89</v>
      </c>
      <c r="Z1943">
        <v>0</v>
      </c>
      <c r="AA1943" s="32">
        <v>1.494</v>
      </c>
      <c r="AB1943">
        <v>0</v>
      </c>
      <c r="AC1943" s="34">
        <v>0.17899999999999999</v>
      </c>
      <c r="AD1943" s="32">
        <v>2.9609999999999999</v>
      </c>
    </row>
    <row r="1944" spans="1:30">
      <c r="A1944">
        <v>1942</v>
      </c>
      <c r="B1944">
        <v>34</v>
      </c>
      <c r="C1944">
        <v>1.9710000000000001</v>
      </c>
      <c r="D1944">
        <v>3.89</v>
      </c>
      <c r="E1944">
        <v>0</v>
      </c>
      <c r="F1944">
        <v>1.5980000000000001</v>
      </c>
      <c r="G1944">
        <v>0</v>
      </c>
      <c r="H1944">
        <v>0.184</v>
      </c>
      <c r="I1944">
        <v>3.2330000000000001</v>
      </c>
      <c r="K1944">
        <v>1942</v>
      </c>
      <c r="L1944">
        <v>34</v>
      </c>
      <c r="M1944" s="32">
        <v>1.9710000000000001</v>
      </c>
      <c r="N1944" s="32">
        <v>3.89</v>
      </c>
      <c r="P1944" s="32">
        <v>1.5980000000000001</v>
      </c>
      <c r="R1944" s="47">
        <v>0.186</v>
      </c>
      <c r="S1944" s="47">
        <v>3.149</v>
      </c>
      <c r="T1944" s="31">
        <v>0</v>
      </c>
      <c r="V1944">
        <v>1942</v>
      </c>
      <c r="W1944">
        <v>32</v>
      </c>
      <c r="X1944">
        <v>1.9830000000000001</v>
      </c>
      <c r="Y1944" s="32">
        <v>3.89</v>
      </c>
      <c r="Z1944">
        <v>0</v>
      </c>
      <c r="AA1944" s="32">
        <v>1.494</v>
      </c>
      <c r="AB1944">
        <v>0</v>
      </c>
      <c r="AC1944" s="34">
        <v>0.17899999999999999</v>
      </c>
      <c r="AD1944" s="32">
        <v>2.9630000000000001</v>
      </c>
    </row>
    <row r="1945" spans="1:30">
      <c r="A1945">
        <v>1943</v>
      </c>
      <c r="B1945">
        <v>34</v>
      </c>
      <c r="C1945">
        <v>1.972</v>
      </c>
      <c r="D1945">
        <v>3.89</v>
      </c>
      <c r="E1945">
        <v>0</v>
      </c>
      <c r="F1945">
        <v>1.5980000000000001</v>
      </c>
      <c r="G1945">
        <v>0</v>
      </c>
      <c r="H1945">
        <v>0.184</v>
      </c>
      <c r="I1945">
        <v>3.2349999999999999</v>
      </c>
      <c r="K1945">
        <v>1943</v>
      </c>
      <c r="L1945">
        <v>34</v>
      </c>
      <c r="M1945" s="32">
        <v>1.972</v>
      </c>
      <c r="N1945" s="32">
        <v>3.89</v>
      </c>
      <c r="P1945" s="32">
        <v>1.5980000000000001</v>
      </c>
      <c r="R1945" s="47">
        <v>0.186</v>
      </c>
      <c r="S1945" s="47">
        <v>3.1509999999999998</v>
      </c>
      <c r="T1945" s="31">
        <v>0</v>
      </c>
      <c r="V1945">
        <v>1943</v>
      </c>
      <c r="W1945">
        <v>32</v>
      </c>
      <c r="X1945">
        <v>1.984</v>
      </c>
      <c r="Y1945" s="32">
        <v>3.89</v>
      </c>
      <c r="Z1945">
        <v>0</v>
      </c>
      <c r="AA1945" s="32">
        <v>1.494</v>
      </c>
      <c r="AB1945">
        <v>0</v>
      </c>
      <c r="AC1945" s="34">
        <v>0.17899999999999999</v>
      </c>
      <c r="AD1945" s="32">
        <v>2.964</v>
      </c>
    </row>
    <row r="1946" spans="1:30">
      <c r="A1946">
        <v>1944</v>
      </c>
      <c r="B1946">
        <v>34</v>
      </c>
      <c r="C1946">
        <v>1.9730000000000001</v>
      </c>
      <c r="D1946">
        <v>3.89</v>
      </c>
      <c r="E1946">
        <v>0</v>
      </c>
      <c r="F1946">
        <v>1.5980000000000001</v>
      </c>
      <c r="G1946">
        <v>0</v>
      </c>
      <c r="H1946">
        <v>0.184</v>
      </c>
      <c r="I1946">
        <v>3.2370000000000001</v>
      </c>
      <c r="K1946">
        <v>1944</v>
      </c>
      <c r="L1946">
        <v>34</v>
      </c>
      <c r="M1946" s="32">
        <v>1.9730000000000001</v>
      </c>
      <c r="N1946" s="32">
        <v>3.89</v>
      </c>
      <c r="P1946" s="47">
        <v>1.599</v>
      </c>
      <c r="R1946" s="47">
        <v>0.186</v>
      </c>
      <c r="S1946" s="47">
        <v>3.1539999999999999</v>
      </c>
      <c r="T1946" s="31">
        <v>0</v>
      </c>
      <c r="V1946">
        <v>1944</v>
      </c>
      <c r="W1946">
        <v>32</v>
      </c>
      <c r="X1946">
        <v>1.9850000000000001</v>
      </c>
      <c r="Y1946" s="32">
        <v>3.89</v>
      </c>
      <c r="Z1946">
        <v>0</v>
      </c>
      <c r="AA1946" s="32">
        <v>1.4950000000000001</v>
      </c>
      <c r="AB1946">
        <v>0</v>
      </c>
      <c r="AC1946" s="34">
        <v>0.18</v>
      </c>
      <c r="AD1946" s="32">
        <v>2.9660000000000002</v>
      </c>
    </row>
    <row r="1947" spans="1:30">
      <c r="A1947">
        <v>1945</v>
      </c>
      <c r="B1947">
        <v>34</v>
      </c>
      <c r="C1947">
        <v>1.974</v>
      </c>
      <c r="D1947">
        <v>3.89</v>
      </c>
      <c r="E1947">
        <v>0</v>
      </c>
      <c r="F1947">
        <v>1.5980000000000001</v>
      </c>
      <c r="G1947">
        <v>0</v>
      </c>
      <c r="H1947">
        <v>0.184</v>
      </c>
      <c r="I1947">
        <v>3.2389999999999999</v>
      </c>
      <c r="K1947">
        <v>1945</v>
      </c>
      <c r="L1947">
        <v>34</v>
      </c>
      <c r="M1947" s="32">
        <v>1.974</v>
      </c>
      <c r="N1947" s="32">
        <v>3.89</v>
      </c>
      <c r="P1947" s="47">
        <v>1.599</v>
      </c>
      <c r="R1947" s="47">
        <v>0.186</v>
      </c>
      <c r="S1947" s="47">
        <v>3.1560000000000001</v>
      </c>
      <c r="T1947" s="31">
        <v>0</v>
      </c>
      <c r="V1947">
        <v>1945</v>
      </c>
      <c r="W1947">
        <v>32</v>
      </c>
      <c r="X1947">
        <v>1.986</v>
      </c>
      <c r="Y1947" s="32">
        <v>3.89</v>
      </c>
      <c r="Z1947">
        <v>0</v>
      </c>
      <c r="AA1947" s="32">
        <v>1.4950000000000001</v>
      </c>
      <c r="AB1947">
        <v>0</v>
      </c>
      <c r="AC1947" s="34">
        <v>0.18</v>
      </c>
      <c r="AD1947" s="32">
        <v>2.968</v>
      </c>
    </row>
    <row r="1948" spans="1:30">
      <c r="A1948">
        <v>1946</v>
      </c>
      <c r="B1948">
        <v>34</v>
      </c>
      <c r="C1948">
        <v>1.9750000000000001</v>
      </c>
      <c r="D1948">
        <v>3.89</v>
      </c>
      <c r="E1948">
        <v>0</v>
      </c>
      <c r="F1948">
        <v>1.5980000000000001</v>
      </c>
      <c r="G1948">
        <v>0</v>
      </c>
      <c r="H1948">
        <v>0.184</v>
      </c>
      <c r="I1948">
        <v>3.242</v>
      </c>
      <c r="K1948">
        <v>1946</v>
      </c>
      <c r="L1948">
        <v>34</v>
      </c>
      <c r="M1948" s="32">
        <v>1.9750000000000001</v>
      </c>
      <c r="N1948" s="32">
        <v>3.89</v>
      </c>
      <c r="P1948" s="47">
        <v>1.599</v>
      </c>
      <c r="R1948" s="47">
        <v>0.187</v>
      </c>
      <c r="S1948" s="47">
        <v>3.1579999999999999</v>
      </c>
      <c r="T1948" s="31">
        <v>0</v>
      </c>
      <c r="V1948">
        <v>1946</v>
      </c>
      <c r="W1948">
        <v>32</v>
      </c>
      <c r="X1948">
        <v>1.9870000000000001</v>
      </c>
      <c r="Y1948" s="32">
        <v>3.89</v>
      </c>
      <c r="Z1948">
        <v>0</v>
      </c>
      <c r="AA1948" s="32">
        <v>1.4950000000000001</v>
      </c>
      <c r="AB1948">
        <v>0</v>
      </c>
      <c r="AC1948" s="34">
        <v>0.18</v>
      </c>
      <c r="AD1948" s="32">
        <v>2.97</v>
      </c>
    </row>
    <row r="1949" spans="1:30">
      <c r="A1949">
        <v>1947</v>
      </c>
      <c r="B1949">
        <v>34</v>
      </c>
      <c r="C1949">
        <v>1.976</v>
      </c>
      <c r="D1949">
        <v>3.89</v>
      </c>
      <c r="E1949">
        <v>0</v>
      </c>
      <c r="F1949">
        <v>1.5980000000000001</v>
      </c>
      <c r="G1949">
        <v>0</v>
      </c>
      <c r="H1949">
        <v>0.184</v>
      </c>
      <c r="I1949">
        <v>3.2440000000000002</v>
      </c>
      <c r="K1949">
        <v>1947</v>
      </c>
      <c r="L1949">
        <v>34</v>
      </c>
      <c r="M1949" s="32">
        <v>1.976</v>
      </c>
      <c r="N1949" s="32">
        <v>3.89</v>
      </c>
      <c r="P1949" s="47">
        <v>1.599</v>
      </c>
      <c r="R1949" s="47">
        <v>0.187</v>
      </c>
      <c r="S1949" s="47">
        <v>3.16</v>
      </c>
      <c r="T1949" s="31">
        <v>0</v>
      </c>
      <c r="V1949">
        <v>1947</v>
      </c>
      <c r="W1949">
        <v>32</v>
      </c>
      <c r="X1949">
        <v>1.988</v>
      </c>
      <c r="Y1949" s="32">
        <v>3.89</v>
      </c>
      <c r="Z1949">
        <v>0</v>
      </c>
      <c r="AA1949" s="32">
        <v>1.4950000000000001</v>
      </c>
      <c r="AB1949">
        <v>0</v>
      </c>
      <c r="AC1949" s="34">
        <v>0.18</v>
      </c>
      <c r="AD1949" s="32">
        <v>2.972</v>
      </c>
    </row>
    <row r="1950" spans="1:30">
      <c r="A1950">
        <v>1948</v>
      </c>
      <c r="B1950">
        <v>34</v>
      </c>
      <c r="C1950">
        <v>1.9770000000000001</v>
      </c>
      <c r="D1950">
        <v>3.89</v>
      </c>
      <c r="E1950">
        <v>0</v>
      </c>
      <c r="F1950">
        <v>1.5980000000000001</v>
      </c>
      <c r="G1950">
        <v>0</v>
      </c>
      <c r="H1950">
        <v>0.184</v>
      </c>
      <c r="I1950">
        <v>3.246</v>
      </c>
      <c r="K1950">
        <v>1948</v>
      </c>
      <c r="L1950">
        <v>34</v>
      </c>
      <c r="M1950" s="32">
        <v>1.9770000000000001</v>
      </c>
      <c r="N1950" s="32">
        <v>3.89</v>
      </c>
      <c r="P1950" s="47">
        <v>1.599</v>
      </c>
      <c r="R1950" s="47">
        <v>0.187</v>
      </c>
      <c r="S1950" s="47">
        <v>3.1619999999999999</v>
      </c>
      <c r="T1950" s="31">
        <v>0</v>
      </c>
      <c r="V1950">
        <v>1948</v>
      </c>
      <c r="W1950">
        <v>32</v>
      </c>
      <c r="X1950">
        <v>1.9890000000000001</v>
      </c>
      <c r="Y1950" s="32">
        <v>3.89</v>
      </c>
      <c r="Z1950">
        <v>0</v>
      </c>
      <c r="AA1950" s="32">
        <v>1.4950000000000001</v>
      </c>
      <c r="AB1950">
        <v>0</v>
      </c>
      <c r="AC1950" s="34">
        <v>0.18</v>
      </c>
      <c r="AD1950" s="32">
        <v>2.9740000000000002</v>
      </c>
    </row>
    <row r="1951" spans="1:30">
      <c r="A1951">
        <v>1949</v>
      </c>
      <c r="B1951">
        <v>34</v>
      </c>
      <c r="C1951">
        <v>1.978</v>
      </c>
      <c r="D1951">
        <v>3.89</v>
      </c>
      <c r="E1951">
        <v>0</v>
      </c>
      <c r="F1951">
        <v>1.5980000000000001</v>
      </c>
      <c r="G1951">
        <v>0</v>
      </c>
      <c r="H1951">
        <v>0.184</v>
      </c>
      <c r="I1951">
        <v>3.2480000000000002</v>
      </c>
      <c r="K1951">
        <v>1949</v>
      </c>
      <c r="L1951">
        <v>34</v>
      </c>
      <c r="M1951" s="32">
        <v>1.978</v>
      </c>
      <c r="N1951" s="32">
        <v>3.89</v>
      </c>
      <c r="P1951" s="47">
        <v>1.6</v>
      </c>
      <c r="R1951" s="47">
        <v>0.187</v>
      </c>
      <c r="S1951" s="47">
        <v>3.165</v>
      </c>
      <c r="T1951" s="31">
        <v>0</v>
      </c>
      <c r="V1951">
        <v>1949</v>
      </c>
      <c r="W1951">
        <v>32</v>
      </c>
      <c r="X1951">
        <v>1.99</v>
      </c>
      <c r="Y1951" s="32">
        <v>3.89</v>
      </c>
      <c r="Z1951">
        <v>0</v>
      </c>
      <c r="AA1951" s="32">
        <v>1.4950000000000001</v>
      </c>
      <c r="AB1951">
        <v>0</v>
      </c>
      <c r="AC1951" s="34">
        <v>0.18</v>
      </c>
      <c r="AD1951" s="32">
        <v>2.9750000000000001</v>
      </c>
    </row>
    <row r="1952" spans="1:30">
      <c r="A1952">
        <v>1950</v>
      </c>
      <c r="B1952">
        <v>34</v>
      </c>
      <c r="C1952">
        <v>1.9790000000000001</v>
      </c>
      <c r="D1952">
        <v>3.89</v>
      </c>
      <c r="E1952">
        <v>0</v>
      </c>
      <c r="F1952">
        <v>1.5980000000000001</v>
      </c>
      <c r="G1952">
        <v>0</v>
      </c>
      <c r="H1952">
        <v>0.184</v>
      </c>
      <c r="I1952">
        <v>3.25</v>
      </c>
      <c r="K1952">
        <v>1950</v>
      </c>
      <c r="L1952">
        <v>34</v>
      </c>
      <c r="M1952" s="32">
        <v>1.9790000000000001</v>
      </c>
      <c r="N1952" s="32">
        <v>3.89</v>
      </c>
      <c r="P1952" s="47">
        <v>1.6</v>
      </c>
      <c r="R1952" s="47">
        <v>0.187</v>
      </c>
      <c r="S1952" s="47">
        <v>3.1669999999999998</v>
      </c>
      <c r="T1952" s="31">
        <v>0</v>
      </c>
      <c r="V1952">
        <v>1950</v>
      </c>
      <c r="W1952">
        <v>32</v>
      </c>
      <c r="X1952">
        <v>1.9910000000000001</v>
      </c>
      <c r="Y1952" s="32">
        <v>3.89</v>
      </c>
      <c r="Z1952">
        <v>0</v>
      </c>
      <c r="AA1952" s="32">
        <v>1.496</v>
      </c>
      <c r="AB1952">
        <v>0</v>
      </c>
      <c r="AC1952" s="34">
        <v>0.18</v>
      </c>
      <c r="AD1952" s="32">
        <v>2.9769999999999999</v>
      </c>
    </row>
    <row r="1953" spans="1:30">
      <c r="A1953">
        <v>1951</v>
      </c>
      <c r="B1953">
        <v>34</v>
      </c>
      <c r="C1953">
        <v>1.98</v>
      </c>
      <c r="D1953">
        <v>3.89</v>
      </c>
      <c r="E1953">
        <v>0</v>
      </c>
      <c r="F1953">
        <v>1.6</v>
      </c>
      <c r="G1953">
        <v>0</v>
      </c>
      <c r="H1953">
        <v>0.184</v>
      </c>
      <c r="I1953">
        <v>3.169</v>
      </c>
      <c r="K1953">
        <v>1951</v>
      </c>
      <c r="L1953">
        <v>34</v>
      </c>
      <c r="M1953" s="32">
        <v>1.98</v>
      </c>
      <c r="N1953" s="32">
        <v>3.89</v>
      </c>
      <c r="P1953" s="32">
        <v>1.6</v>
      </c>
      <c r="R1953" s="47">
        <v>0.187</v>
      </c>
      <c r="S1953" s="32">
        <v>3.169</v>
      </c>
      <c r="T1953" s="31">
        <v>0</v>
      </c>
      <c r="V1953">
        <v>1951</v>
      </c>
      <c r="W1953">
        <v>32</v>
      </c>
      <c r="X1953">
        <v>1.992</v>
      </c>
      <c r="Y1953" s="32">
        <v>3.89</v>
      </c>
      <c r="Z1953">
        <v>0</v>
      </c>
      <c r="AA1953" s="32">
        <v>1.496</v>
      </c>
      <c r="AB1953">
        <v>0</v>
      </c>
      <c r="AC1953" s="34">
        <v>0.18</v>
      </c>
      <c r="AD1953" s="32">
        <v>2.9790000000000001</v>
      </c>
    </row>
    <row r="1954" spans="1:30">
      <c r="A1954">
        <v>1952</v>
      </c>
      <c r="B1954">
        <v>34</v>
      </c>
      <c r="C1954">
        <v>1.9810000000000001</v>
      </c>
      <c r="D1954">
        <v>3.89</v>
      </c>
      <c r="E1954">
        <v>0</v>
      </c>
      <c r="F1954">
        <v>1.6</v>
      </c>
      <c r="G1954">
        <v>0</v>
      </c>
      <c r="H1954">
        <v>0.184</v>
      </c>
      <c r="I1954">
        <v>3.2759999999999998</v>
      </c>
      <c r="K1954">
        <v>1952</v>
      </c>
      <c r="L1954">
        <v>34</v>
      </c>
      <c r="M1954" s="32">
        <v>1.9810000000000001</v>
      </c>
      <c r="N1954" s="32">
        <v>3.89</v>
      </c>
      <c r="P1954" s="32">
        <v>1.6</v>
      </c>
      <c r="R1954" s="47">
        <v>0.187</v>
      </c>
      <c r="S1954" s="47">
        <v>3.1709999999999998</v>
      </c>
      <c r="T1954" s="31">
        <v>0</v>
      </c>
      <c r="V1954">
        <v>1952</v>
      </c>
      <c r="W1954">
        <v>33</v>
      </c>
      <c r="X1954">
        <v>1.9930000000000001</v>
      </c>
      <c r="Y1954" s="32">
        <v>3.89</v>
      </c>
      <c r="Z1954">
        <v>0</v>
      </c>
      <c r="AA1954" s="32">
        <v>1.496</v>
      </c>
      <c r="AB1954">
        <v>0</v>
      </c>
      <c r="AC1954" s="34">
        <v>0.18</v>
      </c>
      <c r="AD1954" s="32">
        <v>2.9809999999999999</v>
      </c>
    </row>
    <row r="1955" spans="1:30">
      <c r="A1955">
        <v>1953</v>
      </c>
      <c r="B1955">
        <v>34</v>
      </c>
      <c r="C1955">
        <v>1.982</v>
      </c>
      <c r="D1955">
        <v>3.89</v>
      </c>
      <c r="E1955">
        <v>0</v>
      </c>
      <c r="F1955">
        <v>1.6</v>
      </c>
      <c r="G1955">
        <v>0</v>
      </c>
      <c r="H1955">
        <v>0.184</v>
      </c>
      <c r="I1955">
        <v>3.278</v>
      </c>
      <c r="K1955">
        <v>1953</v>
      </c>
      <c r="L1955">
        <v>34</v>
      </c>
      <c r="M1955" s="32">
        <v>1.982</v>
      </c>
      <c r="N1955" s="32">
        <v>3.89</v>
      </c>
      <c r="P1955" s="47">
        <v>1.601</v>
      </c>
      <c r="R1955" s="47">
        <v>0.187</v>
      </c>
      <c r="S1955" s="47">
        <v>3.173</v>
      </c>
      <c r="T1955" s="31">
        <v>0</v>
      </c>
      <c r="V1955">
        <v>1953</v>
      </c>
      <c r="W1955">
        <v>33</v>
      </c>
      <c r="X1955">
        <v>1.994</v>
      </c>
      <c r="Y1955" s="32">
        <v>3.89</v>
      </c>
      <c r="Z1955">
        <v>0</v>
      </c>
      <c r="AA1955" s="32">
        <v>1.496</v>
      </c>
      <c r="AB1955">
        <v>0</v>
      </c>
      <c r="AC1955" s="34">
        <v>0.18</v>
      </c>
      <c r="AD1955" s="32">
        <v>2.9830000000000001</v>
      </c>
    </row>
    <row r="1956" spans="1:30">
      <c r="A1956">
        <v>1954</v>
      </c>
      <c r="B1956">
        <v>34</v>
      </c>
      <c r="C1956">
        <v>1.9830000000000001</v>
      </c>
      <c r="D1956">
        <v>3.89</v>
      </c>
      <c r="E1956">
        <v>0</v>
      </c>
      <c r="F1956">
        <v>1.6</v>
      </c>
      <c r="G1956">
        <v>0</v>
      </c>
      <c r="H1956">
        <v>0.184</v>
      </c>
      <c r="I1956">
        <v>3.28</v>
      </c>
      <c r="K1956">
        <v>1954</v>
      </c>
      <c r="L1956">
        <v>34</v>
      </c>
      <c r="M1956" s="32">
        <v>1.9830000000000001</v>
      </c>
      <c r="N1956" s="32">
        <v>3.89</v>
      </c>
      <c r="P1956" s="47">
        <v>1.601</v>
      </c>
      <c r="R1956" s="47">
        <v>0.187</v>
      </c>
      <c r="S1956" s="47">
        <v>3.1749999999999998</v>
      </c>
      <c r="T1956" s="31">
        <v>0</v>
      </c>
      <c r="V1956">
        <v>1954</v>
      </c>
      <c r="W1956">
        <v>33</v>
      </c>
      <c r="X1956">
        <v>1.9950000000000001</v>
      </c>
      <c r="Y1956" s="32">
        <v>3.89</v>
      </c>
      <c r="Z1956">
        <v>0</v>
      </c>
      <c r="AA1956" s="32">
        <v>1.496</v>
      </c>
      <c r="AB1956">
        <v>0</v>
      </c>
      <c r="AC1956" s="34">
        <v>0.18</v>
      </c>
      <c r="AD1956" s="32">
        <v>2.9849999999999999</v>
      </c>
    </row>
    <row r="1957" spans="1:30">
      <c r="A1957">
        <v>1955</v>
      </c>
      <c r="B1957">
        <v>34</v>
      </c>
      <c r="C1957">
        <v>1.984</v>
      </c>
      <c r="D1957">
        <v>3.89</v>
      </c>
      <c r="E1957">
        <v>0</v>
      </c>
      <c r="F1957">
        <v>1.6</v>
      </c>
      <c r="G1957">
        <v>0</v>
      </c>
      <c r="H1957">
        <v>0.184</v>
      </c>
      <c r="I1957">
        <v>3.282</v>
      </c>
      <c r="K1957">
        <v>1955</v>
      </c>
      <c r="L1957">
        <v>34</v>
      </c>
      <c r="M1957" s="32">
        <v>1.984</v>
      </c>
      <c r="N1957" s="32">
        <v>3.89</v>
      </c>
      <c r="P1957" s="47">
        <v>1.601</v>
      </c>
      <c r="R1957" s="47">
        <v>0.187</v>
      </c>
      <c r="S1957" s="47">
        <v>3.177</v>
      </c>
      <c r="T1957" s="31">
        <v>0</v>
      </c>
      <c r="V1957">
        <v>1955</v>
      </c>
      <c r="W1957">
        <v>33</v>
      </c>
      <c r="X1957">
        <v>1.996</v>
      </c>
      <c r="Y1957" s="32">
        <v>3.89</v>
      </c>
      <c r="Z1957">
        <v>0</v>
      </c>
      <c r="AA1957" s="32">
        <v>1.496</v>
      </c>
      <c r="AB1957">
        <v>0</v>
      </c>
      <c r="AC1957" s="34">
        <v>0.18</v>
      </c>
      <c r="AD1957" s="32">
        <v>2.9870000000000001</v>
      </c>
    </row>
    <row r="1958" spans="1:30">
      <c r="A1958">
        <v>1956</v>
      </c>
      <c r="B1958">
        <v>34</v>
      </c>
      <c r="C1958">
        <v>1.9850000000000001</v>
      </c>
      <c r="D1958">
        <v>3.89</v>
      </c>
      <c r="E1958">
        <v>0</v>
      </c>
      <c r="F1958">
        <v>1.6</v>
      </c>
      <c r="G1958">
        <v>0</v>
      </c>
      <c r="H1958">
        <v>0.184</v>
      </c>
      <c r="I1958">
        <v>3.2850000000000001</v>
      </c>
      <c r="K1958">
        <v>1956</v>
      </c>
      <c r="L1958">
        <v>34</v>
      </c>
      <c r="M1958" s="32">
        <v>1.9850000000000001</v>
      </c>
      <c r="N1958" s="32">
        <v>3.89</v>
      </c>
      <c r="P1958" s="47">
        <v>1.6020000000000001</v>
      </c>
      <c r="R1958" s="47">
        <v>0.187</v>
      </c>
      <c r="S1958" s="47">
        <v>3.18</v>
      </c>
      <c r="T1958" s="31">
        <v>0</v>
      </c>
      <c r="V1958">
        <v>1956</v>
      </c>
      <c r="W1958">
        <v>33</v>
      </c>
      <c r="X1958">
        <v>1.9970000000000001</v>
      </c>
      <c r="Y1958" s="32">
        <v>3.89</v>
      </c>
      <c r="Z1958">
        <v>0</v>
      </c>
      <c r="AA1958" s="32">
        <v>1.4970000000000001</v>
      </c>
      <c r="AB1958">
        <v>0</v>
      </c>
      <c r="AC1958" s="34">
        <v>0.18</v>
      </c>
      <c r="AD1958" s="32">
        <v>2.988</v>
      </c>
    </row>
    <row r="1959" spans="1:30">
      <c r="A1959">
        <v>1957</v>
      </c>
      <c r="B1959">
        <v>34</v>
      </c>
      <c r="C1959">
        <v>1.986</v>
      </c>
      <c r="D1959">
        <v>3.89</v>
      </c>
      <c r="E1959">
        <v>0</v>
      </c>
      <c r="F1959">
        <v>1.6</v>
      </c>
      <c r="G1959">
        <v>0</v>
      </c>
      <c r="H1959">
        <v>0.184</v>
      </c>
      <c r="I1959">
        <v>3.2869999999999999</v>
      </c>
      <c r="K1959">
        <v>1957</v>
      </c>
      <c r="L1959">
        <v>34</v>
      </c>
      <c r="M1959" s="32">
        <v>1.986</v>
      </c>
      <c r="N1959" s="32">
        <v>3.89</v>
      </c>
      <c r="P1959" s="47">
        <v>1.6020000000000001</v>
      </c>
      <c r="R1959" s="47">
        <v>0.187</v>
      </c>
      <c r="S1959" s="47">
        <v>3.1819999999999999</v>
      </c>
      <c r="T1959" s="31">
        <v>0</v>
      </c>
      <c r="V1959">
        <v>1957</v>
      </c>
      <c r="W1959">
        <v>33</v>
      </c>
      <c r="X1959">
        <v>1.998</v>
      </c>
      <c r="Y1959" s="32">
        <v>3.89</v>
      </c>
      <c r="Z1959">
        <v>0</v>
      </c>
      <c r="AA1959" s="32">
        <v>1.4970000000000001</v>
      </c>
      <c r="AB1959">
        <v>0</v>
      </c>
      <c r="AC1959" s="34">
        <v>0.18</v>
      </c>
      <c r="AD1959" s="32">
        <v>2.99</v>
      </c>
    </row>
    <row r="1960" spans="1:30">
      <c r="A1960">
        <v>1958</v>
      </c>
      <c r="B1960">
        <v>34</v>
      </c>
      <c r="C1960">
        <v>1.9870000000000001</v>
      </c>
      <c r="D1960">
        <v>3.89</v>
      </c>
      <c r="E1960">
        <v>0</v>
      </c>
      <c r="F1960">
        <v>1.6</v>
      </c>
      <c r="G1960">
        <v>0</v>
      </c>
      <c r="H1960">
        <v>0.184</v>
      </c>
      <c r="I1960">
        <v>3.2890000000000001</v>
      </c>
      <c r="K1960">
        <v>1958</v>
      </c>
      <c r="L1960">
        <v>34</v>
      </c>
      <c r="M1960" s="32">
        <v>1.9870000000000001</v>
      </c>
      <c r="N1960" s="32">
        <v>3.89</v>
      </c>
      <c r="P1960" s="47">
        <v>1.6020000000000001</v>
      </c>
      <c r="R1960" s="47">
        <v>0.187</v>
      </c>
      <c r="S1960" s="47">
        <v>3.1840000000000002</v>
      </c>
      <c r="T1960" s="31">
        <v>0</v>
      </c>
      <c r="V1960">
        <v>1958</v>
      </c>
      <c r="W1960">
        <v>33</v>
      </c>
      <c r="X1960">
        <v>1.9990000000000001</v>
      </c>
      <c r="Y1960" s="32">
        <v>3.89</v>
      </c>
      <c r="Z1960">
        <v>0</v>
      </c>
      <c r="AA1960" s="32">
        <v>1.4970000000000001</v>
      </c>
      <c r="AB1960">
        <v>0</v>
      </c>
      <c r="AC1960" s="34">
        <v>0.18</v>
      </c>
      <c r="AD1960" s="32">
        <v>2.992</v>
      </c>
    </row>
    <row r="1961" spans="1:30">
      <c r="A1961">
        <v>1959</v>
      </c>
      <c r="B1961">
        <v>34</v>
      </c>
      <c r="C1961">
        <v>1.988</v>
      </c>
      <c r="D1961">
        <v>3.89</v>
      </c>
      <c r="E1961">
        <v>0</v>
      </c>
      <c r="F1961">
        <v>1.6</v>
      </c>
      <c r="G1961">
        <v>0</v>
      </c>
      <c r="H1961">
        <v>0.184</v>
      </c>
      <c r="I1961">
        <v>3.2909999999999999</v>
      </c>
      <c r="K1961">
        <v>1959</v>
      </c>
      <c r="L1961">
        <v>34</v>
      </c>
      <c r="M1961" s="32">
        <v>1.988</v>
      </c>
      <c r="N1961" s="32">
        <v>3.89</v>
      </c>
      <c r="P1961" s="47">
        <v>1.6020000000000001</v>
      </c>
      <c r="R1961" s="47">
        <v>0.187</v>
      </c>
      <c r="S1961" s="47">
        <v>3.1859999999999999</v>
      </c>
      <c r="T1961" s="31">
        <v>0</v>
      </c>
      <c r="V1961">
        <v>1959</v>
      </c>
      <c r="W1961">
        <v>33</v>
      </c>
      <c r="X1961">
        <v>2</v>
      </c>
      <c r="Y1961" s="32">
        <v>3.89</v>
      </c>
      <c r="Z1961">
        <v>0</v>
      </c>
      <c r="AA1961" s="32">
        <v>1.4970000000000001</v>
      </c>
      <c r="AB1961">
        <v>0</v>
      </c>
      <c r="AC1961" s="34">
        <v>0.18</v>
      </c>
      <c r="AD1961" s="32">
        <v>2.9940000000000002</v>
      </c>
    </row>
    <row r="1962" spans="1:30">
      <c r="A1962">
        <v>1960</v>
      </c>
      <c r="B1962">
        <v>34</v>
      </c>
      <c r="C1962">
        <v>1.9890000000000001</v>
      </c>
      <c r="D1962">
        <v>3.89</v>
      </c>
      <c r="E1962">
        <v>0</v>
      </c>
      <c r="F1962">
        <v>1.6</v>
      </c>
      <c r="G1962">
        <v>0</v>
      </c>
      <c r="H1962">
        <v>0.184</v>
      </c>
      <c r="I1962">
        <v>3.2930000000000001</v>
      </c>
      <c r="K1962">
        <v>1960</v>
      </c>
      <c r="L1962">
        <v>34</v>
      </c>
      <c r="M1962" s="32">
        <v>1.9890000000000001</v>
      </c>
      <c r="N1962" s="32">
        <v>3.89</v>
      </c>
      <c r="P1962" s="47">
        <v>1.603</v>
      </c>
      <c r="R1962" s="47">
        <v>0.187</v>
      </c>
      <c r="S1962" s="47">
        <v>3.1880000000000002</v>
      </c>
      <c r="T1962" s="31">
        <v>0</v>
      </c>
      <c r="V1962">
        <v>1960</v>
      </c>
      <c r="W1962">
        <v>33</v>
      </c>
      <c r="X1962">
        <v>2.0009999999999999</v>
      </c>
      <c r="Y1962" s="32">
        <v>3.89</v>
      </c>
      <c r="Z1962">
        <v>0</v>
      </c>
      <c r="AA1962" s="32">
        <v>1.4970000000000001</v>
      </c>
      <c r="AB1962">
        <v>0</v>
      </c>
      <c r="AC1962" s="34">
        <v>0.18</v>
      </c>
      <c r="AD1962" s="32">
        <v>2.996</v>
      </c>
    </row>
    <row r="1963" spans="1:30">
      <c r="A1963">
        <v>1961</v>
      </c>
      <c r="B1963">
        <v>34</v>
      </c>
      <c r="C1963">
        <v>1.99</v>
      </c>
      <c r="D1963">
        <v>3.89</v>
      </c>
      <c r="E1963">
        <v>0</v>
      </c>
      <c r="F1963">
        <v>1.603</v>
      </c>
      <c r="G1963">
        <v>0</v>
      </c>
      <c r="H1963">
        <v>0.184</v>
      </c>
      <c r="I1963">
        <v>3.19</v>
      </c>
      <c r="K1963">
        <v>1961</v>
      </c>
      <c r="L1963">
        <v>34</v>
      </c>
      <c r="M1963" s="32">
        <v>1.99</v>
      </c>
      <c r="N1963" s="32">
        <v>3.89</v>
      </c>
      <c r="P1963" s="32">
        <v>1.603</v>
      </c>
      <c r="R1963" s="47">
        <v>0.187</v>
      </c>
      <c r="S1963" s="32">
        <v>3.19</v>
      </c>
      <c r="T1963" s="31">
        <v>0</v>
      </c>
      <c r="V1963">
        <v>1961</v>
      </c>
      <c r="W1963">
        <v>33</v>
      </c>
      <c r="X1963">
        <v>2.0019999999999998</v>
      </c>
      <c r="Y1963" s="32">
        <v>3.89</v>
      </c>
      <c r="Z1963">
        <v>0</v>
      </c>
      <c r="AA1963" s="32">
        <v>1.4970000000000001</v>
      </c>
      <c r="AB1963">
        <v>0</v>
      </c>
      <c r="AC1963" s="34">
        <v>0.18</v>
      </c>
      <c r="AD1963" s="32">
        <v>2.9980000000000002</v>
      </c>
    </row>
    <row r="1964" spans="1:30">
      <c r="A1964">
        <v>1962</v>
      </c>
      <c r="B1964">
        <v>34</v>
      </c>
      <c r="C1964">
        <v>1.9910000000000001</v>
      </c>
      <c r="D1964">
        <v>3.89</v>
      </c>
      <c r="E1964">
        <v>0</v>
      </c>
      <c r="F1964">
        <v>1.603</v>
      </c>
      <c r="G1964">
        <v>0</v>
      </c>
      <c r="H1964">
        <v>0.184</v>
      </c>
      <c r="I1964">
        <v>3.3180000000000001</v>
      </c>
      <c r="K1964">
        <v>1962</v>
      </c>
      <c r="L1964">
        <v>34</v>
      </c>
      <c r="M1964" s="32">
        <v>1.9910000000000001</v>
      </c>
      <c r="N1964" s="32">
        <v>3.89</v>
      </c>
      <c r="P1964" s="32">
        <v>1.603</v>
      </c>
      <c r="R1964" s="47">
        <v>0.187</v>
      </c>
      <c r="S1964" s="47">
        <v>3.1920000000000002</v>
      </c>
      <c r="T1964" s="31">
        <v>0</v>
      </c>
      <c r="V1964">
        <v>1962</v>
      </c>
      <c r="W1964">
        <v>33</v>
      </c>
      <c r="X1964">
        <v>2.0030000000000001</v>
      </c>
      <c r="Y1964" s="32">
        <v>3.89</v>
      </c>
      <c r="Z1964">
        <v>0</v>
      </c>
      <c r="AA1964" s="32">
        <v>1.498</v>
      </c>
      <c r="AB1964">
        <v>0</v>
      </c>
      <c r="AC1964" s="34">
        <v>0.18</v>
      </c>
      <c r="AD1964" s="32">
        <v>2.9990000000000001</v>
      </c>
    </row>
    <row r="1965" spans="1:30">
      <c r="A1965">
        <v>1963</v>
      </c>
      <c r="B1965">
        <v>34</v>
      </c>
      <c r="C1965">
        <v>1.992</v>
      </c>
      <c r="D1965">
        <v>3.89</v>
      </c>
      <c r="E1965">
        <v>0</v>
      </c>
      <c r="F1965">
        <v>1.603</v>
      </c>
      <c r="G1965">
        <v>0</v>
      </c>
      <c r="H1965">
        <v>0.184</v>
      </c>
      <c r="I1965">
        <v>3.32</v>
      </c>
      <c r="K1965">
        <v>1963</v>
      </c>
      <c r="L1965">
        <v>34</v>
      </c>
      <c r="M1965" s="32">
        <v>1.992</v>
      </c>
      <c r="N1965" s="32">
        <v>3.89</v>
      </c>
      <c r="P1965" s="47">
        <v>1.6040000000000001</v>
      </c>
      <c r="R1965" s="47">
        <v>0.187</v>
      </c>
      <c r="S1965" s="47">
        <v>3.194</v>
      </c>
      <c r="T1965" s="31">
        <v>0</v>
      </c>
      <c r="V1965">
        <v>1963</v>
      </c>
      <c r="W1965">
        <v>33</v>
      </c>
      <c r="X1965">
        <v>2.004</v>
      </c>
      <c r="Y1965" s="32">
        <v>3.89</v>
      </c>
      <c r="Z1965">
        <v>0</v>
      </c>
      <c r="AA1965" s="32">
        <v>1.498</v>
      </c>
      <c r="AB1965">
        <v>0</v>
      </c>
      <c r="AC1965" s="34">
        <v>0.18</v>
      </c>
      <c r="AD1965" s="32">
        <v>3.0009999999999999</v>
      </c>
    </row>
    <row r="1966" spans="1:30">
      <c r="A1966">
        <v>1964</v>
      </c>
      <c r="B1966">
        <v>34</v>
      </c>
      <c r="C1966">
        <v>1.9930000000000001</v>
      </c>
      <c r="D1966">
        <v>3.89</v>
      </c>
      <c r="E1966">
        <v>0</v>
      </c>
      <c r="F1966">
        <v>1.603</v>
      </c>
      <c r="G1966">
        <v>0</v>
      </c>
      <c r="H1966">
        <v>0.184</v>
      </c>
      <c r="I1966">
        <v>3.3220000000000001</v>
      </c>
      <c r="K1966">
        <v>1964</v>
      </c>
      <c r="L1966">
        <v>34</v>
      </c>
      <c r="M1966" s="32">
        <v>1.9930000000000001</v>
      </c>
      <c r="N1966" s="32">
        <v>3.89</v>
      </c>
      <c r="P1966" s="47">
        <v>1.6040000000000001</v>
      </c>
      <c r="R1966" s="47">
        <v>0.188</v>
      </c>
      <c r="S1966" s="47">
        <v>3.1960000000000002</v>
      </c>
      <c r="T1966" s="31">
        <v>0</v>
      </c>
      <c r="V1966">
        <v>1964</v>
      </c>
      <c r="W1966">
        <v>33</v>
      </c>
      <c r="X1966">
        <v>2.0049999999999999</v>
      </c>
      <c r="Y1966" s="32">
        <v>3.89</v>
      </c>
      <c r="Z1966">
        <v>0</v>
      </c>
      <c r="AA1966" s="32">
        <v>1.498</v>
      </c>
      <c r="AB1966">
        <v>0</v>
      </c>
      <c r="AC1966" s="34">
        <v>0.18</v>
      </c>
      <c r="AD1966" s="32">
        <v>3.0030000000000001</v>
      </c>
    </row>
    <row r="1967" spans="1:30">
      <c r="A1967">
        <v>1965</v>
      </c>
      <c r="B1967">
        <v>34</v>
      </c>
      <c r="C1967">
        <v>1.994</v>
      </c>
      <c r="D1967">
        <v>3.89</v>
      </c>
      <c r="E1967">
        <v>0</v>
      </c>
      <c r="F1967">
        <v>1.603</v>
      </c>
      <c r="G1967">
        <v>0</v>
      </c>
      <c r="H1967">
        <v>0.184</v>
      </c>
      <c r="I1967">
        <v>3.3239999999999998</v>
      </c>
      <c r="K1967">
        <v>1965</v>
      </c>
      <c r="L1967">
        <v>34</v>
      </c>
      <c r="M1967" s="32">
        <v>1.994</v>
      </c>
      <c r="N1967" s="32">
        <v>3.89</v>
      </c>
      <c r="P1967" s="47">
        <v>1.6040000000000001</v>
      </c>
      <c r="R1967" s="47">
        <v>0.188</v>
      </c>
      <c r="S1967" s="47">
        <v>3.198</v>
      </c>
      <c r="T1967" s="31">
        <v>0</v>
      </c>
      <c r="V1967">
        <v>1965</v>
      </c>
      <c r="W1967">
        <v>33</v>
      </c>
      <c r="X1967">
        <v>2.0059999999999998</v>
      </c>
      <c r="Y1967" s="32">
        <v>3.89</v>
      </c>
      <c r="Z1967">
        <v>0</v>
      </c>
      <c r="AA1967" s="32">
        <v>1.498</v>
      </c>
      <c r="AB1967">
        <v>0</v>
      </c>
      <c r="AC1967" s="34">
        <v>0.18</v>
      </c>
      <c r="AD1967" s="32">
        <v>3.0049999999999999</v>
      </c>
    </row>
    <row r="1968" spans="1:30">
      <c r="A1968">
        <v>1966</v>
      </c>
      <c r="B1968">
        <v>34</v>
      </c>
      <c r="C1968">
        <v>1.9950000000000001</v>
      </c>
      <c r="D1968">
        <v>3.89</v>
      </c>
      <c r="E1968">
        <v>0</v>
      </c>
      <c r="F1968">
        <v>1.603</v>
      </c>
      <c r="G1968">
        <v>0</v>
      </c>
      <c r="H1968">
        <v>0.184</v>
      </c>
      <c r="I1968">
        <v>3.327</v>
      </c>
      <c r="K1968">
        <v>1966</v>
      </c>
      <c r="L1968">
        <v>34</v>
      </c>
      <c r="M1968" s="32">
        <v>1.9950000000000001</v>
      </c>
      <c r="N1968" s="32">
        <v>3.89</v>
      </c>
      <c r="P1968" s="47">
        <v>1.605</v>
      </c>
      <c r="R1968" s="47">
        <v>0.188</v>
      </c>
      <c r="S1968" s="47">
        <v>3.2010000000000001</v>
      </c>
      <c r="T1968" s="31">
        <v>0</v>
      </c>
      <c r="V1968">
        <v>1966</v>
      </c>
      <c r="W1968">
        <v>33</v>
      </c>
      <c r="X1968">
        <v>2.0070000000000001</v>
      </c>
      <c r="Y1968" s="32">
        <v>3.89</v>
      </c>
      <c r="Z1968">
        <v>0</v>
      </c>
      <c r="AA1968" s="32">
        <v>1.498</v>
      </c>
      <c r="AB1968">
        <v>0</v>
      </c>
      <c r="AC1968" s="34">
        <v>0.18</v>
      </c>
      <c r="AD1968" s="32">
        <v>3.0070000000000001</v>
      </c>
    </row>
    <row r="1969" spans="1:30">
      <c r="A1969">
        <v>1967</v>
      </c>
      <c r="B1969">
        <v>34</v>
      </c>
      <c r="C1969">
        <v>1.996</v>
      </c>
      <c r="D1969">
        <v>3.89</v>
      </c>
      <c r="E1969">
        <v>0</v>
      </c>
      <c r="F1969">
        <v>1.603</v>
      </c>
      <c r="G1969">
        <v>0</v>
      </c>
      <c r="H1969">
        <v>0.184</v>
      </c>
      <c r="I1969">
        <v>3.3290000000000002</v>
      </c>
      <c r="K1969">
        <v>1967</v>
      </c>
      <c r="L1969">
        <v>34</v>
      </c>
      <c r="M1969" s="32">
        <v>1.996</v>
      </c>
      <c r="N1969" s="32">
        <v>3.89</v>
      </c>
      <c r="P1969" s="47">
        <v>1.605</v>
      </c>
      <c r="R1969" s="47">
        <v>0.188</v>
      </c>
      <c r="S1969" s="47">
        <v>3.2029999999999998</v>
      </c>
      <c r="T1969" s="31">
        <v>0</v>
      </c>
      <c r="V1969">
        <v>1967</v>
      </c>
      <c r="W1969">
        <v>33</v>
      </c>
      <c r="X1969">
        <v>2.008</v>
      </c>
      <c r="Y1969" s="32">
        <v>3.89</v>
      </c>
      <c r="Z1969">
        <v>0</v>
      </c>
      <c r="AA1969" s="32">
        <v>1.498</v>
      </c>
      <c r="AB1969">
        <v>0</v>
      </c>
      <c r="AC1969" s="34">
        <v>0.18</v>
      </c>
      <c r="AD1969" s="32">
        <v>3.0089999999999999</v>
      </c>
    </row>
    <row r="1970" spans="1:30">
      <c r="A1970">
        <v>1968</v>
      </c>
      <c r="B1970">
        <v>34</v>
      </c>
      <c r="C1970">
        <v>1.9970000000000001</v>
      </c>
      <c r="D1970">
        <v>3.89</v>
      </c>
      <c r="E1970">
        <v>0</v>
      </c>
      <c r="F1970">
        <v>1.603</v>
      </c>
      <c r="G1970">
        <v>0</v>
      </c>
      <c r="H1970">
        <v>0.184</v>
      </c>
      <c r="I1970">
        <v>3.331</v>
      </c>
      <c r="K1970">
        <v>1968</v>
      </c>
      <c r="L1970">
        <v>34</v>
      </c>
      <c r="M1970" s="32">
        <v>1.9970000000000001</v>
      </c>
      <c r="N1970" s="32">
        <v>3.89</v>
      </c>
      <c r="P1970" s="47">
        <v>1.605</v>
      </c>
      <c r="R1970" s="47">
        <v>0.188</v>
      </c>
      <c r="S1970" s="47">
        <v>3.2050000000000001</v>
      </c>
      <c r="T1970" s="31">
        <v>0</v>
      </c>
      <c r="V1970">
        <v>1968</v>
      </c>
      <c r="W1970">
        <v>33</v>
      </c>
      <c r="X1970">
        <v>2.0089999999999999</v>
      </c>
      <c r="Y1970" s="32">
        <v>3.89</v>
      </c>
      <c r="Z1970">
        <v>0</v>
      </c>
      <c r="AA1970" s="32">
        <v>1.4990000000000001</v>
      </c>
      <c r="AB1970">
        <v>0</v>
      </c>
      <c r="AC1970" s="34">
        <v>0.18</v>
      </c>
      <c r="AD1970" s="32">
        <v>3.01</v>
      </c>
    </row>
    <row r="1971" spans="1:30">
      <c r="A1971">
        <v>1969</v>
      </c>
      <c r="B1971">
        <v>34</v>
      </c>
      <c r="C1971">
        <v>1.998</v>
      </c>
      <c r="D1971">
        <v>3.89</v>
      </c>
      <c r="E1971">
        <v>0</v>
      </c>
      <c r="F1971">
        <v>1.603</v>
      </c>
      <c r="G1971">
        <v>0</v>
      </c>
      <c r="H1971">
        <v>0.184</v>
      </c>
      <c r="I1971">
        <v>3.3330000000000002</v>
      </c>
      <c r="K1971">
        <v>1969</v>
      </c>
      <c r="L1971">
        <v>34</v>
      </c>
      <c r="M1971" s="32">
        <v>1.998</v>
      </c>
      <c r="N1971" s="32">
        <v>3.89</v>
      </c>
      <c r="P1971" s="47">
        <v>1.605</v>
      </c>
      <c r="R1971" s="47">
        <v>0.188</v>
      </c>
      <c r="S1971" s="47">
        <v>3.2069999999999999</v>
      </c>
      <c r="T1971" s="31">
        <v>0</v>
      </c>
      <c r="V1971">
        <v>1969</v>
      </c>
      <c r="W1971">
        <v>33</v>
      </c>
      <c r="X1971">
        <v>2.0099999999999998</v>
      </c>
      <c r="Y1971" s="32">
        <v>3.89</v>
      </c>
      <c r="Z1971">
        <v>0</v>
      </c>
      <c r="AA1971" s="32">
        <v>1.4990000000000001</v>
      </c>
      <c r="AB1971">
        <v>0</v>
      </c>
      <c r="AC1971" s="34">
        <v>0.18</v>
      </c>
      <c r="AD1971" s="32">
        <v>3.012</v>
      </c>
    </row>
    <row r="1972" spans="1:30">
      <c r="A1972">
        <v>1970</v>
      </c>
      <c r="B1972">
        <v>34</v>
      </c>
      <c r="C1972">
        <v>1.9990000000000001</v>
      </c>
      <c r="D1972">
        <v>3.89</v>
      </c>
      <c r="E1972">
        <v>0</v>
      </c>
      <c r="F1972">
        <v>1.603</v>
      </c>
      <c r="G1972">
        <v>0</v>
      </c>
      <c r="H1972">
        <v>0.184</v>
      </c>
      <c r="I1972">
        <v>3.335</v>
      </c>
      <c r="K1972">
        <v>1970</v>
      </c>
      <c r="L1972">
        <v>34</v>
      </c>
      <c r="M1972" s="32">
        <v>1.9990000000000001</v>
      </c>
      <c r="N1972" s="32">
        <v>3.89</v>
      </c>
      <c r="P1972" s="47">
        <v>1.6060000000000001</v>
      </c>
      <c r="R1972" s="47">
        <v>0.188</v>
      </c>
      <c r="S1972" s="47">
        <v>3.2090000000000001</v>
      </c>
      <c r="T1972" s="31">
        <v>0</v>
      </c>
      <c r="V1972">
        <v>1970</v>
      </c>
      <c r="W1972">
        <v>33</v>
      </c>
      <c r="X1972">
        <v>2.0110000000000001</v>
      </c>
      <c r="Y1972" s="32">
        <v>3.9009999999999998</v>
      </c>
      <c r="Z1972">
        <v>0</v>
      </c>
      <c r="AA1972" s="32">
        <v>1.4990000000000001</v>
      </c>
      <c r="AB1972">
        <v>0</v>
      </c>
      <c r="AC1972" s="34">
        <v>0.18</v>
      </c>
      <c r="AD1972" s="32">
        <v>3.0139999999999998</v>
      </c>
    </row>
    <row r="1973" spans="1:30">
      <c r="A1973">
        <v>1971</v>
      </c>
      <c r="B1973">
        <v>34</v>
      </c>
      <c r="C1973">
        <v>2</v>
      </c>
      <c r="D1973">
        <v>3.89</v>
      </c>
      <c r="E1973">
        <v>0</v>
      </c>
      <c r="F1973">
        <v>1.6060000000000001</v>
      </c>
      <c r="G1973">
        <v>0</v>
      </c>
      <c r="H1973">
        <v>0.184</v>
      </c>
      <c r="I1973">
        <v>3.2109999999999999</v>
      </c>
      <c r="K1973">
        <v>1971</v>
      </c>
      <c r="L1973">
        <v>34</v>
      </c>
      <c r="M1973" s="32">
        <v>2</v>
      </c>
      <c r="N1973" s="32">
        <v>3.89</v>
      </c>
      <c r="P1973" s="32">
        <v>1.6060000000000001</v>
      </c>
      <c r="R1973" s="47">
        <v>0.188</v>
      </c>
      <c r="S1973" s="32">
        <v>3.2109999999999999</v>
      </c>
      <c r="T1973" s="31">
        <v>0</v>
      </c>
      <c r="V1973">
        <v>1971</v>
      </c>
      <c r="W1973">
        <v>33</v>
      </c>
      <c r="X1973">
        <v>2.012</v>
      </c>
      <c r="Y1973" s="32">
        <v>3.9119999999999999</v>
      </c>
      <c r="Z1973">
        <v>0</v>
      </c>
      <c r="AA1973" s="32">
        <v>1.4990000000000001</v>
      </c>
      <c r="AB1973">
        <v>0</v>
      </c>
      <c r="AC1973" s="34">
        <v>0.18</v>
      </c>
      <c r="AD1973" s="32">
        <v>3.016</v>
      </c>
    </row>
    <row r="1974" spans="1:30">
      <c r="A1974">
        <v>1972</v>
      </c>
      <c r="B1974">
        <v>34</v>
      </c>
      <c r="C1974">
        <v>2.0009999999999999</v>
      </c>
      <c r="D1974">
        <v>3.89</v>
      </c>
      <c r="E1974">
        <v>0</v>
      </c>
      <c r="F1974">
        <v>1.6060000000000001</v>
      </c>
      <c r="G1974">
        <v>0</v>
      </c>
      <c r="H1974">
        <v>0.184</v>
      </c>
      <c r="I1974">
        <v>3.36</v>
      </c>
      <c r="K1974">
        <v>1972</v>
      </c>
      <c r="L1974">
        <v>34</v>
      </c>
      <c r="M1974" s="32">
        <v>2.0009999999999999</v>
      </c>
      <c r="N1974" s="32">
        <v>3.89</v>
      </c>
      <c r="P1974" s="32">
        <v>1.6060000000000001</v>
      </c>
      <c r="R1974" s="47">
        <v>0.188</v>
      </c>
      <c r="S1974" s="47">
        <v>3.2130000000000001</v>
      </c>
      <c r="T1974" s="31">
        <v>0</v>
      </c>
      <c r="V1974">
        <v>1972</v>
      </c>
      <c r="W1974">
        <v>33</v>
      </c>
      <c r="X1974">
        <v>2.0129999999999999</v>
      </c>
      <c r="Y1974" s="32">
        <v>3.923</v>
      </c>
      <c r="Z1974">
        <v>0</v>
      </c>
      <c r="AA1974" s="32">
        <v>1.4990000000000001</v>
      </c>
      <c r="AB1974">
        <v>0</v>
      </c>
      <c r="AC1974" s="34">
        <v>0.18</v>
      </c>
      <c r="AD1974" s="32">
        <v>3.0179999999999998</v>
      </c>
    </row>
    <row r="1975" spans="1:30">
      <c r="A1975">
        <v>1973</v>
      </c>
      <c r="B1975">
        <v>34</v>
      </c>
      <c r="C1975">
        <v>2.0019999999999998</v>
      </c>
      <c r="D1975">
        <v>3.89</v>
      </c>
      <c r="E1975">
        <v>0</v>
      </c>
      <c r="F1975">
        <v>1.6060000000000001</v>
      </c>
      <c r="G1975">
        <v>0</v>
      </c>
      <c r="H1975">
        <v>0.184</v>
      </c>
      <c r="I1975">
        <v>3.3620000000000001</v>
      </c>
      <c r="K1975">
        <v>1973</v>
      </c>
      <c r="L1975">
        <v>34</v>
      </c>
      <c r="M1975" s="32">
        <v>2.0019999999999998</v>
      </c>
      <c r="N1975" s="32">
        <v>3.89</v>
      </c>
      <c r="P1975" s="32">
        <v>1.6060000000000001</v>
      </c>
      <c r="R1975" s="47">
        <v>0.188</v>
      </c>
      <c r="S1975" s="47">
        <v>3.2149999999999999</v>
      </c>
      <c r="T1975" s="31">
        <v>0</v>
      </c>
      <c r="V1975">
        <v>1973</v>
      </c>
      <c r="W1975">
        <v>33</v>
      </c>
      <c r="X1975">
        <v>2.0139999999999998</v>
      </c>
      <c r="Y1975" s="32">
        <v>3.9340000000000002</v>
      </c>
      <c r="Z1975">
        <v>0</v>
      </c>
      <c r="AA1975" s="32">
        <v>1.4990000000000001</v>
      </c>
      <c r="AB1975">
        <v>0</v>
      </c>
      <c r="AC1975" s="34">
        <v>0.18</v>
      </c>
      <c r="AD1975" s="32">
        <v>3.02</v>
      </c>
    </row>
    <row r="1976" spans="1:30">
      <c r="A1976">
        <v>1974</v>
      </c>
      <c r="B1976">
        <v>34</v>
      </c>
      <c r="C1976">
        <v>2.0030000000000001</v>
      </c>
      <c r="D1976">
        <v>3.89</v>
      </c>
      <c r="E1976">
        <v>0</v>
      </c>
      <c r="F1976">
        <v>1.6060000000000001</v>
      </c>
      <c r="G1976">
        <v>0</v>
      </c>
      <c r="H1976">
        <v>0.184</v>
      </c>
      <c r="I1976">
        <v>3.3639999999999999</v>
      </c>
      <c r="K1976">
        <v>1974</v>
      </c>
      <c r="L1976">
        <v>34</v>
      </c>
      <c r="M1976" s="32">
        <v>2.0030000000000001</v>
      </c>
      <c r="N1976" s="32">
        <v>3.89</v>
      </c>
      <c r="P1976" s="47">
        <v>1.607</v>
      </c>
      <c r="R1976" s="47">
        <v>0.188</v>
      </c>
      <c r="S1976" s="47">
        <v>3.218</v>
      </c>
      <c r="T1976" s="31">
        <v>0</v>
      </c>
      <c r="V1976">
        <v>1974</v>
      </c>
      <c r="W1976">
        <v>33</v>
      </c>
      <c r="X1976">
        <v>2.0150000000000001</v>
      </c>
      <c r="Y1976" s="32">
        <v>3.9449999999999998</v>
      </c>
      <c r="Z1976">
        <v>0</v>
      </c>
      <c r="AA1976" s="32">
        <v>1.5</v>
      </c>
      <c r="AB1976">
        <v>0</v>
      </c>
      <c r="AC1976" s="34">
        <v>0.18</v>
      </c>
      <c r="AD1976" s="32">
        <v>3.0209999999999999</v>
      </c>
    </row>
    <row r="1977" spans="1:30">
      <c r="A1977">
        <v>1975</v>
      </c>
      <c r="B1977">
        <v>34</v>
      </c>
      <c r="C1977">
        <v>2.004</v>
      </c>
      <c r="D1977">
        <v>3.89</v>
      </c>
      <c r="E1977">
        <v>0</v>
      </c>
      <c r="F1977">
        <v>1.6060000000000001</v>
      </c>
      <c r="G1977">
        <v>0</v>
      </c>
      <c r="H1977">
        <v>0.184</v>
      </c>
      <c r="I1977">
        <v>3.3660000000000001</v>
      </c>
      <c r="K1977">
        <v>1975</v>
      </c>
      <c r="L1977">
        <v>34</v>
      </c>
      <c r="M1977" s="32">
        <v>2.004</v>
      </c>
      <c r="N1977" s="32">
        <v>3.89</v>
      </c>
      <c r="P1977" s="47">
        <v>1.607</v>
      </c>
      <c r="R1977" s="47">
        <v>0.188</v>
      </c>
      <c r="S1977" s="47">
        <v>3.22</v>
      </c>
      <c r="T1977" s="31">
        <v>0</v>
      </c>
      <c r="V1977">
        <v>1975</v>
      </c>
      <c r="W1977">
        <v>33</v>
      </c>
      <c r="X1977">
        <v>2.016</v>
      </c>
      <c r="Y1977" s="32">
        <v>3.956</v>
      </c>
      <c r="Z1977">
        <v>0</v>
      </c>
      <c r="AA1977" s="32">
        <v>1.5</v>
      </c>
      <c r="AB1977">
        <v>0</v>
      </c>
      <c r="AC1977" s="34">
        <v>0.18</v>
      </c>
      <c r="AD1977" s="32">
        <v>3.0230000000000001</v>
      </c>
    </row>
    <row r="1978" spans="1:30">
      <c r="A1978">
        <v>1976</v>
      </c>
      <c r="B1978">
        <v>34</v>
      </c>
      <c r="C1978">
        <v>2.0049999999999999</v>
      </c>
      <c r="D1978">
        <v>3.89</v>
      </c>
      <c r="E1978">
        <v>0</v>
      </c>
      <c r="F1978">
        <v>1.6060000000000001</v>
      </c>
      <c r="G1978">
        <v>0</v>
      </c>
      <c r="H1978">
        <v>0.184</v>
      </c>
      <c r="I1978">
        <v>3.3690000000000002</v>
      </c>
      <c r="K1978">
        <v>1976</v>
      </c>
      <c r="L1978">
        <v>34</v>
      </c>
      <c r="M1978" s="32">
        <v>2.0049999999999999</v>
      </c>
      <c r="N1978" s="32">
        <v>3.89</v>
      </c>
      <c r="P1978" s="47">
        <v>1.607</v>
      </c>
      <c r="R1978" s="47">
        <v>0.188</v>
      </c>
      <c r="S1978" s="47">
        <v>3.222</v>
      </c>
      <c r="T1978" s="31">
        <v>0</v>
      </c>
      <c r="V1978">
        <v>1976</v>
      </c>
      <c r="W1978">
        <v>33</v>
      </c>
      <c r="X1978">
        <v>2.0169999999999999</v>
      </c>
      <c r="Y1978" s="32">
        <v>3.9670000000000001</v>
      </c>
      <c r="Z1978">
        <v>0</v>
      </c>
      <c r="AA1978" s="32">
        <v>1.5</v>
      </c>
      <c r="AB1978">
        <v>0</v>
      </c>
      <c r="AC1978" s="34">
        <v>0.18</v>
      </c>
      <c r="AD1978" s="32">
        <v>3.0249999999999999</v>
      </c>
    </row>
    <row r="1979" spans="1:30">
      <c r="A1979">
        <v>1977</v>
      </c>
      <c r="B1979">
        <v>34</v>
      </c>
      <c r="C1979">
        <v>2.0059999999999998</v>
      </c>
      <c r="D1979">
        <v>3.89</v>
      </c>
      <c r="E1979">
        <v>0</v>
      </c>
      <c r="F1979">
        <v>1.6060000000000001</v>
      </c>
      <c r="G1979">
        <v>0</v>
      </c>
      <c r="H1979">
        <v>0.184</v>
      </c>
      <c r="I1979">
        <v>3.371</v>
      </c>
      <c r="K1979">
        <v>1977</v>
      </c>
      <c r="L1979">
        <v>34</v>
      </c>
      <c r="M1979" s="32">
        <v>2.0059999999999998</v>
      </c>
      <c r="N1979" s="32">
        <v>3.89</v>
      </c>
      <c r="P1979" s="47">
        <v>1.607</v>
      </c>
      <c r="R1979" s="47">
        <v>0.188</v>
      </c>
      <c r="S1979" s="47">
        <v>3.2240000000000002</v>
      </c>
      <c r="T1979" s="31">
        <v>0</v>
      </c>
      <c r="V1979">
        <v>1977</v>
      </c>
      <c r="W1979">
        <v>33</v>
      </c>
      <c r="X1979">
        <v>2.0179999999999998</v>
      </c>
      <c r="Y1979" s="32">
        <v>3.9780000000000002</v>
      </c>
      <c r="Z1979">
        <v>0</v>
      </c>
      <c r="AA1979" s="32">
        <v>1.5</v>
      </c>
      <c r="AB1979">
        <v>0</v>
      </c>
      <c r="AC1979" s="34">
        <v>0.18099999999999999</v>
      </c>
      <c r="AD1979" s="32">
        <v>3.0270000000000001</v>
      </c>
    </row>
    <row r="1980" spans="1:30">
      <c r="A1980">
        <v>1978</v>
      </c>
      <c r="B1980">
        <v>34</v>
      </c>
      <c r="C1980">
        <v>2.0070000000000001</v>
      </c>
      <c r="D1980">
        <v>3.89</v>
      </c>
      <c r="E1980">
        <v>0</v>
      </c>
      <c r="F1980">
        <v>1.6060000000000001</v>
      </c>
      <c r="G1980">
        <v>0</v>
      </c>
      <c r="H1980">
        <v>0.184</v>
      </c>
      <c r="I1980">
        <v>3.3730000000000002</v>
      </c>
      <c r="K1980">
        <v>1978</v>
      </c>
      <c r="L1980">
        <v>34</v>
      </c>
      <c r="M1980" s="32">
        <v>2.0070000000000001</v>
      </c>
      <c r="N1980" s="32">
        <v>3.89</v>
      </c>
      <c r="P1980" s="47">
        <v>1.607</v>
      </c>
      <c r="R1980" s="47">
        <v>0.188</v>
      </c>
      <c r="S1980" s="47">
        <v>3.226</v>
      </c>
      <c r="T1980" s="31">
        <v>0</v>
      </c>
      <c r="V1980">
        <v>1978</v>
      </c>
      <c r="W1980">
        <v>33</v>
      </c>
      <c r="X1980">
        <v>2.0190000000000001</v>
      </c>
      <c r="Y1980" s="32">
        <v>3.9889999999999999</v>
      </c>
      <c r="Z1980">
        <v>0</v>
      </c>
      <c r="AA1980" s="32">
        <v>1.5</v>
      </c>
      <c r="AB1980">
        <v>0</v>
      </c>
      <c r="AC1980" s="34">
        <v>0.18099999999999999</v>
      </c>
      <c r="AD1980" s="32">
        <v>3.0289999999999999</v>
      </c>
    </row>
    <row r="1981" spans="1:30">
      <c r="A1981">
        <v>1979</v>
      </c>
      <c r="B1981">
        <v>34</v>
      </c>
      <c r="C1981">
        <v>2.008</v>
      </c>
      <c r="D1981">
        <v>3.89</v>
      </c>
      <c r="E1981">
        <v>0</v>
      </c>
      <c r="F1981">
        <v>1.6060000000000001</v>
      </c>
      <c r="G1981">
        <v>0</v>
      </c>
      <c r="H1981">
        <v>0.184</v>
      </c>
      <c r="I1981">
        <v>3.375</v>
      </c>
      <c r="K1981">
        <v>1979</v>
      </c>
      <c r="L1981">
        <v>34</v>
      </c>
      <c r="M1981" s="32">
        <v>2.008</v>
      </c>
      <c r="N1981" s="32">
        <v>3.89</v>
      </c>
      <c r="P1981" s="47">
        <v>1.6080000000000001</v>
      </c>
      <c r="R1981" s="47">
        <v>0.188</v>
      </c>
      <c r="S1981" s="47">
        <v>3.2290000000000001</v>
      </c>
      <c r="T1981" s="31">
        <v>0</v>
      </c>
      <c r="V1981">
        <v>1979</v>
      </c>
      <c r="W1981">
        <v>33</v>
      </c>
      <c r="X1981">
        <v>2.02</v>
      </c>
      <c r="Y1981" s="32">
        <v>4</v>
      </c>
      <c r="Z1981">
        <v>0</v>
      </c>
      <c r="AA1981" s="32">
        <v>1.5</v>
      </c>
      <c r="AB1981">
        <v>0</v>
      </c>
      <c r="AC1981" s="34">
        <v>0.18099999999999999</v>
      </c>
      <c r="AD1981" s="32">
        <v>3.0310000000000001</v>
      </c>
    </row>
    <row r="1982" spans="1:30">
      <c r="A1982">
        <v>1980</v>
      </c>
      <c r="B1982">
        <v>34</v>
      </c>
      <c r="C1982">
        <v>2.0089999999999999</v>
      </c>
      <c r="D1982">
        <v>3.89</v>
      </c>
      <c r="E1982">
        <v>0</v>
      </c>
      <c r="F1982">
        <v>1.6060000000000001</v>
      </c>
      <c r="G1982">
        <v>0</v>
      </c>
      <c r="H1982">
        <v>0.184</v>
      </c>
      <c r="I1982">
        <v>3.3769999999999998</v>
      </c>
      <c r="K1982">
        <v>1980</v>
      </c>
      <c r="L1982">
        <v>34</v>
      </c>
      <c r="M1982" s="32">
        <v>2.0089999999999999</v>
      </c>
      <c r="N1982" s="32">
        <v>3.89</v>
      </c>
      <c r="P1982" s="47">
        <v>1.6080000000000001</v>
      </c>
      <c r="R1982" s="47">
        <v>0.188</v>
      </c>
      <c r="S1982" s="47">
        <v>3.2309999999999999</v>
      </c>
      <c r="T1982" s="31">
        <v>0</v>
      </c>
      <c r="V1982">
        <v>1980</v>
      </c>
      <c r="W1982">
        <v>33</v>
      </c>
      <c r="X1982">
        <v>2.0209999999999999</v>
      </c>
      <c r="Y1982" s="32">
        <v>4</v>
      </c>
      <c r="Z1982">
        <v>0</v>
      </c>
      <c r="AA1982" s="32">
        <v>1.5009999999999999</v>
      </c>
      <c r="AB1982">
        <v>0</v>
      </c>
      <c r="AC1982" s="34">
        <v>0.18099999999999999</v>
      </c>
      <c r="AD1982" s="32">
        <v>3.032</v>
      </c>
    </row>
    <row r="1983" spans="1:30">
      <c r="A1983">
        <v>1981</v>
      </c>
      <c r="B1983">
        <v>34</v>
      </c>
      <c r="C1983">
        <v>2.0099999999999998</v>
      </c>
      <c r="D1983">
        <v>3.89</v>
      </c>
      <c r="E1983">
        <v>0</v>
      </c>
      <c r="F1983">
        <v>1.6080000000000001</v>
      </c>
      <c r="G1983">
        <v>0</v>
      </c>
      <c r="H1983">
        <v>0.184</v>
      </c>
      <c r="I1983">
        <v>3.2330000000000001</v>
      </c>
      <c r="K1983">
        <v>1981</v>
      </c>
      <c r="L1983">
        <v>34</v>
      </c>
      <c r="M1983" s="32">
        <v>2.0099999999999998</v>
      </c>
      <c r="N1983" s="32">
        <v>3.89</v>
      </c>
      <c r="P1983" s="32">
        <v>1.6080000000000001</v>
      </c>
      <c r="R1983" s="47">
        <v>0.188</v>
      </c>
      <c r="S1983" s="32">
        <v>3.2330000000000001</v>
      </c>
      <c r="T1983" s="31">
        <v>0</v>
      </c>
      <c r="V1983">
        <v>1981</v>
      </c>
      <c r="W1983">
        <v>33</v>
      </c>
      <c r="X1983">
        <v>2.0219999999999998</v>
      </c>
      <c r="Y1983" s="32">
        <v>4</v>
      </c>
      <c r="Z1983">
        <v>0</v>
      </c>
      <c r="AA1983" s="32">
        <v>1.5009999999999999</v>
      </c>
      <c r="AB1983">
        <v>0</v>
      </c>
      <c r="AC1983" s="34">
        <v>0.18099999999999999</v>
      </c>
      <c r="AD1983" s="32">
        <v>3.0339999999999998</v>
      </c>
    </row>
    <row r="1984" spans="1:30">
      <c r="A1984">
        <v>1982</v>
      </c>
      <c r="B1984">
        <v>34</v>
      </c>
      <c r="C1984">
        <v>2.0110000000000001</v>
      </c>
      <c r="D1984">
        <v>3.89</v>
      </c>
      <c r="E1984">
        <v>0</v>
      </c>
      <c r="F1984">
        <v>1.6080000000000001</v>
      </c>
      <c r="G1984">
        <v>0</v>
      </c>
      <c r="H1984">
        <v>0.184</v>
      </c>
      <c r="I1984">
        <v>3.403</v>
      </c>
      <c r="K1984">
        <v>1982</v>
      </c>
      <c r="L1984">
        <v>34</v>
      </c>
      <c r="M1984" s="32">
        <v>2.0110000000000001</v>
      </c>
      <c r="N1984" s="47">
        <v>3.9009999999999998</v>
      </c>
      <c r="P1984" s="32">
        <v>1.6080000000000001</v>
      </c>
      <c r="R1984" s="47">
        <v>0.189</v>
      </c>
      <c r="S1984" s="47">
        <v>3.2349999999999999</v>
      </c>
      <c r="T1984" s="31">
        <v>0</v>
      </c>
      <c r="V1984">
        <v>1982</v>
      </c>
      <c r="W1984">
        <v>33</v>
      </c>
      <c r="X1984">
        <v>2.0230000000000001</v>
      </c>
      <c r="Y1984" s="32">
        <v>4</v>
      </c>
      <c r="Z1984">
        <v>0</v>
      </c>
      <c r="AA1984" s="32">
        <v>1.5009999999999999</v>
      </c>
      <c r="AB1984">
        <v>0</v>
      </c>
      <c r="AC1984" s="34">
        <v>0.18099999999999999</v>
      </c>
      <c r="AD1984" s="32">
        <v>3.036</v>
      </c>
    </row>
    <row r="1985" spans="1:30">
      <c r="A1985">
        <v>1983</v>
      </c>
      <c r="B1985">
        <v>34</v>
      </c>
      <c r="C1985">
        <v>2.012</v>
      </c>
      <c r="D1985">
        <v>3.89</v>
      </c>
      <c r="E1985">
        <v>0</v>
      </c>
      <c r="F1985">
        <v>1.6080000000000001</v>
      </c>
      <c r="G1985">
        <v>0</v>
      </c>
      <c r="H1985">
        <v>0.184</v>
      </c>
      <c r="I1985">
        <v>3.4049999999999998</v>
      </c>
      <c r="K1985">
        <v>1983</v>
      </c>
      <c r="L1985">
        <v>34</v>
      </c>
      <c r="M1985" s="32">
        <v>2.012</v>
      </c>
      <c r="N1985" s="47">
        <v>3.9119999999999999</v>
      </c>
      <c r="P1985" s="47">
        <v>1.609</v>
      </c>
      <c r="R1985" s="47">
        <v>0.189</v>
      </c>
      <c r="S1985" s="47">
        <v>3.2360000000000002</v>
      </c>
      <c r="T1985" s="31">
        <v>0</v>
      </c>
      <c r="V1985">
        <v>1983</v>
      </c>
      <c r="W1985">
        <v>33</v>
      </c>
      <c r="X1985">
        <v>2.024</v>
      </c>
      <c r="Y1985" s="32">
        <v>4</v>
      </c>
      <c r="Z1985">
        <v>0</v>
      </c>
      <c r="AA1985" s="32">
        <v>1.5009999999999999</v>
      </c>
      <c r="AB1985">
        <v>0</v>
      </c>
      <c r="AC1985" s="34">
        <v>0.18099999999999999</v>
      </c>
      <c r="AD1985" s="32">
        <v>3.0379999999999998</v>
      </c>
    </row>
    <row r="1986" spans="1:30">
      <c r="A1986">
        <v>1984</v>
      </c>
      <c r="B1986">
        <v>34</v>
      </c>
      <c r="C1986">
        <v>2.0129999999999999</v>
      </c>
      <c r="D1986">
        <v>3.89</v>
      </c>
      <c r="E1986">
        <v>0</v>
      </c>
      <c r="F1986">
        <v>1.6080000000000001</v>
      </c>
      <c r="G1986">
        <v>0</v>
      </c>
      <c r="H1986">
        <v>0.184</v>
      </c>
      <c r="I1986">
        <v>3.407</v>
      </c>
      <c r="K1986">
        <v>1984</v>
      </c>
      <c r="L1986">
        <v>34</v>
      </c>
      <c r="M1986" s="32">
        <v>2.0129999999999999</v>
      </c>
      <c r="N1986" s="47">
        <v>3.923</v>
      </c>
      <c r="P1986" s="47">
        <v>1.609</v>
      </c>
      <c r="R1986" s="47">
        <v>0.189</v>
      </c>
      <c r="S1986" s="47">
        <v>3.238</v>
      </c>
      <c r="T1986" s="31">
        <v>0</v>
      </c>
      <c r="V1986">
        <v>1984</v>
      </c>
      <c r="W1986">
        <v>33</v>
      </c>
      <c r="X1986">
        <v>2.0249999999999999</v>
      </c>
      <c r="Y1986" s="32">
        <v>4</v>
      </c>
      <c r="Z1986">
        <v>0</v>
      </c>
      <c r="AA1986" s="32">
        <v>1.5009999999999999</v>
      </c>
      <c r="AB1986">
        <v>0</v>
      </c>
      <c r="AC1986" s="34">
        <v>0.18099999999999999</v>
      </c>
      <c r="AD1986" s="32">
        <v>3.04</v>
      </c>
    </row>
    <row r="1987" spans="1:30">
      <c r="A1987">
        <v>1985</v>
      </c>
      <c r="B1987">
        <v>34</v>
      </c>
      <c r="C1987">
        <v>2.0139999999999998</v>
      </c>
      <c r="D1987">
        <v>3.89</v>
      </c>
      <c r="E1987">
        <v>0</v>
      </c>
      <c r="F1987">
        <v>1.6080000000000001</v>
      </c>
      <c r="G1987">
        <v>0</v>
      </c>
      <c r="H1987">
        <v>0.184</v>
      </c>
      <c r="I1987">
        <v>3.4089999999999998</v>
      </c>
      <c r="K1987">
        <v>1985</v>
      </c>
      <c r="L1987">
        <v>34</v>
      </c>
      <c r="M1987" s="32">
        <v>2.0139999999999998</v>
      </c>
      <c r="N1987" s="47">
        <v>3.9340000000000002</v>
      </c>
      <c r="P1987" s="47">
        <v>1.609</v>
      </c>
      <c r="R1987" s="47">
        <v>0.189</v>
      </c>
      <c r="S1987" s="47">
        <v>3.2389999999999999</v>
      </c>
      <c r="T1987" s="31">
        <v>0</v>
      </c>
      <c r="V1987">
        <v>1985</v>
      </c>
      <c r="W1987">
        <v>33</v>
      </c>
      <c r="X1987">
        <v>2.0259999999999998</v>
      </c>
      <c r="Y1987" s="32">
        <v>4</v>
      </c>
      <c r="Z1987">
        <v>0</v>
      </c>
      <c r="AA1987" s="32">
        <v>1.5009999999999999</v>
      </c>
      <c r="AB1987">
        <v>0</v>
      </c>
      <c r="AC1987" s="34">
        <v>0.18099999999999999</v>
      </c>
      <c r="AD1987" s="32">
        <v>3.0419999999999998</v>
      </c>
    </row>
    <row r="1988" spans="1:30">
      <c r="A1988">
        <v>1986</v>
      </c>
      <c r="B1988">
        <v>34</v>
      </c>
      <c r="C1988">
        <v>2.0150000000000001</v>
      </c>
      <c r="D1988">
        <v>3.89</v>
      </c>
      <c r="E1988">
        <v>0</v>
      </c>
      <c r="F1988">
        <v>1.6080000000000001</v>
      </c>
      <c r="G1988">
        <v>0</v>
      </c>
      <c r="H1988">
        <v>0.184</v>
      </c>
      <c r="I1988">
        <v>3.4119999999999999</v>
      </c>
      <c r="K1988">
        <v>1986</v>
      </c>
      <c r="L1988">
        <v>34</v>
      </c>
      <c r="M1988" s="32">
        <v>2.0150000000000001</v>
      </c>
      <c r="N1988" s="47">
        <v>3.9449999999999998</v>
      </c>
      <c r="P1988" s="47">
        <v>1.61</v>
      </c>
      <c r="R1988" s="47">
        <v>0.189</v>
      </c>
      <c r="S1988" s="47">
        <v>3.2410000000000001</v>
      </c>
      <c r="T1988" s="31">
        <v>0</v>
      </c>
      <c r="V1988">
        <v>1986</v>
      </c>
      <c r="W1988">
        <v>33</v>
      </c>
      <c r="X1988">
        <v>2.0270000000000001</v>
      </c>
      <c r="Y1988" s="32">
        <v>4</v>
      </c>
      <c r="Z1988">
        <v>0</v>
      </c>
      <c r="AA1988" s="32">
        <v>1.5009999999999999</v>
      </c>
      <c r="AB1988">
        <v>0</v>
      </c>
      <c r="AC1988" s="34">
        <v>0.18099999999999999</v>
      </c>
      <c r="AD1988" s="32">
        <v>3.044</v>
      </c>
    </row>
    <row r="1989" spans="1:30">
      <c r="A1989">
        <v>1987</v>
      </c>
      <c r="B1989">
        <v>34</v>
      </c>
      <c r="C1989">
        <v>2.016</v>
      </c>
      <c r="D1989">
        <v>3.89</v>
      </c>
      <c r="E1989">
        <v>0</v>
      </c>
      <c r="F1989">
        <v>1.6080000000000001</v>
      </c>
      <c r="G1989">
        <v>0</v>
      </c>
      <c r="H1989">
        <v>0.184</v>
      </c>
      <c r="I1989">
        <v>3.4140000000000001</v>
      </c>
      <c r="K1989">
        <v>1987</v>
      </c>
      <c r="L1989">
        <v>34</v>
      </c>
      <c r="M1989" s="32">
        <v>2.016</v>
      </c>
      <c r="N1989" s="47">
        <v>3.956</v>
      </c>
      <c r="P1989" s="47">
        <v>1.61</v>
      </c>
      <c r="R1989" s="47">
        <v>0.189</v>
      </c>
      <c r="S1989" s="47">
        <v>3.2429999999999999</v>
      </c>
      <c r="T1989" s="31">
        <v>0</v>
      </c>
      <c r="V1989">
        <v>1987</v>
      </c>
      <c r="W1989">
        <v>33</v>
      </c>
      <c r="X1989">
        <v>2.028</v>
      </c>
      <c r="Y1989" s="32">
        <v>4</v>
      </c>
      <c r="Z1989">
        <v>0</v>
      </c>
      <c r="AA1989" s="32">
        <v>1.502</v>
      </c>
      <c r="AB1989">
        <v>0</v>
      </c>
      <c r="AC1989" s="34">
        <v>0.18099999999999999</v>
      </c>
      <c r="AD1989" s="32">
        <v>3.0449999999999999</v>
      </c>
    </row>
    <row r="1990" spans="1:30">
      <c r="A1990">
        <v>1988</v>
      </c>
      <c r="B1990">
        <v>34</v>
      </c>
      <c r="C1990">
        <v>2.0169999999999999</v>
      </c>
      <c r="D1990">
        <v>3.89</v>
      </c>
      <c r="E1990">
        <v>0</v>
      </c>
      <c r="F1990">
        <v>1.6080000000000001</v>
      </c>
      <c r="G1990">
        <v>0</v>
      </c>
      <c r="H1990">
        <v>0.184</v>
      </c>
      <c r="I1990">
        <v>3.4159999999999999</v>
      </c>
      <c r="K1990">
        <v>1988</v>
      </c>
      <c r="L1990">
        <v>34</v>
      </c>
      <c r="M1990" s="32">
        <v>2.0169999999999999</v>
      </c>
      <c r="N1990" s="47">
        <v>3.9670000000000001</v>
      </c>
      <c r="P1990" s="47">
        <v>1.61</v>
      </c>
      <c r="R1990" s="47">
        <v>0.189</v>
      </c>
      <c r="S1990" s="47">
        <v>3.2440000000000002</v>
      </c>
      <c r="T1990" s="31">
        <v>0</v>
      </c>
      <c r="V1990">
        <v>1988</v>
      </c>
      <c r="W1990">
        <v>33</v>
      </c>
      <c r="X1990">
        <v>2.0289999999999999</v>
      </c>
      <c r="Y1990" s="32">
        <v>4</v>
      </c>
      <c r="Z1990">
        <v>0</v>
      </c>
      <c r="AA1990" s="32">
        <v>1.502</v>
      </c>
      <c r="AB1990">
        <v>0</v>
      </c>
      <c r="AC1990" s="34">
        <v>0.18099999999999999</v>
      </c>
      <c r="AD1990" s="32">
        <v>3.0470000000000002</v>
      </c>
    </row>
    <row r="1991" spans="1:30">
      <c r="A1991">
        <v>1989</v>
      </c>
      <c r="B1991">
        <v>34</v>
      </c>
      <c r="C1991">
        <v>2.0179999999999998</v>
      </c>
      <c r="D1991">
        <v>3.89</v>
      </c>
      <c r="E1991">
        <v>0</v>
      </c>
      <c r="F1991">
        <v>1.6080000000000001</v>
      </c>
      <c r="G1991">
        <v>0</v>
      </c>
      <c r="H1991">
        <v>0.184</v>
      </c>
      <c r="I1991">
        <v>3.4180000000000001</v>
      </c>
      <c r="K1991">
        <v>1989</v>
      </c>
      <c r="L1991">
        <v>34</v>
      </c>
      <c r="M1991" s="32">
        <v>2.0179999999999998</v>
      </c>
      <c r="N1991" s="47">
        <v>3.9780000000000002</v>
      </c>
      <c r="P1991" s="47">
        <v>1.61</v>
      </c>
      <c r="R1991" s="47">
        <v>0.189</v>
      </c>
      <c r="S1991" s="47">
        <v>3.246</v>
      </c>
      <c r="T1991" s="31">
        <v>0</v>
      </c>
      <c r="V1991">
        <v>1989</v>
      </c>
      <c r="W1991">
        <v>33</v>
      </c>
      <c r="X1991">
        <v>2.0299999999999998</v>
      </c>
      <c r="Y1991" s="32">
        <v>4</v>
      </c>
      <c r="Z1991">
        <v>0</v>
      </c>
      <c r="AA1991" s="32">
        <v>1.502</v>
      </c>
      <c r="AB1991">
        <v>0</v>
      </c>
      <c r="AC1991" s="34">
        <v>0.18099999999999999</v>
      </c>
      <c r="AD1991" s="32">
        <v>3.0489999999999999</v>
      </c>
    </row>
    <row r="1992" spans="1:30">
      <c r="A1992">
        <v>1990</v>
      </c>
      <c r="B1992">
        <v>34</v>
      </c>
      <c r="C1992">
        <v>2.0190000000000001</v>
      </c>
      <c r="D1992">
        <v>3.89</v>
      </c>
      <c r="E1992">
        <v>0</v>
      </c>
      <c r="F1992">
        <v>1.6080000000000001</v>
      </c>
      <c r="G1992">
        <v>0</v>
      </c>
      <c r="H1992">
        <v>0.184</v>
      </c>
      <c r="I1992">
        <v>3.42</v>
      </c>
      <c r="K1992">
        <v>1990</v>
      </c>
      <c r="L1992">
        <v>34</v>
      </c>
      <c r="M1992" s="32">
        <v>2.0190000000000001</v>
      </c>
      <c r="N1992" s="47">
        <v>3.9889999999999999</v>
      </c>
      <c r="P1992" s="47">
        <v>1.611</v>
      </c>
      <c r="R1992" s="47">
        <v>0.189</v>
      </c>
      <c r="S1992" s="47">
        <v>3.2469999999999999</v>
      </c>
      <c r="T1992" s="31">
        <v>0</v>
      </c>
      <c r="V1992">
        <v>1990</v>
      </c>
      <c r="W1992">
        <v>33</v>
      </c>
      <c r="X1992">
        <v>2.0310000000000001</v>
      </c>
      <c r="Y1992" s="32">
        <v>4</v>
      </c>
      <c r="Z1992">
        <v>0</v>
      </c>
      <c r="AA1992" s="32">
        <v>1.502</v>
      </c>
      <c r="AB1992">
        <v>0</v>
      </c>
      <c r="AC1992" s="34">
        <v>0.18099999999999999</v>
      </c>
      <c r="AD1992" s="32">
        <v>3.0510000000000002</v>
      </c>
    </row>
    <row r="1993" spans="1:30">
      <c r="A1993">
        <v>1991</v>
      </c>
      <c r="B1993">
        <v>35</v>
      </c>
      <c r="C1993">
        <v>2.02</v>
      </c>
      <c r="D1993">
        <v>4</v>
      </c>
      <c r="E1993">
        <v>0</v>
      </c>
      <c r="F1993">
        <v>1.611</v>
      </c>
      <c r="G1993">
        <v>0</v>
      </c>
      <c r="H1993">
        <v>0.189</v>
      </c>
      <c r="I1993">
        <v>3.2490000000000001</v>
      </c>
      <c r="K1993">
        <v>1991</v>
      </c>
      <c r="L1993">
        <v>35</v>
      </c>
      <c r="M1993" s="32">
        <v>2.02</v>
      </c>
      <c r="N1993" s="32">
        <v>4</v>
      </c>
      <c r="P1993" s="32">
        <v>1.611</v>
      </c>
      <c r="R1993" s="32">
        <v>0.189</v>
      </c>
      <c r="S1993" s="32">
        <v>3.2490000000000001</v>
      </c>
      <c r="T1993" s="31">
        <v>0</v>
      </c>
      <c r="V1993">
        <v>1991</v>
      </c>
      <c r="W1993">
        <v>33</v>
      </c>
      <c r="X1993">
        <v>2.032</v>
      </c>
      <c r="Y1993" s="32">
        <v>4</v>
      </c>
      <c r="Z1993">
        <v>0</v>
      </c>
      <c r="AA1993" s="32">
        <v>1.502</v>
      </c>
      <c r="AB1993">
        <v>0</v>
      </c>
      <c r="AC1993" s="34">
        <v>0.18099999999999999</v>
      </c>
      <c r="AD1993" s="32">
        <v>3.0529999999999999</v>
      </c>
    </row>
    <row r="1994" spans="1:30">
      <c r="A1994">
        <v>1992</v>
      </c>
      <c r="B1994">
        <v>35</v>
      </c>
      <c r="C1994">
        <v>2.0209999999999999</v>
      </c>
      <c r="D1994">
        <v>4</v>
      </c>
      <c r="E1994">
        <v>0</v>
      </c>
      <c r="F1994">
        <v>1.611</v>
      </c>
      <c r="G1994">
        <v>0</v>
      </c>
      <c r="H1994">
        <v>0.189</v>
      </c>
      <c r="I1994">
        <v>3.2509999999999999</v>
      </c>
      <c r="K1994">
        <v>1992</v>
      </c>
      <c r="L1994">
        <v>35</v>
      </c>
      <c r="M1994" s="32">
        <v>2.0209999999999999</v>
      </c>
      <c r="N1994" s="32">
        <v>4</v>
      </c>
      <c r="P1994" s="32">
        <v>1.611</v>
      </c>
      <c r="R1994" s="32">
        <v>0.189</v>
      </c>
      <c r="S1994" s="47">
        <v>3.2519999999999998</v>
      </c>
      <c r="T1994" s="31">
        <v>0</v>
      </c>
      <c r="V1994">
        <v>1992</v>
      </c>
      <c r="W1994">
        <v>33</v>
      </c>
      <c r="X1994">
        <v>2.0329999999999999</v>
      </c>
      <c r="Y1994" s="32">
        <v>4</v>
      </c>
      <c r="Z1994">
        <v>0</v>
      </c>
      <c r="AA1994" s="32">
        <v>1.502</v>
      </c>
      <c r="AB1994">
        <v>0</v>
      </c>
      <c r="AC1994" s="34">
        <v>0.18099999999999999</v>
      </c>
      <c r="AD1994" s="32">
        <v>3.0550000000000002</v>
      </c>
    </row>
    <row r="1995" spans="1:30">
      <c r="A1995">
        <v>1993</v>
      </c>
      <c r="B1995">
        <v>35</v>
      </c>
      <c r="C1995">
        <v>2.0219999999999998</v>
      </c>
      <c r="D1995">
        <v>4</v>
      </c>
      <c r="E1995">
        <v>0</v>
      </c>
      <c r="F1995">
        <v>1.6120000000000001</v>
      </c>
      <c r="G1995">
        <v>0</v>
      </c>
      <c r="H1995">
        <v>0.189</v>
      </c>
      <c r="I1995">
        <v>3.254</v>
      </c>
      <c r="K1995">
        <v>1993</v>
      </c>
      <c r="L1995">
        <v>35</v>
      </c>
      <c r="M1995" s="32">
        <v>2.0219999999999998</v>
      </c>
      <c r="N1995" s="32">
        <v>4</v>
      </c>
      <c r="P1995" s="32">
        <v>1.6120000000000001</v>
      </c>
      <c r="R1995" s="32">
        <v>0.189</v>
      </c>
      <c r="S1995" s="32">
        <v>3.254</v>
      </c>
      <c r="T1995" s="31">
        <v>0</v>
      </c>
      <c r="V1995">
        <v>1993</v>
      </c>
      <c r="W1995">
        <v>33</v>
      </c>
      <c r="X1995">
        <v>2.0339999999999998</v>
      </c>
      <c r="Y1995" s="32">
        <v>4</v>
      </c>
      <c r="Z1995">
        <v>0</v>
      </c>
      <c r="AA1995" s="32">
        <v>1.5029999999999999</v>
      </c>
      <c r="AB1995">
        <v>0</v>
      </c>
      <c r="AC1995" s="34">
        <v>0.18099999999999999</v>
      </c>
      <c r="AD1995" s="32">
        <v>3.056</v>
      </c>
    </row>
    <row r="1996" spans="1:30">
      <c r="A1996">
        <v>1994</v>
      </c>
      <c r="B1996">
        <v>35</v>
      </c>
      <c r="C1996">
        <v>2.0230000000000001</v>
      </c>
      <c r="D1996">
        <v>4.01</v>
      </c>
      <c r="E1996">
        <v>0</v>
      </c>
      <c r="F1996">
        <v>1.6120000000000001</v>
      </c>
      <c r="G1996">
        <v>0</v>
      </c>
      <c r="H1996">
        <v>0.189</v>
      </c>
      <c r="I1996">
        <v>3.2559999999999998</v>
      </c>
      <c r="K1996">
        <v>1994</v>
      </c>
      <c r="L1996">
        <v>35</v>
      </c>
      <c r="M1996" s="32">
        <v>2.0230000000000001</v>
      </c>
      <c r="N1996" s="47">
        <v>4</v>
      </c>
      <c r="P1996" s="32">
        <v>1.6120000000000001</v>
      </c>
      <c r="R1996" s="32">
        <v>0.189</v>
      </c>
      <c r="S1996" s="47">
        <v>3.2570000000000001</v>
      </c>
      <c r="T1996" s="31">
        <v>0</v>
      </c>
      <c r="V1996">
        <v>1994</v>
      </c>
      <c r="W1996">
        <v>33</v>
      </c>
      <c r="X1996">
        <v>2.0350000000000001</v>
      </c>
      <c r="Y1996" s="32">
        <v>4</v>
      </c>
      <c r="Z1996">
        <v>0</v>
      </c>
      <c r="AA1996" s="32">
        <v>1.5029999999999999</v>
      </c>
      <c r="AB1996">
        <v>0</v>
      </c>
      <c r="AC1996" s="34">
        <v>0.18099999999999999</v>
      </c>
      <c r="AD1996" s="32">
        <v>3.0579999999999998</v>
      </c>
    </row>
    <row r="1997" spans="1:30">
      <c r="A1997">
        <v>1995</v>
      </c>
      <c r="B1997">
        <v>35</v>
      </c>
      <c r="C1997">
        <v>2.024</v>
      </c>
      <c r="D1997">
        <v>4.01</v>
      </c>
      <c r="E1997">
        <v>0</v>
      </c>
      <c r="F1997">
        <v>1.6120000000000001</v>
      </c>
      <c r="G1997">
        <v>0</v>
      </c>
      <c r="H1997">
        <v>0.189</v>
      </c>
      <c r="I1997">
        <v>3.258</v>
      </c>
      <c r="K1997">
        <v>1995</v>
      </c>
      <c r="L1997">
        <v>35</v>
      </c>
      <c r="M1997" s="32">
        <v>2.024</v>
      </c>
      <c r="N1997" s="47">
        <v>4</v>
      </c>
      <c r="P1997" s="32">
        <v>1.6120000000000001</v>
      </c>
      <c r="R1997" s="32">
        <v>0.189</v>
      </c>
      <c r="S1997" s="47">
        <v>3.26</v>
      </c>
      <c r="T1997" s="31">
        <v>0</v>
      </c>
      <c r="V1997">
        <v>1995</v>
      </c>
      <c r="W1997">
        <v>33</v>
      </c>
      <c r="X1997">
        <v>2.036</v>
      </c>
      <c r="Y1997" s="32">
        <v>4</v>
      </c>
      <c r="Z1997">
        <v>0</v>
      </c>
      <c r="AA1997" s="32">
        <v>1.5029999999999999</v>
      </c>
      <c r="AB1997">
        <v>0</v>
      </c>
      <c r="AC1997" s="34">
        <v>0.18099999999999999</v>
      </c>
      <c r="AD1997" s="32">
        <v>3.06</v>
      </c>
    </row>
    <row r="1998" spans="1:30">
      <c r="A1998">
        <v>1996</v>
      </c>
      <c r="B1998">
        <v>35</v>
      </c>
      <c r="C1998">
        <v>2.0249999999999999</v>
      </c>
      <c r="D1998">
        <v>4.01</v>
      </c>
      <c r="E1998">
        <v>0</v>
      </c>
      <c r="F1998">
        <v>1.6120000000000001</v>
      </c>
      <c r="G1998">
        <v>0</v>
      </c>
      <c r="H1998">
        <v>0.189</v>
      </c>
      <c r="I1998">
        <v>3.2610000000000001</v>
      </c>
      <c r="K1998">
        <v>1996</v>
      </c>
      <c r="L1998">
        <v>35</v>
      </c>
      <c r="M1998" s="32">
        <v>2.0249999999999999</v>
      </c>
      <c r="N1998" s="47">
        <v>4</v>
      </c>
      <c r="P1998" s="47">
        <v>1.613</v>
      </c>
      <c r="R1998" s="32">
        <v>0.189</v>
      </c>
      <c r="S1998" s="47">
        <v>3.2629999999999999</v>
      </c>
      <c r="T1998" s="31">
        <v>0</v>
      </c>
      <c r="V1998">
        <v>1996</v>
      </c>
      <c r="W1998">
        <v>33</v>
      </c>
      <c r="X1998">
        <v>2.0369999999999999</v>
      </c>
      <c r="Y1998" s="32">
        <v>4</v>
      </c>
      <c r="Z1998">
        <v>0</v>
      </c>
      <c r="AA1998" s="32">
        <v>1.5029999999999999</v>
      </c>
      <c r="AB1998">
        <v>0</v>
      </c>
      <c r="AC1998" s="34">
        <v>0.18099999999999999</v>
      </c>
      <c r="AD1998" s="32">
        <v>3.0619999999999998</v>
      </c>
    </row>
    <row r="1999" spans="1:30">
      <c r="A1999">
        <v>1997</v>
      </c>
      <c r="B1999">
        <v>35</v>
      </c>
      <c r="C1999">
        <v>2.0259999999999998</v>
      </c>
      <c r="D1999">
        <v>4.01</v>
      </c>
      <c r="E1999">
        <v>0</v>
      </c>
      <c r="F1999">
        <v>1.613</v>
      </c>
      <c r="G1999">
        <v>0</v>
      </c>
      <c r="H1999">
        <v>0.189</v>
      </c>
      <c r="I1999">
        <v>3.2629999999999999</v>
      </c>
      <c r="K1999">
        <v>1997</v>
      </c>
      <c r="L1999">
        <v>35</v>
      </c>
      <c r="M1999" s="32">
        <v>2.0259999999999998</v>
      </c>
      <c r="N1999" s="47">
        <v>4</v>
      </c>
      <c r="P1999" s="32">
        <v>1.613</v>
      </c>
      <c r="R1999" s="32">
        <v>0.189</v>
      </c>
      <c r="S1999" s="47">
        <v>3.2650000000000001</v>
      </c>
      <c r="T1999" s="31">
        <v>0</v>
      </c>
      <c r="V1999">
        <v>1997</v>
      </c>
      <c r="W1999">
        <v>33</v>
      </c>
      <c r="X1999">
        <v>2.0379999999999998</v>
      </c>
      <c r="Y1999" s="32">
        <v>4</v>
      </c>
      <c r="Z1999">
        <v>0</v>
      </c>
      <c r="AA1999" s="32">
        <v>1.5029999999999999</v>
      </c>
      <c r="AB1999">
        <v>0</v>
      </c>
      <c r="AC1999" s="34">
        <v>0.18099999999999999</v>
      </c>
      <c r="AD1999" s="32">
        <v>3.0640000000000001</v>
      </c>
    </row>
    <row r="2000" spans="1:30">
      <c r="A2000">
        <v>1998</v>
      </c>
      <c r="B2000">
        <v>35</v>
      </c>
      <c r="C2000">
        <v>2.0270000000000001</v>
      </c>
      <c r="D2000">
        <v>4.0199999999999996</v>
      </c>
      <c r="E2000">
        <v>0</v>
      </c>
      <c r="F2000">
        <v>1.613</v>
      </c>
      <c r="G2000">
        <v>0</v>
      </c>
      <c r="H2000">
        <v>0.189</v>
      </c>
      <c r="I2000">
        <v>3.2650000000000001</v>
      </c>
      <c r="K2000">
        <v>1998</v>
      </c>
      <c r="L2000">
        <v>35</v>
      </c>
      <c r="M2000" s="32">
        <v>2.0270000000000001</v>
      </c>
      <c r="N2000" s="47">
        <v>4</v>
      </c>
      <c r="P2000" s="32">
        <v>1.613</v>
      </c>
      <c r="R2000" s="32">
        <v>0.189</v>
      </c>
      <c r="S2000" s="47">
        <v>3.2679999999999998</v>
      </c>
      <c r="T2000" s="31">
        <v>0</v>
      </c>
      <c r="V2000">
        <v>1998</v>
      </c>
      <c r="W2000">
        <v>33</v>
      </c>
      <c r="X2000">
        <v>2.0390000000000001</v>
      </c>
      <c r="Y2000" s="32">
        <v>4</v>
      </c>
      <c r="Z2000">
        <v>0</v>
      </c>
      <c r="AA2000" s="32">
        <v>1.5029999999999999</v>
      </c>
      <c r="AB2000">
        <v>0</v>
      </c>
      <c r="AC2000" s="34">
        <v>0.18099999999999999</v>
      </c>
      <c r="AD2000" s="32">
        <v>3.0659999999999998</v>
      </c>
    </row>
    <row r="2001" spans="1:30">
      <c r="A2001">
        <v>1999</v>
      </c>
      <c r="B2001">
        <v>35</v>
      </c>
      <c r="C2001">
        <v>2.028</v>
      </c>
      <c r="D2001">
        <v>4.0199999999999996</v>
      </c>
      <c r="E2001">
        <v>0</v>
      </c>
      <c r="F2001">
        <v>1.613</v>
      </c>
      <c r="G2001">
        <v>0</v>
      </c>
      <c r="H2001">
        <v>0.189</v>
      </c>
      <c r="I2001">
        <v>3.2679999999999998</v>
      </c>
      <c r="K2001">
        <v>1999</v>
      </c>
      <c r="L2001">
        <v>35</v>
      </c>
      <c r="M2001" s="32">
        <v>2.028</v>
      </c>
      <c r="N2001" s="47">
        <v>4</v>
      </c>
      <c r="P2001" s="32">
        <v>1.613</v>
      </c>
      <c r="R2001" s="32">
        <v>0.189</v>
      </c>
      <c r="S2001" s="47">
        <v>3.2709999999999999</v>
      </c>
      <c r="T2001" s="31">
        <v>0</v>
      </c>
      <c r="V2001">
        <v>1999</v>
      </c>
      <c r="W2001">
        <v>33</v>
      </c>
      <c r="X2001">
        <v>2.04</v>
      </c>
      <c r="Y2001" s="32">
        <v>4</v>
      </c>
      <c r="Z2001">
        <v>0</v>
      </c>
      <c r="AA2001" s="32">
        <v>1.504</v>
      </c>
      <c r="AB2001">
        <v>0</v>
      </c>
      <c r="AC2001" s="34">
        <v>0.18099999999999999</v>
      </c>
      <c r="AD2001" s="32">
        <v>3.0670000000000002</v>
      </c>
    </row>
    <row r="2002" spans="1:30">
      <c r="A2002">
        <v>2000</v>
      </c>
      <c r="B2002">
        <v>35</v>
      </c>
      <c r="C2002">
        <v>2.0289999999999999</v>
      </c>
      <c r="D2002">
        <v>4.0199999999999996</v>
      </c>
      <c r="E2002">
        <v>0</v>
      </c>
      <c r="F2002">
        <v>1.613</v>
      </c>
      <c r="G2002">
        <v>0</v>
      </c>
      <c r="H2002">
        <v>0.189</v>
      </c>
      <c r="I2002">
        <v>3.27</v>
      </c>
      <c r="K2002">
        <v>2000</v>
      </c>
      <c r="L2002">
        <v>35</v>
      </c>
      <c r="M2002" s="32">
        <v>2.0289999999999999</v>
      </c>
      <c r="N2002" s="47">
        <v>4</v>
      </c>
      <c r="P2002" s="47">
        <v>1.6140000000000001</v>
      </c>
      <c r="R2002" s="32">
        <v>0.189</v>
      </c>
      <c r="S2002" s="47">
        <v>3.2730000000000001</v>
      </c>
      <c r="T2002" s="31">
        <v>0</v>
      </c>
      <c r="V2002">
        <v>2000</v>
      </c>
      <c r="W2002">
        <v>33</v>
      </c>
      <c r="X2002">
        <v>2.0409999999999999</v>
      </c>
      <c r="Y2002" s="32">
        <v>4</v>
      </c>
      <c r="Z2002">
        <v>0</v>
      </c>
      <c r="AA2002" s="32">
        <v>1.504</v>
      </c>
      <c r="AB2002">
        <v>0</v>
      </c>
      <c r="AC2002" s="34">
        <v>0.18099999999999999</v>
      </c>
      <c r="AD2002" s="32">
        <v>3.069</v>
      </c>
    </row>
    <row r="2003" spans="1:30">
      <c r="A2003">
        <v>2001</v>
      </c>
      <c r="B2003">
        <v>35</v>
      </c>
      <c r="C2003">
        <v>2.0299999999999998</v>
      </c>
      <c r="D2003">
        <v>4</v>
      </c>
      <c r="E2003">
        <v>0</v>
      </c>
      <c r="F2003">
        <v>1.6140000000000001</v>
      </c>
      <c r="G2003">
        <v>0</v>
      </c>
      <c r="H2003">
        <v>0.189</v>
      </c>
      <c r="I2003">
        <v>3.2759999999999998</v>
      </c>
      <c r="K2003">
        <v>2001</v>
      </c>
      <c r="L2003">
        <v>35</v>
      </c>
      <c r="M2003" s="32">
        <v>2.0299999999999998</v>
      </c>
      <c r="N2003" s="32">
        <v>4</v>
      </c>
      <c r="P2003" s="32">
        <v>1.6140000000000001</v>
      </c>
      <c r="R2003" s="32">
        <v>0.189</v>
      </c>
      <c r="S2003" s="32">
        <v>3.2759999999999998</v>
      </c>
      <c r="T2003" s="31">
        <v>0</v>
      </c>
      <c r="V2003">
        <v>2001</v>
      </c>
      <c r="W2003">
        <v>33</v>
      </c>
      <c r="X2003">
        <v>2.0419999999999998</v>
      </c>
      <c r="Y2003" s="32">
        <v>4</v>
      </c>
      <c r="Z2003">
        <v>0</v>
      </c>
      <c r="AA2003" s="32">
        <v>1.504</v>
      </c>
      <c r="AB2003">
        <v>0</v>
      </c>
      <c r="AC2003" s="34">
        <v>0.18099999999999999</v>
      </c>
      <c r="AD2003" s="32">
        <v>3.0710000000000002</v>
      </c>
    </row>
    <row r="2004" spans="1:30">
      <c r="A2004">
        <v>2002</v>
      </c>
      <c r="B2004">
        <v>35</v>
      </c>
      <c r="C2004">
        <v>2.0310000000000001</v>
      </c>
      <c r="D2004">
        <v>4</v>
      </c>
      <c r="E2004">
        <v>0</v>
      </c>
      <c r="F2004">
        <v>1.6140000000000001</v>
      </c>
      <c r="G2004">
        <v>0</v>
      </c>
      <c r="H2004">
        <v>0.189</v>
      </c>
      <c r="I2004">
        <v>3.3010000000000002</v>
      </c>
      <c r="K2004">
        <v>2002</v>
      </c>
      <c r="L2004">
        <v>35</v>
      </c>
      <c r="M2004" s="32">
        <v>2.0310000000000001</v>
      </c>
      <c r="N2004" s="32">
        <v>4</v>
      </c>
      <c r="P2004" s="32">
        <v>1.6140000000000001</v>
      </c>
      <c r="R2004" s="47">
        <v>0.188</v>
      </c>
      <c r="S2004" s="47">
        <v>3.278</v>
      </c>
      <c r="T2004" s="31">
        <v>0</v>
      </c>
      <c r="V2004">
        <v>2002</v>
      </c>
      <c r="W2004">
        <v>33</v>
      </c>
      <c r="X2004">
        <v>2.0430000000000001</v>
      </c>
      <c r="Y2004" s="32">
        <v>4</v>
      </c>
      <c r="Z2004">
        <v>0</v>
      </c>
      <c r="AA2004" s="32">
        <v>1.504</v>
      </c>
      <c r="AB2004">
        <v>0</v>
      </c>
      <c r="AC2004" s="34">
        <v>0.18099999999999999</v>
      </c>
      <c r="AD2004" s="32">
        <v>3.073</v>
      </c>
    </row>
    <row r="2005" spans="1:30">
      <c r="A2005">
        <v>2003</v>
      </c>
      <c r="B2005">
        <v>35</v>
      </c>
      <c r="C2005">
        <v>2.032</v>
      </c>
      <c r="D2005">
        <v>4</v>
      </c>
      <c r="E2005">
        <v>0</v>
      </c>
      <c r="F2005">
        <v>1.6140000000000001</v>
      </c>
      <c r="G2005">
        <v>0</v>
      </c>
      <c r="H2005">
        <v>0.189</v>
      </c>
      <c r="I2005">
        <v>3.3039999999999998</v>
      </c>
      <c r="K2005">
        <v>2003</v>
      </c>
      <c r="L2005">
        <v>35</v>
      </c>
      <c r="M2005" s="32">
        <v>2.032</v>
      </c>
      <c r="N2005" s="32">
        <v>4</v>
      </c>
      <c r="P2005" s="32">
        <v>1.6140000000000001</v>
      </c>
      <c r="R2005" s="47">
        <v>0.188</v>
      </c>
      <c r="S2005" s="47">
        <v>3.28</v>
      </c>
      <c r="T2005" s="31">
        <v>0</v>
      </c>
      <c r="V2005">
        <v>2003</v>
      </c>
      <c r="W2005">
        <v>33</v>
      </c>
      <c r="X2005">
        <v>2.044</v>
      </c>
      <c r="Y2005" s="32">
        <v>4</v>
      </c>
      <c r="Z2005">
        <v>0</v>
      </c>
      <c r="AA2005" s="32">
        <v>1.504</v>
      </c>
      <c r="AB2005">
        <v>0</v>
      </c>
      <c r="AC2005" s="34">
        <v>0.18099999999999999</v>
      </c>
      <c r="AD2005" s="32">
        <v>3.0750000000000002</v>
      </c>
    </row>
    <row r="2006" spans="1:30">
      <c r="A2006">
        <v>2004</v>
      </c>
      <c r="B2006">
        <v>35</v>
      </c>
      <c r="C2006">
        <v>2.0329999999999999</v>
      </c>
      <c r="D2006">
        <v>4</v>
      </c>
      <c r="E2006">
        <v>0</v>
      </c>
      <c r="F2006">
        <v>1.6140000000000001</v>
      </c>
      <c r="G2006">
        <v>0</v>
      </c>
      <c r="H2006">
        <v>0.189</v>
      </c>
      <c r="I2006">
        <v>3.306</v>
      </c>
      <c r="K2006">
        <v>2004</v>
      </c>
      <c r="L2006">
        <v>35</v>
      </c>
      <c r="M2006" s="32">
        <v>2.0329999999999999</v>
      </c>
      <c r="N2006" s="32">
        <v>4</v>
      </c>
      <c r="P2006" s="47">
        <v>1.615</v>
      </c>
      <c r="R2006" s="47">
        <v>0.188</v>
      </c>
      <c r="S2006" s="47">
        <v>3.282</v>
      </c>
      <c r="T2006" s="31">
        <v>0</v>
      </c>
      <c r="V2006">
        <v>2004</v>
      </c>
      <c r="W2006">
        <v>33</v>
      </c>
      <c r="X2006">
        <v>2.0449999999999999</v>
      </c>
      <c r="Y2006" s="32">
        <v>4</v>
      </c>
      <c r="Z2006">
        <v>0</v>
      </c>
      <c r="AA2006" s="32">
        <v>1.504</v>
      </c>
      <c r="AB2006">
        <v>0</v>
      </c>
      <c r="AC2006" s="34">
        <v>0.18099999999999999</v>
      </c>
      <c r="AD2006" s="32">
        <v>3.077</v>
      </c>
    </row>
    <row r="2007" spans="1:30">
      <c r="A2007">
        <v>2005</v>
      </c>
      <c r="B2007">
        <v>35</v>
      </c>
      <c r="C2007">
        <v>2.0339999999999998</v>
      </c>
      <c r="D2007">
        <v>4</v>
      </c>
      <c r="E2007">
        <v>0</v>
      </c>
      <c r="F2007">
        <v>1.6140000000000001</v>
      </c>
      <c r="G2007">
        <v>0</v>
      </c>
      <c r="H2007">
        <v>0.189</v>
      </c>
      <c r="I2007">
        <v>3.3079999999999998</v>
      </c>
      <c r="K2007">
        <v>2005</v>
      </c>
      <c r="L2007">
        <v>35</v>
      </c>
      <c r="M2007" s="32">
        <v>2.0339999999999998</v>
      </c>
      <c r="N2007" s="32">
        <v>4</v>
      </c>
      <c r="P2007" s="47">
        <v>1.615</v>
      </c>
      <c r="R2007" s="47">
        <v>0.188</v>
      </c>
      <c r="S2007" s="47">
        <v>3.2839999999999998</v>
      </c>
      <c r="T2007" s="31">
        <v>0</v>
      </c>
      <c r="V2007">
        <v>2005</v>
      </c>
      <c r="W2007">
        <v>33</v>
      </c>
      <c r="X2007">
        <v>2.0459999999999998</v>
      </c>
      <c r="Y2007" s="32">
        <v>4</v>
      </c>
      <c r="Z2007">
        <v>0</v>
      </c>
      <c r="AA2007" s="32">
        <v>1.5049999999999999</v>
      </c>
      <c r="AB2007">
        <v>0</v>
      </c>
      <c r="AC2007" s="34">
        <v>0.18099999999999999</v>
      </c>
      <c r="AD2007" s="32">
        <v>3.0779999999999998</v>
      </c>
    </row>
    <row r="2008" spans="1:30">
      <c r="A2008">
        <v>2006</v>
      </c>
      <c r="B2008">
        <v>35</v>
      </c>
      <c r="C2008">
        <v>2.0350000000000001</v>
      </c>
      <c r="D2008">
        <v>4</v>
      </c>
      <c r="E2008">
        <v>0</v>
      </c>
      <c r="F2008">
        <v>1.6140000000000001</v>
      </c>
      <c r="G2008">
        <v>0</v>
      </c>
      <c r="H2008">
        <v>0.189</v>
      </c>
      <c r="I2008">
        <v>3.3109999999999999</v>
      </c>
      <c r="K2008">
        <v>2006</v>
      </c>
      <c r="L2008">
        <v>35</v>
      </c>
      <c r="M2008" s="32">
        <v>2.0350000000000001</v>
      </c>
      <c r="N2008" s="32">
        <v>4</v>
      </c>
      <c r="P2008" s="47">
        <v>1.615</v>
      </c>
      <c r="R2008" s="47">
        <v>0.188</v>
      </c>
      <c r="S2008" s="47">
        <v>3.2869999999999999</v>
      </c>
      <c r="T2008" s="31">
        <v>0</v>
      </c>
      <c r="V2008">
        <v>2006</v>
      </c>
      <c r="W2008">
        <v>33</v>
      </c>
      <c r="X2008">
        <v>2.0470000000000002</v>
      </c>
      <c r="Y2008" s="32">
        <v>4</v>
      </c>
      <c r="Z2008">
        <v>0</v>
      </c>
      <c r="AA2008" s="32">
        <v>1.5049999999999999</v>
      </c>
      <c r="AB2008">
        <v>0</v>
      </c>
      <c r="AC2008" s="34">
        <v>0.18099999999999999</v>
      </c>
      <c r="AD2008" s="32">
        <v>3.08</v>
      </c>
    </row>
    <row r="2009" spans="1:30">
      <c r="A2009">
        <v>2007</v>
      </c>
      <c r="B2009">
        <v>35</v>
      </c>
      <c r="C2009">
        <v>2.036</v>
      </c>
      <c r="D2009">
        <v>4</v>
      </c>
      <c r="E2009">
        <v>0</v>
      </c>
      <c r="F2009">
        <v>1.6140000000000001</v>
      </c>
      <c r="G2009">
        <v>0</v>
      </c>
      <c r="H2009">
        <v>0.189</v>
      </c>
      <c r="I2009">
        <v>3.3130000000000002</v>
      </c>
      <c r="K2009">
        <v>2007</v>
      </c>
      <c r="L2009">
        <v>35</v>
      </c>
      <c r="M2009" s="32">
        <v>2.036</v>
      </c>
      <c r="N2009" s="32">
        <v>4</v>
      </c>
      <c r="P2009" s="47">
        <v>1.615</v>
      </c>
      <c r="R2009" s="47">
        <v>0.188</v>
      </c>
      <c r="S2009" s="47">
        <v>3.2890000000000001</v>
      </c>
      <c r="T2009" s="31">
        <v>0</v>
      </c>
      <c r="V2009">
        <v>2007</v>
      </c>
      <c r="W2009">
        <v>33</v>
      </c>
      <c r="X2009">
        <v>2.048</v>
      </c>
      <c r="Y2009" s="32">
        <v>4</v>
      </c>
      <c r="Z2009">
        <v>0</v>
      </c>
      <c r="AA2009" s="32">
        <v>1.5049999999999999</v>
      </c>
      <c r="AB2009">
        <v>0</v>
      </c>
      <c r="AC2009" s="34">
        <v>0.18099999999999999</v>
      </c>
      <c r="AD2009" s="32">
        <v>3.0819999999999999</v>
      </c>
    </row>
    <row r="2010" spans="1:30">
      <c r="A2010">
        <v>2008</v>
      </c>
      <c r="B2010">
        <v>35</v>
      </c>
      <c r="C2010">
        <v>2.0369999999999999</v>
      </c>
      <c r="D2010">
        <v>4</v>
      </c>
      <c r="E2010">
        <v>0</v>
      </c>
      <c r="F2010">
        <v>1.6140000000000001</v>
      </c>
      <c r="G2010">
        <v>0</v>
      </c>
      <c r="H2010">
        <v>0.189</v>
      </c>
      <c r="I2010">
        <v>3.3149999999999999</v>
      </c>
      <c r="K2010">
        <v>2008</v>
      </c>
      <c r="L2010">
        <v>35</v>
      </c>
      <c r="M2010" s="32">
        <v>2.0369999999999999</v>
      </c>
      <c r="N2010" s="32">
        <v>4</v>
      </c>
      <c r="P2010" s="47">
        <v>1.615</v>
      </c>
      <c r="R2010" s="47">
        <v>0.188</v>
      </c>
      <c r="S2010" s="47">
        <v>3.2909999999999999</v>
      </c>
      <c r="T2010" s="31">
        <v>0</v>
      </c>
      <c r="V2010">
        <v>2008</v>
      </c>
      <c r="W2010">
        <v>33</v>
      </c>
      <c r="X2010">
        <v>2.0489999999999999</v>
      </c>
      <c r="Y2010" s="32">
        <v>4</v>
      </c>
      <c r="Z2010">
        <v>0</v>
      </c>
      <c r="AA2010" s="32">
        <v>1.5049999999999999</v>
      </c>
      <c r="AB2010">
        <v>0</v>
      </c>
      <c r="AC2010" s="34">
        <v>0.18099999999999999</v>
      </c>
      <c r="AD2010" s="32">
        <v>3.0840000000000001</v>
      </c>
    </row>
    <row r="2011" spans="1:30">
      <c r="A2011">
        <v>2009</v>
      </c>
      <c r="B2011">
        <v>35</v>
      </c>
      <c r="C2011">
        <v>2.0379999999999998</v>
      </c>
      <c r="D2011">
        <v>4</v>
      </c>
      <c r="E2011">
        <v>0</v>
      </c>
      <c r="F2011">
        <v>1.6140000000000001</v>
      </c>
      <c r="G2011">
        <v>0</v>
      </c>
      <c r="H2011">
        <v>0.189</v>
      </c>
      <c r="I2011">
        <v>3.3180000000000001</v>
      </c>
      <c r="K2011">
        <v>2009</v>
      </c>
      <c r="L2011">
        <v>35</v>
      </c>
      <c r="M2011" s="32">
        <v>2.0379999999999998</v>
      </c>
      <c r="N2011" s="32">
        <v>4</v>
      </c>
      <c r="P2011" s="47">
        <v>1.6160000000000001</v>
      </c>
      <c r="R2011" s="47">
        <v>0.188</v>
      </c>
      <c r="S2011" s="47">
        <v>3.2930000000000001</v>
      </c>
      <c r="T2011" s="31">
        <v>0</v>
      </c>
      <c r="V2011">
        <v>2009</v>
      </c>
      <c r="W2011">
        <v>33</v>
      </c>
      <c r="X2011">
        <v>2.0499999999999998</v>
      </c>
      <c r="Y2011" s="32">
        <v>4</v>
      </c>
      <c r="Z2011">
        <v>0</v>
      </c>
      <c r="AA2011" s="32">
        <v>1.5049999999999999</v>
      </c>
      <c r="AB2011">
        <v>0</v>
      </c>
      <c r="AC2011" s="34">
        <v>0.18099999999999999</v>
      </c>
      <c r="AD2011" s="32">
        <v>3.0859999999999999</v>
      </c>
    </row>
    <row r="2012" spans="1:30">
      <c r="A2012">
        <v>2010</v>
      </c>
      <c r="B2012">
        <v>35</v>
      </c>
      <c r="C2012">
        <v>2.0390000000000001</v>
      </c>
      <c r="D2012">
        <v>4</v>
      </c>
      <c r="E2012">
        <v>0</v>
      </c>
      <c r="F2012">
        <v>1.6140000000000001</v>
      </c>
      <c r="G2012">
        <v>0</v>
      </c>
      <c r="H2012">
        <v>0.189</v>
      </c>
      <c r="I2012">
        <v>3.32</v>
      </c>
      <c r="K2012">
        <v>2010</v>
      </c>
      <c r="L2012">
        <v>35</v>
      </c>
      <c r="M2012" s="32">
        <v>2.0390000000000001</v>
      </c>
      <c r="N2012" s="32">
        <v>4</v>
      </c>
      <c r="P2012" s="47">
        <v>1.6160000000000001</v>
      </c>
      <c r="R2012" s="47">
        <v>0.188</v>
      </c>
      <c r="S2012" s="47">
        <v>3.2949999999999999</v>
      </c>
      <c r="T2012" s="31">
        <v>0</v>
      </c>
      <c r="V2012">
        <v>2010</v>
      </c>
      <c r="W2012">
        <v>33</v>
      </c>
      <c r="X2012">
        <v>2.0510000000000002</v>
      </c>
      <c r="Y2012" s="32">
        <v>4</v>
      </c>
      <c r="Z2012">
        <v>0</v>
      </c>
      <c r="AA2012" s="32">
        <v>1.5049999999999999</v>
      </c>
      <c r="AB2012">
        <v>0</v>
      </c>
      <c r="AC2012" s="34">
        <v>0.18099999999999999</v>
      </c>
      <c r="AD2012" s="32">
        <v>3.0880000000000001</v>
      </c>
    </row>
    <row r="2013" spans="1:30">
      <c r="A2013">
        <v>2011</v>
      </c>
      <c r="B2013">
        <v>35</v>
      </c>
      <c r="C2013">
        <v>2.04</v>
      </c>
      <c r="D2013">
        <v>4</v>
      </c>
      <c r="E2013">
        <v>0</v>
      </c>
      <c r="F2013">
        <v>1.6160000000000001</v>
      </c>
      <c r="G2013">
        <v>0</v>
      </c>
      <c r="H2013">
        <v>0.189</v>
      </c>
      <c r="I2013">
        <v>3.2970000000000002</v>
      </c>
      <c r="K2013">
        <v>2011</v>
      </c>
      <c r="L2013">
        <v>35</v>
      </c>
      <c r="M2013" s="32">
        <v>2.04</v>
      </c>
      <c r="N2013" s="32">
        <v>4</v>
      </c>
      <c r="P2013" s="32">
        <v>1.6160000000000001</v>
      </c>
      <c r="R2013" s="47">
        <v>0.188</v>
      </c>
      <c r="S2013" s="32">
        <v>3.2970000000000002</v>
      </c>
      <c r="T2013" s="31">
        <v>0</v>
      </c>
      <c r="V2013">
        <v>2011</v>
      </c>
      <c r="W2013">
        <v>33</v>
      </c>
      <c r="X2013">
        <v>2.052</v>
      </c>
      <c r="Y2013" s="32">
        <v>4</v>
      </c>
      <c r="Z2013">
        <v>0</v>
      </c>
      <c r="AA2013" s="32">
        <v>1.506</v>
      </c>
      <c r="AB2013">
        <v>0</v>
      </c>
      <c r="AC2013" s="34">
        <v>0.18099999999999999</v>
      </c>
      <c r="AD2013" s="32">
        <v>3.089</v>
      </c>
    </row>
    <row r="2014" spans="1:30">
      <c r="A2014">
        <v>2012</v>
      </c>
      <c r="B2014">
        <v>35</v>
      </c>
      <c r="C2014">
        <v>2.0409999999999999</v>
      </c>
      <c r="D2014">
        <v>4</v>
      </c>
      <c r="E2014">
        <v>0</v>
      </c>
      <c r="F2014">
        <v>1.6160000000000001</v>
      </c>
      <c r="G2014">
        <v>0</v>
      </c>
      <c r="H2014">
        <v>0.189</v>
      </c>
      <c r="I2014">
        <v>3.3460000000000001</v>
      </c>
      <c r="K2014">
        <v>2012</v>
      </c>
      <c r="L2014">
        <v>35</v>
      </c>
      <c r="M2014" s="32">
        <v>2.0409999999999999</v>
      </c>
      <c r="N2014" s="32">
        <v>4</v>
      </c>
      <c r="P2014" s="32">
        <v>1.6160000000000001</v>
      </c>
      <c r="R2014" s="47">
        <v>0.188</v>
      </c>
      <c r="S2014" s="47">
        <v>3.2989999999999999</v>
      </c>
      <c r="T2014" s="31">
        <v>0</v>
      </c>
      <c r="V2014">
        <v>2012</v>
      </c>
      <c r="W2014">
        <v>33</v>
      </c>
      <c r="X2014">
        <v>2.0529999999999999</v>
      </c>
      <c r="Y2014" s="32">
        <v>4</v>
      </c>
      <c r="Z2014">
        <v>0</v>
      </c>
      <c r="AA2014" s="32">
        <v>1.506</v>
      </c>
      <c r="AB2014">
        <v>0</v>
      </c>
      <c r="AC2014" s="34">
        <v>0.18099999999999999</v>
      </c>
      <c r="AD2014" s="32">
        <v>3.0910000000000002</v>
      </c>
    </row>
    <row r="2015" spans="1:30">
      <c r="A2015">
        <v>2013</v>
      </c>
      <c r="B2015">
        <v>35</v>
      </c>
      <c r="C2015">
        <v>2.0419999999999998</v>
      </c>
      <c r="D2015">
        <v>4</v>
      </c>
      <c r="E2015">
        <v>0</v>
      </c>
      <c r="F2015">
        <v>1.6160000000000001</v>
      </c>
      <c r="G2015">
        <v>0</v>
      </c>
      <c r="H2015">
        <v>0.189</v>
      </c>
      <c r="I2015">
        <v>3.3479999999999999</v>
      </c>
      <c r="K2015">
        <v>2013</v>
      </c>
      <c r="L2015">
        <v>35</v>
      </c>
      <c r="M2015" s="32">
        <v>2.0419999999999998</v>
      </c>
      <c r="N2015" s="32">
        <v>4</v>
      </c>
      <c r="P2015" s="47">
        <v>1.617</v>
      </c>
      <c r="R2015" s="47">
        <v>0.188</v>
      </c>
      <c r="S2015" s="47">
        <v>3.3010000000000002</v>
      </c>
      <c r="T2015" s="31">
        <v>0</v>
      </c>
      <c r="V2015">
        <v>2013</v>
      </c>
      <c r="W2015">
        <v>33</v>
      </c>
      <c r="X2015">
        <v>2.0539999999999998</v>
      </c>
      <c r="Y2015" s="32">
        <v>4</v>
      </c>
      <c r="Z2015">
        <v>0</v>
      </c>
      <c r="AA2015" s="32">
        <v>1.506</v>
      </c>
      <c r="AB2015">
        <v>0</v>
      </c>
      <c r="AC2015" s="34">
        <v>0.18099999999999999</v>
      </c>
      <c r="AD2015" s="32">
        <v>3.093</v>
      </c>
    </row>
    <row r="2016" spans="1:30">
      <c r="A2016">
        <v>2014</v>
      </c>
      <c r="B2016">
        <v>35</v>
      </c>
      <c r="C2016">
        <v>2.0430000000000001</v>
      </c>
      <c r="D2016">
        <v>4</v>
      </c>
      <c r="E2016">
        <v>0</v>
      </c>
      <c r="F2016">
        <v>1.6160000000000001</v>
      </c>
      <c r="G2016">
        <v>0</v>
      </c>
      <c r="H2016">
        <v>0.189</v>
      </c>
      <c r="I2016">
        <v>3.35</v>
      </c>
      <c r="K2016">
        <v>2014</v>
      </c>
      <c r="L2016">
        <v>35</v>
      </c>
      <c r="M2016" s="32">
        <v>2.0430000000000001</v>
      </c>
      <c r="N2016" s="32">
        <v>4</v>
      </c>
      <c r="P2016" s="47">
        <v>1.617</v>
      </c>
      <c r="R2016" s="47">
        <v>0.188</v>
      </c>
      <c r="S2016" s="47">
        <v>3.3039999999999998</v>
      </c>
      <c r="T2016" s="31">
        <v>0</v>
      </c>
      <c r="V2016">
        <v>2014</v>
      </c>
      <c r="W2016">
        <v>33</v>
      </c>
      <c r="X2016">
        <v>2.0550000000000002</v>
      </c>
      <c r="Y2016" s="32">
        <v>4</v>
      </c>
      <c r="Z2016">
        <v>0</v>
      </c>
      <c r="AA2016" s="32">
        <v>1.506</v>
      </c>
      <c r="AB2016">
        <v>0</v>
      </c>
      <c r="AC2016" s="34">
        <v>0.18099999999999999</v>
      </c>
      <c r="AD2016" s="32">
        <v>3.0950000000000002</v>
      </c>
    </row>
    <row r="2017" spans="1:30">
      <c r="A2017">
        <v>2015</v>
      </c>
      <c r="B2017">
        <v>35</v>
      </c>
      <c r="C2017">
        <v>2.044</v>
      </c>
      <c r="D2017">
        <v>4</v>
      </c>
      <c r="E2017">
        <v>0</v>
      </c>
      <c r="F2017">
        <v>1.6160000000000001</v>
      </c>
      <c r="G2017">
        <v>0</v>
      </c>
      <c r="H2017">
        <v>0.189</v>
      </c>
      <c r="I2017">
        <v>3.3530000000000002</v>
      </c>
      <c r="K2017">
        <v>2015</v>
      </c>
      <c r="L2017">
        <v>35</v>
      </c>
      <c r="M2017" s="32">
        <v>2.044</v>
      </c>
      <c r="N2017" s="32">
        <v>4</v>
      </c>
      <c r="P2017" s="47">
        <v>1.617</v>
      </c>
      <c r="R2017" s="47">
        <v>0.188</v>
      </c>
      <c r="S2017" s="47">
        <v>3.306</v>
      </c>
      <c r="T2017" s="31">
        <v>0</v>
      </c>
      <c r="V2017">
        <v>2015</v>
      </c>
      <c r="W2017">
        <v>33</v>
      </c>
      <c r="X2017">
        <v>2.056</v>
      </c>
      <c r="Y2017" s="32">
        <v>4</v>
      </c>
      <c r="Z2017">
        <v>0</v>
      </c>
      <c r="AA2017" s="32">
        <v>1.506</v>
      </c>
      <c r="AB2017">
        <v>0</v>
      </c>
      <c r="AC2017" s="34">
        <v>0.18099999999999999</v>
      </c>
      <c r="AD2017" s="32">
        <v>3.097</v>
      </c>
    </row>
    <row r="2018" spans="1:30">
      <c r="A2018">
        <v>2016</v>
      </c>
      <c r="B2018">
        <v>35</v>
      </c>
      <c r="C2018">
        <v>2.0449999999999999</v>
      </c>
      <c r="D2018">
        <v>4</v>
      </c>
      <c r="E2018">
        <v>0</v>
      </c>
      <c r="F2018">
        <v>1.6160000000000001</v>
      </c>
      <c r="G2018">
        <v>0</v>
      </c>
      <c r="H2018">
        <v>0.189</v>
      </c>
      <c r="I2018">
        <v>3.355</v>
      </c>
      <c r="K2018">
        <v>2016</v>
      </c>
      <c r="L2018">
        <v>35</v>
      </c>
      <c r="M2018" s="32">
        <v>2.0449999999999999</v>
      </c>
      <c r="N2018" s="32">
        <v>4</v>
      </c>
      <c r="P2018" s="47">
        <v>1.6180000000000001</v>
      </c>
      <c r="R2018" s="47">
        <v>0.188</v>
      </c>
      <c r="S2018" s="47">
        <v>3.3079999999999998</v>
      </c>
      <c r="T2018" s="31">
        <v>0</v>
      </c>
      <c r="V2018">
        <v>2016</v>
      </c>
      <c r="W2018">
        <v>33</v>
      </c>
      <c r="X2018">
        <v>2.0569999999999999</v>
      </c>
      <c r="Y2018" s="32">
        <v>4</v>
      </c>
      <c r="Z2018">
        <v>0</v>
      </c>
      <c r="AA2018" s="32">
        <v>1.506</v>
      </c>
      <c r="AB2018">
        <v>0</v>
      </c>
      <c r="AC2018" s="34">
        <v>0.18099999999999999</v>
      </c>
      <c r="AD2018" s="32">
        <v>3.0990000000000002</v>
      </c>
    </row>
    <row r="2019" spans="1:30">
      <c r="A2019">
        <v>2017</v>
      </c>
      <c r="B2019">
        <v>35</v>
      </c>
      <c r="C2019">
        <v>2.0459999999999998</v>
      </c>
      <c r="D2019">
        <v>4</v>
      </c>
      <c r="E2019">
        <v>0</v>
      </c>
      <c r="F2019">
        <v>1.6160000000000001</v>
      </c>
      <c r="G2019">
        <v>0</v>
      </c>
      <c r="H2019">
        <v>0.189</v>
      </c>
      <c r="I2019">
        <v>3.3570000000000002</v>
      </c>
      <c r="K2019">
        <v>2017</v>
      </c>
      <c r="L2019">
        <v>35</v>
      </c>
      <c r="M2019" s="32">
        <v>2.0459999999999998</v>
      </c>
      <c r="N2019" s="32">
        <v>4</v>
      </c>
      <c r="P2019" s="47">
        <v>1.6180000000000001</v>
      </c>
      <c r="R2019" s="47">
        <v>0.188</v>
      </c>
      <c r="S2019" s="47">
        <v>3.31</v>
      </c>
      <c r="T2019" s="31">
        <v>0</v>
      </c>
      <c r="V2019">
        <v>2017</v>
      </c>
      <c r="W2019">
        <v>33</v>
      </c>
      <c r="X2019">
        <v>2.0579999999999998</v>
      </c>
      <c r="Y2019" s="32">
        <v>4</v>
      </c>
      <c r="Z2019">
        <v>0</v>
      </c>
      <c r="AA2019" s="32">
        <v>1.5069999999999999</v>
      </c>
      <c r="AB2019">
        <v>0</v>
      </c>
      <c r="AC2019" s="34">
        <v>0.18099999999999999</v>
      </c>
      <c r="AD2019" s="32">
        <v>3.1</v>
      </c>
    </row>
    <row r="2020" spans="1:30">
      <c r="A2020">
        <v>2018</v>
      </c>
      <c r="B2020">
        <v>35</v>
      </c>
      <c r="C2020">
        <v>2.0470000000000002</v>
      </c>
      <c r="D2020">
        <v>4</v>
      </c>
      <c r="E2020">
        <v>0</v>
      </c>
      <c r="F2020">
        <v>1.6160000000000001</v>
      </c>
      <c r="G2020">
        <v>0</v>
      </c>
      <c r="H2020">
        <v>0.189</v>
      </c>
      <c r="I2020">
        <v>3.359</v>
      </c>
      <c r="K2020">
        <v>2018</v>
      </c>
      <c r="L2020">
        <v>35</v>
      </c>
      <c r="M2020" s="32">
        <v>2.0470000000000002</v>
      </c>
      <c r="N2020" s="32">
        <v>4</v>
      </c>
      <c r="P2020" s="47">
        <v>1.6180000000000001</v>
      </c>
      <c r="R2020" s="47">
        <v>0.188</v>
      </c>
      <c r="S2020" s="47">
        <v>3.3119999999999998</v>
      </c>
      <c r="T2020" s="31">
        <v>0</v>
      </c>
      <c r="V2020">
        <v>2018</v>
      </c>
      <c r="W2020">
        <v>33</v>
      </c>
      <c r="X2020">
        <v>2.0590000000000002</v>
      </c>
      <c r="Y2020" s="32">
        <v>4</v>
      </c>
      <c r="Z2020">
        <v>0</v>
      </c>
      <c r="AA2020" s="32">
        <v>1.5069999999999999</v>
      </c>
      <c r="AB2020">
        <v>0</v>
      </c>
      <c r="AC2020" s="34">
        <v>0.18099999999999999</v>
      </c>
      <c r="AD2020" s="32">
        <v>3.1019999999999999</v>
      </c>
    </row>
    <row r="2021" spans="1:30">
      <c r="A2021">
        <v>2019</v>
      </c>
      <c r="B2021">
        <v>35</v>
      </c>
      <c r="C2021">
        <v>2.048</v>
      </c>
      <c r="D2021">
        <v>4</v>
      </c>
      <c r="E2021">
        <v>0</v>
      </c>
      <c r="F2021">
        <v>1.6160000000000001</v>
      </c>
      <c r="G2021">
        <v>0</v>
      </c>
      <c r="H2021">
        <v>0.189</v>
      </c>
      <c r="I2021">
        <v>3.3620000000000001</v>
      </c>
      <c r="K2021">
        <v>2019</v>
      </c>
      <c r="L2021">
        <v>35</v>
      </c>
      <c r="M2021" s="32">
        <v>2.048</v>
      </c>
      <c r="N2021" s="32">
        <v>4</v>
      </c>
      <c r="P2021" s="47">
        <v>1.6180000000000001</v>
      </c>
      <c r="R2021" s="47">
        <v>0.188</v>
      </c>
      <c r="S2021" s="47">
        <v>3.3149999999999999</v>
      </c>
      <c r="T2021" s="31">
        <v>0</v>
      </c>
      <c r="V2021">
        <v>2019</v>
      </c>
      <c r="W2021">
        <v>33</v>
      </c>
      <c r="X2021">
        <v>2.06</v>
      </c>
      <c r="Y2021" s="32">
        <v>4</v>
      </c>
      <c r="Z2021">
        <v>0</v>
      </c>
      <c r="AA2021" s="32">
        <v>1.5069999999999999</v>
      </c>
      <c r="AB2021">
        <v>0</v>
      </c>
      <c r="AC2021" s="34">
        <v>0.18099999999999999</v>
      </c>
      <c r="AD2021" s="32">
        <v>3.1040000000000001</v>
      </c>
    </row>
    <row r="2022" spans="1:30">
      <c r="A2022">
        <v>2020</v>
      </c>
      <c r="B2022">
        <v>35</v>
      </c>
      <c r="C2022">
        <v>2.0489999999999999</v>
      </c>
      <c r="D2022">
        <v>4</v>
      </c>
      <c r="E2022">
        <v>0</v>
      </c>
      <c r="F2022">
        <v>1.6160000000000001</v>
      </c>
      <c r="G2022">
        <v>0</v>
      </c>
      <c r="H2022">
        <v>0.189</v>
      </c>
      <c r="I2022">
        <v>3.3639999999999999</v>
      </c>
      <c r="K2022">
        <v>2020</v>
      </c>
      <c r="L2022">
        <v>35</v>
      </c>
      <c r="M2022" s="32">
        <v>2.0489999999999999</v>
      </c>
      <c r="N2022" s="32">
        <v>4</v>
      </c>
      <c r="P2022" s="47">
        <v>1.619</v>
      </c>
      <c r="R2022" s="47">
        <v>0.188</v>
      </c>
      <c r="S2022" s="47">
        <v>3.3170000000000002</v>
      </c>
      <c r="T2022" s="31">
        <v>0</v>
      </c>
      <c r="V2022">
        <v>2020</v>
      </c>
      <c r="W2022">
        <v>33</v>
      </c>
      <c r="X2022">
        <v>2.0609999999999999</v>
      </c>
      <c r="Y2022" s="32">
        <v>4</v>
      </c>
      <c r="Z2022">
        <v>0</v>
      </c>
      <c r="AA2022" s="32">
        <v>1.5069999999999999</v>
      </c>
      <c r="AB2022">
        <v>0</v>
      </c>
      <c r="AC2022" s="34">
        <v>0.18099999999999999</v>
      </c>
      <c r="AD2022" s="32">
        <v>3.1059999999999999</v>
      </c>
    </row>
    <row r="2023" spans="1:30">
      <c r="A2023">
        <v>2021</v>
      </c>
      <c r="B2023">
        <v>35</v>
      </c>
      <c r="C2023">
        <v>2.0499999999999998</v>
      </c>
      <c r="D2023">
        <v>4</v>
      </c>
      <c r="E2023">
        <v>0</v>
      </c>
      <c r="F2023">
        <v>1.619</v>
      </c>
      <c r="G2023">
        <v>0</v>
      </c>
      <c r="H2023">
        <v>0.189</v>
      </c>
      <c r="I2023">
        <v>3.319</v>
      </c>
      <c r="K2023">
        <v>2021</v>
      </c>
      <c r="L2023">
        <v>35</v>
      </c>
      <c r="M2023" s="32">
        <v>2.0499999999999998</v>
      </c>
      <c r="N2023" s="32">
        <v>4</v>
      </c>
      <c r="P2023" s="32">
        <v>1.619</v>
      </c>
      <c r="R2023" s="47">
        <v>0.188</v>
      </c>
      <c r="S2023" s="32">
        <v>3.319</v>
      </c>
      <c r="T2023" s="31">
        <v>0</v>
      </c>
      <c r="V2023">
        <v>2021</v>
      </c>
      <c r="W2023">
        <v>33</v>
      </c>
      <c r="X2023">
        <v>2.0619999999999998</v>
      </c>
      <c r="Y2023" s="32">
        <v>4</v>
      </c>
      <c r="Z2023">
        <v>0</v>
      </c>
      <c r="AA2023" s="32">
        <v>1.5069999999999999</v>
      </c>
      <c r="AB2023">
        <v>0</v>
      </c>
      <c r="AC2023" s="34">
        <v>0.18099999999999999</v>
      </c>
      <c r="AD2023" s="32">
        <v>3.1080000000000001</v>
      </c>
    </row>
    <row r="2024" spans="1:30">
      <c r="A2024">
        <v>2022</v>
      </c>
      <c r="B2024">
        <v>35</v>
      </c>
      <c r="C2024">
        <v>2.0510000000000002</v>
      </c>
      <c r="D2024">
        <v>4</v>
      </c>
      <c r="E2024">
        <v>0</v>
      </c>
      <c r="F2024">
        <v>1.619</v>
      </c>
      <c r="G2024">
        <v>0</v>
      </c>
      <c r="H2024">
        <v>0.189</v>
      </c>
      <c r="I2024">
        <v>3.391</v>
      </c>
      <c r="K2024">
        <v>2022</v>
      </c>
      <c r="L2024">
        <v>35</v>
      </c>
      <c r="M2024" s="32">
        <v>2.0510000000000002</v>
      </c>
      <c r="N2024" s="32">
        <v>4</v>
      </c>
      <c r="P2024" s="32">
        <v>1.619</v>
      </c>
      <c r="R2024" s="47">
        <v>0.187</v>
      </c>
      <c r="S2024" s="47">
        <v>3.3210000000000002</v>
      </c>
      <c r="T2024" s="31">
        <v>0</v>
      </c>
      <c r="V2024">
        <v>2022</v>
      </c>
      <c r="W2024">
        <v>33</v>
      </c>
      <c r="X2024">
        <v>2.0630000000000002</v>
      </c>
      <c r="Y2024" s="32">
        <v>4</v>
      </c>
      <c r="Z2024">
        <v>0</v>
      </c>
      <c r="AA2024" s="32">
        <v>1.5069999999999999</v>
      </c>
      <c r="AB2024">
        <v>0</v>
      </c>
      <c r="AC2024" s="34">
        <v>0.18099999999999999</v>
      </c>
      <c r="AD2024" s="32">
        <v>3.11</v>
      </c>
    </row>
    <row r="2025" spans="1:30">
      <c r="A2025">
        <v>2023</v>
      </c>
      <c r="B2025">
        <v>35</v>
      </c>
      <c r="C2025">
        <v>2.052</v>
      </c>
      <c r="D2025">
        <v>4</v>
      </c>
      <c r="E2025">
        <v>0</v>
      </c>
      <c r="F2025">
        <v>1.619</v>
      </c>
      <c r="G2025">
        <v>0</v>
      </c>
      <c r="H2025">
        <v>0.189</v>
      </c>
      <c r="I2025">
        <v>3.3929999999999998</v>
      </c>
      <c r="K2025">
        <v>2023</v>
      </c>
      <c r="L2025">
        <v>35</v>
      </c>
      <c r="M2025" s="32">
        <v>2.052</v>
      </c>
      <c r="N2025" s="32">
        <v>4</v>
      </c>
      <c r="P2025" s="47">
        <v>1.62</v>
      </c>
      <c r="R2025" s="47">
        <v>0.187</v>
      </c>
      <c r="S2025" s="47">
        <v>3.323</v>
      </c>
      <c r="T2025" s="31">
        <v>0</v>
      </c>
      <c r="V2025">
        <v>2023</v>
      </c>
      <c r="W2025">
        <v>33</v>
      </c>
      <c r="X2025">
        <v>2.0640000000000001</v>
      </c>
      <c r="Y2025" s="32">
        <v>4</v>
      </c>
      <c r="Z2025">
        <v>0</v>
      </c>
      <c r="AA2025" s="32">
        <v>1.5069999999999999</v>
      </c>
      <c r="AB2025">
        <v>0</v>
      </c>
      <c r="AC2025" s="34">
        <v>0.18099999999999999</v>
      </c>
      <c r="AD2025" s="32">
        <v>3.1120000000000001</v>
      </c>
    </row>
    <row r="2026" spans="1:30">
      <c r="A2026">
        <v>2024</v>
      </c>
      <c r="B2026">
        <v>35</v>
      </c>
      <c r="C2026">
        <v>2.0529999999999999</v>
      </c>
      <c r="D2026">
        <v>4</v>
      </c>
      <c r="E2026">
        <v>0</v>
      </c>
      <c r="F2026">
        <v>1.619</v>
      </c>
      <c r="G2026">
        <v>0</v>
      </c>
      <c r="H2026">
        <v>0.189</v>
      </c>
      <c r="I2026">
        <v>3.395</v>
      </c>
      <c r="K2026">
        <v>2024</v>
      </c>
      <c r="L2026">
        <v>35</v>
      </c>
      <c r="M2026" s="32">
        <v>2.0529999999999999</v>
      </c>
      <c r="N2026" s="32">
        <v>4</v>
      </c>
      <c r="P2026" s="47">
        <v>1.62</v>
      </c>
      <c r="R2026" s="47">
        <v>0.187</v>
      </c>
      <c r="S2026" s="47">
        <v>3.3250000000000002</v>
      </c>
      <c r="T2026" s="31">
        <v>0</v>
      </c>
      <c r="V2026">
        <v>2024</v>
      </c>
      <c r="W2026">
        <v>33</v>
      </c>
      <c r="X2026">
        <v>2.0649999999999999</v>
      </c>
      <c r="Y2026" s="32">
        <v>4</v>
      </c>
      <c r="Z2026">
        <v>0</v>
      </c>
      <c r="AA2026" s="32">
        <v>1.508</v>
      </c>
      <c r="AB2026">
        <v>0</v>
      </c>
      <c r="AC2026" s="34">
        <v>0.18099999999999999</v>
      </c>
      <c r="AD2026" s="32">
        <v>3.113</v>
      </c>
    </row>
    <row r="2027" spans="1:30">
      <c r="A2027">
        <v>2025</v>
      </c>
      <c r="B2027">
        <v>35</v>
      </c>
      <c r="C2027">
        <v>2.0539999999999998</v>
      </c>
      <c r="D2027">
        <v>4</v>
      </c>
      <c r="E2027">
        <v>0</v>
      </c>
      <c r="F2027">
        <v>1.619</v>
      </c>
      <c r="G2027">
        <v>0</v>
      </c>
      <c r="H2027">
        <v>0.189</v>
      </c>
      <c r="I2027">
        <v>3.3980000000000001</v>
      </c>
      <c r="K2027">
        <v>2025</v>
      </c>
      <c r="L2027">
        <v>35</v>
      </c>
      <c r="M2027" s="32">
        <v>2.0539999999999998</v>
      </c>
      <c r="N2027" s="32">
        <v>4</v>
      </c>
      <c r="P2027" s="47">
        <v>1.62</v>
      </c>
      <c r="R2027" s="47">
        <v>0.187</v>
      </c>
      <c r="S2027" s="47">
        <v>3.327</v>
      </c>
      <c r="T2027" s="31">
        <v>0</v>
      </c>
      <c r="V2027">
        <v>2025</v>
      </c>
      <c r="W2027">
        <v>33</v>
      </c>
      <c r="X2027">
        <v>2.0659999999999998</v>
      </c>
      <c r="Y2027" s="32">
        <v>4</v>
      </c>
      <c r="Z2027">
        <v>0</v>
      </c>
      <c r="AA2027" s="32">
        <v>1.508</v>
      </c>
      <c r="AB2027">
        <v>0</v>
      </c>
      <c r="AC2027" s="34">
        <v>0.18099999999999999</v>
      </c>
      <c r="AD2027" s="32">
        <v>3.1150000000000002</v>
      </c>
    </row>
    <row r="2028" spans="1:30">
      <c r="A2028">
        <v>2026</v>
      </c>
      <c r="B2028">
        <v>35</v>
      </c>
      <c r="C2028">
        <v>2.0550000000000002</v>
      </c>
      <c r="D2028">
        <v>4</v>
      </c>
      <c r="E2028">
        <v>0</v>
      </c>
      <c r="F2028">
        <v>1.619</v>
      </c>
      <c r="G2028">
        <v>0</v>
      </c>
      <c r="H2028">
        <v>0.189</v>
      </c>
      <c r="I2028">
        <v>3.4</v>
      </c>
      <c r="K2028">
        <v>2026</v>
      </c>
      <c r="L2028">
        <v>35</v>
      </c>
      <c r="M2028" s="32">
        <v>2.0550000000000002</v>
      </c>
      <c r="N2028" s="32">
        <v>4</v>
      </c>
      <c r="P2028" s="47">
        <v>1.621</v>
      </c>
      <c r="R2028" s="47">
        <v>0.187</v>
      </c>
      <c r="S2028" s="47">
        <v>3.33</v>
      </c>
      <c r="T2028" s="31">
        <v>0</v>
      </c>
      <c r="V2028">
        <v>2026</v>
      </c>
      <c r="W2028">
        <v>33</v>
      </c>
      <c r="X2028">
        <v>2.0670000000000002</v>
      </c>
      <c r="Y2028" s="32">
        <v>4</v>
      </c>
      <c r="Z2028">
        <v>0</v>
      </c>
      <c r="AA2028" s="32">
        <v>1.508</v>
      </c>
      <c r="AB2028">
        <v>0</v>
      </c>
      <c r="AC2028" s="34">
        <v>0.18099999999999999</v>
      </c>
      <c r="AD2028" s="32">
        <v>3.117</v>
      </c>
    </row>
    <row r="2029" spans="1:30">
      <c r="A2029">
        <v>2027</v>
      </c>
      <c r="B2029">
        <v>35</v>
      </c>
      <c r="C2029">
        <v>2.056</v>
      </c>
      <c r="D2029">
        <v>4</v>
      </c>
      <c r="E2029">
        <v>0</v>
      </c>
      <c r="F2029">
        <v>1.619</v>
      </c>
      <c r="G2029">
        <v>0</v>
      </c>
      <c r="H2029">
        <v>0.189</v>
      </c>
      <c r="I2029">
        <v>3.4020000000000001</v>
      </c>
      <c r="K2029">
        <v>2027</v>
      </c>
      <c r="L2029">
        <v>35</v>
      </c>
      <c r="M2029" s="32">
        <v>2.056</v>
      </c>
      <c r="N2029" s="32">
        <v>4</v>
      </c>
      <c r="P2029" s="47">
        <v>1.621</v>
      </c>
      <c r="R2029" s="47">
        <v>0.187</v>
      </c>
      <c r="S2029" s="47">
        <v>3.3319999999999999</v>
      </c>
      <c r="T2029" s="31">
        <v>0</v>
      </c>
      <c r="V2029">
        <v>2027</v>
      </c>
      <c r="W2029">
        <v>33</v>
      </c>
      <c r="X2029">
        <v>2.0680000000000001</v>
      </c>
      <c r="Y2029" s="32">
        <v>4</v>
      </c>
      <c r="Z2029">
        <v>0</v>
      </c>
      <c r="AA2029" s="32">
        <v>1.508</v>
      </c>
      <c r="AB2029">
        <v>0</v>
      </c>
      <c r="AC2029" s="34">
        <v>0.182</v>
      </c>
      <c r="AD2029" s="32">
        <v>3.1190000000000002</v>
      </c>
    </row>
    <row r="2030" spans="1:30">
      <c r="A2030">
        <v>2028</v>
      </c>
      <c r="B2030">
        <v>35</v>
      </c>
      <c r="C2030">
        <v>2.0569999999999999</v>
      </c>
      <c r="D2030">
        <v>4</v>
      </c>
      <c r="E2030">
        <v>0</v>
      </c>
      <c r="F2030">
        <v>1.619</v>
      </c>
      <c r="G2030">
        <v>0</v>
      </c>
      <c r="H2030">
        <v>0.189</v>
      </c>
      <c r="I2030">
        <v>3.4049999999999998</v>
      </c>
      <c r="K2030">
        <v>2028</v>
      </c>
      <c r="L2030">
        <v>35</v>
      </c>
      <c r="M2030" s="32">
        <v>2.0569999999999999</v>
      </c>
      <c r="N2030" s="32">
        <v>4</v>
      </c>
      <c r="P2030" s="47">
        <v>1.621</v>
      </c>
      <c r="R2030" s="47">
        <v>0.187</v>
      </c>
      <c r="S2030" s="47">
        <v>3.3340000000000001</v>
      </c>
      <c r="T2030" s="31">
        <v>0</v>
      </c>
      <c r="V2030">
        <v>2028</v>
      </c>
      <c r="W2030">
        <v>33</v>
      </c>
      <c r="X2030">
        <v>2.069</v>
      </c>
      <c r="Y2030" s="32">
        <v>4</v>
      </c>
      <c r="Z2030">
        <v>0</v>
      </c>
      <c r="AA2030" s="32">
        <v>1.508</v>
      </c>
      <c r="AB2030">
        <v>0</v>
      </c>
      <c r="AC2030" s="34">
        <v>0.182</v>
      </c>
      <c r="AD2030" s="32">
        <v>3.121</v>
      </c>
    </row>
    <row r="2031" spans="1:30">
      <c r="A2031">
        <v>2029</v>
      </c>
      <c r="B2031">
        <v>35</v>
      </c>
      <c r="C2031">
        <v>2.0579999999999998</v>
      </c>
      <c r="D2031">
        <v>4</v>
      </c>
      <c r="E2031">
        <v>0</v>
      </c>
      <c r="F2031">
        <v>1.619</v>
      </c>
      <c r="G2031">
        <v>0</v>
      </c>
      <c r="H2031">
        <v>0.189</v>
      </c>
      <c r="I2031">
        <v>3.407</v>
      </c>
      <c r="K2031">
        <v>2029</v>
      </c>
      <c r="L2031">
        <v>35</v>
      </c>
      <c r="M2031" s="32">
        <v>2.0579999999999998</v>
      </c>
      <c r="N2031" s="32">
        <v>4</v>
      </c>
      <c r="P2031" s="47">
        <v>1.621</v>
      </c>
      <c r="R2031" s="47">
        <v>0.187</v>
      </c>
      <c r="S2031" s="47">
        <v>3.3359999999999999</v>
      </c>
      <c r="T2031" s="31">
        <v>0</v>
      </c>
      <c r="V2031">
        <v>2029</v>
      </c>
      <c r="W2031">
        <v>33</v>
      </c>
      <c r="X2031">
        <v>2.0699999999999998</v>
      </c>
      <c r="Y2031" s="32">
        <v>4</v>
      </c>
      <c r="Z2031">
        <v>0</v>
      </c>
      <c r="AA2031" s="32">
        <v>1.508</v>
      </c>
      <c r="AB2031">
        <v>0</v>
      </c>
      <c r="AC2031" s="34">
        <v>0.182</v>
      </c>
      <c r="AD2031" s="32">
        <v>3.1230000000000002</v>
      </c>
    </row>
    <row r="2032" spans="1:30">
      <c r="A2032">
        <v>2030</v>
      </c>
      <c r="B2032">
        <v>35</v>
      </c>
      <c r="C2032">
        <v>2.0590000000000002</v>
      </c>
      <c r="D2032">
        <v>4</v>
      </c>
      <c r="E2032">
        <v>0</v>
      </c>
      <c r="F2032">
        <v>1.619</v>
      </c>
      <c r="G2032">
        <v>0</v>
      </c>
      <c r="H2032">
        <v>0.189</v>
      </c>
      <c r="I2032">
        <v>3.4089999999999998</v>
      </c>
      <c r="K2032">
        <v>2030</v>
      </c>
      <c r="L2032">
        <v>35</v>
      </c>
      <c r="M2032" s="32">
        <v>2.0590000000000002</v>
      </c>
      <c r="N2032" s="32">
        <v>4</v>
      </c>
      <c r="P2032" s="47">
        <v>1.6220000000000001</v>
      </c>
      <c r="R2032" s="47">
        <v>0.187</v>
      </c>
      <c r="S2032" s="47">
        <v>3.3380000000000001</v>
      </c>
      <c r="T2032" s="31">
        <v>0</v>
      </c>
      <c r="V2032">
        <v>2030</v>
      </c>
      <c r="W2032">
        <v>33</v>
      </c>
      <c r="X2032">
        <v>2.0710000000000002</v>
      </c>
      <c r="Y2032" s="32">
        <v>4</v>
      </c>
      <c r="Z2032">
        <v>0</v>
      </c>
      <c r="AA2032" s="32">
        <v>1.5089999999999999</v>
      </c>
      <c r="AB2032">
        <v>0</v>
      </c>
      <c r="AC2032" s="34">
        <v>0.182</v>
      </c>
      <c r="AD2032" s="32">
        <v>3.1240000000000001</v>
      </c>
    </row>
    <row r="2033" spans="1:30">
      <c r="A2033">
        <v>2031</v>
      </c>
      <c r="B2033">
        <v>35</v>
      </c>
      <c r="C2033">
        <v>2.06</v>
      </c>
      <c r="D2033">
        <v>4</v>
      </c>
      <c r="E2033">
        <v>0</v>
      </c>
      <c r="F2033">
        <v>1.6220000000000001</v>
      </c>
      <c r="G2033">
        <v>0</v>
      </c>
      <c r="H2033">
        <v>0.189</v>
      </c>
      <c r="I2033">
        <v>3.34</v>
      </c>
      <c r="K2033">
        <v>2031</v>
      </c>
      <c r="L2033">
        <v>35</v>
      </c>
      <c r="M2033" s="32">
        <v>2.06</v>
      </c>
      <c r="N2033" s="32">
        <v>4</v>
      </c>
      <c r="P2033" s="32">
        <v>1.6220000000000001</v>
      </c>
      <c r="R2033" s="47">
        <v>0.187</v>
      </c>
      <c r="S2033" s="32">
        <v>3.34</v>
      </c>
      <c r="T2033" s="31">
        <v>0</v>
      </c>
      <c r="V2033">
        <v>2031</v>
      </c>
      <c r="W2033">
        <v>33</v>
      </c>
      <c r="X2033">
        <v>2.0720000000000001</v>
      </c>
      <c r="Y2033" s="32">
        <v>4</v>
      </c>
      <c r="Z2033">
        <v>0</v>
      </c>
      <c r="AA2033" s="32">
        <v>1.5089999999999999</v>
      </c>
      <c r="AB2033">
        <v>0</v>
      </c>
      <c r="AC2033" s="34">
        <v>0.182</v>
      </c>
      <c r="AD2033" s="32">
        <v>3.1259999999999999</v>
      </c>
    </row>
    <row r="2034" spans="1:30">
      <c r="A2034">
        <v>2032</v>
      </c>
      <c r="B2034">
        <v>35</v>
      </c>
      <c r="C2034">
        <v>2.0609999999999999</v>
      </c>
      <c r="D2034">
        <v>4</v>
      </c>
      <c r="E2034">
        <v>0</v>
      </c>
      <c r="F2034">
        <v>1.6220000000000001</v>
      </c>
      <c r="G2034">
        <v>0</v>
      </c>
      <c r="H2034">
        <v>0.189</v>
      </c>
      <c r="I2034">
        <v>3.4350000000000001</v>
      </c>
      <c r="K2034">
        <v>2032</v>
      </c>
      <c r="L2034">
        <v>35</v>
      </c>
      <c r="M2034" s="32">
        <v>2.0609999999999999</v>
      </c>
      <c r="N2034" s="32">
        <v>4</v>
      </c>
      <c r="P2034" s="32">
        <v>1.6220000000000001</v>
      </c>
      <c r="R2034" s="47">
        <v>0.187</v>
      </c>
      <c r="S2034" s="47">
        <v>3.3420000000000001</v>
      </c>
      <c r="T2034" s="31">
        <v>0</v>
      </c>
      <c r="V2034">
        <v>2032</v>
      </c>
      <c r="W2034">
        <v>33</v>
      </c>
      <c r="X2034">
        <v>2.073</v>
      </c>
      <c r="Y2034" s="32">
        <v>4</v>
      </c>
      <c r="Z2034">
        <v>0</v>
      </c>
      <c r="AA2034" s="32">
        <v>1.5089999999999999</v>
      </c>
      <c r="AB2034">
        <v>0</v>
      </c>
      <c r="AC2034" s="34">
        <v>0.182</v>
      </c>
      <c r="AD2034" s="32">
        <v>3.1280000000000001</v>
      </c>
    </row>
    <row r="2035" spans="1:30">
      <c r="A2035">
        <v>2033</v>
      </c>
      <c r="B2035">
        <v>35</v>
      </c>
      <c r="C2035">
        <v>2.0619999999999998</v>
      </c>
      <c r="D2035">
        <v>4</v>
      </c>
      <c r="E2035">
        <v>0</v>
      </c>
      <c r="F2035">
        <v>1.6220000000000001</v>
      </c>
      <c r="G2035">
        <v>0</v>
      </c>
      <c r="H2035">
        <v>0.189</v>
      </c>
      <c r="I2035">
        <v>3.4369999999999998</v>
      </c>
      <c r="K2035">
        <v>2033</v>
      </c>
      <c r="L2035">
        <v>35</v>
      </c>
      <c r="M2035" s="32">
        <v>2.0619999999999998</v>
      </c>
      <c r="N2035" s="32">
        <v>4</v>
      </c>
      <c r="P2035" s="32">
        <v>1.6220000000000001</v>
      </c>
      <c r="R2035" s="47">
        <v>0.187</v>
      </c>
      <c r="S2035" s="47">
        <v>3.3439999999999999</v>
      </c>
      <c r="T2035" s="31">
        <v>0</v>
      </c>
      <c r="V2035">
        <v>2033</v>
      </c>
      <c r="W2035">
        <v>33</v>
      </c>
      <c r="X2035">
        <v>2.0739999999999998</v>
      </c>
      <c r="Y2035" s="32">
        <v>4</v>
      </c>
      <c r="Z2035">
        <v>0</v>
      </c>
      <c r="AA2035" s="32">
        <v>1.5089999999999999</v>
      </c>
      <c r="AB2035">
        <v>0</v>
      </c>
      <c r="AC2035" s="34">
        <v>0.182</v>
      </c>
      <c r="AD2035" s="32">
        <v>3.13</v>
      </c>
    </row>
    <row r="2036" spans="1:30">
      <c r="A2036">
        <v>2034</v>
      </c>
      <c r="B2036">
        <v>35</v>
      </c>
      <c r="C2036">
        <v>2.0630000000000002</v>
      </c>
      <c r="D2036">
        <v>4</v>
      </c>
      <c r="E2036">
        <v>0</v>
      </c>
      <c r="F2036">
        <v>1.6220000000000001</v>
      </c>
      <c r="G2036">
        <v>0</v>
      </c>
      <c r="H2036">
        <v>0.189</v>
      </c>
      <c r="I2036">
        <v>3.4390000000000001</v>
      </c>
      <c r="K2036">
        <v>2034</v>
      </c>
      <c r="L2036">
        <v>35</v>
      </c>
      <c r="M2036" s="32">
        <v>2.0630000000000002</v>
      </c>
      <c r="N2036" s="32">
        <v>4</v>
      </c>
      <c r="P2036" s="47">
        <v>1.623</v>
      </c>
      <c r="R2036" s="47">
        <v>0.187</v>
      </c>
      <c r="S2036" s="47">
        <v>3.347</v>
      </c>
      <c r="T2036" s="31">
        <v>0</v>
      </c>
      <c r="V2036">
        <v>2034</v>
      </c>
      <c r="W2036">
        <v>33</v>
      </c>
      <c r="X2036">
        <v>2.0750000000000002</v>
      </c>
      <c r="Y2036" s="32">
        <v>4</v>
      </c>
      <c r="Z2036">
        <v>0</v>
      </c>
      <c r="AA2036" s="32">
        <v>1.5089999999999999</v>
      </c>
      <c r="AB2036">
        <v>0</v>
      </c>
      <c r="AC2036" s="34">
        <v>0.182</v>
      </c>
      <c r="AD2036" s="32">
        <v>3.1320000000000001</v>
      </c>
    </row>
    <row r="2037" spans="1:30">
      <c r="A2037">
        <v>2035</v>
      </c>
      <c r="B2037">
        <v>35</v>
      </c>
      <c r="C2037">
        <v>2.0640000000000001</v>
      </c>
      <c r="D2037">
        <v>4</v>
      </c>
      <c r="E2037">
        <v>0</v>
      </c>
      <c r="F2037">
        <v>1.6220000000000001</v>
      </c>
      <c r="G2037">
        <v>0</v>
      </c>
      <c r="H2037">
        <v>0.189</v>
      </c>
      <c r="I2037">
        <v>3.4420000000000002</v>
      </c>
      <c r="K2037">
        <v>2035</v>
      </c>
      <c r="L2037">
        <v>35</v>
      </c>
      <c r="M2037" s="32">
        <v>2.0640000000000001</v>
      </c>
      <c r="N2037" s="32">
        <v>4</v>
      </c>
      <c r="P2037" s="47">
        <v>1.623</v>
      </c>
      <c r="R2037" s="47">
        <v>0.187</v>
      </c>
      <c r="S2037" s="47">
        <v>3.3490000000000002</v>
      </c>
      <c r="T2037" s="31">
        <v>0</v>
      </c>
      <c r="V2037">
        <v>2035</v>
      </c>
      <c r="W2037">
        <v>33</v>
      </c>
      <c r="X2037">
        <v>2.0760000000000001</v>
      </c>
      <c r="Y2037" s="32">
        <v>4</v>
      </c>
      <c r="Z2037">
        <v>0</v>
      </c>
      <c r="AA2037" s="32">
        <v>1.5089999999999999</v>
      </c>
      <c r="AB2037">
        <v>0</v>
      </c>
      <c r="AC2037" s="34">
        <v>0.182</v>
      </c>
      <c r="AD2037" s="32">
        <v>3.1339999999999999</v>
      </c>
    </row>
    <row r="2038" spans="1:30">
      <c r="A2038">
        <v>2036</v>
      </c>
      <c r="B2038">
        <v>35</v>
      </c>
      <c r="C2038">
        <v>2.0649999999999999</v>
      </c>
      <c r="D2038">
        <v>4</v>
      </c>
      <c r="E2038">
        <v>0</v>
      </c>
      <c r="F2038">
        <v>1.6220000000000001</v>
      </c>
      <c r="G2038">
        <v>0</v>
      </c>
      <c r="H2038">
        <v>0.189</v>
      </c>
      <c r="I2038">
        <v>3.444</v>
      </c>
      <c r="K2038">
        <v>2036</v>
      </c>
      <c r="L2038">
        <v>35</v>
      </c>
      <c r="M2038" s="32">
        <v>2.0649999999999999</v>
      </c>
      <c r="N2038" s="32">
        <v>4</v>
      </c>
      <c r="P2038" s="47">
        <v>1.623</v>
      </c>
      <c r="R2038" s="47">
        <v>0.187</v>
      </c>
      <c r="S2038" s="47">
        <v>3.351</v>
      </c>
      <c r="T2038" s="31">
        <v>0</v>
      </c>
      <c r="V2038">
        <v>2036</v>
      </c>
      <c r="W2038">
        <v>33</v>
      </c>
      <c r="X2038">
        <v>2.077</v>
      </c>
      <c r="Y2038" s="32">
        <v>4</v>
      </c>
      <c r="Z2038">
        <v>0</v>
      </c>
      <c r="AA2038" s="32">
        <v>1.51</v>
      </c>
      <c r="AB2038">
        <v>0</v>
      </c>
      <c r="AC2038" s="34">
        <v>0.182</v>
      </c>
      <c r="AD2038" s="32">
        <v>3.1349999999999998</v>
      </c>
    </row>
    <row r="2039" spans="1:30">
      <c r="A2039">
        <v>2037</v>
      </c>
      <c r="B2039">
        <v>35</v>
      </c>
      <c r="C2039">
        <v>2.0659999999999998</v>
      </c>
      <c r="D2039">
        <v>4</v>
      </c>
      <c r="E2039">
        <v>0</v>
      </c>
      <c r="F2039">
        <v>1.6220000000000001</v>
      </c>
      <c r="G2039">
        <v>0</v>
      </c>
      <c r="H2039">
        <v>0.189</v>
      </c>
      <c r="I2039">
        <v>3.4460000000000002</v>
      </c>
      <c r="K2039">
        <v>2037</v>
      </c>
      <c r="L2039">
        <v>35</v>
      </c>
      <c r="M2039" s="32">
        <v>2.0659999999999998</v>
      </c>
      <c r="N2039" s="32">
        <v>4</v>
      </c>
      <c r="P2039" s="47">
        <v>1.623</v>
      </c>
      <c r="R2039" s="47">
        <v>0.187</v>
      </c>
      <c r="S2039" s="47">
        <v>3.3530000000000002</v>
      </c>
      <c r="T2039" s="31">
        <v>0</v>
      </c>
      <c r="V2039">
        <v>2037</v>
      </c>
      <c r="W2039">
        <v>33</v>
      </c>
      <c r="X2039">
        <v>2.0779999999999998</v>
      </c>
      <c r="Y2039" s="32">
        <v>4</v>
      </c>
      <c r="Z2039">
        <v>0</v>
      </c>
      <c r="AA2039" s="32">
        <v>1.51</v>
      </c>
      <c r="AB2039">
        <v>0</v>
      </c>
      <c r="AC2039" s="34">
        <v>0.182</v>
      </c>
      <c r="AD2039" s="32">
        <v>3.137</v>
      </c>
    </row>
    <row r="2040" spans="1:30">
      <c r="A2040">
        <v>2038</v>
      </c>
      <c r="B2040">
        <v>35</v>
      </c>
      <c r="C2040">
        <v>2.0670000000000002</v>
      </c>
      <c r="D2040">
        <v>4</v>
      </c>
      <c r="E2040">
        <v>0</v>
      </c>
      <c r="F2040">
        <v>1.6220000000000001</v>
      </c>
      <c r="G2040">
        <v>0</v>
      </c>
      <c r="H2040">
        <v>0.189</v>
      </c>
      <c r="I2040">
        <v>3.4489999999999998</v>
      </c>
      <c r="K2040">
        <v>2038</v>
      </c>
      <c r="L2040">
        <v>35</v>
      </c>
      <c r="M2040" s="32">
        <v>2.0670000000000002</v>
      </c>
      <c r="N2040" s="32">
        <v>4</v>
      </c>
      <c r="P2040" s="47">
        <v>1.623</v>
      </c>
      <c r="R2040" s="47">
        <v>0.187</v>
      </c>
      <c r="S2040" s="47">
        <v>3.355</v>
      </c>
      <c r="T2040" s="31">
        <v>0</v>
      </c>
      <c r="V2040">
        <v>2038</v>
      </c>
      <c r="W2040">
        <v>33</v>
      </c>
      <c r="X2040">
        <v>2.0790000000000002</v>
      </c>
      <c r="Y2040" s="32">
        <v>4</v>
      </c>
      <c r="Z2040">
        <v>0</v>
      </c>
      <c r="AA2040" s="32">
        <v>1.51</v>
      </c>
      <c r="AB2040">
        <v>0</v>
      </c>
      <c r="AC2040" s="34">
        <v>0.182</v>
      </c>
      <c r="AD2040" s="32">
        <v>3.1389999999999998</v>
      </c>
    </row>
    <row r="2041" spans="1:30">
      <c r="A2041">
        <v>2039</v>
      </c>
      <c r="B2041">
        <v>35</v>
      </c>
      <c r="C2041">
        <v>2.0680000000000001</v>
      </c>
      <c r="D2041">
        <v>4</v>
      </c>
      <c r="E2041">
        <v>0</v>
      </c>
      <c r="F2041">
        <v>1.6220000000000001</v>
      </c>
      <c r="G2041">
        <v>0</v>
      </c>
      <c r="H2041">
        <v>0.189</v>
      </c>
      <c r="I2041">
        <v>3.4510000000000001</v>
      </c>
      <c r="K2041">
        <v>2039</v>
      </c>
      <c r="L2041">
        <v>35</v>
      </c>
      <c r="M2041" s="32">
        <v>2.0680000000000001</v>
      </c>
      <c r="N2041" s="32">
        <v>4</v>
      </c>
      <c r="P2041" s="47">
        <v>1.6240000000000001</v>
      </c>
      <c r="R2041" s="47">
        <v>0.187</v>
      </c>
      <c r="S2041" s="47">
        <v>3.3580000000000001</v>
      </c>
      <c r="T2041" s="31">
        <v>0</v>
      </c>
      <c r="V2041">
        <v>2039</v>
      </c>
      <c r="W2041">
        <v>33</v>
      </c>
      <c r="X2041">
        <v>2.08</v>
      </c>
      <c r="Y2041" s="32">
        <v>4</v>
      </c>
      <c r="Z2041">
        <v>0</v>
      </c>
      <c r="AA2041" s="32">
        <v>1.51</v>
      </c>
      <c r="AB2041">
        <v>0</v>
      </c>
      <c r="AC2041" s="34">
        <v>0.182</v>
      </c>
      <c r="AD2041" s="32">
        <v>3.141</v>
      </c>
    </row>
    <row r="2042" spans="1:30">
      <c r="A2042">
        <v>2040</v>
      </c>
      <c r="B2042">
        <v>35</v>
      </c>
      <c r="C2042">
        <v>2.069</v>
      </c>
      <c r="D2042">
        <v>4</v>
      </c>
      <c r="E2042">
        <v>0</v>
      </c>
      <c r="F2042">
        <v>1.6220000000000001</v>
      </c>
      <c r="G2042">
        <v>0</v>
      </c>
      <c r="H2042">
        <v>0.189</v>
      </c>
      <c r="I2042">
        <v>3.4529999999999998</v>
      </c>
      <c r="K2042">
        <v>2040</v>
      </c>
      <c r="L2042">
        <v>35</v>
      </c>
      <c r="M2042" s="32">
        <v>2.069</v>
      </c>
      <c r="N2042" s="32">
        <v>4</v>
      </c>
      <c r="P2042" s="47">
        <v>1.6240000000000001</v>
      </c>
      <c r="R2042" s="47">
        <v>0.187</v>
      </c>
      <c r="S2042" s="47">
        <v>3.36</v>
      </c>
      <c r="T2042" s="31">
        <v>0</v>
      </c>
      <c r="V2042">
        <v>2040</v>
      </c>
      <c r="W2042">
        <v>33</v>
      </c>
      <c r="X2042">
        <v>2.081</v>
      </c>
      <c r="Y2042" s="32">
        <v>4</v>
      </c>
      <c r="Z2042">
        <v>0</v>
      </c>
      <c r="AA2042" s="32">
        <v>1.51</v>
      </c>
      <c r="AB2042">
        <v>0</v>
      </c>
      <c r="AC2042" s="34">
        <v>0.182</v>
      </c>
      <c r="AD2042" s="32">
        <v>3.1429999999999998</v>
      </c>
    </row>
    <row r="2043" spans="1:30">
      <c r="A2043">
        <v>2041</v>
      </c>
      <c r="B2043">
        <v>35</v>
      </c>
      <c r="C2043">
        <v>2.0699999999999998</v>
      </c>
      <c r="D2043">
        <v>4</v>
      </c>
      <c r="E2043">
        <v>0</v>
      </c>
      <c r="F2043">
        <v>1.6240000000000001</v>
      </c>
      <c r="G2043">
        <v>0</v>
      </c>
      <c r="H2043">
        <v>0.189</v>
      </c>
      <c r="I2043">
        <v>3.3620000000000001</v>
      </c>
      <c r="K2043">
        <v>2041</v>
      </c>
      <c r="L2043">
        <v>35</v>
      </c>
      <c r="M2043" s="32">
        <v>2.0699999999999998</v>
      </c>
      <c r="N2043" s="32">
        <v>4</v>
      </c>
      <c r="P2043" s="32">
        <v>1.6240000000000001</v>
      </c>
      <c r="R2043" s="47">
        <v>0.187</v>
      </c>
      <c r="S2043" s="32">
        <v>3.3620000000000001</v>
      </c>
      <c r="T2043" s="31">
        <v>0</v>
      </c>
      <c r="V2043">
        <v>2041</v>
      </c>
      <c r="W2043">
        <v>33</v>
      </c>
      <c r="X2043">
        <v>2.0819999999999999</v>
      </c>
      <c r="Y2043" s="32">
        <v>4</v>
      </c>
      <c r="Z2043">
        <v>0</v>
      </c>
      <c r="AA2043" s="32">
        <v>1.51</v>
      </c>
      <c r="AB2043">
        <v>0</v>
      </c>
      <c r="AC2043" s="34">
        <v>0.182</v>
      </c>
      <c r="AD2043" s="32">
        <v>3.145</v>
      </c>
    </row>
    <row r="2044" spans="1:30">
      <c r="A2044">
        <v>2042</v>
      </c>
      <c r="B2044">
        <v>35</v>
      </c>
      <c r="C2044">
        <v>2.0710000000000002</v>
      </c>
      <c r="D2044">
        <v>4</v>
      </c>
      <c r="E2044">
        <v>0</v>
      </c>
      <c r="F2044">
        <v>1.6240000000000001</v>
      </c>
      <c r="G2044">
        <v>0</v>
      </c>
      <c r="H2044">
        <v>0.189</v>
      </c>
      <c r="I2044">
        <v>3.48</v>
      </c>
      <c r="K2044">
        <v>2042</v>
      </c>
      <c r="L2044">
        <v>35</v>
      </c>
      <c r="M2044" s="32">
        <v>2.0710000000000002</v>
      </c>
      <c r="N2044" s="32">
        <v>4</v>
      </c>
      <c r="P2044" s="32">
        <v>1.6240000000000001</v>
      </c>
      <c r="R2044" s="47">
        <v>0.186</v>
      </c>
      <c r="S2044" s="47">
        <v>3.3639999999999999</v>
      </c>
      <c r="T2044" s="31">
        <v>0</v>
      </c>
      <c r="V2044">
        <v>2042</v>
      </c>
      <c r="W2044">
        <v>33</v>
      </c>
      <c r="X2044">
        <v>2.0830000000000002</v>
      </c>
      <c r="Y2044" s="32">
        <v>4</v>
      </c>
      <c r="Z2044">
        <v>0</v>
      </c>
      <c r="AA2044" s="32">
        <v>1.5109999999999999</v>
      </c>
      <c r="AB2044">
        <v>0</v>
      </c>
      <c r="AC2044" s="34">
        <v>0.182</v>
      </c>
      <c r="AD2044" s="32">
        <v>3.1459999999999999</v>
      </c>
    </row>
    <row r="2045" spans="1:30">
      <c r="A2045">
        <v>2043</v>
      </c>
      <c r="B2045">
        <v>35</v>
      </c>
      <c r="C2045">
        <v>2.0720000000000001</v>
      </c>
      <c r="D2045">
        <v>4</v>
      </c>
      <c r="E2045">
        <v>0</v>
      </c>
      <c r="F2045">
        <v>1.6240000000000001</v>
      </c>
      <c r="G2045">
        <v>0</v>
      </c>
      <c r="H2045">
        <v>0.189</v>
      </c>
      <c r="I2045">
        <v>3.4820000000000002</v>
      </c>
      <c r="K2045">
        <v>2043</v>
      </c>
      <c r="L2045">
        <v>35</v>
      </c>
      <c r="M2045" s="32">
        <v>2.0720000000000001</v>
      </c>
      <c r="N2045" s="32">
        <v>4</v>
      </c>
      <c r="P2045" s="47">
        <v>1.625</v>
      </c>
      <c r="R2045" s="47">
        <v>0.186</v>
      </c>
      <c r="S2045" s="47">
        <v>3.3660000000000001</v>
      </c>
      <c r="T2045" s="31">
        <v>0</v>
      </c>
      <c r="V2045">
        <v>2043</v>
      </c>
      <c r="W2045">
        <v>33</v>
      </c>
      <c r="X2045">
        <v>2.0840000000000001</v>
      </c>
      <c r="Y2045" s="32">
        <v>4</v>
      </c>
      <c r="Z2045">
        <v>0</v>
      </c>
      <c r="AA2045" s="32">
        <v>1.5109999999999999</v>
      </c>
      <c r="AB2045">
        <v>0</v>
      </c>
      <c r="AC2045" s="34">
        <v>0.182</v>
      </c>
      <c r="AD2045" s="32">
        <v>3.1480000000000001</v>
      </c>
    </row>
    <row r="2046" spans="1:30">
      <c r="A2046">
        <v>2044</v>
      </c>
      <c r="B2046">
        <v>35</v>
      </c>
      <c r="C2046">
        <v>2.073</v>
      </c>
      <c r="D2046">
        <v>4</v>
      </c>
      <c r="E2046">
        <v>0</v>
      </c>
      <c r="F2046">
        <v>1.6240000000000001</v>
      </c>
      <c r="G2046">
        <v>0</v>
      </c>
      <c r="H2046">
        <v>0.189</v>
      </c>
      <c r="I2046">
        <v>3.4849999999999999</v>
      </c>
      <c r="K2046">
        <v>2044</v>
      </c>
      <c r="L2046">
        <v>35</v>
      </c>
      <c r="M2046" s="32">
        <v>2.073</v>
      </c>
      <c r="N2046" s="32">
        <v>4</v>
      </c>
      <c r="P2046" s="47">
        <v>1.625</v>
      </c>
      <c r="R2046" s="47">
        <v>0.186</v>
      </c>
      <c r="S2046" s="47">
        <v>3.3690000000000002</v>
      </c>
      <c r="T2046" s="31">
        <v>0</v>
      </c>
      <c r="V2046">
        <v>2044</v>
      </c>
      <c r="W2046">
        <v>33</v>
      </c>
      <c r="X2046">
        <v>2.085</v>
      </c>
      <c r="Y2046" s="32">
        <v>4</v>
      </c>
      <c r="Z2046">
        <v>0</v>
      </c>
      <c r="AA2046" s="32">
        <v>1.5109999999999999</v>
      </c>
      <c r="AB2046">
        <v>0</v>
      </c>
      <c r="AC2046" s="34">
        <v>0.182</v>
      </c>
      <c r="AD2046" s="32">
        <v>3.15</v>
      </c>
    </row>
    <row r="2047" spans="1:30">
      <c r="A2047">
        <v>2045</v>
      </c>
      <c r="B2047">
        <v>35</v>
      </c>
      <c r="C2047">
        <v>2.0739999999999998</v>
      </c>
      <c r="D2047">
        <v>4</v>
      </c>
      <c r="E2047">
        <v>0</v>
      </c>
      <c r="F2047">
        <v>1.6240000000000001</v>
      </c>
      <c r="G2047">
        <v>0</v>
      </c>
      <c r="H2047">
        <v>0.189</v>
      </c>
      <c r="I2047">
        <v>3.4870000000000001</v>
      </c>
      <c r="K2047">
        <v>2045</v>
      </c>
      <c r="L2047">
        <v>35</v>
      </c>
      <c r="M2047" s="32">
        <v>2.0739999999999998</v>
      </c>
      <c r="N2047" s="32">
        <v>4</v>
      </c>
      <c r="P2047" s="47">
        <v>1.625</v>
      </c>
      <c r="R2047" s="47">
        <v>0.186</v>
      </c>
      <c r="S2047" s="47">
        <v>3.371</v>
      </c>
      <c r="T2047" s="31">
        <v>0</v>
      </c>
      <c r="V2047">
        <v>2045</v>
      </c>
      <c r="W2047">
        <v>33</v>
      </c>
      <c r="X2047">
        <v>2.0859999999999999</v>
      </c>
      <c r="Y2047" s="32">
        <v>4</v>
      </c>
      <c r="Z2047">
        <v>0</v>
      </c>
      <c r="AA2047" s="32">
        <v>1.5109999999999999</v>
      </c>
      <c r="AB2047">
        <v>0</v>
      </c>
      <c r="AC2047" s="34">
        <v>0.182</v>
      </c>
      <c r="AD2047" s="32">
        <v>3.1520000000000001</v>
      </c>
    </row>
    <row r="2048" spans="1:30">
      <c r="A2048">
        <v>2046</v>
      </c>
      <c r="B2048">
        <v>35</v>
      </c>
      <c r="C2048">
        <v>2.0750000000000002</v>
      </c>
      <c r="D2048">
        <v>4</v>
      </c>
      <c r="E2048">
        <v>0</v>
      </c>
      <c r="F2048">
        <v>1.6240000000000001</v>
      </c>
      <c r="G2048">
        <v>0</v>
      </c>
      <c r="H2048">
        <v>0.189</v>
      </c>
      <c r="I2048">
        <v>3.4889999999999999</v>
      </c>
      <c r="K2048">
        <v>2046</v>
      </c>
      <c r="L2048">
        <v>35</v>
      </c>
      <c r="M2048" s="32">
        <v>2.0750000000000002</v>
      </c>
      <c r="N2048" s="32">
        <v>4</v>
      </c>
      <c r="P2048" s="47">
        <v>1.6259999999999999</v>
      </c>
      <c r="R2048" s="47">
        <v>0.186</v>
      </c>
      <c r="S2048" s="47">
        <v>3.3730000000000002</v>
      </c>
      <c r="T2048" s="31">
        <v>0</v>
      </c>
      <c r="V2048">
        <v>2046</v>
      </c>
      <c r="W2048">
        <v>33</v>
      </c>
      <c r="X2048">
        <v>2.0870000000000002</v>
      </c>
      <c r="Y2048" s="32">
        <v>4</v>
      </c>
      <c r="Z2048">
        <v>0</v>
      </c>
      <c r="AA2048" s="32">
        <v>1.5109999999999999</v>
      </c>
      <c r="AB2048">
        <v>0</v>
      </c>
      <c r="AC2048" s="34">
        <v>0.182</v>
      </c>
      <c r="AD2048" s="32">
        <v>3.1539999999999999</v>
      </c>
    </row>
    <row r="2049" spans="1:30">
      <c r="A2049">
        <v>2047</v>
      </c>
      <c r="B2049">
        <v>35</v>
      </c>
      <c r="C2049">
        <v>2.0760000000000001</v>
      </c>
      <c r="D2049">
        <v>4</v>
      </c>
      <c r="E2049">
        <v>0</v>
      </c>
      <c r="F2049">
        <v>1.6240000000000001</v>
      </c>
      <c r="G2049">
        <v>0</v>
      </c>
      <c r="H2049">
        <v>0.189</v>
      </c>
      <c r="I2049">
        <v>3.492</v>
      </c>
      <c r="K2049">
        <v>2047</v>
      </c>
      <c r="L2049">
        <v>35</v>
      </c>
      <c r="M2049" s="32">
        <v>2.0760000000000001</v>
      </c>
      <c r="N2049" s="32">
        <v>4</v>
      </c>
      <c r="P2049" s="47">
        <v>1.6259999999999999</v>
      </c>
      <c r="R2049" s="47">
        <v>0.186</v>
      </c>
      <c r="S2049" s="47">
        <v>3.375</v>
      </c>
      <c r="T2049" s="31">
        <v>0</v>
      </c>
      <c r="V2049">
        <v>2047</v>
      </c>
      <c r="W2049">
        <v>33</v>
      </c>
      <c r="X2049">
        <v>2.0880000000000001</v>
      </c>
      <c r="Y2049" s="32">
        <v>4</v>
      </c>
      <c r="Z2049">
        <v>0</v>
      </c>
      <c r="AA2049" s="32">
        <v>1.5109999999999999</v>
      </c>
      <c r="AB2049">
        <v>0</v>
      </c>
      <c r="AC2049" s="34">
        <v>0.182</v>
      </c>
      <c r="AD2049" s="32">
        <v>3.1560000000000001</v>
      </c>
    </row>
    <row r="2050" spans="1:30">
      <c r="A2050">
        <v>2048</v>
      </c>
      <c r="B2050">
        <v>35</v>
      </c>
      <c r="C2050">
        <v>2.077</v>
      </c>
      <c r="D2050">
        <v>4</v>
      </c>
      <c r="E2050">
        <v>0</v>
      </c>
      <c r="F2050">
        <v>1.6240000000000001</v>
      </c>
      <c r="G2050">
        <v>0</v>
      </c>
      <c r="H2050">
        <v>0.189</v>
      </c>
      <c r="I2050">
        <v>3.4940000000000002</v>
      </c>
      <c r="K2050">
        <v>2048</v>
      </c>
      <c r="L2050">
        <v>35</v>
      </c>
      <c r="M2050" s="32">
        <v>2.077</v>
      </c>
      <c r="N2050" s="32">
        <v>4</v>
      </c>
      <c r="P2050" s="47">
        <v>1.6259999999999999</v>
      </c>
      <c r="R2050" s="47">
        <v>0.186</v>
      </c>
      <c r="S2050" s="47">
        <v>3.3769999999999998</v>
      </c>
      <c r="T2050" s="31">
        <v>0</v>
      </c>
      <c r="V2050">
        <v>2048</v>
      </c>
      <c r="W2050">
        <v>33</v>
      </c>
      <c r="X2050">
        <v>2.089</v>
      </c>
      <c r="Y2050" s="32">
        <v>4</v>
      </c>
      <c r="Z2050">
        <v>0</v>
      </c>
      <c r="AA2050" s="32">
        <v>1.512</v>
      </c>
      <c r="AB2050">
        <v>0</v>
      </c>
      <c r="AC2050" s="34">
        <v>0.182</v>
      </c>
      <c r="AD2050" s="32">
        <v>3.157</v>
      </c>
    </row>
    <row r="2051" spans="1:30">
      <c r="A2051">
        <v>2049</v>
      </c>
      <c r="B2051">
        <v>35</v>
      </c>
      <c r="C2051">
        <v>2.0779999999999998</v>
      </c>
      <c r="D2051">
        <v>4</v>
      </c>
      <c r="E2051">
        <v>0</v>
      </c>
      <c r="F2051">
        <v>1.6240000000000001</v>
      </c>
      <c r="G2051">
        <v>0</v>
      </c>
      <c r="H2051">
        <v>0.189</v>
      </c>
      <c r="I2051">
        <v>3.496</v>
      </c>
      <c r="K2051">
        <v>2049</v>
      </c>
      <c r="L2051">
        <v>35</v>
      </c>
      <c r="M2051" s="32">
        <v>2.0779999999999998</v>
      </c>
      <c r="N2051" s="32">
        <v>4</v>
      </c>
      <c r="P2051" s="47">
        <v>1.6259999999999999</v>
      </c>
      <c r="R2051" s="47">
        <v>0.186</v>
      </c>
      <c r="S2051" s="47">
        <v>3.38</v>
      </c>
      <c r="T2051" s="31">
        <v>0</v>
      </c>
      <c r="V2051">
        <v>2049</v>
      </c>
      <c r="W2051">
        <v>33</v>
      </c>
      <c r="X2051">
        <v>2.09</v>
      </c>
      <c r="Y2051" s="32">
        <v>4</v>
      </c>
      <c r="Z2051">
        <v>0</v>
      </c>
      <c r="AA2051" s="32">
        <v>1.512</v>
      </c>
      <c r="AB2051">
        <v>0</v>
      </c>
      <c r="AC2051" s="34">
        <v>0.182</v>
      </c>
      <c r="AD2051" s="32">
        <v>3.1589999999999998</v>
      </c>
    </row>
    <row r="2052" spans="1:30">
      <c r="A2052">
        <v>2050</v>
      </c>
      <c r="B2052">
        <v>35</v>
      </c>
      <c r="C2052">
        <v>2.0790000000000002</v>
      </c>
      <c r="D2052">
        <v>4</v>
      </c>
      <c r="E2052">
        <v>0</v>
      </c>
      <c r="F2052">
        <v>1.6240000000000001</v>
      </c>
      <c r="G2052">
        <v>0</v>
      </c>
      <c r="H2052">
        <v>0.189</v>
      </c>
      <c r="I2052">
        <v>3.4980000000000002</v>
      </c>
      <c r="K2052">
        <v>2050</v>
      </c>
      <c r="L2052">
        <v>35</v>
      </c>
      <c r="M2052" s="32">
        <v>2.0790000000000002</v>
      </c>
      <c r="N2052" s="32">
        <v>4</v>
      </c>
      <c r="P2052" s="47">
        <v>1.627</v>
      </c>
      <c r="R2052" s="47">
        <v>0.186</v>
      </c>
      <c r="S2052" s="47">
        <v>3.3820000000000001</v>
      </c>
      <c r="T2052" s="31">
        <v>0</v>
      </c>
      <c r="V2052">
        <v>2050</v>
      </c>
      <c r="W2052">
        <v>33</v>
      </c>
      <c r="X2052">
        <v>2.0910000000000002</v>
      </c>
      <c r="Y2052" s="32">
        <v>4.0140000000000002</v>
      </c>
      <c r="Z2052">
        <v>0</v>
      </c>
      <c r="AA2052" s="32">
        <v>1.512</v>
      </c>
      <c r="AB2052">
        <v>0</v>
      </c>
      <c r="AC2052" s="34">
        <v>0.182</v>
      </c>
      <c r="AD2052" s="32">
        <v>3.161</v>
      </c>
    </row>
    <row r="2053" spans="1:30">
      <c r="A2053">
        <v>2051</v>
      </c>
      <c r="B2053">
        <v>35</v>
      </c>
      <c r="C2053">
        <v>2.08</v>
      </c>
      <c r="D2053">
        <v>4</v>
      </c>
      <c r="E2053">
        <v>0</v>
      </c>
      <c r="F2053">
        <v>1.627</v>
      </c>
      <c r="G2053">
        <v>0</v>
      </c>
      <c r="H2053">
        <v>0.189</v>
      </c>
      <c r="I2053">
        <v>3.3839999999999999</v>
      </c>
      <c r="K2053">
        <v>2051</v>
      </c>
      <c r="L2053">
        <v>35</v>
      </c>
      <c r="M2053" s="32">
        <v>2.08</v>
      </c>
      <c r="N2053" s="32">
        <v>4</v>
      </c>
      <c r="P2053" s="32">
        <v>1.627</v>
      </c>
      <c r="R2053" s="47">
        <v>0.186</v>
      </c>
      <c r="S2053" s="32">
        <v>3.3839999999999999</v>
      </c>
      <c r="T2053" s="31">
        <v>0</v>
      </c>
      <c r="V2053">
        <v>2051</v>
      </c>
      <c r="W2053">
        <v>34</v>
      </c>
      <c r="X2053">
        <v>2.0920000000000001</v>
      </c>
      <c r="Y2053" s="32">
        <v>4.0279999999999996</v>
      </c>
      <c r="Z2053">
        <v>0</v>
      </c>
      <c r="AA2053" s="32">
        <v>1.512</v>
      </c>
      <c r="AB2053">
        <v>0</v>
      </c>
      <c r="AC2053" s="34">
        <v>0.182</v>
      </c>
      <c r="AD2053" s="32">
        <v>3.1629999999999998</v>
      </c>
    </row>
    <row r="2054" spans="1:30">
      <c r="A2054">
        <v>2052</v>
      </c>
      <c r="B2054">
        <v>35</v>
      </c>
      <c r="C2054">
        <v>2.081</v>
      </c>
      <c r="D2054">
        <v>4</v>
      </c>
      <c r="E2054">
        <v>0</v>
      </c>
      <c r="F2054">
        <v>1.627</v>
      </c>
      <c r="G2054">
        <v>0</v>
      </c>
      <c r="H2054">
        <v>0.189</v>
      </c>
      <c r="I2054">
        <v>3.5249999999999999</v>
      </c>
      <c r="K2054">
        <v>2052</v>
      </c>
      <c r="L2054">
        <v>35</v>
      </c>
      <c r="M2054" s="32">
        <v>2.081</v>
      </c>
      <c r="N2054" s="32">
        <v>4</v>
      </c>
      <c r="P2054" s="32">
        <v>1.627</v>
      </c>
      <c r="R2054" s="47">
        <v>0.186</v>
      </c>
      <c r="S2054" s="47">
        <v>3.3860000000000001</v>
      </c>
      <c r="T2054" s="31">
        <v>0</v>
      </c>
      <c r="V2054">
        <v>2052</v>
      </c>
      <c r="W2054">
        <v>34</v>
      </c>
      <c r="X2054">
        <v>2.093</v>
      </c>
      <c r="Y2054" s="32">
        <v>4.0419999999999998</v>
      </c>
      <c r="Z2054">
        <v>0</v>
      </c>
      <c r="AA2054" s="32">
        <v>1.512</v>
      </c>
      <c r="AB2054">
        <v>0</v>
      </c>
      <c r="AC2054" s="34">
        <v>0.182</v>
      </c>
      <c r="AD2054" s="32">
        <v>3.165</v>
      </c>
    </row>
    <row r="2055" spans="1:30">
      <c r="A2055">
        <v>2053</v>
      </c>
      <c r="B2055">
        <v>35</v>
      </c>
      <c r="C2055">
        <v>2.0819999999999999</v>
      </c>
      <c r="D2055">
        <v>4</v>
      </c>
      <c r="E2055">
        <v>0</v>
      </c>
      <c r="F2055">
        <v>1.627</v>
      </c>
      <c r="G2055">
        <v>0</v>
      </c>
      <c r="H2055">
        <v>0.189</v>
      </c>
      <c r="I2055">
        <v>3.5270000000000001</v>
      </c>
      <c r="K2055">
        <v>2053</v>
      </c>
      <c r="L2055">
        <v>35</v>
      </c>
      <c r="M2055" s="32">
        <v>2.0819999999999999</v>
      </c>
      <c r="N2055" s="32">
        <v>4</v>
      </c>
      <c r="P2055" s="32">
        <v>1.627</v>
      </c>
      <c r="R2055" s="47">
        <v>0.186</v>
      </c>
      <c r="S2055" s="47">
        <v>3.3879999999999999</v>
      </c>
      <c r="T2055" s="31">
        <v>0</v>
      </c>
      <c r="V2055">
        <v>2053</v>
      </c>
      <c r="W2055">
        <v>34</v>
      </c>
      <c r="X2055">
        <v>2.0939999999999999</v>
      </c>
      <c r="Y2055" s="32">
        <v>4.056</v>
      </c>
      <c r="Z2055">
        <v>0</v>
      </c>
      <c r="AA2055" s="32">
        <v>1.512</v>
      </c>
      <c r="AB2055">
        <v>0</v>
      </c>
      <c r="AC2055" s="34">
        <v>0.182</v>
      </c>
      <c r="AD2055" s="32">
        <v>3.1669999999999998</v>
      </c>
    </row>
    <row r="2056" spans="1:30">
      <c r="A2056">
        <v>2054</v>
      </c>
      <c r="B2056">
        <v>35</v>
      </c>
      <c r="C2056">
        <v>2.0830000000000002</v>
      </c>
      <c r="D2056">
        <v>4</v>
      </c>
      <c r="E2056">
        <v>0</v>
      </c>
      <c r="F2056">
        <v>1.627</v>
      </c>
      <c r="G2056">
        <v>0</v>
      </c>
      <c r="H2056">
        <v>0.189</v>
      </c>
      <c r="I2056">
        <v>3.53</v>
      </c>
      <c r="K2056">
        <v>2054</v>
      </c>
      <c r="L2056">
        <v>35</v>
      </c>
      <c r="M2056" s="32">
        <v>2.0830000000000002</v>
      </c>
      <c r="N2056" s="32">
        <v>4</v>
      </c>
      <c r="P2056" s="47">
        <v>1.6279999999999999</v>
      </c>
      <c r="R2056" s="47">
        <v>0.186</v>
      </c>
      <c r="S2056" s="47">
        <v>3.39</v>
      </c>
      <c r="T2056" s="31">
        <v>0</v>
      </c>
      <c r="V2056">
        <v>2054</v>
      </c>
      <c r="W2056">
        <v>34</v>
      </c>
      <c r="X2056">
        <v>2.0950000000000002</v>
      </c>
      <c r="Y2056" s="32">
        <v>4.07</v>
      </c>
      <c r="Z2056">
        <v>0</v>
      </c>
      <c r="AA2056" s="32">
        <v>1.5129999999999999</v>
      </c>
      <c r="AB2056">
        <v>0</v>
      </c>
      <c r="AC2056" s="34">
        <v>0.182</v>
      </c>
      <c r="AD2056" s="32">
        <v>3.169</v>
      </c>
    </row>
    <row r="2057" spans="1:30">
      <c r="A2057">
        <v>2055</v>
      </c>
      <c r="B2057">
        <v>35</v>
      </c>
      <c r="C2057">
        <v>2.0840000000000001</v>
      </c>
      <c r="D2057">
        <v>4</v>
      </c>
      <c r="E2057">
        <v>0</v>
      </c>
      <c r="F2057">
        <v>1.627</v>
      </c>
      <c r="G2057">
        <v>0</v>
      </c>
      <c r="H2057">
        <v>0.189</v>
      </c>
      <c r="I2057">
        <v>3.532</v>
      </c>
      <c r="K2057">
        <v>2055</v>
      </c>
      <c r="L2057">
        <v>35</v>
      </c>
      <c r="M2057" s="32">
        <v>2.0840000000000001</v>
      </c>
      <c r="N2057" s="32">
        <v>4</v>
      </c>
      <c r="P2057" s="47">
        <v>1.6279999999999999</v>
      </c>
      <c r="R2057" s="47">
        <v>0.186</v>
      </c>
      <c r="S2057" s="47">
        <v>3.3919999999999999</v>
      </c>
      <c r="T2057" s="31">
        <v>0</v>
      </c>
      <c r="V2057">
        <v>2055</v>
      </c>
      <c r="W2057">
        <v>34</v>
      </c>
      <c r="X2057">
        <v>2.0960000000000001</v>
      </c>
      <c r="Y2057" s="32">
        <v>4.0839999999999996</v>
      </c>
      <c r="Z2057">
        <v>0</v>
      </c>
      <c r="AA2057" s="32">
        <v>1.5129999999999999</v>
      </c>
      <c r="AB2057">
        <v>0</v>
      </c>
      <c r="AC2057" s="34">
        <v>0.182</v>
      </c>
      <c r="AD2057" s="32">
        <v>3.1709999999999998</v>
      </c>
    </row>
    <row r="2058" spans="1:30">
      <c r="A2058">
        <v>2056</v>
      </c>
      <c r="B2058">
        <v>35</v>
      </c>
      <c r="C2058">
        <v>2.085</v>
      </c>
      <c r="D2058">
        <v>4</v>
      </c>
      <c r="E2058">
        <v>0</v>
      </c>
      <c r="F2058">
        <v>1.627</v>
      </c>
      <c r="G2058">
        <v>0</v>
      </c>
      <c r="H2058">
        <v>0.189</v>
      </c>
      <c r="I2058">
        <v>3.5339999999999998</v>
      </c>
      <c r="K2058">
        <v>2056</v>
      </c>
      <c r="L2058">
        <v>35</v>
      </c>
      <c r="M2058" s="32">
        <v>2.085</v>
      </c>
      <c r="N2058" s="32">
        <v>4</v>
      </c>
      <c r="P2058" s="47">
        <v>1.6279999999999999</v>
      </c>
      <c r="R2058" s="47">
        <v>0.186</v>
      </c>
      <c r="S2058" s="47">
        <v>3.395</v>
      </c>
      <c r="T2058" s="31">
        <v>0</v>
      </c>
      <c r="V2058">
        <v>2056</v>
      </c>
      <c r="W2058">
        <v>34</v>
      </c>
      <c r="X2058">
        <v>2.097</v>
      </c>
      <c r="Y2058" s="32">
        <v>4.0979999999999999</v>
      </c>
      <c r="Z2058">
        <v>0</v>
      </c>
      <c r="AA2058" s="32">
        <v>1.5129999999999999</v>
      </c>
      <c r="AB2058">
        <v>0</v>
      </c>
      <c r="AC2058" s="34">
        <v>0.182</v>
      </c>
      <c r="AD2058" s="32">
        <v>3.173</v>
      </c>
    </row>
    <row r="2059" spans="1:30">
      <c r="A2059">
        <v>2057</v>
      </c>
      <c r="B2059">
        <v>35</v>
      </c>
      <c r="C2059">
        <v>2.0859999999999999</v>
      </c>
      <c r="D2059">
        <v>4</v>
      </c>
      <c r="E2059">
        <v>0</v>
      </c>
      <c r="F2059">
        <v>1.627</v>
      </c>
      <c r="G2059">
        <v>0</v>
      </c>
      <c r="H2059">
        <v>0.189</v>
      </c>
      <c r="I2059">
        <v>3.5369999999999999</v>
      </c>
      <c r="K2059">
        <v>2057</v>
      </c>
      <c r="L2059">
        <v>35</v>
      </c>
      <c r="M2059" s="32">
        <v>2.0859999999999999</v>
      </c>
      <c r="N2059" s="32">
        <v>4</v>
      </c>
      <c r="P2059" s="47">
        <v>1.6279999999999999</v>
      </c>
      <c r="R2059" s="47">
        <v>0.186</v>
      </c>
      <c r="S2059" s="47">
        <v>3.3969999999999998</v>
      </c>
      <c r="T2059" s="31">
        <v>0</v>
      </c>
      <c r="V2059">
        <v>2057</v>
      </c>
      <c r="W2059">
        <v>34</v>
      </c>
      <c r="X2059">
        <v>2.0979999999999999</v>
      </c>
      <c r="Y2059" s="32">
        <v>4.1120000000000001</v>
      </c>
      <c r="Z2059">
        <v>0</v>
      </c>
      <c r="AA2059" s="32">
        <v>1.5129999999999999</v>
      </c>
      <c r="AB2059">
        <v>0</v>
      </c>
      <c r="AC2059" s="34">
        <v>0.182</v>
      </c>
      <c r="AD2059" s="32">
        <v>3.1739999999999999</v>
      </c>
    </row>
    <row r="2060" spans="1:30">
      <c r="A2060">
        <v>2058</v>
      </c>
      <c r="B2060">
        <v>35</v>
      </c>
      <c r="C2060">
        <v>2.0870000000000002</v>
      </c>
      <c r="D2060">
        <v>4</v>
      </c>
      <c r="E2060">
        <v>0</v>
      </c>
      <c r="F2060">
        <v>1.627</v>
      </c>
      <c r="G2060">
        <v>0</v>
      </c>
      <c r="H2060">
        <v>0.189</v>
      </c>
      <c r="I2060">
        <v>3.5390000000000001</v>
      </c>
      <c r="K2060">
        <v>2058</v>
      </c>
      <c r="L2060">
        <v>35</v>
      </c>
      <c r="M2060" s="32">
        <v>2.0870000000000002</v>
      </c>
      <c r="N2060" s="32">
        <v>4</v>
      </c>
      <c r="P2060" s="47">
        <v>1.6279999999999999</v>
      </c>
      <c r="R2060" s="47">
        <v>0.186</v>
      </c>
      <c r="S2060" s="47">
        <v>3.399</v>
      </c>
      <c r="T2060" s="31">
        <v>0</v>
      </c>
      <c r="V2060">
        <v>2058</v>
      </c>
      <c r="W2060">
        <v>34</v>
      </c>
      <c r="X2060">
        <v>2.0990000000000002</v>
      </c>
      <c r="Y2060" s="32">
        <v>4.1260000000000003</v>
      </c>
      <c r="Z2060">
        <v>0</v>
      </c>
      <c r="AA2060" s="32">
        <v>1.5129999999999999</v>
      </c>
      <c r="AB2060">
        <v>0</v>
      </c>
      <c r="AC2060" s="34">
        <v>0.182</v>
      </c>
      <c r="AD2060" s="32">
        <v>3.1760000000000002</v>
      </c>
    </row>
    <row r="2061" spans="1:30">
      <c r="A2061">
        <v>2059</v>
      </c>
      <c r="B2061">
        <v>35</v>
      </c>
      <c r="C2061">
        <v>2.0880000000000001</v>
      </c>
      <c r="D2061">
        <v>4</v>
      </c>
      <c r="E2061">
        <v>0</v>
      </c>
      <c r="F2061">
        <v>1.627</v>
      </c>
      <c r="G2061">
        <v>0</v>
      </c>
      <c r="H2061">
        <v>0.189</v>
      </c>
      <c r="I2061">
        <v>3.5409999999999999</v>
      </c>
      <c r="K2061">
        <v>2059</v>
      </c>
      <c r="L2061">
        <v>35</v>
      </c>
      <c r="M2061" s="32">
        <v>2.0880000000000001</v>
      </c>
      <c r="N2061" s="32">
        <v>4</v>
      </c>
      <c r="P2061" s="47">
        <v>1.629</v>
      </c>
      <c r="R2061" s="47">
        <v>0.186</v>
      </c>
      <c r="S2061" s="47">
        <v>3.4009999999999998</v>
      </c>
      <c r="T2061" s="31">
        <v>0</v>
      </c>
      <c r="V2061">
        <v>2059</v>
      </c>
      <c r="W2061">
        <v>34</v>
      </c>
      <c r="X2061">
        <v>2.1</v>
      </c>
      <c r="Y2061" s="32">
        <v>4.1399999999999997</v>
      </c>
      <c r="Z2061">
        <v>0</v>
      </c>
      <c r="AA2061" s="32">
        <v>1.5129999999999999</v>
      </c>
      <c r="AB2061">
        <v>0</v>
      </c>
      <c r="AC2061" s="34">
        <v>0.183</v>
      </c>
      <c r="AD2061" s="32">
        <v>3.1779999999999999</v>
      </c>
    </row>
    <row r="2062" spans="1:30">
      <c r="A2062">
        <v>2060</v>
      </c>
      <c r="B2062">
        <v>35</v>
      </c>
      <c r="C2062">
        <v>2.089</v>
      </c>
      <c r="D2062">
        <v>4</v>
      </c>
      <c r="E2062">
        <v>0</v>
      </c>
      <c r="F2062">
        <v>1.627</v>
      </c>
      <c r="G2062">
        <v>0</v>
      </c>
      <c r="H2062">
        <v>0.189</v>
      </c>
      <c r="I2062">
        <v>3.544</v>
      </c>
      <c r="K2062">
        <v>2060</v>
      </c>
      <c r="L2062">
        <v>35</v>
      </c>
      <c r="M2062" s="32">
        <v>2.089</v>
      </c>
      <c r="N2062" s="32">
        <v>4</v>
      </c>
      <c r="P2062" s="47">
        <v>1.629</v>
      </c>
      <c r="R2062" s="47">
        <v>0.186</v>
      </c>
      <c r="S2062" s="47">
        <v>3.403</v>
      </c>
      <c r="T2062" s="31">
        <v>0</v>
      </c>
      <c r="V2062">
        <v>2060</v>
      </c>
      <c r="W2062">
        <v>34</v>
      </c>
      <c r="X2062">
        <v>2.101</v>
      </c>
      <c r="Y2062" s="32">
        <v>4.1399999999999997</v>
      </c>
      <c r="Z2062">
        <v>0</v>
      </c>
      <c r="AA2062" s="32">
        <v>1.514</v>
      </c>
      <c r="AB2062">
        <v>0</v>
      </c>
      <c r="AC2062" s="34">
        <v>0.183</v>
      </c>
      <c r="AD2062" s="32">
        <v>3.18</v>
      </c>
    </row>
    <row r="2063" spans="1:30">
      <c r="A2063">
        <v>2061</v>
      </c>
      <c r="B2063">
        <v>35</v>
      </c>
      <c r="C2063">
        <v>2.09</v>
      </c>
      <c r="D2063">
        <v>4</v>
      </c>
      <c r="E2063">
        <v>0</v>
      </c>
      <c r="F2063">
        <v>1.629</v>
      </c>
      <c r="G2063">
        <v>0</v>
      </c>
      <c r="H2063">
        <v>0.189</v>
      </c>
      <c r="I2063">
        <v>3.4049999999999998</v>
      </c>
      <c r="K2063">
        <v>2061</v>
      </c>
      <c r="L2063">
        <v>35</v>
      </c>
      <c r="M2063" s="32">
        <v>2.09</v>
      </c>
      <c r="N2063" s="32">
        <v>4</v>
      </c>
      <c r="P2063" s="32">
        <v>1.629</v>
      </c>
      <c r="R2063" s="47">
        <v>0.186</v>
      </c>
      <c r="S2063" s="32">
        <v>3.4049999999999998</v>
      </c>
      <c r="T2063" s="31">
        <v>0</v>
      </c>
      <c r="V2063">
        <v>2061</v>
      </c>
      <c r="W2063">
        <v>34</v>
      </c>
      <c r="X2063">
        <v>2.1019999999999999</v>
      </c>
      <c r="Y2063" s="32">
        <v>4.1399999999999997</v>
      </c>
      <c r="Z2063">
        <v>0</v>
      </c>
      <c r="AA2063" s="32">
        <v>1.514</v>
      </c>
      <c r="AB2063">
        <v>0</v>
      </c>
      <c r="AC2063" s="34">
        <v>0.183</v>
      </c>
      <c r="AD2063" s="32">
        <v>3.1819999999999999</v>
      </c>
    </row>
    <row r="2064" spans="1:30">
      <c r="A2064">
        <v>2062</v>
      </c>
      <c r="B2064">
        <v>35</v>
      </c>
      <c r="C2064">
        <v>2.0910000000000002</v>
      </c>
      <c r="D2064">
        <v>4</v>
      </c>
      <c r="E2064">
        <v>0</v>
      </c>
      <c r="F2064">
        <v>1.629</v>
      </c>
      <c r="G2064">
        <v>0</v>
      </c>
      <c r="H2064">
        <v>0.189</v>
      </c>
      <c r="I2064">
        <v>3.569</v>
      </c>
      <c r="K2064">
        <v>2062</v>
      </c>
      <c r="L2064">
        <v>35</v>
      </c>
      <c r="M2064" s="32">
        <v>2.0910000000000002</v>
      </c>
      <c r="N2064" s="47">
        <v>4.0140000000000002</v>
      </c>
      <c r="P2064" s="32">
        <v>1.629</v>
      </c>
      <c r="R2064" s="47">
        <v>0.185</v>
      </c>
      <c r="S2064" s="47">
        <v>3.4079999999999999</v>
      </c>
      <c r="T2064" s="31">
        <v>0</v>
      </c>
      <c r="V2064">
        <v>2062</v>
      </c>
      <c r="W2064">
        <v>34</v>
      </c>
      <c r="X2064">
        <v>2.1030000000000002</v>
      </c>
      <c r="Y2064" s="32">
        <v>4.1399999999999997</v>
      </c>
      <c r="Z2064">
        <v>0</v>
      </c>
      <c r="AA2064" s="32">
        <v>1.514</v>
      </c>
      <c r="AB2064">
        <v>0</v>
      </c>
      <c r="AC2064" s="34">
        <v>0.183</v>
      </c>
      <c r="AD2064" s="32">
        <v>3.1840000000000002</v>
      </c>
    </row>
    <row r="2065" spans="1:30">
      <c r="A2065">
        <v>2063</v>
      </c>
      <c r="B2065">
        <v>35</v>
      </c>
      <c r="C2065">
        <v>2.0920000000000001</v>
      </c>
      <c r="D2065">
        <v>4</v>
      </c>
      <c r="E2065">
        <v>0</v>
      </c>
      <c r="F2065">
        <v>1.629</v>
      </c>
      <c r="G2065">
        <v>0</v>
      </c>
      <c r="H2065">
        <v>0.189</v>
      </c>
      <c r="I2065">
        <v>3.5720000000000001</v>
      </c>
      <c r="K2065">
        <v>2063</v>
      </c>
      <c r="L2065">
        <v>35</v>
      </c>
      <c r="M2065" s="32">
        <v>2.0920000000000001</v>
      </c>
      <c r="N2065" s="47">
        <v>4.0279999999999996</v>
      </c>
      <c r="P2065" s="47">
        <v>1.63</v>
      </c>
      <c r="R2065" s="47">
        <v>0.185</v>
      </c>
      <c r="S2065" s="47">
        <v>3.411</v>
      </c>
      <c r="T2065" s="31">
        <v>0</v>
      </c>
      <c r="V2065">
        <v>2063</v>
      </c>
      <c r="W2065">
        <v>34</v>
      </c>
      <c r="X2065">
        <v>2.1040000000000001</v>
      </c>
      <c r="Y2065" s="32">
        <v>4.1399999999999997</v>
      </c>
      <c r="Z2065">
        <v>0</v>
      </c>
      <c r="AA2065" s="32">
        <v>1.514</v>
      </c>
      <c r="AB2065">
        <v>0</v>
      </c>
      <c r="AC2065" s="34">
        <v>0.183</v>
      </c>
      <c r="AD2065" s="32">
        <v>3.1859999999999999</v>
      </c>
    </row>
    <row r="2066" spans="1:30">
      <c r="A2066">
        <v>2064</v>
      </c>
      <c r="B2066">
        <v>35</v>
      </c>
      <c r="C2066">
        <v>2.093</v>
      </c>
      <c r="D2066">
        <v>4</v>
      </c>
      <c r="E2066">
        <v>0</v>
      </c>
      <c r="F2066">
        <v>1.629</v>
      </c>
      <c r="G2066">
        <v>0</v>
      </c>
      <c r="H2066">
        <v>0.189</v>
      </c>
      <c r="I2066">
        <v>3.5739999999999998</v>
      </c>
      <c r="K2066">
        <v>2064</v>
      </c>
      <c r="L2066">
        <v>35</v>
      </c>
      <c r="M2066" s="32">
        <v>2.093</v>
      </c>
      <c r="N2066" s="47">
        <v>4.0419999999999998</v>
      </c>
      <c r="P2066" s="47">
        <v>1.63</v>
      </c>
      <c r="R2066" s="47">
        <v>0.185</v>
      </c>
      <c r="S2066" s="47">
        <v>3.4140000000000001</v>
      </c>
      <c r="T2066" s="31">
        <v>0</v>
      </c>
      <c r="V2066">
        <v>2064</v>
      </c>
      <c r="W2066">
        <v>34</v>
      </c>
      <c r="X2066">
        <v>2.105</v>
      </c>
      <c r="Y2066" s="32">
        <v>4.1399999999999997</v>
      </c>
      <c r="Z2066">
        <v>0</v>
      </c>
      <c r="AA2066" s="32">
        <v>1.514</v>
      </c>
      <c r="AB2066">
        <v>0</v>
      </c>
      <c r="AC2066" s="34">
        <v>0.183</v>
      </c>
      <c r="AD2066" s="32">
        <v>3.1880000000000002</v>
      </c>
    </row>
    <row r="2067" spans="1:30">
      <c r="A2067">
        <v>2065</v>
      </c>
      <c r="B2067">
        <v>35</v>
      </c>
      <c r="C2067">
        <v>2.0939999999999999</v>
      </c>
      <c r="D2067">
        <v>4</v>
      </c>
      <c r="E2067">
        <v>0</v>
      </c>
      <c r="F2067">
        <v>1.629</v>
      </c>
      <c r="G2067">
        <v>0</v>
      </c>
      <c r="H2067">
        <v>0.189</v>
      </c>
      <c r="I2067">
        <v>3.5760000000000001</v>
      </c>
      <c r="K2067">
        <v>2065</v>
      </c>
      <c r="L2067">
        <v>35</v>
      </c>
      <c r="M2067" s="32">
        <v>2.0939999999999999</v>
      </c>
      <c r="N2067" s="47">
        <v>4.056</v>
      </c>
      <c r="P2067" s="47">
        <v>1.63</v>
      </c>
      <c r="R2067" s="47">
        <v>0.185</v>
      </c>
      <c r="S2067" s="47">
        <v>3.4169999999999998</v>
      </c>
      <c r="T2067" s="31">
        <v>0</v>
      </c>
      <c r="V2067">
        <v>2065</v>
      </c>
      <c r="W2067">
        <v>34</v>
      </c>
      <c r="X2067">
        <v>2.1059999999999999</v>
      </c>
      <c r="Y2067" s="32">
        <v>4.1399999999999997</v>
      </c>
      <c r="Z2067">
        <v>0</v>
      </c>
      <c r="AA2067" s="32">
        <v>1.5149999999999999</v>
      </c>
      <c r="AB2067">
        <v>0</v>
      </c>
      <c r="AC2067" s="34">
        <v>0.183</v>
      </c>
      <c r="AD2067" s="32">
        <v>3.19</v>
      </c>
    </row>
    <row r="2068" spans="1:30">
      <c r="A2068">
        <v>2066</v>
      </c>
      <c r="B2068">
        <v>35</v>
      </c>
      <c r="C2068">
        <v>2.0950000000000002</v>
      </c>
      <c r="D2068">
        <v>4</v>
      </c>
      <c r="E2068">
        <v>0</v>
      </c>
      <c r="F2068">
        <v>1.629</v>
      </c>
      <c r="G2068">
        <v>0</v>
      </c>
      <c r="H2068">
        <v>0.189</v>
      </c>
      <c r="I2068">
        <v>3.5779999999999998</v>
      </c>
      <c r="K2068">
        <v>2066</v>
      </c>
      <c r="L2068">
        <v>35</v>
      </c>
      <c r="M2068" s="32">
        <v>2.0950000000000002</v>
      </c>
      <c r="N2068" s="47">
        <v>4.07</v>
      </c>
      <c r="P2068" s="47">
        <v>1.631</v>
      </c>
      <c r="R2068" s="47">
        <v>0.185</v>
      </c>
      <c r="S2068" s="47">
        <v>3.42</v>
      </c>
      <c r="T2068" s="31">
        <v>0</v>
      </c>
      <c r="V2068">
        <v>2066</v>
      </c>
      <c r="W2068">
        <v>34</v>
      </c>
      <c r="X2068">
        <v>2.1070000000000002</v>
      </c>
      <c r="Y2068" s="32">
        <v>4.1399999999999997</v>
      </c>
      <c r="Z2068">
        <v>0</v>
      </c>
      <c r="AA2068" s="32">
        <v>1.5149999999999999</v>
      </c>
      <c r="AB2068">
        <v>0</v>
      </c>
      <c r="AC2068" s="34">
        <v>0.183</v>
      </c>
      <c r="AD2068" s="32">
        <v>3.1920000000000002</v>
      </c>
    </row>
    <row r="2069" spans="1:30">
      <c r="A2069">
        <v>2067</v>
      </c>
      <c r="B2069">
        <v>35</v>
      </c>
      <c r="C2069">
        <v>2.0960000000000001</v>
      </c>
      <c r="D2069">
        <v>4</v>
      </c>
      <c r="E2069">
        <v>0</v>
      </c>
      <c r="F2069">
        <v>1.629</v>
      </c>
      <c r="G2069">
        <v>0</v>
      </c>
      <c r="H2069">
        <v>0.189</v>
      </c>
      <c r="I2069">
        <v>3.581</v>
      </c>
      <c r="K2069">
        <v>2067</v>
      </c>
      <c r="L2069">
        <v>35</v>
      </c>
      <c r="M2069" s="32">
        <v>2.0960000000000001</v>
      </c>
      <c r="N2069" s="47">
        <v>4.0839999999999996</v>
      </c>
      <c r="P2069" s="47">
        <v>1.631</v>
      </c>
      <c r="R2069" s="47">
        <v>0.185</v>
      </c>
      <c r="S2069" s="47">
        <v>3.4220000000000002</v>
      </c>
      <c r="T2069" s="31">
        <v>0</v>
      </c>
      <c r="V2069">
        <v>2067</v>
      </c>
      <c r="W2069">
        <v>34</v>
      </c>
      <c r="X2069">
        <v>2.1080000000000001</v>
      </c>
      <c r="Y2069" s="32">
        <v>4.1399999999999997</v>
      </c>
      <c r="Z2069">
        <v>0</v>
      </c>
      <c r="AA2069" s="32">
        <v>1.5149999999999999</v>
      </c>
      <c r="AB2069">
        <v>0</v>
      </c>
      <c r="AC2069" s="34">
        <v>0.183</v>
      </c>
      <c r="AD2069" s="32">
        <v>3.194</v>
      </c>
    </row>
    <row r="2070" spans="1:30">
      <c r="A2070">
        <v>2068</v>
      </c>
      <c r="B2070">
        <v>35</v>
      </c>
      <c r="C2070">
        <v>2.097</v>
      </c>
      <c r="D2070">
        <v>4</v>
      </c>
      <c r="E2070">
        <v>0</v>
      </c>
      <c r="F2070">
        <v>1.629</v>
      </c>
      <c r="G2070">
        <v>0</v>
      </c>
      <c r="H2070">
        <v>0.189</v>
      </c>
      <c r="I2070">
        <v>3.5830000000000002</v>
      </c>
      <c r="K2070">
        <v>2068</v>
      </c>
      <c r="L2070">
        <v>35</v>
      </c>
      <c r="M2070" s="32">
        <v>2.097</v>
      </c>
      <c r="N2070" s="47">
        <v>4.0979999999999999</v>
      </c>
      <c r="P2070" s="47">
        <v>1.631</v>
      </c>
      <c r="R2070" s="47">
        <v>0.185</v>
      </c>
      <c r="S2070" s="47">
        <v>3.4249999999999998</v>
      </c>
      <c r="T2070" s="31">
        <v>0</v>
      </c>
      <c r="V2070">
        <v>2068</v>
      </c>
      <c r="W2070">
        <v>34</v>
      </c>
      <c r="X2070">
        <v>2.109</v>
      </c>
      <c r="Y2070" s="32">
        <v>4.1399999999999997</v>
      </c>
      <c r="Z2070">
        <v>0</v>
      </c>
      <c r="AA2070" s="32">
        <v>1.5149999999999999</v>
      </c>
      <c r="AB2070">
        <v>0</v>
      </c>
      <c r="AC2070" s="34">
        <v>0.183</v>
      </c>
      <c r="AD2070" s="32">
        <v>3.1949999999999998</v>
      </c>
    </row>
    <row r="2071" spans="1:30">
      <c r="A2071">
        <v>2069</v>
      </c>
      <c r="B2071">
        <v>35</v>
      </c>
      <c r="C2071">
        <v>2.0979999999999999</v>
      </c>
      <c r="D2071">
        <v>4</v>
      </c>
      <c r="E2071">
        <v>0</v>
      </c>
      <c r="F2071">
        <v>1.629</v>
      </c>
      <c r="G2071">
        <v>0</v>
      </c>
      <c r="H2071">
        <v>0.189</v>
      </c>
      <c r="I2071">
        <v>3.585</v>
      </c>
      <c r="K2071">
        <v>2069</v>
      </c>
      <c r="L2071">
        <v>35</v>
      </c>
      <c r="M2071" s="32">
        <v>2.0979999999999999</v>
      </c>
      <c r="N2071" s="47">
        <v>4.1120000000000001</v>
      </c>
      <c r="P2071" s="47">
        <v>1.631</v>
      </c>
      <c r="R2071" s="47">
        <v>0.185</v>
      </c>
      <c r="S2071" s="47">
        <v>3.4279999999999999</v>
      </c>
      <c r="T2071" s="31">
        <v>0</v>
      </c>
      <c r="V2071">
        <v>2069</v>
      </c>
      <c r="W2071">
        <v>34</v>
      </c>
      <c r="X2071">
        <v>2.11</v>
      </c>
      <c r="Y2071" s="32">
        <v>4.1399999999999997</v>
      </c>
      <c r="Z2071">
        <v>0</v>
      </c>
      <c r="AA2071" s="32">
        <v>1.5149999999999999</v>
      </c>
      <c r="AB2071">
        <v>0</v>
      </c>
      <c r="AC2071" s="34">
        <v>0.183</v>
      </c>
      <c r="AD2071" s="32">
        <v>3.1970000000000001</v>
      </c>
    </row>
    <row r="2072" spans="1:30">
      <c r="A2072">
        <v>2070</v>
      </c>
      <c r="B2072">
        <v>35</v>
      </c>
      <c r="C2072">
        <v>2.0990000000000002</v>
      </c>
      <c r="D2072">
        <v>4</v>
      </c>
      <c r="E2072">
        <v>0</v>
      </c>
      <c r="F2072">
        <v>1.629</v>
      </c>
      <c r="G2072">
        <v>0</v>
      </c>
      <c r="H2072">
        <v>0.189</v>
      </c>
      <c r="I2072">
        <v>3.5880000000000001</v>
      </c>
      <c r="K2072">
        <v>2070</v>
      </c>
      <c r="L2072">
        <v>35</v>
      </c>
      <c r="M2072" s="32">
        <v>2.0990000000000002</v>
      </c>
      <c r="N2072" s="47">
        <v>4.1260000000000003</v>
      </c>
      <c r="P2072" s="47">
        <v>1.6319999999999999</v>
      </c>
      <c r="R2072" s="47">
        <v>0.185</v>
      </c>
      <c r="S2072" s="47">
        <v>3.431</v>
      </c>
      <c r="T2072" s="31">
        <v>0</v>
      </c>
      <c r="V2072">
        <v>2070</v>
      </c>
      <c r="W2072">
        <v>34</v>
      </c>
      <c r="X2072">
        <v>2.1110000000000002</v>
      </c>
      <c r="Y2072" s="32">
        <v>4.1399999999999997</v>
      </c>
      <c r="Z2072">
        <v>0</v>
      </c>
      <c r="AA2072" s="32">
        <v>1.5149999999999999</v>
      </c>
      <c r="AB2072">
        <v>0</v>
      </c>
      <c r="AC2072" s="34">
        <v>0.183</v>
      </c>
      <c r="AD2072" s="32">
        <v>3.1989999999999998</v>
      </c>
    </row>
    <row r="2073" spans="1:30">
      <c r="A2073">
        <v>2071</v>
      </c>
      <c r="B2073">
        <v>36</v>
      </c>
      <c r="C2073">
        <v>2.1</v>
      </c>
      <c r="D2073">
        <v>4.1399999999999997</v>
      </c>
      <c r="E2073">
        <v>0</v>
      </c>
      <c r="F2073">
        <v>1.6319999999999999</v>
      </c>
      <c r="G2073">
        <v>0</v>
      </c>
      <c r="H2073">
        <v>0.185</v>
      </c>
      <c r="I2073">
        <v>3.4340000000000002</v>
      </c>
      <c r="K2073">
        <v>2071</v>
      </c>
      <c r="L2073">
        <v>36</v>
      </c>
      <c r="M2073" s="32">
        <v>2.1</v>
      </c>
      <c r="N2073" s="32">
        <v>4.1399999999999997</v>
      </c>
      <c r="P2073" s="32">
        <v>1.6319999999999999</v>
      </c>
      <c r="R2073" s="32">
        <v>0.185</v>
      </c>
      <c r="S2073" s="32">
        <v>3.4340000000000002</v>
      </c>
      <c r="T2073" s="31">
        <v>0</v>
      </c>
      <c r="V2073">
        <v>2071</v>
      </c>
      <c r="W2073">
        <v>34</v>
      </c>
      <c r="X2073">
        <v>2.1120000000000001</v>
      </c>
      <c r="Y2073" s="32">
        <v>4.1399999999999997</v>
      </c>
      <c r="Z2073">
        <v>0</v>
      </c>
      <c r="AA2073" s="32">
        <v>1.516</v>
      </c>
      <c r="AB2073">
        <v>0</v>
      </c>
      <c r="AC2073" s="34">
        <v>0.183</v>
      </c>
      <c r="AD2073" s="32">
        <v>3.2010000000000001</v>
      </c>
    </row>
    <row r="2074" spans="1:30">
      <c r="A2074">
        <v>2072</v>
      </c>
      <c r="B2074">
        <v>36</v>
      </c>
      <c r="C2074">
        <v>2.101</v>
      </c>
      <c r="D2074">
        <v>4.1399999999999997</v>
      </c>
      <c r="E2074">
        <v>0</v>
      </c>
      <c r="F2074">
        <v>1.6319999999999999</v>
      </c>
      <c r="G2074">
        <v>0</v>
      </c>
      <c r="H2074">
        <v>0.185</v>
      </c>
      <c r="I2074">
        <v>3.4359999999999999</v>
      </c>
      <c r="K2074">
        <v>2072</v>
      </c>
      <c r="L2074">
        <v>36</v>
      </c>
      <c r="M2074" s="32">
        <v>2.101</v>
      </c>
      <c r="N2074" s="32">
        <v>4.1399999999999997</v>
      </c>
      <c r="P2074" s="32">
        <v>1.6319999999999999</v>
      </c>
      <c r="R2074" s="32">
        <v>0.185</v>
      </c>
      <c r="S2074" s="47">
        <v>3.4350000000000001</v>
      </c>
      <c r="T2074" s="31">
        <v>0</v>
      </c>
      <c r="V2074">
        <v>2072</v>
      </c>
      <c r="W2074">
        <v>34</v>
      </c>
      <c r="X2074">
        <v>2.113</v>
      </c>
      <c r="Y2074" s="32">
        <v>4.1399999999999997</v>
      </c>
      <c r="Z2074">
        <v>0</v>
      </c>
      <c r="AA2074" s="32">
        <v>1.516</v>
      </c>
      <c r="AB2074">
        <v>0</v>
      </c>
      <c r="AC2074" s="34">
        <v>0.183</v>
      </c>
      <c r="AD2074" s="32">
        <v>3.2029999999999998</v>
      </c>
    </row>
    <row r="2075" spans="1:30">
      <c r="A2075">
        <v>2073</v>
      </c>
      <c r="B2075">
        <v>36</v>
      </c>
      <c r="C2075">
        <v>2.1019999999999999</v>
      </c>
      <c r="D2075">
        <v>4.1399999999999997</v>
      </c>
      <c r="E2075">
        <v>0</v>
      </c>
      <c r="F2075">
        <v>1.6319999999999999</v>
      </c>
      <c r="G2075">
        <v>0</v>
      </c>
      <c r="H2075">
        <v>0.185</v>
      </c>
      <c r="I2075">
        <v>3.4380000000000002</v>
      </c>
      <c r="K2075">
        <v>2073</v>
      </c>
      <c r="L2075">
        <v>36</v>
      </c>
      <c r="M2075" s="32">
        <v>2.1019999999999999</v>
      </c>
      <c r="N2075" s="32">
        <v>4.1399999999999997</v>
      </c>
      <c r="P2075" s="32">
        <v>1.6319999999999999</v>
      </c>
      <c r="R2075" s="32">
        <v>0.185</v>
      </c>
      <c r="S2075" s="47">
        <v>3.4369999999999998</v>
      </c>
      <c r="T2075" s="31">
        <v>0</v>
      </c>
      <c r="V2075">
        <v>2073</v>
      </c>
      <c r="W2075">
        <v>34</v>
      </c>
      <c r="X2075">
        <v>2.1139999999999999</v>
      </c>
      <c r="Y2075" s="32">
        <v>4.1399999999999997</v>
      </c>
      <c r="Z2075">
        <v>0</v>
      </c>
      <c r="AA2075" s="32">
        <v>1.516</v>
      </c>
      <c r="AB2075">
        <v>0</v>
      </c>
      <c r="AC2075" s="34">
        <v>0.184</v>
      </c>
      <c r="AD2075" s="32">
        <v>3.2050000000000001</v>
      </c>
    </row>
    <row r="2076" spans="1:30">
      <c r="A2076">
        <v>2074</v>
      </c>
      <c r="B2076">
        <v>36</v>
      </c>
      <c r="C2076">
        <v>2.1030000000000002</v>
      </c>
      <c r="D2076">
        <v>4.1500000000000004</v>
      </c>
      <c r="E2076">
        <v>0</v>
      </c>
      <c r="F2076">
        <v>1.633</v>
      </c>
      <c r="G2076">
        <v>0</v>
      </c>
      <c r="H2076">
        <v>0.185</v>
      </c>
      <c r="I2076">
        <v>3.44</v>
      </c>
      <c r="K2076">
        <v>2074</v>
      </c>
      <c r="L2076">
        <v>36</v>
      </c>
      <c r="M2076" s="32">
        <v>2.1030000000000002</v>
      </c>
      <c r="N2076" s="47">
        <v>4.1399999999999997</v>
      </c>
      <c r="P2076" s="32">
        <v>1.633</v>
      </c>
      <c r="R2076" s="32">
        <v>0.185</v>
      </c>
      <c r="S2076" s="47">
        <v>3.4380000000000002</v>
      </c>
      <c r="T2076" s="31">
        <v>0</v>
      </c>
      <c r="V2076">
        <v>2074</v>
      </c>
      <c r="W2076">
        <v>34</v>
      </c>
      <c r="X2076">
        <v>2.1150000000000002</v>
      </c>
      <c r="Y2076" s="32">
        <v>4.1399999999999997</v>
      </c>
      <c r="Z2076">
        <v>0</v>
      </c>
      <c r="AA2076" s="32">
        <v>1.516</v>
      </c>
      <c r="AB2076">
        <v>0</v>
      </c>
      <c r="AC2076" s="34">
        <v>0.184</v>
      </c>
      <c r="AD2076" s="32">
        <v>3.2069999999999999</v>
      </c>
    </row>
    <row r="2077" spans="1:30">
      <c r="A2077">
        <v>2075</v>
      </c>
      <c r="B2077">
        <v>36</v>
      </c>
      <c r="C2077">
        <v>2.1040000000000001</v>
      </c>
      <c r="D2077">
        <v>4.1500000000000004</v>
      </c>
      <c r="E2077">
        <v>0</v>
      </c>
      <c r="F2077">
        <v>1.633</v>
      </c>
      <c r="G2077">
        <v>0</v>
      </c>
      <c r="H2077">
        <v>0.185</v>
      </c>
      <c r="I2077">
        <v>3.4420000000000002</v>
      </c>
      <c r="K2077">
        <v>2075</v>
      </c>
      <c r="L2077">
        <v>36</v>
      </c>
      <c r="M2077" s="32">
        <v>2.1040000000000001</v>
      </c>
      <c r="N2077" s="47">
        <v>4.1399999999999997</v>
      </c>
      <c r="P2077" s="32">
        <v>1.633</v>
      </c>
      <c r="R2077" s="32">
        <v>0.185</v>
      </c>
      <c r="S2077" s="47">
        <v>3.44</v>
      </c>
      <c r="T2077" s="31">
        <v>0</v>
      </c>
      <c r="V2077">
        <v>2075</v>
      </c>
      <c r="W2077">
        <v>34</v>
      </c>
      <c r="X2077">
        <v>2.1160000000000001</v>
      </c>
      <c r="Y2077" s="32">
        <v>4.1399999999999997</v>
      </c>
      <c r="Z2077">
        <v>0</v>
      </c>
      <c r="AA2077" s="32">
        <v>1.516</v>
      </c>
      <c r="AB2077">
        <v>0</v>
      </c>
      <c r="AC2077" s="34">
        <v>0.184</v>
      </c>
      <c r="AD2077" s="32">
        <v>3.2090000000000001</v>
      </c>
    </row>
    <row r="2078" spans="1:30">
      <c r="A2078">
        <v>2076</v>
      </c>
      <c r="B2078">
        <v>36</v>
      </c>
      <c r="C2078">
        <v>2.105</v>
      </c>
      <c r="D2078">
        <v>4.1500000000000004</v>
      </c>
      <c r="E2078">
        <v>0</v>
      </c>
      <c r="F2078">
        <v>1.633</v>
      </c>
      <c r="G2078">
        <v>0</v>
      </c>
      <c r="H2078">
        <v>0.185</v>
      </c>
      <c r="I2078">
        <v>3.4449999999999998</v>
      </c>
      <c r="K2078">
        <v>2076</v>
      </c>
      <c r="L2078">
        <v>36</v>
      </c>
      <c r="M2078" s="32">
        <v>2.105</v>
      </c>
      <c r="N2078" s="47">
        <v>4.1399999999999997</v>
      </c>
      <c r="P2078" s="32">
        <v>1.633</v>
      </c>
      <c r="R2078" s="32">
        <v>0.185</v>
      </c>
      <c r="S2078" s="47">
        <v>3.4409999999999998</v>
      </c>
      <c r="T2078" s="31">
        <v>0</v>
      </c>
      <c r="V2078">
        <v>2076</v>
      </c>
      <c r="W2078">
        <v>34</v>
      </c>
      <c r="X2078">
        <v>2.117</v>
      </c>
      <c r="Y2078" s="32">
        <v>4.1399999999999997</v>
      </c>
      <c r="Z2078">
        <v>0</v>
      </c>
      <c r="AA2078" s="32">
        <v>1.5169999999999999</v>
      </c>
      <c r="AB2078">
        <v>0</v>
      </c>
      <c r="AC2078" s="34">
        <v>0.184</v>
      </c>
      <c r="AD2078" s="32">
        <v>3.2109999999999999</v>
      </c>
    </row>
    <row r="2079" spans="1:30">
      <c r="A2079">
        <v>2077</v>
      </c>
      <c r="B2079">
        <v>36</v>
      </c>
      <c r="C2079">
        <v>2.1059999999999999</v>
      </c>
      <c r="D2079">
        <v>4.1500000000000004</v>
      </c>
      <c r="E2079">
        <v>0</v>
      </c>
      <c r="F2079">
        <v>1.633</v>
      </c>
      <c r="G2079">
        <v>0</v>
      </c>
      <c r="H2079">
        <v>0.185</v>
      </c>
      <c r="I2079">
        <v>3.4470000000000001</v>
      </c>
      <c r="K2079">
        <v>2077</v>
      </c>
      <c r="L2079">
        <v>36</v>
      </c>
      <c r="M2079" s="32">
        <v>2.1059999999999999</v>
      </c>
      <c r="N2079" s="47">
        <v>4.1399999999999997</v>
      </c>
      <c r="P2079" s="32">
        <v>1.633</v>
      </c>
      <c r="R2079" s="32">
        <v>0.185</v>
      </c>
      <c r="S2079" s="47">
        <v>3.4420000000000002</v>
      </c>
      <c r="T2079" s="31">
        <v>0</v>
      </c>
      <c r="V2079">
        <v>2077</v>
      </c>
      <c r="W2079">
        <v>34</v>
      </c>
      <c r="X2079">
        <v>2.1179999999999999</v>
      </c>
      <c r="Y2079" s="32">
        <v>4.1399999999999997</v>
      </c>
      <c r="Z2079">
        <v>0</v>
      </c>
      <c r="AA2079" s="32">
        <v>1.5169999999999999</v>
      </c>
      <c r="AB2079">
        <v>0</v>
      </c>
      <c r="AC2079" s="34">
        <v>0.184</v>
      </c>
      <c r="AD2079" s="32">
        <v>3.2130000000000001</v>
      </c>
    </row>
    <row r="2080" spans="1:30">
      <c r="A2080">
        <v>2078</v>
      </c>
      <c r="B2080">
        <v>36</v>
      </c>
      <c r="C2080">
        <v>2.1070000000000002</v>
      </c>
      <c r="D2080">
        <v>4.1500000000000004</v>
      </c>
      <c r="E2080">
        <v>0</v>
      </c>
      <c r="F2080">
        <v>1.6339999999999999</v>
      </c>
      <c r="G2080">
        <v>0</v>
      </c>
      <c r="H2080">
        <v>0.185</v>
      </c>
      <c r="I2080">
        <v>3.4489999999999998</v>
      </c>
      <c r="K2080">
        <v>2078</v>
      </c>
      <c r="L2080">
        <v>36</v>
      </c>
      <c r="M2080" s="32">
        <v>2.1070000000000002</v>
      </c>
      <c r="N2080" s="47">
        <v>4.1399999999999997</v>
      </c>
      <c r="P2080" s="47">
        <v>1.633</v>
      </c>
      <c r="R2080" s="32">
        <v>0.185</v>
      </c>
      <c r="S2080" s="47">
        <v>3.444</v>
      </c>
      <c r="T2080" s="31">
        <v>0</v>
      </c>
      <c r="V2080">
        <v>2078</v>
      </c>
      <c r="W2080">
        <v>34</v>
      </c>
      <c r="X2080">
        <v>2.1190000000000002</v>
      </c>
      <c r="Y2080" s="32">
        <v>4.1399999999999997</v>
      </c>
      <c r="Z2080">
        <v>0</v>
      </c>
      <c r="AA2080" s="32">
        <v>1.5169999999999999</v>
      </c>
      <c r="AB2080">
        <v>0</v>
      </c>
      <c r="AC2080" s="34">
        <v>0.184</v>
      </c>
      <c r="AD2080" s="32">
        <v>3.2149999999999999</v>
      </c>
    </row>
    <row r="2081" spans="1:30">
      <c r="A2081">
        <v>2079</v>
      </c>
      <c r="B2081">
        <v>36</v>
      </c>
      <c r="C2081">
        <v>2.1080000000000001</v>
      </c>
      <c r="D2081">
        <v>4.16</v>
      </c>
      <c r="E2081">
        <v>0</v>
      </c>
      <c r="F2081">
        <v>1.6339999999999999</v>
      </c>
      <c r="G2081">
        <v>0</v>
      </c>
      <c r="H2081">
        <v>0.185</v>
      </c>
      <c r="I2081">
        <v>3.4510000000000001</v>
      </c>
      <c r="K2081">
        <v>2079</v>
      </c>
      <c r="L2081">
        <v>36</v>
      </c>
      <c r="M2081" s="32">
        <v>2.1080000000000001</v>
      </c>
      <c r="N2081" s="47">
        <v>4.1399999999999997</v>
      </c>
      <c r="P2081" s="32">
        <v>1.6339999999999999</v>
      </c>
      <c r="R2081" s="32">
        <v>0.185</v>
      </c>
      <c r="S2081" s="47">
        <v>3.4449999999999998</v>
      </c>
      <c r="T2081" s="31">
        <v>0</v>
      </c>
      <c r="V2081">
        <v>2079</v>
      </c>
      <c r="W2081">
        <v>34</v>
      </c>
      <c r="X2081">
        <v>2.12</v>
      </c>
      <c r="Y2081" s="32">
        <v>4.1399999999999997</v>
      </c>
      <c r="Z2081">
        <v>0</v>
      </c>
      <c r="AA2081" s="32">
        <v>1.5169999999999999</v>
      </c>
      <c r="AB2081">
        <v>0</v>
      </c>
      <c r="AC2081" s="34">
        <v>0.184</v>
      </c>
      <c r="AD2081" s="32">
        <v>3.2160000000000002</v>
      </c>
    </row>
    <row r="2082" spans="1:30">
      <c r="A2082">
        <v>2080</v>
      </c>
      <c r="B2082">
        <v>36</v>
      </c>
      <c r="C2082">
        <v>2.109</v>
      </c>
      <c r="D2082">
        <v>4.16</v>
      </c>
      <c r="E2082">
        <v>0</v>
      </c>
      <c r="F2082">
        <v>1.6339999999999999</v>
      </c>
      <c r="G2082">
        <v>0</v>
      </c>
      <c r="H2082">
        <v>0.185</v>
      </c>
      <c r="I2082">
        <v>3.4529999999999998</v>
      </c>
      <c r="K2082">
        <v>2080</v>
      </c>
      <c r="L2082">
        <v>36</v>
      </c>
      <c r="M2082" s="32">
        <v>2.109</v>
      </c>
      <c r="N2082" s="47">
        <v>4.1399999999999997</v>
      </c>
      <c r="P2082" s="32">
        <v>1.6339999999999999</v>
      </c>
      <c r="R2082" s="32">
        <v>0.185</v>
      </c>
      <c r="S2082" s="47">
        <v>3.4470000000000001</v>
      </c>
      <c r="T2082" s="31">
        <v>0</v>
      </c>
      <c r="V2082">
        <v>2080</v>
      </c>
      <c r="W2082">
        <v>34</v>
      </c>
      <c r="X2082">
        <v>2.121</v>
      </c>
      <c r="Y2082" s="32">
        <v>4.1399999999999997</v>
      </c>
      <c r="Z2082">
        <v>0</v>
      </c>
      <c r="AA2082" s="32">
        <v>1.5169999999999999</v>
      </c>
      <c r="AB2082">
        <v>0</v>
      </c>
      <c r="AC2082" s="34">
        <v>0.184</v>
      </c>
      <c r="AD2082" s="32">
        <v>3.218</v>
      </c>
    </row>
    <row r="2083" spans="1:30">
      <c r="A2083">
        <v>2081</v>
      </c>
      <c r="B2083">
        <v>36</v>
      </c>
      <c r="C2083">
        <v>2.11</v>
      </c>
      <c r="D2083">
        <v>4.1399999999999997</v>
      </c>
      <c r="E2083">
        <v>0</v>
      </c>
      <c r="F2083">
        <v>1.6339999999999999</v>
      </c>
      <c r="G2083">
        <v>0</v>
      </c>
      <c r="H2083">
        <v>0.185</v>
      </c>
      <c r="I2083">
        <v>3.448</v>
      </c>
      <c r="K2083">
        <v>2081</v>
      </c>
      <c r="L2083">
        <v>36</v>
      </c>
      <c r="M2083" s="32">
        <v>2.11</v>
      </c>
      <c r="N2083" s="32">
        <v>4.1399999999999997</v>
      </c>
      <c r="P2083" s="32">
        <v>1.6339999999999999</v>
      </c>
      <c r="R2083" s="32">
        <v>0.185</v>
      </c>
      <c r="S2083" s="32">
        <v>3.448</v>
      </c>
      <c r="T2083" s="31">
        <v>0</v>
      </c>
      <c r="V2083">
        <v>2081</v>
      </c>
      <c r="W2083">
        <v>34</v>
      </c>
      <c r="X2083">
        <v>2.1219999999999999</v>
      </c>
      <c r="Y2083" s="32">
        <v>4.1399999999999997</v>
      </c>
      <c r="Z2083">
        <v>0</v>
      </c>
      <c r="AA2083" s="32">
        <v>1.5169999999999999</v>
      </c>
      <c r="AB2083">
        <v>0</v>
      </c>
      <c r="AC2083" s="34">
        <v>0.184</v>
      </c>
      <c r="AD2083" s="32">
        <v>3.22</v>
      </c>
    </row>
    <row r="2084" spans="1:30">
      <c r="A2084">
        <v>2082</v>
      </c>
      <c r="B2084">
        <v>36</v>
      </c>
      <c r="C2084">
        <v>2.1110000000000002</v>
      </c>
      <c r="D2084">
        <v>4.1399999999999997</v>
      </c>
      <c r="E2084">
        <v>0</v>
      </c>
      <c r="F2084">
        <v>1.6339999999999999</v>
      </c>
      <c r="G2084">
        <v>0</v>
      </c>
      <c r="H2084">
        <v>0.185</v>
      </c>
      <c r="I2084">
        <v>3.4710000000000001</v>
      </c>
      <c r="K2084">
        <v>2082</v>
      </c>
      <c r="L2084">
        <v>36</v>
      </c>
      <c r="M2084" s="32">
        <v>2.1110000000000002</v>
      </c>
      <c r="N2084" s="32">
        <v>4.1399999999999997</v>
      </c>
      <c r="P2084" s="32">
        <v>1.6339999999999999</v>
      </c>
      <c r="R2084" s="32">
        <v>0.185</v>
      </c>
      <c r="S2084" s="47">
        <v>3.45</v>
      </c>
      <c r="T2084" s="31">
        <v>0</v>
      </c>
      <c r="V2084">
        <v>2082</v>
      </c>
      <c r="W2084">
        <v>34</v>
      </c>
      <c r="X2084">
        <v>2.1230000000000002</v>
      </c>
      <c r="Y2084" s="32">
        <v>4.1399999999999997</v>
      </c>
      <c r="Z2084">
        <v>0</v>
      </c>
      <c r="AA2084" s="32">
        <v>1.518</v>
      </c>
      <c r="AB2084">
        <v>0</v>
      </c>
      <c r="AC2084" s="34">
        <v>0.184</v>
      </c>
      <c r="AD2084" s="32">
        <v>3.222</v>
      </c>
    </row>
    <row r="2085" spans="1:30">
      <c r="A2085">
        <v>2083</v>
      </c>
      <c r="B2085">
        <v>36</v>
      </c>
      <c r="C2085">
        <v>2.1120000000000001</v>
      </c>
      <c r="D2085">
        <v>4.1399999999999997</v>
      </c>
      <c r="E2085">
        <v>0</v>
      </c>
      <c r="F2085">
        <v>1.6339999999999999</v>
      </c>
      <c r="G2085">
        <v>0</v>
      </c>
      <c r="H2085">
        <v>0.185</v>
      </c>
      <c r="I2085">
        <v>3.4729999999999999</v>
      </c>
      <c r="K2085">
        <v>2083</v>
      </c>
      <c r="L2085">
        <v>36</v>
      </c>
      <c r="M2085" s="32">
        <v>2.1120000000000001</v>
      </c>
      <c r="N2085" s="32">
        <v>4.1399999999999997</v>
      </c>
      <c r="P2085" s="47">
        <v>1.635</v>
      </c>
      <c r="R2085" s="47">
        <v>0.186</v>
      </c>
      <c r="S2085" s="47">
        <v>3.452</v>
      </c>
      <c r="T2085" s="31">
        <v>0</v>
      </c>
      <c r="V2085">
        <v>2083</v>
      </c>
      <c r="W2085">
        <v>34</v>
      </c>
      <c r="X2085">
        <v>2.1240000000000001</v>
      </c>
      <c r="Y2085" s="32">
        <v>4.1399999999999997</v>
      </c>
      <c r="Z2085">
        <v>0</v>
      </c>
      <c r="AA2085" s="32">
        <v>1.518</v>
      </c>
      <c r="AB2085">
        <v>0</v>
      </c>
      <c r="AC2085" s="34">
        <v>0.184</v>
      </c>
      <c r="AD2085" s="32">
        <v>3.2240000000000002</v>
      </c>
    </row>
    <row r="2086" spans="1:30">
      <c r="A2086">
        <v>2084</v>
      </c>
      <c r="B2086">
        <v>36</v>
      </c>
      <c r="C2086">
        <v>2.113</v>
      </c>
      <c r="D2086">
        <v>4.1399999999999997</v>
      </c>
      <c r="E2086">
        <v>0</v>
      </c>
      <c r="F2086">
        <v>1.6339999999999999</v>
      </c>
      <c r="G2086">
        <v>0</v>
      </c>
      <c r="H2086">
        <v>0.185</v>
      </c>
      <c r="I2086">
        <v>3.4750000000000001</v>
      </c>
      <c r="K2086">
        <v>2084</v>
      </c>
      <c r="L2086">
        <v>36</v>
      </c>
      <c r="M2086" s="32">
        <v>2.113</v>
      </c>
      <c r="N2086" s="32">
        <v>4.1399999999999997</v>
      </c>
      <c r="P2086" s="47">
        <v>1.635</v>
      </c>
      <c r="R2086" s="47">
        <v>0.186</v>
      </c>
      <c r="S2086" s="47">
        <v>3.4550000000000001</v>
      </c>
      <c r="T2086" s="31">
        <v>0</v>
      </c>
      <c r="V2086">
        <v>2084</v>
      </c>
      <c r="W2086">
        <v>34</v>
      </c>
      <c r="X2086">
        <v>2.125</v>
      </c>
      <c r="Y2086" s="32">
        <v>4.1399999999999997</v>
      </c>
      <c r="Z2086">
        <v>0</v>
      </c>
      <c r="AA2086" s="32">
        <v>1.518</v>
      </c>
      <c r="AB2086">
        <v>0</v>
      </c>
      <c r="AC2086" s="34">
        <v>0.184</v>
      </c>
      <c r="AD2086" s="32">
        <v>3.226</v>
      </c>
    </row>
    <row r="2087" spans="1:30">
      <c r="A2087">
        <v>2085</v>
      </c>
      <c r="B2087">
        <v>36</v>
      </c>
      <c r="C2087">
        <v>2.1139999999999999</v>
      </c>
      <c r="D2087">
        <v>4.1399999999999997</v>
      </c>
      <c r="E2087">
        <v>0</v>
      </c>
      <c r="F2087">
        <v>1.6339999999999999</v>
      </c>
      <c r="G2087">
        <v>0</v>
      </c>
      <c r="H2087">
        <v>0.185</v>
      </c>
      <c r="I2087">
        <v>3.4769999999999999</v>
      </c>
      <c r="K2087">
        <v>2085</v>
      </c>
      <c r="L2087">
        <v>36</v>
      </c>
      <c r="M2087" s="32">
        <v>2.1139999999999999</v>
      </c>
      <c r="N2087" s="32">
        <v>4.1399999999999997</v>
      </c>
      <c r="P2087" s="47">
        <v>1.635</v>
      </c>
      <c r="R2087" s="47">
        <v>0.186</v>
      </c>
      <c r="S2087" s="47">
        <v>3.4569999999999999</v>
      </c>
      <c r="T2087" s="31">
        <v>0</v>
      </c>
      <c r="V2087">
        <v>2085</v>
      </c>
      <c r="W2087">
        <v>34</v>
      </c>
      <c r="X2087">
        <v>2.1259999999999999</v>
      </c>
      <c r="Y2087" s="32">
        <v>4.1399999999999997</v>
      </c>
      <c r="Z2087">
        <v>0</v>
      </c>
      <c r="AA2087" s="32">
        <v>1.518</v>
      </c>
      <c r="AB2087">
        <v>0</v>
      </c>
      <c r="AC2087" s="34">
        <v>0.184</v>
      </c>
      <c r="AD2087" s="32">
        <v>3.2280000000000002</v>
      </c>
    </row>
    <row r="2088" spans="1:30">
      <c r="A2088">
        <v>2086</v>
      </c>
      <c r="B2088">
        <v>36</v>
      </c>
      <c r="C2088">
        <v>2.1150000000000002</v>
      </c>
      <c r="D2088">
        <v>4.1399999999999997</v>
      </c>
      <c r="E2088">
        <v>0</v>
      </c>
      <c r="F2088">
        <v>1.6339999999999999</v>
      </c>
      <c r="G2088">
        <v>0</v>
      </c>
      <c r="H2088">
        <v>0.185</v>
      </c>
      <c r="I2088">
        <v>3.48</v>
      </c>
      <c r="K2088">
        <v>2086</v>
      </c>
      <c r="L2088">
        <v>36</v>
      </c>
      <c r="M2088" s="32">
        <v>2.1150000000000002</v>
      </c>
      <c r="N2088" s="32">
        <v>4.1399999999999997</v>
      </c>
      <c r="P2088" s="47">
        <v>1.6359999999999999</v>
      </c>
      <c r="R2088" s="47">
        <v>0.186</v>
      </c>
      <c r="S2088" s="47">
        <v>3.4590000000000001</v>
      </c>
      <c r="T2088" s="31">
        <v>0</v>
      </c>
      <c r="V2088">
        <v>2086</v>
      </c>
      <c r="W2088">
        <v>34</v>
      </c>
      <c r="X2088">
        <v>2.1269999999999998</v>
      </c>
      <c r="Y2088" s="32">
        <v>4.1399999999999997</v>
      </c>
      <c r="Z2088">
        <v>0</v>
      </c>
      <c r="AA2088" s="32">
        <v>1.518</v>
      </c>
      <c r="AB2088">
        <v>0</v>
      </c>
      <c r="AC2088" s="34">
        <v>0.184</v>
      </c>
      <c r="AD2088" s="32">
        <v>3.23</v>
      </c>
    </row>
    <row r="2089" spans="1:30">
      <c r="A2089">
        <v>2087</v>
      </c>
      <c r="B2089">
        <v>36</v>
      </c>
      <c r="C2089">
        <v>2.1160000000000001</v>
      </c>
      <c r="D2089">
        <v>4.1399999999999997</v>
      </c>
      <c r="E2089">
        <v>0</v>
      </c>
      <c r="F2089">
        <v>1.6339999999999999</v>
      </c>
      <c r="G2089">
        <v>0</v>
      </c>
      <c r="H2089">
        <v>0.185</v>
      </c>
      <c r="I2089">
        <v>3.4820000000000002</v>
      </c>
      <c r="K2089">
        <v>2087</v>
      </c>
      <c r="L2089">
        <v>36</v>
      </c>
      <c r="M2089" s="32">
        <v>2.1160000000000001</v>
      </c>
      <c r="N2089" s="32">
        <v>4.1399999999999997</v>
      </c>
      <c r="P2089" s="47">
        <v>1.6359999999999999</v>
      </c>
      <c r="R2089" s="47">
        <v>0.186</v>
      </c>
      <c r="S2089" s="47">
        <v>3.4609999999999999</v>
      </c>
      <c r="T2089" s="31">
        <v>0</v>
      </c>
      <c r="V2089">
        <v>2087</v>
      </c>
      <c r="W2089">
        <v>34</v>
      </c>
      <c r="X2089">
        <v>2.1280000000000001</v>
      </c>
      <c r="Y2089" s="32">
        <v>4.1399999999999997</v>
      </c>
      <c r="Z2089">
        <v>0</v>
      </c>
      <c r="AA2089" s="32">
        <v>1.5189999999999999</v>
      </c>
      <c r="AB2089">
        <v>0</v>
      </c>
      <c r="AC2089" s="34">
        <v>0.185</v>
      </c>
      <c r="AD2089" s="32">
        <v>3.2320000000000002</v>
      </c>
    </row>
    <row r="2090" spans="1:30">
      <c r="A2090">
        <v>2088</v>
      </c>
      <c r="B2090">
        <v>36</v>
      </c>
      <c r="C2090">
        <v>2.117</v>
      </c>
      <c r="D2090">
        <v>4.1399999999999997</v>
      </c>
      <c r="E2090">
        <v>0</v>
      </c>
      <c r="F2090">
        <v>1.6339999999999999</v>
      </c>
      <c r="G2090">
        <v>0</v>
      </c>
      <c r="H2090">
        <v>0.185</v>
      </c>
      <c r="I2090">
        <v>3.484</v>
      </c>
      <c r="K2090">
        <v>2088</v>
      </c>
      <c r="L2090">
        <v>36</v>
      </c>
      <c r="M2090" s="32">
        <v>2.117</v>
      </c>
      <c r="N2090" s="32">
        <v>4.1399999999999997</v>
      </c>
      <c r="P2090" s="47">
        <v>1.6359999999999999</v>
      </c>
      <c r="R2090" s="47">
        <v>0.186</v>
      </c>
      <c r="S2090" s="47">
        <v>3.4630000000000001</v>
      </c>
      <c r="T2090" s="31">
        <v>0</v>
      </c>
      <c r="V2090">
        <v>2088</v>
      </c>
      <c r="W2090">
        <v>34</v>
      </c>
      <c r="X2090">
        <v>2.129</v>
      </c>
      <c r="Y2090" s="32">
        <v>4.1399999999999997</v>
      </c>
      <c r="Z2090">
        <v>0</v>
      </c>
      <c r="AA2090" s="32">
        <v>1.5189999999999999</v>
      </c>
      <c r="AB2090">
        <v>0</v>
      </c>
      <c r="AC2090" s="34">
        <v>0.185</v>
      </c>
      <c r="AD2090" s="32">
        <v>3.234</v>
      </c>
    </row>
    <row r="2091" spans="1:30">
      <c r="A2091">
        <v>2089</v>
      </c>
      <c r="B2091">
        <v>36</v>
      </c>
      <c r="C2091">
        <v>2.1179999999999999</v>
      </c>
      <c r="D2091">
        <v>4.1399999999999997</v>
      </c>
      <c r="E2091">
        <v>0</v>
      </c>
      <c r="F2091">
        <v>1.6339999999999999</v>
      </c>
      <c r="G2091">
        <v>0</v>
      </c>
      <c r="H2091">
        <v>0.185</v>
      </c>
      <c r="I2091">
        <v>3.4860000000000002</v>
      </c>
      <c r="K2091">
        <v>2089</v>
      </c>
      <c r="L2091">
        <v>36</v>
      </c>
      <c r="M2091" s="32">
        <v>2.1179999999999999</v>
      </c>
      <c r="N2091" s="32">
        <v>4.1399999999999997</v>
      </c>
      <c r="P2091" s="47">
        <v>1.6359999999999999</v>
      </c>
      <c r="R2091" s="47">
        <v>0.186</v>
      </c>
      <c r="S2091" s="47">
        <v>3.4660000000000002</v>
      </c>
      <c r="T2091" s="31">
        <v>0</v>
      </c>
      <c r="V2091">
        <v>2089</v>
      </c>
      <c r="W2091">
        <v>34</v>
      </c>
      <c r="X2091">
        <v>2.13</v>
      </c>
      <c r="Y2091" s="32">
        <v>4.1399999999999997</v>
      </c>
      <c r="Z2091">
        <v>0</v>
      </c>
      <c r="AA2091" s="32">
        <v>1.5189999999999999</v>
      </c>
      <c r="AB2091">
        <v>0</v>
      </c>
      <c r="AC2091" s="34">
        <v>0.185</v>
      </c>
      <c r="AD2091" s="32">
        <v>3.2360000000000002</v>
      </c>
    </row>
    <row r="2092" spans="1:30">
      <c r="A2092">
        <v>2090</v>
      </c>
      <c r="B2092">
        <v>36</v>
      </c>
      <c r="C2092">
        <v>2.1190000000000002</v>
      </c>
      <c r="D2092">
        <v>4.1399999999999997</v>
      </c>
      <c r="E2092">
        <v>0</v>
      </c>
      <c r="F2092">
        <v>1.6339999999999999</v>
      </c>
      <c r="G2092">
        <v>0</v>
      </c>
      <c r="H2092">
        <v>0.185</v>
      </c>
      <c r="I2092">
        <v>3.488</v>
      </c>
      <c r="K2092">
        <v>2090</v>
      </c>
      <c r="L2092">
        <v>36</v>
      </c>
      <c r="M2092" s="32">
        <v>2.1190000000000002</v>
      </c>
      <c r="N2092" s="32">
        <v>4.1399999999999997</v>
      </c>
      <c r="P2092" s="47">
        <v>1.637</v>
      </c>
      <c r="R2092" s="47">
        <v>0.186</v>
      </c>
      <c r="S2092" s="47">
        <v>3.468</v>
      </c>
      <c r="T2092" s="31">
        <v>0</v>
      </c>
      <c r="V2092">
        <v>2090</v>
      </c>
      <c r="W2092">
        <v>34</v>
      </c>
      <c r="X2092">
        <v>2.1309999999999998</v>
      </c>
      <c r="Y2092" s="32">
        <v>4.1399999999999997</v>
      </c>
      <c r="Z2092">
        <v>0</v>
      </c>
      <c r="AA2092" s="32">
        <v>1.5189999999999999</v>
      </c>
      <c r="AB2092">
        <v>0</v>
      </c>
      <c r="AC2092" s="34">
        <v>0.185</v>
      </c>
      <c r="AD2092" s="32">
        <v>3.2370000000000001</v>
      </c>
    </row>
    <row r="2093" spans="1:30">
      <c r="A2093">
        <v>2091</v>
      </c>
      <c r="B2093">
        <v>36</v>
      </c>
      <c r="C2093">
        <v>2.12</v>
      </c>
      <c r="D2093">
        <v>4.1399999999999997</v>
      </c>
      <c r="E2093">
        <v>0</v>
      </c>
      <c r="F2093">
        <v>1.637</v>
      </c>
      <c r="G2093">
        <v>0</v>
      </c>
      <c r="H2093">
        <v>0.185</v>
      </c>
      <c r="I2093">
        <v>3.47</v>
      </c>
      <c r="K2093">
        <v>2091</v>
      </c>
      <c r="L2093">
        <v>36</v>
      </c>
      <c r="M2093" s="32">
        <v>2.12</v>
      </c>
      <c r="N2093" s="32">
        <v>4.1399999999999997</v>
      </c>
      <c r="P2093" s="32">
        <v>1.637</v>
      </c>
      <c r="R2093" s="47">
        <v>0.186</v>
      </c>
      <c r="S2093" s="32">
        <v>3.47</v>
      </c>
      <c r="T2093" s="31">
        <v>0</v>
      </c>
      <c r="V2093">
        <v>2091</v>
      </c>
      <c r="W2093">
        <v>34</v>
      </c>
      <c r="X2093">
        <v>2.1320000000000001</v>
      </c>
      <c r="Y2093" s="32">
        <v>4.1399999999999997</v>
      </c>
      <c r="Z2093">
        <v>0</v>
      </c>
      <c r="AA2093" s="32">
        <v>1.5189999999999999</v>
      </c>
      <c r="AB2093">
        <v>0</v>
      </c>
      <c r="AC2093" s="34">
        <v>0.185</v>
      </c>
      <c r="AD2093" s="32">
        <v>3.2389999999999999</v>
      </c>
    </row>
    <row r="2094" spans="1:30">
      <c r="A2094">
        <v>2092</v>
      </c>
      <c r="B2094">
        <v>36</v>
      </c>
      <c r="C2094">
        <v>2.121</v>
      </c>
      <c r="D2094">
        <v>4.1399999999999997</v>
      </c>
      <c r="E2094">
        <v>0</v>
      </c>
      <c r="F2094">
        <v>1.637</v>
      </c>
      <c r="G2094">
        <v>0</v>
      </c>
      <c r="H2094">
        <v>0.185</v>
      </c>
      <c r="I2094">
        <v>3.5139999999999998</v>
      </c>
      <c r="K2094">
        <v>2092</v>
      </c>
      <c r="L2094">
        <v>36</v>
      </c>
      <c r="M2094" s="32">
        <v>2.121</v>
      </c>
      <c r="N2094" s="32">
        <v>4.1399999999999997</v>
      </c>
      <c r="P2094" s="32">
        <v>1.637</v>
      </c>
      <c r="R2094" s="47">
        <v>0.186</v>
      </c>
      <c r="S2094" s="47">
        <v>3.472</v>
      </c>
      <c r="T2094" s="31">
        <v>0</v>
      </c>
      <c r="V2094">
        <v>2092</v>
      </c>
      <c r="W2094">
        <v>34</v>
      </c>
      <c r="X2094">
        <v>2.133</v>
      </c>
      <c r="Y2094" s="32">
        <v>4.1399999999999997</v>
      </c>
      <c r="Z2094">
        <v>0</v>
      </c>
      <c r="AA2094" s="32">
        <v>1.5189999999999999</v>
      </c>
      <c r="AB2094">
        <v>0</v>
      </c>
      <c r="AC2094" s="34">
        <v>0.185</v>
      </c>
      <c r="AD2094" s="32">
        <v>3.2410000000000001</v>
      </c>
    </row>
    <row r="2095" spans="1:30">
      <c r="A2095">
        <v>2093</v>
      </c>
      <c r="B2095">
        <v>36</v>
      </c>
      <c r="C2095">
        <v>2.1219999999999999</v>
      </c>
      <c r="D2095">
        <v>4.1399999999999997</v>
      </c>
      <c r="E2095">
        <v>0</v>
      </c>
      <c r="F2095">
        <v>1.637</v>
      </c>
      <c r="G2095">
        <v>0</v>
      </c>
      <c r="H2095">
        <v>0.185</v>
      </c>
      <c r="I2095">
        <v>3.516</v>
      </c>
      <c r="K2095">
        <v>2093</v>
      </c>
      <c r="L2095">
        <v>36</v>
      </c>
      <c r="M2095" s="32">
        <v>2.1219999999999999</v>
      </c>
      <c r="N2095" s="32">
        <v>4.1399999999999997</v>
      </c>
      <c r="P2095" s="32">
        <v>1.637</v>
      </c>
      <c r="R2095" s="47">
        <v>0.186</v>
      </c>
      <c r="S2095" s="47">
        <v>3.4740000000000002</v>
      </c>
      <c r="T2095" s="31">
        <v>0</v>
      </c>
      <c r="V2095">
        <v>2093</v>
      </c>
      <c r="W2095">
        <v>34</v>
      </c>
      <c r="X2095">
        <v>2.1339999999999999</v>
      </c>
      <c r="Y2095" s="32">
        <v>4.1399999999999997</v>
      </c>
      <c r="Z2095">
        <v>0</v>
      </c>
      <c r="AA2095" s="32">
        <v>1.52</v>
      </c>
      <c r="AB2095">
        <v>0</v>
      </c>
      <c r="AC2095" s="34">
        <v>0.185</v>
      </c>
      <c r="AD2095" s="32">
        <v>3.2429999999999999</v>
      </c>
    </row>
    <row r="2096" spans="1:30">
      <c r="A2096">
        <v>2094</v>
      </c>
      <c r="B2096">
        <v>36</v>
      </c>
      <c r="C2096">
        <v>2.1230000000000002</v>
      </c>
      <c r="D2096">
        <v>4.1399999999999997</v>
      </c>
      <c r="E2096">
        <v>0</v>
      </c>
      <c r="F2096">
        <v>1.637</v>
      </c>
      <c r="G2096">
        <v>0</v>
      </c>
      <c r="H2096">
        <v>0.185</v>
      </c>
      <c r="I2096">
        <v>3.5179999999999998</v>
      </c>
      <c r="K2096">
        <v>2094</v>
      </c>
      <c r="L2096">
        <v>36</v>
      </c>
      <c r="M2096" s="32">
        <v>2.1230000000000002</v>
      </c>
      <c r="N2096" s="32">
        <v>4.1399999999999997</v>
      </c>
      <c r="P2096" s="47">
        <v>1.6379999999999999</v>
      </c>
      <c r="R2096" s="47">
        <v>0.186</v>
      </c>
      <c r="S2096" s="47">
        <v>3.476</v>
      </c>
      <c r="T2096" s="31">
        <v>0</v>
      </c>
      <c r="V2096">
        <v>2094</v>
      </c>
      <c r="W2096">
        <v>34</v>
      </c>
      <c r="X2096">
        <v>2.1349999999999998</v>
      </c>
      <c r="Y2096" s="32">
        <v>4.1399999999999997</v>
      </c>
      <c r="Z2096">
        <v>0</v>
      </c>
      <c r="AA2096" s="32">
        <v>1.52</v>
      </c>
      <c r="AB2096">
        <v>0</v>
      </c>
      <c r="AC2096" s="34">
        <v>0.185</v>
      </c>
      <c r="AD2096" s="32">
        <v>3.2450000000000001</v>
      </c>
    </row>
    <row r="2097" spans="1:30">
      <c r="A2097">
        <v>2095</v>
      </c>
      <c r="B2097">
        <v>36</v>
      </c>
      <c r="C2097">
        <v>2.1240000000000001</v>
      </c>
      <c r="D2097">
        <v>4.1399999999999997</v>
      </c>
      <c r="E2097">
        <v>0</v>
      </c>
      <c r="F2097">
        <v>1.637</v>
      </c>
      <c r="G2097">
        <v>0</v>
      </c>
      <c r="H2097">
        <v>0.185</v>
      </c>
      <c r="I2097">
        <v>3.52</v>
      </c>
      <c r="K2097">
        <v>2095</v>
      </c>
      <c r="L2097">
        <v>36</v>
      </c>
      <c r="M2097" s="32">
        <v>2.1240000000000001</v>
      </c>
      <c r="N2097" s="32">
        <v>4.1399999999999997</v>
      </c>
      <c r="P2097" s="47">
        <v>1.6379999999999999</v>
      </c>
      <c r="R2097" s="47">
        <v>0.186</v>
      </c>
      <c r="S2097" s="47">
        <v>3.4780000000000002</v>
      </c>
      <c r="T2097" s="31">
        <v>0</v>
      </c>
      <c r="V2097">
        <v>2095</v>
      </c>
      <c r="W2097">
        <v>34</v>
      </c>
      <c r="X2097">
        <v>2.1360000000000001</v>
      </c>
      <c r="Y2097" s="32">
        <v>4.1399999999999997</v>
      </c>
      <c r="Z2097">
        <v>0</v>
      </c>
      <c r="AA2097" s="32">
        <v>1.52</v>
      </c>
      <c r="AB2097">
        <v>0</v>
      </c>
      <c r="AC2097" s="34">
        <v>0.185</v>
      </c>
      <c r="AD2097" s="32">
        <v>3.2469999999999999</v>
      </c>
    </row>
    <row r="2098" spans="1:30">
      <c r="A2098">
        <v>2096</v>
      </c>
      <c r="B2098">
        <v>36</v>
      </c>
      <c r="C2098">
        <v>2.125</v>
      </c>
      <c r="D2098">
        <v>4.1399999999999997</v>
      </c>
      <c r="E2098">
        <v>0</v>
      </c>
      <c r="F2098">
        <v>1.637</v>
      </c>
      <c r="G2098">
        <v>0</v>
      </c>
      <c r="H2098">
        <v>0.185</v>
      </c>
      <c r="I2098">
        <v>3.5230000000000001</v>
      </c>
      <c r="K2098">
        <v>2096</v>
      </c>
      <c r="L2098">
        <v>36</v>
      </c>
      <c r="M2098" s="32">
        <v>2.125</v>
      </c>
      <c r="N2098" s="32">
        <v>4.1399999999999997</v>
      </c>
      <c r="P2098" s="47">
        <v>1.6379999999999999</v>
      </c>
      <c r="R2098" s="47">
        <v>0.186</v>
      </c>
      <c r="S2098" s="47">
        <v>3.4809999999999999</v>
      </c>
      <c r="T2098" s="31">
        <v>0</v>
      </c>
      <c r="V2098">
        <v>2096</v>
      </c>
      <c r="W2098">
        <v>34</v>
      </c>
      <c r="X2098">
        <v>2.137</v>
      </c>
      <c r="Y2098" s="32">
        <v>4.1399999999999997</v>
      </c>
      <c r="Z2098">
        <v>0</v>
      </c>
      <c r="AA2098" s="32">
        <v>1.52</v>
      </c>
      <c r="AB2098">
        <v>0</v>
      </c>
      <c r="AC2098" s="34">
        <v>0.185</v>
      </c>
      <c r="AD2098" s="32">
        <v>3.2490000000000001</v>
      </c>
    </row>
    <row r="2099" spans="1:30">
      <c r="A2099">
        <v>2097</v>
      </c>
      <c r="B2099">
        <v>36</v>
      </c>
      <c r="C2099">
        <v>2.1259999999999999</v>
      </c>
      <c r="D2099">
        <v>4.1399999999999997</v>
      </c>
      <c r="E2099">
        <v>0</v>
      </c>
      <c r="F2099">
        <v>1.637</v>
      </c>
      <c r="G2099">
        <v>0</v>
      </c>
      <c r="H2099">
        <v>0.185</v>
      </c>
      <c r="I2099">
        <v>3.5249999999999999</v>
      </c>
      <c r="K2099">
        <v>2097</v>
      </c>
      <c r="L2099">
        <v>36</v>
      </c>
      <c r="M2099" s="32">
        <v>2.1259999999999999</v>
      </c>
      <c r="N2099" s="32">
        <v>4.1399999999999997</v>
      </c>
      <c r="P2099" s="47">
        <v>1.6379999999999999</v>
      </c>
      <c r="R2099" s="47">
        <v>0.186</v>
      </c>
      <c r="S2099" s="47">
        <v>3.4830000000000001</v>
      </c>
      <c r="T2099" s="31">
        <v>0</v>
      </c>
      <c r="V2099">
        <v>2097</v>
      </c>
      <c r="W2099">
        <v>34</v>
      </c>
      <c r="X2099">
        <v>2.1379999999999999</v>
      </c>
      <c r="Y2099" s="32">
        <v>4.1399999999999997</v>
      </c>
      <c r="Z2099">
        <v>0</v>
      </c>
      <c r="AA2099" s="32">
        <v>1.52</v>
      </c>
      <c r="AB2099">
        <v>0</v>
      </c>
      <c r="AC2099" s="34">
        <v>0.185</v>
      </c>
      <c r="AD2099" s="32">
        <v>3.2509999999999999</v>
      </c>
    </row>
    <row r="2100" spans="1:30">
      <c r="A2100">
        <v>2098</v>
      </c>
      <c r="B2100">
        <v>36</v>
      </c>
      <c r="C2100">
        <v>2.1269999999999998</v>
      </c>
      <c r="D2100">
        <v>4.1399999999999997</v>
      </c>
      <c r="E2100">
        <v>0</v>
      </c>
      <c r="F2100">
        <v>1.637</v>
      </c>
      <c r="G2100">
        <v>0</v>
      </c>
      <c r="H2100">
        <v>0.185</v>
      </c>
      <c r="I2100">
        <v>3.5270000000000001</v>
      </c>
      <c r="K2100">
        <v>2098</v>
      </c>
      <c r="L2100">
        <v>36</v>
      </c>
      <c r="M2100" s="32">
        <v>2.1269999999999998</v>
      </c>
      <c r="N2100" s="32">
        <v>4.1399999999999997</v>
      </c>
      <c r="P2100" s="47">
        <v>1.6379999999999999</v>
      </c>
      <c r="R2100" s="47">
        <v>0.186</v>
      </c>
      <c r="S2100" s="47">
        <v>3.4849999999999999</v>
      </c>
      <c r="T2100" s="31">
        <v>0</v>
      </c>
      <c r="V2100">
        <v>2098</v>
      </c>
      <c r="W2100">
        <v>34</v>
      </c>
      <c r="X2100">
        <v>2.1389999999999998</v>
      </c>
      <c r="Y2100" s="32">
        <v>4.1399999999999997</v>
      </c>
      <c r="Z2100">
        <v>0</v>
      </c>
      <c r="AA2100" s="32">
        <v>1.5209999999999999</v>
      </c>
      <c r="AB2100">
        <v>0</v>
      </c>
      <c r="AC2100" s="34">
        <v>0.185</v>
      </c>
      <c r="AD2100" s="32">
        <v>3.2530000000000001</v>
      </c>
    </row>
    <row r="2101" spans="1:30">
      <c r="A2101">
        <v>2099</v>
      </c>
      <c r="B2101">
        <v>36</v>
      </c>
      <c r="C2101">
        <v>2.1280000000000001</v>
      </c>
      <c r="D2101">
        <v>4.1399999999999997</v>
      </c>
      <c r="E2101">
        <v>0</v>
      </c>
      <c r="F2101">
        <v>1.637</v>
      </c>
      <c r="G2101">
        <v>0</v>
      </c>
      <c r="H2101">
        <v>0.185</v>
      </c>
      <c r="I2101">
        <v>3.5289999999999999</v>
      </c>
      <c r="K2101">
        <v>2099</v>
      </c>
      <c r="L2101">
        <v>36</v>
      </c>
      <c r="M2101" s="32">
        <v>2.1280000000000001</v>
      </c>
      <c r="N2101" s="32">
        <v>4.1399999999999997</v>
      </c>
      <c r="P2101" s="47">
        <v>1.639</v>
      </c>
      <c r="R2101" s="47">
        <v>0.186</v>
      </c>
      <c r="S2101" s="47">
        <v>3.4870000000000001</v>
      </c>
      <c r="T2101" s="31">
        <v>0</v>
      </c>
      <c r="V2101">
        <v>2099</v>
      </c>
      <c r="W2101">
        <v>34</v>
      </c>
      <c r="X2101">
        <v>2.14</v>
      </c>
      <c r="Y2101" s="32">
        <v>4.1399999999999997</v>
      </c>
      <c r="Z2101">
        <v>0</v>
      </c>
      <c r="AA2101" s="32">
        <v>1.5209999999999999</v>
      </c>
      <c r="AB2101">
        <v>0</v>
      </c>
      <c r="AC2101" s="34">
        <v>0.185</v>
      </c>
      <c r="AD2101" s="32">
        <v>3.2549999999999999</v>
      </c>
    </row>
    <row r="2102" spans="1:30">
      <c r="A2102">
        <v>2100</v>
      </c>
      <c r="B2102">
        <v>36</v>
      </c>
      <c r="C2102">
        <v>2.129</v>
      </c>
      <c r="D2102">
        <v>4.1399999999999997</v>
      </c>
      <c r="E2102">
        <v>0</v>
      </c>
      <c r="F2102">
        <v>1.637</v>
      </c>
      <c r="G2102">
        <v>0</v>
      </c>
      <c r="H2102">
        <v>0.185</v>
      </c>
      <c r="I2102">
        <v>3.5310000000000001</v>
      </c>
      <c r="K2102">
        <v>2100</v>
      </c>
      <c r="L2102">
        <v>36</v>
      </c>
      <c r="M2102" s="32">
        <v>2.129</v>
      </c>
      <c r="N2102" s="32">
        <v>4.1399999999999997</v>
      </c>
      <c r="P2102" s="47">
        <v>1.639</v>
      </c>
      <c r="R2102" s="47">
        <v>0.186</v>
      </c>
      <c r="S2102" s="47">
        <v>3.4889999999999999</v>
      </c>
      <c r="T2102" s="31">
        <v>0</v>
      </c>
      <c r="V2102">
        <v>2100</v>
      </c>
      <c r="W2102">
        <v>34</v>
      </c>
      <c r="X2102">
        <v>2.141</v>
      </c>
      <c r="Y2102" s="32">
        <v>4.1399999999999997</v>
      </c>
      <c r="Z2102">
        <v>0</v>
      </c>
      <c r="AA2102" s="32">
        <v>1.5209999999999999</v>
      </c>
      <c r="AB2102">
        <v>0</v>
      </c>
      <c r="AC2102" s="34">
        <v>0.185</v>
      </c>
      <c r="AD2102" s="32">
        <v>3.2570000000000001</v>
      </c>
    </row>
    <row r="2103" spans="1:30">
      <c r="A2103">
        <v>2101</v>
      </c>
      <c r="B2103">
        <v>36</v>
      </c>
      <c r="C2103">
        <v>2.13</v>
      </c>
      <c r="D2103">
        <v>4.1399999999999997</v>
      </c>
      <c r="E2103">
        <v>0</v>
      </c>
      <c r="F2103">
        <v>1.639</v>
      </c>
      <c r="G2103">
        <v>0</v>
      </c>
      <c r="H2103">
        <v>0.185</v>
      </c>
      <c r="I2103">
        <v>3.4910000000000001</v>
      </c>
      <c r="K2103">
        <v>2101</v>
      </c>
      <c r="L2103">
        <v>36</v>
      </c>
      <c r="M2103" s="32">
        <v>2.13</v>
      </c>
      <c r="N2103" s="32">
        <v>4.1399999999999997</v>
      </c>
      <c r="P2103" s="32">
        <v>1.639</v>
      </c>
      <c r="R2103" s="47">
        <v>0.186</v>
      </c>
      <c r="S2103" s="32">
        <v>3.4910000000000001</v>
      </c>
      <c r="T2103" s="31">
        <v>0</v>
      </c>
      <c r="V2103">
        <v>2101</v>
      </c>
      <c r="W2103">
        <v>34</v>
      </c>
      <c r="X2103">
        <v>2.1419999999999999</v>
      </c>
      <c r="Y2103" s="32">
        <v>4.1399999999999997</v>
      </c>
      <c r="Z2103">
        <v>0</v>
      </c>
      <c r="AA2103" s="32">
        <v>1.5209999999999999</v>
      </c>
      <c r="AB2103">
        <v>0</v>
      </c>
      <c r="AC2103" s="34">
        <v>0.186</v>
      </c>
      <c r="AD2103" s="32">
        <v>3.258</v>
      </c>
    </row>
    <row r="2104" spans="1:30">
      <c r="A2104">
        <v>2102</v>
      </c>
      <c r="B2104">
        <v>36</v>
      </c>
      <c r="C2104">
        <v>2.1309999999999998</v>
      </c>
      <c r="D2104">
        <v>4.1399999999999997</v>
      </c>
      <c r="E2104">
        <v>0</v>
      </c>
      <c r="F2104">
        <v>1.639</v>
      </c>
      <c r="G2104">
        <v>0</v>
      </c>
      <c r="H2104">
        <v>0.185</v>
      </c>
      <c r="I2104">
        <v>3.556</v>
      </c>
      <c r="K2104">
        <v>2102</v>
      </c>
      <c r="L2104">
        <v>36</v>
      </c>
      <c r="M2104" s="32">
        <v>2.1309999999999998</v>
      </c>
      <c r="N2104" s="32">
        <v>4.1399999999999997</v>
      </c>
      <c r="P2104" s="32">
        <v>1.639</v>
      </c>
      <c r="R2104" s="47">
        <v>0.186</v>
      </c>
      <c r="S2104" s="47">
        <v>3.4929999999999999</v>
      </c>
      <c r="T2104" s="31">
        <v>0</v>
      </c>
      <c r="V2104">
        <v>2102</v>
      </c>
      <c r="W2104">
        <v>34</v>
      </c>
      <c r="X2104">
        <v>2.1429999999999998</v>
      </c>
      <c r="Y2104" s="32">
        <v>4.1399999999999997</v>
      </c>
      <c r="Z2104">
        <v>0</v>
      </c>
      <c r="AA2104" s="32">
        <v>1.5209999999999999</v>
      </c>
      <c r="AB2104">
        <v>0</v>
      </c>
      <c r="AC2104" s="34">
        <v>0.186</v>
      </c>
      <c r="AD2104" s="32">
        <v>3.26</v>
      </c>
    </row>
    <row r="2105" spans="1:30">
      <c r="A2105">
        <v>2103</v>
      </c>
      <c r="B2105">
        <v>36</v>
      </c>
      <c r="C2105">
        <v>2.1320000000000001</v>
      </c>
      <c r="D2105">
        <v>4.1399999999999997</v>
      </c>
      <c r="E2105">
        <v>0</v>
      </c>
      <c r="F2105">
        <v>1.639</v>
      </c>
      <c r="G2105">
        <v>0</v>
      </c>
      <c r="H2105">
        <v>0.185</v>
      </c>
      <c r="I2105">
        <v>3.5579999999999998</v>
      </c>
      <c r="K2105">
        <v>2103</v>
      </c>
      <c r="L2105">
        <v>36</v>
      </c>
      <c r="M2105" s="32">
        <v>2.1320000000000001</v>
      </c>
      <c r="N2105" s="32">
        <v>4.1399999999999997</v>
      </c>
      <c r="P2105" s="32">
        <v>1.639</v>
      </c>
      <c r="R2105" s="47">
        <v>0.186</v>
      </c>
      <c r="S2105" s="47">
        <v>3.4950000000000001</v>
      </c>
      <c r="T2105" s="31">
        <v>0</v>
      </c>
      <c r="V2105">
        <v>2103</v>
      </c>
      <c r="W2105">
        <v>34</v>
      </c>
      <c r="X2105">
        <v>2.1440000000000001</v>
      </c>
      <c r="Y2105" s="32">
        <v>4.1399999999999997</v>
      </c>
      <c r="Z2105">
        <v>0</v>
      </c>
      <c r="AA2105" s="32">
        <v>1.5209999999999999</v>
      </c>
      <c r="AB2105">
        <v>0</v>
      </c>
      <c r="AC2105" s="34">
        <v>0.186</v>
      </c>
      <c r="AD2105" s="32">
        <v>3.262</v>
      </c>
    </row>
    <row r="2106" spans="1:30">
      <c r="A2106">
        <v>2104</v>
      </c>
      <c r="B2106">
        <v>36</v>
      </c>
      <c r="C2106">
        <v>2.133</v>
      </c>
      <c r="D2106">
        <v>4.1399999999999997</v>
      </c>
      <c r="E2106">
        <v>0</v>
      </c>
      <c r="F2106">
        <v>1.639</v>
      </c>
      <c r="G2106">
        <v>0</v>
      </c>
      <c r="H2106">
        <v>0.185</v>
      </c>
      <c r="I2106">
        <v>3.56</v>
      </c>
      <c r="K2106">
        <v>2104</v>
      </c>
      <c r="L2106">
        <v>36</v>
      </c>
      <c r="M2106" s="32">
        <v>2.133</v>
      </c>
      <c r="N2106" s="32">
        <v>4.1399999999999997</v>
      </c>
      <c r="P2106" s="47">
        <v>1.64</v>
      </c>
      <c r="R2106" s="47">
        <v>0.186</v>
      </c>
      <c r="S2106" s="47">
        <v>3.4969999999999999</v>
      </c>
      <c r="T2106" s="31">
        <v>0</v>
      </c>
      <c r="V2106">
        <v>2104</v>
      </c>
      <c r="W2106">
        <v>34</v>
      </c>
      <c r="X2106">
        <v>2.145</v>
      </c>
      <c r="Y2106" s="32">
        <v>4.1399999999999997</v>
      </c>
      <c r="Z2106">
        <v>0</v>
      </c>
      <c r="AA2106" s="32">
        <v>1.522</v>
      </c>
      <c r="AB2106">
        <v>0</v>
      </c>
      <c r="AC2106" s="34">
        <v>0.186</v>
      </c>
      <c r="AD2106" s="32">
        <v>3.2639999999999998</v>
      </c>
    </row>
    <row r="2107" spans="1:30">
      <c r="A2107">
        <v>2105</v>
      </c>
      <c r="B2107">
        <v>36</v>
      </c>
      <c r="C2107">
        <v>2.1339999999999999</v>
      </c>
      <c r="D2107">
        <v>4.1399999999999997</v>
      </c>
      <c r="E2107">
        <v>0</v>
      </c>
      <c r="F2107">
        <v>1.639</v>
      </c>
      <c r="G2107">
        <v>0</v>
      </c>
      <c r="H2107">
        <v>0.185</v>
      </c>
      <c r="I2107">
        <v>3.5619999999999998</v>
      </c>
      <c r="K2107">
        <v>2105</v>
      </c>
      <c r="L2107">
        <v>36</v>
      </c>
      <c r="M2107" s="32">
        <v>2.1339999999999999</v>
      </c>
      <c r="N2107" s="32">
        <v>4.1399999999999997</v>
      </c>
      <c r="P2107" s="47">
        <v>1.64</v>
      </c>
      <c r="R2107" s="47">
        <v>0.187</v>
      </c>
      <c r="S2107" s="47">
        <v>3.4990000000000001</v>
      </c>
      <c r="T2107" s="31">
        <v>0</v>
      </c>
      <c r="V2107">
        <v>2105</v>
      </c>
      <c r="W2107">
        <v>34</v>
      </c>
      <c r="X2107">
        <v>2.1459999999999999</v>
      </c>
      <c r="Y2107" s="32">
        <v>4.1399999999999997</v>
      </c>
      <c r="Z2107">
        <v>0</v>
      </c>
      <c r="AA2107" s="32">
        <v>1.522</v>
      </c>
      <c r="AB2107">
        <v>0</v>
      </c>
      <c r="AC2107" s="34">
        <v>0.186</v>
      </c>
      <c r="AD2107" s="32">
        <v>3.266</v>
      </c>
    </row>
    <row r="2108" spans="1:30">
      <c r="A2108">
        <v>2106</v>
      </c>
      <c r="B2108">
        <v>36</v>
      </c>
      <c r="C2108">
        <v>2.1349999999999998</v>
      </c>
      <c r="D2108">
        <v>4.1399999999999997</v>
      </c>
      <c r="E2108">
        <v>0</v>
      </c>
      <c r="F2108">
        <v>1.639</v>
      </c>
      <c r="G2108">
        <v>0</v>
      </c>
      <c r="H2108">
        <v>0.185</v>
      </c>
      <c r="I2108">
        <v>3.5649999999999999</v>
      </c>
      <c r="K2108">
        <v>2106</v>
      </c>
      <c r="L2108">
        <v>36</v>
      </c>
      <c r="M2108" s="32">
        <v>2.1349999999999998</v>
      </c>
      <c r="N2108" s="32">
        <v>4.1399999999999997</v>
      </c>
      <c r="P2108" s="47">
        <v>1.64</v>
      </c>
      <c r="R2108" s="47">
        <v>0.187</v>
      </c>
      <c r="S2108" s="47">
        <v>3.5019999999999998</v>
      </c>
      <c r="T2108" s="31">
        <v>0</v>
      </c>
      <c r="V2108">
        <v>2106</v>
      </c>
      <c r="W2108">
        <v>34</v>
      </c>
      <c r="X2108">
        <v>2.1469999999999998</v>
      </c>
      <c r="Y2108" s="32">
        <v>4.1399999999999997</v>
      </c>
      <c r="Z2108">
        <v>0</v>
      </c>
      <c r="AA2108" s="32">
        <v>1.522</v>
      </c>
      <c r="AB2108">
        <v>0</v>
      </c>
      <c r="AC2108" s="34">
        <v>0.186</v>
      </c>
      <c r="AD2108" s="32">
        <v>3.2679999999999998</v>
      </c>
    </row>
    <row r="2109" spans="1:30">
      <c r="A2109">
        <v>2107</v>
      </c>
      <c r="B2109">
        <v>36</v>
      </c>
      <c r="C2109">
        <v>2.1360000000000001</v>
      </c>
      <c r="D2109">
        <v>4.1399999999999997</v>
      </c>
      <c r="E2109">
        <v>0</v>
      </c>
      <c r="F2109">
        <v>1.639</v>
      </c>
      <c r="G2109">
        <v>0</v>
      </c>
      <c r="H2109">
        <v>0.185</v>
      </c>
      <c r="I2109">
        <v>3.5670000000000002</v>
      </c>
      <c r="K2109">
        <v>2107</v>
      </c>
      <c r="L2109">
        <v>36</v>
      </c>
      <c r="M2109" s="32">
        <v>2.1360000000000001</v>
      </c>
      <c r="N2109" s="32">
        <v>4.1399999999999997</v>
      </c>
      <c r="P2109" s="47">
        <v>1.64</v>
      </c>
      <c r="R2109" s="47">
        <v>0.187</v>
      </c>
      <c r="S2109" s="47">
        <v>3.504</v>
      </c>
      <c r="T2109" s="31">
        <v>0</v>
      </c>
      <c r="V2109">
        <v>2107</v>
      </c>
      <c r="W2109">
        <v>34</v>
      </c>
      <c r="X2109">
        <v>2.1480000000000001</v>
      </c>
      <c r="Y2109" s="32">
        <v>4.1399999999999997</v>
      </c>
      <c r="Z2109">
        <v>0</v>
      </c>
      <c r="AA2109" s="32">
        <v>1.522</v>
      </c>
      <c r="AB2109">
        <v>0</v>
      </c>
      <c r="AC2109" s="34">
        <v>0.186</v>
      </c>
      <c r="AD2109" s="32">
        <v>3.27</v>
      </c>
    </row>
    <row r="2110" spans="1:30">
      <c r="A2110">
        <v>2108</v>
      </c>
      <c r="B2110">
        <v>36</v>
      </c>
      <c r="C2110">
        <v>2.137</v>
      </c>
      <c r="D2110">
        <v>4.1399999999999997</v>
      </c>
      <c r="E2110">
        <v>0</v>
      </c>
      <c r="F2110">
        <v>1.639</v>
      </c>
      <c r="G2110">
        <v>0</v>
      </c>
      <c r="H2110">
        <v>0.185</v>
      </c>
      <c r="I2110">
        <v>3.569</v>
      </c>
      <c r="K2110">
        <v>2108</v>
      </c>
      <c r="L2110">
        <v>36</v>
      </c>
      <c r="M2110" s="32">
        <v>2.137</v>
      </c>
      <c r="N2110" s="32">
        <v>4.1399999999999997</v>
      </c>
      <c r="P2110" s="47">
        <v>1.64</v>
      </c>
      <c r="R2110" s="47">
        <v>0.187</v>
      </c>
      <c r="S2110" s="47">
        <v>3.5059999999999998</v>
      </c>
      <c r="T2110" s="31">
        <v>0</v>
      </c>
      <c r="V2110">
        <v>2108</v>
      </c>
      <c r="W2110">
        <v>34</v>
      </c>
      <c r="X2110">
        <v>2.149</v>
      </c>
      <c r="Y2110" s="32">
        <v>4.1399999999999997</v>
      </c>
      <c r="Z2110">
        <v>0</v>
      </c>
      <c r="AA2110" s="32">
        <v>1.522</v>
      </c>
      <c r="AB2110">
        <v>0</v>
      </c>
      <c r="AC2110" s="34">
        <v>0.186</v>
      </c>
      <c r="AD2110" s="32">
        <v>3.2719999999999998</v>
      </c>
    </row>
    <row r="2111" spans="1:30">
      <c r="A2111">
        <v>2109</v>
      </c>
      <c r="B2111">
        <v>36</v>
      </c>
      <c r="C2111">
        <v>2.1379999999999999</v>
      </c>
      <c r="D2111">
        <v>4.1399999999999997</v>
      </c>
      <c r="E2111">
        <v>0</v>
      </c>
      <c r="F2111">
        <v>1.639</v>
      </c>
      <c r="G2111">
        <v>0</v>
      </c>
      <c r="H2111">
        <v>0.185</v>
      </c>
      <c r="I2111">
        <v>3.5710000000000002</v>
      </c>
      <c r="K2111">
        <v>2109</v>
      </c>
      <c r="L2111">
        <v>36</v>
      </c>
      <c r="M2111" s="32">
        <v>2.1379999999999999</v>
      </c>
      <c r="N2111" s="32">
        <v>4.1399999999999997</v>
      </c>
      <c r="P2111" s="47">
        <v>1.641</v>
      </c>
      <c r="R2111" s="47">
        <v>0.187</v>
      </c>
      <c r="S2111" s="47">
        <v>3.508</v>
      </c>
      <c r="T2111" s="31">
        <v>0</v>
      </c>
      <c r="V2111">
        <v>2109</v>
      </c>
      <c r="W2111">
        <v>34</v>
      </c>
      <c r="X2111">
        <v>2.15</v>
      </c>
      <c r="Y2111" s="32">
        <v>4.1399999999999997</v>
      </c>
      <c r="Z2111">
        <v>0</v>
      </c>
      <c r="AA2111" s="32">
        <v>1.5229999999999999</v>
      </c>
      <c r="AB2111">
        <v>0</v>
      </c>
      <c r="AC2111" s="34">
        <v>0.186</v>
      </c>
      <c r="AD2111" s="32">
        <v>3.274</v>
      </c>
    </row>
    <row r="2112" spans="1:30">
      <c r="A2112">
        <v>2110</v>
      </c>
      <c r="B2112">
        <v>36</v>
      </c>
      <c r="C2112">
        <v>2.1389999999999998</v>
      </c>
      <c r="D2112">
        <v>4.1399999999999997</v>
      </c>
      <c r="E2112">
        <v>0</v>
      </c>
      <c r="F2112">
        <v>1.639</v>
      </c>
      <c r="G2112">
        <v>0</v>
      </c>
      <c r="H2112">
        <v>0.185</v>
      </c>
      <c r="I2112">
        <v>3.573</v>
      </c>
      <c r="K2112">
        <v>2110</v>
      </c>
      <c r="L2112">
        <v>36</v>
      </c>
      <c r="M2112" s="32">
        <v>2.1389999999999998</v>
      </c>
      <c r="N2112" s="32">
        <v>4.1399999999999997</v>
      </c>
      <c r="P2112" s="47">
        <v>1.641</v>
      </c>
      <c r="R2112" s="47">
        <v>0.187</v>
      </c>
      <c r="S2112" s="47">
        <v>3.51</v>
      </c>
      <c r="T2112" s="31">
        <v>0</v>
      </c>
      <c r="V2112">
        <v>2110</v>
      </c>
      <c r="W2112">
        <v>34</v>
      </c>
      <c r="X2112">
        <v>2.1509999999999998</v>
      </c>
      <c r="Y2112" s="32">
        <v>4.1399999999999997</v>
      </c>
      <c r="Z2112">
        <v>0</v>
      </c>
      <c r="AA2112" s="32">
        <v>1.5229999999999999</v>
      </c>
      <c r="AB2112">
        <v>0</v>
      </c>
      <c r="AC2112" s="34">
        <v>0.186</v>
      </c>
      <c r="AD2112" s="32">
        <v>3.2759999999999998</v>
      </c>
    </row>
    <row r="2113" spans="1:30">
      <c r="A2113">
        <v>2111</v>
      </c>
      <c r="B2113">
        <v>36</v>
      </c>
      <c r="C2113">
        <v>2.14</v>
      </c>
      <c r="D2113">
        <v>4.1399999999999997</v>
      </c>
      <c r="E2113">
        <v>0</v>
      </c>
      <c r="F2113">
        <v>1.641</v>
      </c>
      <c r="G2113">
        <v>0</v>
      </c>
      <c r="H2113">
        <v>0.185</v>
      </c>
      <c r="I2113">
        <v>3.512</v>
      </c>
      <c r="K2113">
        <v>2111</v>
      </c>
      <c r="L2113">
        <v>36</v>
      </c>
      <c r="M2113" s="32">
        <v>2.14</v>
      </c>
      <c r="N2113" s="32">
        <v>4.1399999999999997</v>
      </c>
      <c r="P2113" s="32">
        <v>1.641</v>
      </c>
      <c r="R2113" s="47">
        <v>0.187</v>
      </c>
      <c r="S2113" s="32">
        <v>3.512</v>
      </c>
      <c r="T2113" s="31">
        <v>0</v>
      </c>
      <c r="V2113">
        <v>2111</v>
      </c>
      <c r="W2113">
        <v>34</v>
      </c>
      <c r="X2113">
        <v>2.1520000000000001</v>
      </c>
      <c r="Y2113" s="32">
        <v>4.1399999999999997</v>
      </c>
      <c r="Z2113">
        <v>0</v>
      </c>
      <c r="AA2113" s="32">
        <v>1.5229999999999999</v>
      </c>
      <c r="AB2113">
        <v>0</v>
      </c>
      <c r="AC2113" s="34">
        <v>0.186</v>
      </c>
      <c r="AD2113" s="32">
        <v>3.278</v>
      </c>
    </row>
    <row r="2114" spans="1:30">
      <c r="A2114">
        <v>2112</v>
      </c>
      <c r="B2114">
        <v>36</v>
      </c>
      <c r="C2114">
        <v>2.141</v>
      </c>
      <c r="D2114">
        <v>4.1399999999999997</v>
      </c>
      <c r="E2114">
        <v>0</v>
      </c>
      <c r="F2114">
        <v>1.641</v>
      </c>
      <c r="G2114">
        <v>0</v>
      </c>
      <c r="H2114">
        <v>0.185</v>
      </c>
      <c r="I2114">
        <v>3.5979999999999999</v>
      </c>
      <c r="K2114">
        <v>2112</v>
      </c>
      <c r="L2114">
        <v>36</v>
      </c>
      <c r="M2114" s="32">
        <v>2.141</v>
      </c>
      <c r="N2114" s="32">
        <v>4.1399999999999997</v>
      </c>
      <c r="P2114" s="32">
        <v>1.641</v>
      </c>
      <c r="R2114" s="47">
        <v>0.187</v>
      </c>
      <c r="S2114" s="47">
        <v>3.5139999999999998</v>
      </c>
      <c r="T2114" s="31">
        <v>0</v>
      </c>
      <c r="V2114">
        <v>2112</v>
      </c>
      <c r="W2114">
        <v>34</v>
      </c>
      <c r="X2114">
        <v>2.153</v>
      </c>
      <c r="Y2114" s="32">
        <v>4.1399999999999997</v>
      </c>
      <c r="Z2114">
        <v>0</v>
      </c>
      <c r="AA2114" s="32">
        <v>1.5229999999999999</v>
      </c>
      <c r="AB2114">
        <v>0</v>
      </c>
      <c r="AC2114" s="34">
        <v>0.186</v>
      </c>
      <c r="AD2114" s="32">
        <v>3.2789999999999999</v>
      </c>
    </row>
    <row r="2115" spans="1:30">
      <c r="A2115">
        <v>2113</v>
      </c>
      <c r="B2115">
        <v>36</v>
      </c>
      <c r="C2115">
        <v>2.1419999999999999</v>
      </c>
      <c r="D2115">
        <v>4.1399999999999997</v>
      </c>
      <c r="E2115">
        <v>0</v>
      </c>
      <c r="F2115">
        <v>1.641</v>
      </c>
      <c r="G2115">
        <v>0</v>
      </c>
      <c r="H2115">
        <v>0.185</v>
      </c>
      <c r="I2115">
        <v>3.6</v>
      </c>
      <c r="K2115">
        <v>2113</v>
      </c>
      <c r="L2115">
        <v>36</v>
      </c>
      <c r="M2115" s="32">
        <v>2.1419999999999999</v>
      </c>
      <c r="N2115" s="32">
        <v>4.1399999999999997</v>
      </c>
      <c r="P2115" s="47">
        <v>1.6419999999999999</v>
      </c>
      <c r="R2115" s="47">
        <v>0.187</v>
      </c>
      <c r="S2115" s="47">
        <v>3.516</v>
      </c>
      <c r="T2115" s="31">
        <v>0</v>
      </c>
      <c r="V2115">
        <v>2113</v>
      </c>
      <c r="W2115">
        <v>34</v>
      </c>
      <c r="X2115">
        <v>2.1539999999999999</v>
      </c>
      <c r="Y2115" s="32">
        <v>4.1399999999999997</v>
      </c>
      <c r="Z2115">
        <v>0</v>
      </c>
      <c r="AA2115" s="32">
        <v>1.5229999999999999</v>
      </c>
      <c r="AB2115">
        <v>0</v>
      </c>
      <c r="AC2115" s="34">
        <v>0.186</v>
      </c>
      <c r="AD2115" s="32">
        <v>3.2810000000000001</v>
      </c>
    </row>
    <row r="2116" spans="1:30">
      <c r="A2116">
        <v>2114</v>
      </c>
      <c r="B2116">
        <v>36</v>
      </c>
      <c r="C2116">
        <v>2.1429999999999998</v>
      </c>
      <c r="D2116">
        <v>4.1399999999999997</v>
      </c>
      <c r="E2116">
        <v>0</v>
      </c>
      <c r="F2116">
        <v>1.641</v>
      </c>
      <c r="G2116">
        <v>0</v>
      </c>
      <c r="H2116">
        <v>0.185</v>
      </c>
      <c r="I2116">
        <v>3.6019999999999999</v>
      </c>
      <c r="K2116">
        <v>2114</v>
      </c>
      <c r="L2116">
        <v>36</v>
      </c>
      <c r="M2116" s="32">
        <v>2.1429999999999998</v>
      </c>
      <c r="N2116" s="32">
        <v>4.1399999999999997</v>
      </c>
      <c r="P2116" s="47">
        <v>1.6419999999999999</v>
      </c>
      <c r="R2116" s="47">
        <v>0.187</v>
      </c>
      <c r="S2116" s="47">
        <v>3.5190000000000001</v>
      </c>
      <c r="T2116" s="31">
        <v>0</v>
      </c>
      <c r="V2116">
        <v>2114</v>
      </c>
      <c r="W2116">
        <v>34</v>
      </c>
      <c r="X2116">
        <v>2.1549999999999998</v>
      </c>
      <c r="Y2116" s="32">
        <v>4.1399999999999997</v>
      </c>
      <c r="Z2116">
        <v>0</v>
      </c>
      <c r="AA2116" s="32">
        <v>1.5229999999999999</v>
      </c>
      <c r="AB2116">
        <v>0</v>
      </c>
      <c r="AC2116" s="34">
        <v>0.186</v>
      </c>
      <c r="AD2116" s="32">
        <v>3.2829999999999999</v>
      </c>
    </row>
    <row r="2117" spans="1:30">
      <c r="A2117">
        <v>2115</v>
      </c>
      <c r="B2117">
        <v>36</v>
      </c>
      <c r="C2117">
        <v>2.1440000000000001</v>
      </c>
      <c r="D2117">
        <v>4.1399999999999997</v>
      </c>
      <c r="E2117">
        <v>0</v>
      </c>
      <c r="F2117">
        <v>1.641</v>
      </c>
      <c r="G2117">
        <v>0</v>
      </c>
      <c r="H2117">
        <v>0.185</v>
      </c>
      <c r="I2117">
        <v>3.6040000000000001</v>
      </c>
      <c r="K2117">
        <v>2115</v>
      </c>
      <c r="L2117">
        <v>36</v>
      </c>
      <c r="M2117" s="32">
        <v>2.1440000000000001</v>
      </c>
      <c r="N2117" s="32">
        <v>4.1399999999999997</v>
      </c>
      <c r="P2117" s="47">
        <v>1.6419999999999999</v>
      </c>
      <c r="R2117" s="47">
        <v>0.187</v>
      </c>
      <c r="S2117" s="47">
        <v>3.5209999999999999</v>
      </c>
      <c r="T2117" s="31">
        <v>0</v>
      </c>
      <c r="V2117">
        <v>2115</v>
      </c>
      <c r="W2117">
        <v>34</v>
      </c>
      <c r="X2117">
        <v>2.1560000000000001</v>
      </c>
      <c r="Y2117" s="32">
        <v>4.1399999999999997</v>
      </c>
      <c r="Z2117">
        <v>0</v>
      </c>
      <c r="AA2117" s="32">
        <v>1.524</v>
      </c>
      <c r="AB2117">
        <v>0</v>
      </c>
      <c r="AC2117" s="34">
        <v>0.187</v>
      </c>
      <c r="AD2117" s="32">
        <v>3.2850000000000001</v>
      </c>
    </row>
    <row r="2118" spans="1:30">
      <c r="A2118">
        <v>2116</v>
      </c>
      <c r="B2118">
        <v>36</v>
      </c>
      <c r="C2118">
        <v>2.145</v>
      </c>
      <c r="D2118">
        <v>4.1399999999999997</v>
      </c>
      <c r="E2118">
        <v>0</v>
      </c>
      <c r="F2118">
        <v>1.641</v>
      </c>
      <c r="G2118">
        <v>0</v>
      </c>
      <c r="H2118">
        <v>0.185</v>
      </c>
      <c r="I2118">
        <v>3.6070000000000002</v>
      </c>
      <c r="K2118">
        <v>2116</v>
      </c>
      <c r="L2118">
        <v>36</v>
      </c>
      <c r="M2118" s="32">
        <v>2.145</v>
      </c>
      <c r="N2118" s="32">
        <v>4.1399999999999997</v>
      </c>
      <c r="P2118" s="47">
        <v>1.643</v>
      </c>
      <c r="R2118" s="47">
        <v>0.187</v>
      </c>
      <c r="S2118" s="47">
        <v>3.5230000000000001</v>
      </c>
      <c r="T2118" s="31">
        <v>0</v>
      </c>
      <c r="V2118">
        <v>2116</v>
      </c>
      <c r="W2118">
        <v>34</v>
      </c>
      <c r="X2118">
        <v>2.157</v>
      </c>
      <c r="Y2118" s="32">
        <v>4.1399999999999997</v>
      </c>
      <c r="Z2118">
        <v>0</v>
      </c>
      <c r="AA2118" s="32">
        <v>1.524</v>
      </c>
      <c r="AB2118">
        <v>0</v>
      </c>
      <c r="AC2118" s="34">
        <v>0.187</v>
      </c>
      <c r="AD2118" s="32">
        <v>3.2869999999999999</v>
      </c>
    </row>
    <row r="2119" spans="1:30">
      <c r="A2119">
        <v>2117</v>
      </c>
      <c r="B2119">
        <v>36</v>
      </c>
      <c r="C2119">
        <v>2.1459999999999999</v>
      </c>
      <c r="D2119">
        <v>4.1399999999999997</v>
      </c>
      <c r="E2119">
        <v>0</v>
      </c>
      <c r="F2119">
        <v>1.641</v>
      </c>
      <c r="G2119">
        <v>0</v>
      </c>
      <c r="H2119">
        <v>0.185</v>
      </c>
      <c r="I2119">
        <v>3.609</v>
      </c>
      <c r="K2119">
        <v>2117</v>
      </c>
      <c r="L2119">
        <v>36</v>
      </c>
      <c r="M2119" s="32">
        <v>2.1459999999999999</v>
      </c>
      <c r="N2119" s="32">
        <v>4.1399999999999997</v>
      </c>
      <c r="P2119" s="47">
        <v>1.643</v>
      </c>
      <c r="R2119" s="47">
        <v>0.187</v>
      </c>
      <c r="S2119" s="47">
        <v>3.5249999999999999</v>
      </c>
      <c r="T2119" s="31">
        <v>0</v>
      </c>
      <c r="V2119">
        <v>2117</v>
      </c>
      <c r="W2119">
        <v>34</v>
      </c>
      <c r="X2119">
        <v>2.1579999999999999</v>
      </c>
      <c r="Y2119" s="32">
        <v>4.1399999999999997</v>
      </c>
      <c r="Z2119">
        <v>0</v>
      </c>
      <c r="AA2119" s="32">
        <v>1.524</v>
      </c>
      <c r="AB2119">
        <v>0</v>
      </c>
      <c r="AC2119" s="34">
        <v>0.187</v>
      </c>
      <c r="AD2119" s="32">
        <v>3.2890000000000001</v>
      </c>
    </row>
    <row r="2120" spans="1:30">
      <c r="A2120">
        <v>2118</v>
      </c>
      <c r="B2120">
        <v>36</v>
      </c>
      <c r="C2120">
        <v>2.1469999999999998</v>
      </c>
      <c r="D2120">
        <v>4.1399999999999997</v>
      </c>
      <c r="E2120">
        <v>0</v>
      </c>
      <c r="F2120">
        <v>1.641</v>
      </c>
      <c r="G2120">
        <v>0</v>
      </c>
      <c r="H2120">
        <v>0.185</v>
      </c>
      <c r="I2120">
        <v>3.6110000000000002</v>
      </c>
      <c r="K2120">
        <v>2118</v>
      </c>
      <c r="L2120">
        <v>36</v>
      </c>
      <c r="M2120" s="32">
        <v>2.1469999999999998</v>
      </c>
      <c r="N2120" s="32">
        <v>4.1399999999999997</v>
      </c>
      <c r="P2120" s="47">
        <v>1.643</v>
      </c>
      <c r="R2120" s="47">
        <v>0.187</v>
      </c>
      <c r="S2120" s="47">
        <v>3.5270000000000001</v>
      </c>
      <c r="T2120" s="31">
        <v>0</v>
      </c>
      <c r="V2120">
        <v>2118</v>
      </c>
      <c r="W2120">
        <v>34</v>
      </c>
      <c r="X2120">
        <v>2.1589999999999998</v>
      </c>
      <c r="Y2120" s="32">
        <v>4.1399999999999997</v>
      </c>
      <c r="Z2120">
        <v>0</v>
      </c>
      <c r="AA2120" s="32">
        <v>1.524</v>
      </c>
      <c r="AB2120">
        <v>0</v>
      </c>
      <c r="AC2120" s="34">
        <v>0.187</v>
      </c>
      <c r="AD2120" s="32">
        <v>3.2909999999999999</v>
      </c>
    </row>
    <row r="2121" spans="1:30">
      <c r="A2121">
        <v>2119</v>
      </c>
      <c r="B2121">
        <v>36</v>
      </c>
      <c r="C2121">
        <v>2.1480000000000001</v>
      </c>
      <c r="D2121">
        <v>4.1399999999999997</v>
      </c>
      <c r="E2121">
        <v>0</v>
      </c>
      <c r="F2121">
        <v>1.641</v>
      </c>
      <c r="G2121">
        <v>0</v>
      </c>
      <c r="H2121">
        <v>0.185</v>
      </c>
      <c r="I2121">
        <v>3.613</v>
      </c>
      <c r="K2121">
        <v>2119</v>
      </c>
      <c r="L2121">
        <v>36</v>
      </c>
      <c r="M2121" s="32">
        <v>2.1480000000000001</v>
      </c>
      <c r="N2121" s="32">
        <v>4.1399999999999997</v>
      </c>
      <c r="P2121" s="47">
        <v>1.643</v>
      </c>
      <c r="R2121" s="47">
        <v>0.187</v>
      </c>
      <c r="S2121" s="47">
        <v>3.53</v>
      </c>
      <c r="T2121" s="31">
        <v>0</v>
      </c>
      <c r="V2121">
        <v>2119</v>
      </c>
      <c r="W2121">
        <v>34</v>
      </c>
      <c r="X2121">
        <v>2.16</v>
      </c>
      <c r="Y2121" s="32">
        <v>4.1399999999999997</v>
      </c>
      <c r="Z2121">
        <v>0</v>
      </c>
      <c r="AA2121" s="32">
        <v>1.524</v>
      </c>
      <c r="AB2121">
        <v>0</v>
      </c>
      <c r="AC2121" s="34">
        <v>0.187</v>
      </c>
      <c r="AD2121" s="32">
        <v>3.2930000000000001</v>
      </c>
    </row>
    <row r="2122" spans="1:30">
      <c r="A2122">
        <v>2120</v>
      </c>
      <c r="B2122">
        <v>36</v>
      </c>
      <c r="C2122">
        <v>2.149</v>
      </c>
      <c r="D2122">
        <v>4.1399999999999997</v>
      </c>
      <c r="E2122">
        <v>0</v>
      </c>
      <c r="F2122">
        <v>1.641</v>
      </c>
      <c r="G2122">
        <v>0</v>
      </c>
      <c r="H2122">
        <v>0.185</v>
      </c>
      <c r="I2122">
        <v>3.6150000000000002</v>
      </c>
      <c r="K2122">
        <v>2120</v>
      </c>
      <c r="L2122">
        <v>36</v>
      </c>
      <c r="M2122" s="32">
        <v>2.149</v>
      </c>
      <c r="N2122" s="32">
        <v>4.1399999999999997</v>
      </c>
      <c r="P2122" s="47">
        <v>1.6439999999999999</v>
      </c>
      <c r="R2122" s="47">
        <v>0.187</v>
      </c>
      <c r="S2122" s="47">
        <v>3.532</v>
      </c>
      <c r="T2122" s="31">
        <v>0</v>
      </c>
      <c r="V2122">
        <v>2120</v>
      </c>
      <c r="W2122">
        <v>34</v>
      </c>
      <c r="X2122">
        <v>2.161</v>
      </c>
      <c r="Y2122" s="32">
        <v>4.1399999999999997</v>
      </c>
      <c r="Z2122">
        <v>0</v>
      </c>
      <c r="AA2122" s="32">
        <v>1.5249999999999999</v>
      </c>
      <c r="AB2122">
        <v>0</v>
      </c>
      <c r="AC2122" s="34">
        <v>0.187</v>
      </c>
      <c r="AD2122" s="32">
        <v>3.2949999999999999</v>
      </c>
    </row>
    <row r="2123" spans="1:30">
      <c r="A2123">
        <v>2121</v>
      </c>
      <c r="B2123">
        <v>36</v>
      </c>
      <c r="C2123">
        <v>2.15</v>
      </c>
      <c r="D2123">
        <v>4.1399999999999997</v>
      </c>
      <c r="E2123">
        <v>0</v>
      </c>
      <c r="F2123">
        <v>1.6439999999999999</v>
      </c>
      <c r="G2123">
        <v>0</v>
      </c>
      <c r="H2123">
        <v>0.185</v>
      </c>
      <c r="I2123">
        <v>3.5339999999999998</v>
      </c>
      <c r="K2123">
        <v>2121</v>
      </c>
      <c r="L2123">
        <v>36</v>
      </c>
      <c r="M2123" s="32">
        <v>2.15</v>
      </c>
      <c r="N2123" s="32">
        <v>4.1399999999999997</v>
      </c>
      <c r="P2123" s="32">
        <v>1.6439999999999999</v>
      </c>
      <c r="R2123" s="47">
        <v>0.187</v>
      </c>
      <c r="S2123" s="32">
        <v>3.5339999999999998</v>
      </c>
      <c r="T2123" s="31">
        <v>0</v>
      </c>
      <c r="V2123">
        <v>2121</v>
      </c>
      <c r="W2123">
        <v>34</v>
      </c>
      <c r="X2123">
        <v>2.1619999999999999</v>
      </c>
      <c r="Y2123" s="32">
        <v>4.1399999999999997</v>
      </c>
      <c r="Z2123">
        <v>0</v>
      </c>
      <c r="AA2123" s="32">
        <v>1.5249999999999999</v>
      </c>
      <c r="AB2123">
        <v>0</v>
      </c>
      <c r="AC2123" s="34">
        <v>0.187</v>
      </c>
      <c r="AD2123" s="32">
        <v>3.2970000000000002</v>
      </c>
    </row>
    <row r="2124" spans="1:30">
      <c r="A2124">
        <v>2122</v>
      </c>
      <c r="B2124">
        <v>36</v>
      </c>
      <c r="C2124">
        <v>2.1509999999999998</v>
      </c>
      <c r="D2124">
        <v>4.1399999999999997</v>
      </c>
      <c r="E2124">
        <v>0</v>
      </c>
      <c r="F2124">
        <v>1.6439999999999999</v>
      </c>
      <c r="G2124">
        <v>0</v>
      </c>
      <c r="H2124">
        <v>0.185</v>
      </c>
      <c r="I2124">
        <v>3.641</v>
      </c>
      <c r="K2124">
        <v>2122</v>
      </c>
      <c r="L2124">
        <v>36</v>
      </c>
      <c r="M2124" s="32">
        <v>2.1509999999999998</v>
      </c>
      <c r="N2124" s="32">
        <v>4.1399999999999997</v>
      </c>
      <c r="P2124" s="32">
        <v>1.6439999999999999</v>
      </c>
      <c r="R2124" s="47">
        <v>0.187</v>
      </c>
      <c r="S2124" s="47">
        <v>3.536</v>
      </c>
      <c r="T2124" s="31">
        <v>0</v>
      </c>
      <c r="V2124">
        <v>2122</v>
      </c>
      <c r="W2124">
        <v>34</v>
      </c>
      <c r="X2124">
        <v>2.1629999999999998</v>
      </c>
      <c r="Y2124" s="32">
        <v>4.1399999999999997</v>
      </c>
      <c r="Z2124">
        <v>0</v>
      </c>
      <c r="AA2124" s="32">
        <v>1.5249999999999999</v>
      </c>
      <c r="AB2124">
        <v>0</v>
      </c>
      <c r="AC2124" s="34">
        <v>0.187</v>
      </c>
      <c r="AD2124" s="32">
        <v>3.2989999999999999</v>
      </c>
    </row>
    <row r="2125" spans="1:30">
      <c r="A2125">
        <v>2123</v>
      </c>
      <c r="B2125">
        <v>36</v>
      </c>
      <c r="C2125">
        <v>2.1520000000000001</v>
      </c>
      <c r="D2125">
        <v>4.1399999999999997</v>
      </c>
      <c r="E2125">
        <v>0</v>
      </c>
      <c r="F2125">
        <v>1.6439999999999999</v>
      </c>
      <c r="G2125">
        <v>0</v>
      </c>
      <c r="H2125">
        <v>0.185</v>
      </c>
      <c r="I2125">
        <v>3.6429999999999998</v>
      </c>
      <c r="K2125">
        <v>2123</v>
      </c>
      <c r="L2125">
        <v>36</v>
      </c>
      <c r="M2125" s="32">
        <v>2.1520000000000001</v>
      </c>
      <c r="N2125" s="32">
        <v>4.1399999999999997</v>
      </c>
      <c r="P2125" s="32">
        <v>1.6439999999999999</v>
      </c>
      <c r="R2125" s="47">
        <v>0.187</v>
      </c>
      <c r="S2125" s="47">
        <v>3.5379999999999998</v>
      </c>
      <c r="T2125" s="31">
        <v>0</v>
      </c>
      <c r="V2125">
        <v>2123</v>
      </c>
      <c r="W2125">
        <v>34</v>
      </c>
      <c r="X2125">
        <v>2.1640000000000001</v>
      </c>
      <c r="Y2125" s="32">
        <v>4.1399999999999997</v>
      </c>
      <c r="Z2125">
        <v>0</v>
      </c>
      <c r="AA2125" s="32">
        <v>1.5249999999999999</v>
      </c>
      <c r="AB2125">
        <v>0</v>
      </c>
      <c r="AC2125" s="34">
        <v>0.187</v>
      </c>
      <c r="AD2125" s="32">
        <v>3.3</v>
      </c>
    </row>
    <row r="2126" spans="1:30">
      <c r="A2126">
        <v>2124</v>
      </c>
      <c r="B2126">
        <v>36</v>
      </c>
      <c r="C2126">
        <v>2.153</v>
      </c>
      <c r="D2126">
        <v>4.1399999999999997</v>
      </c>
      <c r="E2126">
        <v>0</v>
      </c>
      <c r="F2126">
        <v>1.6439999999999999</v>
      </c>
      <c r="G2126">
        <v>0</v>
      </c>
      <c r="H2126">
        <v>0.185</v>
      </c>
      <c r="I2126">
        <v>3.645</v>
      </c>
      <c r="K2126">
        <v>2124</v>
      </c>
      <c r="L2126">
        <v>36</v>
      </c>
      <c r="M2126" s="32">
        <v>2.153</v>
      </c>
      <c r="N2126" s="32">
        <v>4.1399999999999997</v>
      </c>
      <c r="P2126" s="47">
        <v>1.645</v>
      </c>
      <c r="R2126" s="47">
        <v>0.187</v>
      </c>
      <c r="S2126" s="47">
        <v>3.54</v>
      </c>
      <c r="T2126" s="31">
        <v>0</v>
      </c>
      <c r="V2126">
        <v>2124</v>
      </c>
      <c r="W2126">
        <v>34</v>
      </c>
      <c r="X2126">
        <v>2.165</v>
      </c>
      <c r="Y2126" s="32">
        <v>4.1399999999999997</v>
      </c>
      <c r="Z2126">
        <v>0</v>
      </c>
      <c r="AA2126" s="32">
        <v>1.5249999999999999</v>
      </c>
      <c r="AB2126">
        <v>0</v>
      </c>
      <c r="AC2126" s="34">
        <v>0.187</v>
      </c>
      <c r="AD2126" s="32">
        <v>3.302</v>
      </c>
    </row>
    <row r="2127" spans="1:30">
      <c r="A2127">
        <v>2125</v>
      </c>
      <c r="B2127">
        <v>36</v>
      </c>
      <c r="C2127">
        <v>2.1539999999999999</v>
      </c>
      <c r="D2127">
        <v>4.1399999999999997</v>
      </c>
      <c r="E2127">
        <v>0</v>
      </c>
      <c r="F2127">
        <v>1.6439999999999999</v>
      </c>
      <c r="G2127">
        <v>0</v>
      </c>
      <c r="H2127">
        <v>0.185</v>
      </c>
      <c r="I2127">
        <v>3.6469999999999998</v>
      </c>
      <c r="K2127">
        <v>2125</v>
      </c>
      <c r="L2127">
        <v>36</v>
      </c>
      <c r="M2127" s="32">
        <v>2.1539999999999999</v>
      </c>
      <c r="N2127" s="32">
        <v>4.1399999999999997</v>
      </c>
      <c r="P2127" s="47">
        <v>1.645</v>
      </c>
      <c r="R2127" s="47">
        <v>0.187</v>
      </c>
      <c r="S2127" s="47">
        <v>3.5419999999999998</v>
      </c>
      <c r="T2127" s="31">
        <v>0</v>
      </c>
      <c r="V2127">
        <v>2125</v>
      </c>
      <c r="W2127">
        <v>34</v>
      </c>
      <c r="X2127">
        <v>2.1659999999999999</v>
      </c>
      <c r="Y2127" s="32">
        <v>4.1399999999999997</v>
      </c>
      <c r="Z2127">
        <v>0</v>
      </c>
      <c r="AA2127" s="32">
        <v>1.5249999999999999</v>
      </c>
      <c r="AB2127">
        <v>0</v>
      </c>
      <c r="AC2127" s="34">
        <v>0.187</v>
      </c>
      <c r="AD2127" s="32">
        <v>3.3039999999999998</v>
      </c>
    </row>
    <row r="2128" spans="1:30">
      <c r="A2128">
        <v>2126</v>
      </c>
      <c r="B2128">
        <v>36</v>
      </c>
      <c r="C2128">
        <v>2.1549999999999998</v>
      </c>
      <c r="D2128">
        <v>4.1399999999999997</v>
      </c>
      <c r="E2128">
        <v>0</v>
      </c>
      <c r="F2128">
        <v>1.6439999999999999</v>
      </c>
      <c r="G2128">
        <v>0</v>
      </c>
      <c r="H2128">
        <v>0.185</v>
      </c>
      <c r="I2128">
        <v>3.65</v>
      </c>
      <c r="K2128">
        <v>2126</v>
      </c>
      <c r="L2128">
        <v>36</v>
      </c>
      <c r="M2128" s="32">
        <v>2.1549999999999998</v>
      </c>
      <c r="N2128" s="32">
        <v>4.1399999999999997</v>
      </c>
      <c r="P2128" s="47">
        <v>1.645</v>
      </c>
      <c r="R2128" s="47">
        <v>0.187</v>
      </c>
      <c r="S2128" s="47">
        <v>3.5449999999999999</v>
      </c>
      <c r="T2128" s="31">
        <v>0</v>
      </c>
      <c r="V2128">
        <v>2126</v>
      </c>
      <c r="W2128">
        <v>34</v>
      </c>
      <c r="X2128">
        <v>2.1669999999999998</v>
      </c>
      <c r="Y2128" s="32">
        <v>4.1399999999999997</v>
      </c>
      <c r="Z2128">
        <v>0</v>
      </c>
      <c r="AA2128" s="32">
        <v>1.526</v>
      </c>
      <c r="AB2128">
        <v>0</v>
      </c>
      <c r="AC2128" s="34">
        <v>0.187</v>
      </c>
      <c r="AD2128" s="32">
        <v>3.306</v>
      </c>
    </row>
    <row r="2129" spans="1:30">
      <c r="A2129">
        <v>2127</v>
      </c>
      <c r="B2129">
        <v>36</v>
      </c>
      <c r="C2129">
        <v>2.1560000000000001</v>
      </c>
      <c r="D2129">
        <v>4.1399999999999997</v>
      </c>
      <c r="E2129">
        <v>0</v>
      </c>
      <c r="F2129">
        <v>1.6439999999999999</v>
      </c>
      <c r="G2129">
        <v>0</v>
      </c>
      <c r="H2129">
        <v>0.185</v>
      </c>
      <c r="I2129">
        <v>3.6520000000000001</v>
      </c>
      <c r="K2129">
        <v>2127</v>
      </c>
      <c r="L2129">
        <v>36</v>
      </c>
      <c r="M2129" s="32">
        <v>2.1560000000000001</v>
      </c>
      <c r="N2129" s="32">
        <v>4.1399999999999997</v>
      </c>
      <c r="P2129" s="47">
        <v>1.645</v>
      </c>
      <c r="R2129" s="47">
        <v>0.187</v>
      </c>
      <c r="S2129" s="47">
        <v>3.5470000000000002</v>
      </c>
      <c r="T2129" s="31">
        <v>0</v>
      </c>
      <c r="V2129">
        <v>2127</v>
      </c>
      <c r="W2129">
        <v>34</v>
      </c>
      <c r="X2129">
        <v>2.1680000000000001</v>
      </c>
      <c r="Y2129" s="32">
        <v>4.1399999999999997</v>
      </c>
      <c r="Z2129">
        <v>0</v>
      </c>
      <c r="AA2129" s="32">
        <v>1.526</v>
      </c>
      <c r="AB2129">
        <v>0</v>
      </c>
      <c r="AC2129" s="34">
        <v>0.187</v>
      </c>
      <c r="AD2129" s="32">
        <v>3.3079999999999998</v>
      </c>
    </row>
    <row r="2130" spans="1:30">
      <c r="A2130">
        <v>2128</v>
      </c>
      <c r="B2130">
        <v>36</v>
      </c>
      <c r="C2130">
        <v>2.157</v>
      </c>
      <c r="D2130">
        <v>4.1399999999999997</v>
      </c>
      <c r="E2130">
        <v>0</v>
      </c>
      <c r="F2130">
        <v>1.6439999999999999</v>
      </c>
      <c r="G2130">
        <v>0</v>
      </c>
      <c r="H2130">
        <v>0.185</v>
      </c>
      <c r="I2130">
        <v>3.6539999999999999</v>
      </c>
      <c r="K2130">
        <v>2128</v>
      </c>
      <c r="L2130">
        <v>36</v>
      </c>
      <c r="M2130" s="32">
        <v>2.157</v>
      </c>
      <c r="N2130" s="32">
        <v>4.1399999999999997</v>
      </c>
      <c r="P2130" s="47">
        <v>1.645</v>
      </c>
      <c r="R2130" s="47">
        <v>0.188</v>
      </c>
      <c r="S2130" s="47">
        <v>3.5489999999999999</v>
      </c>
      <c r="T2130" s="31">
        <v>0</v>
      </c>
      <c r="V2130">
        <v>2128</v>
      </c>
      <c r="W2130">
        <v>34</v>
      </c>
      <c r="X2130">
        <v>2.169</v>
      </c>
      <c r="Y2130" s="32">
        <v>4.1399999999999997</v>
      </c>
      <c r="Z2130">
        <v>0</v>
      </c>
      <c r="AA2130" s="32">
        <v>1.526</v>
      </c>
      <c r="AB2130">
        <v>0</v>
      </c>
      <c r="AC2130" s="34">
        <v>0.187</v>
      </c>
      <c r="AD2130" s="32">
        <v>3.31</v>
      </c>
    </row>
    <row r="2131" spans="1:30">
      <c r="A2131">
        <v>2129</v>
      </c>
      <c r="B2131">
        <v>36</v>
      </c>
      <c r="C2131">
        <v>2.1579999999999999</v>
      </c>
      <c r="D2131">
        <v>4.1399999999999997</v>
      </c>
      <c r="E2131">
        <v>0</v>
      </c>
      <c r="F2131">
        <v>1.6439999999999999</v>
      </c>
      <c r="G2131">
        <v>0</v>
      </c>
      <c r="H2131">
        <v>0.185</v>
      </c>
      <c r="I2131">
        <v>3.6560000000000001</v>
      </c>
      <c r="K2131">
        <v>2129</v>
      </c>
      <c r="L2131">
        <v>36</v>
      </c>
      <c r="M2131" s="32">
        <v>2.1579999999999999</v>
      </c>
      <c r="N2131" s="32">
        <v>4.1399999999999997</v>
      </c>
      <c r="P2131" s="47">
        <v>1.6459999999999999</v>
      </c>
      <c r="R2131" s="47">
        <v>0.188</v>
      </c>
      <c r="S2131" s="47">
        <v>3.5510000000000002</v>
      </c>
      <c r="T2131" s="31">
        <v>0</v>
      </c>
      <c r="V2131">
        <v>2129</v>
      </c>
      <c r="W2131">
        <v>34</v>
      </c>
      <c r="X2131">
        <v>2.17</v>
      </c>
      <c r="Y2131" s="32">
        <v>4.1399999999999997</v>
      </c>
      <c r="Z2131">
        <v>0</v>
      </c>
      <c r="AA2131" s="32">
        <v>1.526</v>
      </c>
      <c r="AB2131">
        <v>0</v>
      </c>
      <c r="AC2131" s="34">
        <v>0.188</v>
      </c>
      <c r="AD2131" s="32">
        <v>3.3119999999999998</v>
      </c>
    </row>
    <row r="2132" spans="1:30">
      <c r="A2132">
        <v>2130</v>
      </c>
      <c r="B2132">
        <v>36</v>
      </c>
      <c r="C2132">
        <v>2.1589999999999998</v>
      </c>
      <c r="D2132">
        <v>4.1399999999999997</v>
      </c>
      <c r="E2132">
        <v>0</v>
      </c>
      <c r="F2132">
        <v>1.6439999999999999</v>
      </c>
      <c r="G2132">
        <v>0</v>
      </c>
      <c r="H2132">
        <v>0.185</v>
      </c>
      <c r="I2132">
        <v>3.6579999999999999</v>
      </c>
      <c r="K2132">
        <v>2130</v>
      </c>
      <c r="L2132">
        <v>36</v>
      </c>
      <c r="M2132" s="32">
        <v>2.1589999999999998</v>
      </c>
      <c r="N2132" s="32">
        <v>4.1399999999999997</v>
      </c>
      <c r="P2132" s="47">
        <v>1.6459999999999999</v>
      </c>
      <c r="R2132" s="47">
        <v>0.188</v>
      </c>
      <c r="S2132" s="47">
        <v>3.5529999999999999</v>
      </c>
      <c r="T2132" s="31">
        <v>0</v>
      </c>
      <c r="V2132">
        <v>2130</v>
      </c>
      <c r="W2132">
        <v>34</v>
      </c>
      <c r="X2132">
        <v>2.1709999999999998</v>
      </c>
      <c r="Y2132" s="32">
        <v>4.1399999999999997</v>
      </c>
      <c r="Z2132">
        <v>0</v>
      </c>
      <c r="AA2132" s="32">
        <v>1.526</v>
      </c>
      <c r="AB2132">
        <v>0</v>
      </c>
      <c r="AC2132" s="34">
        <v>0.188</v>
      </c>
      <c r="AD2132" s="32">
        <v>3.3140000000000001</v>
      </c>
    </row>
    <row r="2133" spans="1:30">
      <c r="A2133">
        <v>2131</v>
      </c>
      <c r="B2133">
        <v>36</v>
      </c>
      <c r="C2133">
        <v>2.16</v>
      </c>
      <c r="D2133">
        <v>4.1399999999999997</v>
      </c>
      <c r="E2133">
        <v>0</v>
      </c>
      <c r="F2133">
        <v>1.6459999999999999</v>
      </c>
      <c r="G2133">
        <v>0</v>
      </c>
      <c r="H2133">
        <v>0.185</v>
      </c>
      <c r="I2133">
        <v>3.5550000000000002</v>
      </c>
      <c r="K2133">
        <v>2131</v>
      </c>
      <c r="L2133">
        <v>36</v>
      </c>
      <c r="M2133" s="32">
        <v>2.16</v>
      </c>
      <c r="N2133" s="32">
        <v>4.1399999999999997</v>
      </c>
      <c r="P2133" s="32">
        <v>1.6459999999999999</v>
      </c>
      <c r="R2133" s="47">
        <v>0.188</v>
      </c>
      <c r="S2133" s="32">
        <v>3.5550000000000002</v>
      </c>
      <c r="T2133" s="31">
        <v>0</v>
      </c>
      <c r="V2133">
        <v>2131</v>
      </c>
      <c r="W2133">
        <v>34</v>
      </c>
      <c r="X2133">
        <v>2.1720000000000002</v>
      </c>
      <c r="Y2133" s="32">
        <v>4.1399999999999997</v>
      </c>
      <c r="Z2133">
        <v>0</v>
      </c>
      <c r="AA2133" s="32">
        <v>1.5269999999999999</v>
      </c>
      <c r="AB2133">
        <v>0</v>
      </c>
      <c r="AC2133" s="34">
        <v>0.188</v>
      </c>
      <c r="AD2133" s="32">
        <v>3.3159999999999998</v>
      </c>
    </row>
    <row r="2134" spans="1:30">
      <c r="A2134">
        <v>2132</v>
      </c>
      <c r="B2134">
        <v>36</v>
      </c>
      <c r="C2134">
        <v>2.161</v>
      </c>
      <c r="D2134">
        <v>4.1399999999999997</v>
      </c>
      <c r="E2134">
        <v>0</v>
      </c>
      <c r="F2134">
        <v>1.6459999999999999</v>
      </c>
      <c r="G2134">
        <v>0</v>
      </c>
      <c r="H2134">
        <v>0.185</v>
      </c>
      <c r="I2134">
        <v>3.6829999999999998</v>
      </c>
      <c r="K2134">
        <v>2132</v>
      </c>
      <c r="L2134">
        <v>36</v>
      </c>
      <c r="M2134" s="32">
        <v>2.161</v>
      </c>
      <c r="N2134" s="32">
        <v>4.1399999999999997</v>
      </c>
      <c r="P2134" s="32">
        <v>1.6459999999999999</v>
      </c>
      <c r="R2134" s="47">
        <v>0.188</v>
      </c>
      <c r="S2134" s="47">
        <v>3.5569999999999999</v>
      </c>
      <c r="T2134" s="31">
        <v>0</v>
      </c>
      <c r="V2134">
        <v>2132</v>
      </c>
      <c r="W2134">
        <v>34</v>
      </c>
      <c r="X2134">
        <v>2.173</v>
      </c>
      <c r="Y2134" s="32">
        <v>4.1399999999999997</v>
      </c>
      <c r="Z2134">
        <v>0</v>
      </c>
      <c r="AA2134" s="32">
        <v>1.5269999999999999</v>
      </c>
      <c r="AB2134">
        <v>0</v>
      </c>
      <c r="AC2134" s="34">
        <v>0.188</v>
      </c>
      <c r="AD2134" s="32">
        <v>3.3180000000000001</v>
      </c>
    </row>
    <row r="2135" spans="1:30">
      <c r="A2135">
        <v>2133</v>
      </c>
      <c r="B2135">
        <v>36</v>
      </c>
      <c r="C2135">
        <v>2.1619999999999999</v>
      </c>
      <c r="D2135">
        <v>4.1399999999999997</v>
      </c>
      <c r="E2135">
        <v>0</v>
      </c>
      <c r="F2135">
        <v>1.6459999999999999</v>
      </c>
      <c r="G2135">
        <v>0</v>
      </c>
      <c r="H2135">
        <v>0.185</v>
      </c>
      <c r="I2135">
        <v>3.6850000000000001</v>
      </c>
      <c r="K2135">
        <v>2133</v>
      </c>
      <c r="L2135">
        <v>36</v>
      </c>
      <c r="M2135" s="32">
        <v>2.1619999999999999</v>
      </c>
      <c r="N2135" s="32">
        <v>4.1399999999999997</v>
      </c>
      <c r="P2135" s="32">
        <v>1.6459999999999999</v>
      </c>
      <c r="R2135" s="47">
        <v>0.188</v>
      </c>
      <c r="S2135" s="47">
        <v>3.5590000000000002</v>
      </c>
      <c r="T2135" s="31">
        <v>0</v>
      </c>
      <c r="V2135">
        <v>2133</v>
      </c>
      <c r="W2135">
        <v>34</v>
      </c>
      <c r="X2135">
        <v>2.1739999999999999</v>
      </c>
      <c r="Y2135" s="32">
        <v>4.1399999999999997</v>
      </c>
      <c r="Z2135">
        <v>0</v>
      </c>
      <c r="AA2135" s="32">
        <v>1.5269999999999999</v>
      </c>
      <c r="AB2135">
        <v>0</v>
      </c>
      <c r="AC2135" s="34">
        <v>0.188</v>
      </c>
      <c r="AD2135" s="32">
        <v>3.32</v>
      </c>
    </row>
    <row r="2136" spans="1:30">
      <c r="A2136">
        <v>2134</v>
      </c>
      <c r="B2136">
        <v>36</v>
      </c>
      <c r="C2136">
        <v>2.1629999999999998</v>
      </c>
      <c r="D2136">
        <v>4.1399999999999997</v>
      </c>
      <c r="E2136">
        <v>0</v>
      </c>
      <c r="F2136">
        <v>1.6459999999999999</v>
      </c>
      <c r="G2136">
        <v>0</v>
      </c>
      <c r="H2136">
        <v>0.185</v>
      </c>
      <c r="I2136">
        <v>3.6869999999999998</v>
      </c>
      <c r="K2136">
        <v>2134</v>
      </c>
      <c r="L2136">
        <v>36</v>
      </c>
      <c r="M2136" s="32">
        <v>2.1629999999999998</v>
      </c>
      <c r="N2136" s="32">
        <v>4.1399999999999997</v>
      </c>
      <c r="P2136" s="47">
        <v>1.647</v>
      </c>
      <c r="R2136" s="47">
        <v>0.188</v>
      </c>
      <c r="S2136" s="47">
        <v>3.5619999999999998</v>
      </c>
      <c r="T2136" s="31">
        <v>0</v>
      </c>
      <c r="V2136">
        <v>2134</v>
      </c>
      <c r="W2136">
        <v>34</v>
      </c>
      <c r="X2136">
        <v>2.1749999999999998</v>
      </c>
      <c r="Y2136" s="32">
        <v>4.1399999999999997</v>
      </c>
      <c r="Z2136">
        <v>0</v>
      </c>
      <c r="AA2136" s="32">
        <v>1.5269999999999999</v>
      </c>
      <c r="AB2136">
        <v>0</v>
      </c>
      <c r="AC2136" s="34">
        <v>0.188</v>
      </c>
      <c r="AD2136" s="32">
        <v>3.3210000000000002</v>
      </c>
    </row>
    <row r="2137" spans="1:30">
      <c r="A2137">
        <v>2135</v>
      </c>
      <c r="B2137">
        <v>36</v>
      </c>
      <c r="C2137">
        <v>2.1640000000000001</v>
      </c>
      <c r="D2137">
        <v>4.1399999999999997</v>
      </c>
      <c r="E2137">
        <v>0</v>
      </c>
      <c r="F2137">
        <v>1.6459999999999999</v>
      </c>
      <c r="G2137">
        <v>0</v>
      </c>
      <c r="H2137">
        <v>0.185</v>
      </c>
      <c r="I2137">
        <v>3.6890000000000001</v>
      </c>
      <c r="K2137">
        <v>2135</v>
      </c>
      <c r="L2137">
        <v>36</v>
      </c>
      <c r="M2137" s="32">
        <v>2.1640000000000001</v>
      </c>
      <c r="N2137" s="32">
        <v>4.1399999999999997</v>
      </c>
      <c r="P2137" s="47">
        <v>1.647</v>
      </c>
      <c r="R2137" s="47">
        <v>0.188</v>
      </c>
      <c r="S2137" s="47">
        <v>3.5640000000000001</v>
      </c>
      <c r="T2137" s="31">
        <v>0</v>
      </c>
      <c r="V2137">
        <v>2135</v>
      </c>
      <c r="W2137">
        <v>34</v>
      </c>
      <c r="X2137">
        <v>2.1760000000000002</v>
      </c>
      <c r="Y2137" s="32">
        <v>4.1399999999999997</v>
      </c>
      <c r="Z2137">
        <v>0</v>
      </c>
      <c r="AA2137" s="32">
        <v>1.5269999999999999</v>
      </c>
      <c r="AB2137">
        <v>0</v>
      </c>
      <c r="AC2137" s="34">
        <v>0.188</v>
      </c>
      <c r="AD2137" s="32">
        <v>3.323</v>
      </c>
    </row>
    <row r="2138" spans="1:30">
      <c r="A2138">
        <v>2136</v>
      </c>
      <c r="B2138">
        <v>36</v>
      </c>
      <c r="C2138">
        <v>2.165</v>
      </c>
      <c r="D2138">
        <v>4.1399999999999997</v>
      </c>
      <c r="E2138">
        <v>0</v>
      </c>
      <c r="F2138">
        <v>1.6459999999999999</v>
      </c>
      <c r="G2138">
        <v>0</v>
      </c>
      <c r="H2138">
        <v>0.185</v>
      </c>
      <c r="I2138">
        <v>3.6920000000000002</v>
      </c>
      <c r="K2138">
        <v>2136</v>
      </c>
      <c r="L2138">
        <v>36</v>
      </c>
      <c r="M2138" s="32">
        <v>2.165</v>
      </c>
      <c r="N2138" s="32">
        <v>4.1399999999999997</v>
      </c>
      <c r="P2138" s="47">
        <v>1.647</v>
      </c>
      <c r="R2138" s="47">
        <v>0.188</v>
      </c>
      <c r="S2138" s="47">
        <v>3.5659999999999998</v>
      </c>
      <c r="T2138" s="31">
        <v>0</v>
      </c>
      <c r="V2138">
        <v>2136</v>
      </c>
      <c r="W2138">
        <v>34</v>
      </c>
      <c r="X2138">
        <v>2.177</v>
      </c>
      <c r="Y2138" s="32">
        <v>4.1399999999999997</v>
      </c>
      <c r="Z2138">
        <v>0</v>
      </c>
      <c r="AA2138" s="32">
        <v>1.5269999999999999</v>
      </c>
      <c r="AB2138">
        <v>0</v>
      </c>
      <c r="AC2138" s="34">
        <v>0.188</v>
      </c>
      <c r="AD2138" s="32">
        <v>3.3250000000000002</v>
      </c>
    </row>
    <row r="2139" spans="1:30">
      <c r="A2139">
        <v>2137</v>
      </c>
      <c r="B2139">
        <v>36</v>
      </c>
      <c r="C2139">
        <v>2.1659999999999999</v>
      </c>
      <c r="D2139">
        <v>4.1399999999999997</v>
      </c>
      <c r="E2139">
        <v>0</v>
      </c>
      <c r="F2139">
        <v>1.6459999999999999</v>
      </c>
      <c r="G2139">
        <v>0</v>
      </c>
      <c r="H2139">
        <v>0.185</v>
      </c>
      <c r="I2139">
        <v>3.694</v>
      </c>
      <c r="K2139">
        <v>2137</v>
      </c>
      <c r="L2139">
        <v>36</v>
      </c>
      <c r="M2139" s="32">
        <v>2.1659999999999999</v>
      </c>
      <c r="N2139" s="32">
        <v>4.1399999999999997</v>
      </c>
      <c r="P2139" s="47">
        <v>1.647</v>
      </c>
      <c r="R2139" s="47">
        <v>0.188</v>
      </c>
      <c r="S2139" s="47">
        <v>3.5680000000000001</v>
      </c>
      <c r="T2139" s="31">
        <v>0</v>
      </c>
      <c r="V2139">
        <v>2137</v>
      </c>
      <c r="W2139">
        <v>34</v>
      </c>
      <c r="X2139">
        <v>2.1779999999999999</v>
      </c>
      <c r="Y2139" s="32">
        <v>4.1399999999999997</v>
      </c>
      <c r="Z2139">
        <v>0</v>
      </c>
      <c r="AA2139" s="32">
        <v>1.528</v>
      </c>
      <c r="AB2139">
        <v>0</v>
      </c>
      <c r="AC2139" s="34">
        <v>0.188</v>
      </c>
      <c r="AD2139" s="32">
        <v>3.327</v>
      </c>
    </row>
    <row r="2140" spans="1:30">
      <c r="A2140">
        <v>2138</v>
      </c>
      <c r="B2140">
        <v>36</v>
      </c>
      <c r="C2140">
        <v>2.1669999999999998</v>
      </c>
      <c r="D2140">
        <v>4.1399999999999997</v>
      </c>
      <c r="E2140">
        <v>0</v>
      </c>
      <c r="F2140">
        <v>1.6459999999999999</v>
      </c>
      <c r="G2140">
        <v>0</v>
      </c>
      <c r="H2140">
        <v>0.185</v>
      </c>
      <c r="I2140">
        <v>3.6960000000000002</v>
      </c>
      <c r="K2140">
        <v>2138</v>
      </c>
      <c r="L2140">
        <v>36</v>
      </c>
      <c r="M2140" s="32">
        <v>2.1669999999999998</v>
      </c>
      <c r="N2140" s="32">
        <v>4.1399999999999997</v>
      </c>
      <c r="P2140" s="47">
        <v>1.647</v>
      </c>
      <c r="R2140" s="47">
        <v>0.188</v>
      </c>
      <c r="S2140" s="47">
        <v>3.57</v>
      </c>
      <c r="T2140" s="31">
        <v>0</v>
      </c>
      <c r="V2140">
        <v>2138</v>
      </c>
      <c r="W2140">
        <v>34</v>
      </c>
      <c r="X2140">
        <v>2.1789999999999998</v>
      </c>
      <c r="Y2140" s="32">
        <v>4.1399999999999997</v>
      </c>
      <c r="Z2140">
        <v>0</v>
      </c>
      <c r="AA2140" s="32">
        <v>1.528</v>
      </c>
      <c r="AB2140">
        <v>0</v>
      </c>
      <c r="AC2140" s="34">
        <v>0.188</v>
      </c>
      <c r="AD2140" s="32">
        <v>3.3290000000000002</v>
      </c>
    </row>
    <row r="2141" spans="1:30">
      <c r="A2141">
        <v>2139</v>
      </c>
      <c r="B2141">
        <v>36</v>
      </c>
      <c r="C2141">
        <v>2.1680000000000001</v>
      </c>
      <c r="D2141">
        <v>4.1399999999999997</v>
      </c>
      <c r="E2141">
        <v>0</v>
      </c>
      <c r="F2141">
        <v>1.6459999999999999</v>
      </c>
      <c r="G2141">
        <v>0</v>
      </c>
      <c r="H2141">
        <v>0.185</v>
      </c>
      <c r="I2141">
        <v>3.698</v>
      </c>
      <c r="K2141">
        <v>2139</v>
      </c>
      <c r="L2141">
        <v>36</v>
      </c>
      <c r="M2141" s="32">
        <v>2.1680000000000001</v>
      </c>
      <c r="N2141" s="32">
        <v>4.1399999999999997</v>
      </c>
      <c r="P2141" s="47">
        <v>1.6479999999999999</v>
      </c>
      <c r="R2141" s="47">
        <v>0.188</v>
      </c>
      <c r="S2141" s="47">
        <v>3.573</v>
      </c>
      <c r="T2141" s="31">
        <v>0</v>
      </c>
      <c r="V2141">
        <v>2139</v>
      </c>
      <c r="W2141">
        <v>34</v>
      </c>
      <c r="X2141">
        <v>2.1800000000000002</v>
      </c>
      <c r="Y2141" s="32">
        <v>4.1399999999999997</v>
      </c>
      <c r="Z2141">
        <v>0</v>
      </c>
      <c r="AA2141" s="32">
        <v>1.528</v>
      </c>
      <c r="AB2141">
        <v>0</v>
      </c>
      <c r="AC2141" s="34">
        <v>0.188</v>
      </c>
      <c r="AD2141" s="32">
        <v>3.331</v>
      </c>
    </row>
    <row r="2142" spans="1:30">
      <c r="A2142">
        <v>2140</v>
      </c>
      <c r="B2142">
        <v>36</v>
      </c>
      <c r="C2142">
        <v>2.169</v>
      </c>
      <c r="D2142">
        <v>4.1399999999999997</v>
      </c>
      <c r="E2142">
        <v>0</v>
      </c>
      <c r="F2142">
        <v>1.6459999999999999</v>
      </c>
      <c r="G2142">
        <v>0</v>
      </c>
      <c r="H2142">
        <v>0.185</v>
      </c>
      <c r="I2142">
        <v>3.7</v>
      </c>
      <c r="K2142">
        <v>2140</v>
      </c>
      <c r="L2142">
        <v>36</v>
      </c>
      <c r="M2142" s="32">
        <v>2.169</v>
      </c>
      <c r="N2142" s="32">
        <v>4.1399999999999997</v>
      </c>
      <c r="P2142" s="47">
        <v>1.6479999999999999</v>
      </c>
      <c r="R2142" s="47">
        <v>0.188</v>
      </c>
      <c r="S2142" s="47">
        <v>3.5750000000000002</v>
      </c>
      <c r="T2142" s="31">
        <v>0</v>
      </c>
      <c r="V2142">
        <v>2140</v>
      </c>
      <c r="W2142">
        <v>34</v>
      </c>
      <c r="X2142">
        <v>2.181</v>
      </c>
      <c r="Y2142" s="32">
        <v>4.1539999999999999</v>
      </c>
      <c r="Z2142">
        <v>0</v>
      </c>
      <c r="AA2142" s="32">
        <v>1.528</v>
      </c>
      <c r="AB2142">
        <v>0</v>
      </c>
      <c r="AC2142" s="34">
        <v>0.188</v>
      </c>
      <c r="AD2142" s="32">
        <v>3.3330000000000002</v>
      </c>
    </row>
    <row r="2143" spans="1:30">
      <c r="A2143">
        <v>2141</v>
      </c>
      <c r="B2143">
        <v>36</v>
      </c>
      <c r="C2143">
        <v>2.17</v>
      </c>
      <c r="D2143">
        <v>4.1399999999999997</v>
      </c>
      <c r="E2143">
        <v>0</v>
      </c>
      <c r="F2143">
        <v>1.6479999999999999</v>
      </c>
      <c r="G2143">
        <v>0</v>
      </c>
      <c r="H2143">
        <v>0.185</v>
      </c>
      <c r="I2143">
        <v>3.577</v>
      </c>
      <c r="K2143">
        <v>2141</v>
      </c>
      <c r="L2143">
        <v>36</v>
      </c>
      <c r="M2143" s="32">
        <v>2.17</v>
      </c>
      <c r="N2143" s="32">
        <v>4.1399999999999997</v>
      </c>
      <c r="P2143" s="32">
        <v>1.6479999999999999</v>
      </c>
      <c r="R2143" s="47">
        <v>0.188</v>
      </c>
      <c r="S2143" s="32">
        <v>3.577</v>
      </c>
      <c r="T2143" s="31">
        <v>0</v>
      </c>
      <c r="V2143">
        <v>2141</v>
      </c>
      <c r="W2143">
        <v>34</v>
      </c>
      <c r="X2143">
        <v>2.1819999999999999</v>
      </c>
      <c r="Y2143" s="32">
        <v>4.1680000000000001</v>
      </c>
      <c r="Z2143">
        <v>0</v>
      </c>
      <c r="AA2143" s="32">
        <v>1.528</v>
      </c>
      <c r="AB2143">
        <v>0</v>
      </c>
      <c r="AC2143" s="34">
        <v>0.188</v>
      </c>
      <c r="AD2143" s="32">
        <v>3.335</v>
      </c>
    </row>
    <row r="2144" spans="1:30">
      <c r="A2144">
        <v>2142</v>
      </c>
      <c r="B2144">
        <v>36</v>
      </c>
      <c r="C2144">
        <v>2.1709999999999998</v>
      </c>
      <c r="D2144">
        <v>4.1399999999999997</v>
      </c>
      <c r="E2144">
        <v>0</v>
      </c>
      <c r="F2144">
        <v>1.6479999999999999</v>
      </c>
      <c r="G2144">
        <v>0</v>
      </c>
      <c r="H2144">
        <v>0.185</v>
      </c>
      <c r="I2144">
        <v>3.726</v>
      </c>
      <c r="K2144">
        <v>2142</v>
      </c>
      <c r="L2144">
        <v>36</v>
      </c>
      <c r="M2144" s="32">
        <v>2.1709999999999998</v>
      </c>
      <c r="N2144" s="32">
        <v>4.1399999999999997</v>
      </c>
      <c r="P2144" s="32">
        <v>1.6479999999999999</v>
      </c>
      <c r="R2144" s="47">
        <v>0.188</v>
      </c>
      <c r="S2144" s="47">
        <v>3.5790000000000002</v>
      </c>
      <c r="T2144" s="31">
        <v>0</v>
      </c>
      <c r="V2144">
        <v>2142</v>
      </c>
      <c r="W2144">
        <v>34</v>
      </c>
      <c r="X2144">
        <v>2.1829999999999998</v>
      </c>
      <c r="Y2144" s="32">
        <v>4.1820000000000004</v>
      </c>
      <c r="Z2144">
        <v>0</v>
      </c>
      <c r="AA2144" s="32">
        <v>1.5289999999999999</v>
      </c>
      <c r="AB2144">
        <v>0</v>
      </c>
      <c r="AC2144" s="34">
        <v>0.188</v>
      </c>
      <c r="AD2144" s="32">
        <v>3.3370000000000002</v>
      </c>
    </row>
    <row r="2145" spans="1:30">
      <c r="A2145">
        <v>2143</v>
      </c>
      <c r="B2145">
        <v>36</v>
      </c>
      <c r="C2145">
        <v>2.1720000000000002</v>
      </c>
      <c r="D2145">
        <v>4.1399999999999997</v>
      </c>
      <c r="E2145">
        <v>0</v>
      </c>
      <c r="F2145">
        <v>1.6479999999999999</v>
      </c>
      <c r="G2145">
        <v>0</v>
      </c>
      <c r="H2145">
        <v>0.185</v>
      </c>
      <c r="I2145">
        <v>3.7280000000000002</v>
      </c>
      <c r="K2145">
        <v>2143</v>
      </c>
      <c r="L2145">
        <v>36</v>
      </c>
      <c r="M2145" s="32">
        <v>2.1720000000000002</v>
      </c>
      <c r="N2145" s="32">
        <v>4.1399999999999997</v>
      </c>
      <c r="P2145" s="47">
        <v>1.649</v>
      </c>
      <c r="R2145" s="47">
        <v>0.188</v>
      </c>
      <c r="S2145" s="47">
        <v>3.581</v>
      </c>
      <c r="T2145" s="31">
        <v>0</v>
      </c>
      <c r="V2145">
        <v>2143</v>
      </c>
      <c r="W2145">
        <v>34</v>
      </c>
      <c r="X2145">
        <v>2.1840000000000002</v>
      </c>
      <c r="Y2145" s="32">
        <v>4.1959999999999997</v>
      </c>
      <c r="Z2145">
        <v>0</v>
      </c>
      <c r="AA2145" s="32">
        <v>1.5289999999999999</v>
      </c>
      <c r="AB2145">
        <v>0</v>
      </c>
      <c r="AC2145" s="34">
        <v>0.189</v>
      </c>
      <c r="AD2145" s="32">
        <v>3.339</v>
      </c>
    </row>
    <row r="2146" spans="1:30">
      <c r="A2146">
        <v>2144</v>
      </c>
      <c r="B2146">
        <v>36</v>
      </c>
      <c r="C2146">
        <v>2.173</v>
      </c>
      <c r="D2146">
        <v>4.1399999999999997</v>
      </c>
      <c r="E2146">
        <v>0</v>
      </c>
      <c r="F2146">
        <v>1.6479999999999999</v>
      </c>
      <c r="G2146">
        <v>0</v>
      </c>
      <c r="H2146">
        <v>0.185</v>
      </c>
      <c r="I2146">
        <v>3.73</v>
      </c>
      <c r="K2146">
        <v>2144</v>
      </c>
      <c r="L2146">
        <v>36</v>
      </c>
      <c r="M2146" s="32">
        <v>2.173</v>
      </c>
      <c r="N2146" s="32">
        <v>4.1399999999999997</v>
      </c>
      <c r="P2146" s="47">
        <v>1.649</v>
      </c>
      <c r="R2146" s="47">
        <v>0.188</v>
      </c>
      <c r="S2146" s="47">
        <v>3.5830000000000002</v>
      </c>
      <c r="T2146" s="31">
        <v>0</v>
      </c>
      <c r="V2146">
        <v>2144</v>
      </c>
      <c r="W2146">
        <v>34</v>
      </c>
      <c r="X2146">
        <v>2.1850000000000001</v>
      </c>
      <c r="Y2146" s="32">
        <v>4.21</v>
      </c>
      <c r="Z2146">
        <v>0</v>
      </c>
      <c r="AA2146" s="32">
        <v>1.5289999999999999</v>
      </c>
      <c r="AB2146">
        <v>0</v>
      </c>
      <c r="AC2146" s="34">
        <v>0.189</v>
      </c>
      <c r="AD2146" s="32">
        <v>3.3410000000000002</v>
      </c>
    </row>
    <row r="2147" spans="1:30">
      <c r="A2147">
        <v>2145</v>
      </c>
      <c r="B2147">
        <v>36</v>
      </c>
      <c r="C2147">
        <v>2.1739999999999999</v>
      </c>
      <c r="D2147">
        <v>4.1399999999999997</v>
      </c>
      <c r="E2147">
        <v>0</v>
      </c>
      <c r="F2147">
        <v>1.6479999999999999</v>
      </c>
      <c r="G2147">
        <v>0</v>
      </c>
      <c r="H2147">
        <v>0.185</v>
      </c>
      <c r="I2147">
        <v>3.7320000000000002</v>
      </c>
      <c r="K2147">
        <v>2145</v>
      </c>
      <c r="L2147">
        <v>36</v>
      </c>
      <c r="M2147" s="32">
        <v>2.1739999999999999</v>
      </c>
      <c r="N2147" s="32">
        <v>4.1399999999999997</v>
      </c>
      <c r="P2147" s="47">
        <v>1.649</v>
      </c>
      <c r="R2147" s="47">
        <v>0.188</v>
      </c>
      <c r="S2147" s="47">
        <v>3.585</v>
      </c>
      <c r="T2147" s="31">
        <v>0</v>
      </c>
      <c r="V2147">
        <v>2145</v>
      </c>
      <c r="W2147">
        <v>34</v>
      </c>
      <c r="X2147">
        <v>2.1859999999999999</v>
      </c>
      <c r="Y2147" s="32">
        <v>4.2240000000000002</v>
      </c>
      <c r="Z2147">
        <v>0</v>
      </c>
      <c r="AA2147" s="32">
        <v>1.5289999999999999</v>
      </c>
      <c r="AB2147">
        <v>0</v>
      </c>
      <c r="AC2147" s="34">
        <v>0.189</v>
      </c>
      <c r="AD2147" s="32">
        <v>3.3420000000000001</v>
      </c>
    </row>
    <row r="2148" spans="1:30">
      <c r="A2148">
        <v>2146</v>
      </c>
      <c r="B2148">
        <v>36</v>
      </c>
      <c r="C2148">
        <v>2.1749999999999998</v>
      </c>
      <c r="D2148">
        <v>4.1399999999999997</v>
      </c>
      <c r="E2148">
        <v>0</v>
      </c>
      <c r="F2148">
        <v>1.6479999999999999</v>
      </c>
      <c r="G2148">
        <v>0</v>
      </c>
      <c r="H2148">
        <v>0.185</v>
      </c>
      <c r="I2148">
        <v>3.7349999999999999</v>
      </c>
      <c r="K2148">
        <v>2146</v>
      </c>
      <c r="L2148">
        <v>36</v>
      </c>
      <c r="M2148" s="32">
        <v>2.1749999999999998</v>
      </c>
      <c r="N2148" s="32">
        <v>4.1399999999999997</v>
      </c>
      <c r="P2148" s="47">
        <v>1.65</v>
      </c>
      <c r="R2148" s="47">
        <v>0.188</v>
      </c>
      <c r="S2148" s="47">
        <v>3.5880000000000001</v>
      </c>
      <c r="T2148" s="31">
        <v>0</v>
      </c>
      <c r="V2148">
        <v>2146</v>
      </c>
      <c r="W2148">
        <v>34</v>
      </c>
      <c r="X2148">
        <v>2.1869999999999998</v>
      </c>
      <c r="Y2148" s="32">
        <v>4.2380000000000004</v>
      </c>
      <c r="Z2148">
        <v>0</v>
      </c>
      <c r="AA2148" s="32">
        <v>1.5289999999999999</v>
      </c>
      <c r="AB2148">
        <v>0</v>
      </c>
      <c r="AC2148" s="34">
        <v>0.189</v>
      </c>
      <c r="AD2148" s="32">
        <v>3.3439999999999999</v>
      </c>
    </row>
    <row r="2149" spans="1:30">
      <c r="A2149">
        <v>2147</v>
      </c>
      <c r="B2149">
        <v>36</v>
      </c>
      <c r="C2149">
        <v>2.1760000000000002</v>
      </c>
      <c r="D2149">
        <v>4.1399999999999997</v>
      </c>
      <c r="E2149">
        <v>0</v>
      </c>
      <c r="F2149">
        <v>1.6479999999999999</v>
      </c>
      <c r="G2149">
        <v>0</v>
      </c>
      <c r="H2149">
        <v>0.185</v>
      </c>
      <c r="I2149">
        <v>3.7370000000000001</v>
      </c>
      <c r="K2149">
        <v>2147</v>
      </c>
      <c r="L2149">
        <v>36</v>
      </c>
      <c r="M2149" s="32">
        <v>2.1760000000000002</v>
      </c>
      <c r="N2149" s="32">
        <v>4.1399999999999997</v>
      </c>
      <c r="P2149" s="47">
        <v>1.65</v>
      </c>
      <c r="R2149" s="47">
        <v>0.188</v>
      </c>
      <c r="S2149" s="47">
        <v>3.59</v>
      </c>
      <c r="T2149" s="31">
        <v>0</v>
      </c>
      <c r="V2149">
        <v>2147</v>
      </c>
      <c r="W2149">
        <v>34</v>
      </c>
      <c r="X2149">
        <v>2.1880000000000002</v>
      </c>
      <c r="Y2149" s="32">
        <v>4.2519999999999998</v>
      </c>
      <c r="Z2149">
        <v>0</v>
      </c>
      <c r="AA2149" s="32">
        <v>1.5289999999999999</v>
      </c>
      <c r="AB2149">
        <v>0</v>
      </c>
      <c r="AC2149" s="34">
        <v>0.189</v>
      </c>
      <c r="AD2149" s="32">
        <v>3.3460000000000001</v>
      </c>
    </row>
    <row r="2150" spans="1:30">
      <c r="A2150">
        <v>2148</v>
      </c>
      <c r="B2150">
        <v>36</v>
      </c>
      <c r="C2150">
        <v>2.177</v>
      </c>
      <c r="D2150">
        <v>4.1399999999999997</v>
      </c>
      <c r="E2150">
        <v>0</v>
      </c>
      <c r="F2150">
        <v>1.6479999999999999</v>
      </c>
      <c r="G2150">
        <v>0</v>
      </c>
      <c r="H2150">
        <v>0.185</v>
      </c>
      <c r="I2150">
        <v>3.7389999999999999</v>
      </c>
      <c r="K2150">
        <v>2148</v>
      </c>
      <c r="L2150">
        <v>36</v>
      </c>
      <c r="M2150" s="32">
        <v>2.177</v>
      </c>
      <c r="N2150" s="32">
        <v>4.1399999999999997</v>
      </c>
      <c r="P2150" s="47">
        <v>1.65</v>
      </c>
      <c r="R2150" s="47">
        <v>0.188</v>
      </c>
      <c r="S2150" s="47">
        <v>3.5920000000000001</v>
      </c>
      <c r="T2150" s="31">
        <v>0</v>
      </c>
      <c r="V2150">
        <v>2148</v>
      </c>
      <c r="W2150">
        <v>34</v>
      </c>
      <c r="X2150">
        <v>2.1890000000000001</v>
      </c>
      <c r="Y2150" s="32">
        <v>4.266</v>
      </c>
      <c r="Z2150">
        <v>0</v>
      </c>
      <c r="AA2150" s="32">
        <v>1.53</v>
      </c>
      <c r="AB2150">
        <v>0</v>
      </c>
      <c r="AC2150" s="34">
        <v>0.189</v>
      </c>
      <c r="AD2150" s="32">
        <v>3.3479999999999999</v>
      </c>
    </row>
    <row r="2151" spans="1:30">
      <c r="A2151">
        <v>2149</v>
      </c>
      <c r="B2151">
        <v>36</v>
      </c>
      <c r="C2151">
        <v>2.1779999999999999</v>
      </c>
      <c r="D2151">
        <v>4.1399999999999997</v>
      </c>
      <c r="E2151">
        <v>0</v>
      </c>
      <c r="F2151">
        <v>1.6479999999999999</v>
      </c>
      <c r="G2151">
        <v>0</v>
      </c>
      <c r="H2151">
        <v>0.185</v>
      </c>
      <c r="I2151">
        <v>3.7410000000000001</v>
      </c>
      <c r="K2151">
        <v>2149</v>
      </c>
      <c r="L2151">
        <v>36</v>
      </c>
      <c r="M2151" s="32">
        <v>2.1779999999999999</v>
      </c>
      <c r="N2151" s="32">
        <v>4.1399999999999997</v>
      </c>
      <c r="P2151" s="47">
        <v>1.65</v>
      </c>
      <c r="R2151" s="47">
        <v>0.188</v>
      </c>
      <c r="S2151" s="47">
        <v>3.5939999999999999</v>
      </c>
      <c r="T2151" s="31">
        <v>0</v>
      </c>
      <c r="V2151">
        <v>2149</v>
      </c>
      <c r="W2151">
        <v>34</v>
      </c>
      <c r="X2151">
        <v>2.19</v>
      </c>
      <c r="Y2151" s="32">
        <v>4.28</v>
      </c>
      <c r="Z2151">
        <v>0</v>
      </c>
      <c r="AA2151" s="32">
        <v>1.53</v>
      </c>
      <c r="AB2151">
        <v>0</v>
      </c>
      <c r="AC2151" s="34">
        <v>0.189</v>
      </c>
      <c r="AD2151" s="32">
        <v>3.35</v>
      </c>
    </row>
    <row r="2152" spans="1:30">
      <c r="A2152">
        <v>2150</v>
      </c>
      <c r="B2152">
        <v>36</v>
      </c>
      <c r="C2152">
        <v>2.1789999999999998</v>
      </c>
      <c r="D2152">
        <v>4.1399999999999997</v>
      </c>
      <c r="E2152">
        <v>0</v>
      </c>
      <c r="F2152">
        <v>1.6479999999999999</v>
      </c>
      <c r="G2152">
        <v>0</v>
      </c>
      <c r="H2152">
        <v>0.185</v>
      </c>
      <c r="I2152">
        <v>3.7429999999999999</v>
      </c>
      <c r="K2152">
        <v>2150</v>
      </c>
      <c r="L2152">
        <v>36</v>
      </c>
      <c r="M2152" s="32">
        <v>2.1789999999999998</v>
      </c>
      <c r="N2152" s="32">
        <v>4.1399999999999997</v>
      </c>
      <c r="P2152" s="47">
        <v>1.651</v>
      </c>
      <c r="R2152" s="47">
        <v>0.189</v>
      </c>
      <c r="S2152" s="47">
        <v>3.5960000000000001</v>
      </c>
      <c r="T2152" s="31">
        <v>0</v>
      </c>
      <c r="V2152">
        <v>2150</v>
      </c>
      <c r="W2152">
        <v>35</v>
      </c>
      <c r="X2152">
        <v>2.1909999999999998</v>
      </c>
      <c r="Y2152" s="32">
        <v>4.28</v>
      </c>
      <c r="Z2152">
        <v>0</v>
      </c>
      <c r="AA2152" s="32">
        <v>1.53</v>
      </c>
      <c r="AB2152">
        <v>0</v>
      </c>
      <c r="AC2152" s="34">
        <v>0.189</v>
      </c>
      <c r="AD2152" s="32">
        <v>3.3519999999999999</v>
      </c>
    </row>
    <row r="2153" spans="1:30">
      <c r="A2153">
        <v>2151</v>
      </c>
      <c r="B2153">
        <v>36</v>
      </c>
      <c r="C2153">
        <v>2.1800000000000002</v>
      </c>
      <c r="D2153">
        <v>4.1399999999999997</v>
      </c>
      <c r="E2153">
        <v>0</v>
      </c>
      <c r="F2153">
        <v>1.6479999999999999</v>
      </c>
      <c r="G2153">
        <v>0</v>
      </c>
      <c r="H2153">
        <v>0.185</v>
      </c>
      <c r="I2153">
        <v>3.7450000000000001</v>
      </c>
      <c r="K2153">
        <v>2151</v>
      </c>
      <c r="L2153">
        <v>36</v>
      </c>
      <c r="M2153" s="32">
        <v>2.1800000000000002</v>
      </c>
      <c r="N2153" s="32">
        <v>4.1399999999999997</v>
      </c>
      <c r="P2153" s="47">
        <v>1.651</v>
      </c>
      <c r="R2153" s="47">
        <v>0.189</v>
      </c>
      <c r="S2153" s="47">
        <v>3.5979999999999999</v>
      </c>
      <c r="T2153" s="31">
        <v>0</v>
      </c>
      <c r="V2153">
        <v>2151</v>
      </c>
      <c r="W2153">
        <v>35</v>
      </c>
      <c r="X2153">
        <v>2.1920000000000002</v>
      </c>
      <c r="Y2153" s="32">
        <v>4.28</v>
      </c>
      <c r="Z2153">
        <v>0</v>
      </c>
      <c r="AA2153" s="32">
        <v>1.53</v>
      </c>
      <c r="AB2153">
        <v>0</v>
      </c>
      <c r="AC2153" s="34">
        <v>0.189</v>
      </c>
      <c r="AD2153" s="32">
        <v>3.3540000000000001</v>
      </c>
    </row>
    <row r="2154" spans="1:30">
      <c r="A2154">
        <v>2152</v>
      </c>
      <c r="B2154">
        <v>36</v>
      </c>
      <c r="C2154">
        <v>2.181</v>
      </c>
      <c r="D2154">
        <v>4.1399999999999997</v>
      </c>
      <c r="E2154">
        <v>0</v>
      </c>
      <c r="F2154">
        <v>1.651</v>
      </c>
      <c r="G2154">
        <v>0</v>
      </c>
      <c r="H2154">
        <v>0.185</v>
      </c>
      <c r="I2154">
        <v>3.7679999999999998</v>
      </c>
      <c r="K2154">
        <v>2152</v>
      </c>
      <c r="L2154">
        <v>36</v>
      </c>
      <c r="M2154" s="32">
        <v>2.181</v>
      </c>
      <c r="N2154" s="47">
        <v>4.1539999999999999</v>
      </c>
      <c r="P2154" s="32">
        <v>1.651</v>
      </c>
      <c r="R2154" s="47">
        <v>0.189</v>
      </c>
      <c r="S2154" s="47">
        <v>3.601</v>
      </c>
      <c r="T2154" s="31">
        <v>0</v>
      </c>
      <c r="V2154">
        <v>2152</v>
      </c>
      <c r="W2154">
        <v>35</v>
      </c>
      <c r="X2154">
        <v>2.1930000000000001</v>
      </c>
      <c r="Y2154" s="32">
        <v>4.28</v>
      </c>
      <c r="Z2154">
        <v>0</v>
      </c>
      <c r="AA2154" s="32">
        <v>1.53</v>
      </c>
      <c r="AB2154">
        <v>0</v>
      </c>
      <c r="AC2154" s="34">
        <v>0.189</v>
      </c>
      <c r="AD2154" s="32">
        <v>3.3559999999999999</v>
      </c>
    </row>
    <row r="2155" spans="1:30">
      <c r="A2155">
        <v>2153</v>
      </c>
      <c r="B2155">
        <v>36</v>
      </c>
      <c r="C2155">
        <v>2.1819999999999999</v>
      </c>
      <c r="D2155">
        <v>4.1399999999999997</v>
      </c>
      <c r="E2155">
        <v>0</v>
      </c>
      <c r="F2155">
        <v>1.651</v>
      </c>
      <c r="G2155">
        <v>0</v>
      </c>
      <c r="H2155">
        <v>0.185</v>
      </c>
      <c r="I2155">
        <v>3.77</v>
      </c>
      <c r="K2155">
        <v>2153</v>
      </c>
      <c r="L2155">
        <v>36</v>
      </c>
      <c r="M2155" s="32">
        <v>2.1819999999999999</v>
      </c>
      <c r="N2155" s="47">
        <v>4.1680000000000001</v>
      </c>
      <c r="P2155" s="32">
        <v>1.651</v>
      </c>
      <c r="R2155" s="47">
        <v>0.189</v>
      </c>
      <c r="S2155" s="47">
        <v>3.6030000000000002</v>
      </c>
      <c r="T2155" s="31">
        <v>0</v>
      </c>
      <c r="V2155">
        <v>2153</v>
      </c>
      <c r="W2155">
        <v>35</v>
      </c>
      <c r="X2155">
        <v>2.194</v>
      </c>
      <c r="Y2155" s="32">
        <v>4.28</v>
      </c>
      <c r="Z2155">
        <v>0</v>
      </c>
      <c r="AA2155" s="32">
        <v>1.5309999999999999</v>
      </c>
      <c r="AB2155">
        <v>0</v>
      </c>
      <c r="AC2155" s="34">
        <v>0.189</v>
      </c>
      <c r="AD2155" s="32">
        <v>3.3580000000000001</v>
      </c>
    </row>
    <row r="2156" spans="1:30">
      <c r="A2156">
        <v>2154</v>
      </c>
      <c r="B2156">
        <v>36</v>
      </c>
      <c r="C2156">
        <v>2.1829999999999998</v>
      </c>
      <c r="D2156">
        <v>4.1399999999999997</v>
      </c>
      <c r="E2156">
        <v>0</v>
      </c>
      <c r="F2156">
        <v>1.651</v>
      </c>
      <c r="G2156">
        <v>0</v>
      </c>
      <c r="H2156">
        <v>0.185</v>
      </c>
      <c r="I2156">
        <v>3.7719999999999998</v>
      </c>
      <c r="K2156">
        <v>2154</v>
      </c>
      <c r="L2156">
        <v>36</v>
      </c>
      <c r="M2156" s="32">
        <v>2.1829999999999998</v>
      </c>
      <c r="N2156" s="47">
        <v>4.1820000000000004</v>
      </c>
      <c r="P2156" s="47">
        <v>1.6519999999999999</v>
      </c>
      <c r="R2156" s="47">
        <v>0.189</v>
      </c>
      <c r="S2156" s="47">
        <v>3.6059999999999999</v>
      </c>
      <c r="T2156" s="31">
        <v>0</v>
      </c>
      <c r="V2156">
        <v>2154</v>
      </c>
      <c r="W2156">
        <v>35</v>
      </c>
      <c r="X2156">
        <v>2.1949999999999998</v>
      </c>
      <c r="Y2156" s="32">
        <v>4.28</v>
      </c>
      <c r="Z2156">
        <v>0</v>
      </c>
      <c r="AA2156" s="32">
        <v>1.5309999999999999</v>
      </c>
      <c r="AB2156">
        <v>0</v>
      </c>
      <c r="AC2156" s="34">
        <v>0.189</v>
      </c>
      <c r="AD2156" s="32">
        <v>3.36</v>
      </c>
    </row>
    <row r="2157" spans="1:30">
      <c r="A2157">
        <v>2155</v>
      </c>
      <c r="B2157">
        <v>36</v>
      </c>
      <c r="C2157">
        <v>2.1840000000000002</v>
      </c>
      <c r="D2157">
        <v>4.1399999999999997</v>
      </c>
      <c r="E2157">
        <v>0</v>
      </c>
      <c r="F2157">
        <v>1.651</v>
      </c>
      <c r="G2157">
        <v>0</v>
      </c>
      <c r="H2157">
        <v>0.185</v>
      </c>
      <c r="I2157">
        <v>3.774</v>
      </c>
      <c r="K2157">
        <v>2155</v>
      </c>
      <c r="L2157">
        <v>36</v>
      </c>
      <c r="M2157" s="32">
        <v>2.1840000000000002</v>
      </c>
      <c r="N2157" s="47">
        <v>4.1959999999999997</v>
      </c>
      <c r="P2157" s="47">
        <v>1.6519999999999999</v>
      </c>
      <c r="R2157" s="47">
        <v>0.189</v>
      </c>
      <c r="S2157" s="47">
        <v>3.6080000000000001</v>
      </c>
      <c r="T2157" s="31">
        <v>0</v>
      </c>
      <c r="V2157">
        <v>2155</v>
      </c>
      <c r="W2157">
        <v>35</v>
      </c>
      <c r="X2157">
        <v>2.1960000000000002</v>
      </c>
      <c r="Y2157" s="32">
        <v>4.28</v>
      </c>
      <c r="Z2157">
        <v>0</v>
      </c>
      <c r="AA2157" s="32">
        <v>1.5309999999999999</v>
      </c>
      <c r="AB2157">
        <v>0</v>
      </c>
      <c r="AC2157" s="34">
        <v>0.189</v>
      </c>
      <c r="AD2157" s="32">
        <v>3.3620000000000001</v>
      </c>
    </row>
    <row r="2158" spans="1:30">
      <c r="A2158">
        <v>2156</v>
      </c>
      <c r="B2158">
        <v>36</v>
      </c>
      <c r="C2158">
        <v>2.1850000000000001</v>
      </c>
      <c r="D2158">
        <v>4.1399999999999997</v>
      </c>
      <c r="E2158">
        <v>0</v>
      </c>
      <c r="F2158">
        <v>1.651</v>
      </c>
      <c r="G2158">
        <v>0</v>
      </c>
      <c r="H2158">
        <v>0.185</v>
      </c>
      <c r="I2158">
        <v>3.7770000000000001</v>
      </c>
      <c r="K2158">
        <v>2156</v>
      </c>
      <c r="L2158">
        <v>36</v>
      </c>
      <c r="M2158" s="32">
        <v>2.1850000000000001</v>
      </c>
      <c r="N2158" s="47">
        <v>4.21</v>
      </c>
      <c r="P2158" s="47">
        <v>1.6519999999999999</v>
      </c>
      <c r="R2158" s="47">
        <v>0.189</v>
      </c>
      <c r="S2158" s="47">
        <v>3.6110000000000002</v>
      </c>
      <c r="T2158" s="31">
        <v>0</v>
      </c>
      <c r="V2158">
        <v>2156</v>
      </c>
      <c r="W2158">
        <v>35</v>
      </c>
      <c r="X2158">
        <v>2.1970000000000001</v>
      </c>
      <c r="Y2158" s="32">
        <v>4.28</v>
      </c>
      <c r="Z2158">
        <v>0</v>
      </c>
      <c r="AA2158" s="32">
        <v>1.5309999999999999</v>
      </c>
      <c r="AB2158">
        <v>0</v>
      </c>
      <c r="AC2158" s="34">
        <v>0.189</v>
      </c>
      <c r="AD2158" s="32">
        <v>3.3639999999999999</v>
      </c>
    </row>
    <row r="2159" spans="1:30">
      <c r="A2159">
        <v>2157</v>
      </c>
      <c r="B2159">
        <v>36</v>
      </c>
      <c r="C2159">
        <v>2.1859999999999999</v>
      </c>
      <c r="D2159">
        <v>4.1399999999999997</v>
      </c>
      <c r="E2159">
        <v>0</v>
      </c>
      <c r="F2159">
        <v>1.651</v>
      </c>
      <c r="G2159">
        <v>0</v>
      </c>
      <c r="H2159">
        <v>0.185</v>
      </c>
      <c r="I2159">
        <v>3.7789999999999999</v>
      </c>
      <c r="K2159">
        <v>2157</v>
      </c>
      <c r="L2159">
        <v>36</v>
      </c>
      <c r="M2159" s="32">
        <v>2.1859999999999999</v>
      </c>
      <c r="N2159" s="47">
        <v>4.2240000000000002</v>
      </c>
      <c r="P2159" s="47">
        <v>1.6519999999999999</v>
      </c>
      <c r="R2159" s="47">
        <v>0.189</v>
      </c>
      <c r="S2159" s="47">
        <v>3.613</v>
      </c>
      <c r="T2159" s="31">
        <v>0</v>
      </c>
      <c r="V2159">
        <v>2157</v>
      </c>
      <c r="W2159">
        <v>35</v>
      </c>
      <c r="X2159">
        <v>2.198</v>
      </c>
      <c r="Y2159" s="32">
        <v>4.28</v>
      </c>
      <c r="Z2159">
        <v>0</v>
      </c>
      <c r="AA2159" s="32">
        <v>1.5309999999999999</v>
      </c>
      <c r="AB2159">
        <v>0</v>
      </c>
      <c r="AC2159" s="34">
        <v>0.189</v>
      </c>
      <c r="AD2159" s="32">
        <v>3.3660000000000001</v>
      </c>
    </row>
    <row r="2160" spans="1:30">
      <c r="A2160">
        <v>2158</v>
      </c>
      <c r="B2160">
        <v>36</v>
      </c>
      <c r="C2160">
        <v>2.1869999999999998</v>
      </c>
      <c r="D2160">
        <v>4.1399999999999997</v>
      </c>
      <c r="E2160">
        <v>0</v>
      </c>
      <c r="F2160">
        <v>1.651</v>
      </c>
      <c r="G2160">
        <v>0</v>
      </c>
      <c r="H2160">
        <v>0.185</v>
      </c>
      <c r="I2160">
        <v>3.7810000000000001</v>
      </c>
      <c r="K2160">
        <v>2158</v>
      </c>
      <c r="L2160">
        <v>36</v>
      </c>
      <c r="M2160" s="32">
        <v>2.1869999999999998</v>
      </c>
      <c r="N2160" s="47">
        <v>4.2380000000000004</v>
      </c>
      <c r="P2160" s="47">
        <v>1.6519999999999999</v>
      </c>
      <c r="R2160" s="47">
        <v>0.189</v>
      </c>
      <c r="S2160" s="47">
        <v>3.6160000000000001</v>
      </c>
      <c r="T2160" s="31">
        <v>0</v>
      </c>
      <c r="V2160">
        <v>2158</v>
      </c>
      <c r="W2160">
        <v>35</v>
      </c>
      <c r="X2160">
        <v>2.1989999999999998</v>
      </c>
      <c r="Y2160" s="32">
        <v>4.28</v>
      </c>
      <c r="Z2160">
        <v>0</v>
      </c>
      <c r="AA2160" s="32">
        <v>1.532</v>
      </c>
      <c r="AB2160">
        <v>0</v>
      </c>
      <c r="AC2160" s="34">
        <v>0.189</v>
      </c>
      <c r="AD2160" s="32">
        <v>3.3679999999999999</v>
      </c>
    </row>
    <row r="2161" spans="1:30">
      <c r="A2161">
        <v>2159</v>
      </c>
      <c r="B2161">
        <v>36</v>
      </c>
      <c r="C2161">
        <v>2.1880000000000002</v>
      </c>
      <c r="D2161">
        <v>4.1399999999999997</v>
      </c>
      <c r="E2161">
        <v>0</v>
      </c>
      <c r="F2161">
        <v>1.651</v>
      </c>
      <c r="G2161">
        <v>0</v>
      </c>
      <c r="H2161">
        <v>0.185</v>
      </c>
      <c r="I2161">
        <v>3.7829999999999999</v>
      </c>
      <c r="K2161">
        <v>2159</v>
      </c>
      <c r="L2161">
        <v>36</v>
      </c>
      <c r="M2161" s="32">
        <v>2.1880000000000002</v>
      </c>
      <c r="N2161" s="47">
        <v>4.2519999999999998</v>
      </c>
      <c r="P2161" s="47">
        <v>1.653</v>
      </c>
      <c r="R2161" s="47">
        <v>0.189</v>
      </c>
      <c r="S2161" s="47">
        <v>3.6179999999999999</v>
      </c>
      <c r="T2161" s="31">
        <v>0</v>
      </c>
      <c r="V2161">
        <v>2159</v>
      </c>
      <c r="W2161">
        <v>35</v>
      </c>
      <c r="X2161">
        <v>2.2000000000000002</v>
      </c>
      <c r="Y2161" s="32">
        <v>4.28</v>
      </c>
      <c r="Z2161">
        <v>0</v>
      </c>
      <c r="AA2161" s="32">
        <v>1.532</v>
      </c>
      <c r="AB2161">
        <v>0</v>
      </c>
      <c r="AC2161" s="34">
        <v>0.189</v>
      </c>
      <c r="AD2161" s="32">
        <v>3.37</v>
      </c>
    </row>
    <row r="2162" spans="1:30">
      <c r="A2162">
        <v>2160</v>
      </c>
      <c r="B2162">
        <v>36</v>
      </c>
      <c r="C2162">
        <v>2.1890000000000001</v>
      </c>
      <c r="D2162">
        <v>4.1399999999999997</v>
      </c>
      <c r="E2162">
        <v>0</v>
      </c>
      <c r="F2162">
        <v>1.651</v>
      </c>
      <c r="G2162">
        <v>0</v>
      </c>
      <c r="H2162">
        <v>0.185</v>
      </c>
      <c r="I2162">
        <v>3.7850000000000001</v>
      </c>
      <c r="K2162">
        <v>2160</v>
      </c>
      <c r="L2162">
        <v>36</v>
      </c>
      <c r="M2162" s="32">
        <v>2.1890000000000001</v>
      </c>
      <c r="N2162" s="47">
        <v>4.266</v>
      </c>
      <c r="P2162" s="47">
        <v>1.653</v>
      </c>
      <c r="R2162" s="47">
        <v>0.189</v>
      </c>
      <c r="S2162" s="47">
        <v>3.621</v>
      </c>
      <c r="T2162" s="31">
        <v>0</v>
      </c>
      <c r="V2162">
        <v>2160</v>
      </c>
      <c r="W2162">
        <v>35</v>
      </c>
      <c r="X2162">
        <v>2.2010000000000001</v>
      </c>
      <c r="Y2162" s="32">
        <v>4.28</v>
      </c>
      <c r="Z2162">
        <v>0</v>
      </c>
      <c r="AA2162" s="32">
        <v>1.532</v>
      </c>
      <c r="AB2162">
        <v>0</v>
      </c>
      <c r="AC2162" s="34">
        <v>0.189</v>
      </c>
      <c r="AD2162" s="32">
        <v>3.3719999999999999</v>
      </c>
    </row>
    <row r="2163" spans="1:30">
      <c r="A2163">
        <v>2161</v>
      </c>
      <c r="B2163">
        <v>37</v>
      </c>
      <c r="C2163">
        <v>2.19</v>
      </c>
      <c r="D2163">
        <v>4.28</v>
      </c>
      <c r="E2163">
        <v>0</v>
      </c>
      <c r="F2163">
        <v>1.653</v>
      </c>
      <c r="G2163">
        <v>0</v>
      </c>
      <c r="H2163">
        <v>0.189</v>
      </c>
      <c r="I2163">
        <v>3.6230000000000002</v>
      </c>
      <c r="K2163">
        <v>2161</v>
      </c>
      <c r="L2163">
        <v>37</v>
      </c>
      <c r="M2163" s="32">
        <v>2.19</v>
      </c>
      <c r="N2163" s="32">
        <v>4.28</v>
      </c>
      <c r="P2163" s="32">
        <v>1.653</v>
      </c>
      <c r="R2163" s="32">
        <v>0.189</v>
      </c>
      <c r="S2163" s="32">
        <v>3.6230000000000002</v>
      </c>
      <c r="T2163" s="31">
        <v>0</v>
      </c>
      <c r="V2163">
        <v>2161</v>
      </c>
      <c r="W2163">
        <v>35</v>
      </c>
      <c r="X2163">
        <v>2.202</v>
      </c>
      <c r="Y2163" s="32">
        <v>4.28</v>
      </c>
      <c r="Z2163">
        <v>0</v>
      </c>
      <c r="AA2163" s="32">
        <v>1.532</v>
      </c>
      <c r="AB2163">
        <v>0</v>
      </c>
      <c r="AC2163" s="34">
        <v>0.189</v>
      </c>
      <c r="AD2163" s="32">
        <v>3.3740000000000001</v>
      </c>
    </row>
    <row r="2164" spans="1:30">
      <c r="A2164">
        <v>2162</v>
      </c>
      <c r="B2164">
        <v>37</v>
      </c>
      <c r="C2164">
        <v>2.1909999999999998</v>
      </c>
      <c r="D2164">
        <v>4.28</v>
      </c>
      <c r="E2164">
        <v>0</v>
      </c>
      <c r="F2164">
        <v>1.653</v>
      </c>
      <c r="G2164">
        <v>0</v>
      </c>
      <c r="H2164">
        <v>0.189</v>
      </c>
      <c r="I2164">
        <v>3.625</v>
      </c>
      <c r="K2164">
        <v>2162</v>
      </c>
      <c r="L2164">
        <v>37</v>
      </c>
      <c r="M2164" s="32">
        <v>2.1909999999999998</v>
      </c>
      <c r="N2164" s="32">
        <v>4.28</v>
      </c>
      <c r="P2164" s="32">
        <v>1.653</v>
      </c>
      <c r="R2164" s="32">
        <v>0.189</v>
      </c>
      <c r="S2164" s="32">
        <v>3.625</v>
      </c>
      <c r="T2164" s="31">
        <v>0</v>
      </c>
      <c r="V2164">
        <v>2162</v>
      </c>
      <c r="W2164">
        <v>35</v>
      </c>
      <c r="X2164">
        <v>2.2029999999999998</v>
      </c>
      <c r="Y2164" s="32">
        <v>4.28</v>
      </c>
      <c r="Z2164">
        <v>0</v>
      </c>
      <c r="AA2164" s="32">
        <v>1.532</v>
      </c>
      <c r="AB2164">
        <v>0</v>
      </c>
      <c r="AC2164" s="34">
        <v>0.189</v>
      </c>
      <c r="AD2164" s="32">
        <v>3.3759999999999999</v>
      </c>
    </row>
    <row r="2165" spans="1:30">
      <c r="A2165">
        <v>2163</v>
      </c>
      <c r="B2165">
        <v>37</v>
      </c>
      <c r="C2165">
        <v>2.1920000000000002</v>
      </c>
      <c r="D2165">
        <v>4.28</v>
      </c>
      <c r="E2165">
        <v>0</v>
      </c>
      <c r="F2165">
        <v>1.653</v>
      </c>
      <c r="G2165">
        <v>0</v>
      </c>
      <c r="H2165">
        <v>0.189</v>
      </c>
      <c r="I2165">
        <v>3.6269999999999998</v>
      </c>
      <c r="K2165">
        <v>2163</v>
      </c>
      <c r="L2165">
        <v>37</v>
      </c>
      <c r="M2165" s="32">
        <v>2.1920000000000002</v>
      </c>
      <c r="N2165" s="32">
        <v>4.28</v>
      </c>
      <c r="P2165" s="32">
        <v>1.653</v>
      </c>
      <c r="R2165" s="32">
        <v>0.189</v>
      </c>
      <c r="S2165" s="32">
        <v>3.6269999999999998</v>
      </c>
      <c r="T2165" s="31">
        <v>0</v>
      </c>
      <c r="V2165">
        <v>2163</v>
      </c>
      <c r="W2165">
        <v>35</v>
      </c>
      <c r="X2165">
        <v>2.2040000000000002</v>
      </c>
      <c r="Y2165" s="32">
        <v>4.28</v>
      </c>
      <c r="Z2165">
        <v>0</v>
      </c>
      <c r="AA2165" s="32">
        <v>1.5329999999999999</v>
      </c>
      <c r="AB2165">
        <v>0</v>
      </c>
      <c r="AC2165" s="34">
        <v>0.19</v>
      </c>
      <c r="AD2165" s="32">
        <v>3.3780000000000001</v>
      </c>
    </row>
    <row r="2166" spans="1:30">
      <c r="A2166">
        <v>2164</v>
      </c>
      <c r="B2166">
        <v>37</v>
      </c>
      <c r="C2166">
        <v>2.1930000000000001</v>
      </c>
      <c r="D2166">
        <v>4.29</v>
      </c>
      <c r="E2166">
        <v>0</v>
      </c>
      <c r="F2166">
        <v>1.6539999999999999</v>
      </c>
      <c r="G2166">
        <v>0</v>
      </c>
      <c r="H2166">
        <v>0.189</v>
      </c>
      <c r="I2166">
        <v>3.629</v>
      </c>
      <c r="K2166">
        <v>2164</v>
      </c>
      <c r="L2166">
        <v>37</v>
      </c>
      <c r="M2166" s="32">
        <v>2.1930000000000001</v>
      </c>
      <c r="N2166" s="47">
        <v>4.28</v>
      </c>
      <c r="P2166" s="32">
        <v>1.6539999999999999</v>
      </c>
      <c r="R2166" s="32">
        <v>0.189</v>
      </c>
      <c r="S2166" s="32">
        <v>3.629</v>
      </c>
      <c r="T2166" s="31">
        <v>0</v>
      </c>
      <c r="V2166">
        <v>2164</v>
      </c>
      <c r="W2166">
        <v>35</v>
      </c>
      <c r="X2166">
        <v>2.2050000000000001</v>
      </c>
      <c r="Y2166" s="32">
        <v>4.28</v>
      </c>
      <c r="Z2166">
        <v>0</v>
      </c>
      <c r="AA2166" s="32">
        <v>1.5329999999999999</v>
      </c>
      <c r="AB2166">
        <v>0</v>
      </c>
      <c r="AC2166" s="34">
        <v>0.19</v>
      </c>
      <c r="AD2166" s="32">
        <v>3.38</v>
      </c>
    </row>
    <row r="2167" spans="1:30">
      <c r="A2167">
        <v>2165</v>
      </c>
      <c r="B2167">
        <v>37</v>
      </c>
      <c r="C2167">
        <v>2.194</v>
      </c>
      <c r="D2167">
        <v>4.29</v>
      </c>
      <c r="E2167">
        <v>0</v>
      </c>
      <c r="F2167">
        <v>1.6539999999999999</v>
      </c>
      <c r="G2167">
        <v>0</v>
      </c>
      <c r="H2167">
        <v>0.189</v>
      </c>
      <c r="I2167">
        <v>3.6320000000000001</v>
      </c>
      <c r="K2167">
        <v>2165</v>
      </c>
      <c r="L2167">
        <v>37</v>
      </c>
      <c r="M2167" s="32">
        <v>2.194</v>
      </c>
      <c r="N2167" s="47">
        <v>4.28</v>
      </c>
      <c r="P2167" s="32">
        <v>1.6539999999999999</v>
      </c>
      <c r="R2167" s="32">
        <v>0.189</v>
      </c>
      <c r="S2167" s="47">
        <v>3.6309999999999998</v>
      </c>
      <c r="T2167" s="31">
        <v>0</v>
      </c>
      <c r="V2167">
        <v>2165</v>
      </c>
      <c r="W2167">
        <v>35</v>
      </c>
      <c r="X2167">
        <v>2.206</v>
      </c>
      <c r="Y2167" s="32">
        <v>4.28</v>
      </c>
      <c r="Z2167">
        <v>0</v>
      </c>
      <c r="AA2167" s="32">
        <v>1.5329999999999999</v>
      </c>
      <c r="AB2167">
        <v>0</v>
      </c>
      <c r="AC2167" s="34">
        <v>0.19</v>
      </c>
      <c r="AD2167" s="32">
        <v>3.3820000000000001</v>
      </c>
    </row>
    <row r="2168" spans="1:30">
      <c r="A2168">
        <v>2166</v>
      </c>
      <c r="B2168">
        <v>37</v>
      </c>
      <c r="C2168">
        <v>2.1949999999999998</v>
      </c>
      <c r="D2168">
        <v>4.29</v>
      </c>
      <c r="E2168">
        <v>0</v>
      </c>
      <c r="F2168">
        <v>1.6539999999999999</v>
      </c>
      <c r="G2168">
        <v>0</v>
      </c>
      <c r="H2168">
        <v>0.189</v>
      </c>
      <c r="I2168">
        <v>3.6339999999999999</v>
      </c>
      <c r="K2168">
        <v>2166</v>
      </c>
      <c r="L2168">
        <v>37</v>
      </c>
      <c r="M2168" s="32">
        <v>2.1949999999999998</v>
      </c>
      <c r="N2168" s="47">
        <v>4.28</v>
      </c>
      <c r="P2168" s="32">
        <v>1.6539999999999999</v>
      </c>
      <c r="R2168" s="32">
        <v>0.189</v>
      </c>
      <c r="S2168" s="47">
        <v>3.633</v>
      </c>
      <c r="T2168" s="31">
        <v>0</v>
      </c>
      <c r="V2168">
        <v>2166</v>
      </c>
      <c r="W2168">
        <v>35</v>
      </c>
      <c r="X2168">
        <v>2.2069999999999999</v>
      </c>
      <c r="Y2168" s="32">
        <v>4.28</v>
      </c>
      <c r="Z2168">
        <v>0</v>
      </c>
      <c r="AA2168" s="32">
        <v>1.5329999999999999</v>
      </c>
      <c r="AB2168">
        <v>0</v>
      </c>
      <c r="AC2168" s="34">
        <v>0.19</v>
      </c>
      <c r="AD2168" s="32">
        <v>3.3839999999999999</v>
      </c>
    </row>
    <row r="2169" spans="1:30">
      <c r="A2169">
        <v>2167</v>
      </c>
      <c r="B2169">
        <v>37</v>
      </c>
      <c r="C2169">
        <v>2.1960000000000002</v>
      </c>
      <c r="D2169">
        <v>4.29</v>
      </c>
      <c r="E2169">
        <v>0</v>
      </c>
      <c r="F2169">
        <v>1.6539999999999999</v>
      </c>
      <c r="G2169">
        <v>0</v>
      </c>
      <c r="H2169">
        <v>0.189</v>
      </c>
      <c r="I2169">
        <v>3.6360000000000001</v>
      </c>
      <c r="K2169">
        <v>2167</v>
      </c>
      <c r="L2169">
        <v>37</v>
      </c>
      <c r="M2169" s="32">
        <v>2.1960000000000002</v>
      </c>
      <c r="N2169" s="47">
        <v>4.28</v>
      </c>
      <c r="P2169" s="32">
        <v>1.6539999999999999</v>
      </c>
      <c r="R2169" s="32">
        <v>0.189</v>
      </c>
      <c r="S2169" s="47">
        <v>3.6339999999999999</v>
      </c>
      <c r="T2169" s="31">
        <v>0</v>
      </c>
      <c r="V2169">
        <v>2167</v>
      </c>
      <c r="W2169">
        <v>35</v>
      </c>
      <c r="X2169">
        <v>2.2080000000000002</v>
      </c>
      <c r="Y2169" s="32">
        <v>4.28</v>
      </c>
      <c r="Z2169">
        <v>0</v>
      </c>
      <c r="AA2169" s="32">
        <v>1.5329999999999999</v>
      </c>
      <c r="AB2169">
        <v>0</v>
      </c>
      <c r="AC2169" s="34">
        <v>0.19</v>
      </c>
      <c r="AD2169" s="32">
        <v>3.3849999999999998</v>
      </c>
    </row>
    <row r="2170" spans="1:30">
      <c r="A2170">
        <v>2168</v>
      </c>
      <c r="B2170">
        <v>37</v>
      </c>
      <c r="C2170">
        <v>2.1970000000000001</v>
      </c>
      <c r="D2170">
        <v>4.29</v>
      </c>
      <c r="E2170">
        <v>0</v>
      </c>
      <c r="F2170">
        <v>1.655</v>
      </c>
      <c r="G2170">
        <v>0</v>
      </c>
      <c r="H2170">
        <v>0.189</v>
      </c>
      <c r="I2170">
        <v>3.6379999999999999</v>
      </c>
      <c r="K2170">
        <v>2168</v>
      </c>
      <c r="L2170">
        <v>37</v>
      </c>
      <c r="M2170" s="32">
        <v>2.1970000000000001</v>
      </c>
      <c r="N2170" s="47">
        <v>4.28</v>
      </c>
      <c r="P2170" s="47">
        <v>1.6539999999999999</v>
      </c>
      <c r="R2170" s="32">
        <v>0.189</v>
      </c>
      <c r="S2170" s="47">
        <v>3.6360000000000001</v>
      </c>
      <c r="T2170" s="31">
        <v>0</v>
      </c>
      <c r="V2170">
        <v>2168</v>
      </c>
      <c r="W2170">
        <v>35</v>
      </c>
      <c r="X2170">
        <v>2.2090000000000001</v>
      </c>
      <c r="Y2170" s="32">
        <v>4.28</v>
      </c>
      <c r="Z2170">
        <v>0</v>
      </c>
      <c r="AA2170" s="32">
        <v>1.5329999999999999</v>
      </c>
      <c r="AB2170">
        <v>0</v>
      </c>
      <c r="AC2170" s="34">
        <v>0.19</v>
      </c>
      <c r="AD2170" s="32">
        <v>3.387</v>
      </c>
    </row>
    <row r="2171" spans="1:30">
      <c r="A2171">
        <v>2169</v>
      </c>
      <c r="B2171">
        <v>37</v>
      </c>
      <c r="C2171">
        <v>2.198</v>
      </c>
      <c r="D2171">
        <v>4.3</v>
      </c>
      <c r="E2171">
        <v>0</v>
      </c>
      <c r="F2171">
        <v>1.655</v>
      </c>
      <c r="G2171">
        <v>0</v>
      </c>
      <c r="H2171">
        <v>0.189</v>
      </c>
      <c r="I2171">
        <v>3.64</v>
      </c>
      <c r="K2171">
        <v>2169</v>
      </c>
      <c r="L2171">
        <v>37</v>
      </c>
      <c r="M2171" s="32">
        <v>2.198</v>
      </c>
      <c r="N2171" s="47">
        <v>4.28</v>
      </c>
      <c r="P2171" s="32">
        <v>1.655</v>
      </c>
      <c r="R2171" s="32">
        <v>0.189</v>
      </c>
      <c r="S2171" s="47">
        <v>3.6379999999999999</v>
      </c>
      <c r="T2171" s="31">
        <v>0</v>
      </c>
      <c r="V2171">
        <v>2169</v>
      </c>
      <c r="W2171">
        <v>35</v>
      </c>
      <c r="X2171">
        <v>2.21</v>
      </c>
      <c r="Y2171" s="32">
        <v>4.28</v>
      </c>
      <c r="Z2171">
        <v>0</v>
      </c>
      <c r="AA2171" s="32">
        <v>1.534</v>
      </c>
      <c r="AB2171">
        <v>0</v>
      </c>
      <c r="AC2171" s="34">
        <v>0.19</v>
      </c>
      <c r="AD2171" s="32">
        <v>3.3889999999999998</v>
      </c>
    </row>
    <row r="2172" spans="1:30">
      <c r="A2172">
        <v>2170</v>
      </c>
      <c r="B2172">
        <v>37</v>
      </c>
      <c r="C2172">
        <v>2.1989999999999998</v>
      </c>
      <c r="D2172">
        <v>4.3</v>
      </c>
      <c r="E2172">
        <v>0</v>
      </c>
      <c r="F2172">
        <v>1.655</v>
      </c>
      <c r="G2172">
        <v>0</v>
      </c>
      <c r="H2172">
        <v>0.189</v>
      </c>
      <c r="I2172">
        <v>3.6419999999999999</v>
      </c>
      <c r="K2172">
        <v>2170</v>
      </c>
      <c r="L2172">
        <v>37</v>
      </c>
      <c r="M2172" s="32">
        <v>2.1989999999999998</v>
      </c>
      <c r="N2172" s="47">
        <v>4.28</v>
      </c>
      <c r="P2172" s="32">
        <v>1.655</v>
      </c>
      <c r="R2172" s="32">
        <v>0.189</v>
      </c>
      <c r="S2172" s="47">
        <v>3.64</v>
      </c>
      <c r="T2172" s="31">
        <v>0</v>
      </c>
      <c r="V2172">
        <v>2170</v>
      </c>
      <c r="W2172">
        <v>35</v>
      </c>
      <c r="X2172">
        <v>2.2109999999999999</v>
      </c>
      <c r="Y2172" s="32">
        <v>4.28</v>
      </c>
      <c r="Z2172">
        <v>0</v>
      </c>
      <c r="AA2172" s="32">
        <v>1.534</v>
      </c>
      <c r="AB2172">
        <v>0</v>
      </c>
      <c r="AC2172" s="34">
        <v>0.19</v>
      </c>
      <c r="AD2172" s="32">
        <v>3.391</v>
      </c>
    </row>
    <row r="2173" spans="1:30">
      <c r="A2173">
        <v>2171</v>
      </c>
      <c r="B2173">
        <v>37</v>
      </c>
      <c r="C2173">
        <v>2.2000000000000002</v>
      </c>
      <c r="D2173">
        <v>4.3</v>
      </c>
      <c r="E2173">
        <v>0</v>
      </c>
      <c r="F2173">
        <v>1.655</v>
      </c>
      <c r="G2173">
        <v>0</v>
      </c>
      <c r="H2173">
        <v>0.189</v>
      </c>
      <c r="I2173">
        <v>3.6440000000000001</v>
      </c>
      <c r="K2173">
        <v>2171</v>
      </c>
      <c r="L2173">
        <v>37</v>
      </c>
      <c r="M2173" s="32">
        <v>2.2000000000000002</v>
      </c>
      <c r="N2173" s="47">
        <v>4.28</v>
      </c>
      <c r="P2173" s="32">
        <v>1.655</v>
      </c>
      <c r="R2173" s="32">
        <v>0.189</v>
      </c>
      <c r="S2173" s="47">
        <v>3.6419999999999999</v>
      </c>
      <c r="T2173" s="31">
        <v>0</v>
      </c>
      <c r="V2173">
        <v>2171</v>
      </c>
      <c r="W2173">
        <v>35</v>
      </c>
      <c r="X2173">
        <v>2.2120000000000002</v>
      </c>
      <c r="Y2173" s="32">
        <v>4.28</v>
      </c>
      <c r="Z2173">
        <v>0</v>
      </c>
      <c r="AA2173" s="32">
        <v>1.534</v>
      </c>
      <c r="AB2173">
        <v>0</v>
      </c>
      <c r="AC2173" s="34">
        <v>0.19</v>
      </c>
      <c r="AD2173" s="32">
        <v>3.3929999999999998</v>
      </c>
    </row>
    <row r="2174" spans="1:30">
      <c r="A2174">
        <v>2172</v>
      </c>
      <c r="B2174">
        <v>37</v>
      </c>
      <c r="C2174">
        <v>2.2010000000000001</v>
      </c>
      <c r="D2174">
        <v>4.28</v>
      </c>
      <c r="E2174">
        <v>0</v>
      </c>
      <c r="F2174">
        <v>1.655</v>
      </c>
      <c r="G2174">
        <v>0</v>
      </c>
      <c r="H2174">
        <v>0.189</v>
      </c>
      <c r="I2174">
        <v>3.665</v>
      </c>
      <c r="K2174">
        <v>2172</v>
      </c>
      <c r="L2174">
        <v>37</v>
      </c>
      <c r="M2174" s="32">
        <v>2.2010000000000001</v>
      </c>
      <c r="N2174" s="32">
        <v>4.28</v>
      </c>
      <c r="P2174" s="32">
        <v>1.655</v>
      </c>
      <c r="R2174" s="32">
        <v>0.189</v>
      </c>
      <c r="S2174" s="47">
        <v>3.6440000000000001</v>
      </c>
      <c r="T2174" s="31">
        <v>0</v>
      </c>
      <c r="V2174">
        <v>2172</v>
      </c>
      <c r="W2174">
        <v>35</v>
      </c>
      <c r="X2174">
        <v>2.2130000000000001</v>
      </c>
      <c r="Y2174" s="32">
        <v>4.28</v>
      </c>
      <c r="Z2174">
        <v>0</v>
      </c>
      <c r="AA2174" s="32">
        <v>1.534</v>
      </c>
      <c r="AB2174">
        <v>0</v>
      </c>
      <c r="AC2174" s="34">
        <v>0.19</v>
      </c>
      <c r="AD2174" s="32">
        <v>3.395</v>
      </c>
    </row>
    <row r="2175" spans="1:30">
      <c r="A2175">
        <v>2173</v>
      </c>
      <c r="B2175">
        <v>37</v>
      </c>
      <c r="C2175">
        <v>2.202</v>
      </c>
      <c r="D2175">
        <v>4.28</v>
      </c>
      <c r="E2175">
        <v>0</v>
      </c>
      <c r="F2175">
        <v>1.655</v>
      </c>
      <c r="G2175">
        <v>0</v>
      </c>
      <c r="H2175">
        <v>0.189</v>
      </c>
      <c r="I2175">
        <v>3.6680000000000001</v>
      </c>
      <c r="K2175">
        <v>2173</v>
      </c>
      <c r="L2175">
        <v>37</v>
      </c>
      <c r="M2175" s="32">
        <v>2.202</v>
      </c>
      <c r="N2175" s="32">
        <v>4.28</v>
      </c>
      <c r="P2175" s="47">
        <v>1.6559999999999999</v>
      </c>
      <c r="R2175" s="32">
        <v>0.189</v>
      </c>
      <c r="S2175" s="47">
        <v>3.6459999999999999</v>
      </c>
      <c r="T2175" s="31">
        <v>0</v>
      </c>
      <c r="V2175">
        <v>2173</v>
      </c>
      <c r="W2175">
        <v>35</v>
      </c>
      <c r="X2175">
        <v>2.214</v>
      </c>
      <c r="Y2175" s="32">
        <v>4.28</v>
      </c>
      <c r="Z2175">
        <v>0</v>
      </c>
      <c r="AA2175" s="32">
        <v>1.534</v>
      </c>
      <c r="AB2175">
        <v>0</v>
      </c>
      <c r="AC2175" s="34">
        <v>0.19</v>
      </c>
      <c r="AD2175" s="32">
        <v>3.3969999999999998</v>
      </c>
    </row>
    <row r="2176" spans="1:30">
      <c r="A2176">
        <v>2174</v>
      </c>
      <c r="B2176">
        <v>37</v>
      </c>
      <c r="C2176">
        <v>2.2029999999999998</v>
      </c>
      <c r="D2176">
        <v>4.28</v>
      </c>
      <c r="E2176">
        <v>0</v>
      </c>
      <c r="F2176">
        <v>1.655</v>
      </c>
      <c r="G2176">
        <v>0</v>
      </c>
      <c r="H2176">
        <v>0.189</v>
      </c>
      <c r="I2176">
        <v>3.67</v>
      </c>
      <c r="K2176">
        <v>2174</v>
      </c>
      <c r="L2176">
        <v>37</v>
      </c>
      <c r="M2176" s="32">
        <v>2.2029999999999998</v>
      </c>
      <c r="N2176" s="32">
        <v>4.28</v>
      </c>
      <c r="P2176" s="47">
        <v>1.6559999999999999</v>
      </c>
      <c r="R2176" s="32">
        <v>0.189</v>
      </c>
      <c r="S2176" s="47">
        <v>3.649</v>
      </c>
      <c r="T2176" s="31">
        <v>0</v>
      </c>
      <c r="V2176">
        <v>2174</v>
      </c>
      <c r="W2176">
        <v>35</v>
      </c>
      <c r="X2176">
        <v>2.2149999999999999</v>
      </c>
      <c r="Y2176" s="32">
        <v>4.28</v>
      </c>
      <c r="Z2176">
        <v>0</v>
      </c>
      <c r="AA2176" s="32">
        <v>1.5349999999999999</v>
      </c>
      <c r="AB2176">
        <v>0</v>
      </c>
      <c r="AC2176" s="34">
        <v>0.19</v>
      </c>
      <c r="AD2176" s="32">
        <v>3.399</v>
      </c>
    </row>
    <row r="2177" spans="1:30">
      <c r="A2177">
        <v>2175</v>
      </c>
      <c r="B2177">
        <v>37</v>
      </c>
      <c r="C2177">
        <v>2.2040000000000002</v>
      </c>
      <c r="D2177">
        <v>4.28</v>
      </c>
      <c r="E2177">
        <v>0</v>
      </c>
      <c r="F2177">
        <v>1.655</v>
      </c>
      <c r="G2177">
        <v>0</v>
      </c>
      <c r="H2177">
        <v>0.189</v>
      </c>
      <c r="I2177">
        <v>3.6720000000000002</v>
      </c>
      <c r="K2177">
        <v>2175</v>
      </c>
      <c r="L2177">
        <v>37</v>
      </c>
      <c r="M2177" s="32">
        <v>2.2040000000000002</v>
      </c>
      <c r="N2177" s="32">
        <v>4.28</v>
      </c>
      <c r="P2177" s="47">
        <v>1.6559999999999999</v>
      </c>
      <c r="R2177" s="32">
        <v>0.189</v>
      </c>
      <c r="S2177" s="47">
        <v>3.6509999999999998</v>
      </c>
      <c r="T2177" s="31">
        <v>0</v>
      </c>
      <c r="V2177">
        <v>2175</v>
      </c>
      <c r="W2177">
        <v>35</v>
      </c>
      <c r="X2177">
        <v>2.2160000000000002</v>
      </c>
      <c r="Y2177" s="32">
        <v>4.28</v>
      </c>
      <c r="Z2177">
        <v>0</v>
      </c>
      <c r="AA2177" s="32">
        <v>1.5349999999999999</v>
      </c>
      <c r="AB2177">
        <v>0</v>
      </c>
      <c r="AC2177" s="34">
        <v>0.19</v>
      </c>
      <c r="AD2177" s="32">
        <v>3.4009999999999998</v>
      </c>
    </row>
    <row r="2178" spans="1:30">
      <c r="A2178">
        <v>2176</v>
      </c>
      <c r="B2178">
        <v>37</v>
      </c>
      <c r="C2178">
        <v>2.2050000000000001</v>
      </c>
      <c r="D2178">
        <v>4.28</v>
      </c>
      <c r="E2178">
        <v>0</v>
      </c>
      <c r="F2178">
        <v>1.655</v>
      </c>
      <c r="G2178">
        <v>0</v>
      </c>
      <c r="H2178">
        <v>0.189</v>
      </c>
      <c r="I2178">
        <v>3.6739999999999999</v>
      </c>
      <c r="K2178">
        <v>2176</v>
      </c>
      <c r="L2178">
        <v>37</v>
      </c>
      <c r="M2178" s="32">
        <v>2.2050000000000001</v>
      </c>
      <c r="N2178" s="32">
        <v>4.28</v>
      </c>
      <c r="P2178" s="47">
        <v>1.657</v>
      </c>
      <c r="R2178" s="47">
        <v>0.19</v>
      </c>
      <c r="S2178" s="47">
        <v>3.653</v>
      </c>
      <c r="T2178" s="31">
        <v>0</v>
      </c>
      <c r="V2178">
        <v>2176</v>
      </c>
      <c r="W2178">
        <v>35</v>
      </c>
      <c r="X2178">
        <v>2.2170000000000001</v>
      </c>
      <c r="Y2178" s="32">
        <v>4.28</v>
      </c>
      <c r="Z2178">
        <v>0</v>
      </c>
      <c r="AA2178" s="32">
        <v>1.5349999999999999</v>
      </c>
      <c r="AB2178">
        <v>0</v>
      </c>
      <c r="AC2178" s="34">
        <v>0.19</v>
      </c>
      <c r="AD2178" s="32">
        <v>3.403</v>
      </c>
    </row>
    <row r="2179" spans="1:30">
      <c r="A2179">
        <v>2177</v>
      </c>
      <c r="B2179">
        <v>37</v>
      </c>
      <c r="C2179">
        <v>2.206</v>
      </c>
      <c r="D2179">
        <v>4.28</v>
      </c>
      <c r="E2179">
        <v>0</v>
      </c>
      <c r="F2179">
        <v>1.655</v>
      </c>
      <c r="G2179">
        <v>0</v>
      </c>
      <c r="H2179">
        <v>0.189</v>
      </c>
      <c r="I2179">
        <v>3.6760000000000002</v>
      </c>
      <c r="K2179">
        <v>2177</v>
      </c>
      <c r="L2179">
        <v>37</v>
      </c>
      <c r="M2179" s="32">
        <v>2.206</v>
      </c>
      <c r="N2179" s="32">
        <v>4.28</v>
      </c>
      <c r="P2179" s="47">
        <v>1.657</v>
      </c>
      <c r="R2179" s="47">
        <v>0.19</v>
      </c>
      <c r="S2179" s="47">
        <v>3.6549999999999998</v>
      </c>
      <c r="T2179" s="31">
        <v>0</v>
      </c>
      <c r="V2179">
        <v>2177</v>
      </c>
      <c r="W2179">
        <v>35</v>
      </c>
      <c r="X2179">
        <v>2.218</v>
      </c>
      <c r="Y2179" s="32">
        <v>4.28</v>
      </c>
      <c r="Z2179">
        <v>0</v>
      </c>
      <c r="AA2179" s="32">
        <v>1.5349999999999999</v>
      </c>
      <c r="AB2179">
        <v>0</v>
      </c>
      <c r="AC2179" s="34">
        <v>0.19</v>
      </c>
      <c r="AD2179" s="32">
        <v>3.4049999999999998</v>
      </c>
    </row>
    <row r="2180" spans="1:30">
      <c r="A2180">
        <v>2178</v>
      </c>
      <c r="B2180">
        <v>37</v>
      </c>
      <c r="C2180">
        <v>2.2069999999999999</v>
      </c>
      <c r="D2180">
        <v>4.28</v>
      </c>
      <c r="E2180">
        <v>0</v>
      </c>
      <c r="F2180">
        <v>1.655</v>
      </c>
      <c r="G2180">
        <v>0</v>
      </c>
      <c r="H2180">
        <v>0.189</v>
      </c>
      <c r="I2180">
        <v>3.6779999999999999</v>
      </c>
      <c r="K2180">
        <v>2178</v>
      </c>
      <c r="L2180">
        <v>37</v>
      </c>
      <c r="M2180" s="32">
        <v>2.2069999999999999</v>
      </c>
      <c r="N2180" s="32">
        <v>4.28</v>
      </c>
      <c r="P2180" s="47">
        <v>1.657</v>
      </c>
      <c r="R2180" s="47">
        <v>0.19</v>
      </c>
      <c r="S2180" s="47">
        <v>3.657</v>
      </c>
      <c r="T2180" s="31">
        <v>0</v>
      </c>
      <c r="V2180">
        <v>2178</v>
      </c>
      <c r="W2180">
        <v>35</v>
      </c>
      <c r="X2180">
        <v>2.2189999999999999</v>
      </c>
      <c r="Y2180" s="32">
        <v>4.28</v>
      </c>
      <c r="Z2180">
        <v>0</v>
      </c>
      <c r="AA2180" s="32">
        <v>1.5349999999999999</v>
      </c>
      <c r="AB2180">
        <v>0</v>
      </c>
      <c r="AC2180" s="34">
        <v>0.19</v>
      </c>
      <c r="AD2180" s="32">
        <v>3.407</v>
      </c>
    </row>
    <row r="2181" spans="1:30">
      <c r="A2181">
        <v>2179</v>
      </c>
      <c r="B2181">
        <v>37</v>
      </c>
      <c r="C2181">
        <v>2.2080000000000002</v>
      </c>
      <c r="D2181">
        <v>4.28</v>
      </c>
      <c r="E2181">
        <v>0</v>
      </c>
      <c r="F2181">
        <v>1.655</v>
      </c>
      <c r="G2181">
        <v>0</v>
      </c>
      <c r="H2181">
        <v>0.189</v>
      </c>
      <c r="I2181">
        <v>3.68</v>
      </c>
      <c r="K2181">
        <v>2179</v>
      </c>
      <c r="L2181">
        <v>37</v>
      </c>
      <c r="M2181" s="32">
        <v>2.2080000000000002</v>
      </c>
      <c r="N2181" s="32">
        <v>4.28</v>
      </c>
      <c r="P2181" s="47">
        <v>1.657</v>
      </c>
      <c r="R2181" s="47">
        <v>0.19</v>
      </c>
      <c r="S2181" s="47">
        <v>3.66</v>
      </c>
      <c r="T2181" s="31">
        <v>0</v>
      </c>
      <c r="V2181">
        <v>2179</v>
      </c>
      <c r="W2181">
        <v>35</v>
      </c>
      <c r="X2181">
        <v>2.2200000000000002</v>
      </c>
      <c r="Y2181" s="32">
        <v>4.28</v>
      </c>
      <c r="Z2181">
        <v>0</v>
      </c>
      <c r="AA2181" s="32">
        <v>1.536</v>
      </c>
      <c r="AB2181">
        <v>0</v>
      </c>
      <c r="AC2181" s="34">
        <v>0.19</v>
      </c>
      <c r="AD2181" s="32">
        <v>3.4089999999999998</v>
      </c>
    </row>
    <row r="2182" spans="1:30">
      <c r="A2182">
        <v>2180</v>
      </c>
      <c r="B2182">
        <v>37</v>
      </c>
      <c r="C2182">
        <v>2.2090000000000001</v>
      </c>
      <c r="D2182">
        <v>4.28</v>
      </c>
      <c r="E2182">
        <v>0</v>
      </c>
      <c r="F2182">
        <v>1.655</v>
      </c>
      <c r="G2182">
        <v>0</v>
      </c>
      <c r="H2182">
        <v>0.189</v>
      </c>
      <c r="I2182">
        <v>3.6829999999999998</v>
      </c>
      <c r="K2182">
        <v>2180</v>
      </c>
      <c r="L2182">
        <v>37</v>
      </c>
      <c r="M2182" s="32">
        <v>2.2090000000000001</v>
      </c>
      <c r="N2182" s="32">
        <v>4.28</v>
      </c>
      <c r="P2182" s="47">
        <v>1.6579999999999999</v>
      </c>
      <c r="R2182" s="47">
        <v>0.19</v>
      </c>
      <c r="S2182" s="47">
        <v>3.6619999999999999</v>
      </c>
      <c r="T2182" s="31">
        <v>0</v>
      </c>
      <c r="V2182">
        <v>2180</v>
      </c>
      <c r="W2182">
        <v>35</v>
      </c>
      <c r="X2182">
        <v>2.2210000000000001</v>
      </c>
      <c r="Y2182" s="32">
        <v>4.28</v>
      </c>
      <c r="Z2182">
        <v>0</v>
      </c>
      <c r="AA2182" s="32">
        <v>1.536</v>
      </c>
      <c r="AB2182">
        <v>0</v>
      </c>
      <c r="AC2182" s="34">
        <v>0.19</v>
      </c>
      <c r="AD2182" s="32">
        <v>3.411</v>
      </c>
    </row>
    <row r="2183" spans="1:30">
      <c r="A2183">
        <v>2181</v>
      </c>
      <c r="B2183">
        <v>37</v>
      </c>
      <c r="C2183">
        <v>2.21</v>
      </c>
      <c r="D2183">
        <v>4.28</v>
      </c>
      <c r="E2183">
        <v>0</v>
      </c>
      <c r="F2183">
        <v>1.6579999999999999</v>
      </c>
      <c r="G2183">
        <v>0</v>
      </c>
      <c r="H2183">
        <v>0.189</v>
      </c>
      <c r="I2183">
        <v>3.6640000000000001</v>
      </c>
      <c r="K2183">
        <v>2181</v>
      </c>
      <c r="L2183">
        <v>37</v>
      </c>
      <c r="M2183" s="32">
        <v>2.21</v>
      </c>
      <c r="N2183" s="32">
        <v>4.28</v>
      </c>
      <c r="P2183" s="32">
        <v>1.6579999999999999</v>
      </c>
      <c r="R2183" s="47">
        <v>0.19</v>
      </c>
      <c r="S2183" s="32">
        <v>3.6640000000000001</v>
      </c>
      <c r="T2183" s="31">
        <v>0</v>
      </c>
      <c r="V2183">
        <v>2181</v>
      </c>
      <c r="W2183">
        <v>35</v>
      </c>
      <c r="X2183">
        <v>2.222</v>
      </c>
      <c r="Y2183" s="32">
        <v>4.28</v>
      </c>
      <c r="Z2183">
        <v>0</v>
      </c>
      <c r="AA2183" s="32">
        <v>1.536</v>
      </c>
      <c r="AB2183">
        <v>0</v>
      </c>
      <c r="AC2183" s="34">
        <v>0.19</v>
      </c>
      <c r="AD2183" s="32">
        <v>3.4129999999999998</v>
      </c>
    </row>
    <row r="2184" spans="1:30">
      <c r="A2184">
        <v>2182</v>
      </c>
      <c r="B2184">
        <v>37</v>
      </c>
      <c r="C2184">
        <v>2.2109999999999999</v>
      </c>
      <c r="D2184">
        <v>4.28</v>
      </c>
      <c r="E2184">
        <v>0</v>
      </c>
      <c r="F2184">
        <v>1.6579999999999999</v>
      </c>
      <c r="G2184">
        <v>0</v>
      </c>
      <c r="H2184">
        <v>0.189</v>
      </c>
      <c r="I2184">
        <v>3.7090000000000001</v>
      </c>
      <c r="K2184">
        <v>2182</v>
      </c>
      <c r="L2184">
        <v>37</v>
      </c>
      <c r="M2184" s="32">
        <v>2.2109999999999999</v>
      </c>
      <c r="N2184" s="32">
        <v>4.28</v>
      </c>
      <c r="P2184" s="32">
        <v>1.6579999999999999</v>
      </c>
      <c r="R2184" s="47">
        <v>0.19</v>
      </c>
      <c r="S2184" s="47">
        <v>3.6659999999999999</v>
      </c>
      <c r="T2184" s="31">
        <v>0</v>
      </c>
      <c r="V2184">
        <v>2182</v>
      </c>
      <c r="W2184">
        <v>35</v>
      </c>
      <c r="X2184">
        <v>2.2229999999999999</v>
      </c>
      <c r="Y2184" s="32">
        <v>4.28</v>
      </c>
      <c r="Z2184">
        <v>0</v>
      </c>
      <c r="AA2184" s="32">
        <v>1.536</v>
      </c>
      <c r="AB2184">
        <v>0</v>
      </c>
      <c r="AC2184" s="34">
        <v>0.19</v>
      </c>
      <c r="AD2184" s="32">
        <v>3.415</v>
      </c>
    </row>
    <row r="2185" spans="1:30">
      <c r="A2185">
        <v>2183</v>
      </c>
      <c r="B2185">
        <v>37</v>
      </c>
      <c r="C2185">
        <v>2.2120000000000002</v>
      </c>
      <c r="D2185">
        <v>4.28</v>
      </c>
      <c r="E2185">
        <v>0</v>
      </c>
      <c r="F2185">
        <v>1.6579999999999999</v>
      </c>
      <c r="G2185">
        <v>0</v>
      </c>
      <c r="H2185">
        <v>0.189</v>
      </c>
      <c r="I2185">
        <v>3.7109999999999999</v>
      </c>
      <c r="K2185">
        <v>2183</v>
      </c>
      <c r="L2185">
        <v>37</v>
      </c>
      <c r="M2185" s="32">
        <v>2.2120000000000002</v>
      </c>
      <c r="N2185" s="32">
        <v>4.28</v>
      </c>
      <c r="P2185" s="32">
        <v>1.6579999999999999</v>
      </c>
      <c r="R2185" s="47">
        <v>0.19</v>
      </c>
      <c r="S2185" s="47">
        <v>3.6680000000000001</v>
      </c>
      <c r="T2185" s="31">
        <v>0</v>
      </c>
      <c r="V2185">
        <v>2183</v>
      </c>
      <c r="W2185">
        <v>35</v>
      </c>
      <c r="X2185">
        <v>2.2240000000000002</v>
      </c>
      <c r="Y2185" s="32">
        <v>4.28</v>
      </c>
      <c r="Z2185">
        <v>0</v>
      </c>
      <c r="AA2185" s="32">
        <v>1.536</v>
      </c>
      <c r="AB2185">
        <v>0</v>
      </c>
      <c r="AC2185" s="34">
        <v>0.19</v>
      </c>
      <c r="AD2185" s="32">
        <v>3.4169999999999998</v>
      </c>
    </row>
    <row r="2186" spans="1:30">
      <c r="A2186">
        <v>2184</v>
      </c>
      <c r="B2186">
        <v>37</v>
      </c>
      <c r="C2186">
        <v>2.2130000000000001</v>
      </c>
      <c r="D2186">
        <v>4.28</v>
      </c>
      <c r="E2186">
        <v>0</v>
      </c>
      <c r="F2186">
        <v>1.6579999999999999</v>
      </c>
      <c r="G2186">
        <v>0</v>
      </c>
      <c r="H2186">
        <v>0.189</v>
      </c>
      <c r="I2186">
        <v>3.7130000000000001</v>
      </c>
      <c r="K2186">
        <v>2184</v>
      </c>
      <c r="L2186">
        <v>37</v>
      </c>
      <c r="M2186" s="32">
        <v>2.2130000000000001</v>
      </c>
      <c r="N2186" s="32">
        <v>4.28</v>
      </c>
      <c r="P2186" s="47">
        <v>1.659</v>
      </c>
      <c r="R2186" s="47">
        <v>0.19</v>
      </c>
      <c r="S2186" s="47">
        <v>3.6709999999999998</v>
      </c>
      <c r="T2186" s="31">
        <v>0</v>
      </c>
      <c r="V2186">
        <v>2184</v>
      </c>
      <c r="W2186">
        <v>35</v>
      </c>
      <c r="X2186">
        <v>2.2250000000000001</v>
      </c>
      <c r="Y2186" s="32">
        <v>4.28</v>
      </c>
      <c r="Z2186">
        <v>0</v>
      </c>
      <c r="AA2186" s="32">
        <v>1.5369999999999999</v>
      </c>
      <c r="AB2186">
        <v>0</v>
      </c>
      <c r="AC2186" s="34">
        <v>0.19</v>
      </c>
      <c r="AD2186" s="32">
        <v>3.419</v>
      </c>
    </row>
    <row r="2187" spans="1:30">
      <c r="A2187">
        <v>2185</v>
      </c>
      <c r="B2187">
        <v>37</v>
      </c>
      <c r="C2187">
        <v>2.214</v>
      </c>
      <c r="D2187">
        <v>4.28</v>
      </c>
      <c r="E2187">
        <v>0</v>
      </c>
      <c r="F2187">
        <v>1.6579999999999999</v>
      </c>
      <c r="G2187">
        <v>0</v>
      </c>
      <c r="H2187">
        <v>0.189</v>
      </c>
      <c r="I2187">
        <v>3.7149999999999999</v>
      </c>
      <c r="K2187">
        <v>2185</v>
      </c>
      <c r="L2187">
        <v>37</v>
      </c>
      <c r="M2187" s="32">
        <v>2.214</v>
      </c>
      <c r="N2187" s="32">
        <v>4.28</v>
      </c>
      <c r="P2187" s="47">
        <v>1.659</v>
      </c>
      <c r="R2187" s="47">
        <v>0.19</v>
      </c>
      <c r="S2187" s="47">
        <v>3.673</v>
      </c>
      <c r="T2187" s="31">
        <v>0</v>
      </c>
      <c r="V2187">
        <v>2185</v>
      </c>
      <c r="W2187">
        <v>35</v>
      </c>
      <c r="X2187">
        <v>2.226</v>
      </c>
      <c r="Y2187" s="32">
        <v>4.28</v>
      </c>
      <c r="Z2187">
        <v>0</v>
      </c>
      <c r="AA2187" s="32">
        <v>1.5369999999999999</v>
      </c>
      <c r="AB2187">
        <v>0</v>
      </c>
      <c r="AC2187" s="34">
        <v>0.19</v>
      </c>
      <c r="AD2187" s="32">
        <v>3.4209999999999998</v>
      </c>
    </row>
    <row r="2188" spans="1:30">
      <c r="A2188">
        <v>2186</v>
      </c>
      <c r="B2188">
        <v>37</v>
      </c>
      <c r="C2188">
        <v>2.2149999999999999</v>
      </c>
      <c r="D2188">
        <v>4.28</v>
      </c>
      <c r="E2188">
        <v>0</v>
      </c>
      <c r="F2188">
        <v>1.6579999999999999</v>
      </c>
      <c r="G2188">
        <v>0</v>
      </c>
      <c r="H2188">
        <v>0.189</v>
      </c>
      <c r="I2188">
        <v>3.7170000000000001</v>
      </c>
      <c r="K2188">
        <v>2186</v>
      </c>
      <c r="L2188">
        <v>37</v>
      </c>
      <c r="M2188" s="32">
        <v>2.2149999999999999</v>
      </c>
      <c r="N2188" s="32">
        <v>4.28</v>
      </c>
      <c r="P2188" s="47">
        <v>1.659</v>
      </c>
      <c r="R2188" s="47">
        <v>0.19</v>
      </c>
      <c r="S2188" s="47">
        <v>3.6749999999999998</v>
      </c>
      <c r="T2188" s="31">
        <v>0</v>
      </c>
      <c r="V2188">
        <v>2186</v>
      </c>
      <c r="W2188">
        <v>35</v>
      </c>
      <c r="X2188">
        <v>2.2269999999999999</v>
      </c>
      <c r="Y2188" s="32">
        <v>4.28</v>
      </c>
      <c r="Z2188">
        <v>0</v>
      </c>
      <c r="AA2188" s="32">
        <v>1.5369999999999999</v>
      </c>
      <c r="AB2188">
        <v>0</v>
      </c>
      <c r="AC2188" s="34">
        <v>0.19</v>
      </c>
      <c r="AD2188" s="32">
        <v>3.423</v>
      </c>
    </row>
    <row r="2189" spans="1:30">
      <c r="A2189">
        <v>2187</v>
      </c>
      <c r="B2189">
        <v>37</v>
      </c>
      <c r="C2189">
        <v>2.2160000000000002</v>
      </c>
      <c r="D2189">
        <v>4.28</v>
      </c>
      <c r="E2189">
        <v>0</v>
      </c>
      <c r="F2189">
        <v>1.6579999999999999</v>
      </c>
      <c r="G2189">
        <v>0</v>
      </c>
      <c r="H2189">
        <v>0.189</v>
      </c>
      <c r="I2189">
        <v>3.7189999999999999</v>
      </c>
      <c r="K2189">
        <v>2187</v>
      </c>
      <c r="L2189">
        <v>37</v>
      </c>
      <c r="M2189" s="32">
        <v>2.2160000000000002</v>
      </c>
      <c r="N2189" s="32">
        <v>4.28</v>
      </c>
      <c r="P2189" s="47">
        <v>1.659</v>
      </c>
      <c r="R2189" s="47">
        <v>0.19</v>
      </c>
      <c r="S2189" s="47">
        <v>3.677</v>
      </c>
      <c r="T2189" s="31">
        <v>0</v>
      </c>
      <c r="V2189">
        <v>2187</v>
      </c>
      <c r="W2189">
        <v>35</v>
      </c>
      <c r="X2189">
        <v>2.2280000000000002</v>
      </c>
      <c r="Y2189" s="32">
        <v>4.28</v>
      </c>
      <c r="Z2189">
        <v>0</v>
      </c>
      <c r="AA2189" s="32">
        <v>1.5369999999999999</v>
      </c>
      <c r="AB2189">
        <v>0</v>
      </c>
      <c r="AC2189" s="34">
        <v>0.191</v>
      </c>
      <c r="AD2189" s="32">
        <v>3.4249999999999998</v>
      </c>
    </row>
    <row r="2190" spans="1:30">
      <c r="A2190">
        <v>2188</v>
      </c>
      <c r="B2190">
        <v>37</v>
      </c>
      <c r="C2190">
        <v>2.2170000000000001</v>
      </c>
      <c r="D2190">
        <v>4.28</v>
      </c>
      <c r="E2190">
        <v>0</v>
      </c>
      <c r="F2190">
        <v>1.6579999999999999</v>
      </c>
      <c r="G2190">
        <v>0</v>
      </c>
      <c r="H2190">
        <v>0.189</v>
      </c>
      <c r="I2190">
        <v>3.722</v>
      </c>
      <c r="K2190">
        <v>2188</v>
      </c>
      <c r="L2190">
        <v>37</v>
      </c>
      <c r="M2190" s="32">
        <v>2.2170000000000001</v>
      </c>
      <c r="N2190" s="32">
        <v>4.28</v>
      </c>
      <c r="P2190" s="47">
        <v>1.659</v>
      </c>
      <c r="R2190" s="47">
        <v>0.19</v>
      </c>
      <c r="S2190" s="47">
        <v>3.6789999999999998</v>
      </c>
      <c r="T2190" s="31">
        <v>0</v>
      </c>
      <c r="V2190">
        <v>2188</v>
      </c>
      <c r="W2190">
        <v>35</v>
      </c>
      <c r="X2190">
        <v>2.2290000000000001</v>
      </c>
      <c r="Y2190" s="32">
        <v>4.28</v>
      </c>
      <c r="Z2190">
        <v>0</v>
      </c>
      <c r="AA2190" s="32">
        <v>1.5369999999999999</v>
      </c>
      <c r="AB2190">
        <v>0</v>
      </c>
      <c r="AC2190" s="34">
        <v>0.191</v>
      </c>
      <c r="AD2190" s="32">
        <v>3.427</v>
      </c>
    </row>
    <row r="2191" spans="1:30">
      <c r="A2191">
        <v>2189</v>
      </c>
      <c r="B2191">
        <v>37</v>
      </c>
      <c r="C2191">
        <v>2.218</v>
      </c>
      <c r="D2191">
        <v>4.28</v>
      </c>
      <c r="E2191">
        <v>0</v>
      </c>
      <c r="F2191">
        <v>1.6579999999999999</v>
      </c>
      <c r="G2191">
        <v>0</v>
      </c>
      <c r="H2191">
        <v>0.189</v>
      </c>
      <c r="I2191">
        <v>3.7240000000000002</v>
      </c>
      <c r="K2191">
        <v>2189</v>
      </c>
      <c r="L2191">
        <v>37</v>
      </c>
      <c r="M2191" s="32">
        <v>2.218</v>
      </c>
      <c r="N2191" s="32">
        <v>4.28</v>
      </c>
      <c r="P2191" s="47">
        <v>1.66</v>
      </c>
      <c r="R2191" s="47">
        <v>0.19</v>
      </c>
      <c r="S2191" s="47">
        <v>3.6819999999999999</v>
      </c>
      <c r="T2191" s="31">
        <v>0</v>
      </c>
      <c r="V2191">
        <v>2189</v>
      </c>
      <c r="W2191">
        <v>35</v>
      </c>
      <c r="X2191">
        <v>2.23</v>
      </c>
      <c r="Y2191" s="32">
        <v>4.28</v>
      </c>
      <c r="Z2191">
        <v>0</v>
      </c>
      <c r="AA2191" s="32">
        <v>1.538</v>
      </c>
      <c r="AB2191">
        <v>0</v>
      </c>
      <c r="AC2191" s="34">
        <v>0.191</v>
      </c>
      <c r="AD2191" s="32">
        <v>3.4289999999999998</v>
      </c>
    </row>
    <row r="2192" spans="1:30">
      <c r="A2192">
        <v>2190</v>
      </c>
      <c r="B2192">
        <v>37</v>
      </c>
      <c r="C2192">
        <v>2.2189999999999999</v>
      </c>
      <c r="D2192">
        <v>4.28</v>
      </c>
      <c r="E2192">
        <v>0</v>
      </c>
      <c r="F2192">
        <v>1.6579999999999999</v>
      </c>
      <c r="G2192">
        <v>0</v>
      </c>
      <c r="H2192">
        <v>0.189</v>
      </c>
      <c r="I2192">
        <v>3.726</v>
      </c>
      <c r="K2192">
        <v>2190</v>
      </c>
      <c r="L2192">
        <v>37</v>
      </c>
      <c r="M2192" s="32">
        <v>2.2189999999999999</v>
      </c>
      <c r="N2192" s="32">
        <v>4.28</v>
      </c>
      <c r="P2192" s="47">
        <v>1.66</v>
      </c>
      <c r="R2192" s="47">
        <v>0.19</v>
      </c>
      <c r="S2192" s="47">
        <v>3.6840000000000002</v>
      </c>
      <c r="T2192" s="31">
        <v>0</v>
      </c>
      <c r="V2192">
        <v>2190</v>
      </c>
      <c r="W2192">
        <v>35</v>
      </c>
      <c r="X2192">
        <v>2.2309999999999999</v>
      </c>
      <c r="Y2192" s="32">
        <v>4.28</v>
      </c>
      <c r="Z2192">
        <v>0</v>
      </c>
      <c r="AA2192" s="32">
        <v>1.538</v>
      </c>
      <c r="AB2192">
        <v>0</v>
      </c>
      <c r="AC2192" s="34">
        <v>0.191</v>
      </c>
      <c r="AD2192" s="32">
        <v>3.431</v>
      </c>
    </row>
    <row r="2193" spans="1:30">
      <c r="A2193">
        <v>2191</v>
      </c>
      <c r="B2193">
        <v>37</v>
      </c>
      <c r="C2193">
        <v>2.2200000000000002</v>
      </c>
      <c r="D2193">
        <v>4.28</v>
      </c>
      <c r="E2193">
        <v>0</v>
      </c>
      <c r="F2193">
        <v>1.6579999999999999</v>
      </c>
      <c r="G2193">
        <v>0</v>
      </c>
      <c r="H2193">
        <v>0.189</v>
      </c>
      <c r="I2193">
        <v>3.7280000000000002</v>
      </c>
      <c r="K2193">
        <v>2191</v>
      </c>
      <c r="L2193">
        <v>37</v>
      </c>
      <c r="M2193" s="32">
        <v>2.2200000000000002</v>
      </c>
      <c r="N2193" s="32">
        <v>4.28</v>
      </c>
      <c r="P2193" s="47">
        <v>1.66</v>
      </c>
      <c r="R2193" s="47">
        <v>0.19</v>
      </c>
      <c r="S2193" s="47">
        <v>3.6859999999999999</v>
      </c>
      <c r="T2193" s="31">
        <v>0</v>
      </c>
      <c r="V2193">
        <v>2191</v>
      </c>
      <c r="W2193">
        <v>35</v>
      </c>
      <c r="X2193">
        <v>2.2320000000000002</v>
      </c>
      <c r="Y2193" s="32">
        <v>4.28</v>
      </c>
      <c r="Z2193">
        <v>0</v>
      </c>
      <c r="AA2193" s="32">
        <v>1.538</v>
      </c>
      <c r="AB2193">
        <v>0</v>
      </c>
      <c r="AC2193" s="34">
        <v>0.191</v>
      </c>
      <c r="AD2193" s="32">
        <v>3.4329999999999998</v>
      </c>
    </row>
    <row r="2194" spans="1:30">
      <c r="A2194">
        <v>2192</v>
      </c>
      <c r="B2194">
        <v>37</v>
      </c>
      <c r="C2194">
        <v>2.2210000000000001</v>
      </c>
      <c r="D2194">
        <v>4.28</v>
      </c>
      <c r="E2194">
        <v>0</v>
      </c>
      <c r="F2194">
        <v>1.66</v>
      </c>
      <c r="G2194">
        <v>0</v>
      </c>
      <c r="H2194">
        <v>0.189</v>
      </c>
      <c r="I2194">
        <v>3.7519999999999998</v>
      </c>
      <c r="K2194">
        <v>2192</v>
      </c>
      <c r="L2194">
        <v>37</v>
      </c>
      <c r="M2194" s="32">
        <v>2.2210000000000001</v>
      </c>
      <c r="N2194" s="32">
        <v>4.28</v>
      </c>
      <c r="P2194" s="32">
        <v>1.66</v>
      </c>
      <c r="R2194" s="47">
        <v>0.19</v>
      </c>
      <c r="S2194" s="47">
        <v>3.6880000000000002</v>
      </c>
      <c r="T2194" s="31">
        <v>0</v>
      </c>
      <c r="V2194">
        <v>2192</v>
      </c>
      <c r="W2194">
        <v>35</v>
      </c>
      <c r="X2194">
        <v>2.2330000000000001</v>
      </c>
      <c r="Y2194" s="32">
        <v>4.28</v>
      </c>
      <c r="Z2194">
        <v>0</v>
      </c>
      <c r="AA2194" s="32">
        <v>1.538</v>
      </c>
      <c r="AB2194">
        <v>0</v>
      </c>
      <c r="AC2194" s="34">
        <v>0.191</v>
      </c>
      <c r="AD2194" s="32">
        <v>3.4350000000000001</v>
      </c>
    </row>
    <row r="2195" spans="1:30">
      <c r="A2195">
        <v>2193</v>
      </c>
      <c r="B2195">
        <v>37</v>
      </c>
      <c r="C2195">
        <v>2.222</v>
      </c>
      <c r="D2195">
        <v>4.28</v>
      </c>
      <c r="E2195">
        <v>0</v>
      </c>
      <c r="F2195">
        <v>1.66</v>
      </c>
      <c r="G2195">
        <v>0</v>
      </c>
      <c r="H2195">
        <v>0.189</v>
      </c>
      <c r="I2195">
        <v>3.754</v>
      </c>
      <c r="K2195">
        <v>2193</v>
      </c>
      <c r="L2195">
        <v>37</v>
      </c>
      <c r="M2195" s="32">
        <v>2.222</v>
      </c>
      <c r="N2195" s="32">
        <v>4.28</v>
      </c>
      <c r="P2195" s="47">
        <v>1.661</v>
      </c>
      <c r="R2195" s="47">
        <v>0.19</v>
      </c>
      <c r="S2195" s="47">
        <v>3.69</v>
      </c>
      <c r="T2195" s="31">
        <v>0</v>
      </c>
      <c r="V2195">
        <v>2193</v>
      </c>
      <c r="W2195">
        <v>35</v>
      </c>
      <c r="X2195">
        <v>2.234</v>
      </c>
      <c r="Y2195" s="32">
        <v>4.28</v>
      </c>
      <c r="Z2195">
        <v>0</v>
      </c>
      <c r="AA2195" s="32">
        <v>1.538</v>
      </c>
      <c r="AB2195">
        <v>0</v>
      </c>
      <c r="AC2195" s="34">
        <v>0.191</v>
      </c>
      <c r="AD2195" s="32">
        <v>3.4369999999999998</v>
      </c>
    </row>
    <row r="2196" spans="1:30">
      <c r="A2196">
        <v>2194</v>
      </c>
      <c r="B2196">
        <v>37</v>
      </c>
      <c r="C2196">
        <v>2.2229999999999999</v>
      </c>
      <c r="D2196">
        <v>4.28</v>
      </c>
      <c r="E2196">
        <v>0</v>
      </c>
      <c r="F2196">
        <v>1.66</v>
      </c>
      <c r="G2196">
        <v>0</v>
      </c>
      <c r="H2196">
        <v>0.189</v>
      </c>
      <c r="I2196">
        <v>3.7559999999999998</v>
      </c>
      <c r="K2196">
        <v>2194</v>
      </c>
      <c r="L2196">
        <v>37</v>
      </c>
      <c r="M2196" s="32">
        <v>2.2229999999999999</v>
      </c>
      <c r="N2196" s="32">
        <v>4.28</v>
      </c>
      <c r="P2196" s="47">
        <v>1.661</v>
      </c>
      <c r="R2196" s="47">
        <v>0.19</v>
      </c>
      <c r="S2196" s="47">
        <v>3.6930000000000001</v>
      </c>
      <c r="T2196" s="31">
        <v>0</v>
      </c>
      <c r="V2196">
        <v>2194</v>
      </c>
      <c r="W2196">
        <v>35</v>
      </c>
      <c r="X2196">
        <v>2.2349999999999999</v>
      </c>
      <c r="Y2196" s="32">
        <v>4.28</v>
      </c>
      <c r="Z2196">
        <v>0</v>
      </c>
      <c r="AA2196" s="32">
        <v>1.5389999999999999</v>
      </c>
      <c r="AB2196">
        <v>0</v>
      </c>
      <c r="AC2196" s="34">
        <v>0.191</v>
      </c>
      <c r="AD2196" s="32">
        <v>3.4390000000000001</v>
      </c>
    </row>
    <row r="2197" spans="1:30">
      <c r="A2197">
        <v>2195</v>
      </c>
      <c r="B2197">
        <v>37</v>
      </c>
      <c r="C2197">
        <v>2.2240000000000002</v>
      </c>
      <c r="D2197">
        <v>4.28</v>
      </c>
      <c r="E2197">
        <v>0</v>
      </c>
      <c r="F2197">
        <v>1.66</v>
      </c>
      <c r="G2197">
        <v>0</v>
      </c>
      <c r="H2197">
        <v>0.189</v>
      </c>
      <c r="I2197">
        <v>3.7589999999999999</v>
      </c>
      <c r="K2197">
        <v>2195</v>
      </c>
      <c r="L2197">
        <v>37</v>
      </c>
      <c r="M2197" s="32">
        <v>2.2240000000000002</v>
      </c>
      <c r="N2197" s="32">
        <v>4.28</v>
      </c>
      <c r="P2197" s="47">
        <v>1.661</v>
      </c>
      <c r="R2197" s="47">
        <v>0.19</v>
      </c>
      <c r="S2197" s="47">
        <v>3.6949999999999998</v>
      </c>
      <c r="T2197" s="31">
        <v>0</v>
      </c>
      <c r="V2197">
        <v>2195</v>
      </c>
      <c r="W2197">
        <v>35</v>
      </c>
      <c r="X2197">
        <v>2.2360000000000002</v>
      </c>
      <c r="Y2197" s="32">
        <v>4.28</v>
      </c>
      <c r="Z2197">
        <v>0</v>
      </c>
      <c r="AA2197" s="32">
        <v>1.5389999999999999</v>
      </c>
      <c r="AB2197">
        <v>0</v>
      </c>
      <c r="AC2197" s="34">
        <v>0.191</v>
      </c>
      <c r="AD2197" s="32">
        <v>3.4409999999999998</v>
      </c>
    </row>
    <row r="2198" spans="1:30">
      <c r="A2198">
        <v>2196</v>
      </c>
      <c r="B2198">
        <v>37</v>
      </c>
      <c r="C2198">
        <v>2.2250000000000001</v>
      </c>
      <c r="D2198">
        <v>4.28</v>
      </c>
      <c r="E2198">
        <v>0</v>
      </c>
      <c r="F2198">
        <v>1.66</v>
      </c>
      <c r="G2198">
        <v>0</v>
      </c>
      <c r="H2198">
        <v>0.189</v>
      </c>
      <c r="I2198">
        <v>3.7610000000000001</v>
      </c>
      <c r="K2198">
        <v>2196</v>
      </c>
      <c r="L2198">
        <v>37</v>
      </c>
      <c r="M2198" s="32">
        <v>2.2250000000000001</v>
      </c>
      <c r="N2198" s="32">
        <v>4.28</v>
      </c>
      <c r="P2198" s="47">
        <v>1.6619999999999999</v>
      </c>
      <c r="R2198" s="47">
        <v>0.19</v>
      </c>
      <c r="S2198" s="47">
        <v>3.6970000000000001</v>
      </c>
      <c r="T2198" s="31">
        <v>0</v>
      </c>
      <c r="V2198">
        <v>2196</v>
      </c>
      <c r="W2198">
        <v>35</v>
      </c>
      <c r="X2198">
        <v>2.2370000000000001</v>
      </c>
      <c r="Y2198" s="32">
        <v>4.28</v>
      </c>
      <c r="Z2198">
        <v>0</v>
      </c>
      <c r="AA2198" s="32">
        <v>1.5389999999999999</v>
      </c>
      <c r="AB2198">
        <v>0</v>
      </c>
      <c r="AC2198" s="34">
        <v>0.191</v>
      </c>
      <c r="AD2198" s="32">
        <v>3.4430000000000001</v>
      </c>
    </row>
    <row r="2199" spans="1:30">
      <c r="A2199">
        <v>2197</v>
      </c>
      <c r="B2199">
        <v>37</v>
      </c>
      <c r="C2199">
        <v>2.226</v>
      </c>
      <c r="D2199">
        <v>4.28</v>
      </c>
      <c r="E2199">
        <v>0</v>
      </c>
      <c r="F2199">
        <v>1.66</v>
      </c>
      <c r="G2199">
        <v>0</v>
      </c>
      <c r="H2199">
        <v>0.189</v>
      </c>
      <c r="I2199">
        <v>3.7629999999999999</v>
      </c>
      <c r="K2199">
        <v>2197</v>
      </c>
      <c r="L2199">
        <v>37</v>
      </c>
      <c r="M2199" s="32">
        <v>2.226</v>
      </c>
      <c r="N2199" s="32">
        <v>4.28</v>
      </c>
      <c r="P2199" s="47">
        <v>1.6619999999999999</v>
      </c>
      <c r="R2199" s="47">
        <v>0.19</v>
      </c>
      <c r="S2199" s="47">
        <v>3.6989999999999998</v>
      </c>
      <c r="T2199" s="31">
        <v>0</v>
      </c>
      <c r="V2199">
        <v>2197</v>
      </c>
      <c r="W2199">
        <v>35</v>
      </c>
      <c r="X2199">
        <v>2.238</v>
      </c>
      <c r="Y2199" s="32">
        <v>4.28</v>
      </c>
      <c r="Z2199">
        <v>0</v>
      </c>
      <c r="AA2199" s="32">
        <v>1.5389999999999999</v>
      </c>
      <c r="AB2199">
        <v>0</v>
      </c>
      <c r="AC2199" s="34">
        <v>0.191</v>
      </c>
      <c r="AD2199" s="32">
        <v>3.4449999999999998</v>
      </c>
    </row>
    <row r="2200" spans="1:30">
      <c r="A2200">
        <v>2198</v>
      </c>
      <c r="B2200">
        <v>37</v>
      </c>
      <c r="C2200">
        <v>2.2269999999999999</v>
      </c>
      <c r="D2200">
        <v>4.28</v>
      </c>
      <c r="E2200">
        <v>0</v>
      </c>
      <c r="F2200">
        <v>1.66</v>
      </c>
      <c r="G2200">
        <v>0</v>
      </c>
      <c r="H2200">
        <v>0.189</v>
      </c>
      <c r="I2200">
        <v>3.7650000000000001</v>
      </c>
      <c r="K2200">
        <v>2198</v>
      </c>
      <c r="L2200">
        <v>37</v>
      </c>
      <c r="M2200" s="32">
        <v>2.2269999999999999</v>
      </c>
      <c r="N2200" s="32">
        <v>4.28</v>
      </c>
      <c r="P2200" s="47">
        <v>1.6619999999999999</v>
      </c>
      <c r="R2200" s="47">
        <v>0.19</v>
      </c>
      <c r="S2200" s="47">
        <v>3.7010000000000001</v>
      </c>
      <c r="T2200" s="31">
        <v>0</v>
      </c>
      <c r="V2200">
        <v>2198</v>
      </c>
      <c r="W2200">
        <v>35</v>
      </c>
      <c r="X2200">
        <v>2.2389999999999999</v>
      </c>
      <c r="Y2200" s="32">
        <v>4.28</v>
      </c>
      <c r="Z2200">
        <v>0</v>
      </c>
      <c r="AA2200" s="32">
        <v>1.5389999999999999</v>
      </c>
      <c r="AB2200">
        <v>0</v>
      </c>
      <c r="AC2200" s="34">
        <v>0.191</v>
      </c>
      <c r="AD2200" s="32">
        <v>3.4470000000000001</v>
      </c>
    </row>
    <row r="2201" spans="1:30">
      <c r="A2201">
        <v>2199</v>
      </c>
      <c r="B2201">
        <v>37</v>
      </c>
      <c r="C2201">
        <v>2.2280000000000002</v>
      </c>
      <c r="D2201">
        <v>4.28</v>
      </c>
      <c r="E2201">
        <v>0</v>
      </c>
      <c r="F2201">
        <v>1.66</v>
      </c>
      <c r="G2201">
        <v>0</v>
      </c>
      <c r="H2201">
        <v>0.189</v>
      </c>
      <c r="I2201">
        <v>3.7669999999999999</v>
      </c>
      <c r="K2201">
        <v>2199</v>
      </c>
      <c r="L2201">
        <v>37</v>
      </c>
      <c r="M2201" s="32">
        <v>2.2280000000000002</v>
      </c>
      <c r="N2201" s="32">
        <v>4.28</v>
      </c>
      <c r="P2201" s="47">
        <v>1.6619999999999999</v>
      </c>
      <c r="R2201" s="47">
        <v>0.19</v>
      </c>
      <c r="S2201" s="47">
        <v>3.7040000000000002</v>
      </c>
      <c r="T2201" s="31">
        <v>0</v>
      </c>
      <c r="V2201">
        <v>2199</v>
      </c>
      <c r="W2201">
        <v>35</v>
      </c>
      <c r="X2201">
        <v>2.2400000000000002</v>
      </c>
      <c r="Y2201" s="32">
        <v>4.28</v>
      </c>
      <c r="Z2201">
        <v>0</v>
      </c>
      <c r="AA2201" s="32">
        <v>1.54</v>
      </c>
      <c r="AB2201">
        <v>0</v>
      </c>
      <c r="AC2201" s="34">
        <v>0.191</v>
      </c>
      <c r="AD2201" s="32">
        <v>3.4489999999999998</v>
      </c>
    </row>
    <row r="2202" spans="1:30">
      <c r="A2202">
        <v>2200</v>
      </c>
      <c r="B2202">
        <v>37</v>
      </c>
      <c r="C2202">
        <v>2.2290000000000001</v>
      </c>
      <c r="D2202">
        <v>4.28</v>
      </c>
      <c r="E2202">
        <v>0</v>
      </c>
      <c r="F2202">
        <v>1.66</v>
      </c>
      <c r="G2202">
        <v>0</v>
      </c>
      <c r="H2202">
        <v>0.189</v>
      </c>
      <c r="I2202">
        <v>3.7690000000000001</v>
      </c>
      <c r="K2202">
        <v>2200</v>
      </c>
      <c r="L2202">
        <v>37</v>
      </c>
      <c r="M2202" s="32">
        <v>2.2290000000000001</v>
      </c>
      <c r="N2202" s="32">
        <v>4.28</v>
      </c>
      <c r="P2202" s="47">
        <v>1.663</v>
      </c>
      <c r="R2202" s="47">
        <v>0.19</v>
      </c>
      <c r="S2202" s="47">
        <v>3.706</v>
      </c>
      <c r="T2202" s="31">
        <v>0</v>
      </c>
      <c r="V2202">
        <v>2200</v>
      </c>
      <c r="W2202">
        <v>35</v>
      </c>
      <c r="X2202">
        <v>2.2410000000000001</v>
      </c>
      <c r="Y2202" s="32">
        <v>4.28</v>
      </c>
      <c r="Z2202">
        <v>0</v>
      </c>
      <c r="AA2202" s="32">
        <v>1.54</v>
      </c>
      <c r="AB2202">
        <v>0</v>
      </c>
      <c r="AC2202" s="34">
        <v>0.191</v>
      </c>
      <c r="AD2202" s="32">
        <v>3.45</v>
      </c>
    </row>
    <row r="2203" spans="1:30">
      <c r="A2203">
        <v>2201</v>
      </c>
      <c r="B2203">
        <v>37</v>
      </c>
      <c r="C2203">
        <v>2.23</v>
      </c>
      <c r="D2203">
        <v>4.28</v>
      </c>
      <c r="E2203">
        <v>0</v>
      </c>
      <c r="F2203">
        <v>1.663</v>
      </c>
      <c r="G2203">
        <v>0</v>
      </c>
      <c r="H2203">
        <v>0.189</v>
      </c>
      <c r="I2203">
        <v>3.7080000000000002</v>
      </c>
      <c r="K2203">
        <v>2201</v>
      </c>
      <c r="L2203">
        <v>37</v>
      </c>
      <c r="M2203" s="32">
        <v>2.23</v>
      </c>
      <c r="N2203" s="32">
        <v>4.28</v>
      </c>
      <c r="P2203" s="32">
        <v>1.663</v>
      </c>
      <c r="R2203" s="47">
        <v>0.19</v>
      </c>
      <c r="S2203" s="32">
        <v>3.7080000000000002</v>
      </c>
      <c r="T2203" s="31">
        <v>0</v>
      </c>
      <c r="V2203">
        <v>2201</v>
      </c>
      <c r="W2203">
        <v>35</v>
      </c>
      <c r="X2203">
        <v>2.242</v>
      </c>
      <c r="Y2203" s="32">
        <v>4.28</v>
      </c>
      <c r="Z2203">
        <v>0</v>
      </c>
      <c r="AA2203" s="32">
        <v>1.54</v>
      </c>
      <c r="AB2203">
        <v>0</v>
      </c>
      <c r="AC2203" s="34">
        <v>0.191</v>
      </c>
      <c r="AD2203" s="32">
        <v>3.452</v>
      </c>
    </row>
    <row r="2204" spans="1:30">
      <c r="A2204">
        <v>2202</v>
      </c>
      <c r="B2204">
        <v>37</v>
      </c>
      <c r="C2204">
        <v>2.2309999999999999</v>
      </c>
      <c r="D2204">
        <v>4.28</v>
      </c>
      <c r="E2204">
        <v>0</v>
      </c>
      <c r="F2204">
        <v>1.663</v>
      </c>
      <c r="G2204">
        <v>0</v>
      </c>
      <c r="H2204">
        <v>0.189</v>
      </c>
      <c r="I2204">
        <v>3.7949999999999999</v>
      </c>
      <c r="K2204">
        <v>2202</v>
      </c>
      <c r="L2204">
        <v>37</v>
      </c>
      <c r="M2204" s="32">
        <v>2.2309999999999999</v>
      </c>
      <c r="N2204" s="32">
        <v>4.28</v>
      </c>
      <c r="P2204" s="32">
        <v>1.663</v>
      </c>
      <c r="R2204" s="47">
        <v>0.19</v>
      </c>
      <c r="S2204" s="47">
        <v>3.71</v>
      </c>
      <c r="T2204" s="31">
        <v>0</v>
      </c>
      <c r="V2204">
        <v>2202</v>
      </c>
      <c r="W2204">
        <v>35</v>
      </c>
      <c r="X2204">
        <v>2.2429999999999999</v>
      </c>
      <c r="Y2204" s="32">
        <v>4.28</v>
      </c>
      <c r="Z2204">
        <v>0</v>
      </c>
      <c r="AA2204" s="32">
        <v>1.54</v>
      </c>
      <c r="AB2204">
        <v>0</v>
      </c>
      <c r="AC2204" s="34">
        <v>0.191</v>
      </c>
      <c r="AD2204" s="32">
        <v>3.4540000000000002</v>
      </c>
    </row>
    <row r="2205" spans="1:30">
      <c r="A2205">
        <v>2203</v>
      </c>
      <c r="B2205">
        <v>37</v>
      </c>
      <c r="C2205">
        <v>2.2320000000000002</v>
      </c>
      <c r="D2205">
        <v>4.28</v>
      </c>
      <c r="E2205">
        <v>0</v>
      </c>
      <c r="F2205">
        <v>1.663</v>
      </c>
      <c r="G2205">
        <v>0</v>
      </c>
      <c r="H2205">
        <v>0.189</v>
      </c>
      <c r="I2205">
        <v>3.798</v>
      </c>
      <c r="K2205">
        <v>2203</v>
      </c>
      <c r="L2205">
        <v>37</v>
      </c>
      <c r="M2205" s="32">
        <v>2.2320000000000002</v>
      </c>
      <c r="N2205" s="32">
        <v>4.28</v>
      </c>
      <c r="P2205" s="32">
        <v>1.663</v>
      </c>
      <c r="R2205" s="47">
        <v>0.19</v>
      </c>
      <c r="S2205" s="47">
        <v>3.7120000000000002</v>
      </c>
      <c r="T2205" s="31">
        <v>0</v>
      </c>
      <c r="V2205">
        <v>2203</v>
      </c>
      <c r="W2205">
        <v>35</v>
      </c>
      <c r="X2205">
        <v>2.2440000000000002</v>
      </c>
      <c r="Y2205" s="32">
        <v>4.28</v>
      </c>
      <c r="Z2205">
        <v>0</v>
      </c>
      <c r="AA2205" s="32">
        <v>1.54</v>
      </c>
      <c r="AB2205">
        <v>0</v>
      </c>
      <c r="AC2205" s="34">
        <v>0.191</v>
      </c>
      <c r="AD2205" s="32">
        <v>3.456</v>
      </c>
    </row>
    <row r="2206" spans="1:30">
      <c r="A2206">
        <v>2204</v>
      </c>
      <c r="B2206">
        <v>37</v>
      </c>
      <c r="C2206">
        <v>2.2330000000000001</v>
      </c>
      <c r="D2206">
        <v>4.28</v>
      </c>
      <c r="E2206">
        <v>0</v>
      </c>
      <c r="F2206">
        <v>1.663</v>
      </c>
      <c r="G2206">
        <v>0</v>
      </c>
      <c r="H2206">
        <v>0.189</v>
      </c>
      <c r="I2206">
        <v>3.8</v>
      </c>
      <c r="K2206">
        <v>2204</v>
      </c>
      <c r="L2206">
        <v>37</v>
      </c>
      <c r="M2206" s="32">
        <v>2.2330000000000001</v>
      </c>
      <c r="N2206" s="32">
        <v>4.28</v>
      </c>
      <c r="P2206" s="47">
        <v>1.6639999999999999</v>
      </c>
      <c r="R2206" s="47">
        <v>0.19</v>
      </c>
      <c r="S2206" s="47">
        <v>3.7149999999999999</v>
      </c>
      <c r="T2206" s="31">
        <v>0</v>
      </c>
      <c r="V2206">
        <v>2204</v>
      </c>
      <c r="W2206">
        <v>35</v>
      </c>
      <c r="X2206">
        <v>2.2450000000000001</v>
      </c>
      <c r="Y2206" s="32">
        <v>4.28</v>
      </c>
      <c r="Z2206">
        <v>0</v>
      </c>
      <c r="AA2206" s="32">
        <v>1.54</v>
      </c>
      <c r="AB2206">
        <v>0</v>
      </c>
      <c r="AC2206" s="34">
        <v>0.191</v>
      </c>
      <c r="AD2206" s="32">
        <v>3.4580000000000002</v>
      </c>
    </row>
    <row r="2207" spans="1:30">
      <c r="A2207">
        <v>2205</v>
      </c>
      <c r="B2207">
        <v>37</v>
      </c>
      <c r="C2207">
        <v>2.234</v>
      </c>
      <c r="D2207">
        <v>4.28</v>
      </c>
      <c r="E2207">
        <v>0</v>
      </c>
      <c r="F2207">
        <v>1.663</v>
      </c>
      <c r="G2207">
        <v>0</v>
      </c>
      <c r="H2207">
        <v>0.189</v>
      </c>
      <c r="I2207">
        <v>3.802</v>
      </c>
      <c r="K2207">
        <v>2205</v>
      </c>
      <c r="L2207">
        <v>37</v>
      </c>
      <c r="M2207" s="32">
        <v>2.234</v>
      </c>
      <c r="N2207" s="32">
        <v>4.28</v>
      </c>
      <c r="P2207" s="47">
        <v>1.6639999999999999</v>
      </c>
      <c r="R2207" s="47">
        <v>0.19</v>
      </c>
      <c r="S2207" s="47">
        <v>3.7170000000000001</v>
      </c>
      <c r="T2207" s="31">
        <v>0</v>
      </c>
      <c r="V2207">
        <v>2205</v>
      </c>
      <c r="W2207">
        <v>35</v>
      </c>
      <c r="X2207">
        <v>2.246</v>
      </c>
      <c r="Y2207" s="32">
        <v>4.28</v>
      </c>
      <c r="Z2207">
        <v>0</v>
      </c>
      <c r="AA2207" s="32">
        <v>1.5409999999999999</v>
      </c>
      <c r="AB2207">
        <v>0</v>
      </c>
      <c r="AC2207" s="34">
        <v>0.191</v>
      </c>
      <c r="AD2207" s="32">
        <v>3.46</v>
      </c>
    </row>
    <row r="2208" spans="1:30">
      <c r="A2208">
        <v>2206</v>
      </c>
      <c r="B2208">
        <v>37</v>
      </c>
      <c r="C2208">
        <v>2.2349999999999999</v>
      </c>
      <c r="D2208">
        <v>4.28</v>
      </c>
      <c r="E2208">
        <v>0</v>
      </c>
      <c r="F2208">
        <v>1.663</v>
      </c>
      <c r="G2208">
        <v>0</v>
      </c>
      <c r="H2208">
        <v>0.189</v>
      </c>
      <c r="I2208">
        <v>3.8039999999999998</v>
      </c>
      <c r="K2208">
        <v>2206</v>
      </c>
      <c r="L2208">
        <v>37</v>
      </c>
      <c r="M2208" s="32">
        <v>2.2349999999999999</v>
      </c>
      <c r="N2208" s="32">
        <v>4.28</v>
      </c>
      <c r="P2208" s="47">
        <v>1.6639999999999999</v>
      </c>
      <c r="R2208" s="47">
        <v>0.191</v>
      </c>
      <c r="S2208" s="47">
        <v>3.7189999999999999</v>
      </c>
      <c r="T2208" s="31">
        <v>0</v>
      </c>
      <c r="V2208">
        <v>2206</v>
      </c>
      <c r="W2208">
        <v>35</v>
      </c>
      <c r="X2208">
        <v>2.2469999999999999</v>
      </c>
      <c r="Y2208" s="32">
        <v>4.28</v>
      </c>
      <c r="Z2208">
        <v>0</v>
      </c>
      <c r="AA2208" s="32">
        <v>1.5409999999999999</v>
      </c>
      <c r="AB2208">
        <v>0</v>
      </c>
      <c r="AC2208" s="34">
        <v>0.191</v>
      </c>
      <c r="AD2208" s="32">
        <v>3.4620000000000002</v>
      </c>
    </row>
    <row r="2209" spans="1:30">
      <c r="A2209">
        <v>2207</v>
      </c>
      <c r="B2209">
        <v>37</v>
      </c>
      <c r="C2209">
        <v>2.2360000000000002</v>
      </c>
      <c r="D2209">
        <v>4.28</v>
      </c>
      <c r="E2209">
        <v>0</v>
      </c>
      <c r="F2209">
        <v>1.663</v>
      </c>
      <c r="G2209">
        <v>0</v>
      </c>
      <c r="H2209">
        <v>0.189</v>
      </c>
      <c r="I2209">
        <v>3.806</v>
      </c>
      <c r="K2209">
        <v>2207</v>
      </c>
      <c r="L2209">
        <v>37</v>
      </c>
      <c r="M2209" s="32">
        <v>2.2360000000000002</v>
      </c>
      <c r="N2209" s="32">
        <v>4.28</v>
      </c>
      <c r="P2209" s="47">
        <v>1.6639999999999999</v>
      </c>
      <c r="R2209" s="47">
        <v>0.191</v>
      </c>
      <c r="S2209" s="47">
        <v>3.7210000000000001</v>
      </c>
      <c r="T2209" s="31">
        <v>0</v>
      </c>
      <c r="V2209">
        <v>2207</v>
      </c>
      <c r="W2209">
        <v>35</v>
      </c>
      <c r="X2209">
        <v>2.2480000000000002</v>
      </c>
      <c r="Y2209" s="32">
        <v>4.28</v>
      </c>
      <c r="Z2209">
        <v>0</v>
      </c>
      <c r="AA2209" s="32">
        <v>1.5409999999999999</v>
      </c>
      <c r="AB2209">
        <v>0</v>
      </c>
      <c r="AC2209" s="34">
        <v>0.191</v>
      </c>
      <c r="AD2209" s="32">
        <v>3.464</v>
      </c>
    </row>
    <row r="2210" spans="1:30">
      <c r="A2210">
        <v>2208</v>
      </c>
      <c r="B2210">
        <v>37</v>
      </c>
      <c r="C2210">
        <v>2.2370000000000001</v>
      </c>
      <c r="D2210">
        <v>4.28</v>
      </c>
      <c r="E2210">
        <v>0</v>
      </c>
      <c r="F2210">
        <v>1.663</v>
      </c>
      <c r="G2210">
        <v>0</v>
      </c>
      <c r="H2210">
        <v>0.189</v>
      </c>
      <c r="I2210">
        <v>3.8079999999999998</v>
      </c>
      <c r="K2210">
        <v>2208</v>
      </c>
      <c r="L2210">
        <v>37</v>
      </c>
      <c r="M2210" s="32">
        <v>2.2370000000000001</v>
      </c>
      <c r="N2210" s="32">
        <v>4.28</v>
      </c>
      <c r="P2210" s="47">
        <v>1.6639999999999999</v>
      </c>
      <c r="R2210" s="47">
        <v>0.191</v>
      </c>
      <c r="S2210" s="47">
        <v>3.7229999999999999</v>
      </c>
      <c r="T2210" s="31">
        <v>0</v>
      </c>
      <c r="V2210">
        <v>2208</v>
      </c>
      <c r="W2210">
        <v>35</v>
      </c>
      <c r="X2210">
        <v>2.2490000000000001</v>
      </c>
      <c r="Y2210" s="32">
        <v>4.28</v>
      </c>
      <c r="Z2210">
        <v>0</v>
      </c>
      <c r="AA2210" s="32">
        <v>1.5409999999999999</v>
      </c>
      <c r="AB2210">
        <v>0</v>
      </c>
      <c r="AC2210" s="34">
        <v>0.191</v>
      </c>
      <c r="AD2210" s="32">
        <v>3.4660000000000002</v>
      </c>
    </row>
    <row r="2211" spans="1:30">
      <c r="A2211">
        <v>2209</v>
      </c>
      <c r="B2211">
        <v>37</v>
      </c>
      <c r="C2211">
        <v>2.238</v>
      </c>
      <c r="D2211">
        <v>4.28</v>
      </c>
      <c r="E2211">
        <v>0</v>
      </c>
      <c r="F2211">
        <v>1.663</v>
      </c>
      <c r="G2211">
        <v>0</v>
      </c>
      <c r="H2211">
        <v>0.189</v>
      </c>
      <c r="I2211">
        <v>3.81</v>
      </c>
      <c r="K2211">
        <v>2209</v>
      </c>
      <c r="L2211">
        <v>37</v>
      </c>
      <c r="M2211" s="32">
        <v>2.238</v>
      </c>
      <c r="N2211" s="32">
        <v>4.28</v>
      </c>
      <c r="P2211" s="47">
        <v>1.665</v>
      </c>
      <c r="R2211" s="47">
        <v>0.191</v>
      </c>
      <c r="S2211" s="47">
        <v>3.726</v>
      </c>
      <c r="T2211" s="31">
        <v>0</v>
      </c>
      <c r="V2211">
        <v>2209</v>
      </c>
      <c r="W2211">
        <v>35</v>
      </c>
      <c r="X2211">
        <v>2.25</v>
      </c>
      <c r="Y2211" s="32">
        <v>4.28</v>
      </c>
      <c r="Z2211">
        <v>0</v>
      </c>
      <c r="AA2211" s="32">
        <v>1.5409999999999999</v>
      </c>
      <c r="AB2211">
        <v>0</v>
      </c>
      <c r="AC2211" s="34">
        <v>0.191</v>
      </c>
      <c r="AD2211" s="32">
        <v>3.468</v>
      </c>
    </row>
    <row r="2212" spans="1:30">
      <c r="A2212">
        <v>2210</v>
      </c>
      <c r="B2212">
        <v>37</v>
      </c>
      <c r="C2212">
        <v>2.2389999999999999</v>
      </c>
      <c r="D2212">
        <v>4.28</v>
      </c>
      <c r="E2212">
        <v>0</v>
      </c>
      <c r="F2212">
        <v>1.663</v>
      </c>
      <c r="G2212">
        <v>0</v>
      </c>
      <c r="H2212">
        <v>0.189</v>
      </c>
      <c r="I2212">
        <v>3.8130000000000002</v>
      </c>
      <c r="K2212">
        <v>2210</v>
      </c>
      <c r="L2212">
        <v>37</v>
      </c>
      <c r="M2212" s="32">
        <v>2.2389999999999999</v>
      </c>
      <c r="N2212" s="32">
        <v>4.28</v>
      </c>
      <c r="P2212" s="47">
        <v>1.665</v>
      </c>
      <c r="R2212" s="47">
        <v>0.191</v>
      </c>
      <c r="S2212" s="47">
        <v>3.7280000000000002</v>
      </c>
      <c r="T2212" s="31">
        <v>0</v>
      </c>
      <c r="V2212">
        <v>2210</v>
      </c>
      <c r="W2212">
        <v>35</v>
      </c>
      <c r="X2212">
        <v>2.2509999999999999</v>
      </c>
      <c r="Y2212" s="32">
        <v>4.28</v>
      </c>
      <c r="Z2212">
        <v>0</v>
      </c>
      <c r="AA2212" s="32">
        <v>1.542</v>
      </c>
      <c r="AB2212">
        <v>0</v>
      </c>
      <c r="AC2212" s="34">
        <v>0.191</v>
      </c>
      <c r="AD2212" s="32">
        <v>3.47</v>
      </c>
    </row>
    <row r="2213" spans="1:30">
      <c r="A2213">
        <v>2211</v>
      </c>
      <c r="B2213">
        <v>37</v>
      </c>
      <c r="C2213">
        <v>2.2400000000000002</v>
      </c>
      <c r="D2213">
        <v>4.28</v>
      </c>
      <c r="E2213">
        <v>0</v>
      </c>
      <c r="F2213">
        <v>1.663</v>
      </c>
      <c r="G2213">
        <v>0</v>
      </c>
      <c r="H2213">
        <v>0.189</v>
      </c>
      <c r="I2213">
        <v>3.8149999999999999</v>
      </c>
      <c r="K2213">
        <v>2211</v>
      </c>
      <c r="L2213">
        <v>37</v>
      </c>
      <c r="M2213" s="32">
        <v>2.2400000000000002</v>
      </c>
      <c r="N2213" s="32">
        <v>4.28</v>
      </c>
      <c r="P2213" s="47">
        <v>1.665</v>
      </c>
      <c r="R2213" s="47">
        <v>0.191</v>
      </c>
      <c r="S2213" s="47">
        <v>3.73</v>
      </c>
      <c r="T2213" s="31">
        <v>0</v>
      </c>
      <c r="V2213">
        <v>2211</v>
      </c>
      <c r="W2213">
        <v>35</v>
      </c>
      <c r="X2213">
        <v>2.2519999999999998</v>
      </c>
      <c r="Y2213" s="32">
        <v>4.28</v>
      </c>
      <c r="Z2213">
        <v>0</v>
      </c>
      <c r="AA2213" s="32">
        <v>1.542</v>
      </c>
      <c r="AB2213">
        <v>0</v>
      </c>
      <c r="AC2213" s="34">
        <v>0.191</v>
      </c>
      <c r="AD2213" s="32">
        <v>3.472</v>
      </c>
    </row>
    <row r="2214" spans="1:30">
      <c r="A2214">
        <v>2212</v>
      </c>
      <c r="B2214">
        <v>37</v>
      </c>
      <c r="C2214">
        <v>2.2410000000000001</v>
      </c>
      <c r="D2214">
        <v>4.28</v>
      </c>
      <c r="E2214">
        <v>0</v>
      </c>
      <c r="F2214">
        <v>1.665</v>
      </c>
      <c r="G2214">
        <v>0</v>
      </c>
      <c r="H2214">
        <v>0.189</v>
      </c>
      <c r="I2214">
        <v>3.839</v>
      </c>
      <c r="K2214">
        <v>2212</v>
      </c>
      <c r="L2214">
        <v>37</v>
      </c>
      <c r="M2214" s="32">
        <v>2.2410000000000001</v>
      </c>
      <c r="N2214" s="32">
        <v>4.28</v>
      </c>
      <c r="P2214" s="32">
        <v>1.665</v>
      </c>
      <c r="R2214" s="47">
        <v>0.191</v>
      </c>
      <c r="S2214" s="47">
        <v>3.7320000000000002</v>
      </c>
      <c r="T2214" s="31">
        <v>0</v>
      </c>
      <c r="V2214">
        <v>2212</v>
      </c>
      <c r="W2214">
        <v>35</v>
      </c>
      <c r="X2214">
        <v>2.2530000000000001</v>
      </c>
      <c r="Y2214" s="32">
        <v>4.28</v>
      </c>
      <c r="Z2214">
        <v>0</v>
      </c>
      <c r="AA2214" s="32">
        <v>1.542</v>
      </c>
      <c r="AB2214">
        <v>0</v>
      </c>
      <c r="AC2214" s="34">
        <v>0.192</v>
      </c>
      <c r="AD2214" s="32">
        <v>3.4740000000000002</v>
      </c>
    </row>
    <row r="2215" spans="1:30">
      <c r="A2215">
        <v>2213</v>
      </c>
      <c r="B2215">
        <v>37</v>
      </c>
      <c r="C2215">
        <v>2.242</v>
      </c>
      <c r="D2215">
        <v>4.28</v>
      </c>
      <c r="E2215">
        <v>0</v>
      </c>
      <c r="F2215">
        <v>1.665</v>
      </c>
      <c r="G2215">
        <v>0</v>
      </c>
      <c r="H2215">
        <v>0.189</v>
      </c>
      <c r="I2215">
        <v>3.8410000000000002</v>
      </c>
      <c r="K2215">
        <v>2213</v>
      </c>
      <c r="L2215">
        <v>37</v>
      </c>
      <c r="M2215" s="32">
        <v>2.242</v>
      </c>
      <c r="N2215" s="32">
        <v>4.28</v>
      </c>
      <c r="P2215" s="47">
        <v>1.6659999999999999</v>
      </c>
      <c r="R2215" s="47">
        <v>0.191</v>
      </c>
      <c r="S2215" s="47">
        <v>3.734</v>
      </c>
      <c r="T2215" s="31">
        <v>0</v>
      </c>
      <c r="V2215">
        <v>2213</v>
      </c>
      <c r="W2215">
        <v>35</v>
      </c>
      <c r="X2215">
        <v>2.254</v>
      </c>
      <c r="Y2215" s="32">
        <v>4.28</v>
      </c>
      <c r="Z2215">
        <v>0</v>
      </c>
      <c r="AA2215" s="32">
        <v>1.542</v>
      </c>
      <c r="AB2215">
        <v>0</v>
      </c>
      <c r="AC2215" s="34">
        <v>0.192</v>
      </c>
      <c r="AD2215" s="32">
        <v>3.476</v>
      </c>
    </row>
    <row r="2216" spans="1:30">
      <c r="A2216">
        <v>2214</v>
      </c>
      <c r="B2216">
        <v>37</v>
      </c>
      <c r="C2216">
        <v>2.2429999999999999</v>
      </c>
      <c r="D2216">
        <v>4.28</v>
      </c>
      <c r="E2216">
        <v>0</v>
      </c>
      <c r="F2216">
        <v>1.665</v>
      </c>
      <c r="G2216">
        <v>0</v>
      </c>
      <c r="H2216">
        <v>0.189</v>
      </c>
      <c r="I2216">
        <v>3.843</v>
      </c>
      <c r="K2216">
        <v>2214</v>
      </c>
      <c r="L2216">
        <v>37</v>
      </c>
      <c r="M2216" s="32">
        <v>2.2429999999999999</v>
      </c>
      <c r="N2216" s="32">
        <v>4.28</v>
      </c>
      <c r="P2216" s="47">
        <v>1.6659999999999999</v>
      </c>
      <c r="R2216" s="47">
        <v>0.191</v>
      </c>
      <c r="S2216" s="47">
        <v>3.7370000000000001</v>
      </c>
      <c r="T2216" s="31">
        <v>0</v>
      </c>
      <c r="V2216">
        <v>2214</v>
      </c>
      <c r="W2216">
        <v>35</v>
      </c>
      <c r="X2216">
        <v>2.2549999999999999</v>
      </c>
      <c r="Y2216" s="32">
        <v>4.28</v>
      </c>
      <c r="Z2216">
        <v>0</v>
      </c>
      <c r="AA2216" s="32">
        <v>1.542</v>
      </c>
      <c r="AB2216">
        <v>0</v>
      </c>
      <c r="AC2216" s="34">
        <v>0.192</v>
      </c>
      <c r="AD2216" s="32">
        <v>3.4780000000000002</v>
      </c>
    </row>
    <row r="2217" spans="1:30">
      <c r="A2217">
        <v>2215</v>
      </c>
      <c r="B2217">
        <v>37</v>
      </c>
      <c r="C2217">
        <v>2.2440000000000002</v>
      </c>
      <c r="D2217">
        <v>4.28</v>
      </c>
      <c r="E2217">
        <v>0</v>
      </c>
      <c r="F2217">
        <v>1.665</v>
      </c>
      <c r="G2217">
        <v>0</v>
      </c>
      <c r="H2217">
        <v>0.189</v>
      </c>
      <c r="I2217">
        <v>3.8450000000000002</v>
      </c>
      <c r="K2217">
        <v>2215</v>
      </c>
      <c r="L2217">
        <v>37</v>
      </c>
      <c r="M2217" s="32">
        <v>2.2440000000000002</v>
      </c>
      <c r="N2217" s="32">
        <v>4.28</v>
      </c>
      <c r="P2217" s="47">
        <v>1.6659999999999999</v>
      </c>
      <c r="R2217" s="47">
        <v>0.191</v>
      </c>
      <c r="S2217" s="47">
        <v>3.7389999999999999</v>
      </c>
      <c r="T2217" s="31">
        <v>0</v>
      </c>
      <c r="V2217">
        <v>2215</v>
      </c>
      <c r="W2217">
        <v>35</v>
      </c>
      <c r="X2217">
        <v>2.2559999999999998</v>
      </c>
      <c r="Y2217" s="32">
        <v>4.28</v>
      </c>
      <c r="Z2217">
        <v>0</v>
      </c>
      <c r="AA2217" s="32">
        <v>1.5429999999999999</v>
      </c>
      <c r="AB2217">
        <v>0</v>
      </c>
      <c r="AC2217" s="34">
        <v>0.192</v>
      </c>
      <c r="AD2217" s="32">
        <v>3.48</v>
      </c>
    </row>
    <row r="2218" spans="1:30">
      <c r="A2218">
        <v>2216</v>
      </c>
      <c r="B2218">
        <v>37</v>
      </c>
      <c r="C2218">
        <v>2.2450000000000001</v>
      </c>
      <c r="D2218">
        <v>4.28</v>
      </c>
      <c r="E2218">
        <v>0</v>
      </c>
      <c r="F2218">
        <v>1.665</v>
      </c>
      <c r="G2218">
        <v>0</v>
      </c>
      <c r="H2218">
        <v>0.189</v>
      </c>
      <c r="I2218">
        <v>3.847</v>
      </c>
      <c r="K2218">
        <v>2216</v>
      </c>
      <c r="L2218">
        <v>37</v>
      </c>
      <c r="M2218" s="32">
        <v>2.2450000000000001</v>
      </c>
      <c r="N2218" s="32">
        <v>4.28</v>
      </c>
      <c r="P2218" s="47">
        <v>1.667</v>
      </c>
      <c r="R2218" s="47">
        <v>0.191</v>
      </c>
      <c r="S2218" s="47">
        <v>3.7410000000000001</v>
      </c>
      <c r="T2218" s="31">
        <v>0</v>
      </c>
      <c r="V2218">
        <v>2216</v>
      </c>
      <c r="W2218">
        <v>35</v>
      </c>
      <c r="X2218">
        <v>2.2570000000000001</v>
      </c>
      <c r="Y2218" s="32">
        <v>4.28</v>
      </c>
      <c r="Z2218">
        <v>0</v>
      </c>
      <c r="AA2218" s="32">
        <v>1.5429999999999999</v>
      </c>
      <c r="AB2218">
        <v>0</v>
      </c>
      <c r="AC2218" s="34">
        <v>0.192</v>
      </c>
      <c r="AD2218" s="32">
        <v>3.4820000000000002</v>
      </c>
    </row>
    <row r="2219" spans="1:30">
      <c r="A2219">
        <v>2217</v>
      </c>
      <c r="B2219">
        <v>37</v>
      </c>
      <c r="C2219">
        <v>2.246</v>
      </c>
      <c r="D2219">
        <v>4.28</v>
      </c>
      <c r="E2219">
        <v>0</v>
      </c>
      <c r="F2219">
        <v>1.665</v>
      </c>
      <c r="G2219">
        <v>0</v>
      </c>
      <c r="H2219">
        <v>0.189</v>
      </c>
      <c r="I2219">
        <v>3.8490000000000002</v>
      </c>
      <c r="K2219">
        <v>2217</v>
      </c>
      <c r="L2219">
        <v>37</v>
      </c>
      <c r="M2219" s="32">
        <v>2.246</v>
      </c>
      <c r="N2219" s="32">
        <v>4.28</v>
      </c>
      <c r="P2219" s="47">
        <v>1.667</v>
      </c>
      <c r="R2219" s="47">
        <v>0.191</v>
      </c>
      <c r="S2219" s="47">
        <v>3.7429999999999999</v>
      </c>
      <c r="T2219" s="31">
        <v>0</v>
      </c>
      <c r="V2219">
        <v>2217</v>
      </c>
      <c r="W2219">
        <v>35</v>
      </c>
      <c r="X2219">
        <v>2.258</v>
      </c>
      <c r="Y2219" s="32">
        <v>4.28</v>
      </c>
      <c r="Z2219">
        <v>0</v>
      </c>
      <c r="AA2219" s="32">
        <v>1.5429999999999999</v>
      </c>
      <c r="AB2219">
        <v>0</v>
      </c>
      <c r="AC2219" s="34">
        <v>0.192</v>
      </c>
      <c r="AD2219" s="32">
        <v>3.484</v>
      </c>
    </row>
    <row r="2220" spans="1:30">
      <c r="A2220">
        <v>2218</v>
      </c>
      <c r="B2220">
        <v>37</v>
      </c>
      <c r="C2220">
        <v>2.2469999999999999</v>
      </c>
      <c r="D2220">
        <v>4.28</v>
      </c>
      <c r="E2220">
        <v>0</v>
      </c>
      <c r="F2220">
        <v>1.665</v>
      </c>
      <c r="G2220">
        <v>0</v>
      </c>
      <c r="H2220">
        <v>0.189</v>
      </c>
      <c r="I2220">
        <v>3.8519999999999999</v>
      </c>
      <c r="K2220">
        <v>2218</v>
      </c>
      <c r="L2220">
        <v>37</v>
      </c>
      <c r="M2220" s="32">
        <v>2.2469999999999999</v>
      </c>
      <c r="N2220" s="32">
        <v>4.28</v>
      </c>
      <c r="P2220" s="47">
        <v>1.667</v>
      </c>
      <c r="R2220" s="47">
        <v>0.191</v>
      </c>
      <c r="S2220" s="47">
        <v>3.7450000000000001</v>
      </c>
      <c r="T2220" s="31">
        <v>0</v>
      </c>
      <c r="V2220">
        <v>2218</v>
      </c>
      <c r="W2220">
        <v>35</v>
      </c>
      <c r="X2220">
        <v>2.2589999999999999</v>
      </c>
      <c r="Y2220" s="32">
        <v>4.28</v>
      </c>
      <c r="Z2220">
        <v>0</v>
      </c>
      <c r="AA2220" s="32">
        <v>1.5429999999999999</v>
      </c>
      <c r="AB2220">
        <v>0</v>
      </c>
      <c r="AC2220" s="34">
        <v>0.192</v>
      </c>
      <c r="AD2220" s="32">
        <v>3.4860000000000002</v>
      </c>
    </row>
    <row r="2221" spans="1:30">
      <c r="A2221">
        <v>2219</v>
      </c>
      <c r="B2221">
        <v>37</v>
      </c>
      <c r="C2221">
        <v>2.2480000000000002</v>
      </c>
      <c r="D2221">
        <v>4.28</v>
      </c>
      <c r="E2221">
        <v>0</v>
      </c>
      <c r="F2221">
        <v>1.665</v>
      </c>
      <c r="G2221">
        <v>0</v>
      </c>
      <c r="H2221">
        <v>0.189</v>
      </c>
      <c r="I2221">
        <v>3.8540000000000001</v>
      </c>
      <c r="K2221">
        <v>2219</v>
      </c>
      <c r="L2221">
        <v>37</v>
      </c>
      <c r="M2221" s="32">
        <v>2.2480000000000002</v>
      </c>
      <c r="N2221" s="32">
        <v>4.28</v>
      </c>
      <c r="P2221" s="47">
        <v>1.667</v>
      </c>
      <c r="R2221" s="47">
        <v>0.191</v>
      </c>
      <c r="S2221" s="47">
        <v>3.7480000000000002</v>
      </c>
      <c r="T2221" s="31">
        <v>0</v>
      </c>
      <c r="V2221">
        <v>2219</v>
      </c>
      <c r="W2221">
        <v>35</v>
      </c>
      <c r="X2221">
        <v>2.2599999999999998</v>
      </c>
      <c r="Y2221" s="32">
        <v>4.28</v>
      </c>
      <c r="Z2221">
        <v>0</v>
      </c>
      <c r="AA2221" s="32">
        <v>1.5429999999999999</v>
      </c>
      <c r="AB2221">
        <v>0</v>
      </c>
      <c r="AC2221" s="34">
        <v>0.192</v>
      </c>
      <c r="AD2221" s="32">
        <v>3.488</v>
      </c>
    </row>
    <row r="2222" spans="1:30">
      <c r="A2222">
        <v>2220</v>
      </c>
      <c r="B2222">
        <v>37</v>
      </c>
      <c r="C2222">
        <v>2.2490000000000001</v>
      </c>
      <c r="D2222">
        <v>4.28</v>
      </c>
      <c r="E2222">
        <v>0</v>
      </c>
      <c r="F2222">
        <v>1.665</v>
      </c>
      <c r="G2222">
        <v>0</v>
      </c>
      <c r="H2222">
        <v>0.189</v>
      </c>
      <c r="I2222">
        <v>3.8559999999999999</v>
      </c>
      <c r="K2222">
        <v>2220</v>
      </c>
      <c r="L2222">
        <v>37</v>
      </c>
      <c r="M2222" s="32">
        <v>2.2490000000000001</v>
      </c>
      <c r="N2222" s="32">
        <v>4.28</v>
      </c>
      <c r="P2222" s="47">
        <v>1.6679999999999999</v>
      </c>
      <c r="R2222" s="47">
        <v>0.191</v>
      </c>
      <c r="S2222" s="47">
        <v>3.75</v>
      </c>
      <c r="T2222" s="31">
        <v>0</v>
      </c>
      <c r="V2222">
        <v>2220</v>
      </c>
      <c r="W2222">
        <v>35</v>
      </c>
      <c r="X2222">
        <v>2.2610000000000001</v>
      </c>
      <c r="Y2222" s="32">
        <v>4.28</v>
      </c>
      <c r="Z2222">
        <v>0</v>
      </c>
      <c r="AA2222" s="32">
        <v>1.544</v>
      </c>
      <c r="AB2222">
        <v>0</v>
      </c>
      <c r="AC2222" s="34">
        <v>0.192</v>
      </c>
      <c r="AD2222" s="32">
        <v>3.49</v>
      </c>
    </row>
    <row r="2223" spans="1:30">
      <c r="A2223">
        <v>2221</v>
      </c>
      <c r="B2223">
        <v>37</v>
      </c>
      <c r="C2223">
        <v>2.25</v>
      </c>
      <c r="D2223">
        <v>4.28</v>
      </c>
      <c r="E2223">
        <v>0</v>
      </c>
      <c r="F2223">
        <v>1.6679999999999999</v>
      </c>
      <c r="G2223">
        <v>0</v>
      </c>
      <c r="H2223">
        <v>0.189</v>
      </c>
      <c r="I2223">
        <v>3.7519999999999998</v>
      </c>
      <c r="K2223">
        <v>2221</v>
      </c>
      <c r="L2223">
        <v>37</v>
      </c>
      <c r="M2223" s="32">
        <v>2.25</v>
      </c>
      <c r="N2223" s="32">
        <v>4.28</v>
      </c>
      <c r="P2223" s="32">
        <v>1.6679999999999999</v>
      </c>
      <c r="R2223" s="47">
        <v>0.191</v>
      </c>
      <c r="S2223" s="32">
        <v>3.7519999999999998</v>
      </c>
      <c r="T2223" s="31">
        <v>0</v>
      </c>
      <c r="V2223">
        <v>2221</v>
      </c>
      <c r="W2223">
        <v>35</v>
      </c>
      <c r="X2223">
        <v>2.262</v>
      </c>
      <c r="Y2223" s="32">
        <v>4.28</v>
      </c>
      <c r="Z2223">
        <v>0</v>
      </c>
      <c r="AA2223" s="32">
        <v>1.544</v>
      </c>
      <c r="AB2223">
        <v>0</v>
      </c>
      <c r="AC2223" s="34">
        <v>0.192</v>
      </c>
      <c r="AD2223" s="32">
        <v>3.492</v>
      </c>
    </row>
    <row r="2224" spans="1:30">
      <c r="A2224">
        <v>2222</v>
      </c>
      <c r="B2224">
        <v>37</v>
      </c>
      <c r="C2224">
        <v>2.2509999999999999</v>
      </c>
      <c r="D2224">
        <v>4.28</v>
      </c>
      <c r="E2224">
        <v>0</v>
      </c>
      <c r="F2224">
        <v>1.6679999999999999</v>
      </c>
      <c r="G2224">
        <v>0</v>
      </c>
      <c r="H2224">
        <v>0.189</v>
      </c>
      <c r="I2224">
        <v>3.8820000000000001</v>
      </c>
      <c r="K2224">
        <v>2222</v>
      </c>
      <c r="L2224">
        <v>37</v>
      </c>
      <c r="M2224" s="32">
        <v>2.2509999999999999</v>
      </c>
      <c r="N2224" s="32">
        <v>4.28</v>
      </c>
      <c r="P2224" s="32">
        <v>1.6679999999999999</v>
      </c>
      <c r="R2224" s="47">
        <v>0.191</v>
      </c>
      <c r="S2224" s="47">
        <v>3.754</v>
      </c>
      <c r="T2224" s="31">
        <v>0</v>
      </c>
      <c r="V2224">
        <v>2222</v>
      </c>
      <c r="W2224">
        <v>35</v>
      </c>
      <c r="X2224">
        <v>2.2629999999999999</v>
      </c>
      <c r="Y2224" s="32">
        <v>4.28</v>
      </c>
      <c r="Z2224">
        <v>0</v>
      </c>
      <c r="AA2224" s="32">
        <v>1.544</v>
      </c>
      <c r="AB2224">
        <v>0</v>
      </c>
      <c r="AC2224" s="34">
        <v>0.192</v>
      </c>
      <c r="AD2224" s="32">
        <v>3.4940000000000002</v>
      </c>
    </row>
    <row r="2225" spans="1:30">
      <c r="A2225">
        <v>2223</v>
      </c>
      <c r="B2225">
        <v>37</v>
      </c>
      <c r="C2225">
        <v>2.2519999999999998</v>
      </c>
      <c r="D2225">
        <v>4.28</v>
      </c>
      <c r="E2225">
        <v>0</v>
      </c>
      <c r="F2225">
        <v>1.6679999999999999</v>
      </c>
      <c r="G2225">
        <v>0</v>
      </c>
      <c r="H2225">
        <v>0.189</v>
      </c>
      <c r="I2225">
        <v>3.8839999999999999</v>
      </c>
      <c r="K2225">
        <v>2223</v>
      </c>
      <c r="L2225">
        <v>37</v>
      </c>
      <c r="M2225" s="32">
        <v>2.2519999999999998</v>
      </c>
      <c r="N2225" s="32">
        <v>4.28</v>
      </c>
      <c r="P2225" s="32">
        <v>1.6679999999999999</v>
      </c>
      <c r="R2225" s="47">
        <v>0.191</v>
      </c>
      <c r="S2225" s="47">
        <v>3.7559999999999998</v>
      </c>
      <c r="T2225" s="31">
        <v>0</v>
      </c>
      <c r="V2225">
        <v>2223</v>
      </c>
      <c r="W2225">
        <v>35</v>
      </c>
      <c r="X2225">
        <v>2.2639999999999998</v>
      </c>
      <c r="Y2225" s="32">
        <v>4.28</v>
      </c>
      <c r="Z2225">
        <v>0</v>
      </c>
      <c r="AA2225" s="32">
        <v>1.544</v>
      </c>
      <c r="AB2225">
        <v>0</v>
      </c>
      <c r="AC2225" s="34">
        <v>0.192</v>
      </c>
      <c r="AD2225" s="32">
        <v>3.496</v>
      </c>
    </row>
    <row r="2226" spans="1:30">
      <c r="A2226">
        <v>2224</v>
      </c>
      <c r="B2226">
        <v>37</v>
      </c>
      <c r="C2226">
        <v>2.2530000000000001</v>
      </c>
      <c r="D2226">
        <v>4.28</v>
      </c>
      <c r="E2226">
        <v>0</v>
      </c>
      <c r="F2226">
        <v>1.6679999999999999</v>
      </c>
      <c r="G2226">
        <v>0</v>
      </c>
      <c r="H2226">
        <v>0.189</v>
      </c>
      <c r="I2226">
        <v>3.8860000000000001</v>
      </c>
      <c r="K2226">
        <v>2224</v>
      </c>
      <c r="L2226">
        <v>37</v>
      </c>
      <c r="M2226" s="32">
        <v>2.2530000000000001</v>
      </c>
      <c r="N2226" s="32">
        <v>4.28</v>
      </c>
      <c r="P2226" s="47">
        <v>1.669</v>
      </c>
      <c r="R2226" s="47">
        <v>0.191</v>
      </c>
      <c r="S2226" s="47">
        <v>3.7589999999999999</v>
      </c>
      <c r="T2226" s="31">
        <v>0</v>
      </c>
      <c r="V2226">
        <v>2224</v>
      </c>
      <c r="W2226">
        <v>35</v>
      </c>
      <c r="X2226">
        <v>2.2650000000000001</v>
      </c>
      <c r="Y2226" s="32">
        <v>4.28</v>
      </c>
      <c r="Z2226">
        <v>0</v>
      </c>
      <c r="AA2226" s="32">
        <v>1.544</v>
      </c>
      <c r="AB2226">
        <v>0</v>
      </c>
      <c r="AC2226" s="34">
        <v>0.192</v>
      </c>
      <c r="AD2226" s="32">
        <v>3.4980000000000002</v>
      </c>
    </row>
    <row r="2227" spans="1:30">
      <c r="A2227">
        <v>2225</v>
      </c>
      <c r="B2227">
        <v>37</v>
      </c>
      <c r="C2227">
        <v>2.254</v>
      </c>
      <c r="D2227">
        <v>4.28</v>
      </c>
      <c r="E2227">
        <v>0</v>
      </c>
      <c r="F2227">
        <v>1.6679999999999999</v>
      </c>
      <c r="G2227">
        <v>0</v>
      </c>
      <c r="H2227">
        <v>0.189</v>
      </c>
      <c r="I2227">
        <v>3.8889999999999998</v>
      </c>
      <c r="K2227">
        <v>2225</v>
      </c>
      <c r="L2227">
        <v>37</v>
      </c>
      <c r="M2227" s="32">
        <v>2.254</v>
      </c>
      <c r="N2227" s="32">
        <v>4.28</v>
      </c>
      <c r="P2227" s="47">
        <v>1.669</v>
      </c>
      <c r="R2227" s="47">
        <v>0.191</v>
      </c>
      <c r="S2227" s="47">
        <v>3.7610000000000001</v>
      </c>
      <c r="T2227" s="31">
        <v>0</v>
      </c>
      <c r="V2227">
        <v>2225</v>
      </c>
      <c r="W2227">
        <v>35</v>
      </c>
      <c r="X2227">
        <v>2.266</v>
      </c>
      <c r="Y2227" s="32">
        <v>4.28</v>
      </c>
      <c r="Z2227">
        <v>0</v>
      </c>
      <c r="AA2227" s="32">
        <v>1.5449999999999999</v>
      </c>
      <c r="AB2227">
        <v>0</v>
      </c>
      <c r="AC2227" s="34">
        <v>0.192</v>
      </c>
      <c r="AD2227" s="32">
        <v>3.5</v>
      </c>
    </row>
    <row r="2228" spans="1:30">
      <c r="A2228">
        <v>2226</v>
      </c>
      <c r="B2228">
        <v>37</v>
      </c>
      <c r="C2228">
        <v>2.2549999999999999</v>
      </c>
      <c r="D2228">
        <v>4.28</v>
      </c>
      <c r="E2228">
        <v>0</v>
      </c>
      <c r="F2228">
        <v>1.6679999999999999</v>
      </c>
      <c r="G2228">
        <v>0</v>
      </c>
      <c r="H2228">
        <v>0.189</v>
      </c>
      <c r="I2228">
        <v>3.891</v>
      </c>
      <c r="K2228">
        <v>2226</v>
      </c>
      <c r="L2228">
        <v>37</v>
      </c>
      <c r="M2228" s="32">
        <v>2.2549999999999999</v>
      </c>
      <c r="N2228" s="32">
        <v>4.28</v>
      </c>
      <c r="P2228" s="47">
        <v>1.669</v>
      </c>
      <c r="R2228" s="47">
        <v>0.191</v>
      </c>
      <c r="S2228" s="47">
        <v>3.7629999999999999</v>
      </c>
      <c r="T2228" s="31">
        <v>0</v>
      </c>
      <c r="V2228">
        <v>2226</v>
      </c>
      <c r="W2228">
        <v>35</v>
      </c>
      <c r="X2228">
        <v>2.2669999999999999</v>
      </c>
      <c r="Y2228" s="32">
        <v>4.28</v>
      </c>
      <c r="Z2228">
        <v>0</v>
      </c>
      <c r="AA2228" s="32">
        <v>1.5449999999999999</v>
      </c>
      <c r="AB2228">
        <v>0</v>
      </c>
      <c r="AC2228" s="34">
        <v>0.192</v>
      </c>
      <c r="AD2228" s="32">
        <v>3.5019999999999998</v>
      </c>
    </row>
    <row r="2229" spans="1:30">
      <c r="A2229">
        <v>2227</v>
      </c>
      <c r="B2229">
        <v>37</v>
      </c>
      <c r="C2229">
        <v>2.2559999999999998</v>
      </c>
      <c r="D2229">
        <v>4.28</v>
      </c>
      <c r="E2229">
        <v>0</v>
      </c>
      <c r="F2229">
        <v>1.6679999999999999</v>
      </c>
      <c r="G2229">
        <v>0</v>
      </c>
      <c r="H2229">
        <v>0.189</v>
      </c>
      <c r="I2229">
        <v>3.8929999999999998</v>
      </c>
      <c r="K2229">
        <v>2227</v>
      </c>
      <c r="L2229">
        <v>37</v>
      </c>
      <c r="M2229" s="32">
        <v>2.2559999999999998</v>
      </c>
      <c r="N2229" s="32">
        <v>4.28</v>
      </c>
      <c r="P2229" s="47">
        <v>1.669</v>
      </c>
      <c r="R2229" s="47">
        <v>0.191</v>
      </c>
      <c r="S2229" s="47">
        <v>3.7650000000000001</v>
      </c>
      <c r="T2229" s="31">
        <v>0</v>
      </c>
      <c r="V2229">
        <v>2227</v>
      </c>
      <c r="W2229">
        <v>35</v>
      </c>
      <c r="X2229">
        <v>2.2679999999999998</v>
      </c>
      <c r="Y2229" s="32">
        <v>4.28</v>
      </c>
      <c r="Z2229">
        <v>0</v>
      </c>
      <c r="AA2229" s="32">
        <v>1.5449999999999999</v>
      </c>
      <c r="AB2229">
        <v>0</v>
      </c>
      <c r="AC2229" s="34">
        <v>0.192</v>
      </c>
      <c r="AD2229" s="32">
        <v>3.504</v>
      </c>
    </row>
    <row r="2230" spans="1:30">
      <c r="A2230">
        <v>2228</v>
      </c>
      <c r="B2230">
        <v>37</v>
      </c>
      <c r="C2230">
        <v>2.2570000000000001</v>
      </c>
      <c r="D2230">
        <v>4.28</v>
      </c>
      <c r="E2230">
        <v>0</v>
      </c>
      <c r="F2230">
        <v>1.6679999999999999</v>
      </c>
      <c r="G2230">
        <v>0</v>
      </c>
      <c r="H2230">
        <v>0.189</v>
      </c>
      <c r="I2230">
        <v>3.895</v>
      </c>
      <c r="K2230">
        <v>2228</v>
      </c>
      <c r="L2230">
        <v>37</v>
      </c>
      <c r="M2230" s="32">
        <v>2.2570000000000001</v>
      </c>
      <c r="N2230" s="32">
        <v>4.28</v>
      </c>
      <c r="P2230" s="47">
        <v>1.669</v>
      </c>
      <c r="R2230" s="47">
        <v>0.191</v>
      </c>
      <c r="S2230" s="47">
        <v>3.7669999999999999</v>
      </c>
      <c r="T2230" s="31">
        <v>0</v>
      </c>
      <c r="V2230">
        <v>2228</v>
      </c>
      <c r="W2230">
        <v>35</v>
      </c>
      <c r="X2230">
        <v>2.2690000000000001</v>
      </c>
      <c r="Y2230" s="32">
        <v>4.28</v>
      </c>
      <c r="Z2230">
        <v>0</v>
      </c>
      <c r="AA2230" s="32">
        <v>1.5449999999999999</v>
      </c>
      <c r="AB2230">
        <v>0</v>
      </c>
      <c r="AC2230" s="34">
        <v>0.192</v>
      </c>
      <c r="AD2230" s="32">
        <v>3.5059999999999998</v>
      </c>
    </row>
    <row r="2231" spans="1:30">
      <c r="A2231">
        <v>2229</v>
      </c>
      <c r="B2231">
        <v>37</v>
      </c>
      <c r="C2231">
        <v>2.258</v>
      </c>
      <c r="D2231">
        <v>4.28</v>
      </c>
      <c r="E2231">
        <v>0</v>
      </c>
      <c r="F2231">
        <v>1.6679999999999999</v>
      </c>
      <c r="G2231">
        <v>0</v>
      </c>
      <c r="H2231">
        <v>0.189</v>
      </c>
      <c r="I2231">
        <v>3.8969999999999998</v>
      </c>
      <c r="K2231">
        <v>2229</v>
      </c>
      <c r="L2231">
        <v>37</v>
      </c>
      <c r="M2231" s="32">
        <v>2.258</v>
      </c>
      <c r="N2231" s="32">
        <v>4.28</v>
      </c>
      <c r="P2231" s="47">
        <v>1.67</v>
      </c>
      <c r="R2231" s="47">
        <v>0.191</v>
      </c>
      <c r="S2231" s="47">
        <v>3.77</v>
      </c>
      <c r="T2231" s="31">
        <v>0</v>
      </c>
      <c r="V2231">
        <v>2229</v>
      </c>
      <c r="W2231">
        <v>35</v>
      </c>
      <c r="X2231">
        <v>2.27</v>
      </c>
      <c r="Y2231" s="32">
        <v>4.28</v>
      </c>
      <c r="Z2231">
        <v>0</v>
      </c>
      <c r="AA2231" s="32">
        <v>1.5449999999999999</v>
      </c>
      <c r="AB2231">
        <v>0</v>
      </c>
      <c r="AC2231" s="34">
        <v>0.192</v>
      </c>
      <c r="AD2231" s="32">
        <v>3.508</v>
      </c>
    </row>
    <row r="2232" spans="1:30">
      <c r="A2232">
        <v>2230</v>
      </c>
      <c r="B2232">
        <v>37</v>
      </c>
      <c r="C2232">
        <v>2.2589999999999999</v>
      </c>
      <c r="D2232">
        <v>4.28</v>
      </c>
      <c r="E2232">
        <v>0</v>
      </c>
      <c r="F2232">
        <v>1.6679999999999999</v>
      </c>
      <c r="G2232">
        <v>0</v>
      </c>
      <c r="H2232">
        <v>0.189</v>
      </c>
      <c r="I2232">
        <v>3.899</v>
      </c>
      <c r="K2232">
        <v>2230</v>
      </c>
      <c r="L2232">
        <v>37</v>
      </c>
      <c r="M2232" s="32">
        <v>2.2589999999999999</v>
      </c>
      <c r="N2232" s="32">
        <v>4.28</v>
      </c>
      <c r="P2232" s="47">
        <v>1.67</v>
      </c>
      <c r="R2232" s="47">
        <v>0.191</v>
      </c>
      <c r="S2232" s="47">
        <v>3.7719999999999998</v>
      </c>
      <c r="T2232" s="31">
        <v>0</v>
      </c>
      <c r="V2232">
        <v>2230</v>
      </c>
      <c r="W2232">
        <v>35</v>
      </c>
      <c r="X2232">
        <v>2.2709999999999999</v>
      </c>
      <c r="Y2232" s="32">
        <v>4.2949999999999999</v>
      </c>
      <c r="Z2232">
        <v>0</v>
      </c>
      <c r="AA2232" s="32">
        <v>1.546</v>
      </c>
      <c r="AB2232">
        <v>0</v>
      </c>
      <c r="AC2232" s="34">
        <v>0.192</v>
      </c>
      <c r="AD2232" s="32">
        <v>3.51</v>
      </c>
    </row>
    <row r="2233" spans="1:30">
      <c r="A2233">
        <v>2231</v>
      </c>
      <c r="B2233">
        <v>37</v>
      </c>
      <c r="C2233">
        <v>2.2599999999999998</v>
      </c>
      <c r="D2233">
        <v>4.28</v>
      </c>
      <c r="E2233">
        <v>0</v>
      </c>
      <c r="F2233">
        <v>1.67</v>
      </c>
      <c r="G2233">
        <v>0</v>
      </c>
      <c r="H2233">
        <v>0.189</v>
      </c>
      <c r="I2233">
        <v>3.774</v>
      </c>
      <c r="K2233">
        <v>2231</v>
      </c>
      <c r="L2233">
        <v>37</v>
      </c>
      <c r="M2233" s="32">
        <v>2.2599999999999998</v>
      </c>
      <c r="N2233" s="32">
        <v>4.28</v>
      </c>
      <c r="P2233" s="32">
        <v>1.67</v>
      </c>
      <c r="R2233" s="47">
        <v>0.191</v>
      </c>
      <c r="S2233" s="32">
        <v>3.774</v>
      </c>
      <c r="T2233" s="31">
        <v>0</v>
      </c>
      <c r="V2233">
        <v>2231</v>
      </c>
      <c r="W2233">
        <v>35</v>
      </c>
      <c r="X2233">
        <v>2.2719999999999998</v>
      </c>
      <c r="Y2233" s="32">
        <v>4.3099999999999996</v>
      </c>
      <c r="Z2233">
        <v>0</v>
      </c>
      <c r="AA2233" s="32">
        <v>1.546</v>
      </c>
      <c r="AB2233">
        <v>0</v>
      </c>
      <c r="AC2233" s="34">
        <v>0.192</v>
      </c>
      <c r="AD2233" s="32">
        <v>3.512</v>
      </c>
    </row>
    <row r="2234" spans="1:30">
      <c r="A2234">
        <v>2232</v>
      </c>
      <c r="B2234">
        <v>37</v>
      </c>
      <c r="C2234">
        <v>2.2610000000000001</v>
      </c>
      <c r="D2234">
        <v>4.28</v>
      </c>
      <c r="E2234">
        <v>0</v>
      </c>
      <c r="F2234">
        <v>1.67</v>
      </c>
      <c r="G2234">
        <v>0</v>
      </c>
      <c r="H2234">
        <v>0.189</v>
      </c>
      <c r="I2234">
        <v>3.9249999999999998</v>
      </c>
      <c r="K2234">
        <v>2232</v>
      </c>
      <c r="L2234">
        <v>37</v>
      </c>
      <c r="M2234" s="32">
        <v>2.2610000000000001</v>
      </c>
      <c r="N2234" s="32">
        <v>4.28</v>
      </c>
      <c r="P2234" s="32">
        <v>1.67</v>
      </c>
      <c r="R2234" s="47">
        <v>0.191</v>
      </c>
      <c r="S2234" s="47">
        <v>3.7759999999999998</v>
      </c>
      <c r="T2234" s="31">
        <v>0</v>
      </c>
      <c r="V2234">
        <v>2232</v>
      </c>
      <c r="W2234">
        <v>35</v>
      </c>
      <c r="X2234">
        <v>2.2730000000000001</v>
      </c>
      <c r="Y2234" s="32">
        <v>4.3250000000000002</v>
      </c>
      <c r="Z2234">
        <v>0</v>
      </c>
      <c r="AA2234" s="32">
        <v>1.546</v>
      </c>
      <c r="AB2234">
        <v>0</v>
      </c>
      <c r="AC2234" s="34">
        <v>0.192</v>
      </c>
      <c r="AD2234" s="32">
        <v>3.5129999999999999</v>
      </c>
    </row>
    <row r="2235" spans="1:30">
      <c r="A2235">
        <v>2233</v>
      </c>
      <c r="B2235">
        <v>37</v>
      </c>
      <c r="C2235">
        <v>2.262</v>
      </c>
      <c r="D2235">
        <v>4.28</v>
      </c>
      <c r="E2235">
        <v>0</v>
      </c>
      <c r="F2235">
        <v>1.67</v>
      </c>
      <c r="G2235">
        <v>0</v>
      </c>
      <c r="H2235">
        <v>0.189</v>
      </c>
      <c r="I2235">
        <v>3.9279999999999999</v>
      </c>
      <c r="K2235">
        <v>2233</v>
      </c>
      <c r="L2235">
        <v>37</v>
      </c>
      <c r="M2235" s="32">
        <v>2.262</v>
      </c>
      <c r="N2235" s="32">
        <v>4.28</v>
      </c>
      <c r="P2235" s="47">
        <v>1.671</v>
      </c>
      <c r="R2235" s="47">
        <v>0.191</v>
      </c>
      <c r="S2235" s="47">
        <v>3.7789999999999999</v>
      </c>
      <c r="T2235" s="31">
        <v>0</v>
      </c>
      <c r="V2235">
        <v>2233</v>
      </c>
      <c r="W2235">
        <v>35</v>
      </c>
      <c r="X2235">
        <v>2.274</v>
      </c>
      <c r="Y2235" s="32">
        <v>4.34</v>
      </c>
      <c r="Z2235">
        <v>0</v>
      </c>
      <c r="AA2235" s="32">
        <v>1.546</v>
      </c>
      <c r="AB2235">
        <v>0</v>
      </c>
      <c r="AC2235" s="34">
        <v>0.192</v>
      </c>
      <c r="AD2235" s="32">
        <v>3.5150000000000001</v>
      </c>
    </row>
    <row r="2236" spans="1:30">
      <c r="A2236">
        <v>2234</v>
      </c>
      <c r="B2236">
        <v>37</v>
      </c>
      <c r="C2236">
        <v>2.2629999999999999</v>
      </c>
      <c r="D2236">
        <v>4.28</v>
      </c>
      <c r="E2236">
        <v>0</v>
      </c>
      <c r="F2236">
        <v>1.67</v>
      </c>
      <c r="G2236">
        <v>0</v>
      </c>
      <c r="H2236">
        <v>0.189</v>
      </c>
      <c r="I2236">
        <v>3.93</v>
      </c>
      <c r="K2236">
        <v>2234</v>
      </c>
      <c r="L2236">
        <v>37</v>
      </c>
      <c r="M2236" s="32">
        <v>2.2629999999999999</v>
      </c>
      <c r="N2236" s="32">
        <v>4.28</v>
      </c>
      <c r="P2236" s="47">
        <v>1.671</v>
      </c>
      <c r="R2236" s="47">
        <v>0.191</v>
      </c>
      <c r="S2236" s="47">
        <v>3.7810000000000001</v>
      </c>
      <c r="T2236" s="31">
        <v>0</v>
      </c>
      <c r="V2236">
        <v>2234</v>
      </c>
      <c r="W2236">
        <v>35</v>
      </c>
      <c r="X2236">
        <v>2.2749999999999999</v>
      </c>
      <c r="Y2236" s="32">
        <v>4.3550000000000004</v>
      </c>
      <c r="Z2236">
        <v>0</v>
      </c>
      <c r="AA2236" s="32">
        <v>1.546</v>
      </c>
      <c r="AB2236">
        <v>0</v>
      </c>
      <c r="AC2236" s="34">
        <v>0.192</v>
      </c>
      <c r="AD2236" s="32">
        <v>3.5169999999999999</v>
      </c>
    </row>
    <row r="2237" spans="1:30">
      <c r="A2237">
        <v>2235</v>
      </c>
      <c r="B2237">
        <v>37</v>
      </c>
      <c r="C2237">
        <v>2.2639999999999998</v>
      </c>
      <c r="D2237">
        <v>4.28</v>
      </c>
      <c r="E2237">
        <v>0</v>
      </c>
      <c r="F2237">
        <v>1.67</v>
      </c>
      <c r="G2237">
        <v>0</v>
      </c>
      <c r="H2237">
        <v>0.189</v>
      </c>
      <c r="I2237">
        <v>3.9319999999999999</v>
      </c>
      <c r="K2237">
        <v>2235</v>
      </c>
      <c r="L2237">
        <v>37</v>
      </c>
      <c r="M2237" s="32">
        <v>2.2639999999999998</v>
      </c>
      <c r="N2237" s="32">
        <v>4.28</v>
      </c>
      <c r="P2237" s="47">
        <v>1.671</v>
      </c>
      <c r="R2237" s="47">
        <v>0.191</v>
      </c>
      <c r="S2237" s="47">
        <v>3.7829999999999999</v>
      </c>
      <c r="T2237" s="31">
        <v>0</v>
      </c>
      <c r="V2237">
        <v>2235</v>
      </c>
      <c r="W2237">
        <v>35</v>
      </c>
      <c r="X2237">
        <v>2.2759999999999998</v>
      </c>
      <c r="Y2237" s="32">
        <v>4.37</v>
      </c>
      <c r="Z2237">
        <v>0</v>
      </c>
      <c r="AA2237" s="32">
        <v>1.546</v>
      </c>
      <c r="AB2237">
        <v>0</v>
      </c>
      <c r="AC2237" s="34">
        <v>0.192</v>
      </c>
      <c r="AD2237" s="32">
        <v>3.5190000000000001</v>
      </c>
    </row>
    <row r="2238" spans="1:30">
      <c r="A2238">
        <v>2236</v>
      </c>
      <c r="B2238">
        <v>37</v>
      </c>
      <c r="C2238">
        <v>2.2650000000000001</v>
      </c>
      <c r="D2238">
        <v>4.28</v>
      </c>
      <c r="E2238">
        <v>0</v>
      </c>
      <c r="F2238">
        <v>1.67</v>
      </c>
      <c r="G2238">
        <v>0</v>
      </c>
      <c r="H2238">
        <v>0.189</v>
      </c>
      <c r="I2238">
        <v>3.9340000000000002</v>
      </c>
      <c r="K2238">
        <v>2236</v>
      </c>
      <c r="L2238">
        <v>37</v>
      </c>
      <c r="M2238" s="32">
        <v>2.2650000000000001</v>
      </c>
      <c r="N2238" s="32">
        <v>4.28</v>
      </c>
      <c r="P2238" s="47">
        <v>1.6719999999999999</v>
      </c>
      <c r="R2238" s="47">
        <v>0.192</v>
      </c>
      <c r="S2238" s="47">
        <v>3.786</v>
      </c>
      <c r="T2238" s="31">
        <v>0</v>
      </c>
      <c r="V2238">
        <v>2236</v>
      </c>
      <c r="W2238">
        <v>35</v>
      </c>
      <c r="X2238">
        <v>2.2770000000000001</v>
      </c>
      <c r="Y2238" s="32">
        <v>4.3849999999999998</v>
      </c>
      <c r="Z2238">
        <v>0</v>
      </c>
      <c r="AA2238" s="32">
        <v>1.5469999999999999</v>
      </c>
      <c r="AB2238">
        <v>0</v>
      </c>
      <c r="AC2238" s="34">
        <v>0.193</v>
      </c>
      <c r="AD2238" s="32">
        <v>3.5209999999999999</v>
      </c>
    </row>
    <row r="2239" spans="1:30">
      <c r="A2239">
        <v>2237</v>
      </c>
      <c r="B2239">
        <v>37</v>
      </c>
      <c r="C2239">
        <v>2.266</v>
      </c>
      <c r="D2239">
        <v>4.28</v>
      </c>
      <c r="E2239">
        <v>0</v>
      </c>
      <c r="F2239">
        <v>1.67</v>
      </c>
      <c r="G2239">
        <v>0</v>
      </c>
      <c r="H2239">
        <v>0.189</v>
      </c>
      <c r="I2239">
        <v>3.9359999999999999</v>
      </c>
      <c r="K2239">
        <v>2237</v>
      </c>
      <c r="L2239">
        <v>37</v>
      </c>
      <c r="M2239" s="32">
        <v>2.266</v>
      </c>
      <c r="N2239" s="32">
        <v>4.28</v>
      </c>
      <c r="P2239" s="47">
        <v>1.6719999999999999</v>
      </c>
      <c r="R2239" s="47">
        <v>0.192</v>
      </c>
      <c r="S2239" s="47">
        <v>3.7879999999999998</v>
      </c>
      <c r="T2239" s="31">
        <v>0</v>
      </c>
      <c r="V2239">
        <v>2237</v>
      </c>
      <c r="W2239">
        <v>35</v>
      </c>
      <c r="X2239">
        <v>2.278</v>
      </c>
      <c r="Y2239" s="32">
        <v>4.4000000000000004</v>
      </c>
      <c r="Z2239">
        <v>0</v>
      </c>
      <c r="AA2239" s="32">
        <v>1.5469999999999999</v>
      </c>
      <c r="AB2239">
        <v>0</v>
      </c>
      <c r="AC2239" s="34">
        <v>0.193</v>
      </c>
      <c r="AD2239" s="32">
        <v>3.5230000000000001</v>
      </c>
    </row>
    <row r="2240" spans="1:30">
      <c r="A2240">
        <v>2238</v>
      </c>
      <c r="B2240">
        <v>37</v>
      </c>
      <c r="C2240">
        <v>2.2669999999999999</v>
      </c>
      <c r="D2240">
        <v>4.28</v>
      </c>
      <c r="E2240">
        <v>0</v>
      </c>
      <c r="F2240">
        <v>1.67</v>
      </c>
      <c r="G2240">
        <v>0</v>
      </c>
      <c r="H2240">
        <v>0.189</v>
      </c>
      <c r="I2240">
        <v>3.9380000000000002</v>
      </c>
      <c r="K2240">
        <v>2238</v>
      </c>
      <c r="L2240">
        <v>37</v>
      </c>
      <c r="M2240" s="32">
        <v>2.2669999999999999</v>
      </c>
      <c r="N2240" s="32">
        <v>4.28</v>
      </c>
      <c r="P2240" s="47">
        <v>1.6719999999999999</v>
      </c>
      <c r="R2240" s="47">
        <v>0.192</v>
      </c>
      <c r="S2240" s="47">
        <v>3.79</v>
      </c>
      <c r="T2240" s="31">
        <v>0</v>
      </c>
      <c r="V2240">
        <v>2238</v>
      </c>
      <c r="W2240">
        <v>35</v>
      </c>
      <c r="X2240">
        <v>2.2789999999999999</v>
      </c>
      <c r="Y2240" s="32">
        <v>4.415</v>
      </c>
      <c r="Z2240">
        <v>0</v>
      </c>
      <c r="AA2240" s="32">
        <v>1.5469999999999999</v>
      </c>
      <c r="AB2240">
        <v>0</v>
      </c>
      <c r="AC2240" s="34">
        <v>0.193</v>
      </c>
      <c r="AD2240" s="32">
        <v>3.5249999999999999</v>
      </c>
    </row>
    <row r="2241" spans="1:30">
      <c r="A2241">
        <v>2239</v>
      </c>
      <c r="B2241">
        <v>37</v>
      </c>
      <c r="C2241">
        <v>2.2679999999999998</v>
      </c>
      <c r="D2241">
        <v>4.28</v>
      </c>
      <c r="E2241">
        <v>0</v>
      </c>
      <c r="F2241">
        <v>1.67</v>
      </c>
      <c r="G2241">
        <v>0</v>
      </c>
      <c r="H2241">
        <v>0.189</v>
      </c>
      <c r="I2241">
        <v>3.94</v>
      </c>
      <c r="K2241">
        <v>2239</v>
      </c>
      <c r="L2241">
        <v>37</v>
      </c>
      <c r="M2241" s="32">
        <v>2.2679999999999998</v>
      </c>
      <c r="N2241" s="32">
        <v>4.28</v>
      </c>
      <c r="P2241" s="47">
        <v>1.6719999999999999</v>
      </c>
      <c r="R2241" s="47">
        <v>0.192</v>
      </c>
      <c r="S2241" s="47">
        <v>3.7919999999999998</v>
      </c>
      <c r="T2241" s="31">
        <v>0</v>
      </c>
      <c r="V2241">
        <v>2239</v>
      </c>
      <c r="W2241">
        <v>35</v>
      </c>
      <c r="X2241">
        <v>2.2799999999999998</v>
      </c>
      <c r="Y2241" s="32">
        <v>4.43</v>
      </c>
      <c r="Z2241">
        <v>0</v>
      </c>
      <c r="AA2241" s="32">
        <v>1.5469999999999999</v>
      </c>
      <c r="AB2241">
        <v>0</v>
      </c>
      <c r="AC2241" s="34">
        <v>0.193</v>
      </c>
      <c r="AD2241" s="32">
        <v>3.5270000000000001</v>
      </c>
    </row>
    <row r="2242" spans="1:30">
      <c r="A2242">
        <v>2240</v>
      </c>
      <c r="B2242">
        <v>37</v>
      </c>
      <c r="C2242">
        <v>2.2690000000000001</v>
      </c>
      <c r="D2242">
        <v>4.28</v>
      </c>
      <c r="E2242">
        <v>0</v>
      </c>
      <c r="F2242">
        <v>1.67</v>
      </c>
      <c r="G2242">
        <v>0</v>
      </c>
      <c r="H2242">
        <v>0.189</v>
      </c>
      <c r="I2242">
        <v>3.9430000000000001</v>
      </c>
      <c r="K2242">
        <v>2240</v>
      </c>
      <c r="L2242">
        <v>37</v>
      </c>
      <c r="M2242" s="32">
        <v>2.2690000000000001</v>
      </c>
      <c r="N2242" s="32">
        <v>4.28</v>
      </c>
      <c r="P2242" s="47">
        <v>1.673</v>
      </c>
      <c r="R2242" s="47">
        <v>0.192</v>
      </c>
      <c r="S2242" s="47">
        <v>3.7949999999999999</v>
      </c>
      <c r="T2242" s="31">
        <v>0</v>
      </c>
      <c r="V2242">
        <v>2240</v>
      </c>
      <c r="W2242">
        <v>35</v>
      </c>
      <c r="X2242">
        <v>2.2810000000000001</v>
      </c>
      <c r="Y2242" s="32">
        <v>4.43</v>
      </c>
      <c r="Z2242">
        <v>0</v>
      </c>
      <c r="AA2242" s="32">
        <v>1.5469999999999999</v>
      </c>
      <c r="AB2242">
        <v>0</v>
      </c>
      <c r="AC2242" s="34">
        <v>0.193</v>
      </c>
      <c r="AD2242" s="32">
        <v>3.5289999999999999</v>
      </c>
    </row>
    <row r="2243" spans="1:30">
      <c r="A2243">
        <v>2241</v>
      </c>
      <c r="B2243">
        <v>37</v>
      </c>
      <c r="C2243">
        <v>2.27</v>
      </c>
      <c r="D2243">
        <v>4.28</v>
      </c>
      <c r="E2243">
        <v>0</v>
      </c>
      <c r="F2243">
        <v>1.673</v>
      </c>
      <c r="G2243">
        <v>0</v>
      </c>
      <c r="H2243">
        <v>0.189</v>
      </c>
      <c r="I2243">
        <v>3.7970000000000002</v>
      </c>
      <c r="K2243">
        <v>2241</v>
      </c>
      <c r="L2243">
        <v>37</v>
      </c>
      <c r="M2243" s="32">
        <v>2.27</v>
      </c>
      <c r="N2243" s="32">
        <v>4.28</v>
      </c>
      <c r="P2243" s="32">
        <v>1.673</v>
      </c>
      <c r="R2243" s="47">
        <v>0.192</v>
      </c>
      <c r="S2243" s="32">
        <v>3.7970000000000002</v>
      </c>
      <c r="T2243" s="31">
        <v>0</v>
      </c>
      <c r="V2243">
        <v>2241</v>
      </c>
      <c r="W2243">
        <v>35</v>
      </c>
      <c r="X2243">
        <v>2.282</v>
      </c>
      <c r="Y2243" s="32">
        <v>4.43</v>
      </c>
      <c r="Z2243">
        <v>0</v>
      </c>
      <c r="AA2243" s="32">
        <v>1.548</v>
      </c>
      <c r="AB2243">
        <v>0</v>
      </c>
      <c r="AC2243" s="34">
        <v>0.193</v>
      </c>
      <c r="AD2243" s="32">
        <v>3.5310000000000001</v>
      </c>
    </row>
    <row r="2244" spans="1:30">
      <c r="A2244">
        <v>2242</v>
      </c>
      <c r="B2244">
        <v>37</v>
      </c>
      <c r="C2244">
        <v>2.2709999999999999</v>
      </c>
      <c r="D2244">
        <v>4.28</v>
      </c>
      <c r="E2244">
        <v>0</v>
      </c>
      <c r="F2244">
        <v>1.673</v>
      </c>
      <c r="G2244">
        <v>0</v>
      </c>
      <c r="H2244">
        <v>0.189</v>
      </c>
      <c r="I2244">
        <v>3.97</v>
      </c>
      <c r="K2244">
        <v>2242</v>
      </c>
      <c r="L2244">
        <v>37</v>
      </c>
      <c r="M2244" s="32">
        <v>2.2709999999999999</v>
      </c>
      <c r="N2244" s="47">
        <v>4.2949999999999999</v>
      </c>
      <c r="P2244" s="32">
        <v>1.673</v>
      </c>
      <c r="R2244" s="47">
        <v>0.192</v>
      </c>
      <c r="S2244" s="47">
        <v>3.7989999999999999</v>
      </c>
      <c r="T2244" s="31">
        <v>0</v>
      </c>
      <c r="V2244">
        <v>2242</v>
      </c>
      <c r="W2244">
        <v>35</v>
      </c>
      <c r="X2244">
        <v>2.2829999999999999</v>
      </c>
      <c r="Y2244" s="32">
        <v>4.43</v>
      </c>
      <c r="Z2244">
        <v>0</v>
      </c>
      <c r="AA2244" s="32">
        <v>1.548</v>
      </c>
      <c r="AB2244">
        <v>0</v>
      </c>
      <c r="AC2244" s="34">
        <v>0.193</v>
      </c>
      <c r="AD2244" s="32">
        <v>3.5329999999999999</v>
      </c>
    </row>
    <row r="2245" spans="1:30">
      <c r="A2245">
        <v>2243</v>
      </c>
      <c r="B2245">
        <v>37</v>
      </c>
      <c r="C2245">
        <v>2.2719999999999998</v>
      </c>
      <c r="D2245">
        <v>4.28</v>
      </c>
      <c r="E2245">
        <v>0</v>
      </c>
      <c r="F2245">
        <v>1.673</v>
      </c>
      <c r="G2245">
        <v>0</v>
      </c>
      <c r="H2245">
        <v>0.189</v>
      </c>
      <c r="I2245">
        <v>3.972</v>
      </c>
      <c r="K2245">
        <v>2243</v>
      </c>
      <c r="L2245">
        <v>37</v>
      </c>
      <c r="M2245" s="32">
        <v>2.2719999999999998</v>
      </c>
      <c r="N2245" s="47">
        <v>4.3099999999999996</v>
      </c>
      <c r="P2245" s="32">
        <v>1.673</v>
      </c>
      <c r="R2245" s="47">
        <v>0.192</v>
      </c>
      <c r="S2245" s="47">
        <v>3.8010000000000002</v>
      </c>
      <c r="T2245" s="31">
        <v>0</v>
      </c>
      <c r="V2245">
        <v>2243</v>
      </c>
      <c r="W2245">
        <v>35</v>
      </c>
      <c r="X2245">
        <v>2.2839999999999998</v>
      </c>
      <c r="Y2245" s="32">
        <v>4.43</v>
      </c>
      <c r="Z2245">
        <v>0</v>
      </c>
      <c r="AA2245" s="32">
        <v>1.548</v>
      </c>
      <c r="AB2245">
        <v>0</v>
      </c>
      <c r="AC2245" s="34">
        <v>0.193</v>
      </c>
      <c r="AD2245" s="32">
        <v>3.5350000000000001</v>
      </c>
    </row>
    <row r="2246" spans="1:30">
      <c r="A2246">
        <v>2244</v>
      </c>
      <c r="B2246">
        <v>37</v>
      </c>
      <c r="C2246">
        <v>2.2730000000000001</v>
      </c>
      <c r="D2246">
        <v>4.28</v>
      </c>
      <c r="E2246">
        <v>0</v>
      </c>
      <c r="F2246">
        <v>1.673</v>
      </c>
      <c r="G2246">
        <v>0</v>
      </c>
      <c r="H2246">
        <v>0.189</v>
      </c>
      <c r="I2246">
        <v>3.9740000000000002</v>
      </c>
      <c r="K2246">
        <v>2244</v>
      </c>
      <c r="L2246">
        <v>37</v>
      </c>
      <c r="M2246" s="32">
        <v>2.2730000000000001</v>
      </c>
      <c r="N2246" s="47">
        <v>4.3250000000000002</v>
      </c>
      <c r="P2246" s="47">
        <v>1.6739999999999999</v>
      </c>
      <c r="R2246" s="47">
        <v>0.192</v>
      </c>
      <c r="S2246" s="47">
        <v>3.802</v>
      </c>
      <c r="T2246" s="31">
        <v>0</v>
      </c>
      <c r="V2246">
        <v>2244</v>
      </c>
      <c r="W2246">
        <v>35</v>
      </c>
      <c r="X2246">
        <v>2.2850000000000001</v>
      </c>
      <c r="Y2246" s="32">
        <v>4.43</v>
      </c>
      <c r="Z2246">
        <v>0</v>
      </c>
      <c r="AA2246" s="32">
        <v>1.548</v>
      </c>
      <c r="AB2246">
        <v>0</v>
      </c>
      <c r="AC2246" s="34">
        <v>0.193</v>
      </c>
      <c r="AD2246" s="32">
        <v>3.5369999999999999</v>
      </c>
    </row>
    <row r="2247" spans="1:30">
      <c r="A2247">
        <v>2245</v>
      </c>
      <c r="B2247">
        <v>37</v>
      </c>
      <c r="C2247">
        <v>2.274</v>
      </c>
      <c r="D2247">
        <v>4.28</v>
      </c>
      <c r="E2247">
        <v>0</v>
      </c>
      <c r="F2247">
        <v>1.673</v>
      </c>
      <c r="G2247">
        <v>0</v>
      </c>
      <c r="H2247">
        <v>0.189</v>
      </c>
      <c r="I2247">
        <v>3.976</v>
      </c>
      <c r="K2247">
        <v>2245</v>
      </c>
      <c r="L2247">
        <v>37</v>
      </c>
      <c r="M2247" s="32">
        <v>2.274</v>
      </c>
      <c r="N2247" s="47">
        <v>4.34</v>
      </c>
      <c r="P2247" s="47">
        <v>1.6739999999999999</v>
      </c>
      <c r="R2247" s="47">
        <v>0.192</v>
      </c>
      <c r="S2247" s="47">
        <v>3.8039999999999998</v>
      </c>
      <c r="T2247" s="31">
        <v>0</v>
      </c>
      <c r="V2247">
        <v>2245</v>
      </c>
      <c r="W2247">
        <v>35</v>
      </c>
      <c r="X2247">
        <v>2.286</v>
      </c>
      <c r="Y2247" s="32">
        <v>4.43</v>
      </c>
      <c r="Z2247">
        <v>0</v>
      </c>
      <c r="AA2247" s="32">
        <v>1.548</v>
      </c>
      <c r="AB2247">
        <v>0</v>
      </c>
      <c r="AC2247" s="34">
        <v>0.193</v>
      </c>
      <c r="AD2247" s="32">
        <v>3.5390000000000001</v>
      </c>
    </row>
    <row r="2248" spans="1:30">
      <c r="A2248">
        <v>2246</v>
      </c>
      <c r="B2248">
        <v>37</v>
      </c>
      <c r="C2248">
        <v>2.2749999999999999</v>
      </c>
      <c r="D2248">
        <v>4.28</v>
      </c>
      <c r="E2248">
        <v>0</v>
      </c>
      <c r="F2248">
        <v>1.673</v>
      </c>
      <c r="G2248">
        <v>0</v>
      </c>
      <c r="H2248">
        <v>0.189</v>
      </c>
      <c r="I2248">
        <v>3.9780000000000002</v>
      </c>
      <c r="K2248">
        <v>2246</v>
      </c>
      <c r="L2248">
        <v>37</v>
      </c>
      <c r="M2248" s="32">
        <v>2.2749999999999999</v>
      </c>
      <c r="N2248" s="47">
        <v>4.3550000000000004</v>
      </c>
      <c r="P2248" s="47">
        <v>1.6739999999999999</v>
      </c>
      <c r="R2248" s="47">
        <v>0.192</v>
      </c>
      <c r="S2248" s="47">
        <v>3.806</v>
      </c>
      <c r="T2248" s="31">
        <v>0</v>
      </c>
      <c r="V2248">
        <v>2246</v>
      </c>
      <c r="W2248">
        <v>35</v>
      </c>
      <c r="X2248">
        <v>2.2869999999999999</v>
      </c>
      <c r="Y2248" s="32">
        <v>4.43</v>
      </c>
      <c r="Z2248">
        <v>0</v>
      </c>
      <c r="AA2248" s="32">
        <v>1.5489999999999999</v>
      </c>
      <c r="AB2248">
        <v>0</v>
      </c>
      <c r="AC2248" s="34">
        <v>0.193</v>
      </c>
      <c r="AD2248" s="32">
        <v>3.5409999999999999</v>
      </c>
    </row>
    <row r="2249" spans="1:30">
      <c r="A2249">
        <v>2247</v>
      </c>
      <c r="B2249">
        <v>37</v>
      </c>
      <c r="C2249">
        <v>2.2759999999999998</v>
      </c>
      <c r="D2249">
        <v>4.28</v>
      </c>
      <c r="E2249">
        <v>0</v>
      </c>
      <c r="F2249">
        <v>1.673</v>
      </c>
      <c r="G2249">
        <v>0</v>
      </c>
      <c r="H2249">
        <v>0.189</v>
      </c>
      <c r="I2249">
        <v>3.98</v>
      </c>
      <c r="K2249">
        <v>2247</v>
      </c>
      <c r="L2249">
        <v>37</v>
      </c>
      <c r="M2249" s="32">
        <v>2.2759999999999998</v>
      </c>
      <c r="N2249" s="47">
        <v>4.37</v>
      </c>
      <c r="P2249" s="47">
        <v>1.6739999999999999</v>
      </c>
      <c r="R2249" s="47">
        <v>0.192</v>
      </c>
      <c r="S2249" s="47">
        <v>3.8079999999999998</v>
      </c>
      <c r="T2249" s="31">
        <v>0</v>
      </c>
      <c r="V2249">
        <v>2247</v>
      </c>
      <c r="W2249">
        <v>35</v>
      </c>
      <c r="X2249">
        <v>2.2879999999999998</v>
      </c>
      <c r="Y2249" s="32">
        <v>4.43</v>
      </c>
      <c r="Z2249">
        <v>0</v>
      </c>
      <c r="AA2249" s="32">
        <v>1.5489999999999999</v>
      </c>
      <c r="AB2249">
        <v>0</v>
      </c>
      <c r="AC2249" s="34">
        <v>0.193</v>
      </c>
      <c r="AD2249" s="32">
        <v>3.5430000000000001</v>
      </c>
    </row>
    <row r="2250" spans="1:30">
      <c r="A2250">
        <v>2248</v>
      </c>
      <c r="B2250">
        <v>37</v>
      </c>
      <c r="C2250">
        <v>2.2770000000000001</v>
      </c>
      <c r="D2250">
        <v>4.28</v>
      </c>
      <c r="E2250">
        <v>0</v>
      </c>
      <c r="F2250">
        <v>1.673</v>
      </c>
      <c r="G2250">
        <v>0</v>
      </c>
      <c r="H2250">
        <v>0.189</v>
      </c>
      <c r="I2250">
        <v>3.9830000000000001</v>
      </c>
      <c r="K2250">
        <v>2248</v>
      </c>
      <c r="L2250">
        <v>37</v>
      </c>
      <c r="M2250" s="32">
        <v>2.2770000000000001</v>
      </c>
      <c r="N2250" s="47">
        <v>4.3849999999999998</v>
      </c>
      <c r="P2250" s="47">
        <v>1.6739999999999999</v>
      </c>
      <c r="R2250" s="47">
        <v>0.192</v>
      </c>
      <c r="S2250" s="47">
        <v>3.81</v>
      </c>
      <c r="T2250" s="31">
        <v>0</v>
      </c>
      <c r="V2250">
        <v>2248</v>
      </c>
      <c r="W2250">
        <v>36</v>
      </c>
      <c r="X2250">
        <v>2.2890000000000001</v>
      </c>
      <c r="Y2250" s="32">
        <v>4.43</v>
      </c>
      <c r="Z2250">
        <v>0</v>
      </c>
      <c r="AA2250" s="32">
        <v>1.5489999999999999</v>
      </c>
      <c r="AB2250">
        <v>0</v>
      </c>
      <c r="AC2250" s="34">
        <v>0.193</v>
      </c>
      <c r="AD2250" s="32">
        <v>3.5449999999999999</v>
      </c>
    </row>
    <row r="2251" spans="1:30">
      <c r="A2251">
        <v>2249</v>
      </c>
      <c r="B2251">
        <v>37</v>
      </c>
      <c r="C2251">
        <v>2.278</v>
      </c>
      <c r="D2251">
        <v>4.28</v>
      </c>
      <c r="E2251">
        <v>0</v>
      </c>
      <c r="F2251">
        <v>1.673</v>
      </c>
      <c r="G2251">
        <v>0</v>
      </c>
      <c r="H2251">
        <v>0.189</v>
      </c>
      <c r="I2251">
        <v>3.9849999999999999</v>
      </c>
      <c r="K2251">
        <v>2249</v>
      </c>
      <c r="L2251">
        <v>37</v>
      </c>
      <c r="M2251" s="32">
        <v>2.278</v>
      </c>
      <c r="N2251" s="47">
        <v>4.4000000000000004</v>
      </c>
      <c r="P2251" s="47">
        <v>1.675</v>
      </c>
      <c r="R2251" s="47">
        <v>0.192</v>
      </c>
      <c r="S2251" s="47">
        <v>3.8109999999999999</v>
      </c>
      <c r="T2251" s="31">
        <v>0</v>
      </c>
      <c r="V2251">
        <v>2249</v>
      </c>
      <c r="W2251">
        <v>36</v>
      </c>
      <c r="X2251">
        <v>2.29</v>
      </c>
      <c r="Y2251" s="32">
        <v>4.43</v>
      </c>
      <c r="Z2251">
        <v>0</v>
      </c>
      <c r="AA2251" s="32">
        <v>1.5489999999999999</v>
      </c>
      <c r="AB2251">
        <v>0</v>
      </c>
      <c r="AC2251" s="34">
        <v>0.193</v>
      </c>
      <c r="AD2251" s="32">
        <v>3.5470000000000002</v>
      </c>
    </row>
    <row r="2252" spans="1:30">
      <c r="A2252">
        <v>2250</v>
      </c>
      <c r="B2252">
        <v>37</v>
      </c>
      <c r="C2252">
        <v>2.2789999999999999</v>
      </c>
      <c r="D2252">
        <v>4.28</v>
      </c>
      <c r="E2252">
        <v>0</v>
      </c>
      <c r="F2252">
        <v>1.673</v>
      </c>
      <c r="G2252">
        <v>0</v>
      </c>
      <c r="H2252">
        <v>0.189</v>
      </c>
      <c r="I2252">
        <v>3.9870000000000001</v>
      </c>
      <c r="K2252">
        <v>2250</v>
      </c>
      <c r="L2252">
        <v>37</v>
      </c>
      <c r="M2252" s="32">
        <v>2.2789999999999999</v>
      </c>
      <c r="N2252" s="47">
        <v>4.415</v>
      </c>
      <c r="P2252" s="47">
        <v>1.675</v>
      </c>
      <c r="R2252" s="47">
        <v>0.192</v>
      </c>
      <c r="S2252" s="47">
        <v>3.8130000000000002</v>
      </c>
      <c r="T2252" s="31">
        <v>0</v>
      </c>
      <c r="V2252">
        <v>2250</v>
      </c>
      <c r="W2252">
        <v>36</v>
      </c>
      <c r="X2252">
        <v>2.2909999999999999</v>
      </c>
      <c r="Y2252" s="32">
        <v>4.43</v>
      </c>
      <c r="Z2252">
        <v>0</v>
      </c>
      <c r="AA2252" s="32">
        <v>1.5489999999999999</v>
      </c>
      <c r="AB2252">
        <v>0</v>
      </c>
      <c r="AC2252" s="34">
        <v>0.193</v>
      </c>
      <c r="AD2252" s="32">
        <v>3.5489999999999999</v>
      </c>
    </row>
    <row r="2253" spans="1:30">
      <c r="A2253">
        <v>2251</v>
      </c>
      <c r="B2253">
        <v>38</v>
      </c>
      <c r="C2253">
        <v>2.2799999999999998</v>
      </c>
      <c r="D2253">
        <v>4.43</v>
      </c>
      <c r="E2253">
        <v>0</v>
      </c>
      <c r="F2253">
        <v>1.675</v>
      </c>
      <c r="G2253">
        <v>0</v>
      </c>
      <c r="H2253">
        <v>0.192</v>
      </c>
      <c r="I2253">
        <v>3.8149999999999999</v>
      </c>
      <c r="K2253">
        <v>2251</v>
      </c>
      <c r="L2253">
        <v>38</v>
      </c>
      <c r="M2253" s="32">
        <v>2.2799999999999998</v>
      </c>
      <c r="N2253" s="32">
        <v>4.43</v>
      </c>
      <c r="P2253" s="32">
        <v>1.675</v>
      </c>
      <c r="R2253" s="32">
        <v>0.192</v>
      </c>
      <c r="S2253" s="32">
        <v>3.8149999999999999</v>
      </c>
      <c r="T2253" s="31">
        <v>0</v>
      </c>
      <c r="V2253">
        <v>2251</v>
      </c>
      <c r="W2253">
        <v>36</v>
      </c>
      <c r="X2253">
        <v>2.2919999999999998</v>
      </c>
      <c r="Y2253" s="32">
        <v>4.43</v>
      </c>
      <c r="Z2253">
        <v>0</v>
      </c>
      <c r="AA2253" s="32">
        <v>1.55</v>
      </c>
      <c r="AB2253">
        <v>0</v>
      </c>
      <c r="AC2253" s="34">
        <v>0.193</v>
      </c>
      <c r="AD2253" s="32">
        <v>3.5510000000000002</v>
      </c>
    </row>
    <row r="2254" spans="1:30">
      <c r="A2254">
        <v>2252</v>
      </c>
      <c r="B2254">
        <v>38</v>
      </c>
      <c r="C2254">
        <v>2.2810000000000001</v>
      </c>
      <c r="D2254">
        <v>4.43</v>
      </c>
      <c r="E2254">
        <v>0</v>
      </c>
      <c r="F2254">
        <v>1.675</v>
      </c>
      <c r="G2254">
        <v>0</v>
      </c>
      <c r="H2254">
        <v>0.192</v>
      </c>
      <c r="I2254">
        <v>3.8170000000000002</v>
      </c>
      <c r="K2254">
        <v>2252</v>
      </c>
      <c r="L2254">
        <v>38</v>
      </c>
      <c r="M2254" s="32">
        <v>2.2810000000000001</v>
      </c>
      <c r="N2254" s="32">
        <v>4.43</v>
      </c>
      <c r="P2254" s="32">
        <v>1.675</v>
      </c>
      <c r="R2254" s="32">
        <v>0.192</v>
      </c>
      <c r="S2254" s="47">
        <v>3.8180000000000001</v>
      </c>
      <c r="T2254" s="31">
        <v>0</v>
      </c>
      <c r="V2254">
        <v>2252</v>
      </c>
      <c r="W2254">
        <v>36</v>
      </c>
      <c r="X2254">
        <v>2.2930000000000001</v>
      </c>
      <c r="Y2254" s="32">
        <v>4.43</v>
      </c>
      <c r="Z2254">
        <v>0</v>
      </c>
      <c r="AA2254" s="32">
        <v>1.55</v>
      </c>
      <c r="AB2254">
        <v>0</v>
      </c>
      <c r="AC2254" s="34">
        <v>0.193</v>
      </c>
      <c r="AD2254" s="32">
        <v>3.5529999999999999</v>
      </c>
    </row>
    <row r="2255" spans="1:30">
      <c r="A2255">
        <v>2253</v>
      </c>
      <c r="B2255">
        <v>38</v>
      </c>
      <c r="C2255">
        <v>2.282</v>
      </c>
      <c r="D2255">
        <v>4.43</v>
      </c>
      <c r="E2255">
        <v>0</v>
      </c>
      <c r="F2255">
        <v>1.675</v>
      </c>
      <c r="G2255">
        <v>0</v>
      </c>
      <c r="H2255">
        <v>0.192</v>
      </c>
      <c r="I2255">
        <v>3.819</v>
      </c>
      <c r="K2255">
        <v>2253</v>
      </c>
      <c r="L2255">
        <v>38</v>
      </c>
      <c r="M2255" s="32">
        <v>2.282</v>
      </c>
      <c r="N2255" s="32">
        <v>4.43</v>
      </c>
      <c r="P2255" s="32">
        <v>1.675</v>
      </c>
      <c r="R2255" s="32">
        <v>0.192</v>
      </c>
      <c r="S2255" s="47">
        <v>3.82</v>
      </c>
      <c r="T2255" s="31">
        <v>0</v>
      </c>
      <c r="V2255">
        <v>2253</v>
      </c>
      <c r="W2255">
        <v>36</v>
      </c>
      <c r="X2255">
        <v>2.294</v>
      </c>
      <c r="Y2255" s="32">
        <v>4.43</v>
      </c>
      <c r="Z2255">
        <v>0</v>
      </c>
      <c r="AA2255" s="32">
        <v>1.55</v>
      </c>
      <c r="AB2255">
        <v>0</v>
      </c>
      <c r="AC2255" s="34">
        <v>0.193</v>
      </c>
      <c r="AD2255" s="32">
        <v>3.5550000000000002</v>
      </c>
    </row>
    <row r="2256" spans="1:30">
      <c r="A2256">
        <v>2254</v>
      </c>
      <c r="B2256">
        <v>38</v>
      </c>
      <c r="C2256">
        <v>2.2829999999999999</v>
      </c>
      <c r="D2256">
        <v>4.4400000000000004</v>
      </c>
      <c r="E2256">
        <v>0</v>
      </c>
      <c r="F2256">
        <v>1.6759999999999999</v>
      </c>
      <c r="G2256">
        <v>0</v>
      </c>
      <c r="H2256">
        <v>0.192</v>
      </c>
      <c r="I2256">
        <v>3.8220000000000001</v>
      </c>
      <c r="K2256">
        <v>2254</v>
      </c>
      <c r="L2256">
        <v>38</v>
      </c>
      <c r="M2256" s="32">
        <v>2.2829999999999999</v>
      </c>
      <c r="N2256" s="47">
        <v>4.43</v>
      </c>
      <c r="P2256" s="32">
        <v>1.6759999999999999</v>
      </c>
      <c r="R2256" s="32">
        <v>0.192</v>
      </c>
      <c r="S2256" s="47">
        <v>3.823</v>
      </c>
      <c r="T2256" s="31">
        <v>0</v>
      </c>
      <c r="V2256">
        <v>2254</v>
      </c>
      <c r="W2256">
        <v>36</v>
      </c>
      <c r="X2256">
        <v>2.2949999999999999</v>
      </c>
      <c r="Y2256" s="32">
        <v>4.43</v>
      </c>
      <c r="Z2256">
        <v>0</v>
      </c>
      <c r="AA2256" s="32">
        <v>1.55</v>
      </c>
      <c r="AB2256">
        <v>0</v>
      </c>
      <c r="AC2256" s="34">
        <v>0.193</v>
      </c>
      <c r="AD2256" s="32">
        <v>3.5569999999999999</v>
      </c>
    </row>
    <row r="2257" spans="1:30">
      <c r="A2257">
        <v>2255</v>
      </c>
      <c r="B2257">
        <v>38</v>
      </c>
      <c r="C2257">
        <v>2.2839999999999998</v>
      </c>
      <c r="D2257">
        <v>4.4400000000000004</v>
      </c>
      <c r="E2257">
        <v>0</v>
      </c>
      <c r="F2257">
        <v>1.6759999999999999</v>
      </c>
      <c r="G2257">
        <v>0</v>
      </c>
      <c r="H2257">
        <v>0.192</v>
      </c>
      <c r="I2257">
        <v>3.8239999999999998</v>
      </c>
      <c r="K2257">
        <v>2255</v>
      </c>
      <c r="L2257">
        <v>38</v>
      </c>
      <c r="M2257" s="32">
        <v>2.2839999999999998</v>
      </c>
      <c r="N2257" s="47">
        <v>4.43</v>
      </c>
      <c r="P2257" s="32">
        <v>1.6759999999999999</v>
      </c>
      <c r="R2257" s="32">
        <v>0.192</v>
      </c>
      <c r="S2257" s="47">
        <v>3.8250000000000002</v>
      </c>
      <c r="T2257" s="31">
        <v>0</v>
      </c>
      <c r="V2257">
        <v>2255</v>
      </c>
      <c r="W2257">
        <v>36</v>
      </c>
      <c r="X2257">
        <v>2.2959999999999998</v>
      </c>
      <c r="Y2257" s="32">
        <v>4.43</v>
      </c>
      <c r="Z2257">
        <v>0</v>
      </c>
      <c r="AA2257" s="32">
        <v>1.55</v>
      </c>
      <c r="AB2257">
        <v>0</v>
      </c>
      <c r="AC2257" s="34">
        <v>0.193</v>
      </c>
      <c r="AD2257" s="32">
        <v>3.5590000000000002</v>
      </c>
    </row>
    <row r="2258" spans="1:30">
      <c r="A2258">
        <v>2256</v>
      </c>
      <c r="B2258">
        <v>38</v>
      </c>
      <c r="C2258">
        <v>2.2850000000000001</v>
      </c>
      <c r="D2258">
        <v>4.4400000000000004</v>
      </c>
      <c r="E2258">
        <v>0</v>
      </c>
      <c r="F2258">
        <v>1.6759999999999999</v>
      </c>
      <c r="G2258">
        <v>0</v>
      </c>
      <c r="H2258">
        <v>0.192</v>
      </c>
      <c r="I2258">
        <v>3.8260000000000001</v>
      </c>
      <c r="K2258">
        <v>2256</v>
      </c>
      <c r="L2258">
        <v>38</v>
      </c>
      <c r="M2258" s="32">
        <v>2.2850000000000001</v>
      </c>
      <c r="N2258" s="47">
        <v>4.43</v>
      </c>
      <c r="P2258" s="32">
        <v>1.6759999999999999</v>
      </c>
      <c r="R2258" s="32">
        <v>0.192</v>
      </c>
      <c r="S2258" s="47">
        <v>3.8279999999999998</v>
      </c>
      <c r="T2258" s="31">
        <v>0</v>
      </c>
      <c r="V2258">
        <v>2256</v>
      </c>
      <c r="W2258">
        <v>36</v>
      </c>
      <c r="X2258">
        <v>2.2970000000000002</v>
      </c>
      <c r="Y2258" s="32">
        <v>4.43</v>
      </c>
      <c r="Z2258">
        <v>0</v>
      </c>
      <c r="AA2258" s="32">
        <v>1.5509999999999999</v>
      </c>
      <c r="AB2258">
        <v>0</v>
      </c>
      <c r="AC2258" s="34">
        <v>0.193</v>
      </c>
      <c r="AD2258" s="32">
        <v>3.5609999999999999</v>
      </c>
    </row>
    <row r="2259" spans="1:30">
      <c r="A2259">
        <v>2257</v>
      </c>
      <c r="B2259">
        <v>38</v>
      </c>
      <c r="C2259">
        <v>2.286</v>
      </c>
      <c r="D2259">
        <v>4.4400000000000004</v>
      </c>
      <c r="E2259">
        <v>0</v>
      </c>
      <c r="F2259">
        <v>1.6759999999999999</v>
      </c>
      <c r="G2259">
        <v>0</v>
      </c>
      <c r="H2259">
        <v>0.192</v>
      </c>
      <c r="I2259">
        <v>3.8279999999999998</v>
      </c>
      <c r="K2259">
        <v>2257</v>
      </c>
      <c r="L2259">
        <v>38</v>
      </c>
      <c r="M2259" s="32">
        <v>2.286</v>
      </c>
      <c r="N2259" s="47">
        <v>4.43</v>
      </c>
      <c r="P2259" s="32">
        <v>1.6759999999999999</v>
      </c>
      <c r="R2259" s="32">
        <v>0.192</v>
      </c>
      <c r="S2259" s="47">
        <v>3.831</v>
      </c>
      <c r="T2259" s="31">
        <v>0</v>
      </c>
      <c r="V2259">
        <v>2257</v>
      </c>
      <c r="W2259">
        <v>36</v>
      </c>
      <c r="X2259">
        <v>2.298</v>
      </c>
      <c r="Y2259" s="32">
        <v>4.43</v>
      </c>
      <c r="Z2259">
        <v>0</v>
      </c>
      <c r="AA2259" s="32">
        <v>1.5509999999999999</v>
      </c>
      <c r="AB2259">
        <v>0</v>
      </c>
      <c r="AC2259" s="34">
        <v>0.193</v>
      </c>
      <c r="AD2259" s="32">
        <v>3.5630000000000002</v>
      </c>
    </row>
    <row r="2260" spans="1:30">
      <c r="A2260">
        <v>2258</v>
      </c>
      <c r="B2260">
        <v>38</v>
      </c>
      <c r="C2260">
        <v>2.2869999999999999</v>
      </c>
      <c r="D2260">
        <v>4.45</v>
      </c>
      <c r="E2260">
        <v>0</v>
      </c>
      <c r="F2260">
        <v>1.677</v>
      </c>
      <c r="G2260">
        <v>0</v>
      </c>
      <c r="H2260">
        <v>0.192</v>
      </c>
      <c r="I2260">
        <v>3.83</v>
      </c>
      <c r="K2260">
        <v>2258</v>
      </c>
      <c r="L2260">
        <v>38</v>
      </c>
      <c r="M2260" s="32">
        <v>2.2869999999999999</v>
      </c>
      <c r="N2260" s="47">
        <v>4.43</v>
      </c>
      <c r="P2260" s="47">
        <v>1.6759999999999999</v>
      </c>
      <c r="R2260" s="32">
        <v>0.192</v>
      </c>
      <c r="S2260" s="47">
        <v>3.8330000000000002</v>
      </c>
      <c r="T2260" s="31">
        <v>0</v>
      </c>
      <c r="V2260">
        <v>2258</v>
      </c>
      <c r="W2260">
        <v>36</v>
      </c>
      <c r="X2260">
        <v>2.2989999999999999</v>
      </c>
      <c r="Y2260" s="32">
        <v>4.43</v>
      </c>
      <c r="Z2260">
        <v>0</v>
      </c>
      <c r="AA2260" s="32">
        <v>1.5509999999999999</v>
      </c>
      <c r="AB2260">
        <v>0</v>
      </c>
      <c r="AC2260" s="34">
        <v>0.193</v>
      </c>
      <c r="AD2260" s="32">
        <v>3.5649999999999999</v>
      </c>
    </row>
    <row r="2261" spans="1:30">
      <c r="A2261">
        <v>2259</v>
      </c>
      <c r="B2261">
        <v>38</v>
      </c>
      <c r="C2261">
        <v>2.2879999999999998</v>
      </c>
      <c r="D2261">
        <v>4.45</v>
      </c>
      <c r="E2261">
        <v>0</v>
      </c>
      <c r="F2261">
        <v>1.677</v>
      </c>
      <c r="G2261">
        <v>0</v>
      </c>
      <c r="H2261">
        <v>0.192</v>
      </c>
      <c r="I2261">
        <v>3.8319999999999999</v>
      </c>
      <c r="K2261">
        <v>2259</v>
      </c>
      <c r="L2261">
        <v>38</v>
      </c>
      <c r="M2261" s="32">
        <v>2.2879999999999998</v>
      </c>
      <c r="N2261" s="47">
        <v>4.43</v>
      </c>
      <c r="P2261" s="32">
        <v>1.677</v>
      </c>
      <c r="R2261" s="32">
        <v>0.192</v>
      </c>
      <c r="S2261" s="47">
        <v>3.8359999999999999</v>
      </c>
      <c r="T2261" s="31">
        <v>0</v>
      </c>
      <c r="V2261">
        <v>2259</v>
      </c>
      <c r="W2261">
        <v>36</v>
      </c>
      <c r="X2261">
        <v>2.2999999999999998</v>
      </c>
      <c r="Y2261" s="32">
        <v>4.43</v>
      </c>
      <c r="Z2261">
        <v>0</v>
      </c>
      <c r="AA2261" s="32">
        <v>1.5509999999999999</v>
      </c>
      <c r="AB2261">
        <v>0</v>
      </c>
      <c r="AC2261" s="34">
        <v>0.193</v>
      </c>
      <c r="AD2261" s="32">
        <v>3.5670000000000002</v>
      </c>
    </row>
    <row r="2262" spans="1:30">
      <c r="A2262">
        <v>2260</v>
      </c>
      <c r="B2262">
        <v>38</v>
      </c>
      <c r="C2262">
        <v>2.2890000000000001</v>
      </c>
      <c r="D2262">
        <v>4.45</v>
      </c>
      <c r="E2262">
        <v>0</v>
      </c>
      <c r="F2262">
        <v>1.677</v>
      </c>
      <c r="G2262">
        <v>0</v>
      </c>
      <c r="H2262">
        <v>0.192</v>
      </c>
      <c r="I2262">
        <v>3.835</v>
      </c>
      <c r="K2262">
        <v>2260</v>
      </c>
      <c r="L2262">
        <v>38</v>
      </c>
      <c r="M2262" s="32">
        <v>2.2890000000000001</v>
      </c>
      <c r="N2262" s="47">
        <v>4.43</v>
      </c>
      <c r="P2262" s="32">
        <v>1.677</v>
      </c>
      <c r="R2262" s="32">
        <v>0.192</v>
      </c>
      <c r="S2262" s="47">
        <v>3.8380000000000001</v>
      </c>
      <c r="T2262" s="31">
        <v>0</v>
      </c>
      <c r="V2262">
        <v>2260</v>
      </c>
      <c r="W2262">
        <v>36</v>
      </c>
      <c r="X2262">
        <v>2.3010000000000002</v>
      </c>
      <c r="Y2262" s="32">
        <v>4.43</v>
      </c>
      <c r="Z2262">
        <v>0</v>
      </c>
      <c r="AA2262" s="32">
        <v>1.5509999999999999</v>
      </c>
      <c r="AB2262">
        <v>0</v>
      </c>
      <c r="AC2262" s="34">
        <v>0.193</v>
      </c>
      <c r="AD2262" s="32">
        <v>3.569</v>
      </c>
    </row>
    <row r="2263" spans="1:30">
      <c r="A2263">
        <v>2261</v>
      </c>
      <c r="B2263">
        <v>38</v>
      </c>
      <c r="C2263">
        <v>2.29</v>
      </c>
      <c r="D2263">
        <v>4.43</v>
      </c>
      <c r="E2263">
        <v>0</v>
      </c>
      <c r="F2263">
        <v>1.677</v>
      </c>
      <c r="G2263">
        <v>0</v>
      </c>
      <c r="H2263">
        <v>0.192</v>
      </c>
      <c r="I2263">
        <v>3.8410000000000002</v>
      </c>
      <c r="K2263">
        <v>2261</v>
      </c>
      <c r="L2263">
        <v>38</v>
      </c>
      <c r="M2263" s="32">
        <v>2.29</v>
      </c>
      <c r="N2263" s="32">
        <v>4.43</v>
      </c>
      <c r="P2263" s="32">
        <v>1.677</v>
      </c>
      <c r="R2263" s="32">
        <v>0.192</v>
      </c>
      <c r="S2263" s="32">
        <v>3.8410000000000002</v>
      </c>
      <c r="T2263" s="31">
        <v>0</v>
      </c>
      <c r="V2263">
        <v>2261</v>
      </c>
      <c r="W2263">
        <v>36</v>
      </c>
      <c r="X2263">
        <v>2.302</v>
      </c>
      <c r="Y2263" s="32">
        <v>4.43</v>
      </c>
      <c r="Z2263">
        <v>0</v>
      </c>
      <c r="AA2263" s="32">
        <v>1.552</v>
      </c>
      <c r="AB2263">
        <v>0</v>
      </c>
      <c r="AC2263" s="34">
        <v>0.19400000000000001</v>
      </c>
      <c r="AD2263" s="32">
        <v>3.5710000000000002</v>
      </c>
    </row>
    <row r="2264" spans="1:30">
      <c r="A2264">
        <v>2262</v>
      </c>
      <c r="B2264">
        <v>38</v>
      </c>
      <c r="C2264">
        <v>2.2909999999999999</v>
      </c>
      <c r="D2264">
        <v>4.43</v>
      </c>
      <c r="E2264">
        <v>0</v>
      </c>
      <c r="F2264">
        <v>1.677</v>
      </c>
      <c r="G2264">
        <v>0</v>
      </c>
      <c r="H2264">
        <v>0.192</v>
      </c>
      <c r="I2264">
        <v>3.8650000000000002</v>
      </c>
      <c r="K2264">
        <v>2262</v>
      </c>
      <c r="L2264">
        <v>38</v>
      </c>
      <c r="M2264" s="32">
        <v>2.2909999999999999</v>
      </c>
      <c r="N2264" s="32">
        <v>4.43</v>
      </c>
      <c r="P2264" s="32">
        <v>1.677</v>
      </c>
      <c r="R2264" s="32">
        <v>0.192</v>
      </c>
      <c r="S2264" s="47">
        <v>3.843</v>
      </c>
      <c r="T2264" s="31">
        <v>0</v>
      </c>
      <c r="V2264">
        <v>2262</v>
      </c>
      <c r="W2264">
        <v>36</v>
      </c>
      <c r="X2264">
        <v>2.3029999999999999</v>
      </c>
      <c r="Y2264" s="32">
        <v>4.43</v>
      </c>
      <c r="Z2264">
        <v>0</v>
      </c>
      <c r="AA2264" s="32">
        <v>1.552</v>
      </c>
      <c r="AB2264">
        <v>0</v>
      </c>
      <c r="AC2264" s="34">
        <v>0.19400000000000001</v>
      </c>
      <c r="AD2264" s="32">
        <v>3.573</v>
      </c>
    </row>
    <row r="2265" spans="1:30">
      <c r="A2265">
        <v>2263</v>
      </c>
      <c r="B2265">
        <v>38</v>
      </c>
      <c r="C2265">
        <v>2.2919999999999998</v>
      </c>
      <c r="D2265">
        <v>4.43</v>
      </c>
      <c r="E2265">
        <v>0</v>
      </c>
      <c r="F2265">
        <v>1.677</v>
      </c>
      <c r="G2265">
        <v>0</v>
      </c>
      <c r="H2265">
        <v>0.192</v>
      </c>
      <c r="I2265">
        <v>3.867</v>
      </c>
      <c r="K2265">
        <v>2263</v>
      </c>
      <c r="L2265">
        <v>38</v>
      </c>
      <c r="M2265" s="32">
        <v>2.2919999999999998</v>
      </c>
      <c r="N2265" s="32">
        <v>4.43</v>
      </c>
      <c r="P2265" s="47">
        <v>1.6779999999999999</v>
      </c>
      <c r="R2265" s="47">
        <v>0.193</v>
      </c>
      <c r="S2265" s="47">
        <v>3.8450000000000002</v>
      </c>
      <c r="T2265" s="31">
        <v>0</v>
      </c>
      <c r="V2265">
        <v>2263</v>
      </c>
      <c r="W2265">
        <v>36</v>
      </c>
      <c r="X2265">
        <v>2.3039999999999998</v>
      </c>
      <c r="Y2265" s="32">
        <v>4.43</v>
      </c>
      <c r="Z2265">
        <v>0</v>
      </c>
      <c r="AA2265" s="32">
        <v>1.552</v>
      </c>
      <c r="AB2265">
        <v>0</v>
      </c>
      <c r="AC2265" s="34">
        <v>0.19400000000000001</v>
      </c>
      <c r="AD2265" s="32">
        <v>3.5750000000000002</v>
      </c>
    </row>
    <row r="2266" spans="1:30">
      <c r="A2266">
        <v>2264</v>
      </c>
      <c r="B2266">
        <v>38</v>
      </c>
      <c r="C2266">
        <v>2.2930000000000001</v>
      </c>
      <c r="D2266">
        <v>4.43</v>
      </c>
      <c r="E2266">
        <v>0</v>
      </c>
      <c r="F2266">
        <v>1.677</v>
      </c>
      <c r="G2266">
        <v>0</v>
      </c>
      <c r="H2266">
        <v>0.192</v>
      </c>
      <c r="I2266">
        <v>3.8690000000000002</v>
      </c>
      <c r="K2266">
        <v>2264</v>
      </c>
      <c r="L2266">
        <v>38</v>
      </c>
      <c r="M2266" s="32">
        <v>2.2930000000000001</v>
      </c>
      <c r="N2266" s="32">
        <v>4.43</v>
      </c>
      <c r="P2266" s="47">
        <v>1.6779999999999999</v>
      </c>
      <c r="R2266" s="47">
        <v>0.193</v>
      </c>
      <c r="S2266" s="47">
        <v>3.8479999999999999</v>
      </c>
      <c r="T2266" s="31">
        <v>0</v>
      </c>
      <c r="V2266">
        <v>2264</v>
      </c>
      <c r="W2266">
        <v>36</v>
      </c>
      <c r="X2266">
        <v>2.3050000000000002</v>
      </c>
      <c r="Y2266" s="32">
        <v>4.43</v>
      </c>
      <c r="Z2266">
        <v>0</v>
      </c>
      <c r="AA2266" s="32">
        <v>1.552</v>
      </c>
      <c r="AB2266">
        <v>0</v>
      </c>
      <c r="AC2266" s="34">
        <v>0.19400000000000001</v>
      </c>
      <c r="AD2266" s="32">
        <v>3.577</v>
      </c>
    </row>
    <row r="2267" spans="1:30">
      <c r="A2267">
        <v>2265</v>
      </c>
      <c r="B2267">
        <v>38</v>
      </c>
      <c r="C2267">
        <v>2.294</v>
      </c>
      <c r="D2267">
        <v>4.43</v>
      </c>
      <c r="E2267">
        <v>0</v>
      </c>
      <c r="F2267">
        <v>1.677</v>
      </c>
      <c r="G2267">
        <v>0</v>
      </c>
      <c r="H2267">
        <v>0.192</v>
      </c>
      <c r="I2267">
        <v>3.871</v>
      </c>
      <c r="K2267">
        <v>2265</v>
      </c>
      <c r="L2267">
        <v>38</v>
      </c>
      <c r="M2267" s="32">
        <v>2.294</v>
      </c>
      <c r="N2267" s="32">
        <v>4.43</v>
      </c>
      <c r="P2267" s="47">
        <v>1.6779999999999999</v>
      </c>
      <c r="R2267" s="47">
        <v>0.193</v>
      </c>
      <c r="S2267" s="47">
        <v>3.85</v>
      </c>
      <c r="T2267" s="31">
        <v>0</v>
      </c>
      <c r="V2267">
        <v>2265</v>
      </c>
      <c r="W2267">
        <v>36</v>
      </c>
      <c r="X2267">
        <v>2.306</v>
      </c>
      <c r="Y2267" s="32">
        <v>4.43</v>
      </c>
      <c r="Z2267">
        <v>0</v>
      </c>
      <c r="AA2267" s="32">
        <v>1.552</v>
      </c>
      <c r="AB2267">
        <v>0</v>
      </c>
      <c r="AC2267" s="34">
        <v>0.19400000000000001</v>
      </c>
      <c r="AD2267" s="32">
        <v>3.58</v>
      </c>
    </row>
    <row r="2268" spans="1:30">
      <c r="A2268">
        <v>2266</v>
      </c>
      <c r="B2268">
        <v>38</v>
      </c>
      <c r="C2268">
        <v>2.2949999999999999</v>
      </c>
      <c r="D2268">
        <v>4.43</v>
      </c>
      <c r="E2268">
        <v>0</v>
      </c>
      <c r="F2268">
        <v>1.677</v>
      </c>
      <c r="G2268">
        <v>0</v>
      </c>
      <c r="H2268">
        <v>0.192</v>
      </c>
      <c r="I2268">
        <v>3.8740000000000001</v>
      </c>
      <c r="K2268">
        <v>2266</v>
      </c>
      <c r="L2268">
        <v>38</v>
      </c>
      <c r="M2268" s="32">
        <v>2.2949999999999999</v>
      </c>
      <c r="N2268" s="32">
        <v>4.43</v>
      </c>
      <c r="P2268" s="47">
        <v>1.679</v>
      </c>
      <c r="R2268" s="47">
        <v>0.193</v>
      </c>
      <c r="S2268" s="47">
        <v>3.8519999999999999</v>
      </c>
      <c r="T2268" s="31">
        <v>0</v>
      </c>
      <c r="V2268">
        <v>2266</v>
      </c>
      <c r="W2268">
        <v>36</v>
      </c>
      <c r="X2268">
        <v>2.3069999999999999</v>
      </c>
      <c r="Y2268" s="32">
        <v>4.43</v>
      </c>
      <c r="Z2268">
        <v>0</v>
      </c>
      <c r="AA2268" s="32">
        <v>1.5529999999999999</v>
      </c>
      <c r="AB2268">
        <v>0</v>
      </c>
      <c r="AC2268" s="34">
        <v>0.19400000000000001</v>
      </c>
      <c r="AD2268" s="32">
        <v>3.5819999999999999</v>
      </c>
    </row>
    <row r="2269" spans="1:30">
      <c r="A2269">
        <v>2267</v>
      </c>
      <c r="B2269">
        <v>38</v>
      </c>
      <c r="C2269">
        <v>2.2959999999999998</v>
      </c>
      <c r="D2269">
        <v>4.43</v>
      </c>
      <c r="E2269">
        <v>0</v>
      </c>
      <c r="F2269">
        <v>1.677</v>
      </c>
      <c r="G2269">
        <v>0</v>
      </c>
      <c r="H2269">
        <v>0.192</v>
      </c>
      <c r="I2269">
        <v>3.8759999999999999</v>
      </c>
      <c r="K2269">
        <v>2267</v>
      </c>
      <c r="L2269">
        <v>38</v>
      </c>
      <c r="M2269" s="32">
        <v>2.2959999999999998</v>
      </c>
      <c r="N2269" s="32">
        <v>4.43</v>
      </c>
      <c r="P2269" s="47">
        <v>1.679</v>
      </c>
      <c r="R2269" s="47">
        <v>0.193</v>
      </c>
      <c r="S2269" s="47">
        <v>3.8540000000000001</v>
      </c>
      <c r="T2269" s="31">
        <v>0</v>
      </c>
      <c r="V2269">
        <v>2267</v>
      </c>
      <c r="W2269">
        <v>36</v>
      </c>
      <c r="X2269">
        <v>2.3079999999999998</v>
      </c>
      <c r="Y2269" s="32">
        <v>4.43</v>
      </c>
      <c r="Z2269">
        <v>0</v>
      </c>
      <c r="AA2269" s="32">
        <v>1.5529999999999999</v>
      </c>
      <c r="AB2269">
        <v>0</v>
      </c>
      <c r="AC2269" s="34">
        <v>0.19400000000000001</v>
      </c>
      <c r="AD2269" s="32">
        <v>3.5840000000000001</v>
      </c>
    </row>
    <row r="2270" spans="1:30">
      <c r="A2270">
        <v>2268</v>
      </c>
      <c r="B2270">
        <v>38</v>
      </c>
      <c r="C2270">
        <v>2.2970000000000002</v>
      </c>
      <c r="D2270">
        <v>4.43</v>
      </c>
      <c r="E2270">
        <v>0</v>
      </c>
      <c r="F2270">
        <v>1.677</v>
      </c>
      <c r="G2270">
        <v>0</v>
      </c>
      <c r="H2270">
        <v>0.192</v>
      </c>
      <c r="I2270">
        <v>3.8780000000000001</v>
      </c>
      <c r="K2270">
        <v>2268</v>
      </c>
      <c r="L2270">
        <v>38</v>
      </c>
      <c r="M2270" s="32">
        <v>2.2970000000000002</v>
      </c>
      <c r="N2270" s="32">
        <v>4.43</v>
      </c>
      <c r="P2270" s="47">
        <v>1.679</v>
      </c>
      <c r="R2270" s="47">
        <v>0.193</v>
      </c>
      <c r="S2270" s="47">
        <v>3.8559999999999999</v>
      </c>
      <c r="T2270" s="31">
        <v>0</v>
      </c>
      <c r="V2270">
        <v>2268</v>
      </c>
      <c r="W2270">
        <v>36</v>
      </c>
      <c r="X2270">
        <v>2.3090000000000002</v>
      </c>
      <c r="Y2270" s="32">
        <v>4.43</v>
      </c>
      <c r="Z2270">
        <v>0</v>
      </c>
      <c r="AA2270" s="32">
        <v>1.5529999999999999</v>
      </c>
      <c r="AB2270">
        <v>0</v>
      </c>
      <c r="AC2270" s="34">
        <v>0.19400000000000001</v>
      </c>
      <c r="AD2270" s="32">
        <v>3.5859999999999999</v>
      </c>
    </row>
    <row r="2271" spans="1:30">
      <c r="A2271">
        <v>2269</v>
      </c>
      <c r="B2271">
        <v>38</v>
      </c>
      <c r="C2271">
        <v>2.298</v>
      </c>
      <c r="D2271">
        <v>4.43</v>
      </c>
      <c r="E2271">
        <v>0</v>
      </c>
      <c r="F2271">
        <v>1.677</v>
      </c>
      <c r="G2271">
        <v>0</v>
      </c>
      <c r="H2271">
        <v>0.192</v>
      </c>
      <c r="I2271">
        <v>3.88</v>
      </c>
      <c r="K2271">
        <v>2269</v>
      </c>
      <c r="L2271">
        <v>38</v>
      </c>
      <c r="M2271" s="32">
        <v>2.298</v>
      </c>
      <c r="N2271" s="32">
        <v>4.43</v>
      </c>
      <c r="P2271" s="47">
        <v>1.679</v>
      </c>
      <c r="R2271" s="47">
        <v>0.193</v>
      </c>
      <c r="S2271" s="47">
        <v>3.859</v>
      </c>
      <c r="T2271" s="31">
        <v>0</v>
      </c>
      <c r="V2271">
        <v>2269</v>
      </c>
      <c r="W2271">
        <v>36</v>
      </c>
      <c r="X2271">
        <v>2.31</v>
      </c>
      <c r="Y2271" s="32">
        <v>4.43</v>
      </c>
      <c r="Z2271">
        <v>0</v>
      </c>
      <c r="AA2271" s="32">
        <v>1.5529999999999999</v>
      </c>
      <c r="AB2271">
        <v>0</v>
      </c>
      <c r="AC2271" s="34">
        <v>0.19400000000000001</v>
      </c>
      <c r="AD2271" s="32">
        <v>3.5880000000000001</v>
      </c>
    </row>
    <row r="2272" spans="1:30">
      <c r="A2272">
        <v>2270</v>
      </c>
      <c r="B2272">
        <v>38</v>
      </c>
      <c r="C2272">
        <v>2.2989999999999999</v>
      </c>
      <c r="D2272">
        <v>4.43</v>
      </c>
      <c r="E2272">
        <v>0</v>
      </c>
      <c r="F2272">
        <v>1.677</v>
      </c>
      <c r="G2272">
        <v>0</v>
      </c>
      <c r="H2272">
        <v>0.192</v>
      </c>
      <c r="I2272">
        <v>3.8820000000000001</v>
      </c>
      <c r="K2272">
        <v>2270</v>
      </c>
      <c r="L2272">
        <v>38</v>
      </c>
      <c r="M2272" s="32">
        <v>2.2989999999999999</v>
      </c>
      <c r="N2272" s="32">
        <v>4.43</v>
      </c>
      <c r="P2272" s="47">
        <v>1.68</v>
      </c>
      <c r="R2272" s="47">
        <v>0.193</v>
      </c>
      <c r="S2272" s="47">
        <v>3.8610000000000002</v>
      </c>
      <c r="T2272" s="31">
        <v>0</v>
      </c>
      <c r="V2272">
        <v>2270</v>
      </c>
      <c r="W2272">
        <v>36</v>
      </c>
      <c r="X2272">
        <v>2.3109999999999999</v>
      </c>
      <c r="Y2272" s="32">
        <v>4.43</v>
      </c>
      <c r="Z2272">
        <v>0</v>
      </c>
      <c r="AA2272" s="32">
        <v>1.5529999999999999</v>
      </c>
      <c r="AB2272">
        <v>0</v>
      </c>
      <c r="AC2272" s="34">
        <v>0.19400000000000001</v>
      </c>
      <c r="AD2272" s="32">
        <v>3.59</v>
      </c>
    </row>
    <row r="2273" spans="1:30">
      <c r="A2273">
        <v>2271</v>
      </c>
      <c r="B2273">
        <v>38</v>
      </c>
      <c r="C2273">
        <v>2.2999999999999998</v>
      </c>
      <c r="D2273">
        <v>4.43</v>
      </c>
      <c r="E2273">
        <v>0</v>
      </c>
      <c r="F2273">
        <v>1.68</v>
      </c>
      <c r="G2273">
        <v>0</v>
      </c>
      <c r="H2273">
        <v>0.192</v>
      </c>
      <c r="I2273">
        <v>3.863</v>
      </c>
      <c r="K2273">
        <v>2271</v>
      </c>
      <c r="L2273">
        <v>38</v>
      </c>
      <c r="M2273" s="32">
        <v>2.2999999999999998</v>
      </c>
      <c r="N2273" s="32">
        <v>4.43</v>
      </c>
      <c r="P2273" s="32">
        <v>1.68</v>
      </c>
      <c r="R2273" s="47">
        <v>0.193</v>
      </c>
      <c r="S2273" s="32">
        <v>3.863</v>
      </c>
      <c r="T2273" s="31">
        <v>0</v>
      </c>
      <c r="V2273">
        <v>2271</v>
      </c>
      <c r="W2273">
        <v>36</v>
      </c>
      <c r="X2273">
        <v>2.3119999999999998</v>
      </c>
      <c r="Y2273" s="32">
        <v>4.43</v>
      </c>
      <c r="Z2273">
        <v>0</v>
      </c>
      <c r="AA2273" s="32">
        <v>1.554</v>
      </c>
      <c r="AB2273">
        <v>0</v>
      </c>
      <c r="AC2273" s="34">
        <v>0.19400000000000001</v>
      </c>
      <c r="AD2273" s="32">
        <v>3.5920000000000001</v>
      </c>
    </row>
    <row r="2274" spans="1:30">
      <c r="A2274">
        <v>2272</v>
      </c>
      <c r="B2274">
        <v>38</v>
      </c>
      <c r="C2274">
        <v>2.3010000000000002</v>
      </c>
      <c r="D2274">
        <v>4.43</v>
      </c>
      <c r="E2274">
        <v>0</v>
      </c>
      <c r="F2274">
        <v>1.68</v>
      </c>
      <c r="G2274">
        <v>0</v>
      </c>
      <c r="H2274">
        <v>0.192</v>
      </c>
      <c r="I2274">
        <v>3.9089999999999998</v>
      </c>
      <c r="K2274">
        <v>2272</v>
      </c>
      <c r="L2274">
        <v>38</v>
      </c>
      <c r="M2274" s="32">
        <v>2.3010000000000002</v>
      </c>
      <c r="N2274" s="32">
        <v>4.43</v>
      </c>
      <c r="P2274" s="32">
        <v>1.68</v>
      </c>
      <c r="R2274" s="47">
        <v>0.193</v>
      </c>
      <c r="S2274" s="47">
        <v>3.8650000000000002</v>
      </c>
      <c r="T2274" s="31">
        <v>0</v>
      </c>
      <c r="V2274">
        <v>2272</v>
      </c>
      <c r="W2274">
        <v>36</v>
      </c>
      <c r="X2274">
        <v>2.3130000000000002</v>
      </c>
      <c r="Y2274" s="32">
        <v>4.43</v>
      </c>
      <c r="Z2274">
        <v>0</v>
      </c>
      <c r="AA2274" s="32">
        <v>1.554</v>
      </c>
      <c r="AB2274">
        <v>0</v>
      </c>
      <c r="AC2274" s="34">
        <v>0.19400000000000001</v>
      </c>
      <c r="AD2274" s="32">
        <v>3.5939999999999999</v>
      </c>
    </row>
    <row r="2275" spans="1:30">
      <c r="A2275">
        <v>2273</v>
      </c>
      <c r="B2275">
        <v>38</v>
      </c>
      <c r="C2275">
        <v>2.302</v>
      </c>
      <c r="D2275">
        <v>4.43</v>
      </c>
      <c r="E2275">
        <v>0</v>
      </c>
      <c r="F2275">
        <v>1.68</v>
      </c>
      <c r="G2275">
        <v>0</v>
      </c>
      <c r="H2275">
        <v>0.192</v>
      </c>
      <c r="I2275">
        <v>3.911</v>
      </c>
      <c r="K2275">
        <v>2273</v>
      </c>
      <c r="L2275">
        <v>38</v>
      </c>
      <c r="M2275" s="32">
        <v>2.302</v>
      </c>
      <c r="N2275" s="32">
        <v>4.43</v>
      </c>
      <c r="P2275" s="32">
        <v>1.68</v>
      </c>
      <c r="R2275" s="47">
        <v>0.193</v>
      </c>
      <c r="S2275" s="47">
        <v>3.867</v>
      </c>
      <c r="T2275" s="31">
        <v>0</v>
      </c>
      <c r="V2275">
        <v>2273</v>
      </c>
      <c r="W2275">
        <v>36</v>
      </c>
      <c r="X2275">
        <v>2.3140000000000001</v>
      </c>
      <c r="Y2275" s="32">
        <v>4.43</v>
      </c>
      <c r="Z2275">
        <v>0</v>
      </c>
      <c r="AA2275" s="32">
        <v>1.554</v>
      </c>
      <c r="AB2275">
        <v>0</v>
      </c>
      <c r="AC2275" s="34">
        <v>0.19400000000000001</v>
      </c>
      <c r="AD2275" s="32">
        <v>3.5960000000000001</v>
      </c>
    </row>
    <row r="2276" spans="1:30">
      <c r="A2276">
        <v>2274</v>
      </c>
      <c r="B2276">
        <v>38</v>
      </c>
      <c r="C2276">
        <v>2.3029999999999999</v>
      </c>
      <c r="D2276">
        <v>4.43</v>
      </c>
      <c r="E2276">
        <v>0</v>
      </c>
      <c r="F2276">
        <v>1.68</v>
      </c>
      <c r="G2276">
        <v>0</v>
      </c>
      <c r="H2276">
        <v>0.192</v>
      </c>
      <c r="I2276">
        <v>3.9129999999999998</v>
      </c>
      <c r="K2276">
        <v>2274</v>
      </c>
      <c r="L2276">
        <v>38</v>
      </c>
      <c r="M2276" s="32">
        <v>2.3029999999999999</v>
      </c>
      <c r="N2276" s="32">
        <v>4.43</v>
      </c>
      <c r="P2276" s="47">
        <v>1.681</v>
      </c>
      <c r="R2276" s="47">
        <v>0.193</v>
      </c>
      <c r="S2276" s="47">
        <v>3.87</v>
      </c>
      <c r="T2276" s="31">
        <v>0</v>
      </c>
      <c r="V2276">
        <v>2274</v>
      </c>
      <c r="W2276">
        <v>36</v>
      </c>
      <c r="X2276">
        <v>2.3149999999999999</v>
      </c>
      <c r="Y2276" s="32">
        <v>4.43</v>
      </c>
      <c r="Z2276">
        <v>0</v>
      </c>
      <c r="AA2276" s="32">
        <v>1.554</v>
      </c>
      <c r="AB2276">
        <v>0</v>
      </c>
      <c r="AC2276" s="34">
        <v>0.19400000000000001</v>
      </c>
      <c r="AD2276" s="32">
        <v>3.5979999999999999</v>
      </c>
    </row>
    <row r="2277" spans="1:30">
      <c r="A2277">
        <v>2275</v>
      </c>
      <c r="B2277">
        <v>38</v>
      </c>
      <c r="C2277">
        <v>2.3039999999999998</v>
      </c>
      <c r="D2277">
        <v>4.43</v>
      </c>
      <c r="E2277">
        <v>0</v>
      </c>
      <c r="F2277">
        <v>1.68</v>
      </c>
      <c r="G2277">
        <v>0</v>
      </c>
      <c r="H2277">
        <v>0.192</v>
      </c>
      <c r="I2277">
        <v>3.915</v>
      </c>
      <c r="K2277">
        <v>2275</v>
      </c>
      <c r="L2277">
        <v>38</v>
      </c>
      <c r="M2277" s="32">
        <v>2.3039999999999998</v>
      </c>
      <c r="N2277" s="32">
        <v>4.43</v>
      </c>
      <c r="P2277" s="47">
        <v>1.681</v>
      </c>
      <c r="R2277" s="47">
        <v>0.193</v>
      </c>
      <c r="S2277" s="47">
        <v>3.8719999999999999</v>
      </c>
      <c r="T2277" s="31">
        <v>0</v>
      </c>
      <c r="V2277">
        <v>2275</v>
      </c>
      <c r="W2277">
        <v>36</v>
      </c>
      <c r="X2277">
        <v>2.3159999999999998</v>
      </c>
      <c r="Y2277" s="32">
        <v>4.43</v>
      </c>
      <c r="Z2277">
        <v>0</v>
      </c>
      <c r="AA2277" s="32">
        <v>1.554</v>
      </c>
      <c r="AB2277">
        <v>0</v>
      </c>
      <c r="AC2277" s="34">
        <v>0.19400000000000001</v>
      </c>
      <c r="AD2277" s="32">
        <v>3.6</v>
      </c>
    </row>
    <row r="2278" spans="1:30">
      <c r="A2278">
        <v>2276</v>
      </c>
      <c r="B2278">
        <v>38</v>
      </c>
      <c r="C2278">
        <v>2.3050000000000002</v>
      </c>
      <c r="D2278">
        <v>4.43</v>
      </c>
      <c r="E2278">
        <v>0</v>
      </c>
      <c r="F2278">
        <v>1.68</v>
      </c>
      <c r="G2278">
        <v>0</v>
      </c>
      <c r="H2278">
        <v>0.192</v>
      </c>
      <c r="I2278">
        <v>3.9169999999999998</v>
      </c>
      <c r="K2278">
        <v>2276</v>
      </c>
      <c r="L2278">
        <v>38</v>
      </c>
      <c r="M2278" s="32">
        <v>2.3050000000000002</v>
      </c>
      <c r="N2278" s="32">
        <v>4.43</v>
      </c>
      <c r="P2278" s="47">
        <v>1.681</v>
      </c>
      <c r="R2278" s="47">
        <v>0.193</v>
      </c>
      <c r="S2278" s="47">
        <v>3.8740000000000001</v>
      </c>
      <c r="T2278" s="31">
        <v>0</v>
      </c>
      <c r="V2278">
        <v>2276</v>
      </c>
      <c r="W2278">
        <v>36</v>
      </c>
      <c r="X2278">
        <v>2.3170000000000002</v>
      </c>
      <c r="Y2278" s="32">
        <v>4.43</v>
      </c>
      <c r="Z2278">
        <v>0</v>
      </c>
      <c r="AA2278" s="32">
        <v>1.554</v>
      </c>
      <c r="AB2278">
        <v>0</v>
      </c>
      <c r="AC2278" s="34">
        <v>0.19400000000000001</v>
      </c>
      <c r="AD2278" s="32">
        <v>3.6019999999999999</v>
      </c>
    </row>
    <row r="2279" spans="1:30">
      <c r="A2279">
        <v>2277</v>
      </c>
      <c r="B2279">
        <v>38</v>
      </c>
      <c r="C2279">
        <v>2.306</v>
      </c>
      <c r="D2279">
        <v>4.43</v>
      </c>
      <c r="E2279">
        <v>0</v>
      </c>
      <c r="F2279">
        <v>1.68</v>
      </c>
      <c r="G2279">
        <v>0</v>
      </c>
      <c r="H2279">
        <v>0.192</v>
      </c>
      <c r="I2279">
        <v>3.92</v>
      </c>
      <c r="K2279">
        <v>2277</v>
      </c>
      <c r="L2279">
        <v>38</v>
      </c>
      <c r="M2279" s="32">
        <v>2.306</v>
      </c>
      <c r="N2279" s="32">
        <v>4.43</v>
      </c>
      <c r="P2279" s="47">
        <v>1.681</v>
      </c>
      <c r="R2279" s="47">
        <v>0.193</v>
      </c>
      <c r="S2279" s="47">
        <v>3.8759999999999999</v>
      </c>
      <c r="T2279" s="31">
        <v>0</v>
      </c>
      <c r="V2279">
        <v>2277</v>
      </c>
      <c r="W2279">
        <v>36</v>
      </c>
      <c r="X2279">
        <v>2.3180000000000001</v>
      </c>
      <c r="Y2279" s="32">
        <v>4.43</v>
      </c>
      <c r="Z2279">
        <v>0</v>
      </c>
      <c r="AA2279" s="32">
        <v>1.5549999999999999</v>
      </c>
      <c r="AB2279">
        <v>0</v>
      </c>
      <c r="AC2279" s="34">
        <v>0.19400000000000001</v>
      </c>
      <c r="AD2279" s="32">
        <v>3.6040000000000001</v>
      </c>
    </row>
    <row r="2280" spans="1:30">
      <c r="A2280">
        <v>2278</v>
      </c>
      <c r="B2280">
        <v>38</v>
      </c>
      <c r="C2280">
        <v>2.3069999999999999</v>
      </c>
      <c r="D2280">
        <v>4.43</v>
      </c>
      <c r="E2280">
        <v>0</v>
      </c>
      <c r="F2280">
        <v>1.68</v>
      </c>
      <c r="G2280">
        <v>0</v>
      </c>
      <c r="H2280">
        <v>0.192</v>
      </c>
      <c r="I2280">
        <v>3.9220000000000002</v>
      </c>
      <c r="K2280">
        <v>2278</v>
      </c>
      <c r="L2280">
        <v>38</v>
      </c>
      <c r="M2280" s="32">
        <v>2.3069999999999999</v>
      </c>
      <c r="N2280" s="32">
        <v>4.43</v>
      </c>
      <c r="P2280" s="47">
        <v>1.681</v>
      </c>
      <c r="R2280" s="47">
        <v>0.193</v>
      </c>
      <c r="S2280" s="47">
        <v>3.8780000000000001</v>
      </c>
      <c r="T2280" s="31">
        <v>0</v>
      </c>
      <c r="V2280">
        <v>2278</v>
      </c>
      <c r="W2280">
        <v>36</v>
      </c>
      <c r="X2280">
        <v>2.319</v>
      </c>
      <c r="Y2280" s="32">
        <v>4.43</v>
      </c>
      <c r="Z2280">
        <v>0</v>
      </c>
      <c r="AA2280" s="32">
        <v>1.5549999999999999</v>
      </c>
      <c r="AB2280">
        <v>0</v>
      </c>
      <c r="AC2280" s="34">
        <v>0.19400000000000001</v>
      </c>
      <c r="AD2280" s="32">
        <v>3.6059999999999999</v>
      </c>
    </row>
    <row r="2281" spans="1:30">
      <c r="A2281">
        <v>2279</v>
      </c>
      <c r="B2281">
        <v>38</v>
      </c>
      <c r="C2281">
        <v>2.3079999999999998</v>
      </c>
      <c r="D2281">
        <v>4.43</v>
      </c>
      <c r="E2281">
        <v>0</v>
      </c>
      <c r="F2281">
        <v>1.68</v>
      </c>
      <c r="G2281">
        <v>0</v>
      </c>
      <c r="H2281">
        <v>0.192</v>
      </c>
      <c r="I2281">
        <v>3.9239999999999999</v>
      </c>
      <c r="K2281">
        <v>2279</v>
      </c>
      <c r="L2281">
        <v>38</v>
      </c>
      <c r="M2281" s="32">
        <v>2.3079999999999998</v>
      </c>
      <c r="N2281" s="32">
        <v>4.43</v>
      </c>
      <c r="P2281" s="47">
        <v>1.6819999999999999</v>
      </c>
      <c r="R2281" s="47">
        <v>0.193</v>
      </c>
      <c r="S2281" s="47">
        <v>3.8809999999999998</v>
      </c>
      <c r="T2281" s="31">
        <v>0</v>
      </c>
      <c r="V2281">
        <v>2279</v>
      </c>
      <c r="W2281">
        <v>36</v>
      </c>
      <c r="X2281">
        <v>2.3199999999999998</v>
      </c>
      <c r="Y2281" s="32">
        <v>4.43</v>
      </c>
      <c r="Z2281">
        <v>0</v>
      </c>
      <c r="AA2281" s="32">
        <v>1.5549999999999999</v>
      </c>
      <c r="AB2281">
        <v>0</v>
      </c>
      <c r="AC2281" s="34">
        <v>0.19400000000000001</v>
      </c>
      <c r="AD2281" s="32">
        <v>3.6080000000000001</v>
      </c>
    </row>
    <row r="2282" spans="1:30">
      <c r="A2282">
        <v>2280</v>
      </c>
      <c r="B2282">
        <v>38</v>
      </c>
      <c r="C2282">
        <v>2.3090000000000002</v>
      </c>
      <c r="D2282">
        <v>4.43</v>
      </c>
      <c r="E2282">
        <v>0</v>
      </c>
      <c r="F2282">
        <v>1.68</v>
      </c>
      <c r="G2282">
        <v>0</v>
      </c>
      <c r="H2282">
        <v>0.192</v>
      </c>
      <c r="I2282">
        <v>3.9260000000000002</v>
      </c>
      <c r="K2282">
        <v>2280</v>
      </c>
      <c r="L2282">
        <v>38</v>
      </c>
      <c r="M2282" s="32">
        <v>2.3090000000000002</v>
      </c>
      <c r="N2282" s="32">
        <v>4.43</v>
      </c>
      <c r="P2282" s="47">
        <v>1.6819999999999999</v>
      </c>
      <c r="R2282" s="47">
        <v>0.193</v>
      </c>
      <c r="S2282" s="47">
        <v>3.883</v>
      </c>
      <c r="T2282" s="31">
        <v>0</v>
      </c>
      <c r="V2282">
        <v>2280</v>
      </c>
      <c r="W2282">
        <v>36</v>
      </c>
      <c r="X2282">
        <v>2.3210000000000002</v>
      </c>
      <c r="Y2282" s="32">
        <v>4.43</v>
      </c>
      <c r="Z2282">
        <v>0</v>
      </c>
      <c r="AA2282" s="32">
        <v>1.5549999999999999</v>
      </c>
      <c r="AB2282">
        <v>0</v>
      </c>
      <c r="AC2282" s="34">
        <v>0.19400000000000001</v>
      </c>
      <c r="AD2282" s="32">
        <v>3.61</v>
      </c>
    </row>
    <row r="2283" spans="1:30">
      <c r="A2283">
        <v>2281</v>
      </c>
      <c r="B2283">
        <v>38</v>
      </c>
      <c r="C2283">
        <v>2.31</v>
      </c>
      <c r="D2283">
        <v>4.43</v>
      </c>
      <c r="E2283">
        <v>0</v>
      </c>
      <c r="F2283">
        <v>1.6819999999999999</v>
      </c>
      <c r="G2283">
        <v>0</v>
      </c>
      <c r="H2283">
        <v>0.192</v>
      </c>
      <c r="I2283">
        <v>3.8849999999999998</v>
      </c>
      <c r="K2283">
        <v>2281</v>
      </c>
      <c r="L2283">
        <v>38</v>
      </c>
      <c r="M2283" s="32">
        <v>2.31</v>
      </c>
      <c r="N2283" s="32">
        <v>4.43</v>
      </c>
      <c r="P2283" s="32">
        <v>1.6819999999999999</v>
      </c>
      <c r="R2283" s="47">
        <v>0.193</v>
      </c>
      <c r="S2283" s="32">
        <v>3.8849999999999998</v>
      </c>
      <c r="T2283" s="31">
        <v>0</v>
      </c>
      <c r="V2283">
        <v>2281</v>
      </c>
      <c r="W2283">
        <v>36</v>
      </c>
      <c r="X2283">
        <v>2.3220000000000001</v>
      </c>
      <c r="Y2283" s="32">
        <v>4.43</v>
      </c>
      <c r="Z2283">
        <v>0</v>
      </c>
      <c r="AA2283" s="32">
        <v>1.5549999999999999</v>
      </c>
      <c r="AB2283">
        <v>0</v>
      </c>
      <c r="AC2283" s="34">
        <v>0.19400000000000001</v>
      </c>
      <c r="AD2283" s="32">
        <v>3.6120000000000001</v>
      </c>
    </row>
    <row r="2284" spans="1:30">
      <c r="A2284">
        <v>2282</v>
      </c>
      <c r="B2284">
        <v>38</v>
      </c>
      <c r="C2284">
        <v>2.3109999999999999</v>
      </c>
      <c r="D2284">
        <v>4.43</v>
      </c>
      <c r="E2284">
        <v>0</v>
      </c>
      <c r="F2284">
        <v>1.6819999999999999</v>
      </c>
      <c r="G2284">
        <v>0</v>
      </c>
      <c r="H2284">
        <v>0.192</v>
      </c>
      <c r="I2284">
        <v>3.9529999999999998</v>
      </c>
      <c r="K2284">
        <v>2282</v>
      </c>
      <c r="L2284">
        <v>38</v>
      </c>
      <c r="M2284" s="32">
        <v>2.3109999999999999</v>
      </c>
      <c r="N2284" s="32">
        <v>4.43</v>
      </c>
      <c r="P2284" s="32">
        <v>1.6819999999999999</v>
      </c>
      <c r="R2284" s="47">
        <v>0.193</v>
      </c>
      <c r="S2284" s="47">
        <v>3.887</v>
      </c>
      <c r="T2284" s="31">
        <v>0</v>
      </c>
      <c r="V2284">
        <v>2282</v>
      </c>
      <c r="W2284">
        <v>36</v>
      </c>
      <c r="X2284">
        <v>2.323</v>
      </c>
      <c r="Y2284" s="32">
        <v>4.43</v>
      </c>
      <c r="Z2284">
        <v>0</v>
      </c>
      <c r="AA2284" s="32">
        <v>1.556</v>
      </c>
      <c r="AB2284">
        <v>0</v>
      </c>
      <c r="AC2284" s="34">
        <v>0.19400000000000001</v>
      </c>
      <c r="AD2284" s="32">
        <v>3.6139999999999999</v>
      </c>
    </row>
    <row r="2285" spans="1:30">
      <c r="A2285">
        <v>2283</v>
      </c>
      <c r="B2285">
        <v>38</v>
      </c>
      <c r="C2285">
        <v>2.3119999999999998</v>
      </c>
      <c r="D2285">
        <v>4.43</v>
      </c>
      <c r="E2285">
        <v>0</v>
      </c>
      <c r="F2285">
        <v>1.6819999999999999</v>
      </c>
      <c r="G2285">
        <v>0</v>
      </c>
      <c r="H2285">
        <v>0.192</v>
      </c>
      <c r="I2285">
        <v>3.9550000000000001</v>
      </c>
      <c r="K2285">
        <v>2283</v>
      </c>
      <c r="L2285">
        <v>38</v>
      </c>
      <c r="M2285" s="32">
        <v>2.3119999999999998</v>
      </c>
      <c r="N2285" s="32">
        <v>4.43</v>
      </c>
      <c r="P2285" s="32">
        <v>1.6819999999999999</v>
      </c>
      <c r="R2285" s="47">
        <v>0.193</v>
      </c>
      <c r="S2285" s="47">
        <v>3.89</v>
      </c>
      <c r="T2285" s="31">
        <v>0</v>
      </c>
      <c r="V2285">
        <v>2283</v>
      </c>
      <c r="W2285">
        <v>36</v>
      </c>
      <c r="X2285">
        <v>2.3239999999999998</v>
      </c>
      <c r="Y2285" s="32">
        <v>4.43</v>
      </c>
      <c r="Z2285">
        <v>0</v>
      </c>
      <c r="AA2285" s="32">
        <v>1.556</v>
      </c>
      <c r="AB2285">
        <v>0</v>
      </c>
      <c r="AC2285" s="34">
        <v>0.19400000000000001</v>
      </c>
      <c r="AD2285" s="32">
        <v>3.6160000000000001</v>
      </c>
    </row>
    <row r="2286" spans="1:30">
      <c r="A2286">
        <v>2284</v>
      </c>
      <c r="B2286">
        <v>38</v>
      </c>
      <c r="C2286">
        <v>2.3130000000000002</v>
      </c>
      <c r="D2286">
        <v>4.43</v>
      </c>
      <c r="E2286">
        <v>0</v>
      </c>
      <c r="F2286">
        <v>1.6819999999999999</v>
      </c>
      <c r="G2286">
        <v>0</v>
      </c>
      <c r="H2286">
        <v>0.192</v>
      </c>
      <c r="I2286">
        <v>3.9569999999999999</v>
      </c>
      <c r="K2286">
        <v>2284</v>
      </c>
      <c r="L2286">
        <v>38</v>
      </c>
      <c r="M2286" s="32">
        <v>2.3130000000000002</v>
      </c>
      <c r="N2286" s="32">
        <v>4.43</v>
      </c>
      <c r="P2286" s="47">
        <v>1.6830000000000001</v>
      </c>
      <c r="R2286" s="47">
        <v>0.193</v>
      </c>
      <c r="S2286" s="47">
        <v>3.8919999999999999</v>
      </c>
      <c r="T2286" s="31">
        <v>0</v>
      </c>
      <c r="V2286">
        <v>2284</v>
      </c>
      <c r="W2286">
        <v>36</v>
      </c>
      <c r="X2286">
        <v>2.3250000000000002</v>
      </c>
      <c r="Y2286" s="32">
        <v>4.43</v>
      </c>
      <c r="Z2286">
        <v>0</v>
      </c>
      <c r="AA2286" s="32">
        <v>1.556</v>
      </c>
      <c r="AB2286">
        <v>0</v>
      </c>
      <c r="AC2286" s="34">
        <v>0.19400000000000001</v>
      </c>
      <c r="AD2286" s="32">
        <v>3.6179999999999999</v>
      </c>
    </row>
    <row r="2287" spans="1:30">
      <c r="A2287">
        <v>2285</v>
      </c>
      <c r="B2287">
        <v>38</v>
      </c>
      <c r="C2287">
        <v>2.3140000000000001</v>
      </c>
      <c r="D2287">
        <v>4.43</v>
      </c>
      <c r="E2287">
        <v>0</v>
      </c>
      <c r="F2287">
        <v>1.6819999999999999</v>
      </c>
      <c r="G2287">
        <v>0</v>
      </c>
      <c r="H2287">
        <v>0.192</v>
      </c>
      <c r="I2287">
        <v>3.9590000000000001</v>
      </c>
      <c r="K2287">
        <v>2285</v>
      </c>
      <c r="L2287">
        <v>38</v>
      </c>
      <c r="M2287" s="32">
        <v>2.3140000000000001</v>
      </c>
      <c r="N2287" s="32">
        <v>4.43</v>
      </c>
      <c r="P2287" s="47">
        <v>1.6830000000000001</v>
      </c>
      <c r="R2287" s="47">
        <v>0.19400000000000001</v>
      </c>
      <c r="S2287" s="47">
        <v>3.8940000000000001</v>
      </c>
      <c r="T2287" s="31">
        <v>0</v>
      </c>
      <c r="V2287">
        <v>2285</v>
      </c>
      <c r="W2287">
        <v>36</v>
      </c>
      <c r="X2287">
        <v>2.3260000000000001</v>
      </c>
      <c r="Y2287" s="32">
        <v>4.43</v>
      </c>
      <c r="Z2287">
        <v>0</v>
      </c>
      <c r="AA2287" s="32">
        <v>1.556</v>
      </c>
      <c r="AB2287">
        <v>0</v>
      </c>
      <c r="AC2287" s="34">
        <v>0.19500000000000001</v>
      </c>
      <c r="AD2287" s="32">
        <v>3.62</v>
      </c>
    </row>
    <row r="2288" spans="1:30">
      <c r="A2288">
        <v>2286</v>
      </c>
      <c r="B2288">
        <v>38</v>
      </c>
      <c r="C2288">
        <v>2.3149999999999999</v>
      </c>
      <c r="D2288">
        <v>4.43</v>
      </c>
      <c r="E2288">
        <v>0</v>
      </c>
      <c r="F2288">
        <v>1.6819999999999999</v>
      </c>
      <c r="G2288">
        <v>0</v>
      </c>
      <c r="H2288">
        <v>0.192</v>
      </c>
      <c r="I2288">
        <v>3.9609999999999999</v>
      </c>
      <c r="K2288">
        <v>2286</v>
      </c>
      <c r="L2288">
        <v>38</v>
      </c>
      <c r="M2288" s="32">
        <v>2.3149999999999999</v>
      </c>
      <c r="N2288" s="32">
        <v>4.43</v>
      </c>
      <c r="P2288" s="47">
        <v>1.6830000000000001</v>
      </c>
      <c r="R2288" s="47">
        <v>0.19400000000000001</v>
      </c>
      <c r="S2288" s="47">
        <v>3.8969999999999998</v>
      </c>
      <c r="T2288" s="31">
        <v>0</v>
      </c>
      <c r="V2288">
        <v>2286</v>
      </c>
      <c r="W2288">
        <v>36</v>
      </c>
      <c r="X2288">
        <v>2.327</v>
      </c>
      <c r="Y2288" s="32">
        <v>4.43</v>
      </c>
      <c r="Z2288">
        <v>0</v>
      </c>
      <c r="AA2288" s="32">
        <v>1.556</v>
      </c>
      <c r="AB2288">
        <v>0</v>
      </c>
      <c r="AC2288" s="34">
        <v>0.19500000000000001</v>
      </c>
      <c r="AD2288" s="32">
        <v>3.6219999999999999</v>
      </c>
    </row>
    <row r="2289" spans="1:30">
      <c r="A2289">
        <v>2287</v>
      </c>
      <c r="B2289">
        <v>38</v>
      </c>
      <c r="C2289">
        <v>2.3159999999999998</v>
      </c>
      <c r="D2289">
        <v>4.43</v>
      </c>
      <c r="E2289">
        <v>0</v>
      </c>
      <c r="F2289">
        <v>1.6819999999999999</v>
      </c>
      <c r="G2289">
        <v>0</v>
      </c>
      <c r="H2289">
        <v>0.192</v>
      </c>
      <c r="I2289">
        <v>3.9630000000000001</v>
      </c>
      <c r="K2289">
        <v>2287</v>
      </c>
      <c r="L2289">
        <v>38</v>
      </c>
      <c r="M2289" s="32">
        <v>2.3159999999999998</v>
      </c>
      <c r="N2289" s="32">
        <v>4.43</v>
      </c>
      <c r="P2289" s="47">
        <v>1.6830000000000001</v>
      </c>
      <c r="R2289" s="47">
        <v>0.19400000000000001</v>
      </c>
      <c r="S2289" s="47">
        <v>3.899</v>
      </c>
      <c r="T2289" s="31">
        <v>0</v>
      </c>
      <c r="V2289">
        <v>2287</v>
      </c>
      <c r="W2289">
        <v>36</v>
      </c>
      <c r="X2289">
        <v>2.3279999999999998</v>
      </c>
      <c r="Y2289" s="32">
        <v>4.43</v>
      </c>
      <c r="Z2289">
        <v>0</v>
      </c>
      <c r="AA2289" s="32">
        <v>1.5569999999999999</v>
      </c>
      <c r="AB2289">
        <v>0</v>
      </c>
      <c r="AC2289" s="34">
        <v>0.19500000000000001</v>
      </c>
      <c r="AD2289" s="32">
        <v>3.6240000000000001</v>
      </c>
    </row>
    <row r="2290" spans="1:30">
      <c r="A2290">
        <v>2288</v>
      </c>
      <c r="B2290">
        <v>38</v>
      </c>
      <c r="C2290">
        <v>2.3170000000000002</v>
      </c>
      <c r="D2290">
        <v>4.43</v>
      </c>
      <c r="E2290">
        <v>0</v>
      </c>
      <c r="F2290">
        <v>1.6819999999999999</v>
      </c>
      <c r="G2290">
        <v>0</v>
      </c>
      <c r="H2290">
        <v>0.192</v>
      </c>
      <c r="I2290">
        <v>3.9660000000000002</v>
      </c>
      <c r="K2290">
        <v>2288</v>
      </c>
      <c r="L2290">
        <v>38</v>
      </c>
      <c r="M2290" s="32">
        <v>2.3170000000000002</v>
      </c>
      <c r="N2290" s="32">
        <v>4.43</v>
      </c>
      <c r="P2290" s="47">
        <v>1.6830000000000001</v>
      </c>
      <c r="R2290" s="47">
        <v>0.19400000000000001</v>
      </c>
      <c r="S2290" s="47">
        <v>3.9009999999999998</v>
      </c>
      <c r="T2290" s="31">
        <v>0</v>
      </c>
      <c r="V2290">
        <v>2288</v>
      </c>
      <c r="W2290">
        <v>36</v>
      </c>
      <c r="X2290">
        <v>2.3290000000000002</v>
      </c>
      <c r="Y2290" s="32">
        <v>4.43</v>
      </c>
      <c r="Z2290">
        <v>0</v>
      </c>
      <c r="AA2290" s="32">
        <v>1.5569999999999999</v>
      </c>
      <c r="AB2290">
        <v>0</v>
      </c>
      <c r="AC2290" s="34">
        <v>0.19500000000000001</v>
      </c>
      <c r="AD2290" s="32">
        <v>3.6259999999999999</v>
      </c>
    </row>
    <row r="2291" spans="1:30">
      <c r="A2291">
        <v>2289</v>
      </c>
      <c r="B2291">
        <v>38</v>
      </c>
      <c r="C2291">
        <v>2.3180000000000001</v>
      </c>
      <c r="D2291">
        <v>4.43</v>
      </c>
      <c r="E2291">
        <v>0</v>
      </c>
      <c r="F2291">
        <v>1.6819999999999999</v>
      </c>
      <c r="G2291">
        <v>0</v>
      </c>
      <c r="H2291">
        <v>0.192</v>
      </c>
      <c r="I2291">
        <v>3.968</v>
      </c>
      <c r="K2291">
        <v>2289</v>
      </c>
      <c r="L2291">
        <v>38</v>
      </c>
      <c r="M2291" s="32">
        <v>2.3180000000000001</v>
      </c>
      <c r="N2291" s="32">
        <v>4.43</v>
      </c>
      <c r="P2291" s="47">
        <v>1.6839999999999999</v>
      </c>
      <c r="R2291" s="47">
        <v>0.19400000000000001</v>
      </c>
      <c r="S2291" s="47">
        <v>3.903</v>
      </c>
      <c r="T2291" s="31">
        <v>0</v>
      </c>
      <c r="V2291">
        <v>2289</v>
      </c>
      <c r="W2291">
        <v>36</v>
      </c>
      <c r="X2291">
        <v>2.33</v>
      </c>
      <c r="Y2291" s="32">
        <v>4.43</v>
      </c>
      <c r="Z2291">
        <v>0</v>
      </c>
      <c r="AA2291" s="32">
        <v>1.5569999999999999</v>
      </c>
      <c r="AB2291">
        <v>0</v>
      </c>
      <c r="AC2291" s="34">
        <v>0.19500000000000001</v>
      </c>
      <c r="AD2291" s="32">
        <v>3.6280000000000001</v>
      </c>
    </row>
    <row r="2292" spans="1:30">
      <c r="A2292">
        <v>2290</v>
      </c>
      <c r="B2292">
        <v>38</v>
      </c>
      <c r="C2292">
        <v>2.319</v>
      </c>
      <c r="D2292">
        <v>4.43</v>
      </c>
      <c r="E2292">
        <v>0</v>
      </c>
      <c r="F2292">
        <v>1.6819999999999999</v>
      </c>
      <c r="G2292">
        <v>0</v>
      </c>
      <c r="H2292">
        <v>0.192</v>
      </c>
      <c r="I2292">
        <v>3.97</v>
      </c>
      <c r="K2292">
        <v>2290</v>
      </c>
      <c r="L2292">
        <v>38</v>
      </c>
      <c r="M2292" s="32">
        <v>2.319</v>
      </c>
      <c r="N2292" s="32">
        <v>4.43</v>
      </c>
      <c r="P2292" s="47">
        <v>1.6839999999999999</v>
      </c>
      <c r="R2292" s="47">
        <v>0.19400000000000001</v>
      </c>
      <c r="S2292" s="47">
        <v>3.9060000000000001</v>
      </c>
      <c r="T2292" s="31">
        <v>0</v>
      </c>
      <c r="V2292">
        <v>2290</v>
      </c>
      <c r="W2292">
        <v>36</v>
      </c>
      <c r="X2292">
        <v>2.331</v>
      </c>
      <c r="Y2292" s="32">
        <v>4.43</v>
      </c>
      <c r="Z2292">
        <v>0</v>
      </c>
      <c r="AA2292" s="32">
        <v>1.5569999999999999</v>
      </c>
      <c r="AB2292">
        <v>0</v>
      </c>
      <c r="AC2292" s="34">
        <v>0.19500000000000001</v>
      </c>
      <c r="AD2292" s="32">
        <v>3.63</v>
      </c>
    </row>
    <row r="2293" spans="1:30">
      <c r="A2293">
        <v>2291</v>
      </c>
      <c r="B2293">
        <v>38</v>
      </c>
      <c r="C2293">
        <v>2.3199999999999998</v>
      </c>
      <c r="D2293">
        <v>4.43</v>
      </c>
      <c r="E2293">
        <v>0</v>
      </c>
      <c r="F2293">
        <v>1.6839999999999999</v>
      </c>
      <c r="G2293">
        <v>0</v>
      </c>
      <c r="H2293">
        <v>0.192</v>
      </c>
      <c r="I2293">
        <v>3.9079999999999999</v>
      </c>
      <c r="K2293">
        <v>2291</v>
      </c>
      <c r="L2293">
        <v>38</v>
      </c>
      <c r="M2293" s="32">
        <v>2.3199999999999998</v>
      </c>
      <c r="N2293" s="32">
        <v>4.43</v>
      </c>
      <c r="P2293" s="32">
        <v>1.6839999999999999</v>
      </c>
      <c r="R2293" s="47">
        <v>0.19400000000000001</v>
      </c>
      <c r="S2293" s="32">
        <v>3.9079999999999999</v>
      </c>
      <c r="T2293" s="31">
        <v>0</v>
      </c>
      <c r="V2293">
        <v>2291</v>
      </c>
      <c r="W2293">
        <v>36</v>
      </c>
      <c r="X2293">
        <v>2.3319999999999999</v>
      </c>
      <c r="Y2293" s="32">
        <v>4.43</v>
      </c>
      <c r="Z2293">
        <v>0</v>
      </c>
      <c r="AA2293" s="32">
        <v>1.5569999999999999</v>
      </c>
      <c r="AB2293">
        <v>0</v>
      </c>
      <c r="AC2293" s="34">
        <v>0.19500000000000001</v>
      </c>
      <c r="AD2293" s="32">
        <v>3.6320000000000001</v>
      </c>
    </row>
    <row r="2294" spans="1:30">
      <c r="A2294">
        <v>2292</v>
      </c>
      <c r="B2294">
        <v>38</v>
      </c>
      <c r="C2294">
        <v>2.3210000000000002</v>
      </c>
      <c r="D2294">
        <v>4.43</v>
      </c>
      <c r="E2294">
        <v>0</v>
      </c>
      <c r="F2294">
        <v>1.6839999999999999</v>
      </c>
      <c r="G2294">
        <v>0</v>
      </c>
      <c r="H2294">
        <v>0.192</v>
      </c>
      <c r="I2294">
        <v>3.9969999999999999</v>
      </c>
      <c r="K2294">
        <v>2292</v>
      </c>
      <c r="L2294">
        <v>38</v>
      </c>
      <c r="M2294" s="32">
        <v>2.3210000000000002</v>
      </c>
      <c r="N2294" s="32">
        <v>4.43</v>
      </c>
      <c r="P2294" s="32">
        <v>1.6839999999999999</v>
      </c>
      <c r="R2294" s="47">
        <v>0.19400000000000001</v>
      </c>
      <c r="S2294" s="47">
        <v>3.91</v>
      </c>
      <c r="T2294" s="31">
        <v>0</v>
      </c>
      <c r="V2294">
        <v>2292</v>
      </c>
      <c r="W2294">
        <v>36</v>
      </c>
      <c r="X2294">
        <v>2.3330000000000002</v>
      </c>
      <c r="Y2294" s="32">
        <v>4.43</v>
      </c>
      <c r="Z2294">
        <v>0</v>
      </c>
      <c r="AA2294" s="32">
        <v>1.5580000000000001</v>
      </c>
      <c r="AB2294">
        <v>0</v>
      </c>
      <c r="AC2294" s="34">
        <v>0.19500000000000001</v>
      </c>
      <c r="AD2294" s="32">
        <v>3.6339999999999999</v>
      </c>
    </row>
    <row r="2295" spans="1:30">
      <c r="A2295">
        <v>2293</v>
      </c>
      <c r="B2295">
        <v>38</v>
      </c>
      <c r="C2295">
        <v>2.3220000000000001</v>
      </c>
      <c r="D2295">
        <v>4.43</v>
      </c>
      <c r="E2295">
        <v>0</v>
      </c>
      <c r="F2295">
        <v>1.6839999999999999</v>
      </c>
      <c r="G2295">
        <v>0</v>
      </c>
      <c r="H2295">
        <v>0.192</v>
      </c>
      <c r="I2295">
        <v>3.9990000000000001</v>
      </c>
      <c r="K2295">
        <v>2293</v>
      </c>
      <c r="L2295">
        <v>38</v>
      </c>
      <c r="M2295" s="32">
        <v>2.3220000000000001</v>
      </c>
      <c r="N2295" s="32">
        <v>4.43</v>
      </c>
      <c r="P2295" s="47">
        <v>1.6850000000000001</v>
      </c>
      <c r="R2295" s="47">
        <v>0.19400000000000001</v>
      </c>
      <c r="S2295" s="47">
        <v>3.9119999999999999</v>
      </c>
      <c r="T2295" s="31">
        <v>0</v>
      </c>
      <c r="V2295">
        <v>2293</v>
      </c>
      <c r="W2295">
        <v>36</v>
      </c>
      <c r="X2295">
        <v>2.3340000000000001</v>
      </c>
      <c r="Y2295" s="32">
        <v>4.43</v>
      </c>
      <c r="Z2295">
        <v>0</v>
      </c>
      <c r="AA2295" s="32">
        <v>1.5580000000000001</v>
      </c>
      <c r="AB2295">
        <v>0</v>
      </c>
      <c r="AC2295" s="34">
        <v>0.19500000000000001</v>
      </c>
      <c r="AD2295" s="32">
        <v>3.6360000000000001</v>
      </c>
    </row>
    <row r="2296" spans="1:30">
      <c r="A2296">
        <v>2294</v>
      </c>
      <c r="B2296">
        <v>38</v>
      </c>
      <c r="C2296">
        <v>2.323</v>
      </c>
      <c r="D2296">
        <v>4.43</v>
      </c>
      <c r="E2296">
        <v>0</v>
      </c>
      <c r="F2296">
        <v>1.6839999999999999</v>
      </c>
      <c r="G2296">
        <v>0</v>
      </c>
      <c r="H2296">
        <v>0.192</v>
      </c>
      <c r="I2296">
        <v>4.0019999999999998</v>
      </c>
      <c r="K2296">
        <v>2294</v>
      </c>
      <c r="L2296">
        <v>38</v>
      </c>
      <c r="M2296" s="32">
        <v>2.323</v>
      </c>
      <c r="N2296" s="32">
        <v>4.43</v>
      </c>
      <c r="P2296" s="47">
        <v>1.6850000000000001</v>
      </c>
      <c r="R2296" s="47">
        <v>0.19400000000000001</v>
      </c>
      <c r="S2296" s="47">
        <v>3.915</v>
      </c>
      <c r="T2296" s="31">
        <v>0</v>
      </c>
      <c r="V2296">
        <v>2294</v>
      </c>
      <c r="W2296">
        <v>36</v>
      </c>
      <c r="X2296">
        <v>2.335</v>
      </c>
      <c r="Y2296" s="32">
        <v>4.43</v>
      </c>
      <c r="Z2296">
        <v>0</v>
      </c>
      <c r="AA2296" s="32">
        <v>1.5580000000000001</v>
      </c>
      <c r="AB2296">
        <v>0</v>
      </c>
      <c r="AC2296" s="34">
        <v>0.19500000000000001</v>
      </c>
      <c r="AD2296" s="32">
        <v>3.6379999999999999</v>
      </c>
    </row>
    <row r="2297" spans="1:30">
      <c r="A2297">
        <v>2295</v>
      </c>
      <c r="B2297">
        <v>38</v>
      </c>
      <c r="C2297">
        <v>2.3239999999999998</v>
      </c>
      <c r="D2297">
        <v>4.43</v>
      </c>
      <c r="E2297">
        <v>0</v>
      </c>
      <c r="F2297">
        <v>1.6839999999999999</v>
      </c>
      <c r="G2297">
        <v>0</v>
      </c>
      <c r="H2297">
        <v>0.192</v>
      </c>
      <c r="I2297">
        <v>4.0039999999999996</v>
      </c>
      <c r="K2297">
        <v>2295</v>
      </c>
      <c r="L2297">
        <v>38</v>
      </c>
      <c r="M2297" s="32">
        <v>2.3239999999999998</v>
      </c>
      <c r="N2297" s="32">
        <v>4.43</v>
      </c>
      <c r="P2297" s="47">
        <v>1.6850000000000001</v>
      </c>
      <c r="R2297" s="47">
        <v>0.19400000000000001</v>
      </c>
      <c r="S2297" s="47">
        <v>3.9169999999999998</v>
      </c>
      <c r="T2297" s="31">
        <v>0</v>
      </c>
      <c r="V2297">
        <v>2295</v>
      </c>
      <c r="W2297">
        <v>36</v>
      </c>
      <c r="X2297">
        <v>2.3359999999999999</v>
      </c>
      <c r="Y2297" s="32">
        <v>4.43</v>
      </c>
      <c r="Z2297">
        <v>0</v>
      </c>
      <c r="AA2297" s="32">
        <v>1.5580000000000001</v>
      </c>
      <c r="AB2297">
        <v>0</v>
      </c>
      <c r="AC2297" s="34">
        <v>0.19500000000000001</v>
      </c>
      <c r="AD2297" s="32">
        <v>3.64</v>
      </c>
    </row>
    <row r="2298" spans="1:30">
      <c r="A2298">
        <v>2296</v>
      </c>
      <c r="B2298">
        <v>38</v>
      </c>
      <c r="C2298">
        <v>2.3250000000000002</v>
      </c>
      <c r="D2298">
        <v>4.43</v>
      </c>
      <c r="E2298">
        <v>0</v>
      </c>
      <c r="F2298">
        <v>1.6839999999999999</v>
      </c>
      <c r="G2298">
        <v>0</v>
      </c>
      <c r="H2298">
        <v>0.192</v>
      </c>
      <c r="I2298">
        <v>4.0060000000000002</v>
      </c>
      <c r="K2298">
        <v>2296</v>
      </c>
      <c r="L2298">
        <v>38</v>
      </c>
      <c r="M2298" s="32">
        <v>2.3250000000000002</v>
      </c>
      <c r="N2298" s="32">
        <v>4.43</v>
      </c>
      <c r="P2298" s="47">
        <v>1.6859999999999999</v>
      </c>
      <c r="R2298" s="47">
        <v>0.19400000000000001</v>
      </c>
      <c r="S2298" s="47">
        <v>3.919</v>
      </c>
      <c r="T2298" s="31">
        <v>0</v>
      </c>
      <c r="V2298">
        <v>2296</v>
      </c>
      <c r="W2298">
        <v>36</v>
      </c>
      <c r="X2298">
        <v>2.3370000000000002</v>
      </c>
      <c r="Y2298" s="32">
        <v>4.43</v>
      </c>
      <c r="Z2298">
        <v>0</v>
      </c>
      <c r="AA2298" s="32">
        <v>1.5580000000000001</v>
      </c>
      <c r="AB2298">
        <v>0</v>
      </c>
      <c r="AC2298" s="34">
        <v>0.19500000000000001</v>
      </c>
      <c r="AD2298" s="32">
        <v>3.6419999999999999</v>
      </c>
    </row>
    <row r="2299" spans="1:30">
      <c r="A2299">
        <v>2297</v>
      </c>
      <c r="B2299">
        <v>38</v>
      </c>
      <c r="C2299">
        <v>2.3260000000000001</v>
      </c>
      <c r="D2299">
        <v>4.43</v>
      </c>
      <c r="E2299">
        <v>0</v>
      </c>
      <c r="F2299">
        <v>1.6839999999999999</v>
      </c>
      <c r="G2299">
        <v>0</v>
      </c>
      <c r="H2299">
        <v>0.192</v>
      </c>
      <c r="I2299">
        <v>4.008</v>
      </c>
      <c r="K2299">
        <v>2297</v>
      </c>
      <c r="L2299">
        <v>38</v>
      </c>
      <c r="M2299" s="32">
        <v>2.3260000000000001</v>
      </c>
      <c r="N2299" s="32">
        <v>4.43</v>
      </c>
      <c r="P2299" s="47">
        <v>1.6859999999999999</v>
      </c>
      <c r="R2299" s="47">
        <v>0.19400000000000001</v>
      </c>
      <c r="S2299" s="47">
        <v>3.9209999999999998</v>
      </c>
      <c r="T2299" s="31">
        <v>0</v>
      </c>
      <c r="V2299">
        <v>2297</v>
      </c>
      <c r="W2299">
        <v>36</v>
      </c>
      <c r="X2299">
        <v>2.3380000000000001</v>
      </c>
      <c r="Y2299" s="32">
        <v>4.43</v>
      </c>
      <c r="Z2299">
        <v>0</v>
      </c>
      <c r="AA2299" s="32">
        <v>1.5589999999999999</v>
      </c>
      <c r="AB2299">
        <v>0</v>
      </c>
      <c r="AC2299" s="34">
        <v>0.19500000000000001</v>
      </c>
      <c r="AD2299" s="32">
        <v>3.645</v>
      </c>
    </row>
    <row r="2300" spans="1:30">
      <c r="A2300">
        <v>2298</v>
      </c>
      <c r="B2300">
        <v>38</v>
      </c>
      <c r="C2300">
        <v>2.327</v>
      </c>
      <c r="D2300">
        <v>4.43</v>
      </c>
      <c r="E2300">
        <v>0</v>
      </c>
      <c r="F2300">
        <v>1.6839999999999999</v>
      </c>
      <c r="G2300">
        <v>0</v>
      </c>
      <c r="H2300">
        <v>0.192</v>
      </c>
      <c r="I2300">
        <v>4.01</v>
      </c>
      <c r="K2300">
        <v>2298</v>
      </c>
      <c r="L2300">
        <v>38</v>
      </c>
      <c r="M2300" s="32">
        <v>2.327</v>
      </c>
      <c r="N2300" s="32">
        <v>4.43</v>
      </c>
      <c r="P2300" s="47">
        <v>1.6859999999999999</v>
      </c>
      <c r="R2300" s="47">
        <v>0.19400000000000001</v>
      </c>
      <c r="S2300" s="47">
        <v>3.923</v>
      </c>
      <c r="T2300" s="31">
        <v>0</v>
      </c>
      <c r="V2300">
        <v>2298</v>
      </c>
      <c r="W2300">
        <v>36</v>
      </c>
      <c r="X2300">
        <v>2.339</v>
      </c>
      <c r="Y2300" s="32">
        <v>4.43</v>
      </c>
      <c r="Z2300">
        <v>0</v>
      </c>
      <c r="AA2300" s="32">
        <v>1.5589999999999999</v>
      </c>
      <c r="AB2300">
        <v>0</v>
      </c>
      <c r="AC2300" s="34">
        <v>0.19500000000000001</v>
      </c>
      <c r="AD2300" s="32">
        <v>3.6469999999999998</v>
      </c>
    </row>
    <row r="2301" spans="1:30">
      <c r="A2301">
        <v>2299</v>
      </c>
      <c r="B2301">
        <v>38</v>
      </c>
      <c r="C2301">
        <v>2.3279999999999998</v>
      </c>
      <c r="D2301">
        <v>4.43</v>
      </c>
      <c r="E2301">
        <v>0</v>
      </c>
      <c r="F2301">
        <v>1.6839999999999999</v>
      </c>
      <c r="G2301">
        <v>0</v>
      </c>
      <c r="H2301">
        <v>0.192</v>
      </c>
      <c r="I2301">
        <v>4.0129999999999999</v>
      </c>
      <c r="K2301">
        <v>2299</v>
      </c>
      <c r="L2301">
        <v>38</v>
      </c>
      <c r="M2301" s="32">
        <v>2.3279999999999998</v>
      </c>
      <c r="N2301" s="32">
        <v>4.43</v>
      </c>
      <c r="P2301" s="47">
        <v>1.6859999999999999</v>
      </c>
      <c r="R2301" s="47">
        <v>0.19400000000000001</v>
      </c>
      <c r="S2301" s="47">
        <v>3.9260000000000002</v>
      </c>
      <c r="T2301" s="31">
        <v>0</v>
      </c>
      <c r="V2301">
        <v>2299</v>
      </c>
      <c r="W2301">
        <v>36</v>
      </c>
      <c r="X2301">
        <v>2.34</v>
      </c>
      <c r="Y2301" s="32">
        <v>4.43</v>
      </c>
      <c r="Z2301">
        <v>0</v>
      </c>
      <c r="AA2301" s="32">
        <v>1.5589999999999999</v>
      </c>
      <c r="AB2301">
        <v>0</v>
      </c>
      <c r="AC2301" s="34">
        <v>0.19500000000000001</v>
      </c>
      <c r="AD2301" s="32">
        <v>3.649</v>
      </c>
    </row>
    <row r="2302" spans="1:30">
      <c r="A2302">
        <v>2300</v>
      </c>
      <c r="B2302">
        <v>38</v>
      </c>
      <c r="C2302">
        <v>2.3290000000000002</v>
      </c>
      <c r="D2302">
        <v>4.43</v>
      </c>
      <c r="E2302">
        <v>0</v>
      </c>
      <c r="F2302">
        <v>1.6839999999999999</v>
      </c>
      <c r="G2302">
        <v>0</v>
      </c>
      <c r="H2302">
        <v>0.192</v>
      </c>
      <c r="I2302">
        <v>4.0149999999999997</v>
      </c>
      <c r="K2302">
        <v>2300</v>
      </c>
      <c r="L2302">
        <v>38</v>
      </c>
      <c r="M2302" s="32">
        <v>2.3290000000000002</v>
      </c>
      <c r="N2302" s="32">
        <v>4.43</v>
      </c>
      <c r="P2302" s="47">
        <v>1.6870000000000001</v>
      </c>
      <c r="R2302" s="47">
        <v>0.19400000000000001</v>
      </c>
      <c r="S2302" s="47">
        <v>3.9279999999999999</v>
      </c>
      <c r="T2302" s="31">
        <v>0</v>
      </c>
      <c r="V2302">
        <v>2300</v>
      </c>
      <c r="W2302">
        <v>36</v>
      </c>
      <c r="X2302">
        <v>2.3410000000000002</v>
      </c>
      <c r="Y2302" s="32">
        <v>4.43</v>
      </c>
      <c r="Z2302">
        <v>0</v>
      </c>
      <c r="AA2302" s="32">
        <v>1.5589999999999999</v>
      </c>
      <c r="AB2302">
        <v>0</v>
      </c>
      <c r="AC2302" s="34">
        <v>0.19500000000000001</v>
      </c>
      <c r="AD2302" s="32">
        <v>3.6509999999999998</v>
      </c>
    </row>
    <row r="2303" spans="1:30">
      <c r="A2303">
        <v>2301</v>
      </c>
      <c r="B2303">
        <v>38</v>
      </c>
      <c r="C2303">
        <v>2.33</v>
      </c>
      <c r="D2303">
        <v>4.43</v>
      </c>
      <c r="E2303">
        <v>0</v>
      </c>
      <c r="F2303">
        <v>1.6870000000000001</v>
      </c>
      <c r="G2303">
        <v>0</v>
      </c>
      <c r="H2303">
        <v>0.192</v>
      </c>
      <c r="I2303">
        <v>3.93</v>
      </c>
      <c r="K2303">
        <v>2301</v>
      </c>
      <c r="L2303">
        <v>38</v>
      </c>
      <c r="M2303" s="32">
        <v>2.33</v>
      </c>
      <c r="N2303" s="32">
        <v>4.43</v>
      </c>
      <c r="P2303" s="32">
        <v>1.6870000000000001</v>
      </c>
      <c r="R2303" s="47">
        <v>0.19400000000000001</v>
      </c>
      <c r="S2303" s="32">
        <v>3.93</v>
      </c>
      <c r="T2303" s="31">
        <v>0</v>
      </c>
      <c r="V2303">
        <v>2301</v>
      </c>
      <c r="W2303">
        <v>36</v>
      </c>
      <c r="X2303">
        <v>2.3420000000000001</v>
      </c>
      <c r="Y2303" s="32">
        <v>4.43</v>
      </c>
      <c r="Z2303">
        <v>0</v>
      </c>
      <c r="AA2303" s="32">
        <v>1.5589999999999999</v>
      </c>
      <c r="AB2303">
        <v>0</v>
      </c>
      <c r="AC2303" s="34">
        <v>0.19500000000000001</v>
      </c>
      <c r="AD2303" s="32">
        <v>3.653</v>
      </c>
    </row>
    <row r="2304" spans="1:30">
      <c r="A2304">
        <v>2302</v>
      </c>
      <c r="B2304">
        <v>38</v>
      </c>
      <c r="C2304">
        <v>2.331</v>
      </c>
      <c r="D2304">
        <v>4.43</v>
      </c>
      <c r="E2304">
        <v>0</v>
      </c>
      <c r="F2304">
        <v>1.6870000000000001</v>
      </c>
      <c r="G2304">
        <v>0</v>
      </c>
      <c r="H2304">
        <v>0.192</v>
      </c>
      <c r="I2304">
        <v>4.0410000000000004</v>
      </c>
      <c r="K2304">
        <v>2302</v>
      </c>
      <c r="L2304">
        <v>38</v>
      </c>
      <c r="M2304" s="32">
        <v>2.331</v>
      </c>
      <c r="N2304" s="32">
        <v>4.43</v>
      </c>
      <c r="P2304" s="32">
        <v>1.6870000000000001</v>
      </c>
      <c r="R2304" s="47">
        <v>0.19400000000000001</v>
      </c>
      <c r="S2304" s="47">
        <v>3.9319999999999999</v>
      </c>
      <c r="T2304" s="31">
        <v>0</v>
      </c>
      <c r="V2304">
        <v>2302</v>
      </c>
      <c r="W2304">
        <v>36</v>
      </c>
      <c r="X2304">
        <v>2.343</v>
      </c>
      <c r="Y2304" s="32">
        <v>4.43</v>
      </c>
      <c r="Z2304">
        <v>0</v>
      </c>
      <c r="AA2304" s="32">
        <v>1.56</v>
      </c>
      <c r="AB2304">
        <v>0</v>
      </c>
      <c r="AC2304" s="34">
        <v>0.19500000000000001</v>
      </c>
      <c r="AD2304" s="32">
        <v>3.6549999999999998</v>
      </c>
    </row>
    <row r="2305" spans="1:30">
      <c r="A2305">
        <v>2303</v>
      </c>
      <c r="B2305">
        <v>38</v>
      </c>
      <c r="C2305">
        <v>2.3319999999999999</v>
      </c>
      <c r="D2305">
        <v>4.43</v>
      </c>
      <c r="E2305">
        <v>0</v>
      </c>
      <c r="F2305">
        <v>1.6870000000000001</v>
      </c>
      <c r="G2305">
        <v>0</v>
      </c>
      <c r="H2305">
        <v>0.192</v>
      </c>
      <c r="I2305">
        <v>4.0430000000000001</v>
      </c>
      <c r="K2305">
        <v>2303</v>
      </c>
      <c r="L2305">
        <v>38</v>
      </c>
      <c r="M2305" s="32">
        <v>2.3319999999999999</v>
      </c>
      <c r="N2305" s="32">
        <v>4.43</v>
      </c>
      <c r="P2305" s="32">
        <v>1.6870000000000001</v>
      </c>
      <c r="R2305" s="47">
        <v>0.19400000000000001</v>
      </c>
      <c r="S2305" s="47">
        <v>3.9340000000000002</v>
      </c>
      <c r="T2305" s="31">
        <v>0</v>
      </c>
      <c r="V2305">
        <v>2303</v>
      </c>
      <c r="W2305">
        <v>36</v>
      </c>
      <c r="X2305">
        <v>2.3439999999999999</v>
      </c>
      <c r="Y2305" s="32">
        <v>4.43</v>
      </c>
      <c r="Z2305">
        <v>0</v>
      </c>
      <c r="AA2305" s="32">
        <v>1.56</v>
      </c>
      <c r="AB2305">
        <v>0</v>
      </c>
      <c r="AC2305" s="34">
        <v>0.19500000000000001</v>
      </c>
      <c r="AD2305" s="32">
        <v>3.657</v>
      </c>
    </row>
    <row r="2306" spans="1:30">
      <c r="A2306">
        <v>2304</v>
      </c>
      <c r="B2306">
        <v>38</v>
      </c>
      <c r="C2306">
        <v>2.3330000000000002</v>
      </c>
      <c r="D2306">
        <v>4.43</v>
      </c>
      <c r="E2306">
        <v>0</v>
      </c>
      <c r="F2306">
        <v>1.6870000000000001</v>
      </c>
      <c r="G2306">
        <v>0</v>
      </c>
      <c r="H2306">
        <v>0.192</v>
      </c>
      <c r="I2306">
        <v>4.0449999999999999</v>
      </c>
      <c r="K2306">
        <v>2304</v>
      </c>
      <c r="L2306">
        <v>38</v>
      </c>
      <c r="M2306" s="32">
        <v>2.3330000000000002</v>
      </c>
      <c r="N2306" s="32">
        <v>4.43</v>
      </c>
      <c r="P2306" s="47">
        <v>1.6879999999999999</v>
      </c>
      <c r="R2306" s="47">
        <v>0.19400000000000001</v>
      </c>
      <c r="S2306" s="47">
        <v>3.9369999999999998</v>
      </c>
      <c r="T2306" s="31">
        <v>0</v>
      </c>
      <c r="V2306">
        <v>2304</v>
      </c>
      <c r="W2306">
        <v>36</v>
      </c>
      <c r="X2306">
        <v>2.3450000000000002</v>
      </c>
      <c r="Y2306" s="32">
        <v>4.43</v>
      </c>
      <c r="Z2306">
        <v>0</v>
      </c>
      <c r="AA2306" s="32">
        <v>1.56</v>
      </c>
      <c r="AB2306">
        <v>0</v>
      </c>
      <c r="AC2306" s="34">
        <v>0.19500000000000001</v>
      </c>
      <c r="AD2306" s="32">
        <v>3.6589999999999998</v>
      </c>
    </row>
    <row r="2307" spans="1:30">
      <c r="A2307">
        <v>2305</v>
      </c>
      <c r="B2307">
        <v>38</v>
      </c>
      <c r="C2307">
        <v>2.3340000000000001</v>
      </c>
      <c r="D2307">
        <v>4.43</v>
      </c>
      <c r="E2307">
        <v>0</v>
      </c>
      <c r="F2307">
        <v>1.6870000000000001</v>
      </c>
      <c r="G2307">
        <v>0</v>
      </c>
      <c r="H2307">
        <v>0.192</v>
      </c>
      <c r="I2307">
        <v>4.048</v>
      </c>
      <c r="K2307">
        <v>2305</v>
      </c>
      <c r="L2307">
        <v>38</v>
      </c>
      <c r="M2307" s="32">
        <v>2.3340000000000001</v>
      </c>
      <c r="N2307" s="32">
        <v>4.43</v>
      </c>
      <c r="P2307" s="47">
        <v>1.6879999999999999</v>
      </c>
      <c r="R2307" s="47">
        <v>0.19400000000000001</v>
      </c>
      <c r="S2307" s="47">
        <v>3.9390000000000001</v>
      </c>
      <c r="T2307" s="31">
        <v>0</v>
      </c>
      <c r="V2307">
        <v>2305</v>
      </c>
      <c r="W2307">
        <v>36</v>
      </c>
      <c r="X2307">
        <v>2.3460000000000001</v>
      </c>
      <c r="Y2307" s="32">
        <v>4.43</v>
      </c>
      <c r="Z2307">
        <v>0</v>
      </c>
      <c r="AA2307" s="32">
        <v>1.56</v>
      </c>
      <c r="AB2307">
        <v>0</v>
      </c>
      <c r="AC2307" s="34">
        <v>0.19500000000000001</v>
      </c>
      <c r="AD2307" s="32">
        <v>3.661</v>
      </c>
    </row>
    <row r="2308" spans="1:30">
      <c r="A2308">
        <v>2306</v>
      </c>
      <c r="B2308">
        <v>38</v>
      </c>
      <c r="C2308">
        <v>2.335</v>
      </c>
      <c r="D2308">
        <v>4.43</v>
      </c>
      <c r="E2308">
        <v>0</v>
      </c>
      <c r="F2308">
        <v>1.6870000000000001</v>
      </c>
      <c r="G2308">
        <v>0</v>
      </c>
      <c r="H2308">
        <v>0.192</v>
      </c>
      <c r="I2308">
        <v>4.05</v>
      </c>
      <c r="K2308">
        <v>2306</v>
      </c>
      <c r="L2308">
        <v>38</v>
      </c>
      <c r="M2308" s="32">
        <v>2.335</v>
      </c>
      <c r="N2308" s="32">
        <v>4.43</v>
      </c>
      <c r="P2308" s="47">
        <v>1.6879999999999999</v>
      </c>
      <c r="R2308" s="47">
        <v>0.19400000000000001</v>
      </c>
      <c r="S2308" s="47">
        <v>3.9409999999999998</v>
      </c>
      <c r="T2308" s="31">
        <v>0</v>
      </c>
      <c r="V2308">
        <v>2306</v>
      </c>
      <c r="W2308">
        <v>36</v>
      </c>
      <c r="X2308">
        <v>2.347</v>
      </c>
      <c r="Y2308" s="32">
        <v>4.43</v>
      </c>
      <c r="Z2308">
        <v>0</v>
      </c>
      <c r="AA2308" s="32">
        <v>1.56</v>
      </c>
      <c r="AB2308">
        <v>0</v>
      </c>
      <c r="AC2308" s="34">
        <v>0.19500000000000001</v>
      </c>
      <c r="AD2308" s="32">
        <v>3.6629999999999998</v>
      </c>
    </row>
    <row r="2309" spans="1:30">
      <c r="A2309">
        <v>2307</v>
      </c>
      <c r="B2309">
        <v>38</v>
      </c>
      <c r="C2309">
        <v>2.3359999999999999</v>
      </c>
      <c r="D2309">
        <v>4.43</v>
      </c>
      <c r="E2309">
        <v>0</v>
      </c>
      <c r="F2309">
        <v>1.6870000000000001</v>
      </c>
      <c r="G2309">
        <v>0</v>
      </c>
      <c r="H2309">
        <v>0.192</v>
      </c>
      <c r="I2309">
        <v>4.0519999999999996</v>
      </c>
      <c r="K2309">
        <v>2307</v>
      </c>
      <c r="L2309">
        <v>38</v>
      </c>
      <c r="M2309" s="32">
        <v>2.3359999999999999</v>
      </c>
      <c r="N2309" s="32">
        <v>4.43</v>
      </c>
      <c r="P2309" s="47">
        <v>1.6879999999999999</v>
      </c>
      <c r="R2309" s="47">
        <v>0.19400000000000001</v>
      </c>
      <c r="S2309" s="47">
        <v>3.9430000000000001</v>
      </c>
      <c r="T2309" s="31">
        <v>0</v>
      </c>
      <c r="V2309">
        <v>2307</v>
      </c>
      <c r="W2309">
        <v>36</v>
      </c>
      <c r="X2309">
        <v>2.3479999999999999</v>
      </c>
      <c r="Y2309" s="32">
        <v>4.43</v>
      </c>
      <c r="Z2309">
        <v>0</v>
      </c>
      <c r="AA2309" s="32">
        <v>1.5609999999999999</v>
      </c>
      <c r="AB2309">
        <v>0</v>
      </c>
      <c r="AC2309" s="34">
        <v>0.19500000000000001</v>
      </c>
      <c r="AD2309" s="32">
        <v>3.665</v>
      </c>
    </row>
    <row r="2310" spans="1:30">
      <c r="A2310">
        <v>2308</v>
      </c>
      <c r="B2310">
        <v>38</v>
      </c>
      <c r="C2310">
        <v>2.3370000000000002</v>
      </c>
      <c r="D2310">
        <v>4.43</v>
      </c>
      <c r="E2310">
        <v>0</v>
      </c>
      <c r="F2310">
        <v>1.6870000000000001</v>
      </c>
      <c r="G2310">
        <v>0</v>
      </c>
      <c r="H2310">
        <v>0.192</v>
      </c>
      <c r="I2310">
        <v>4.0540000000000003</v>
      </c>
      <c r="K2310">
        <v>2308</v>
      </c>
      <c r="L2310">
        <v>38</v>
      </c>
      <c r="M2310" s="32">
        <v>2.3370000000000002</v>
      </c>
      <c r="N2310" s="32">
        <v>4.43</v>
      </c>
      <c r="P2310" s="47">
        <v>1.6879999999999999</v>
      </c>
      <c r="R2310" s="47">
        <v>0.19500000000000001</v>
      </c>
      <c r="S2310" s="47">
        <v>3.9449999999999998</v>
      </c>
      <c r="T2310" s="31">
        <v>0</v>
      </c>
      <c r="V2310">
        <v>2308</v>
      </c>
      <c r="W2310">
        <v>36</v>
      </c>
      <c r="X2310">
        <v>2.3490000000000002</v>
      </c>
      <c r="Y2310" s="32">
        <v>4.43</v>
      </c>
      <c r="Z2310">
        <v>0</v>
      </c>
      <c r="AA2310" s="32">
        <v>1.5609999999999999</v>
      </c>
      <c r="AB2310">
        <v>0</v>
      </c>
      <c r="AC2310" s="34">
        <v>0.19500000000000001</v>
      </c>
      <c r="AD2310" s="32">
        <v>3.6669999999999998</v>
      </c>
    </row>
    <row r="2311" spans="1:30">
      <c r="A2311">
        <v>2309</v>
      </c>
      <c r="B2311">
        <v>38</v>
      </c>
      <c r="C2311">
        <v>2.3380000000000001</v>
      </c>
      <c r="D2311">
        <v>4.43</v>
      </c>
      <c r="E2311">
        <v>0</v>
      </c>
      <c r="F2311">
        <v>1.6870000000000001</v>
      </c>
      <c r="G2311">
        <v>0</v>
      </c>
      <c r="H2311">
        <v>0.192</v>
      </c>
      <c r="I2311">
        <v>4.056</v>
      </c>
      <c r="K2311">
        <v>2309</v>
      </c>
      <c r="L2311">
        <v>38</v>
      </c>
      <c r="M2311" s="32">
        <v>2.3380000000000001</v>
      </c>
      <c r="N2311" s="32">
        <v>4.43</v>
      </c>
      <c r="P2311" s="47">
        <v>1.6890000000000001</v>
      </c>
      <c r="R2311" s="47">
        <v>0.19500000000000001</v>
      </c>
      <c r="S2311" s="47">
        <v>3.948</v>
      </c>
      <c r="T2311" s="31">
        <v>0</v>
      </c>
      <c r="V2311">
        <v>2309</v>
      </c>
      <c r="W2311">
        <v>36</v>
      </c>
      <c r="X2311">
        <v>2.35</v>
      </c>
      <c r="Y2311" s="32">
        <v>4.43</v>
      </c>
      <c r="Z2311">
        <v>0</v>
      </c>
      <c r="AA2311" s="32">
        <v>1.5609999999999999</v>
      </c>
      <c r="AB2311">
        <v>0</v>
      </c>
      <c r="AC2311" s="34">
        <v>0.19600000000000001</v>
      </c>
      <c r="AD2311" s="32">
        <v>3.669</v>
      </c>
    </row>
    <row r="2312" spans="1:30">
      <c r="A2312">
        <v>2310</v>
      </c>
      <c r="B2312">
        <v>38</v>
      </c>
      <c r="C2312">
        <v>2.339</v>
      </c>
      <c r="D2312">
        <v>4.43</v>
      </c>
      <c r="E2312">
        <v>0</v>
      </c>
      <c r="F2312">
        <v>1.6870000000000001</v>
      </c>
      <c r="G2312">
        <v>0</v>
      </c>
      <c r="H2312">
        <v>0.192</v>
      </c>
      <c r="I2312">
        <v>4.0579999999999998</v>
      </c>
      <c r="K2312">
        <v>2310</v>
      </c>
      <c r="L2312">
        <v>38</v>
      </c>
      <c r="M2312" s="32">
        <v>2.339</v>
      </c>
      <c r="N2312" s="32">
        <v>4.43</v>
      </c>
      <c r="P2312" s="47">
        <v>1.6890000000000001</v>
      </c>
      <c r="R2312" s="47">
        <v>0.19500000000000001</v>
      </c>
      <c r="S2312" s="47">
        <v>3.95</v>
      </c>
      <c r="T2312" s="31">
        <v>0</v>
      </c>
      <c r="V2312">
        <v>2310</v>
      </c>
      <c r="W2312">
        <v>36</v>
      </c>
      <c r="X2312">
        <v>2.351</v>
      </c>
      <c r="Y2312" s="32">
        <v>4.43</v>
      </c>
      <c r="Z2312">
        <v>0</v>
      </c>
      <c r="AA2312" s="32">
        <v>1.5609999999999999</v>
      </c>
      <c r="AB2312">
        <v>0</v>
      </c>
      <c r="AC2312" s="34">
        <v>0.19600000000000001</v>
      </c>
      <c r="AD2312" s="32">
        <v>3.6709999999999998</v>
      </c>
    </row>
    <row r="2313" spans="1:30">
      <c r="A2313">
        <v>2311</v>
      </c>
      <c r="B2313">
        <v>38</v>
      </c>
      <c r="C2313">
        <v>2.34</v>
      </c>
      <c r="D2313">
        <v>4.43</v>
      </c>
      <c r="E2313">
        <v>0</v>
      </c>
      <c r="F2313">
        <v>1.6890000000000001</v>
      </c>
      <c r="G2313">
        <v>0</v>
      </c>
      <c r="H2313">
        <v>0.192</v>
      </c>
      <c r="I2313">
        <v>3.952</v>
      </c>
      <c r="K2313">
        <v>2311</v>
      </c>
      <c r="L2313">
        <v>38</v>
      </c>
      <c r="M2313" s="32">
        <v>2.34</v>
      </c>
      <c r="N2313" s="32">
        <v>4.43</v>
      </c>
      <c r="P2313" s="32">
        <v>1.6890000000000001</v>
      </c>
      <c r="R2313" s="47">
        <v>0.19500000000000001</v>
      </c>
      <c r="S2313" s="32">
        <v>3.952</v>
      </c>
      <c r="T2313" s="31">
        <v>0</v>
      </c>
      <c r="V2313">
        <v>2311</v>
      </c>
      <c r="W2313">
        <v>36</v>
      </c>
      <c r="X2313">
        <v>2.3519999999999999</v>
      </c>
      <c r="Y2313" s="32">
        <v>4.43</v>
      </c>
      <c r="Z2313">
        <v>0</v>
      </c>
      <c r="AA2313" s="32">
        <v>1.5609999999999999</v>
      </c>
      <c r="AB2313">
        <v>0</v>
      </c>
      <c r="AC2313" s="34">
        <v>0.19600000000000001</v>
      </c>
      <c r="AD2313" s="32">
        <v>3.673</v>
      </c>
    </row>
    <row r="2314" spans="1:30">
      <c r="A2314">
        <v>2312</v>
      </c>
      <c r="B2314">
        <v>38</v>
      </c>
      <c r="C2314">
        <v>2.3410000000000002</v>
      </c>
      <c r="D2314">
        <v>4.43</v>
      </c>
      <c r="E2314">
        <v>0</v>
      </c>
      <c r="F2314">
        <v>1.6890000000000001</v>
      </c>
      <c r="G2314">
        <v>0</v>
      </c>
      <c r="H2314">
        <v>0.192</v>
      </c>
      <c r="I2314">
        <v>4.085</v>
      </c>
      <c r="K2314">
        <v>2312</v>
      </c>
      <c r="L2314">
        <v>38</v>
      </c>
      <c r="M2314" s="32">
        <v>2.3410000000000002</v>
      </c>
      <c r="N2314" s="32">
        <v>4.43</v>
      </c>
      <c r="P2314" s="32">
        <v>1.6890000000000001</v>
      </c>
      <c r="R2314" s="47">
        <v>0.19500000000000001</v>
      </c>
      <c r="S2314" s="47">
        <v>3.9540000000000002</v>
      </c>
      <c r="T2314" s="31">
        <v>0</v>
      </c>
      <c r="V2314">
        <v>2312</v>
      </c>
      <c r="W2314">
        <v>36</v>
      </c>
      <c r="X2314">
        <v>2.3530000000000002</v>
      </c>
      <c r="Y2314" s="32">
        <v>4.43</v>
      </c>
      <c r="Z2314">
        <v>0</v>
      </c>
      <c r="AA2314" s="32">
        <v>1.5620000000000001</v>
      </c>
      <c r="AB2314">
        <v>0</v>
      </c>
      <c r="AC2314" s="34">
        <v>0.19600000000000001</v>
      </c>
      <c r="AD2314" s="32">
        <v>3.6749999999999998</v>
      </c>
    </row>
    <row r="2315" spans="1:30">
      <c r="A2315">
        <v>2313</v>
      </c>
      <c r="B2315">
        <v>38</v>
      </c>
      <c r="C2315">
        <v>2.3420000000000001</v>
      </c>
      <c r="D2315">
        <v>4.43</v>
      </c>
      <c r="E2315">
        <v>0</v>
      </c>
      <c r="F2315">
        <v>1.6890000000000001</v>
      </c>
      <c r="G2315">
        <v>0</v>
      </c>
      <c r="H2315">
        <v>0.192</v>
      </c>
      <c r="I2315">
        <v>4.0869999999999997</v>
      </c>
      <c r="K2315">
        <v>2313</v>
      </c>
      <c r="L2315">
        <v>38</v>
      </c>
      <c r="M2315" s="32">
        <v>2.3420000000000001</v>
      </c>
      <c r="N2315" s="32">
        <v>4.43</v>
      </c>
      <c r="P2315" s="32">
        <v>1.6890000000000001</v>
      </c>
      <c r="R2315" s="47">
        <v>0.19500000000000001</v>
      </c>
      <c r="S2315" s="47">
        <v>3.9569999999999999</v>
      </c>
      <c r="T2315" s="31">
        <v>0</v>
      </c>
      <c r="V2315">
        <v>2313</v>
      </c>
      <c r="W2315">
        <v>36</v>
      </c>
      <c r="X2315">
        <v>2.3540000000000001</v>
      </c>
      <c r="Y2315" s="32">
        <v>4.43</v>
      </c>
      <c r="Z2315">
        <v>0</v>
      </c>
      <c r="AA2315" s="32">
        <v>1.5620000000000001</v>
      </c>
      <c r="AB2315">
        <v>0</v>
      </c>
      <c r="AC2315" s="34">
        <v>0.19600000000000001</v>
      </c>
      <c r="AD2315" s="32">
        <v>3.677</v>
      </c>
    </row>
    <row r="2316" spans="1:30">
      <c r="A2316">
        <v>2314</v>
      </c>
      <c r="B2316">
        <v>38</v>
      </c>
      <c r="C2316">
        <v>2.343</v>
      </c>
      <c r="D2316">
        <v>4.43</v>
      </c>
      <c r="E2316">
        <v>0</v>
      </c>
      <c r="F2316">
        <v>1.6890000000000001</v>
      </c>
      <c r="G2316">
        <v>0</v>
      </c>
      <c r="H2316">
        <v>0.192</v>
      </c>
      <c r="I2316">
        <v>4.0890000000000004</v>
      </c>
      <c r="K2316">
        <v>2314</v>
      </c>
      <c r="L2316">
        <v>38</v>
      </c>
      <c r="M2316" s="32">
        <v>2.343</v>
      </c>
      <c r="N2316" s="32">
        <v>4.43</v>
      </c>
      <c r="P2316" s="47">
        <v>1.69</v>
      </c>
      <c r="R2316" s="47">
        <v>0.19500000000000001</v>
      </c>
      <c r="S2316" s="47">
        <v>3.9590000000000001</v>
      </c>
      <c r="T2316" s="31">
        <v>0</v>
      </c>
      <c r="V2316">
        <v>2314</v>
      </c>
      <c r="W2316">
        <v>36</v>
      </c>
      <c r="X2316">
        <v>2.355</v>
      </c>
      <c r="Y2316" s="32">
        <v>4.43</v>
      </c>
      <c r="Z2316">
        <v>0</v>
      </c>
      <c r="AA2316" s="32">
        <v>1.5620000000000001</v>
      </c>
      <c r="AB2316">
        <v>0</v>
      </c>
      <c r="AC2316" s="34">
        <v>0.19600000000000001</v>
      </c>
      <c r="AD2316" s="32">
        <v>3.6789999999999998</v>
      </c>
    </row>
    <row r="2317" spans="1:30">
      <c r="A2317">
        <v>2315</v>
      </c>
      <c r="B2317">
        <v>38</v>
      </c>
      <c r="C2317">
        <v>2.3439999999999999</v>
      </c>
      <c r="D2317">
        <v>4.43</v>
      </c>
      <c r="E2317">
        <v>0</v>
      </c>
      <c r="F2317">
        <v>1.6890000000000001</v>
      </c>
      <c r="G2317">
        <v>0</v>
      </c>
      <c r="H2317">
        <v>0.192</v>
      </c>
      <c r="I2317">
        <v>4.0910000000000002</v>
      </c>
      <c r="K2317">
        <v>2315</v>
      </c>
      <c r="L2317">
        <v>38</v>
      </c>
      <c r="M2317" s="32">
        <v>2.3439999999999999</v>
      </c>
      <c r="N2317" s="32">
        <v>4.43</v>
      </c>
      <c r="P2317" s="47">
        <v>1.69</v>
      </c>
      <c r="R2317" s="47">
        <v>0.19500000000000001</v>
      </c>
      <c r="S2317" s="47">
        <v>3.9609999999999999</v>
      </c>
      <c r="T2317" s="31">
        <v>0</v>
      </c>
      <c r="V2317">
        <v>2315</v>
      </c>
      <c r="W2317">
        <v>36</v>
      </c>
      <c r="X2317">
        <v>2.3559999999999999</v>
      </c>
      <c r="Y2317" s="32">
        <v>4.43</v>
      </c>
      <c r="Z2317">
        <v>0</v>
      </c>
      <c r="AA2317" s="32">
        <v>1.5620000000000001</v>
      </c>
      <c r="AB2317">
        <v>0</v>
      </c>
      <c r="AC2317" s="34">
        <v>0.19600000000000001</v>
      </c>
      <c r="AD2317" s="32">
        <v>3.681</v>
      </c>
    </row>
    <row r="2318" spans="1:30">
      <c r="A2318">
        <v>2316</v>
      </c>
      <c r="B2318">
        <v>38</v>
      </c>
      <c r="C2318">
        <v>2.3450000000000002</v>
      </c>
      <c r="D2318">
        <v>4.43</v>
      </c>
      <c r="E2318">
        <v>0</v>
      </c>
      <c r="F2318">
        <v>1.6890000000000001</v>
      </c>
      <c r="G2318">
        <v>0</v>
      </c>
      <c r="H2318">
        <v>0.192</v>
      </c>
      <c r="I2318">
        <v>4.0940000000000003</v>
      </c>
      <c r="K2318">
        <v>2316</v>
      </c>
      <c r="L2318">
        <v>38</v>
      </c>
      <c r="M2318" s="32">
        <v>2.3450000000000002</v>
      </c>
      <c r="N2318" s="32">
        <v>4.43</v>
      </c>
      <c r="P2318" s="47">
        <v>1.69</v>
      </c>
      <c r="R2318" s="47">
        <v>0.19500000000000001</v>
      </c>
      <c r="S2318" s="47">
        <v>3.964</v>
      </c>
      <c r="T2318" s="31">
        <v>0</v>
      </c>
      <c r="V2318">
        <v>2316</v>
      </c>
      <c r="W2318">
        <v>36</v>
      </c>
      <c r="X2318">
        <v>2.3570000000000002</v>
      </c>
      <c r="Y2318" s="32">
        <v>4.43</v>
      </c>
      <c r="Z2318">
        <v>0</v>
      </c>
      <c r="AA2318" s="32">
        <v>1.5620000000000001</v>
      </c>
      <c r="AB2318">
        <v>0</v>
      </c>
      <c r="AC2318" s="34">
        <v>0.19600000000000001</v>
      </c>
      <c r="AD2318" s="32">
        <v>3.6829999999999998</v>
      </c>
    </row>
    <row r="2319" spans="1:30">
      <c r="A2319">
        <v>2317</v>
      </c>
      <c r="B2319">
        <v>38</v>
      </c>
      <c r="C2319">
        <v>2.3460000000000001</v>
      </c>
      <c r="D2319">
        <v>4.43</v>
      </c>
      <c r="E2319">
        <v>0</v>
      </c>
      <c r="F2319">
        <v>1.6890000000000001</v>
      </c>
      <c r="G2319">
        <v>0</v>
      </c>
      <c r="H2319">
        <v>0.192</v>
      </c>
      <c r="I2319">
        <v>4.0960000000000001</v>
      </c>
      <c r="K2319">
        <v>2317</v>
      </c>
      <c r="L2319">
        <v>38</v>
      </c>
      <c r="M2319" s="32">
        <v>2.3460000000000001</v>
      </c>
      <c r="N2319" s="32">
        <v>4.43</v>
      </c>
      <c r="P2319" s="47">
        <v>1.69</v>
      </c>
      <c r="R2319" s="47">
        <v>0.19500000000000001</v>
      </c>
      <c r="S2319" s="47">
        <v>3.9660000000000002</v>
      </c>
      <c r="T2319" s="31">
        <v>0</v>
      </c>
      <c r="V2319">
        <v>2317</v>
      </c>
      <c r="W2319">
        <v>36</v>
      </c>
      <c r="X2319">
        <v>2.3580000000000001</v>
      </c>
      <c r="Y2319" s="32">
        <v>4.43</v>
      </c>
      <c r="Z2319">
        <v>0</v>
      </c>
      <c r="AA2319" s="32">
        <v>1.5629999999999999</v>
      </c>
      <c r="AB2319">
        <v>0</v>
      </c>
      <c r="AC2319" s="34">
        <v>0.19600000000000001</v>
      </c>
      <c r="AD2319" s="32">
        <v>3.6850000000000001</v>
      </c>
    </row>
    <row r="2320" spans="1:30">
      <c r="A2320">
        <v>2318</v>
      </c>
      <c r="B2320">
        <v>38</v>
      </c>
      <c r="C2320">
        <v>2.347</v>
      </c>
      <c r="D2320">
        <v>4.43</v>
      </c>
      <c r="E2320">
        <v>0</v>
      </c>
      <c r="F2320">
        <v>1.6890000000000001</v>
      </c>
      <c r="G2320">
        <v>0</v>
      </c>
      <c r="H2320">
        <v>0.192</v>
      </c>
      <c r="I2320">
        <v>4.0979999999999999</v>
      </c>
      <c r="K2320">
        <v>2318</v>
      </c>
      <c r="L2320">
        <v>38</v>
      </c>
      <c r="M2320" s="32">
        <v>2.347</v>
      </c>
      <c r="N2320" s="32">
        <v>4.43</v>
      </c>
      <c r="P2320" s="47">
        <v>1.69</v>
      </c>
      <c r="R2320" s="47">
        <v>0.19500000000000001</v>
      </c>
      <c r="S2320" s="47">
        <v>3.968</v>
      </c>
      <c r="T2320" s="31">
        <v>0</v>
      </c>
      <c r="V2320">
        <v>2318</v>
      </c>
      <c r="W2320">
        <v>36</v>
      </c>
      <c r="X2320">
        <v>2.359</v>
      </c>
      <c r="Y2320" s="32">
        <v>4.43</v>
      </c>
      <c r="Z2320">
        <v>0</v>
      </c>
      <c r="AA2320" s="32">
        <v>1.5629999999999999</v>
      </c>
      <c r="AB2320">
        <v>0</v>
      </c>
      <c r="AC2320" s="34">
        <v>0.19600000000000001</v>
      </c>
      <c r="AD2320" s="32">
        <v>3.6869999999999998</v>
      </c>
    </row>
    <row r="2321" spans="1:30">
      <c r="A2321">
        <v>2319</v>
      </c>
      <c r="B2321">
        <v>38</v>
      </c>
      <c r="C2321">
        <v>2.3479999999999999</v>
      </c>
      <c r="D2321">
        <v>4.43</v>
      </c>
      <c r="E2321">
        <v>0</v>
      </c>
      <c r="F2321">
        <v>1.6890000000000001</v>
      </c>
      <c r="G2321">
        <v>0</v>
      </c>
      <c r="H2321">
        <v>0.192</v>
      </c>
      <c r="I2321">
        <v>4.0999999999999996</v>
      </c>
      <c r="K2321">
        <v>2319</v>
      </c>
      <c r="L2321">
        <v>38</v>
      </c>
      <c r="M2321" s="32">
        <v>2.3479999999999999</v>
      </c>
      <c r="N2321" s="32">
        <v>4.43</v>
      </c>
      <c r="P2321" s="47">
        <v>1.6910000000000001</v>
      </c>
      <c r="R2321" s="47">
        <v>0.19500000000000001</v>
      </c>
      <c r="S2321" s="47">
        <v>3.97</v>
      </c>
      <c r="T2321" s="31">
        <v>0</v>
      </c>
      <c r="V2321">
        <v>2319</v>
      </c>
      <c r="W2321">
        <v>36</v>
      </c>
      <c r="X2321">
        <v>2.36</v>
      </c>
      <c r="Y2321" s="32">
        <v>4.43</v>
      </c>
      <c r="Z2321">
        <v>0</v>
      </c>
      <c r="AA2321" s="32">
        <v>1.5629999999999999</v>
      </c>
      <c r="AB2321">
        <v>0</v>
      </c>
      <c r="AC2321" s="34">
        <v>0.19600000000000001</v>
      </c>
      <c r="AD2321" s="32">
        <v>3.6890000000000001</v>
      </c>
    </row>
    <row r="2322" spans="1:30">
      <c r="A2322">
        <v>2320</v>
      </c>
      <c r="B2322">
        <v>38</v>
      </c>
      <c r="C2322">
        <v>2.3490000000000002</v>
      </c>
      <c r="D2322">
        <v>4.43</v>
      </c>
      <c r="E2322">
        <v>0</v>
      </c>
      <c r="F2322">
        <v>1.6890000000000001</v>
      </c>
      <c r="G2322">
        <v>0</v>
      </c>
      <c r="H2322">
        <v>0.192</v>
      </c>
      <c r="I2322">
        <v>4.1020000000000003</v>
      </c>
      <c r="K2322">
        <v>2320</v>
      </c>
      <c r="L2322">
        <v>38</v>
      </c>
      <c r="M2322" s="32">
        <v>2.3490000000000002</v>
      </c>
      <c r="N2322" s="32">
        <v>4.43</v>
      </c>
      <c r="P2322" s="47">
        <v>1.6910000000000001</v>
      </c>
      <c r="R2322" s="47">
        <v>0.19500000000000001</v>
      </c>
      <c r="S2322" s="47">
        <v>3.9729999999999999</v>
      </c>
      <c r="T2322" s="31">
        <v>0</v>
      </c>
      <c r="V2322">
        <v>2320</v>
      </c>
      <c r="W2322">
        <v>36</v>
      </c>
      <c r="X2322">
        <v>2.3610000000000002</v>
      </c>
      <c r="Y2322" s="32">
        <v>4.444</v>
      </c>
      <c r="Z2322">
        <v>0</v>
      </c>
      <c r="AA2322" s="32">
        <v>1.5629999999999999</v>
      </c>
      <c r="AB2322">
        <v>0</v>
      </c>
      <c r="AC2322" s="34">
        <v>0.19600000000000001</v>
      </c>
      <c r="AD2322" s="32">
        <v>3.6909999999999998</v>
      </c>
    </row>
    <row r="2323" spans="1:30">
      <c r="A2323">
        <v>2321</v>
      </c>
      <c r="B2323">
        <v>38</v>
      </c>
      <c r="C2323">
        <v>2.35</v>
      </c>
      <c r="D2323">
        <v>4.43</v>
      </c>
      <c r="E2323">
        <v>0</v>
      </c>
      <c r="F2323">
        <v>1.6890000000000001</v>
      </c>
      <c r="G2323">
        <v>0</v>
      </c>
      <c r="H2323">
        <v>0.192</v>
      </c>
      <c r="I2323">
        <v>4.1040000000000001</v>
      </c>
      <c r="K2323">
        <v>2321</v>
      </c>
      <c r="L2323">
        <v>38</v>
      </c>
      <c r="M2323" s="32">
        <v>2.35</v>
      </c>
      <c r="N2323" s="32">
        <v>4.43</v>
      </c>
      <c r="P2323" s="47">
        <v>1.6910000000000001</v>
      </c>
      <c r="R2323" s="47">
        <v>0.19500000000000001</v>
      </c>
      <c r="S2323" s="47">
        <v>3.9750000000000001</v>
      </c>
      <c r="T2323" s="31">
        <v>0</v>
      </c>
      <c r="V2323">
        <v>2321</v>
      </c>
      <c r="W2323">
        <v>36</v>
      </c>
      <c r="X2323">
        <v>2.3620000000000001</v>
      </c>
      <c r="Y2323" s="32">
        <v>4.4580000000000002</v>
      </c>
      <c r="Z2323">
        <v>0</v>
      </c>
      <c r="AA2323" s="32">
        <v>1.5629999999999999</v>
      </c>
      <c r="AB2323">
        <v>0</v>
      </c>
      <c r="AC2323" s="34">
        <v>0.19600000000000001</v>
      </c>
      <c r="AD2323" s="32">
        <v>3.6930000000000001</v>
      </c>
    </row>
    <row r="2324" spans="1:30">
      <c r="A2324">
        <v>2322</v>
      </c>
      <c r="B2324">
        <v>38</v>
      </c>
      <c r="C2324">
        <v>2.351</v>
      </c>
      <c r="D2324">
        <v>4.43</v>
      </c>
      <c r="E2324">
        <v>0</v>
      </c>
      <c r="F2324">
        <v>1.6910000000000001</v>
      </c>
      <c r="G2324">
        <v>0</v>
      </c>
      <c r="H2324">
        <v>0.192</v>
      </c>
      <c r="I2324">
        <v>4.13</v>
      </c>
      <c r="K2324">
        <v>2322</v>
      </c>
      <c r="L2324">
        <v>38</v>
      </c>
      <c r="M2324" s="32">
        <v>2.351</v>
      </c>
      <c r="N2324" s="32">
        <v>4.43</v>
      </c>
      <c r="P2324" s="32">
        <v>1.6910000000000001</v>
      </c>
      <c r="R2324" s="47">
        <v>0.19500000000000001</v>
      </c>
      <c r="S2324" s="47">
        <v>3.9769999999999999</v>
      </c>
      <c r="T2324" s="31">
        <v>0</v>
      </c>
      <c r="V2324">
        <v>2322</v>
      </c>
      <c r="W2324">
        <v>36</v>
      </c>
      <c r="X2324">
        <v>2.363</v>
      </c>
      <c r="Y2324" s="32">
        <v>4.4720000000000004</v>
      </c>
      <c r="Z2324">
        <v>0</v>
      </c>
      <c r="AA2324" s="32">
        <v>1.5629999999999999</v>
      </c>
      <c r="AB2324">
        <v>0</v>
      </c>
      <c r="AC2324" s="34">
        <v>0.19600000000000001</v>
      </c>
      <c r="AD2324" s="32">
        <v>3.6949999999999998</v>
      </c>
    </row>
    <row r="2325" spans="1:30">
      <c r="A2325">
        <v>2323</v>
      </c>
      <c r="B2325">
        <v>38</v>
      </c>
      <c r="C2325">
        <v>2.3519999999999999</v>
      </c>
      <c r="D2325">
        <v>4.43</v>
      </c>
      <c r="E2325">
        <v>0</v>
      </c>
      <c r="F2325">
        <v>1.6910000000000001</v>
      </c>
      <c r="G2325">
        <v>0</v>
      </c>
      <c r="H2325">
        <v>0.192</v>
      </c>
      <c r="I2325">
        <v>4.1319999999999997</v>
      </c>
      <c r="K2325">
        <v>2323</v>
      </c>
      <c r="L2325">
        <v>38</v>
      </c>
      <c r="M2325" s="32">
        <v>2.3519999999999999</v>
      </c>
      <c r="N2325" s="32">
        <v>4.43</v>
      </c>
      <c r="P2325" s="47">
        <v>1.6919999999999999</v>
      </c>
      <c r="R2325" s="47">
        <v>0.19500000000000001</v>
      </c>
      <c r="S2325" s="47">
        <v>3.9790000000000001</v>
      </c>
      <c r="T2325" s="31">
        <v>0</v>
      </c>
      <c r="V2325">
        <v>2323</v>
      </c>
      <c r="W2325">
        <v>36</v>
      </c>
      <c r="X2325">
        <v>2.3639999999999999</v>
      </c>
      <c r="Y2325" s="32">
        <v>4.4859999999999998</v>
      </c>
      <c r="Z2325">
        <v>0</v>
      </c>
      <c r="AA2325" s="32">
        <v>1.5640000000000001</v>
      </c>
      <c r="AB2325">
        <v>0</v>
      </c>
      <c r="AC2325" s="34">
        <v>0.19600000000000001</v>
      </c>
      <c r="AD2325" s="32">
        <v>3.6970000000000001</v>
      </c>
    </row>
    <row r="2326" spans="1:30">
      <c r="A2326">
        <v>2324</v>
      </c>
      <c r="B2326">
        <v>38</v>
      </c>
      <c r="C2326">
        <v>2.3530000000000002</v>
      </c>
      <c r="D2326">
        <v>4.43</v>
      </c>
      <c r="E2326">
        <v>0</v>
      </c>
      <c r="F2326">
        <v>1.6910000000000001</v>
      </c>
      <c r="G2326">
        <v>0</v>
      </c>
      <c r="H2326">
        <v>0.192</v>
      </c>
      <c r="I2326">
        <v>4.1340000000000003</v>
      </c>
      <c r="K2326">
        <v>2324</v>
      </c>
      <c r="L2326">
        <v>38</v>
      </c>
      <c r="M2326" s="32">
        <v>2.3530000000000002</v>
      </c>
      <c r="N2326" s="32">
        <v>4.43</v>
      </c>
      <c r="P2326" s="47">
        <v>1.6919999999999999</v>
      </c>
      <c r="R2326" s="47">
        <v>0.19500000000000001</v>
      </c>
      <c r="S2326" s="47">
        <v>3.9820000000000002</v>
      </c>
      <c r="T2326" s="31">
        <v>0</v>
      </c>
      <c r="V2326">
        <v>2324</v>
      </c>
      <c r="W2326">
        <v>36</v>
      </c>
      <c r="X2326">
        <v>2.3650000000000002</v>
      </c>
      <c r="Y2326" s="32">
        <v>4.5</v>
      </c>
      <c r="Z2326">
        <v>0</v>
      </c>
      <c r="AA2326" s="32">
        <v>1.5640000000000001</v>
      </c>
      <c r="AB2326">
        <v>0</v>
      </c>
      <c r="AC2326" s="34">
        <v>0.19600000000000001</v>
      </c>
      <c r="AD2326" s="32">
        <v>3.6989999999999998</v>
      </c>
    </row>
    <row r="2327" spans="1:30">
      <c r="A2327">
        <v>2325</v>
      </c>
      <c r="B2327">
        <v>38</v>
      </c>
      <c r="C2327">
        <v>2.3540000000000001</v>
      </c>
      <c r="D2327">
        <v>4.43</v>
      </c>
      <c r="E2327">
        <v>0</v>
      </c>
      <c r="F2327">
        <v>1.6910000000000001</v>
      </c>
      <c r="G2327">
        <v>0</v>
      </c>
      <c r="H2327">
        <v>0.192</v>
      </c>
      <c r="I2327">
        <v>4.1360000000000001</v>
      </c>
      <c r="K2327">
        <v>2325</v>
      </c>
      <c r="L2327">
        <v>38</v>
      </c>
      <c r="M2327" s="32">
        <v>2.3540000000000001</v>
      </c>
      <c r="N2327" s="32">
        <v>4.43</v>
      </c>
      <c r="P2327" s="47">
        <v>1.6919999999999999</v>
      </c>
      <c r="R2327" s="47">
        <v>0.19500000000000001</v>
      </c>
      <c r="S2327" s="47">
        <v>3.984</v>
      </c>
      <c r="T2327" s="31">
        <v>0</v>
      </c>
      <c r="V2327">
        <v>2325</v>
      </c>
      <c r="W2327">
        <v>36</v>
      </c>
      <c r="X2327">
        <v>2.3660000000000001</v>
      </c>
      <c r="Y2327" s="32">
        <v>4.5140000000000002</v>
      </c>
      <c r="Z2327">
        <v>0</v>
      </c>
      <c r="AA2327" s="32">
        <v>1.5640000000000001</v>
      </c>
      <c r="AB2327">
        <v>0</v>
      </c>
      <c r="AC2327" s="34">
        <v>0.19600000000000001</v>
      </c>
      <c r="AD2327" s="32">
        <v>3.7010000000000001</v>
      </c>
    </row>
    <row r="2328" spans="1:30">
      <c r="A2328">
        <v>2326</v>
      </c>
      <c r="B2328">
        <v>38</v>
      </c>
      <c r="C2328">
        <v>2.355</v>
      </c>
      <c r="D2328">
        <v>4.43</v>
      </c>
      <c r="E2328">
        <v>0</v>
      </c>
      <c r="F2328">
        <v>1.6910000000000001</v>
      </c>
      <c r="G2328">
        <v>0</v>
      </c>
      <c r="H2328">
        <v>0.192</v>
      </c>
      <c r="I2328">
        <v>4.1379999999999999</v>
      </c>
      <c r="K2328">
        <v>2326</v>
      </c>
      <c r="L2328">
        <v>38</v>
      </c>
      <c r="M2328" s="32">
        <v>2.355</v>
      </c>
      <c r="N2328" s="32">
        <v>4.43</v>
      </c>
      <c r="P2328" s="47">
        <v>1.6930000000000001</v>
      </c>
      <c r="R2328" s="47">
        <v>0.19500000000000001</v>
      </c>
      <c r="S2328" s="47">
        <v>3.9860000000000002</v>
      </c>
      <c r="T2328" s="31">
        <v>0</v>
      </c>
      <c r="V2328">
        <v>2326</v>
      </c>
      <c r="W2328">
        <v>36</v>
      </c>
      <c r="X2328">
        <v>2.367</v>
      </c>
      <c r="Y2328" s="32">
        <v>4.5279999999999996</v>
      </c>
      <c r="Z2328">
        <v>0</v>
      </c>
      <c r="AA2328" s="32">
        <v>1.5640000000000001</v>
      </c>
      <c r="AB2328">
        <v>0</v>
      </c>
      <c r="AC2328" s="34">
        <v>0.19600000000000001</v>
      </c>
      <c r="AD2328" s="32">
        <v>3.7029999999999998</v>
      </c>
    </row>
    <row r="2329" spans="1:30">
      <c r="A2329">
        <v>2327</v>
      </c>
      <c r="B2329">
        <v>38</v>
      </c>
      <c r="C2329">
        <v>2.3559999999999999</v>
      </c>
      <c r="D2329">
        <v>4.43</v>
      </c>
      <c r="E2329">
        <v>0</v>
      </c>
      <c r="F2329">
        <v>1.6910000000000001</v>
      </c>
      <c r="G2329">
        <v>0</v>
      </c>
      <c r="H2329">
        <v>0.192</v>
      </c>
      <c r="I2329">
        <v>4.141</v>
      </c>
      <c r="K2329">
        <v>2327</v>
      </c>
      <c r="L2329">
        <v>38</v>
      </c>
      <c r="M2329" s="32">
        <v>2.3559999999999999</v>
      </c>
      <c r="N2329" s="32">
        <v>4.43</v>
      </c>
      <c r="P2329" s="47">
        <v>1.6930000000000001</v>
      </c>
      <c r="R2329" s="47">
        <v>0.19500000000000001</v>
      </c>
      <c r="S2329" s="47">
        <v>3.988</v>
      </c>
      <c r="T2329" s="31">
        <v>0</v>
      </c>
      <c r="V2329">
        <v>2327</v>
      </c>
      <c r="W2329">
        <v>36</v>
      </c>
      <c r="X2329">
        <v>2.3679999999999999</v>
      </c>
      <c r="Y2329" s="32">
        <v>4.5419999999999998</v>
      </c>
      <c r="Z2329">
        <v>0</v>
      </c>
      <c r="AA2329" s="32">
        <v>1.5640000000000001</v>
      </c>
      <c r="AB2329">
        <v>0</v>
      </c>
      <c r="AC2329" s="34">
        <v>0.19600000000000001</v>
      </c>
      <c r="AD2329" s="32">
        <v>3.7050000000000001</v>
      </c>
    </row>
    <row r="2330" spans="1:30">
      <c r="A2330">
        <v>2328</v>
      </c>
      <c r="B2330">
        <v>38</v>
      </c>
      <c r="C2330">
        <v>2.3570000000000002</v>
      </c>
      <c r="D2330">
        <v>4.43</v>
      </c>
      <c r="E2330">
        <v>0</v>
      </c>
      <c r="F2330">
        <v>1.6910000000000001</v>
      </c>
      <c r="G2330">
        <v>0</v>
      </c>
      <c r="H2330">
        <v>0.192</v>
      </c>
      <c r="I2330">
        <v>4.1429999999999998</v>
      </c>
      <c r="K2330">
        <v>2328</v>
      </c>
      <c r="L2330">
        <v>38</v>
      </c>
      <c r="M2330" s="32">
        <v>2.3570000000000002</v>
      </c>
      <c r="N2330" s="32">
        <v>4.43</v>
      </c>
      <c r="P2330" s="47">
        <v>1.6930000000000001</v>
      </c>
      <c r="R2330" s="47">
        <v>0.19500000000000001</v>
      </c>
      <c r="S2330" s="47">
        <v>3.99</v>
      </c>
      <c r="T2330" s="31">
        <v>0</v>
      </c>
      <c r="V2330">
        <v>2328</v>
      </c>
      <c r="W2330">
        <v>36</v>
      </c>
      <c r="X2330">
        <v>2.3690000000000002</v>
      </c>
      <c r="Y2330" s="32">
        <v>4.556</v>
      </c>
      <c r="Z2330">
        <v>0</v>
      </c>
      <c r="AA2330" s="32">
        <v>1.5649999999999999</v>
      </c>
      <c r="AB2330">
        <v>0</v>
      </c>
      <c r="AC2330" s="34">
        <v>0.19600000000000001</v>
      </c>
      <c r="AD2330" s="32">
        <v>3.7069999999999999</v>
      </c>
    </row>
    <row r="2331" spans="1:30">
      <c r="A2331">
        <v>2329</v>
      </c>
      <c r="B2331">
        <v>38</v>
      </c>
      <c r="C2331">
        <v>2.3580000000000001</v>
      </c>
      <c r="D2331">
        <v>4.43</v>
      </c>
      <c r="E2331">
        <v>0</v>
      </c>
      <c r="F2331">
        <v>1.6910000000000001</v>
      </c>
      <c r="G2331">
        <v>0</v>
      </c>
      <c r="H2331">
        <v>0.192</v>
      </c>
      <c r="I2331">
        <v>4.1449999999999996</v>
      </c>
      <c r="K2331">
        <v>2329</v>
      </c>
      <c r="L2331">
        <v>38</v>
      </c>
      <c r="M2331" s="32">
        <v>2.3580000000000001</v>
      </c>
      <c r="N2331" s="32">
        <v>4.43</v>
      </c>
      <c r="P2331" s="47">
        <v>1.6930000000000001</v>
      </c>
      <c r="R2331" s="47">
        <v>0.19500000000000001</v>
      </c>
      <c r="S2331" s="47">
        <v>3.9929999999999999</v>
      </c>
      <c r="T2331" s="31">
        <v>0</v>
      </c>
      <c r="V2331">
        <v>2329</v>
      </c>
      <c r="W2331">
        <v>36</v>
      </c>
      <c r="X2331">
        <v>2.37</v>
      </c>
      <c r="Y2331" s="32">
        <v>4.57</v>
      </c>
      <c r="Z2331">
        <v>0</v>
      </c>
      <c r="AA2331" s="32">
        <v>1.5649999999999999</v>
      </c>
      <c r="AB2331">
        <v>0</v>
      </c>
      <c r="AC2331" s="34">
        <v>0.19600000000000001</v>
      </c>
      <c r="AD2331" s="32">
        <v>3.71</v>
      </c>
    </row>
    <row r="2332" spans="1:30">
      <c r="A2332">
        <v>2330</v>
      </c>
      <c r="B2332">
        <v>38</v>
      </c>
      <c r="C2332">
        <v>2.359</v>
      </c>
      <c r="D2332">
        <v>4.43</v>
      </c>
      <c r="E2332">
        <v>0</v>
      </c>
      <c r="F2332">
        <v>1.6910000000000001</v>
      </c>
      <c r="G2332">
        <v>0</v>
      </c>
      <c r="H2332">
        <v>0.192</v>
      </c>
      <c r="I2332">
        <v>4.1470000000000002</v>
      </c>
      <c r="K2332">
        <v>2330</v>
      </c>
      <c r="L2332">
        <v>38</v>
      </c>
      <c r="M2332" s="32">
        <v>2.359</v>
      </c>
      <c r="N2332" s="32">
        <v>4.43</v>
      </c>
      <c r="P2332" s="47">
        <v>1.694</v>
      </c>
      <c r="R2332" s="47">
        <v>0.19600000000000001</v>
      </c>
      <c r="S2332" s="47">
        <v>3.9950000000000001</v>
      </c>
      <c r="T2332" s="31">
        <v>0</v>
      </c>
      <c r="V2332">
        <v>2330</v>
      </c>
      <c r="W2332">
        <v>36</v>
      </c>
      <c r="X2332">
        <v>2.371</v>
      </c>
      <c r="Y2332" s="32">
        <v>4.57</v>
      </c>
      <c r="Z2332">
        <v>0</v>
      </c>
      <c r="AA2332" s="32">
        <v>1.5649999999999999</v>
      </c>
      <c r="AB2332">
        <v>0</v>
      </c>
      <c r="AC2332" s="34">
        <v>0.19600000000000001</v>
      </c>
      <c r="AD2332" s="32">
        <v>3.7120000000000002</v>
      </c>
    </row>
    <row r="2333" spans="1:30">
      <c r="A2333">
        <v>2331</v>
      </c>
      <c r="B2333">
        <v>38</v>
      </c>
      <c r="C2333">
        <v>2.36</v>
      </c>
      <c r="D2333">
        <v>4.43</v>
      </c>
      <c r="E2333">
        <v>0</v>
      </c>
      <c r="F2333">
        <v>1.694</v>
      </c>
      <c r="G2333">
        <v>0</v>
      </c>
      <c r="H2333">
        <v>0.192</v>
      </c>
      <c r="I2333">
        <v>3.9969999999999999</v>
      </c>
      <c r="K2333">
        <v>2331</v>
      </c>
      <c r="L2333">
        <v>38</v>
      </c>
      <c r="M2333" s="32">
        <v>2.36</v>
      </c>
      <c r="N2333" s="32">
        <v>4.43</v>
      </c>
      <c r="P2333" s="32">
        <v>1.694</v>
      </c>
      <c r="R2333" s="47">
        <v>0.19600000000000001</v>
      </c>
      <c r="S2333" s="32">
        <v>3.9969999999999999</v>
      </c>
      <c r="T2333" s="31">
        <v>0</v>
      </c>
      <c r="V2333">
        <v>2331</v>
      </c>
      <c r="W2333">
        <v>36</v>
      </c>
      <c r="X2333">
        <v>2.3719999999999999</v>
      </c>
      <c r="Y2333" s="32">
        <v>4.57</v>
      </c>
      <c r="Z2333">
        <v>0</v>
      </c>
      <c r="AA2333" s="32">
        <v>1.5649999999999999</v>
      </c>
      <c r="AB2333">
        <v>0</v>
      </c>
      <c r="AC2333" s="34">
        <v>0.19600000000000001</v>
      </c>
      <c r="AD2333" s="32">
        <v>3.714</v>
      </c>
    </row>
    <row r="2334" spans="1:30">
      <c r="A2334">
        <v>2332</v>
      </c>
      <c r="B2334">
        <v>38</v>
      </c>
      <c r="C2334">
        <v>2.3610000000000002</v>
      </c>
      <c r="D2334">
        <v>4.43</v>
      </c>
      <c r="E2334">
        <v>0</v>
      </c>
      <c r="F2334">
        <v>1.694</v>
      </c>
      <c r="G2334">
        <v>0</v>
      </c>
      <c r="H2334">
        <v>0.192</v>
      </c>
      <c r="I2334">
        <v>4.173</v>
      </c>
      <c r="K2334">
        <v>2332</v>
      </c>
      <c r="L2334">
        <v>38</v>
      </c>
      <c r="M2334" s="32">
        <v>2.3610000000000002</v>
      </c>
      <c r="N2334" s="47">
        <v>4.444</v>
      </c>
      <c r="P2334" s="32">
        <v>1.694</v>
      </c>
      <c r="R2334" s="47">
        <v>0.19600000000000001</v>
      </c>
      <c r="S2334" s="47">
        <v>3.9980000000000002</v>
      </c>
      <c r="T2334" s="31">
        <v>0</v>
      </c>
      <c r="V2334">
        <v>2332</v>
      </c>
      <c r="W2334">
        <v>36</v>
      </c>
      <c r="X2334">
        <v>2.3730000000000002</v>
      </c>
      <c r="Y2334" s="32">
        <v>4.57</v>
      </c>
      <c r="Z2334">
        <v>0</v>
      </c>
      <c r="AA2334" s="32">
        <v>1.5649999999999999</v>
      </c>
      <c r="AB2334">
        <v>0</v>
      </c>
      <c r="AC2334" s="34">
        <v>0.19600000000000001</v>
      </c>
      <c r="AD2334" s="32">
        <v>3.7160000000000002</v>
      </c>
    </row>
    <row r="2335" spans="1:30">
      <c r="A2335">
        <v>2333</v>
      </c>
      <c r="B2335">
        <v>38</v>
      </c>
      <c r="C2335">
        <v>2.3620000000000001</v>
      </c>
      <c r="D2335">
        <v>4.43</v>
      </c>
      <c r="E2335">
        <v>0</v>
      </c>
      <c r="F2335">
        <v>1.694</v>
      </c>
      <c r="G2335">
        <v>0</v>
      </c>
      <c r="H2335">
        <v>0.192</v>
      </c>
      <c r="I2335">
        <v>4.1760000000000002</v>
      </c>
      <c r="K2335">
        <v>2333</v>
      </c>
      <c r="L2335">
        <v>38</v>
      </c>
      <c r="M2335" s="32">
        <v>2.3620000000000001</v>
      </c>
      <c r="N2335" s="47">
        <v>4.4580000000000002</v>
      </c>
      <c r="P2335" s="32">
        <v>1.694</v>
      </c>
      <c r="R2335" s="47">
        <v>0.19600000000000001</v>
      </c>
      <c r="S2335" s="47">
        <v>4</v>
      </c>
      <c r="T2335" s="31">
        <v>0</v>
      </c>
      <c r="V2335">
        <v>2333</v>
      </c>
      <c r="W2335">
        <v>36</v>
      </c>
      <c r="X2335">
        <v>2.3740000000000001</v>
      </c>
      <c r="Y2335" s="32">
        <v>4.57</v>
      </c>
      <c r="Z2335">
        <v>0</v>
      </c>
      <c r="AA2335" s="32">
        <v>1.5660000000000001</v>
      </c>
      <c r="AB2335">
        <v>0</v>
      </c>
      <c r="AC2335" s="34">
        <v>0.19700000000000001</v>
      </c>
      <c r="AD2335" s="32">
        <v>3.718</v>
      </c>
    </row>
    <row r="2336" spans="1:30">
      <c r="A2336">
        <v>2334</v>
      </c>
      <c r="B2336">
        <v>38</v>
      </c>
      <c r="C2336">
        <v>2.363</v>
      </c>
      <c r="D2336">
        <v>4.43</v>
      </c>
      <c r="E2336">
        <v>0</v>
      </c>
      <c r="F2336">
        <v>1.694</v>
      </c>
      <c r="G2336">
        <v>0</v>
      </c>
      <c r="H2336">
        <v>0.192</v>
      </c>
      <c r="I2336">
        <v>4.1779999999999999</v>
      </c>
      <c r="K2336">
        <v>2334</v>
      </c>
      <c r="L2336">
        <v>38</v>
      </c>
      <c r="M2336" s="32">
        <v>2.363</v>
      </c>
      <c r="N2336" s="47">
        <v>4.4720000000000004</v>
      </c>
      <c r="P2336" s="47">
        <v>1.6950000000000001</v>
      </c>
      <c r="R2336" s="47">
        <v>0.19600000000000001</v>
      </c>
      <c r="S2336" s="47">
        <v>4.0010000000000003</v>
      </c>
      <c r="T2336" s="31">
        <v>0</v>
      </c>
      <c r="V2336">
        <v>2334</v>
      </c>
      <c r="W2336">
        <v>36</v>
      </c>
      <c r="X2336">
        <v>2.375</v>
      </c>
      <c r="Y2336" s="32">
        <v>4.57</v>
      </c>
      <c r="Z2336">
        <v>0</v>
      </c>
      <c r="AA2336" s="32">
        <v>1.5660000000000001</v>
      </c>
      <c r="AB2336">
        <v>0</v>
      </c>
      <c r="AC2336" s="34">
        <v>0.19700000000000001</v>
      </c>
      <c r="AD2336" s="32">
        <v>3.72</v>
      </c>
    </row>
    <row r="2337" spans="1:30">
      <c r="A2337">
        <v>2335</v>
      </c>
      <c r="B2337">
        <v>38</v>
      </c>
      <c r="C2337">
        <v>2.3639999999999999</v>
      </c>
      <c r="D2337">
        <v>4.43</v>
      </c>
      <c r="E2337">
        <v>0</v>
      </c>
      <c r="F2337">
        <v>1.694</v>
      </c>
      <c r="G2337">
        <v>0</v>
      </c>
      <c r="H2337">
        <v>0.192</v>
      </c>
      <c r="I2337">
        <v>4.18</v>
      </c>
      <c r="K2337">
        <v>2335</v>
      </c>
      <c r="L2337">
        <v>38</v>
      </c>
      <c r="M2337" s="32">
        <v>2.3639999999999999</v>
      </c>
      <c r="N2337" s="47">
        <v>4.4859999999999998</v>
      </c>
      <c r="P2337" s="47">
        <v>1.6950000000000001</v>
      </c>
      <c r="R2337" s="47">
        <v>0.19600000000000001</v>
      </c>
      <c r="S2337" s="47">
        <v>4.0030000000000001</v>
      </c>
      <c r="T2337" s="31">
        <v>0</v>
      </c>
      <c r="V2337">
        <v>2335</v>
      </c>
      <c r="W2337">
        <v>36</v>
      </c>
      <c r="X2337">
        <v>2.3759999999999999</v>
      </c>
      <c r="Y2337" s="32">
        <v>4.57</v>
      </c>
      <c r="Z2337">
        <v>0</v>
      </c>
      <c r="AA2337" s="32">
        <v>1.5660000000000001</v>
      </c>
      <c r="AB2337">
        <v>0</v>
      </c>
      <c r="AC2337" s="34">
        <v>0.19700000000000001</v>
      </c>
      <c r="AD2337" s="32">
        <v>3.722</v>
      </c>
    </row>
    <row r="2338" spans="1:30">
      <c r="A2338">
        <v>2336</v>
      </c>
      <c r="B2338">
        <v>38</v>
      </c>
      <c r="C2338">
        <v>2.3650000000000002</v>
      </c>
      <c r="D2338">
        <v>4.43</v>
      </c>
      <c r="E2338">
        <v>0</v>
      </c>
      <c r="F2338">
        <v>1.694</v>
      </c>
      <c r="G2338">
        <v>0</v>
      </c>
      <c r="H2338">
        <v>0.192</v>
      </c>
      <c r="I2338">
        <v>4.1820000000000004</v>
      </c>
      <c r="K2338">
        <v>2336</v>
      </c>
      <c r="L2338">
        <v>38</v>
      </c>
      <c r="M2338" s="32">
        <v>2.3650000000000002</v>
      </c>
      <c r="N2338" s="47">
        <v>4.5</v>
      </c>
      <c r="P2338" s="47">
        <v>1.6950000000000001</v>
      </c>
      <c r="R2338" s="47">
        <v>0.19600000000000001</v>
      </c>
      <c r="S2338" s="47">
        <v>4.0039999999999996</v>
      </c>
      <c r="T2338" s="31">
        <v>0</v>
      </c>
      <c r="V2338">
        <v>2336</v>
      </c>
      <c r="W2338">
        <v>36</v>
      </c>
      <c r="X2338">
        <v>2.3769999999999998</v>
      </c>
      <c r="Y2338" s="32">
        <v>4.57</v>
      </c>
      <c r="Z2338">
        <v>0</v>
      </c>
      <c r="AA2338" s="32">
        <v>1.5660000000000001</v>
      </c>
      <c r="AB2338">
        <v>0</v>
      </c>
      <c r="AC2338" s="34">
        <v>0.19700000000000001</v>
      </c>
      <c r="AD2338" s="32">
        <v>3.7240000000000002</v>
      </c>
    </row>
    <row r="2339" spans="1:30">
      <c r="A2339">
        <v>2337</v>
      </c>
      <c r="B2339">
        <v>38</v>
      </c>
      <c r="C2339">
        <v>2.3660000000000001</v>
      </c>
      <c r="D2339">
        <v>4.43</v>
      </c>
      <c r="E2339">
        <v>0</v>
      </c>
      <c r="F2339">
        <v>1.694</v>
      </c>
      <c r="G2339">
        <v>0</v>
      </c>
      <c r="H2339">
        <v>0.192</v>
      </c>
      <c r="I2339">
        <v>4.1840000000000002</v>
      </c>
      <c r="K2339">
        <v>2337</v>
      </c>
      <c r="L2339">
        <v>38</v>
      </c>
      <c r="M2339" s="32">
        <v>2.3660000000000001</v>
      </c>
      <c r="N2339" s="47">
        <v>4.5140000000000002</v>
      </c>
      <c r="P2339" s="47">
        <v>1.6950000000000001</v>
      </c>
      <c r="R2339" s="47">
        <v>0.19600000000000001</v>
      </c>
      <c r="S2339" s="47">
        <v>4.0049999999999999</v>
      </c>
      <c r="T2339" s="31">
        <v>0</v>
      </c>
      <c r="V2339">
        <v>2337</v>
      </c>
      <c r="W2339">
        <v>36</v>
      </c>
      <c r="X2339">
        <v>2.3780000000000001</v>
      </c>
      <c r="Y2339" s="32">
        <v>4.57</v>
      </c>
      <c r="Z2339">
        <v>0</v>
      </c>
      <c r="AA2339" s="32">
        <v>1.5660000000000001</v>
      </c>
      <c r="AB2339">
        <v>0</v>
      </c>
      <c r="AC2339" s="34">
        <v>0.19700000000000001</v>
      </c>
      <c r="AD2339" s="32">
        <v>3.726</v>
      </c>
    </row>
    <row r="2340" spans="1:30">
      <c r="A2340">
        <v>2338</v>
      </c>
      <c r="B2340">
        <v>38</v>
      </c>
      <c r="C2340">
        <v>2.367</v>
      </c>
      <c r="D2340">
        <v>4.43</v>
      </c>
      <c r="E2340">
        <v>0</v>
      </c>
      <c r="F2340">
        <v>1.694</v>
      </c>
      <c r="G2340">
        <v>0</v>
      </c>
      <c r="H2340">
        <v>0.192</v>
      </c>
      <c r="I2340">
        <v>4.1859999999999999</v>
      </c>
      <c r="K2340">
        <v>2338</v>
      </c>
      <c r="L2340">
        <v>38</v>
      </c>
      <c r="M2340" s="32">
        <v>2.367</v>
      </c>
      <c r="N2340" s="47">
        <v>4.5279999999999996</v>
      </c>
      <c r="P2340" s="47">
        <v>1.6950000000000001</v>
      </c>
      <c r="R2340" s="47">
        <v>0.19600000000000001</v>
      </c>
      <c r="S2340" s="47">
        <v>4.0069999999999997</v>
      </c>
      <c r="T2340" s="31">
        <v>0</v>
      </c>
      <c r="V2340">
        <v>2338</v>
      </c>
      <c r="W2340">
        <v>36</v>
      </c>
      <c r="X2340">
        <v>2.379</v>
      </c>
      <c r="Y2340" s="32">
        <v>4.57</v>
      </c>
      <c r="Z2340">
        <v>0</v>
      </c>
      <c r="AA2340" s="32">
        <v>1.5669999999999999</v>
      </c>
      <c r="AB2340">
        <v>0</v>
      </c>
      <c r="AC2340" s="34">
        <v>0.19700000000000001</v>
      </c>
      <c r="AD2340" s="32">
        <v>3.7280000000000002</v>
      </c>
    </row>
    <row r="2341" spans="1:30">
      <c r="A2341">
        <v>2339</v>
      </c>
      <c r="B2341">
        <v>38</v>
      </c>
      <c r="C2341">
        <v>2.3679999999999999</v>
      </c>
      <c r="D2341">
        <v>4.43</v>
      </c>
      <c r="E2341">
        <v>0</v>
      </c>
      <c r="F2341">
        <v>1.694</v>
      </c>
      <c r="G2341">
        <v>0</v>
      </c>
      <c r="H2341">
        <v>0.192</v>
      </c>
      <c r="I2341">
        <v>4.1890000000000001</v>
      </c>
      <c r="K2341">
        <v>2339</v>
      </c>
      <c r="L2341">
        <v>38</v>
      </c>
      <c r="M2341" s="32">
        <v>2.3679999999999999</v>
      </c>
      <c r="N2341" s="47">
        <v>4.5419999999999998</v>
      </c>
      <c r="P2341" s="47">
        <v>1.696</v>
      </c>
      <c r="R2341" s="47">
        <v>0.19600000000000001</v>
      </c>
      <c r="S2341" s="47">
        <v>4.008</v>
      </c>
      <c r="T2341" s="31">
        <v>0</v>
      </c>
      <c r="V2341">
        <v>2339</v>
      </c>
      <c r="W2341">
        <v>36</v>
      </c>
      <c r="X2341">
        <v>2.38</v>
      </c>
      <c r="Y2341" s="32">
        <v>4.57</v>
      </c>
      <c r="Z2341">
        <v>0</v>
      </c>
      <c r="AA2341" s="32">
        <v>1.5669999999999999</v>
      </c>
      <c r="AB2341">
        <v>0</v>
      </c>
      <c r="AC2341" s="34">
        <v>0.19700000000000001</v>
      </c>
      <c r="AD2341" s="32">
        <v>3.73</v>
      </c>
    </row>
    <row r="2342" spans="1:30">
      <c r="A2342">
        <v>2340</v>
      </c>
      <c r="B2342">
        <v>38</v>
      </c>
      <c r="C2342">
        <v>2.3690000000000002</v>
      </c>
      <c r="D2342">
        <v>4.43</v>
      </c>
      <c r="E2342">
        <v>0</v>
      </c>
      <c r="F2342">
        <v>1.694</v>
      </c>
      <c r="G2342">
        <v>0</v>
      </c>
      <c r="H2342">
        <v>0.192</v>
      </c>
      <c r="I2342">
        <v>4.1909999999999998</v>
      </c>
      <c r="K2342">
        <v>2340</v>
      </c>
      <c r="L2342">
        <v>38</v>
      </c>
      <c r="M2342" s="32">
        <v>2.3690000000000002</v>
      </c>
      <c r="N2342" s="47">
        <v>4.556</v>
      </c>
      <c r="P2342" s="47">
        <v>1.696</v>
      </c>
      <c r="R2342" s="47">
        <v>0.19600000000000001</v>
      </c>
      <c r="S2342" s="47">
        <v>4.01</v>
      </c>
      <c r="T2342" s="31">
        <v>0</v>
      </c>
      <c r="V2342">
        <v>2340</v>
      </c>
      <c r="W2342">
        <v>36</v>
      </c>
      <c r="X2342">
        <v>2.3809999999999998</v>
      </c>
      <c r="Y2342" s="32">
        <v>4.57</v>
      </c>
      <c r="Z2342">
        <v>0</v>
      </c>
      <c r="AA2342" s="32">
        <v>1.5669999999999999</v>
      </c>
      <c r="AB2342">
        <v>0</v>
      </c>
      <c r="AC2342" s="34">
        <v>0.19700000000000001</v>
      </c>
      <c r="AD2342" s="32">
        <v>3.7320000000000002</v>
      </c>
    </row>
    <row r="2343" spans="1:30">
      <c r="A2343">
        <v>2341</v>
      </c>
      <c r="B2343">
        <v>39</v>
      </c>
      <c r="C2343">
        <v>2.37</v>
      </c>
      <c r="D2343">
        <v>4.57</v>
      </c>
      <c r="E2343">
        <v>0</v>
      </c>
      <c r="F2343">
        <v>1.696</v>
      </c>
      <c r="G2343">
        <v>0</v>
      </c>
      <c r="H2343">
        <v>0.19600000000000001</v>
      </c>
      <c r="I2343">
        <v>4.0110000000000001</v>
      </c>
      <c r="K2343">
        <v>2341</v>
      </c>
      <c r="L2343">
        <v>39</v>
      </c>
      <c r="M2343" s="32">
        <v>2.37</v>
      </c>
      <c r="N2343" s="32">
        <v>4.57</v>
      </c>
      <c r="P2343" s="32">
        <v>1.696</v>
      </c>
      <c r="R2343" s="32">
        <v>0.19600000000000001</v>
      </c>
      <c r="S2343" s="32">
        <v>4.0110000000000001</v>
      </c>
      <c r="T2343" s="31">
        <v>0</v>
      </c>
      <c r="V2343">
        <v>2341</v>
      </c>
      <c r="W2343">
        <v>36</v>
      </c>
      <c r="X2343">
        <v>2.3820000000000001</v>
      </c>
      <c r="Y2343" s="32">
        <v>4.57</v>
      </c>
      <c r="Z2343">
        <v>0</v>
      </c>
      <c r="AA2343" s="32">
        <v>1.5669999999999999</v>
      </c>
      <c r="AB2343">
        <v>0</v>
      </c>
      <c r="AC2343" s="34">
        <v>0.19700000000000001</v>
      </c>
      <c r="AD2343" s="32">
        <v>3.734</v>
      </c>
    </row>
    <row r="2344" spans="1:30">
      <c r="A2344">
        <v>2342</v>
      </c>
      <c r="B2344">
        <v>39</v>
      </c>
      <c r="C2344">
        <v>2.371</v>
      </c>
      <c r="D2344">
        <v>4.57</v>
      </c>
      <c r="E2344">
        <v>0</v>
      </c>
      <c r="F2344">
        <v>1.696</v>
      </c>
      <c r="G2344">
        <v>0</v>
      </c>
      <c r="H2344">
        <v>0.19600000000000001</v>
      </c>
      <c r="I2344">
        <v>4.0129999999999999</v>
      </c>
      <c r="K2344">
        <v>2342</v>
      </c>
      <c r="L2344">
        <v>39</v>
      </c>
      <c r="M2344" s="32">
        <v>2.371</v>
      </c>
      <c r="N2344" s="32">
        <v>4.57</v>
      </c>
      <c r="P2344" s="32">
        <v>1.696</v>
      </c>
      <c r="R2344" s="32">
        <v>0.19600000000000001</v>
      </c>
      <c r="S2344" s="47">
        <v>4.0140000000000002</v>
      </c>
      <c r="T2344" s="31">
        <v>0</v>
      </c>
      <c r="V2344">
        <v>2342</v>
      </c>
      <c r="W2344">
        <v>36</v>
      </c>
      <c r="X2344">
        <v>2.383</v>
      </c>
      <c r="Y2344" s="32">
        <v>4.57</v>
      </c>
      <c r="Z2344">
        <v>0</v>
      </c>
      <c r="AA2344" s="32">
        <v>1.5669999999999999</v>
      </c>
      <c r="AB2344">
        <v>0</v>
      </c>
      <c r="AC2344" s="34">
        <v>0.19700000000000001</v>
      </c>
      <c r="AD2344" s="32">
        <v>3.7360000000000002</v>
      </c>
    </row>
    <row r="2345" spans="1:30">
      <c r="A2345">
        <v>2343</v>
      </c>
      <c r="B2345">
        <v>39</v>
      </c>
      <c r="C2345">
        <v>2.3719999999999999</v>
      </c>
      <c r="D2345">
        <v>4.57</v>
      </c>
      <c r="E2345">
        <v>0</v>
      </c>
      <c r="F2345">
        <v>1.6970000000000001</v>
      </c>
      <c r="G2345">
        <v>0</v>
      </c>
      <c r="H2345">
        <v>0.19600000000000001</v>
      </c>
      <c r="I2345">
        <v>4.016</v>
      </c>
      <c r="K2345">
        <v>2343</v>
      </c>
      <c r="L2345">
        <v>39</v>
      </c>
      <c r="M2345" s="32">
        <v>2.3719999999999999</v>
      </c>
      <c r="N2345" s="32">
        <v>4.57</v>
      </c>
      <c r="P2345" s="32">
        <v>1.6970000000000001</v>
      </c>
      <c r="R2345" s="32">
        <v>0.19600000000000001</v>
      </c>
      <c r="S2345" s="47">
        <v>4.0170000000000003</v>
      </c>
      <c r="T2345" s="31">
        <v>0</v>
      </c>
      <c r="V2345">
        <v>2343</v>
      </c>
      <c r="W2345">
        <v>36</v>
      </c>
      <c r="X2345">
        <v>2.3839999999999999</v>
      </c>
      <c r="Y2345" s="32">
        <v>4.57</v>
      </c>
      <c r="Z2345">
        <v>0</v>
      </c>
      <c r="AA2345" s="32">
        <v>1.5680000000000001</v>
      </c>
      <c r="AB2345">
        <v>0</v>
      </c>
      <c r="AC2345" s="34">
        <v>0.19700000000000001</v>
      </c>
      <c r="AD2345" s="32">
        <v>3.738</v>
      </c>
    </row>
    <row r="2346" spans="1:30">
      <c r="A2346">
        <v>2344</v>
      </c>
      <c r="B2346">
        <v>39</v>
      </c>
      <c r="C2346">
        <v>2.3730000000000002</v>
      </c>
      <c r="D2346">
        <v>4.58</v>
      </c>
      <c r="E2346">
        <v>0</v>
      </c>
      <c r="F2346">
        <v>1.6970000000000001</v>
      </c>
      <c r="G2346">
        <v>0</v>
      </c>
      <c r="H2346">
        <v>0.19600000000000001</v>
      </c>
      <c r="I2346">
        <v>4.0179999999999998</v>
      </c>
      <c r="K2346">
        <v>2344</v>
      </c>
      <c r="L2346">
        <v>39</v>
      </c>
      <c r="M2346" s="32">
        <v>2.3730000000000002</v>
      </c>
      <c r="N2346" s="47">
        <v>4.57</v>
      </c>
      <c r="P2346" s="32">
        <v>1.6970000000000001</v>
      </c>
      <c r="R2346" s="32">
        <v>0.19600000000000001</v>
      </c>
      <c r="S2346" s="47">
        <v>4.0209999999999999</v>
      </c>
      <c r="T2346" s="31">
        <v>0</v>
      </c>
      <c r="V2346">
        <v>2344</v>
      </c>
      <c r="W2346">
        <v>36</v>
      </c>
      <c r="X2346">
        <v>2.3849999999999998</v>
      </c>
      <c r="Y2346" s="32">
        <v>4.57</v>
      </c>
      <c r="Z2346">
        <v>0</v>
      </c>
      <c r="AA2346" s="32">
        <v>1.5680000000000001</v>
      </c>
      <c r="AB2346">
        <v>0</v>
      </c>
      <c r="AC2346" s="34">
        <v>0.19700000000000001</v>
      </c>
      <c r="AD2346" s="32">
        <v>3.74</v>
      </c>
    </row>
    <row r="2347" spans="1:30">
      <c r="A2347">
        <v>2345</v>
      </c>
      <c r="B2347">
        <v>39</v>
      </c>
      <c r="C2347">
        <v>2.3740000000000001</v>
      </c>
      <c r="D2347">
        <v>4.58</v>
      </c>
      <c r="E2347">
        <v>0</v>
      </c>
      <c r="F2347">
        <v>1.6970000000000001</v>
      </c>
      <c r="G2347">
        <v>0</v>
      </c>
      <c r="H2347">
        <v>0.19600000000000001</v>
      </c>
      <c r="I2347">
        <v>4.0209999999999999</v>
      </c>
      <c r="K2347">
        <v>2345</v>
      </c>
      <c r="L2347">
        <v>39</v>
      </c>
      <c r="M2347" s="32">
        <v>2.3740000000000001</v>
      </c>
      <c r="N2347" s="47">
        <v>4.57</v>
      </c>
      <c r="P2347" s="32">
        <v>1.6970000000000001</v>
      </c>
      <c r="R2347" s="32">
        <v>0.19600000000000001</v>
      </c>
      <c r="S2347" s="47">
        <v>4.024</v>
      </c>
      <c r="T2347" s="31">
        <v>0</v>
      </c>
      <c r="V2347">
        <v>2345</v>
      </c>
      <c r="W2347">
        <v>37</v>
      </c>
      <c r="X2347">
        <v>2.3860000000000001</v>
      </c>
      <c r="Y2347" s="32">
        <v>4.57</v>
      </c>
      <c r="Z2347">
        <v>0</v>
      </c>
      <c r="AA2347" s="32">
        <v>1.5680000000000001</v>
      </c>
      <c r="AB2347">
        <v>0</v>
      </c>
      <c r="AC2347" s="34">
        <v>0.19700000000000001</v>
      </c>
      <c r="AD2347" s="32">
        <v>3.742</v>
      </c>
    </row>
    <row r="2348" spans="1:30">
      <c r="A2348">
        <v>2346</v>
      </c>
      <c r="B2348">
        <v>39</v>
      </c>
      <c r="C2348">
        <v>2.375</v>
      </c>
      <c r="D2348">
        <v>4.58</v>
      </c>
      <c r="E2348">
        <v>0</v>
      </c>
      <c r="F2348">
        <v>1.6970000000000001</v>
      </c>
      <c r="G2348">
        <v>0</v>
      </c>
      <c r="H2348">
        <v>0.19600000000000001</v>
      </c>
      <c r="I2348">
        <v>4.0229999999999997</v>
      </c>
      <c r="K2348">
        <v>2346</v>
      </c>
      <c r="L2348">
        <v>39</v>
      </c>
      <c r="M2348" s="32">
        <v>2.375</v>
      </c>
      <c r="N2348" s="47">
        <v>4.57</v>
      </c>
      <c r="P2348" s="47">
        <v>1.698</v>
      </c>
      <c r="R2348" s="32">
        <v>0.19600000000000001</v>
      </c>
      <c r="S2348" s="47">
        <v>4.0270000000000001</v>
      </c>
      <c r="T2348" s="31">
        <v>0</v>
      </c>
      <c r="V2348">
        <v>2346</v>
      </c>
      <c r="W2348">
        <v>37</v>
      </c>
      <c r="X2348">
        <v>2.387</v>
      </c>
      <c r="Y2348" s="32">
        <v>4.57</v>
      </c>
      <c r="Z2348">
        <v>0</v>
      </c>
      <c r="AA2348" s="32">
        <v>1.5680000000000001</v>
      </c>
      <c r="AB2348">
        <v>0</v>
      </c>
      <c r="AC2348" s="34">
        <v>0.19700000000000001</v>
      </c>
      <c r="AD2348" s="32">
        <v>3.7440000000000002</v>
      </c>
    </row>
    <row r="2349" spans="1:30">
      <c r="A2349">
        <v>2347</v>
      </c>
      <c r="B2349">
        <v>39</v>
      </c>
      <c r="C2349">
        <v>2.3759999999999999</v>
      </c>
      <c r="D2349">
        <v>4.58</v>
      </c>
      <c r="E2349">
        <v>0</v>
      </c>
      <c r="F2349">
        <v>1.698</v>
      </c>
      <c r="G2349">
        <v>0</v>
      </c>
      <c r="H2349">
        <v>0.19600000000000001</v>
      </c>
      <c r="I2349">
        <v>4.0259999999999998</v>
      </c>
      <c r="K2349">
        <v>2347</v>
      </c>
      <c r="L2349">
        <v>39</v>
      </c>
      <c r="M2349" s="32">
        <v>2.3759999999999999</v>
      </c>
      <c r="N2349" s="47">
        <v>4.57</v>
      </c>
      <c r="P2349" s="32">
        <v>1.698</v>
      </c>
      <c r="R2349" s="32">
        <v>0.19600000000000001</v>
      </c>
      <c r="S2349" s="47">
        <v>4.03</v>
      </c>
      <c r="T2349" s="31">
        <v>0</v>
      </c>
      <c r="V2349">
        <v>2347</v>
      </c>
      <c r="W2349">
        <v>37</v>
      </c>
      <c r="X2349">
        <v>2.3879999999999999</v>
      </c>
      <c r="Y2349" s="32">
        <v>4.57</v>
      </c>
      <c r="Z2349">
        <v>0</v>
      </c>
      <c r="AA2349" s="32">
        <v>1.5680000000000001</v>
      </c>
      <c r="AB2349">
        <v>0</v>
      </c>
      <c r="AC2349" s="34">
        <v>0.19700000000000001</v>
      </c>
      <c r="AD2349" s="32">
        <v>3.746</v>
      </c>
    </row>
    <row r="2350" spans="1:30">
      <c r="A2350">
        <v>2348</v>
      </c>
      <c r="B2350">
        <v>39</v>
      </c>
      <c r="C2350">
        <v>2.3769999999999998</v>
      </c>
      <c r="D2350">
        <v>4.59</v>
      </c>
      <c r="E2350">
        <v>0</v>
      </c>
      <c r="F2350">
        <v>1.698</v>
      </c>
      <c r="G2350">
        <v>0</v>
      </c>
      <c r="H2350">
        <v>0.19600000000000001</v>
      </c>
      <c r="I2350">
        <v>4.0279999999999996</v>
      </c>
      <c r="K2350">
        <v>2348</v>
      </c>
      <c r="L2350">
        <v>39</v>
      </c>
      <c r="M2350" s="32">
        <v>2.3769999999999998</v>
      </c>
      <c r="N2350" s="47">
        <v>4.57</v>
      </c>
      <c r="P2350" s="32">
        <v>1.698</v>
      </c>
      <c r="R2350" s="32">
        <v>0.19600000000000001</v>
      </c>
      <c r="S2350" s="47">
        <v>4.0330000000000004</v>
      </c>
      <c r="T2350" s="31">
        <v>0</v>
      </c>
      <c r="V2350">
        <v>2348</v>
      </c>
      <c r="W2350">
        <v>37</v>
      </c>
      <c r="X2350">
        <v>2.3889999999999998</v>
      </c>
      <c r="Y2350" s="32">
        <v>4.57</v>
      </c>
      <c r="Z2350">
        <v>0</v>
      </c>
      <c r="AA2350" s="32">
        <v>1.569</v>
      </c>
      <c r="AB2350">
        <v>0</v>
      </c>
      <c r="AC2350" s="34">
        <v>0.19700000000000001</v>
      </c>
      <c r="AD2350" s="32">
        <v>3.7480000000000002</v>
      </c>
    </row>
    <row r="2351" spans="1:30">
      <c r="A2351">
        <v>2349</v>
      </c>
      <c r="B2351">
        <v>39</v>
      </c>
      <c r="C2351">
        <v>2.3780000000000001</v>
      </c>
      <c r="D2351">
        <v>4.59</v>
      </c>
      <c r="E2351">
        <v>0</v>
      </c>
      <c r="F2351">
        <v>1.698</v>
      </c>
      <c r="G2351">
        <v>0</v>
      </c>
      <c r="H2351">
        <v>0.19600000000000001</v>
      </c>
      <c r="I2351">
        <v>4.0309999999999997</v>
      </c>
      <c r="K2351">
        <v>2349</v>
      </c>
      <c r="L2351">
        <v>39</v>
      </c>
      <c r="M2351" s="32">
        <v>2.3780000000000001</v>
      </c>
      <c r="N2351" s="47">
        <v>4.57</v>
      </c>
      <c r="P2351" s="32">
        <v>1.698</v>
      </c>
      <c r="R2351" s="32">
        <v>0.19600000000000001</v>
      </c>
      <c r="S2351" s="47">
        <v>4.0369999999999999</v>
      </c>
      <c r="T2351" s="31">
        <v>0</v>
      </c>
      <c r="V2351">
        <v>2349</v>
      </c>
      <c r="W2351">
        <v>37</v>
      </c>
      <c r="X2351">
        <v>2.39</v>
      </c>
      <c r="Y2351" s="32">
        <v>4.57</v>
      </c>
      <c r="Z2351">
        <v>0</v>
      </c>
      <c r="AA2351" s="32">
        <v>1.569</v>
      </c>
      <c r="AB2351">
        <v>0</v>
      </c>
      <c r="AC2351" s="34">
        <v>0.19700000000000001</v>
      </c>
      <c r="AD2351" s="32">
        <v>3.75</v>
      </c>
    </row>
    <row r="2352" spans="1:30">
      <c r="A2352">
        <v>2350</v>
      </c>
      <c r="B2352">
        <v>39</v>
      </c>
      <c r="C2352">
        <v>2.379</v>
      </c>
      <c r="D2352">
        <v>4.59</v>
      </c>
      <c r="E2352">
        <v>0</v>
      </c>
      <c r="F2352">
        <v>1.698</v>
      </c>
      <c r="G2352">
        <v>0</v>
      </c>
      <c r="H2352">
        <v>0.19600000000000001</v>
      </c>
      <c r="I2352">
        <v>4.0330000000000004</v>
      </c>
      <c r="K2352">
        <v>2350</v>
      </c>
      <c r="L2352">
        <v>39</v>
      </c>
      <c r="M2352" s="32">
        <v>2.379</v>
      </c>
      <c r="N2352" s="47">
        <v>4.57</v>
      </c>
      <c r="P2352" s="47">
        <v>1.6990000000000001</v>
      </c>
      <c r="R2352" s="32">
        <v>0.19600000000000001</v>
      </c>
      <c r="S2352" s="47">
        <v>4.04</v>
      </c>
      <c r="T2352" s="31">
        <v>0</v>
      </c>
      <c r="V2352">
        <v>2350</v>
      </c>
      <c r="W2352">
        <v>37</v>
      </c>
      <c r="X2352">
        <v>2.391</v>
      </c>
      <c r="Y2352" s="32">
        <v>4.57</v>
      </c>
      <c r="Z2352">
        <v>0</v>
      </c>
      <c r="AA2352" s="32">
        <v>1.569</v>
      </c>
      <c r="AB2352">
        <v>0</v>
      </c>
      <c r="AC2352" s="34">
        <v>0.19700000000000001</v>
      </c>
      <c r="AD2352" s="32">
        <v>3.7519999999999998</v>
      </c>
    </row>
    <row r="2353" spans="1:30">
      <c r="A2353">
        <v>2351</v>
      </c>
      <c r="B2353">
        <v>39</v>
      </c>
      <c r="C2353">
        <v>2.38</v>
      </c>
      <c r="D2353">
        <v>4.57</v>
      </c>
      <c r="E2353">
        <v>0</v>
      </c>
      <c r="F2353">
        <v>1.6990000000000001</v>
      </c>
      <c r="G2353">
        <v>0</v>
      </c>
      <c r="H2353">
        <v>0.19600000000000001</v>
      </c>
      <c r="I2353">
        <v>4.0430000000000001</v>
      </c>
      <c r="K2353">
        <v>2351</v>
      </c>
      <c r="L2353">
        <v>39</v>
      </c>
      <c r="M2353" s="32">
        <v>2.38</v>
      </c>
      <c r="N2353" s="32">
        <v>4.57</v>
      </c>
      <c r="P2353" s="32">
        <v>1.6990000000000001</v>
      </c>
      <c r="R2353" s="32">
        <v>0.19600000000000001</v>
      </c>
      <c r="S2353" s="32">
        <v>4.0430000000000001</v>
      </c>
      <c r="T2353" s="31">
        <v>0</v>
      </c>
      <c r="V2353">
        <v>2351</v>
      </c>
      <c r="W2353">
        <v>37</v>
      </c>
      <c r="X2353">
        <v>2.3919999999999999</v>
      </c>
      <c r="Y2353" s="32">
        <v>4.57</v>
      </c>
      <c r="Z2353">
        <v>0</v>
      </c>
      <c r="AA2353" s="32">
        <v>1.569</v>
      </c>
      <c r="AB2353">
        <v>0</v>
      </c>
      <c r="AC2353" s="34">
        <v>0.19700000000000001</v>
      </c>
      <c r="AD2353" s="32">
        <v>3.7549999999999999</v>
      </c>
    </row>
    <row r="2354" spans="1:30">
      <c r="A2354">
        <v>2352</v>
      </c>
      <c r="B2354">
        <v>39</v>
      </c>
      <c r="C2354">
        <v>2.3809999999999998</v>
      </c>
      <c r="D2354">
        <v>4.57</v>
      </c>
      <c r="E2354">
        <v>0</v>
      </c>
      <c r="F2354">
        <v>1.6990000000000001</v>
      </c>
      <c r="G2354">
        <v>0</v>
      </c>
      <c r="H2354">
        <v>0.19600000000000001</v>
      </c>
      <c r="I2354">
        <v>4.07</v>
      </c>
      <c r="K2354">
        <v>2352</v>
      </c>
      <c r="L2354">
        <v>39</v>
      </c>
      <c r="M2354" s="32">
        <v>2.3809999999999998</v>
      </c>
      <c r="N2354" s="32">
        <v>4.57</v>
      </c>
      <c r="P2354" s="32">
        <v>1.6990000000000001</v>
      </c>
      <c r="R2354" s="32">
        <v>0.19600000000000001</v>
      </c>
      <c r="S2354" s="47">
        <v>4.0449999999999999</v>
      </c>
      <c r="T2354" s="31">
        <v>0</v>
      </c>
      <c r="V2354">
        <v>2352</v>
      </c>
      <c r="W2354">
        <v>37</v>
      </c>
      <c r="X2354">
        <v>2.3929999999999998</v>
      </c>
      <c r="Y2354" s="32">
        <v>4.57</v>
      </c>
      <c r="Z2354">
        <v>0</v>
      </c>
      <c r="AA2354" s="32">
        <v>1.57</v>
      </c>
      <c r="AB2354">
        <v>0</v>
      </c>
      <c r="AC2354" s="34">
        <v>0.19700000000000001</v>
      </c>
      <c r="AD2354" s="32">
        <v>3.7570000000000001</v>
      </c>
    </row>
    <row r="2355" spans="1:30">
      <c r="A2355">
        <v>2353</v>
      </c>
      <c r="B2355">
        <v>39</v>
      </c>
      <c r="C2355">
        <v>2.3820000000000001</v>
      </c>
      <c r="D2355">
        <v>4.57</v>
      </c>
      <c r="E2355">
        <v>0</v>
      </c>
      <c r="F2355">
        <v>1.6990000000000001</v>
      </c>
      <c r="G2355">
        <v>0</v>
      </c>
      <c r="H2355">
        <v>0.19600000000000001</v>
      </c>
      <c r="I2355">
        <v>4.0730000000000004</v>
      </c>
      <c r="K2355">
        <v>2353</v>
      </c>
      <c r="L2355">
        <v>39</v>
      </c>
      <c r="M2355" s="32">
        <v>2.3820000000000001</v>
      </c>
      <c r="N2355" s="32">
        <v>4.57</v>
      </c>
      <c r="P2355" s="32">
        <v>1.6990000000000001</v>
      </c>
      <c r="R2355" s="32">
        <v>0.19600000000000001</v>
      </c>
      <c r="S2355" s="47">
        <v>4.048</v>
      </c>
      <c r="T2355" s="31">
        <v>0</v>
      </c>
      <c r="V2355">
        <v>2353</v>
      </c>
      <c r="W2355">
        <v>37</v>
      </c>
      <c r="X2355">
        <v>2.3940000000000001</v>
      </c>
      <c r="Y2355" s="32">
        <v>4.57</v>
      </c>
      <c r="Z2355">
        <v>0</v>
      </c>
      <c r="AA2355" s="32">
        <v>1.57</v>
      </c>
      <c r="AB2355">
        <v>0</v>
      </c>
      <c r="AC2355" s="34">
        <v>0.19700000000000001</v>
      </c>
      <c r="AD2355" s="32">
        <v>3.7589999999999999</v>
      </c>
    </row>
    <row r="2356" spans="1:30">
      <c r="A2356">
        <v>2354</v>
      </c>
      <c r="B2356">
        <v>39</v>
      </c>
      <c r="C2356">
        <v>2.383</v>
      </c>
      <c r="D2356">
        <v>4.57</v>
      </c>
      <c r="E2356">
        <v>0</v>
      </c>
      <c r="F2356">
        <v>1.6990000000000001</v>
      </c>
      <c r="G2356">
        <v>0</v>
      </c>
      <c r="H2356">
        <v>0.19600000000000001</v>
      </c>
      <c r="I2356">
        <v>4.0750000000000002</v>
      </c>
      <c r="K2356">
        <v>2354</v>
      </c>
      <c r="L2356">
        <v>39</v>
      </c>
      <c r="M2356" s="32">
        <v>2.383</v>
      </c>
      <c r="N2356" s="32">
        <v>4.57</v>
      </c>
      <c r="P2356" s="47">
        <v>1.7</v>
      </c>
      <c r="R2356" s="32">
        <v>0.19600000000000001</v>
      </c>
      <c r="S2356" s="47">
        <v>4.05</v>
      </c>
      <c r="T2356" s="31">
        <v>0</v>
      </c>
      <c r="V2356">
        <v>2354</v>
      </c>
      <c r="W2356">
        <v>37</v>
      </c>
      <c r="X2356">
        <v>2.395</v>
      </c>
      <c r="Y2356" s="32">
        <v>4.57</v>
      </c>
      <c r="Z2356">
        <v>0</v>
      </c>
      <c r="AA2356" s="32">
        <v>1.57</v>
      </c>
      <c r="AB2356">
        <v>0</v>
      </c>
      <c r="AC2356" s="34">
        <v>0.19700000000000001</v>
      </c>
      <c r="AD2356" s="32">
        <v>3.7610000000000001</v>
      </c>
    </row>
    <row r="2357" spans="1:30">
      <c r="A2357">
        <v>2355</v>
      </c>
      <c r="B2357">
        <v>39</v>
      </c>
      <c r="C2357">
        <v>2.3839999999999999</v>
      </c>
      <c r="D2357">
        <v>4.57</v>
      </c>
      <c r="E2357">
        <v>0</v>
      </c>
      <c r="F2357">
        <v>1.6990000000000001</v>
      </c>
      <c r="G2357">
        <v>0</v>
      </c>
      <c r="H2357">
        <v>0.19600000000000001</v>
      </c>
      <c r="I2357">
        <v>4.0780000000000003</v>
      </c>
      <c r="K2357">
        <v>2355</v>
      </c>
      <c r="L2357">
        <v>39</v>
      </c>
      <c r="M2357" s="32">
        <v>2.3839999999999999</v>
      </c>
      <c r="N2357" s="32">
        <v>4.57</v>
      </c>
      <c r="P2357" s="47">
        <v>1.7</v>
      </c>
      <c r="R2357" s="47">
        <v>0.19700000000000001</v>
      </c>
      <c r="S2357" s="47">
        <v>4.0519999999999996</v>
      </c>
      <c r="T2357" s="31">
        <v>0</v>
      </c>
      <c r="V2357">
        <v>2355</v>
      </c>
      <c r="W2357">
        <v>37</v>
      </c>
      <c r="X2357">
        <v>2.3959999999999999</v>
      </c>
      <c r="Y2357" s="32">
        <v>4.57</v>
      </c>
      <c r="Z2357">
        <v>0</v>
      </c>
      <c r="AA2357" s="32">
        <v>1.57</v>
      </c>
      <c r="AB2357">
        <v>0</v>
      </c>
      <c r="AC2357" s="34">
        <v>0.19700000000000001</v>
      </c>
      <c r="AD2357" s="32">
        <v>3.7629999999999999</v>
      </c>
    </row>
    <row r="2358" spans="1:30">
      <c r="A2358">
        <v>2356</v>
      </c>
      <c r="B2358">
        <v>39</v>
      </c>
      <c r="C2358">
        <v>2.3849999999999998</v>
      </c>
      <c r="D2358">
        <v>4.57</v>
      </c>
      <c r="E2358">
        <v>0</v>
      </c>
      <c r="F2358">
        <v>1.6990000000000001</v>
      </c>
      <c r="G2358">
        <v>0</v>
      </c>
      <c r="H2358">
        <v>0.19600000000000001</v>
      </c>
      <c r="I2358">
        <v>4.08</v>
      </c>
      <c r="K2358">
        <v>2356</v>
      </c>
      <c r="L2358">
        <v>39</v>
      </c>
      <c r="M2358" s="32">
        <v>2.3849999999999998</v>
      </c>
      <c r="N2358" s="32">
        <v>4.57</v>
      </c>
      <c r="P2358" s="47">
        <v>1.7</v>
      </c>
      <c r="R2358" s="47">
        <v>0.19700000000000001</v>
      </c>
      <c r="S2358" s="47">
        <v>4.0549999999999997</v>
      </c>
      <c r="T2358" s="31">
        <v>0</v>
      </c>
      <c r="V2358">
        <v>2356</v>
      </c>
      <c r="W2358">
        <v>37</v>
      </c>
      <c r="X2358">
        <v>2.3969999999999998</v>
      </c>
      <c r="Y2358" s="32">
        <v>4.57</v>
      </c>
      <c r="Z2358">
        <v>0</v>
      </c>
      <c r="AA2358" s="32">
        <v>1.57</v>
      </c>
      <c r="AB2358">
        <v>0</v>
      </c>
      <c r="AC2358" s="34">
        <v>0.19700000000000001</v>
      </c>
      <c r="AD2358" s="32">
        <v>3.7650000000000001</v>
      </c>
    </row>
    <row r="2359" spans="1:30">
      <c r="A2359">
        <v>2357</v>
      </c>
      <c r="B2359">
        <v>39</v>
      </c>
      <c r="C2359">
        <v>2.3860000000000001</v>
      </c>
      <c r="D2359">
        <v>4.57</v>
      </c>
      <c r="E2359">
        <v>0</v>
      </c>
      <c r="F2359">
        <v>1.6990000000000001</v>
      </c>
      <c r="G2359">
        <v>0</v>
      </c>
      <c r="H2359">
        <v>0.19600000000000001</v>
      </c>
      <c r="I2359">
        <v>4.0830000000000002</v>
      </c>
      <c r="K2359">
        <v>2357</v>
      </c>
      <c r="L2359">
        <v>39</v>
      </c>
      <c r="M2359" s="32">
        <v>2.3860000000000001</v>
      </c>
      <c r="N2359" s="32">
        <v>4.57</v>
      </c>
      <c r="P2359" s="47">
        <v>1.7</v>
      </c>
      <c r="R2359" s="47">
        <v>0.19700000000000001</v>
      </c>
      <c r="S2359" s="47">
        <v>4.0570000000000004</v>
      </c>
      <c r="T2359" s="31">
        <v>0</v>
      </c>
      <c r="V2359">
        <v>2357</v>
      </c>
      <c r="W2359">
        <v>37</v>
      </c>
      <c r="X2359">
        <v>2.3980000000000001</v>
      </c>
      <c r="Y2359" s="32">
        <v>4.57</v>
      </c>
      <c r="Z2359">
        <v>0</v>
      </c>
      <c r="AA2359" s="32">
        <v>1.571</v>
      </c>
      <c r="AB2359">
        <v>0</v>
      </c>
      <c r="AC2359" s="34">
        <v>0.19800000000000001</v>
      </c>
      <c r="AD2359" s="32">
        <v>3.7669999999999999</v>
      </c>
    </row>
    <row r="2360" spans="1:30">
      <c r="A2360">
        <v>2358</v>
      </c>
      <c r="B2360">
        <v>39</v>
      </c>
      <c r="C2360">
        <v>2.387</v>
      </c>
      <c r="D2360">
        <v>4.57</v>
      </c>
      <c r="E2360">
        <v>0</v>
      </c>
      <c r="F2360">
        <v>1.6990000000000001</v>
      </c>
      <c r="G2360">
        <v>0</v>
      </c>
      <c r="H2360">
        <v>0.19600000000000001</v>
      </c>
      <c r="I2360">
        <v>4.085</v>
      </c>
      <c r="K2360">
        <v>2358</v>
      </c>
      <c r="L2360">
        <v>39</v>
      </c>
      <c r="M2360" s="32">
        <v>2.387</v>
      </c>
      <c r="N2360" s="32">
        <v>4.57</v>
      </c>
      <c r="P2360" s="47">
        <v>1.7</v>
      </c>
      <c r="R2360" s="47">
        <v>0.19700000000000001</v>
      </c>
      <c r="S2360" s="47">
        <v>4.0590000000000002</v>
      </c>
      <c r="T2360" s="31">
        <v>0</v>
      </c>
      <c r="V2360">
        <v>2358</v>
      </c>
      <c r="W2360">
        <v>37</v>
      </c>
      <c r="X2360">
        <v>2.399</v>
      </c>
      <c r="Y2360" s="32">
        <v>4.57</v>
      </c>
      <c r="Z2360">
        <v>0</v>
      </c>
      <c r="AA2360" s="32">
        <v>1.571</v>
      </c>
      <c r="AB2360">
        <v>0</v>
      </c>
      <c r="AC2360" s="34">
        <v>0.19800000000000001</v>
      </c>
      <c r="AD2360" s="32">
        <v>3.7690000000000001</v>
      </c>
    </row>
    <row r="2361" spans="1:30">
      <c r="A2361">
        <v>2359</v>
      </c>
      <c r="B2361">
        <v>39</v>
      </c>
      <c r="C2361">
        <v>2.3879999999999999</v>
      </c>
      <c r="D2361">
        <v>4.57</v>
      </c>
      <c r="E2361">
        <v>0</v>
      </c>
      <c r="F2361">
        <v>1.6990000000000001</v>
      </c>
      <c r="G2361">
        <v>0</v>
      </c>
      <c r="H2361">
        <v>0.19600000000000001</v>
      </c>
      <c r="I2361">
        <v>4.0880000000000001</v>
      </c>
      <c r="K2361">
        <v>2359</v>
      </c>
      <c r="L2361">
        <v>39</v>
      </c>
      <c r="M2361" s="32">
        <v>2.3879999999999999</v>
      </c>
      <c r="N2361" s="32">
        <v>4.57</v>
      </c>
      <c r="P2361" s="47">
        <v>1.7010000000000001</v>
      </c>
      <c r="R2361" s="47">
        <v>0.19700000000000001</v>
      </c>
      <c r="S2361" s="47">
        <v>4.0609999999999999</v>
      </c>
      <c r="T2361" s="31">
        <v>0</v>
      </c>
      <c r="V2361">
        <v>2359</v>
      </c>
      <c r="W2361">
        <v>37</v>
      </c>
      <c r="X2361">
        <v>2.4</v>
      </c>
      <c r="Y2361" s="32">
        <v>4.57</v>
      </c>
      <c r="Z2361">
        <v>0</v>
      </c>
      <c r="AA2361" s="32">
        <v>1.571</v>
      </c>
      <c r="AB2361">
        <v>0</v>
      </c>
      <c r="AC2361" s="34">
        <v>0.19800000000000001</v>
      </c>
      <c r="AD2361" s="32">
        <v>3.7709999999999999</v>
      </c>
    </row>
    <row r="2362" spans="1:30">
      <c r="A2362">
        <v>2360</v>
      </c>
      <c r="B2362">
        <v>39</v>
      </c>
      <c r="C2362">
        <v>2.3889999999999998</v>
      </c>
      <c r="D2362">
        <v>4.57</v>
      </c>
      <c r="E2362">
        <v>0</v>
      </c>
      <c r="F2362">
        <v>1.6990000000000001</v>
      </c>
      <c r="G2362">
        <v>0</v>
      </c>
      <c r="H2362">
        <v>0.19600000000000001</v>
      </c>
      <c r="I2362">
        <v>4.09</v>
      </c>
      <c r="K2362">
        <v>2360</v>
      </c>
      <c r="L2362">
        <v>39</v>
      </c>
      <c r="M2362" s="32">
        <v>2.3889999999999998</v>
      </c>
      <c r="N2362" s="32">
        <v>4.57</v>
      </c>
      <c r="P2362" s="47">
        <v>1.7010000000000001</v>
      </c>
      <c r="R2362" s="47">
        <v>0.19700000000000001</v>
      </c>
      <c r="S2362" s="47">
        <v>4.0640000000000001</v>
      </c>
      <c r="T2362" s="31">
        <v>0</v>
      </c>
      <c r="V2362">
        <v>2360</v>
      </c>
      <c r="W2362">
        <v>37</v>
      </c>
      <c r="X2362">
        <v>2.4009999999999998</v>
      </c>
      <c r="Y2362" s="32">
        <v>4.57</v>
      </c>
      <c r="Z2362">
        <v>0</v>
      </c>
      <c r="AA2362" s="32">
        <v>1.571</v>
      </c>
      <c r="AB2362">
        <v>0</v>
      </c>
      <c r="AC2362" s="34">
        <v>0.19800000000000001</v>
      </c>
      <c r="AD2362" s="32">
        <v>3.7730000000000001</v>
      </c>
    </row>
    <row r="2363" spans="1:30">
      <c r="A2363">
        <v>2361</v>
      </c>
      <c r="B2363">
        <v>39</v>
      </c>
      <c r="C2363">
        <v>2.39</v>
      </c>
      <c r="D2363">
        <v>4.57</v>
      </c>
      <c r="E2363">
        <v>0</v>
      </c>
      <c r="F2363">
        <v>1.6990000000000001</v>
      </c>
      <c r="G2363">
        <v>0</v>
      </c>
      <c r="H2363">
        <v>0.19600000000000001</v>
      </c>
      <c r="I2363">
        <v>4.093</v>
      </c>
      <c r="K2363">
        <v>2361</v>
      </c>
      <c r="L2363">
        <v>39</v>
      </c>
      <c r="M2363" s="32">
        <v>2.39</v>
      </c>
      <c r="N2363" s="32">
        <v>4.57</v>
      </c>
      <c r="P2363" s="47">
        <v>1.7010000000000001</v>
      </c>
      <c r="R2363" s="47">
        <v>0.19700000000000001</v>
      </c>
      <c r="S2363" s="47">
        <v>4.0659999999999998</v>
      </c>
      <c r="T2363" s="31">
        <v>0</v>
      </c>
      <c r="V2363">
        <v>2361</v>
      </c>
      <c r="W2363">
        <v>37</v>
      </c>
      <c r="X2363">
        <v>2.4020000000000001</v>
      </c>
      <c r="Y2363" s="32">
        <v>4.57</v>
      </c>
      <c r="Z2363">
        <v>0</v>
      </c>
      <c r="AA2363" s="32">
        <v>1.5720000000000001</v>
      </c>
      <c r="AB2363">
        <v>0</v>
      </c>
      <c r="AC2363" s="34">
        <v>0.19800000000000001</v>
      </c>
      <c r="AD2363" s="32">
        <v>3.7759999999999998</v>
      </c>
    </row>
    <row r="2364" spans="1:30">
      <c r="A2364">
        <v>2362</v>
      </c>
      <c r="B2364">
        <v>39</v>
      </c>
      <c r="C2364">
        <v>2.391</v>
      </c>
      <c r="D2364">
        <v>4.57</v>
      </c>
      <c r="E2364">
        <v>0</v>
      </c>
      <c r="F2364">
        <v>1.7010000000000001</v>
      </c>
      <c r="G2364">
        <v>0</v>
      </c>
      <c r="H2364">
        <v>0.19600000000000001</v>
      </c>
      <c r="I2364">
        <v>4.1180000000000003</v>
      </c>
      <c r="K2364">
        <v>2362</v>
      </c>
      <c r="L2364">
        <v>39</v>
      </c>
      <c r="M2364" s="32">
        <v>2.391</v>
      </c>
      <c r="N2364" s="32">
        <v>4.57</v>
      </c>
      <c r="P2364" s="32">
        <v>1.7010000000000001</v>
      </c>
      <c r="R2364" s="47">
        <v>0.19700000000000001</v>
      </c>
      <c r="S2364" s="47">
        <v>4.0679999999999996</v>
      </c>
      <c r="T2364" s="31">
        <v>0</v>
      </c>
      <c r="V2364">
        <v>2362</v>
      </c>
      <c r="W2364">
        <v>37</v>
      </c>
      <c r="X2364">
        <v>2.403</v>
      </c>
      <c r="Y2364" s="32">
        <v>4.57</v>
      </c>
      <c r="Z2364">
        <v>0</v>
      </c>
      <c r="AA2364" s="32">
        <v>1.5720000000000001</v>
      </c>
      <c r="AB2364">
        <v>0</v>
      </c>
      <c r="AC2364" s="34">
        <v>0.19800000000000001</v>
      </c>
      <c r="AD2364" s="32">
        <v>3.778</v>
      </c>
    </row>
    <row r="2365" spans="1:30">
      <c r="A2365">
        <v>2363</v>
      </c>
      <c r="B2365">
        <v>39</v>
      </c>
      <c r="C2365">
        <v>2.3919999999999999</v>
      </c>
      <c r="D2365">
        <v>4.57</v>
      </c>
      <c r="E2365">
        <v>0</v>
      </c>
      <c r="F2365">
        <v>1.7010000000000001</v>
      </c>
      <c r="G2365">
        <v>0</v>
      </c>
      <c r="H2365">
        <v>0.19600000000000001</v>
      </c>
      <c r="I2365">
        <v>4.1210000000000004</v>
      </c>
      <c r="K2365">
        <v>2363</v>
      </c>
      <c r="L2365">
        <v>39</v>
      </c>
      <c r="M2365" s="32">
        <v>2.3919999999999999</v>
      </c>
      <c r="N2365" s="32">
        <v>4.57</v>
      </c>
      <c r="P2365" s="47">
        <v>1.702</v>
      </c>
      <c r="R2365" s="47">
        <v>0.19700000000000001</v>
      </c>
      <c r="S2365" s="47">
        <v>4.0709999999999997</v>
      </c>
      <c r="T2365" s="31">
        <v>0</v>
      </c>
      <c r="V2365">
        <v>2363</v>
      </c>
      <c r="W2365">
        <v>37</v>
      </c>
      <c r="X2365">
        <v>2.4039999999999999</v>
      </c>
      <c r="Y2365" s="32">
        <v>4.57</v>
      </c>
      <c r="Z2365">
        <v>0</v>
      </c>
      <c r="AA2365" s="32">
        <v>1.5720000000000001</v>
      </c>
      <c r="AB2365">
        <v>0</v>
      </c>
      <c r="AC2365" s="34">
        <v>0.19800000000000001</v>
      </c>
      <c r="AD2365" s="32">
        <v>3.78</v>
      </c>
    </row>
    <row r="2366" spans="1:30">
      <c r="A2366">
        <v>2364</v>
      </c>
      <c r="B2366">
        <v>39</v>
      </c>
      <c r="C2366">
        <v>2.3929999999999998</v>
      </c>
      <c r="D2366">
        <v>4.57</v>
      </c>
      <c r="E2366">
        <v>0</v>
      </c>
      <c r="F2366">
        <v>1.7010000000000001</v>
      </c>
      <c r="G2366">
        <v>0</v>
      </c>
      <c r="H2366">
        <v>0.19600000000000001</v>
      </c>
      <c r="I2366">
        <v>4.1230000000000002</v>
      </c>
      <c r="K2366">
        <v>2364</v>
      </c>
      <c r="L2366">
        <v>39</v>
      </c>
      <c r="M2366" s="32">
        <v>2.3929999999999998</v>
      </c>
      <c r="N2366" s="32">
        <v>4.57</v>
      </c>
      <c r="P2366" s="47">
        <v>1.702</v>
      </c>
      <c r="R2366" s="47">
        <v>0.19700000000000001</v>
      </c>
      <c r="S2366" s="47">
        <v>4.0730000000000004</v>
      </c>
      <c r="T2366" s="31">
        <v>0</v>
      </c>
      <c r="V2366">
        <v>2364</v>
      </c>
      <c r="W2366">
        <v>37</v>
      </c>
      <c r="X2366">
        <v>2.4049999999999998</v>
      </c>
      <c r="Y2366" s="32">
        <v>4.57</v>
      </c>
      <c r="Z2366">
        <v>0</v>
      </c>
      <c r="AA2366" s="32">
        <v>1.5720000000000001</v>
      </c>
      <c r="AB2366">
        <v>0</v>
      </c>
      <c r="AC2366" s="34">
        <v>0.19800000000000001</v>
      </c>
      <c r="AD2366" s="32">
        <v>3.782</v>
      </c>
    </row>
    <row r="2367" spans="1:30">
      <c r="A2367">
        <v>2365</v>
      </c>
      <c r="B2367">
        <v>39</v>
      </c>
      <c r="C2367">
        <v>2.3940000000000001</v>
      </c>
      <c r="D2367">
        <v>4.57</v>
      </c>
      <c r="E2367">
        <v>0</v>
      </c>
      <c r="F2367">
        <v>1.7010000000000001</v>
      </c>
      <c r="G2367">
        <v>0</v>
      </c>
      <c r="H2367">
        <v>0.19600000000000001</v>
      </c>
      <c r="I2367">
        <v>4.1260000000000003</v>
      </c>
      <c r="K2367">
        <v>2365</v>
      </c>
      <c r="L2367">
        <v>39</v>
      </c>
      <c r="M2367" s="32">
        <v>2.3940000000000001</v>
      </c>
      <c r="N2367" s="32">
        <v>4.57</v>
      </c>
      <c r="P2367" s="47">
        <v>1.702</v>
      </c>
      <c r="R2367" s="47">
        <v>0.19700000000000001</v>
      </c>
      <c r="S2367" s="47">
        <v>4.0750000000000002</v>
      </c>
      <c r="T2367" s="31">
        <v>0</v>
      </c>
      <c r="V2367">
        <v>2365</v>
      </c>
      <c r="W2367">
        <v>37</v>
      </c>
      <c r="X2367">
        <v>2.4060000000000001</v>
      </c>
      <c r="Y2367" s="32">
        <v>4.57</v>
      </c>
      <c r="Z2367">
        <v>0</v>
      </c>
      <c r="AA2367" s="32">
        <v>1.5720000000000001</v>
      </c>
      <c r="AB2367">
        <v>0</v>
      </c>
      <c r="AC2367" s="34">
        <v>0.19800000000000001</v>
      </c>
      <c r="AD2367" s="32">
        <v>3.7839999999999998</v>
      </c>
    </row>
    <row r="2368" spans="1:30">
      <c r="A2368">
        <v>2366</v>
      </c>
      <c r="B2368">
        <v>39</v>
      </c>
      <c r="C2368">
        <v>2.395</v>
      </c>
      <c r="D2368">
        <v>4.57</v>
      </c>
      <c r="E2368">
        <v>0</v>
      </c>
      <c r="F2368">
        <v>1.7010000000000001</v>
      </c>
      <c r="G2368">
        <v>0</v>
      </c>
      <c r="H2368">
        <v>0.19600000000000001</v>
      </c>
      <c r="I2368">
        <v>4.1280000000000001</v>
      </c>
      <c r="K2368">
        <v>2366</v>
      </c>
      <c r="L2368">
        <v>39</v>
      </c>
      <c r="M2368" s="32">
        <v>2.395</v>
      </c>
      <c r="N2368" s="32">
        <v>4.57</v>
      </c>
      <c r="P2368" s="47">
        <v>1.7030000000000001</v>
      </c>
      <c r="R2368" s="47">
        <v>0.19700000000000001</v>
      </c>
      <c r="S2368" s="47">
        <v>4.0780000000000003</v>
      </c>
      <c r="T2368" s="31">
        <v>0</v>
      </c>
      <c r="V2368">
        <v>2366</v>
      </c>
      <c r="W2368">
        <v>37</v>
      </c>
      <c r="X2368">
        <v>2.407</v>
      </c>
      <c r="Y2368" s="32">
        <v>4.57</v>
      </c>
      <c r="Z2368">
        <v>0</v>
      </c>
      <c r="AA2368" s="32">
        <v>1.573</v>
      </c>
      <c r="AB2368">
        <v>0</v>
      </c>
      <c r="AC2368" s="34">
        <v>0.19800000000000001</v>
      </c>
      <c r="AD2368" s="32">
        <v>3.786</v>
      </c>
    </row>
    <row r="2369" spans="1:30">
      <c r="A2369">
        <v>2367</v>
      </c>
      <c r="B2369">
        <v>39</v>
      </c>
      <c r="C2369">
        <v>2.3959999999999999</v>
      </c>
      <c r="D2369">
        <v>4.57</v>
      </c>
      <c r="E2369">
        <v>0</v>
      </c>
      <c r="F2369">
        <v>1.7010000000000001</v>
      </c>
      <c r="G2369">
        <v>0</v>
      </c>
      <c r="H2369">
        <v>0.19600000000000001</v>
      </c>
      <c r="I2369">
        <v>4.1310000000000002</v>
      </c>
      <c r="K2369">
        <v>2367</v>
      </c>
      <c r="L2369">
        <v>39</v>
      </c>
      <c r="M2369" s="32">
        <v>2.3959999999999999</v>
      </c>
      <c r="N2369" s="32">
        <v>4.57</v>
      </c>
      <c r="P2369" s="47">
        <v>1.7030000000000001</v>
      </c>
      <c r="R2369" s="47">
        <v>0.19700000000000001</v>
      </c>
      <c r="S2369" s="47">
        <v>4.08</v>
      </c>
      <c r="T2369" s="31">
        <v>0</v>
      </c>
      <c r="V2369">
        <v>2367</v>
      </c>
      <c r="W2369">
        <v>37</v>
      </c>
      <c r="X2369">
        <v>2.4079999999999999</v>
      </c>
      <c r="Y2369" s="32">
        <v>4.57</v>
      </c>
      <c r="Z2369">
        <v>0</v>
      </c>
      <c r="AA2369" s="32">
        <v>1.573</v>
      </c>
      <c r="AB2369">
        <v>0</v>
      </c>
      <c r="AC2369" s="34">
        <v>0.19800000000000001</v>
      </c>
      <c r="AD2369" s="32">
        <v>3.7879999999999998</v>
      </c>
    </row>
    <row r="2370" spans="1:30">
      <c r="A2370">
        <v>2368</v>
      </c>
      <c r="B2370">
        <v>39</v>
      </c>
      <c r="C2370">
        <v>2.3969999999999998</v>
      </c>
      <c r="D2370">
        <v>4.57</v>
      </c>
      <c r="E2370">
        <v>0</v>
      </c>
      <c r="F2370">
        <v>1.7010000000000001</v>
      </c>
      <c r="G2370">
        <v>0</v>
      </c>
      <c r="H2370">
        <v>0.19600000000000001</v>
      </c>
      <c r="I2370">
        <v>4.133</v>
      </c>
      <c r="K2370">
        <v>2368</v>
      </c>
      <c r="L2370">
        <v>39</v>
      </c>
      <c r="M2370" s="32">
        <v>2.3969999999999998</v>
      </c>
      <c r="N2370" s="32">
        <v>4.57</v>
      </c>
      <c r="P2370" s="47">
        <v>1.7030000000000001</v>
      </c>
      <c r="R2370" s="47">
        <v>0.19700000000000001</v>
      </c>
      <c r="S2370" s="47">
        <v>4.0819999999999999</v>
      </c>
      <c r="T2370" s="31">
        <v>0</v>
      </c>
      <c r="V2370">
        <v>2368</v>
      </c>
      <c r="W2370">
        <v>37</v>
      </c>
      <c r="X2370">
        <v>2.4089999999999998</v>
      </c>
      <c r="Y2370" s="32">
        <v>4.57</v>
      </c>
      <c r="Z2370">
        <v>0</v>
      </c>
      <c r="AA2370" s="32">
        <v>1.573</v>
      </c>
      <c r="AB2370">
        <v>0</v>
      </c>
      <c r="AC2370" s="34">
        <v>0.19800000000000001</v>
      </c>
      <c r="AD2370" s="32">
        <v>3.79</v>
      </c>
    </row>
    <row r="2371" spans="1:30">
      <c r="A2371">
        <v>2369</v>
      </c>
      <c r="B2371">
        <v>39</v>
      </c>
      <c r="C2371">
        <v>2.3980000000000001</v>
      </c>
      <c r="D2371">
        <v>4.57</v>
      </c>
      <c r="E2371">
        <v>0</v>
      </c>
      <c r="F2371">
        <v>1.7010000000000001</v>
      </c>
      <c r="G2371">
        <v>0</v>
      </c>
      <c r="H2371">
        <v>0.19600000000000001</v>
      </c>
      <c r="I2371">
        <v>4.1360000000000001</v>
      </c>
      <c r="K2371">
        <v>2369</v>
      </c>
      <c r="L2371">
        <v>39</v>
      </c>
      <c r="M2371" s="32">
        <v>2.3980000000000001</v>
      </c>
      <c r="N2371" s="32">
        <v>4.57</v>
      </c>
      <c r="P2371" s="47">
        <v>1.7030000000000001</v>
      </c>
      <c r="R2371" s="47">
        <v>0.19700000000000001</v>
      </c>
      <c r="S2371" s="47">
        <v>4.0839999999999996</v>
      </c>
      <c r="T2371" s="31">
        <v>0</v>
      </c>
      <c r="V2371">
        <v>2369</v>
      </c>
      <c r="W2371">
        <v>37</v>
      </c>
      <c r="X2371">
        <v>2.41</v>
      </c>
      <c r="Y2371" s="32">
        <v>4.57</v>
      </c>
      <c r="Z2371">
        <v>0</v>
      </c>
      <c r="AA2371" s="32">
        <v>1.573</v>
      </c>
      <c r="AB2371">
        <v>0</v>
      </c>
      <c r="AC2371" s="34">
        <v>0.19800000000000001</v>
      </c>
      <c r="AD2371" s="32">
        <v>3.7919999999999998</v>
      </c>
    </row>
    <row r="2372" spans="1:30">
      <c r="A2372">
        <v>2370</v>
      </c>
      <c r="B2372">
        <v>39</v>
      </c>
      <c r="C2372">
        <v>2.399</v>
      </c>
      <c r="D2372">
        <v>4.57</v>
      </c>
      <c r="E2372">
        <v>0</v>
      </c>
      <c r="F2372">
        <v>1.7010000000000001</v>
      </c>
      <c r="G2372">
        <v>0</v>
      </c>
      <c r="H2372">
        <v>0.19600000000000001</v>
      </c>
      <c r="I2372">
        <v>4.1379999999999999</v>
      </c>
      <c r="K2372">
        <v>2370</v>
      </c>
      <c r="L2372">
        <v>39</v>
      </c>
      <c r="M2372" s="32">
        <v>2.399</v>
      </c>
      <c r="N2372" s="32">
        <v>4.57</v>
      </c>
      <c r="P2372" s="47">
        <v>1.704</v>
      </c>
      <c r="R2372" s="47">
        <v>0.19700000000000001</v>
      </c>
      <c r="S2372" s="47">
        <v>4.0869999999999997</v>
      </c>
      <c r="T2372" s="31">
        <v>0</v>
      </c>
      <c r="V2372">
        <v>2370</v>
      </c>
      <c r="W2372">
        <v>37</v>
      </c>
      <c r="X2372">
        <v>2.411</v>
      </c>
      <c r="Y2372" s="32">
        <v>4.57</v>
      </c>
      <c r="Z2372">
        <v>0</v>
      </c>
      <c r="AA2372" s="32">
        <v>1.573</v>
      </c>
      <c r="AB2372">
        <v>0</v>
      </c>
      <c r="AC2372" s="34">
        <v>0.19800000000000001</v>
      </c>
      <c r="AD2372" s="32">
        <v>3.794</v>
      </c>
    </row>
    <row r="2373" spans="1:30">
      <c r="A2373">
        <v>2371</v>
      </c>
      <c r="B2373">
        <v>39</v>
      </c>
      <c r="C2373">
        <v>2.4</v>
      </c>
      <c r="D2373">
        <v>4.57</v>
      </c>
      <c r="E2373">
        <v>0</v>
      </c>
      <c r="F2373">
        <v>1.704</v>
      </c>
      <c r="G2373">
        <v>0</v>
      </c>
      <c r="H2373">
        <v>0.19600000000000001</v>
      </c>
      <c r="I2373">
        <v>4.0890000000000004</v>
      </c>
      <c r="K2373">
        <v>2371</v>
      </c>
      <c r="L2373">
        <v>39</v>
      </c>
      <c r="M2373" s="32">
        <v>2.4</v>
      </c>
      <c r="N2373" s="32">
        <v>4.57</v>
      </c>
      <c r="P2373" s="32">
        <v>1.704</v>
      </c>
      <c r="R2373" s="47">
        <v>0.19700000000000001</v>
      </c>
      <c r="S2373" s="32">
        <v>4.0890000000000004</v>
      </c>
      <c r="T2373" s="31">
        <v>0</v>
      </c>
      <c r="V2373">
        <v>2371</v>
      </c>
      <c r="W2373">
        <v>37</v>
      </c>
      <c r="X2373">
        <v>2.4119999999999999</v>
      </c>
      <c r="Y2373" s="32">
        <v>4.57</v>
      </c>
      <c r="Z2373">
        <v>0</v>
      </c>
      <c r="AA2373" s="32">
        <v>1.5740000000000001</v>
      </c>
      <c r="AB2373">
        <v>0</v>
      </c>
      <c r="AC2373" s="34">
        <v>0.19800000000000001</v>
      </c>
      <c r="AD2373" s="32">
        <v>3.7959999999999998</v>
      </c>
    </row>
    <row r="2374" spans="1:30">
      <c r="A2374">
        <v>2372</v>
      </c>
      <c r="B2374">
        <v>39</v>
      </c>
      <c r="C2374">
        <v>2.4009999999999998</v>
      </c>
      <c r="D2374">
        <v>4.57</v>
      </c>
      <c r="E2374">
        <v>0</v>
      </c>
      <c r="F2374">
        <v>1.704</v>
      </c>
      <c r="G2374">
        <v>0</v>
      </c>
      <c r="H2374">
        <v>0.19600000000000001</v>
      </c>
      <c r="I2374">
        <v>4.1660000000000004</v>
      </c>
      <c r="K2374">
        <v>2372</v>
      </c>
      <c r="L2374">
        <v>39</v>
      </c>
      <c r="M2374" s="32">
        <v>2.4009999999999998</v>
      </c>
      <c r="N2374" s="32">
        <v>4.57</v>
      </c>
      <c r="P2374" s="32">
        <v>1.704</v>
      </c>
      <c r="R2374" s="47">
        <v>0.19700000000000001</v>
      </c>
      <c r="S2374" s="47">
        <v>4.0910000000000002</v>
      </c>
      <c r="T2374" s="31">
        <v>0</v>
      </c>
      <c r="V2374">
        <v>2372</v>
      </c>
      <c r="W2374">
        <v>37</v>
      </c>
      <c r="X2374">
        <v>2.4129999999999998</v>
      </c>
      <c r="Y2374" s="32">
        <v>4.57</v>
      </c>
      <c r="Z2374">
        <v>0</v>
      </c>
      <c r="AA2374" s="32">
        <v>1.5740000000000001</v>
      </c>
      <c r="AB2374">
        <v>0</v>
      </c>
      <c r="AC2374" s="34">
        <v>0.19800000000000001</v>
      </c>
      <c r="AD2374" s="32">
        <v>3.7989999999999999</v>
      </c>
    </row>
    <row r="2375" spans="1:30">
      <c r="A2375">
        <v>2373</v>
      </c>
      <c r="B2375">
        <v>39</v>
      </c>
      <c r="C2375">
        <v>2.4020000000000001</v>
      </c>
      <c r="D2375">
        <v>4.57</v>
      </c>
      <c r="E2375">
        <v>0</v>
      </c>
      <c r="F2375">
        <v>1.704</v>
      </c>
      <c r="G2375">
        <v>0</v>
      </c>
      <c r="H2375">
        <v>0.19600000000000001</v>
      </c>
      <c r="I2375">
        <v>4.1689999999999996</v>
      </c>
      <c r="K2375">
        <v>2373</v>
      </c>
      <c r="L2375">
        <v>39</v>
      </c>
      <c r="M2375" s="32">
        <v>2.4020000000000001</v>
      </c>
      <c r="N2375" s="32">
        <v>4.57</v>
      </c>
      <c r="P2375" s="47">
        <v>1.7050000000000001</v>
      </c>
      <c r="R2375" s="47">
        <v>0.19700000000000001</v>
      </c>
      <c r="S2375" s="47">
        <v>4.0940000000000003</v>
      </c>
      <c r="T2375" s="31">
        <v>0</v>
      </c>
      <c r="V2375">
        <v>2373</v>
      </c>
      <c r="W2375">
        <v>37</v>
      </c>
      <c r="X2375">
        <v>2.4140000000000001</v>
      </c>
      <c r="Y2375" s="32">
        <v>4.57</v>
      </c>
      <c r="Z2375">
        <v>0</v>
      </c>
      <c r="AA2375" s="32">
        <v>1.5740000000000001</v>
      </c>
      <c r="AB2375">
        <v>0</v>
      </c>
      <c r="AC2375" s="34">
        <v>0.19800000000000001</v>
      </c>
      <c r="AD2375" s="32">
        <v>3.8010000000000002</v>
      </c>
    </row>
    <row r="2376" spans="1:30">
      <c r="A2376">
        <v>2374</v>
      </c>
      <c r="B2376">
        <v>39</v>
      </c>
      <c r="C2376">
        <v>2.403</v>
      </c>
      <c r="D2376">
        <v>4.57</v>
      </c>
      <c r="E2376">
        <v>0</v>
      </c>
      <c r="F2376">
        <v>1.704</v>
      </c>
      <c r="G2376">
        <v>0</v>
      </c>
      <c r="H2376">
        <v>0.19600000000000001</v>
      </c>
      <c r="I2376">
        <v>4.1710000000000003</v>
      </c>
      <c r="K2376">
        <v>2374</v>
      </c>
      <c r="L2376">
        <v>39</v>
      </c>
      <c r="M2376" s="32">
        <v>2.403</v>
      </c>
      <c r="N2376" s="32">
        <v>4.57</v>
      </c>
      <c r="P2376" s="47">
        <v>1.7050000000000001</v>
      </c>
      <c r="R2376" s="47">
        <v>0.19700000000000001</v>
      </c>
      <c r="S2376" s="47">
        <v>4.0960000000000001</v>
      </c>
      <c r="T2376" s="31">
        <v>0</v>
      </c>
      <c r="V2376">
        <v>2374</v>
      </c>
      <c r="W2376">
        <v>37</v>
      </c>
      <c r="X2376">
        <v>2.415</v>
      </c>
      <c r="Y2376" s="32">
        <v>4.57</v>
      </c>
      <c r="Z2376">
        <v>0</v>
      </c>
      <c r="AA2376" s="32">
        <v>1.5740000000000001</v>
      </c>
      <c r="AB2376">
        <v>0</v>
      </c>
      <c r="AC2376" s="34">
        <v>0.19800000000000001</v>
      </c>
      <c r="AD2376" s="32">
        <v>3.8029999999999999</v>
      </c>
    </row>
    <row r="2377" spans="1:30">
      <c r="A2377">
        <v>2375</v>
      </c>
      <c r="B2377">
        <v>39</v>
      </c>
      <c r="C2377">
        <v>2.4039999999999999</v>
      </c>
      <c r="D2377">
        <v>4.57</v>
      </c>
      <c r="E2377">
        <v>0</v>
      </c>
      <c r="F2377">
        <v>1.704</v>
      </c>
      <c r="G2377">
        <v>0</v>
      </c>
      <c r="H2377">
        <v>0.19600000000000001</v>
      </c>
      <c r="I2377">
        <v>4.1740000000000004</v>
      </c>
      <c r="K2377">
        <v>2375</v>
      </c>
      <c r="L2377">
        <v>39</v>
      </c>
      <c r="M2377" s="32">
        <v>2.4039999999999999</v>
      </c>
      <c r="N2377" s="32">
        <v>4.57</v>
      </c>
      <c r="P2377" s="47">
        <v>1.7050000000000001</v>
      </c>
      <c r="R2377" s="47">
        <v>0.19700000000000001</v>
      </c>
      <c r="S2377" s="47">
        <v>4.0990000000000002</v>
      </c>
      <c r="T2377" s="31">
        <v>0</v>
      </c>
      <c r="V2377">
        <v>2375</v>
      </c>
      <c r="W2377">
        <v>37</v>
      </c>
      <c r="X2377">
        <v>2.4159999999999999</v>
      </c>
      <c r="Y2377" s="32">
        <v>4.57</v>
      </c>
      <c r="Z2377">
        <v>0</v>
      </c>
      <c r="AA2377" s="32">
        <v>1.575</v>
      </c>
      <c r="AB2377">
        <v>0</v>
      </c>
      <c r="AC2377" s="34">
        <v>0.19800000000000001</v>
      </c>
      <c r="AD2377" s="32">
        <v>3.8050000000000002</v>
      </c>
    </row>
    <row r="2378" spans="1:30">
      <c r="A2378">
        <v>2376</v>
      </c>
      <c r="B2378">
        <v>39</v>
      </c>
      <c r="C2378">
        <v>2.4049999999999998</v>
      </c>
      <c r="D2378">
        <v>4.57</v>
      </c>
      <c r="E2378">
        <v>0</v>
      </c>
      <c r="F2378">
        <v>1.704</v>
      </c>
      <c r="G2378">
        <v>0</v>
      </c>
      <c r="H2378">
        <v>0.19600000000000001</v>
      </c>
      <c r="I2378">
        <v>4.1760000000000002</v>
      </c>
      <c r="K2378">
        <v>2376</v>
      </c>
      <c r="L2378">
        <v>39</v>
      </c>
      <c r="M2378" s="32">
        <v>2.4049999999999998</v>
      </c>
      <c r="N2378" s="32">
        <v>4.57</v>
      </c>
      <c r="P2378" s="47">
        <v>1.706</v>
      </c>
      <c r="R2378" s="47">
        <v>0.19700000000000001</v>
      </c>
      <c r="S2378" s="47">
        <v>4.101</v>
      </c>
      <c r="T2378" s="31">
        <v>0</v>
      </c>
      <c r="V2378">
        <v>2376</v>
      </c>
      <c r="W2378">
        <v>37</v>
      </c>
      <c r="X2378">
        <v>2.4169999999999998</v>
      </c>
      <c r="Y2378" s="32">
        <v>4.57</v>
      </c>
      <c r="Z2378">
        <v>0</v>
      </c>
      <c r="AA2378" s="32">
        <v>1.575</v>
      </c>
      <c r="AB2378">
        <v>0</v>
      </c>
      <c r="AC2378" s="34">
        <v>0.19800000000000001</v>
      </c>
      <c r="AD2378" s="32">
        <v>3.8069999999999999</v>
      </c>
    </row>
    <row r="2379" spans="1:30">
      <c r="A2379">
        <v>2377</v>
      </c>
      <c r="B2379">
        <v>39</v>
      </c>
      <c r="C2379">
        <v>2.4060000000000001</v>
      </c>
      <c r="D2379">
        <v>4.57</v>
      </c>
      <c r="E2379">
        <v>0</v>
      </c>
      <c r="F2379">
        <v>1.704</v>
      </c>
      <c r="G2379">
        <v>0</v>
      </c>
      <c r="H2379">
        <v>0.19600000000000001</v>
      </c>
      <c r="I2379">
        <v>4.1790000000000003</v>
      </c>
      <c r="K2379">
        <v>2377</v>
      </c>
      <c r="L2379">
        <v>39</v>
      </c>
      <c r="M2379" s="32">
        <v>2.4060000000000001</v>
      </c>
      <c r="N2379" s="32">
        <v>4.57</v>
      </c>
      <c r="P2379" s="47">
        <v>1.706</v>
      </c>
      <c r="R2379" s="47">
        <v>0.19700000000000001</v>
      </c>
      <c r="S2379" s="47">
        <v>4.1029999999999998</v>
      </c>
      <c r="T2379" s="31">
        <v>0</v>
      </c>
      <c r="V2379">
        <v>2377</v>
      </c>
      <c r="W2379">
        <v>37</v>
      </c>
      <c r="X2379">
        <v>2.4180000000000001</v>
      </c>
      <c r="Y2379" s="32">
        <v>4.57</v>
      </c>
      <c r="Z2379">
        <v>0</v>
      </c>
      <c r="AA2379" s="32">
        <v>1.575</v>
      </c>
      <c r="AB2379">
        <v>0</v>
      </c>
      <c r="AC2379" s="34">
        <v>0.19800000000000001</v>
      </c>
      <c r="AD2379" s="32">
        <v>3.8090000000000002</v>
      </c>
    </row>
    <row r="2380" spans="1:30">
      <c r="A2380">
        <v>2378</v>
      </c>
      <c r="B2380">
        <v>39</v>
      </c>
      <c r="C2380">
        <v>2.407</v>
      </c>
      <c r="D2380">
        <v>4.57</v>
      </c>
      <c r="E2380">
        <v>0</v>
      </c>
      <c r="F2380">
        <v>1.704</v>
      </c>
      <c r="G2380">
        <v>0</v>
      </c>
      <c r="H2380">
        <v>0.19600000000000001</v>
      </c>
      <c r="I2380">
        <v>4.181</v>
      </c>
      <c r="K2380">
        <v>2378</v>
      </c>
      <c r="L2380">
        <v>39</v>
      </c>
      <c r="M2380" s="32">
        <v>2.407</v>
      </c>
      <c r="N2380" s="32">
        <v>4.57</v>
      </c>
      <c r="P2380" s="47">
        <v>1.706</v>
      </c>
      <c r="R2380" s="47">
        <v>0.19700000000000001</v>
      </c>
      <c r="S2380" s="47">
        <v>4.1059999999999999</v>
      </c>
      <c r="T2380" s="31">
        <v>0</v>
      </c>
      <c r="V2380">
        <v>2378</v>
      </c>
      <c r="W2380">
        <v>37</v>
      </c>
      <c r="X2380">
        <v>2.419</v>
      </c>
      <c r="Y2380" s="32">
        <v>4.57</v>
      </c>
      <c r="Z2380">
        <v>0</v>
      </c>
      <c r="AA2380" s="32">
        <v>1.575</v>
      </c>
      <c r="AB2380">
        <v>0</v>
      </c>
      <c r="AC2380" s="34">
        <v>0.19800000000000001</v>
      </c>
      <c r="AD2380" s="32">
        <v>3.8109999999999999</v>
      </c>
    </row>
    <row r="2381" spans="1:30">
      <c r="A2381">
        <v>2379</v>
      </c>
      <c r="B2381">
        <v>39</v>
      </c>
      <c r="C2381">
        <v>2.4079999999999999</v>
      </c>
      <c r="D2381">
        <v>4.57</v>
      </c>
      <c r="E2381">
        <v>0</v>
      </c>
      <c r="F2381">
        <v>1.704</v>
      </c>
      <c r="G2381">
        <v>0</v>
      </c>
      <c r="H2381">
        <v>0.19600000000000001</v>
      </c>
      <c r="I2381">
        <v>4.1840000000000002</v>
      </c>
      <c r="K2381">
        <v>2379</v>
      </c>
      <c r="L2381">
        <v>39</v>
      </c>
      <c r="M2381" s="32">
        <v>2.4079999999999999</v>
      </c>
      <c r="N2381" s="32">
        <v>4.57</v>
      </c>
      <c r="P2381" s="47">
        <v>1.706</v>
      </c>
      <c r="R2381" s="47">
        <v>0.19700000000000001</v>
      </c>
      <c r="S2381" s="47">
        <v>4.1079999999999997</v>
      </c>
      <c r="T2381" s="31">
        <v>0</v>
      </c>
      <c r="V2381">
        <v>2379</v>
      </c>
      <c r="W2381">
        <v>37</v>
      </c>
      <c r="X2381">
        <v>2.42</v>
      </c>
      <c r="Y2381" s="32">
        <v>4.57</v>
      </c>
      <c r="Z2381">
        <v>0</v>
      </c>
      <c r="AA2381" s="32">
        <v>1.575</v>
      </c>
      <c r="AB2381">
        <v>0</v>
      </c>
      <c r="AC2381" s="34">
        <v>0.19800000000000001</v>
      </c>
      <c r="AD2381" s="32">
        <v>3.8130000000000002</v>
      </c>
    </row>
    <row r="2382" spans="1:30">
      <c r="A2382">
        <v>2380</v>
      </c>
      <c r="B2382">
        <v>39</v>
      </c>
      <c r="C2382">
        <v>2.4089999999999998</v>
      </c>
      <c r="D2382">
        <v>4.57</v>
      </c>
      <c r="E2382">
        <v>0</v>
      </c>
      <c r="F2382">
        <v>1.704</v>
      </c>
      <c r="G2382">
        <v>0</v>
      </c>
      <c r="H2382">
        <v>0.19600000000000001</v>
      </c>
      <c r="I2382">
        <v>4.1859999999999999</v>
      </c>
      <c r="K2382">
        <v>2380</v>
      </c>
      <c r="L2382">
        <v>39</v>
      </c>
      <c r="M2382" s="32">
        <v>2.4089999999999998</v>
      </c>
      <c r="N2382" s="32">
        <v>4.57</v>
      </c>
      <c r="P2382" s="47">
        <v>1.7070000000000001</v>
      </c>
      <c r="R2382" s="47">
        <v>0.19700000000000001</v>
      </c>
      <c r="S2382" s="47">
        <v>4.1109999999999998</v>
      </c>
      <c r="T2382" s="31">
        <v>0</v>
      </c>
      <c r="V2382">
        <v>2380</v>
      </c>
      <c r="W2382">
        <v>37</v>
      </c>
      <c r="X2382">
        <v>2.4209999999999998</v>
      </c>
      <c r="Y2382" s="32">
        <v>4.57</v>
      </c>
      <c r="Z2382">
        <v>0</v>
      </c>
      <c r="AA2382" s="32">
        <v>1.5760000000000001</v>
      </c>
      <c r="AB2382">
        <v>0</v>
      </c>
      <c r="AC2382" s="34">
        <v>0.19800000000000001</v>
      </c>
      <c r="AD2382" s="32">
        <v>3.8149999999999999</v>
      </c>
    </row>
    <row r="2383" spans="1:30">
      <c r="A2383">
        <v>2381</v>
      </c>
      <c r="B2383">
        <v>39</v>
      </c>
      <c r="C2383">
        <v>2.41</v>
      </c>
      <c r="D2383">
        <v>4.57</v>
      </c>
      <c r="E2383">
        <v>0</v>
      </c>
      <c r="F2383">
        <v>1.704</v>
      </c>
      <c r="G2383">
        <v>0</v>
      </c>
      <c r="H2383">
        <v>0.19600000000000001</v>
      </c>
      <c r="I2383">
        <v>4.1890000000000001</v>
      </c>
      <c r="K2383">
        <v>2381</v>
      </c>
      <c r="L2383">
        <v>39</v>
      </c>
      <c r="M2383" s="32">
        <v>2.41</v>
      </c>
      <c r="N2383" s="32">
        <v>4.57</v>
      </c>
      <c r="P2383" s="47">
        <v>1.7070000000000001</v>
      </c>
      <c r="R2383" s="47">
        <v>0.19800000000000001</v>
      </c>
      <c r="S2383" s="47">
        <v>4.1130000000000004</v>
      </c>
      <c r="T2383" s="31">
        <v>0</v>
      </c>
      <c r="V2383">
        <v>2381</v>
      </c>
      <c r="W2383">
        <v>37</v>
      </c>
      <c r="X2383">
        <v>2.4220000000000002</v>
      </c>
      <c r="Y2383" s="32">
        <v>4.57</v>
      </c>
      <c r="Z2383">
        <v>0</v>
      </c>
      <c r="AA2383" s="32">
        <v>1.5760000000000001</v>
      </c>
      <c r="AB2383">
        <v>0</v>
      </c>
      <c r="AC2383" s="34">
        <v>0.19900000000000001</v>
      </c>
      <c r="AD2383" s="32">
        <v>3.8170000000000002</v>
      </c>
    </row>
    <row r="2384" spans="1:30">
      <c r="A2384">
        <v>2382</v>
      </c>
      <c r="B2384">
        <v>39</v>
      </c>
      <c r="C2384">
        <v>2.411</v>
      </c>
      <c r="D2384">
        <v>4.57</v>
      </c>
      <c r="E2384">
        <v>0</v>
      </c>
      <c r="F2384">
        <v>1.7070000000000001</v>
      </c>
      <c r="G2384">
        <v>0</v>
      </c>
      <c r="H2384">
        <v>0.19600000000000001</v>
      </c>
      <c r="I2384">
        <v>4.2149999999999999</v>
      </c>
      <c r="K2384">
        <v>2382</v>
      </c>
      <c r="L2384">
        <v>39</v>
      </c>
      <c r="M2384" s="32">
        <v>2.411</v>
      </c>
      <c r="N2384" s="32">
        <v>4.57</v>
      </c>
      <c r="P2384" s="32">
        <v>1.7070000000000001</v>
      </c>
      <c r="R2384" s="47">
        <v>0.19800000000000001</v>
      </c>
      <c r="S2384" s="47">
        <v>4.1150000000000002</v>
      </c>
      <c r="T2384" s="31">
        <v>0</v>
      </c>
      <c r="V2384">
        <v>2382</v>
      </c>
      <c r="W2384">
        <v>37</v>
      </c>
      <c r="X2384">
        <v>2.423</v>
      </c>
      <c r="Y2384" s="32">
        <v>4.57</v>
      </c>
      <c r="Z2384">
        <v>0</v>
      </c>
      <c r="AA2384" s="32">
        <v>1.5760000000000001</v>
      </c>
      <c r="AB2384">
        <v>0</v>
      </c>
      <c r="AC2384" s="34">
        <v>0.19900000000000001</v>
      </c>
      <c r="AD2384" s="32">
        <v>3.819</v>
      </c>
    </row>
    <row r="2385" spans="1:30">
      <c r="A2385">
        <v>2383</v>
      </c>
      <c r="B2385">
        <v>39</v>
      </c>
      <c r="C2385">
        <v>2.4119999999999999</v>
      </c>
      <c r="D2385">
        <v>4.57</v>
      </c>
      <c r="E2385">
        <v>0</v>
      </c>
      <c r="F2385">
        <v>1.7070000000000001</v>
      </c>
      <c r="G2385">
        <v>0</v>
      </c>
      <c r="H2385">
        <v>0.19600000000000001</v>
      </c>
      <c r="I2385">
        <v>4.2169999999999996</v>
      </c>
      <c r="K2385">
        <v>2383</v>
      </c>
      <c r="L2385">
        <v>39</v>
      </c>
      <c r="M2385" s="32">
        <v>2.4119999999999999</v>
      </c>
      <c r="N2385" s="32">
        <v>4.57</v>
      </c>
      <c r="P2385" s="32">
        <v>1.7070000000000001</v>
      </c>
      <c r="R2385" s="47">
        <v>0.19800000000000001</v>
      </c>
      <c r="S2385" s="47">
        <v>4.1180000000000003</v>
      </c>
      <c r="T2385" s="31">
        <v>0</v>
      </c>
      <c r="V2385">
        <v>2383</v>
      </c>
      <c r="W2385">
        <v>37</v>
      </c>
      <c r="X2385">
        <v>2.4239999999999999</v>
      </c>
      <c r="Y2385" s="32">
        <v>4.57</v>
      </c>
      <c r="Z2385">
        <v>0</v>
      </c>
      <c r="AA2385" s="32">
        <v>1.5760000000000001</v>
      </c>
      <c r="AB2385">
        <v>0</v>
      </c>
      <c r="AC2385" s="34">
        <v>0.19900000000000001</v>
      </c>
      <c r="AD2385" s="32">
        <v>3.8220000000000001</v>
      </c>
    </row>
    <row r="2386" spans="1:30">
      <c r="A2386">
        <v>2384</v>
      </c>
      <c r="B2386">
        <v>39</v>
      </c>
      <c r="C2386">
        <v>2.4129999999999998</v>
      </c>
      <c r="D2386">
        <v>4.57</v>
      </c>
      <c r="E2386">
        <v>0</v>
      </c>
      <c r="F2386">
        <v>1.7070000000000001</v>
      </c>
      <c r="G2386">
        <v>0</v>
      </c>
      <c r="H2386">
        <v>0.19600000000000001</v>
      </c>
      <c r="I2386">
        <v>4.22</v>
      </c>
      <c r="K2386">
        <v>2384</v>
      </c>
      <c r="L2386">
        <v>39</v>
      </c>
      <c r="M2386" s="32">
        <v>2.4129999999999998</v>
      </c>
      <c r="N2386" s="32">
        <v>4.57</v>
      </c>
      <c r="P2386" s="47">
        <v>1.708</v>
      </c>
      <c r="R2386" s="47">
        <v>0.19800000000000001</v>
      </c>
      <c r="S2386" s="47">
        <v>4.12</v>
      </c>
      <c r="T2386" s="31">
        <v>0</v>
      </c>
      <c r="V2386">
        <v>2384</v>
      </c>
      <c r="W2386">
        <v>37</v>
      </c>
      <c r="X2386">
        <v>2.4249999999999998</v>
      </c>
      <c r="Y2386" s="32">
        <v>4.57</v>
      </c>
      <c r="Z2386">
        <v>0</v>
      </c>
      <c r="AA2386" s="32">
        <v>1.577</v>
      </c>
      <c r="AB2386">
        <v>0</v>
      </c>
      <c r="AC2386" s="34">
        <v>0.19900000000000001</v>
      </c>
      <c r="AD2386" s="32">
        <v>3.8239999999999998</v>
      </c>
    </row>
    <row r="2387" spans="1:30">
      <c r="A2387">
        <v>2385</v>
      </c>
      <c r="B2387">
        <v>39</v>
      </c>
      <c r="C2387">
        <v>2.4140000000000001</v>
      </c>
      <c r="D2387">
        <v>4.57</v>
      </c>
      <c r="E2387">
        <v>0</v>
      </c>
      <c r="F2387">
        <v>1.7070000000000001</v>
      </c>
      <c r="G2387">
        <v>0</v>
      </c>
      <c r="H2387">
        <v>0.19600000000000001</v>
      </c>
      <c r="I2387">
        <v>4.2220000000000004</v>
      </c>
      <c r="K2387">
        <v>2385</v>
      </c>
      <c r="L2387">
        <v>39</v>
      </c>
      <c r="M2387" s="32">
        <v>2.4140000000000001</v>
      </c>
      <c r="N2387" s="32">
        <v>4.57</v>
      </c>
      <c r="P2387" s="47">
        <v>1.708</v>
      </c>
      <c r="R2387" s="47">
        <v>0.19800000000000001</v>
      </c>
      <c r="S2387" s="47">
        <v>4.1219999999999999</v>
      </c>
      <c r="T2387" s="31">
        <v>0</v>
      </c>
      <c r="V2387">
        <v>2385</v>
      </c>
      <c r="W2387">
        <v>37</v>
      </c>
      <c r="X2387">
        <v>2.4260000000000002</v>
      </c>
      <c r="Y2387" s="32">
        <v>4.57</v>
      </c>
      <c r="Z2387">
        <v>0</v>
      </c>
      <c r="AA2387" s="32">
        <v>1.577</v>
      </c>
      <c r="AB2387">
        <v>0</v>
      </c>
      <c r="AC2387" s="34">
        <v>0.19900000000000001</v>
      </c>
      <c r="AD2387" s="32">
        <v>3.8260000000000001</v>
      </c>
    </row>
    <row r="2388" spans="1:30">
      <c r="A2388">
        <v>2386</v>
      </c>
      <c r="B2388">
        <v>39</v>
      </c>
      <c r="C2388">
        <v>2.415</v>
      </c>
      <c r="D2388">
        <v>4.57</v>
      </c>
      <c r="E2388">
        <v>0</v>
      </c>
      <c r="F2388">
        <v>1.7070000000000001</v>
      </c>
      <c r="G2388">
        <v>0</v>
      </c>
      <c r="H2388">
        <v>0.19600000000000001</v>
      </c>
      <c r="I2388">
        <v>4.2249999999999996</v>
      </c>
      <c r="K2388">
        <v>2386</v>
      </c>
      <c r="L2388">
        <v>39</v>
      </c>
      <c r="M2388" s="32">
        <v>2.415</v>
      </c>
      <c r="N2388" s="32">
        <v>4.57</v>
      </c>
      <c r="P2388" s="47">
        <v>1.708</v>
      </c>
      <c r="R2388" s="47">
        <v>0.19800000000000001</v>
      </c>
      <c r="S2388" s="47">
        <v>4.125</v>
      </c>
      <c r="T2388" s="31">
        <v>0</v>
      </c>
      <c r="V2388">
        <v>2386</v>
      </c>
      <c r="W2388">
        <v>37</v>
      </c>
      <c r="X2388">
        <v>2.427</v>
      </c>
      <c r="Y2388" s="32">
        <v>4.57</v>
      </c>
      <c r="Z2388">
        <v>0</v>
      </c>
      <c r="AA2388" s="32">
        <v>1.577</v>
      </c>
      <c r="AB2388">
        <v>0</v>
      </c>
      <c r="AC2388" s="34">
        <v>0.19900000000000001</v>
      </c>
      <c r="AD2388" s="32">
        <v>3.8279999999999998</v>
      </c>
    </row>
    <row r="2389" spans="1:30">
      <c r="A2389">
        <v>2387</v>
      </c>
      <c r="B2389">
        <v>39</v>
      </c>
      <c r="C2389">
        <v>2.4159999999999999</v>
      </c>
      <c r="D2389">
        <v>4.57</v>
      </c>
      <c r="E2389">
        <v>0</v>
      </c>
      <c r="F2389">
        <v>1.7070000000000001</v>
      </c>
      <c r="G2389">
        <v>0</v>
      </c>
      <c r="H2389">
        <v>0.19600000000000001</v>
      </c>
      <c r="I2389">
        <v>4.2270000000000003</v>
      </c>
      <c r="K2389">
        <v>2387</v>
      </c>
      <c r="L2389">
        <v>39</v>
      </c>
      <c r="M2389" s="32">
        <v>2.4159999999999999</v>
      </c>
      <c r="N2389" s="32">
        <v>4.57</v>
      </c>
      <c r="P2389" s="47">
        <v>1.708</v>
      </c>
      <c r="R2389" s="47">
        <v>0.19800000000000001</v>
      </c>
      <c r="S2389" s="47">
        <v>4.1269999999999998</v>
      </c>
      <c r="T2389" s="31">
        <v>0</v>
      </c>
      <c r="V2389">
        <v>2387</v>
      </c>
      <c r="W2389">
        <v>37</v>
      </c>
      <c r="X2389">
        <v>2.4279999999999999</v>
      </c>
      <c r="Y2389" s="32">
        <v>4.57</v>
      </c>
      <c r="Z2389">
        <v>0</v>
      </c>
      <c r="AA2389" s="32">
        <v>1.577</v>
      </c>
      <c r="AB2389">
        <v>0</v>
      </c>
      <c r="AC2389" s="34">
        <v>0.19900000000000001</v>
      </c>
      <c r="AD2389" s="32">
        <v>3.83</v>
      </c>
    </row>
    <row r="2390" spans="1:30">
      <c r="A2390">
        <v>2388</v>
      </c>
      <c r="B2390">
        <v>39</v>
      </c>
      <c r="C2390">
        <v>2.4169999999999998</v>
      </c>
      <c r="D2390">
        <v>4.57</v>
      </c>
      <c r="E2390">
        <v>0</v>
      </c>
      <c r="F2390">
        <v>1.7070000000000001</v>
      </c>
      <c r="G2390">
        <v>0</v>
      </c>
      <c r="H2390">
        <v>0.19600000000000001</v>
      </c>
      <c r="I2390">
        <v>4.2300000000000004</v>
      </c>
      <c r="K2390">
        <v>2388</v>
      </c>
      <c r="L2390">
        <v>39</v>
      </c>
      <c r="M2390" s="32">
        <v>2.4169999999999998</v>
      </c>
      <c r="N2390" s="32">
        <v>4.57</v>
      </c>
      <c r="P2390" s="47">
        <v>1.708</v>
      </c>
      <c r="R2390" s="47">
        <v>0.19800000000000001</v>
      </c>
      <c r="S2390" s="47">
        <v>4.1289999999999996</v>
      </c>
      <c r="T2390" s="31">
        <v>0</v>
      </c>
      <c r="V2390">
        <v>2388</v>
      </c>
      <c r="W2390">
        <v>37</v>
      </c>
      <c r="X2390">
        <v>2.4289999999999998</v>
      </c>
      <c r="Y2390" s="32">
        <v>4.57</v>
      </c>
      <c r="Z2390">
        <v>0</v>
      </c>
      <c r="AA2390" s="32">
        <v>1.577</v>
      </c>
      <c r="AB2390">
        <v>0</v>
      </c>
      <c r="AC2390" s="34">
        <v>0.19900000000000001</v>
      </c>
      <c r="AD2390" s="32">
        <v>3.8319999999999999</v>
      </c>
    </row>
    <row r="2391" spans="1:30">
      <c r="A2391">
        <v>2389</v>
      </c>
      <c r="B2391">
        <v>39</v>
      </c>
      <c r="C2391">
        <v>2.4180000000000001</v>
      </c>
      <c r="D2391">
        <v>4.57</v>
      </c>
      <c r="E2391">
        <v>0</v>
      </c>
      <c r="F2391">
        <v>1.7070000000000001</v>
      </c>
      <c r="G2391">
        <v>0</v>
      </c>
      <c r="H2391">
        <v>0.19600000000000001</v>
      </c>
      <c r="I2391">
        <v>4.2320000000000002</v>
      </c>
      <c r="K2391">
        <v>2389</v>
      </c>
      <c r="L2391">
        <v>39</v>
      </c>
      <c r="M2391" s="32">
        <v>2.4180000000000001</v>
      </c>
      <c r="N2391" s="32">
        <v>4.57</v>
      </c>
      <c r="P2391" s="47">
        <v>1.7090000000000001</v>
      </c>
      <c r="R2391" s="47">
        <v>0.19800000000000001</v>
      </c>
      <c r="S2391" s="47">
        <v>4.1310000000000002</v>
      </c>
      <c r="T2391" s="31">
        <v>0</v>
      </c>
      <c r="V2391">
        <v>2389</v>
      </c>
      <c r="W2391">
        <v>37</v>
      </c>
      <c r="X2391">
        <v>2.4300000000000002</v>
      </c>
      <c r="Y2391" s="32">
        <v>4.57</v>
      </c>
      <c r="Z2391">
        <v>0</v>
      </c>
      <c r="AA2391" s="32">
        <v>1.5780000000000001</v>
      </c>
      <c r="AB2391">
        <v>0</v>
      </c>
      <c r="AC2391" s="34">
        <v>0.19900000000000001</v>
      </c>
      <c r="AD2391" s="32">
        <v>3.8340000000000001</v>
      </c>
    </row>
    <row r="2392" spans="1:30">
      <c r="A2392">
        <v>2390</v>
      </c>
      <c r="B2392">
        <v>39</v>
      </c>
      <c r="C2392">
        <v>2.419</v>
      </c>
      <c r="D2392">
        <v>4.57</v>
      </c>
      <c r="E2392">
        <v>0</v>
      </c>
      <c r="F2392">
        <v>1.7070000000000001</v>
      </c>
      <c r="G2392">
        <v>0</v>
      </c>
      <c r="H2392">
        <v>0.19600000000000001</v>
      </c>
      <c r="I2392">
        <v>4.2350000000000003</v>
      </c>
      <c r="K2392">
        <v>2390</v>
      </c>
      <c r="L2392">
        <v>39</v>
      </c>
      <c r="M2392" s="32">
        <v>2.419</v>
      </c>
      <c r="N2392" s="32">
        <v>4.57</v>
      </c>
      <c r="P2392" s="47">
        <v>1.7090000000000001</v>
      </c>
      <c r="R2392" s="47">
        <v>0.19800000000000001</v>
      </c>
      <c r="S2392" s="47">
        <v>4.1340000000000003</v>
      </c>
      <c r="T2392" s="31">
        <v>0</v>
      </c>
      <c r="V2392">
        <v>2390</v>
      </c>
      <c r="W2392">
        <v>37</v>
      </c>
      <c r="X2392">
        <v>2.431</v>
      </c>
      <c r="Y2392" s="32">
        <v>4.57</v>
      </c>
      <c r="Z2392">
        <v>0</v>
      </c>
      <c r="AA2392" s="32">
        <v>1.5780000000000001</v>
      </c>
      <c r="AB2392">
        <v>0</v>
      </c>
      <c r="AC2392" s="34">
        <v>0.19900000000000001</v>
      </c>
      <c r="AD2392" s="32">
        <v>3.8359999999999999</v>
      </c>
    </row>
    <row r="2393" spans="1:30">
      <c r="A2393">
        <v>2391</v>
      </c>
      <c r="B2393">
        <v>39</v>
      </c>
      <c r="C2393">
        <v>2.42</v>
      </c>
      <c r="D2393">
        <v>4.57</v>
      </c>
      <c r="E2393">
        <v>0</v>
      </c>
      <c r="F2393">
        <v>1.7090000000000001</v>
      </c>
      <c r="G2393">
        <v>0</v>
      </c>
      <c r="H2393">
        <v>0.19600000000000001</v>
      </c>
      <c r="I2393">
        <v>4.1360000000000001</v>
      </c>
      <c r="K2393">
        <v>2391</v>
      </c>
      <c r="L2393">
        <v>39</v>
      </c>
      <c r="M2393" s="32">
        <v>2.42</v>
      </c>
      <c r="N2393" s="32">
        <v>4.57</v>
      </c>
      <c r="P2393" s="32">
        <v>1.7090000000000001</v>
      </c>
      <c r="R2393" s="47">
        <v>0.19800000000000001</v>
      </c>
      <c r="S2393" s="32">
        <v>4.1360000000000001</v>
      </c>
      <c r="T2393" s="31">
        <v>0</v>
      </c>
      <c r="V2393">
        <v>2391</v>
      </c>
      <c r="W2393">
        <v>37</v>
      </c>
      <c r="X2393">
        <v>2.4319999999999999</v>
      </c>
      <c r="Y2393" s="32">
        <v>4.57</v>
      </c>
      <c r="Z2393">
        <v>0</v>
      </c>
      <c r="AA2393" s="32">
        <v>1.5780000000000001</v>
      </c>
      <c r="AB2393">
        <v>0</v>
      </c>
      <c r="AC2393" s="34">
        <v>0.19900000000000001</v>
      </c>
      <c r="AD2393" s="32">
        <v>3.8380000000000001</v>
      </c>
    </row>
    <row r="2394" spans="1:30">
      <c r="A2394">
        <v>2392</v>
      </c>
      <c r="B2394">
        <v>39</v>
      </c>
      <c r="C2394">
        <v>2.4209999999999998</v>
      </c>
      <c r="D2394">
        <v>4.57</v>
      </c>
      <c r="E2394">
        <v>0</v>
      </c>
      <c r="F2394">
        <v>1.7090000000000001</v>
      </c>
      <c r="G2394">
        <v>0</v>
      </c>
      <c r="H2394">
        <v>0.19600000000000001</v>
      </c>
      <c r="I2394">
        <v>4.2629999999999999</v>
      </c>
      <c r="K2394">
        <v>2392</v>
      </c>
      <c r="L2394">
        <v>39</v>
      </c>
      <c r="M2394" s="32">
        <v>2.4209999999999998</v>
      </c>
      <c r="N2394" s="32">
        <v>4.57</v>
      </c>
      <c r="P2394" s="32">
        <v>1.7090000000000001</v>
      </c>
      <c r="R2394" s="47">
        <v>0.19800000000000001</v>
      </c>
      <c r="S2394" s="47">
        <v>4.1379999999999999</v>
      </c>
      <c r="T2394" s="31">
        <v>0</v>
      </c>
      <c r="V2394">
        <v>2392</v>
      </c>
      <c r="W2394">
        <v>37</v>
      </c>
      <c r="X2394">
        <v>2.4329999999999998</v>
      </c>
      <c r="Y2394" s="32">
        <v>4.57</v>
      </c>
      <c r="Z2394">
        <v>0</v>
      </c>
      <c r="AA2394" s="32">
        <v>1.5780000000000001</v>
      </c>
      <c r="AB2394">
        <v>0</v>
      </c>
      <c r="AC2394" s="34">
        <v>0.19900000000000001</v>
      </c>
      <c r="AD2394" s="32">
        <v>3.84</v>
      </c>
    </row>
    <row r="2395" spans="1:30">
      <c r="A2395">
        <v>2393</v>
      </c>
      <c r="B2395">
        <v>39</v>
      </c>
      <c r="C2395">
        <v>2.4220000000000002</v>
      </c>
      <c r="D2395">
        <v>4.57</v>
      </c>
      <c r="E2395">
        <v>0</v>
      </c>
      <c r="F2395">
        <v>1.7090000000000001</v>
      </c>
      <c r="G2395">
        <v>0</v>
      </c>
      <c r="H2395">
        <v>0.19600000000000001</v>
      </c>
      <c r="I2395">
        <v>4.2649999999999997</v>
      </c>
      <c r="K2395">
        <v>2393</v>
      </c>
      <c r="L2395">
        <v>39</v>
      </c>
      <c r="M2395" s="32">
        <v>2.4220000000000002</v>
      </c>
      <c r="N2395" s="32">
        <v>4.57</v>
      </c>
      <c r="P2395" s="47">
        <v>1.71</v>
      </c>
      <c r="R2395" s="47">
        <v>0.19800000000000001</v>
      </c>
      <c r="S2395" s="47">
        <v>4.141</v>
      </c>
      <c r="T2395" s="31">
        <v>0</v>
      </c>
      <c r="V2395">
        <v>2393</v>
      </c>
      <c r="W2395">
        <v>37</v>
      </c>
      <c r="X2395">
        <v>2.4340000000000002</v>
      </c>
      <c r="Y2395" s="32">
        <v>4.57</v>
      </c>
      <c r="Z2395">
        <v>0</v>
      </c>
      <c r="AA2395" s="32">
        <v>1.579</v>
      </c>
      <c r="AB2395">
        <v>0</v>
      </c>
      <c r="AC2395" s="34">
        <v>0.19900000000000001</v>
      </c>
      <c r="AD2395" s="32">
        <v>3.843</v>
      </c>
    </row>
    <row r="2396" spans="1:30">
      <c r="A2396">
        <v>2394</v>
      </c>
      <c r="B2396">
        <v>39</v>
      </c>
      <c r="C2396">
        <v>2.423</v>
      </c>
      <c r="D2396">
        <v>4.57</v>
      </c>
      <c r="E2396">
        <v>0</v>
      </c>
      <c r="F2396">
        <v>1.7090000000000001</v>
      </c>
      <c r="G2396">
        <v>0</v>
      </c>
      <c r="H2396">
        <v>0.19600000000000001</v>
      </c>
      <c r="I2396">
        <v>4.2679999999999998</v>
      </c>
      <c r="K2396">
        <v>2394</v>
      </c>
      <c r="L2396">
        <v>39</v>
      </c>
      <c r="M2396" s="32">
        <v>2.423</v>
      </c>
      <c r="N2396" s="32">
        <v>4.57</v>
      </c>
      <c r="P2396" s="47">
        <v>1.71</v>
      </c>
      <c r="R2396" s="47">
        <v>0.19800000000000001</v>
      </c>
      <c r="S2396" s="47">
        <v>4.1429999999999998</v>
      </c>
      <c r="T2396" s="31">
        <v>0</v>
      </c>
      <c r="V2396">
        <v>2394</v>
      </c>
      <c r="W2396">
        <v>37</v>
      </c>
      <c r="X2396">
        <v>2.4350000000000001</v>
      </c>
      <c r="Y2396" s="32">
        <v>4.57</v>
      </c>
      <c r="Z2396">
        <v>0</v>
      </c>
      <c r="AA2396" s="32">
        <v>1.579</v>
      </c>
      <c r="AB2396">
        <v>0</v>
      </c>
      <c r="AC2396" s="34">
        <v>0.19900000000000001</v>
      </c>
      <c r="AD2396" s="32">
        <v>3.8450000000000002</v>
      </c>
    </row>
    <row r="2397" spans="1:30">
      <c r="A2397">
        <v>2395</v>
      </c>
      <c r="B2397">
        <v>39</v>
      </c>
      <c r="C2397">
        <v>2.4239999999999999</v>
      </c>
      <c r="D2397">
        <v>4.57</v>
      </c>
      <c r="E2397">
        <v>0</v>
      </c>
      <c r="F2397">
        <v>1.7090000000000001</v>
      </c>
      <c r="G2397">
        <v>0</v>
      </c>
      <c r="H2397">
        <v>0.19600000000000001</v>
      </c>
      <c r="I2397">
        <v>4.2699999999999996</v>
      </c>
      <c r="K2397">
        <v>2395</v>
      </c>
      <c r="L2397">
        <v>39</v>
      </c>
      <c r="M2397" s="32">
        <v>2.4239999999999999</v>
      </c>
      <c r="N2397" s="32">
        <v>4.57</v>
      </c>
      <c r="P2397" s="47">
        <v>1.71</v>
      </c>
      <c r="R2397" s="47">
        <v>0.19800000000000001</v>
      </c>
      <c r="S2397" s="47">
        <v>4.1459999999999999</v>
      </c>
      <c r="T2397" s="31">
        <v>0</v>
      </c>
      <c r="V2397">
        <v>2395</v>
      </c>
      <c r="W2397">
        <v>37</v>
      </c>
      <c r="X2397">
        <v>2.4359999999999999</v>
      </c>
      <c r="Y2397" s="32">
        <v>4.57</v>
      </c>
      <c r="Z2397">
        <v>0</v>
      </c>
      <c r="AA2397" s="32">
        <v>1.579</v>
      </c>
      <c r="AB2397">
        <v>0</v>
      </c>
      <c r="AC2397" s="34">
        <v>0.19900000000000001</v>
      </c>
      <c r="AD2397" s="32">
        <v>3.847</v>
      </c>
    </row>
    <row r="2398" spans="1:30">
      <c r="A2398">
        <v>2396</v>
      </c>
      <c r="B2398">
        <v>39</v>
      </c>
      <c r="C2398">
        <v>2.4249999999999998</v>
      </c>
      <c r="D2398">
        <v>4.57</v>
      </c>
      <c r="E2398">
        <v>0</v>
      </c>
      <c r="F2398">
        <v>1.7090000000000001</v>
      </c>
      <c r="G2398">
        <v>0</v>
      </c>
      <c r="H2398">
        <v>0.19600000000000001</v>
      </c>
      <c r="I2398">
        <v>4.2729999999999997</v>
      </c>
      <c r="K2398">
        <v>2396</v>
      </c>
      <c r="L2398">
        <v>39</v>
      </c>
      <c r="M2398" s="32">
        <v>2.4249999999999998</v>
      </c>
      <c r="N2398" s="32">
        <v>4.57</v>
      </c>
      <c r="P2398" s="47">
        <v>1.7110000000000001</v>
      </c>
      <c r="R2398" s="47">
        <v>0.19800000000000001</v>
      </c>
      <c r="S2398" s="47">
        <v>4.1479999999999997</v>
      </c>
      <c r="T2398" s="31">
        <v>0</v>
      </c>
      <c r="V2398">
        <v>2396</v>
      </c>
      <c r="W2398">
        <v>37</v>
      </c>
      <c r="X2398">
        <v>2.4369999999999998</v>
      </c>
      <c r="Y2398" s="32">
        <v>4.57</v>
      </c>
      <c r="Z2398">
        <v>0</v>
      </c>
      <c r="AA2398" s="32">
        <v>1.579</v>
      </c>
      <c r="AB2398">
        <v>0</v>
      </c>
      <c r="AC2398" s="34">
        <v>0.19900000000000001</v>
      </c>
      <c r="AD2398" s="32">
        <v>3.8490000000000002</v>
      </c>
    </row>
    <row r="2399" spans="1:30">
      <c r="A2399">
        <v>2397</v>
      </c>
      <c r="B2399">
        <v>39</v>
      </c>
      <c r="C2399">
        <v>2.4260000000000002</v>
      </c>
      <c r="D2399">
        <v>4.57</v>
      </c>
      <c r="E2399">
        <v>0</v>
      </c>
      <c r="F2399">
        <v>1.7090000000000001</v>
      </c>
      <c r="G2399">
        <v>0</v>
      </c>
      <c r="H2399">
        <v>0.19600000000000001</v>
      </c>
      <c r="I2399">
        <v>4.2750000000000004</v>
      </c>
      <c r="K2399">
        <v>2397</v>
      </c>
      <c r="L2399">
        <v>39</v>
      </c>
      <c r="M2399" s="32">
        <v>2.4260000000000002</v>
      </c>
      <c r="N2399" s="32">
        <v>4.57</v>
      </c>
      <c r="P2399" s="47">
        <v>1.7110000000000001</v>
      </c>
      <c r="R2399" s="47">
        <v>0.19800000000000001</v>
      </c>
      <c r="S2399" s="47">
        <v>4.1500000000000004</v>
      </c>
      <c r="T2399" s="31">
        <v>0</v>
      </c>
      <c r="V2399">
        <v>2397</v>
      </c>
      <c r="W2399">
        <v>37</v>
      </c>
      <c r="X2399">
        <v>2.4380000000000002</v>
      </c>
      <c r="Y2399" s="32">
        <v>4.57</v>
      </c>
      <c r="Z2399">
        <v>0</v>
      </c>
      <c r="AA2399" s="32">
        <v>1.579</v>
      </c>
      <c r="AB2399">
        <v>0</v>
      </c>
      <c r="AC2399" s="34">
        <v>0.19900000000000001</v>
      </c>
      <c r="AD2399" s="32">
        <v>3.851</v>
      </c>
    </row>
    <row r="2400" spans="1:30">
      <c r="A2400">
        <v>2398</v>
      </c>
      <c r="B2400">
        <v>39</v>
      </c>
      <c r="C2400">
        <v>2.427</v>
      </c>
      <c r="D2400">
        <v>4.57</v>
      </c>
      <c r="E2400">
        <v>0</v>
      </c>
      <c r="F2400">
        <v>1.7090000000000001</v>
      </c>
      <c r="G2400">
        <v>0</v>
      </c>
      <c r="H2400">
        <v>0.19600000000000001</v>
      </c>
      <c r="I2400">
        <v>4.2779999999999996</v>
      </c>
      <c r="K2400">
        <v>2398</v>
      </c>
      <c r="L2400">
        <v>39</v>
      </c>
      <c r="M2400" s="32">
        <v>2.427</v>
      </c>
      <c r="N2400" s="32">
        <v>4.57</v>
      </c>
      <c r="P2400" s="47">
        <v>1.7110000000000001</v>
      </c>
      <c r="R2400" s="47">
        <v>0.19800000000000001</v>
      </c>
      <c r="S2400" s="47">
        <v>4.1529999999999996</v>
      </c>
      <c r="T2400" s="31">
        <v>0</v>
      </c>
      <c r="V2400">
        <v>2398</v>
      </c>
      <c r="W2400">
        <v>37</v>
      </c>
      <c r="X2400">
        <v>2.4390000000000001</v>
      </c>
      <c r="Y2400" s="32">
        <v>4.57</v>
      </c>
      <c r="Z2400">
        <v>0</v>
      </c>
      <c r="AA2400" s="32">
        <v>1.58</v>
      </c>
      <c r="AB2400">
        <v>0</v>
      </c>
      <c r="AC2400" s="34">
        <v>0.19900000000000001</v>
      </c>
      <c r="AD2400" s="32">
        <v>3.8530000000000002</v>
      </c>
    </row>
    <row r="2401" spans="1:30">
      <c r="A2401">
        <v>2399</v>
      </c>
      <c r="B2401">
        <v>39</v>
      </c>
      <c r="C2401">
        <v>2.4279999999999999</v>
      </c>
      <c r="D2401">
        <v>4.57</v>
      </c>
      <c r="E2401">
        <v>0</v>
      </c>
      <c r="F2401">
        <v>1.7090000000000001</v>
      </c>
      <c r="G2401">
        <v>0</v>
      </c>
      <c r="H2401">
        <v>0.19600000000000001</v>
      </c>
      <c r="I2401">
        <v>4.28</v>
      </c>
      <c r="K2401">
        <v>2399</v>
      </c>
      <c r="L2401">
        <v>39</v>
      </c>
      <c r="M2401" s="32">
        <v>2.4279999999999999</v>
      </c>
      <c r="N2401" s="32">
        <v>4.57</v>
      </c>
      <c r="P2401" s="47">
        <v>1.7110000000000001</v>
      </c>
      <c r="R2401" s="47">
        <v>0.19800000000000001</v>
      </c>
      <c r="S2401" s="47">
        <v>4.1550000000000002</v>
      </c>
      <c r="T2401" s="31">
        <v>0</v>
      </c>
      <c r="V2401">
        <v>2399</v>
      </c>
      <c r="W2401">
        <v>37</v>
      </c>
      <c r="X2401">
        <v>2.44</v>
      </c>
      <c r="Y2401" s="32">
        <v>4.57</v>
      </c>
      <c r="Z2401">
        <v>0</v>
      </c>
      <c r="AA2401" s="32">
        <v>1.58</v>
      </c>
      <c r="AB2401">
        <v>0</v>
      </c>
      <c r="AC2401" s="34">
        <v>0.19900000000000001</v>
      </c>
      <c r="AD2401" s="32">
        <v>3.855</v>
      </c>
    </row>
    <row r="2402" spans="1:30">
      <c r="A2402">
        <v>2400</v>
      </c>
      <c r="B2402">
        <v>39</v>
      </c>
      <c r="C2402">
        <v>2.4289999999999998</v>
      </c>
      <c r="D2402">
        <v>4.57</v>
      </c>
      <c r="E2402">
        <v>0</v>
      </c>
      <c r="F2402">
        <v>1.7090000000000001</v>
      </c>
      <c r="G2402">
        <v>0</v>
      </c>
      <c r="H2402">
        <v>0.19600000000000001</v>
      </c>
      <c r="I2402">
        <v>4.2830000000000004</v>
      </c>
      <c r="K2402">
        <v>2400</v>
      </c>
      <c r="L2402">
        <v>39</v>
      </c>
      <c r="M2402" s="32">
        <v>2.4289999999999998</v>
      </c>
      <c r="N2402" s="32">
        <v>4.57</v>
      </c>
      <c r="P2402" s="47">
        <v>1.712</v>
      </c>
      <c r="R2402" s="47">
        <v>0.19800000000000001</v>
      </c>
      <c r="S2402" s="47">
        <v>4.1580000000000004</v>
      </c>
      <c r="T2402" s="31">
        <v>0</v>
      </c>
      <c r="V2402">
        <v>2400</v>
      </c>
      <c r="W2402">
        <v>37</v>
      </c>
      <c r="X2402">
        <v>2.4409999999999998</v>
      </c>
      <c r="Y2402" s="32">
        <v>4.5839999999999996</v>
      </c>
      <c r="Z2402">
        <v>0</v>
      </c>
      <c r="AA2402" s="32">
        <v>1.58</v>
      </c>
      <c r="AB2402">
        <v>0</v>
      </c>
      <c r="AC2402" s="34">
        <v>0.19900000000000001</v>
      </c>
      <c r="AD2402" s="32">
        <v>3.8570000000000002</v>
      </c>
    </row>
    <row r="2403" spans="1:30">
      <c r="A2403">
        <v>2401</v>
      </c>
      <c r="B2403">
        <v>39</v>
      </c>
      <c r="C2403">
        <v>2.4300000000000002</v>
      </c>
      <c r="D2403">
        <v>4.57</v>
      </c>
      <c r="E2403">
        <v>0</v>
      </c>
      <c r="F2403">
        <v>1.7090000000000001</v>
      </c>
      <c r="G2403">
        <v>0</v>
      </c>
      <c r="H2403">
        <v>0.19600000000000001</v>
      </c>
      <c r="I2403">
        <v>4.2850000000000001</v>
      </c>
      <c r="K2403">
        <v>2401</v>
      </c>
      <c r="L2403">
        <v>39</v>
      </c>
      <c r="M2403" s="32">
        <v>2.4300000000000002</v>
      </c>
      <c r="N2403" s="32">
        <v>4.57</v>
      </c>
      <c r="P2403" s="47">
        <v>1.712</v>
      </c>
      <c r="R2403" s="47">
        <v>0.19800000000000001</v>
      </c>
      <c r="S2403" s="47">
        <v>4.16</v>
      </c>
      <c r="T2403" s="31">
        <v>0</v>
      </c>
      <c r="V2403">
        <v>2401</v>
      </c>
      <c r="W2403">
        <v>37</v>
      </c>
      <c r="X2403">
        <v>2.4420000000000002</v>
      </c>
      <c r="Y2403" s="32">
        <v>4.5979999999999999</v>
      </c>
      <c r="Z2403">
        <v>0</v>
      </c>
      <c r="AA2403" s="32">
        <v>1.58</v>
      </c>
      <c r="AB2403">
        <v>0</v>
      </c>
      <c r="AC2403" s="34">
        <v>0.19900000000000001</v>
      </c>
      <c r="AD2403" s="32">
        <v>3.859</v>
      </c>
    </row>
    <row r="2404" spans="1:30">
      <c r="A2404">
        <v>2402</v>
      </c>
      <c r="B2404">
        <v>39</v>
      </c>
      <c r="C2404">
        <v>2.431</v>
      </c>
      <c r="D2404">
        <v>4.57</v>
      </c>
      <c r="E2404">
        <v>0</v>
      </c>
      <c r="F2404">
        <v>1.712</v>
      </c>
      <c r="G2404">
        <v>0</v>
      </c>
      <c r="H2404">
        <v>0.19600000000000001</v>
      </c>
      <c r="I2404">
        <v>4.3120000000000003</v>
      </c>
      <c r="K2404">
        <v>2402</v>
      </c>
      <c r="L2404">
        <v>39</v>
      </c>
      <c r="M2404" s="32">
        <v>2.431</v>
      </c>
      <c r="N2404" s="32">
        <v>4.57</v>
      </c>
      <c r="P2404" s="32">
        <v>1.712</v>
      </c>
      <c r="R2404" s="47">
        <v>0.19800000000000001</v>
      </c>
      <c r="S2404" s="47">
        <v>4.1619999999999999</v>
      </c>
      <c r="T2404" s="31">
        <v>0</v>
      </c>
      <c r="V2404">
        <v>2402</v>
      </c>
      <c r="W2404">
        <v>37</v>
      </c>
      <c r="X2404">
        <v>2.4430000000000001</v>
      </c>
      <c r="Y2404" s="32">
        <v>4.6120000000000001</v>
      </c>
      <c r="Z2404">
        <v>0</v>
      </c>
      <c r="AA2404" s="32">
        <v>1.58</v>
      </c>
      <c r="AB2404">
        <v>0</v>
      </c>
      <c r="AC2404" s="34">
        <v>0.19900000000000001</v>
      </c>
      <c r="AD2404" s="32">
        <v>3.8610000000000002</v>
      </c>
    </row>
    <row r="2405" spans="1:30">
      <c r="A2405">
        <v>2403</v>
      </c>
      <c r="B2405">
        <v>39</v>
      </c>
      <c r="C2405">
        <v>2.4319999999999999</v>
      </c>
      <c r="D2405">
        <v>4.57</v>
      </c>
      <c r="E2405">
        <v>0</v>
      </c>
      <c r="F2405">
        <v>1.712</v>
      </c>
      <c r="G2405">
        <v>0</v>
      </c>
      <c r="H2405">
        <v>0.19600000000000001</v>
      </c>
      <c r="I2405">
        <v>4.3140000000000001</v>
      </c>
      <c r="K2405">
        <v>2403</v>
      </c>
      <c r="L2405">
        <v>39</v>
      </c>
      <c r="M2405" s="32">
        <v>2.4319999999999999</v>
      </c>
      <c r="N2405" s="32">
        <v>4.57</v>
      </c>
      <c r="P2405" s="32">
        <v>1.712</v>
      </c>
      <c r="R2405" s="47">
        <v>0.19800000000000001</v>
      </c>
      <c r="S2405" s="47">
        <v>4.165</v>
      </c>
      <c r="T2405" s="31">
        <v>0</v>
      </c>
      <c r="V2405">
        <v>2403</v>
      </c>
      <c r="W2405">
        <v>37</v>
      </c>
      <c r="X2405">
        <v>2.444</v>
      </c>
      <c r="Y2405" s="32">
        <v>4.6260000000000003</v>
      </c>
      <c r="Z2405">
        <v>0</v>
      </c>
      <c r="AA2405" s="32">
        <v>1.581</v>
      </c>
      <c r="AB2405">
        <v>0</v>
      </c>
      <c r="AC2405" s="34">
        <v>0.19900000000000001</v>
      </c>
      <c r="AD2405" s="32">
        <v>3.863</v>
      </c>
    </row>
    <row r="2406" spans="1:30">
      <c r="A2406">
        <v>2404</v>
      </c>
      <c r="B2406">
        <v>39</v>
      </c>
      <c r="C2406">
        <v>2.4329999999999998</v>
      </c>
      <c r="D2406">
        <v>4.57</v>
      </c>
      <c r="E2406">
        <v>0</v>
      </c>
      <c r="F2406">
        <v>1.712</v>
      </c>
      <c r="G2406">
        <v>0</v>
      </c>
      <c r="H2406">
        <v>0.19600000000000001</v>
      </c>
      <c r="I2406">
        <v>4.3170000000000002</v>
      </c>
      <c r="K2406">
        <v>2404</v>
      </c>
      <c r="L2406">
        <v>39</v>
      </c>
      <c r="M2406" s="32">
        <v>2.4329999999999998</v>
      </c>
      <c r="N2406" s="32">
        <v>4.57</v>
      </c>
      <c r="P2406" s="47">
        <v>1.7130000000000001</v>
      </c>
      <c r="R2406" s="47">
        <v>0.19800000000000001</v>
      </c>
      <c r="S2406" s="47">
        <v>4.1669999999999998</v>
      </c>
      <c r="T2406" s="31">
        <v>0</v>
      </c>
      <c r="V2406">
        <v>2404</v>
      </c>
      <c r="W2406">
        <v>37</v>
      </c>
      <c r="X2406">
        <v>2.4449999999999998</v>
      </c>
      <c r="Y2406" s="32">
        <v>4.6399999999999997</v>
      </c>
      <c r="Z2406">
        <v>0</v>
      </c>
      <c r="AA2406" s="32">
        <v>1.581</v>
      </c>
      <c r="AB2406">
        <v>0</v>
      </c>
      <c r="AC2406" s="34">
        <v>0.19900000000000001</v>
      </c>
      <c r="AD2406" s="32">
        <v>3.8660000000000001</v>
      </c>
    </row>
    <row r="2407" spans="1:30">
      <c r="A2407">
        <v>2405</v>
      </c>
      <c r="B2407">
        <v>39</v>
      </c>
      <c r="C2407">
        <v>2.4340000000000002</v>
      </c>
      <c r="D2407">
        <v>4.57</v>
      </c>
      <c r="E2407">
        <v>0</v>
      </c>
      <c r="F2407">
        <v>1.712</v>
      </c>
      <c r="G2407">
        <v>0</v>
      </c>
      <c r="H2407">
        <v>0.19600000000000001</v>
      </c>
      <c r="I2407">
        <v>4.319</v>
      </c>
      <c r="K2407">
        <v>2405</v>
      </c>
      <c r="L2407">
        <v>39</v>
      </c>
      <c r="M2407" s="32">
        <v>2.4340000000000002</v>
      </c>
      <c r="N2407" s="32">
        <v>4.57</v>
      </c>
      <c r="P2407" s="47">
        <v>1.7130000000000001</v>
      </c>
      <c r="R2407" s="47">
        <v>0.19800000000000001</v>
      </c>
      <c r="S2407" s="47">
        <v>4.1689999999999996</v>
      </c>
      <c r="T2407" s="31">
        <v>0</v>
      </c>
      <c r="V2407">
        <v>2405</v>
      </c>
      <c r="W2407">
        <v>37</v>
      </c>
      <c r="X2407">
        <v>2.4460000000000002</v>
      </c>
      <c r="Y2407" s="32">
        <v>4.6539999999999999</v>
      </c>
      <c r="Z2407">
        <v>0</v>
      </c>
      <c r="AA2407" s="32">
        <v>1.581</v>
      </c>
      <c r="AB2407">
        <v>0</v>
      </c>
      <c r="AC2407" s="34">
        <v>0.2</v>
      </c>
      <c r="AD2407" s="32">
        <v>3.8679999999999999</v>
      </c>
    </row>
    <row r="2408" spans="1:30">
      <c r="A2408">
        <v>2406</v>
      </c>
      <c r="B2408">
        <v>39</v>
      </c>
      <c r="C2408">
        <v>2.4350000000000001</v>
      </c>
      <c r="D2408">
        <v>4.57</v>
      </c>
      <c r="E2408">
        <v>0</v>
      </c>
      <c r="F2408">
        <v>1.712</v>
      </c>
      <c r="G2408">
        <v>0</v>
      </c>
      <c r="H2408">
        <v>0.19600000000000001</v>
      </c>
      <c r="I2408">
        <v>4.3220000000000001</v>
      </c>
      <c r="K2408">
        <v>2406</v>
      </c>
      <c r="L2408">
        <v>39</v>
      </c>
      <c r="M2408" s="32">
        <v>2.4350000000000001</v>
      </c>
      <c r="N2408" s="32">
        <v>4.57</v>
      </c>
      <c r="P2408" s="47">
        <v>1.7130000000000001</v>
      </c>
      <c r="R2408" s="47">
        <v>0.19800000000000001</v>
      </c>
      <c r="S2408" s="47">
        <v>4.1719999999999997</v>
      </c>
      <c r="T2408" s="31">
        <v>0</v>
      </c>
      <c r="V2408">
        <v>2406</v>
      </c>
      <c r="W2408">
        <v>37</v>
      </c>
      <c r="X2408">
        <v>2.4470000000000001</v>
      </c>
      <c r="Y2408" s="32">
        <v>4.6680000000000001</v>
      </c>
      <c r="Z2408">
        <v>0</v>
      </c>
      <c r="AA2408" s="32">
        <v>1.581</v>
      </c>
      <c r="AB2408">
        <v>0</v>
      </c>
      <c r="AC2408" s="34">
        <v>0.2</v>
      </c>
      <c r="AD2408" s="32">
        <v>3.87</v>
      </c>
    </row>
    <row r="2409" spans="1:30">
      <c r="A2409">
        <v>2407</v>
      </c>
      <c r="B2409">
        <v>39</v>
      </c>
      <c r="C2409">
        <v>2.4359999999999999</v>
      </c>
      <c r="D2409">
        <v>4.57</v>
      </c>
      <c r="E2409">
        <v>0</v>
      </c>
      <c r="F2409">
        <v>1.712</v>
      </c>
      <c r="G2409">
        <v>0</v>
      </c>
      <c r="H2409">
        <v>0.19600000000000001</v>
      </c>
      <c r="I2409">
        <v>4.3239999999999998</v>
      </c>
      <c r="K2409">
        <v>2407</v>
      </c>
      <c r="L2409">
        <v>39</v>
      </c>
      <c r="M2409" s="32">
        <v>2.4359999999999999</v>
      </c>
      <c r="N2409" s="32">
        <v>4.57</v>
      </c>
      <c r="P2409" s="47">
        <v>1.7130000000000001</v>
      </c>
      <c r="R2409" s="47">
        <v>0.19800000000000001</v>
      </c>
      <c r="S2409" s="47">
        <v>4.1740000000000004</v>
      </c>
      <c r="T2409" s="31">
        <v>0</v>
      </c>
      <c r="V2409">
        <v>2407</v>
      </c>
      <c r="W2409">
        <v>37</v>
      </c>
      <c r="X2409">
        <v>2.448</v>
      </c>
      <c r="Y2409" s="32">
        <v>4.6820000000000004</v>
      </c>
      <c r="Z2409">
        <v>0</v>
      </c>
      <c r="AA2409" s="32">
        <v>1.5820000000000001</v>
      </c>
      <c r="AB2409">
        <v>0</v>
      </c>
      <c r="AC2409" s="34">
        <v>0.2</v>
      </c>
      <c r="AD2409" s="32">
        <v>3.8719999999999999</v>
      </c>
    </row>
    <row r="2410" spans="1:30">
      <c r="A2410">
        <v>2408</v>
      </c>
      <c r="B2410">
        <v>39</v>
      </c>
      <c r="C2410">
        <v>2.4369999999999998</v>
      </c>
      <c r="D2410">
        <v>4.57</v>
      </c>
      <c r="E2410">
        <v>0</v>
      </c>
      <c r="F2410">
        <v>1.712</v>
      </c>
      <c r="G2410">
        <v>0</v>
      </c>
      <c r="H2410">
        <v>0.19600000000000001</v>
      </c>
      <c r="I2410">
        <v>4.327</v>
      </c>
      <c r="K2410">
        <v>2408</v>
      </c>
      <c r="L2410">
        <v>39</v>
      </c>
      <c r="M2410" s="32">
        <v>2.4369999999999998</v>
      </c>
      <c r="N2410" s="32">
        <v>4.57</v>
      </c>
      <c r="P2410" s="47">
        <v>1.7130000000000001</v>
      </c>
      <c r="R2410" s="47">
        <v>0.19900000000000001</v>
      </c>
      <c r="S2410" s="47">
        <v>4.1760000000000002</v>
      </c>
      <c r="T2410" s="31">
        <v>0</v>
      </c>
      <c r="V2410">
        <v>2408</v>
      </c>
      <c r="W2410">
        <v>37</v>
      </c>
      <c r="X2410">
        <v>2.4489999999999998</v>
      </c>
      <c r="Y2410" s="32">
        <v>4.6959999999999997</v>
      </c>
      <c r="Z2410">
        <v>0</v>
      </c>
      <c r="AA2410" s="32">
        <v>1.5820000000000001</v>
      </c>
      <c r="AB2410">
        <v>0</v>
      </c>
      <c r="AC2410" s="34">
        <v>0.2</v>
      </c>
      <c r="AD2410" s="32">
        <v>3.8740000000000001</v>
      </c>
    </row>
    <row r="2411" spans="1:30">
      <c r="A2411">
        <v>2409</v>
      </c>
      <c r="B2411">
        <v>39</v>
      </c>
      <c r="C2411">
        <v>2.4380000000000002</v>
      </c>
      <c r="D2411">
        <v>4.57</v>
      </c>
      <c r="E2411">
        <v>0</v>
      </c>
      <c r="F2411">
        <v>1.712</v>
      </c>
      <c r="G2411">
        <v>0</v>
      </c>
      <c r="H2411">
        <v>0.19600000000000001</v>
      </c>
      <c r="I2411">
        <v>4.3289999999999997</v>
      </c>
      <c r="K2411">
        <v>2409</v>
      </c>
      <c r="L2411">
        <v>39</v>
      </c>
      <c r="M2411" s="32">
        <v>2.4380000000000002</v>
      </c>
      <c r="N2411" s="32">
        <v>4.57</v>
      </c>
      <c r="P2411" s="47">
        <v>1.714</v>
      </c>
      <c r="R2411" s="47">
        <v>0.19900000000000001</v>
      </c>
      <c r="S2411" s="47">
        <v>4.1779999999999999</v>
      </c>
      <c r="T2411" s="31">
        <v>0</v>
      </c>
      <c r="V2411">
        <v>2409</v>
      </c>
      <c r="W2411">
        <v>37</v>
      </c>
      <c r="X2411">
        <v>2.4500000000000002</v>
      </c>
      <c r="Y2411" s="32">
        <v>4.71</v>
      </c>
      <c r="Z2411">
        <v>0</v>
      </c>
      <c r="AA2411" s="32">
        <v>1.5820000000000001</v>
      </c>
      <c r="AB2411">
        <v>0</v>
      </c>
      <c r="AC2411" s="34">
        <v>0.2</v>
      </c>
      <c r="AD2411" s="32">
        <v>3.8759999999999999</v>
      </c>
    </row>
    <row r="2412" spans="1:30">
      <c r="A2412">
        <v>2410</v>
      </c>
      <c r="B2412">
        <v>39</v>
      </c>
      <c r="C2412">
        <v>2.4390000000000001</v>
      </c>
      <c r="D2412">
        <v>4.57</v>
      </c>
      <c r="E2412">
        <v>0</v>
      </c>
      <c r="F2412">
        <v>1.712</v>
      </c>
      <c r="G2412">
        <v>0</v>
      </c>
      <c r="H2412">
        <v>0.19600000000000001</v>
      </c>
      <c r="I2412">
        <v>4.3319999999999999</v>
      </c>
      <c r="K2412">
        <v>2410</v>
      </c>
      <c r="L2412">
        <v>39</v>
      </c>
      <c r="M2412" s="32">
        <v>2.4390000000000001</v>
      </c>
      <c r="N2412" s="32">
        <v>4.57</v>
      </c>
      <c r="P2412" s="47">
        <v>1.714</v>
      </c>
      <c r="R2412" s="47">
        <v>0.19900000000000001</v>
      </c>
      <c r="S2412" s="47">
        <v>4.181</v>
      </c>
      <c r="T2412" s="31">
        <v>0</v>
      </c>
      <c r="V2412">
        <v>2410</v>
      </c>
      <c r="W2412">
        <v>37</v>
      </c>
      <c r="X2412">
        <v>2.4510000000000001</v>
      </c>
      <c r="Y2412" s="32">
        <v>4.71</v>
      </c>
      <c r="Z2412">
        <v>0</v>
      </c>
      <c r="AA2412" s="32">
        <v>1.5820000000000001</v>
      </c>
      <c r="AB2412">
        <v>0</v>
      </c>
      <c r="AC2412" s="34">
        <v>0.2</v>
      </c>
      <c r="AD2412" s="32">
        <v>3.8780000000000001</v>
      </c>
    </row>
    <row r="2413" spans="1:30">
      <c r="A2413">
        <v>2411</v>
      </c>
      <c r="B2413">
        <v>39</v>
      </c>
      <c r="C2413">
        <v>2.44</v>
      </c>
      <c r="D2413">
        <v>4.57</v>
      </c>
      <c r="E2413">
        <v>0</v>
      </c>
      <c r="F2413">
        <v>1.714</v>
      </c>
      <c r="G2413">
        <v>0</v>
      </c>
      <c r="H2413">
        <v>0.19600000000000001</v>
      </c>
      <c r="I2413">
        <v>4.1829999999999998</v>
      </c>
      <c r="K2413">
        <v>2411</v>
      </c>
      <c r="L2413">
        <v>39</v>
      </c>
      <c r="M2413" s="32">
        <v>2.44</v>
      </c>
      <c r="N2413" s="32">
        <v>4.57</v>
      </c>
      <c r="P2413" s="32">
        <v>1.714</v>
      </c>
      <c r="R2413" s="47">
        <v>0.19900000000000001</v>
      </c>
      <c r="S2413" s="32">
        <v>4.1829999999999998</v>
      </c>
      <c r="T2413" s="31">
        <v>0</v>
      </c>
      <c r="V2413">
        <v>2411</v>
      </c>
      <c r="W2413">
        <v>37</v>
      </c>
      <c r="X2413">
        <v>2.452</v>
      </c>
      <c r="Y2413" s="32">
        <v>4.71</v>
      </c>
      <c r="Z2413">
        <v>0</v>
      </c>
      <c r="AA2413" s="32">
        <v>1.5820000000000001</v>
      </c>
      <c r="AB2413">
        <v>0</v>
      </c>
      <c r="AC2413" s="34">
        <v>0.2</v>
      </c>
      <c r="AD2413" s="32">
        <v>3.88</v>
      </c>
    </row>
    <row r="2414" spans="1:30">
      <c r="A2414">
        <v>2412</v>
      </c>
      <c r="B2414">
        <v>39</v>
      </c>
      <c r="C2414">
        <v>2.4409999999999998</v>
      </c>
      <c r="D2414">
        <v>4.57</v>
      </c>
      <c r="E2414">
        <v>0</v>
      </c>
      <c r="F2414">
        <v>1.714</v>
      </c>
      <c r="G2414">
        <v>0</v>
      </c>
      <c r="H2414">
        <v>0.19600000000000001</v>
      </c>
      <c r="I2414">
        <v>4.3600000000000003</v>
      </c>
      <c r="K2414">
        <v>2412</v>
      </c>
      <c r="L2414">
        <v>39</v>
      </c>
      <c r="M2414" s="32">
        <v>2.4409999999999998</v>
      </c>
      <c r="N2414" s="47">
        <v>4.5839999999999996</v>
      </c>
      <c r="P2414" s="32">
        <v>1.714</v>
      </c>
      <c r="R2414" s="47">
        <v>0.19900000000000001</v>
      </c>
      <c r="S2414" s="47">
        <v>4.1859999999999999</v>
      </c>
      <c r="T2414" s="31">
        <v>0</v>
      </c>
      <c r="V2414">
        <v>2412</v>
      </c>
      <c r="W2414">
        <v>37</v>
      </c>
      <c r="X2414">
        <v>2.4529999999999998</v>
      </c>
      <c r="Y2414" s="32">
        <v>4.71</v>
      </c>
      <c r="Z2414">
        <v>0</v>
      </c>
      <c r="AA2414" s="32">
        <v>1.583</v>
      </c>
      <c r="AB2414">
        <v>0</v>
      </c>
      <c r="AC2414" s="34">
        <v>0.2</v>
      </c>
      <c r="AD2414" s="32">
        <v>3.8820000000000001</v>
      </c>
    </row>
    <row r="2415" spans="1:30">
      <c r="A2415">
        <v>2413</v>
      </c>
      <c r="B2415">
        <v>39</v>
      </c>
      <c r="C2415">
        <v>2.4420000000000002</v>
      </c>
      <c r="D2415">
        <v>4.57</v>
      </c>
      <c r="E2415">
        <v>0</v>
      </c>
      <c r="F2415">
        <v>1.714</v>
      </c>
      <c r="G2415">
        <v>0</v>
      </c>
      <c r="H2415">
        <v>0.19600000000000001</v>
      </c>
      <c r="I2415">
        <v>4.3620000000000001</v>
      </c>
      <c r="K2415">
        <v>2413</v>
      </c>
      <c r="L2415">
        <v>39</v>
      </c>
      <c r="M2415" s="32">
        <v>2.4420000000000002</v>
      </c>
      <c r="N2415" s="47">
        <v>4.5979999999999999</v>
      </c>
      <c r="P2415" s="47">
        <v>1.7150000000000001</v>
      </c>
      <c r="R2415" s="47">
        <v>0.19900000000000001</v>
      </c>
      <c r="S2415" s="47">
        <v>4.1879999999999997</v>
      </c>
      <c r="T2415" s="31">
        <v>0</v>
      </c>
      <c r="V2415">
        <v>2413</v>
      </c>
      <c r="W2415">
        <v>37</v>
      </c>
      <c r="X2415">
        <v>2.4540000000000002</v>
      </c>
      <c r="Y2415" s="32">
        <v>4.71</v>
      </c>
      <c r="Z2415">
        <v>0</v>
      </c>
      <c r="AA2415" s="32">
        <v>1.583</v>
      </c>
      <c r="AB2415">
        <v>0</v>
      </c>
      <c r="AC2415" s="34">
        <v>0.2</v>
      </c>
      <c r="AD2415" s="32">
        <v>3.8839999999999999</v>
      </c>
    </row>
    <row r="2416" spans="1:30">
      <c r="A2416">
        <v>2414</v>
      </c>
      <c r="B2416">
        <v>39</v>
      </c>
      <c r="C2416">
        <v>2.4430000000000001</v>
      </c>
      <c r="D2416">
        <v>4.57</v>
      </c>
      <c r="E2416">
        <v>0</v>
      </c>
      <c r="F2416">
        <v>1.714</v>
      </c>
      <c r="G2416">
        <v>0</v>
      </c>
      <c r="H2416">
        <v>0.19600000000000001</v>
      </c>
      <c r="I2416">
        <v>4.3650000000000002</v>
      </c>
      <c r="K2416">
        <v>2414</v>
      </c>
      <c r="L2416">
        <v>39</v>
      </c>
      <c r="M2416" s="32">
        <v>2.4430000000000001</v>
      </c>
      <c r="N2416" s="47">
        <v>4.6120000000000001</v>
      </c>
      <c r="P2416" s="47">
        <v>1.7150000000000001</v>
      </c>
      <c r="R2416" s="47">
        <v>0.19900000000000001</v>
      </c>
      <c r="S2416" s="47">
        <v>4.1909999999999998</v>
      </c>
      <c r="T2416" s="31">
        <v>0</v>
      </c>
      <c r="V2416">
        <v>2414</v>
      </c>
      <c r="W2416">
        <v>37</v>
      </c>
      <c r="X2416">
        <v>2.4550000000000001</v>
      </c>
      <c r="Y2416" s="32">
        <v>4.71</v>
      </c>
      <c r="Z2416">
        <v>0</v>
      </c>
      <c r="AA2416" s="32">
        <v>1.583</v>
      </c>
      <c r="AB2416">
        <v>0</v>
      </c>
      <c r="AC2416" s="34">
        <v>0.2</v>
      </c>
      <c r="AD2416" s="32">
        <v>3.8860000000000001</v>
      </c>
    </row>
    <row r="2417" spans="1:30">
      <c r="A2417">
        <v>2415</v>
      </c>
      <c r="B2417">
        <v>39</v>
      </c>
      <c r="C2417">
        <v>2.444</v>
      </c>
      <c r="D2417">
        <v>4.57</v>
      </c>
      <c r="E2417">
        <v>0</v>
      </c>
      <c r="F2417">
        <v>1.714</v>
      </c>
      <c r="G2417">
        <v>0</v>
      </c>
      <c r="H2417">
        <v>0.19600000000000001</v>
      </c>
      <c r="I2417">
        <v>4.367</v>
      </c>
      <c r="K2417">
        <v>2415</v>
      </c>
      <c r="L2417">
        <v>39</v>
      </c>
      <c r="M2417" s="32">
        <v>2.444</v>
      </c>
      <c r="N2417" s="47">
        <v>4.6260000000000003</v>
      </c>
      <c r="P2417" s="47">
        <v>1.7150000000000001</v>
      </c>
      <c r="R2417" s="47">
        <v>0.19900000000000001</v>
      </c>
      <c r="S2417" s="47">
        <v>4.194</v>
      </c>
      <c r="T2417" s="31">
        <v>0</v>
      </c>
      <c r="V2417">
        <v>2415</v>
      </c>
      <c r="W2417">
        <v>37</v>
      </c>
      <c r="X2417">
        <v>2.456</v>
      </c>
      <c r="Y2417" s="32">
        <v>4.71</v>
      </c>
      <c r="Z2417">
        <v>0</v>
      </c>
      <c r="AA2417" s="32">
        <v>1.583</v>
      </c>
      <c r="AB2417">
        <v>0</v>
      </c>
      <c r="AC2417" s="34">
        <v>0.2</v>
      </c>
      <c r="AD2417" s="32">
        <v>3.8889999999999998</v>
      </c>
    </row>
    <row r="2418" spans="1:30">
      <c r="A2418">
        <v>2416</v>
      </c>
      <c r="B2418">
        <v>39</v>
      </c>
      <c r="C2418">
        <v>2.4449999999999998</v>
      </c>
      <c r="D2418">
        <v>4.57</v>
      </c>
      <c r="E2418">
        <v>0</v>
      </c>
      <c r="F2418">
        <v>1.714</v>
      </c>
      <c r="G2418">
        <v>0</v>
      </c>
      <c r="H2418">
        <v>0.19600000000000001</v>
      </c>
      <c r="I2418">
        <v>4.37</v>
      </c>
      <c r="K2418">
        <v>2416</v>
      </c>
      <c r="L2418">
        <v>39</v>
      </c>
      <c r="M2418" s="32">
        <v>2.4449999999999998</v>
      </c>
      <c r="N2418" s="47">
        <v>4.6399999999999997</v>
      </c>
      <c r="P2418" s="47">
        <v>1.716</v>
      </c>
      <c r="R2418" s="47">
        <v>0.19900000000000001</v>
      </c>
      <c r="S2418" s="47">
        <v>4.1970000000000001</v>
      </c>
      <c r="T2418" s="31">
        <v>0</v>
      </c>
      <c r="V2418">
        <v>2416</v>
      </c>
      <c r="W2418">
        <v>37</v>
      </c>
      <c r="X2418">
        <v>2.4569999999999999</v>
      </c>
      <c r="Y2418" s="32">
        <v>4.71</v>
      </c>
      <c r="Z2418">
        <v>0</v>
      </c>
      <c r="AA2418" s="32">
        <v>1.5840000000000001</v>
      </c>
      <c r="AB2418">
        <v>0</v>
      </c>
      <c r="AC2418" s="34">
        <v>0.2</v>
      </c>
      <c r="AD2418" s="32">
        <v>3.891</v>
      </c>
    </row>
    <row r="2419" spans="1:30">
      <c r="A2419">
        <v>2417</v>
      </c>
      <c r="B2419">
        <v>39</v>
      </c>
      <c r="C2419">
        <v>2.4460000000000002</v>
      </c>
      <c r="D2419">
        <v>4.57</v>
      </c>
      <c r="E2419">
        <v>0</v>
      </c>
      <c r="F2419">
        <v>1.714</v>
      </c>
      <c r="G2419">
        <v>0</v>
      </c>
      <c r="H2419">
        <v>0.19600000000000001</v>
      </c>
      <c r="I2419">
        <v>4.3719999999999999</v>
      </c>
      <c r="K2419">
        <v>2417</v>
      </c>
      <c r="L2419">
        <v>39</v>
      </c>
      <c r="M2419" s="32">
        <v>2.4460000000000002</v>
      </c>
      <c r="N2419" s="47">
        <v>4.6539999999999999</v>
      </c>
      <c r="P2419" s="47">
        <v>1.716</v>
      </c>
      <c r="R2419" s="47">
        <v>0.19900000000000001</v>
      </c>
      <c r="S2419" s="47">
        <v>4.1989999999999998</v>
      </c>
      <c r="T2419" s="31">
        <v>0</v>
      </c>
      <c r="V2419">
        <v>2417</v>
      </c>
      <c r="W2419">
        <v>37</v>
      </c>
      <c r="X2419">
        <v>2.4580000000000002</v>
      </c>
      <c r="Y2419" s="32">
        <v>4.71</v>
      </c>
      <c r="Z2419">
        <v>0</v>
      </c>
      <c r="AA2419" s="32">
        <v>1.5840000000000001</v>
      </c>
      <c r="AB2419">
        <v>0</v>
      </c>
      <c r="AC2419" s="34">
        <v>0.2</v>
      </c>
      <c r="AD2419" s="32">
        <v>3.8929999999999998</v>
      </c>
    </row>
    <row r="2420" spans="1:30">
      <c r="A2420">
        <v>2418</v>
      </c>
      <c r="B2420">
        <v>39</v>
      </c>
      <c r="C2420">
        <v>2.4470000000000001</v>
      </c>
      <c r="D2420">
        <v>4.57</v>
      </c>
      <c r="E2420">
        <v>0</v>
      </c>
      <c r="F2420">
        <v>1.714</v>
      </c>
      <c r="G2420">
        <v>0</v>
      </c>
      <c r="H2420">
        <v>0.19600000000000001</v>
      </c>
      <c r="I2420">
        <v>4.375</v>
      </c>
      <c r="K2420">
        <v>2418</v>
      </c>
      <c r="L2420">
        <v>39</v>
      </c>
      <c r="M2420" s="32">
        <v>2.4470000000000001</v>
      </c>
      <c r="N2420" s="47">
        <v>4.6680000000000001</v>
      </c>
      <c r="P2420" s="47">
        <v>1.716</v>
      </c>
      <c r="R2420" s="47">
        <v>0.19900000000000001</v>
      </c>
      <c r="S2420" s="47">
        <v>4.202</v>
      </c>
      <c r="T2420" s="31">
        <v>0</v>
      </c>
      <c r="V2420">
        <v>2418</v>
      </c>
      <c r="W2420">
        <v>37</v>
      </c>
      <c r="X2420">
        <v>2.4590000000000001</v>
      </c>
      <c r="Y2420" s="32">
        <v>4.71</v>
      </c>
      <c r="Z2420">
        <v>0</v>
      </c>
      <c r="AA2420" s="32">
        <v>1.5840000000000001</v>
      </c>
      <c r="AB2420">
        <v>0</v>
      </c>
      <c r="AC2420" s="34">
        <v>0.2</v>
      </c>
      <c r="AD2420" s="32">
        <v>3.895</v>
      </c>
    </row>
    <row r="2421" spans="1:30">
      <c r="A2421">
        <v>2419</v>
      </c>
      <c r="B2421">
        <v>39</v>
      </c>
      <c r="C2421">
        <v>2.448</v>
      </c>
      <c r="D2421">
        <v>4.57</v>
      </c>
      <c r="E2421">
        <v>0</v>
      </c>
      <c r="F2421">
        <v>1.714</v>
      </c>
      <c r="G2421">
        <v>0</v>
      </c>
      <c r="H2421">
        <v>0.19600000000000001</v>
      </c>
      <c r="I2421">
        <v>4.3769999999999998</v>
      </c>
      <c r="K2421">
        <v>2419</v>
      </c>
      <c r="L2421">
        <v>39</v>
      </c>
      <c r="M2421" s="32">
        <v>2.448</v>
      </c>
      <c r="N2421" s="47">
        <v>4.6820000000000004</v>
      </c>
      <c r="P2421" s="47">
        <v>1.716</v>
      </c>
      <c r="R2421" s="47">
        <v>0.19900000000000001</v>
      </c>
      <c r="S2421" s="47">
        <v>4.2050000000000001</v>
      </c>
      <c r="T2421" s="31">
        <v>0</v>
      </c>
      <c r="V2421">
        <v>2419</v>
      </c>
      <c r="W2421">
        <v>37</v>
      </c>
      <c r="X2421">
        <v>2.46</v>
      </c>
      <c r="Y2421" s="32">
        <v>4.71</v>
      </c>
      <c r="Z2421">
        <v>0</v>
      </c>
      <c r="AA2421" s="32">
        <v>1.5840000000000001</v>
      </c>
      <c r="AB2421">
        <v>0</v>
      </c>
      <c r="AC2421" s="34">
        <v>0.2</v>
      </c>
      <c r="AD2421" s="32">
        <v>3.8969999999999998</v>
      </c>
    </row>
    <row r="2422" spans="1:30">
      <c r="A2422">
        <v>2420</v>
      </c>
      <c r="B2422">
        <v>39</v>
      </c>
      <c r="C2422">
        <v>2.4489999999999998</v>
      </c>
      <c r="D2422">
        <v>4.57</v>
      </c>
      <c r="E2422">
        <v>0</v>
      </c>
      <c r="F2422">
        <v>1.714</v>
      </c>
      <c r="G2422">
        <v>0</v>
      </c>
      <c r="H2422">
        <v>0.19600000000000001</v>
      </c>
      <c r="I2422">
        <v>4.38</v>
      </c>
      <c r="K2422">
        <v>2420</v>
      </c>
      <c r="L2422">
        <v>39</v>
      </c>
      <c r="M2422" s="32">
        <v>2.4489999999999998</v>
      </c>
      <c r="N2422" s="47">
        <v>4.6959999999999997</v>
      </c>
      <c r="P2422" s="47">
        <v>1.7170000000000001</v>
      </c>
      <c r="R2422" s="47">
        <v>0.19900000000000001</v>
      </c>
      <c r="S2422" s="47">
        <v>4.2069999999999999</v>
      </c>
      <c r="T2422" s="31">
        <v>0</v>
      </c>
      <c r="V2422">
        <v>2420</v>
      </c>
      <c r="W2422">
        <v>37</v>
      </c>
      <c r="X2422">
        <v>2.4609999999999999</v>
      </c>
      <c r="Y2422" s="32">
        <v>4.71</v>
      </c>
      <c r="Z2422">
        <v>0</v>
      </c>
      <c r="AA2422" s="32">
        <v>1.5840000000000001</v>
      </c>
      <c r="AB2422">
        <v>0</v>
      </c>
      <c r="AC2422" s="34">
        <v>0.2</v>
      </c>
      <c r="AD2422" s="32">
        <v>3.899</v>
      </c>
    </row>
    <row r="2423" spans="1:30">
      <c r="A2423">
        <v>2421</v>
      </c>
      <c r="B2423">
        <v>40</v>
      </c>
      <c r="C2423">
        <v>2.4500000000000002</v>
      </c>
      <c r="D2423">
        <v>4.71</v>
      </c>
      <c r="E2423">
        <v>0</v>
      </c>
      <c r="F2423">
        <v>1.7170000000000001</v>
      </c>
      <c r="G2423">
        <v>0</v>
      </c>
      <c r="H2423">
        <v>0.19900000000000001</v>
      </c>
      <c r="I2423">
        <v>4.21</v>
      </c>
      <c r="K2423">
        <v>2421</v>
      </c>
      <c r="L2423">
        <v>40</v>
      </c>
      <c r="M2423" s="32">
        <v>2.4500000000000002</v>
      </c>
      <c r="N2423" s="32">
        <v>4.71</v>
      </c>
      <c r="P2423" s="32">
        <v>1.7170000000000001</v>
      </c>
      <c r="R2423" s="32">
        <v>0.19900000000000001</v>
      </c>
      <c r="S2423" s="32">
        <v>4.21</v>
      </c>
      <c r="T2423" s="31">
        <v>0</v>
      </c>
      <c r="V2423">
        <v>2421</v>
      </c>
      <c r="W2423">
        <v>37</v>
      </c>
      <c r="X2423">
        <v>2.4620000000000002</v>
      </c>
      <c r="Y2423" s="32">
        <v>4.71</v>
      </c>
      <c r="Z2423">
        <v>0</v>
      </c>
      <c r="AA2423" s="32">
        <v>1.585</v>
      </c>
      <c r="AB2423">
        <v>0</v>
      </c>
      <c r="AC2423" s="34">
        <v>0.2</v>
      </c>
      <c r="AD2423" s="32">
        <v>3.9009999999999998</v>
      </c>
    </row>
    <row r="2424" spans="1:30">
      <c r="A2424">
        <v>2422</v>
      </c>
      <c r="B2424">
        <v>40</v>
      </c>
      <c r="C2424">
        <v>2.4510000000000001</v>
      </c>
      <c r="D2424">
        <v>4.71</v>
      </c>
      <c r="E2424">
        <v>0</v>
      </c>
      <c r="F2424">
        <v>1.7170000000000001</v>
      </c>
      <c r="G2424">
        <v>0</v>
      </c>
      <c r="H2424">
        <v>0.19900000000000001</v>
      </c>
      <c r="I2424">
        <v>4.2119999999999997</v>
      </c>
      <c r="K2424">
        <v>2422</v>
      </c>
      <c r="L2424">
        <v>40</v>
      </c>
      <c r="M2424" s="32">
        <v>2.4510000000000001</v>
      </c>
      <c r="N2424" s="32">
        <v>4.71</v>
      </c>
      <c r="P2424" s="32">
        <v>1.7170000000000001</v>
      </c>
      <c r="R2424" s="32">
        <v>0.19900000000000001</v>
      </c>
      <c r="S2424" s="32">
        <v>4.2119999999999997</v>
      </c>
      <c r="T2424" s="31">
        <v>0</v>
      </c>
      <c r="V2424">
        <v>2422</v>
      </c>
      <c r="W2424">
        <v>37</v>
      </c>
      <c r="X2424">
        <v>2.4630000000000001</v>
      </c>
      <c r="Y2424" s="32">
        <v>4.71</v>
      </c>
      <c r="Z2424">
        <v>0</v>
      </c>
      <c r="AA2424" s="32">
        <v>1.585</v>
      </c>
      <c r="AB2424">
        <v>0</v>
      </c>
      <c r="AC2424" s="34">
        <v>0.2</v>
      </c>
      <c r="AD2424" s="32">
        <v>3.903</v>
      </c>
    </row>
    <row r="2425" spans="1:30">
      <c r="A2425">
        <v>2423</v>
      </c>
      <c r="B2425">
        <v>40</v>
      </c>
      <c r="C2425">
        <v>2.452</v>
      </c>
      <c r="D2425">
        <v>4.71</v>
      </c>
      <c r="E2425">
        <v>0</v>
      </c>
      <c r="F2425">
        <v>1.7170000000000001</v>
      </c>
      <c r="G2425">
        <v>0</v>
      </c>
      <c r="H2425">
        <v>0.19900000000000001</v>
      </c>
      <c r="I2425">
        <v>4.2149999999999999</v>
      </c>
      <c r="K2425">
        <v>2423</v>
      </c>
      <c r="L2425">
        <v>40</v>
      </c>
      <c r="M2425" s="32">
        <v>2.452</v>
      </c>
      <c r="N2425" s="32">
        <v>4.71</v>
      </c>
      <c r="P2425" s="32">
        <v>1.7170000000000001</v>
      </c>
      <c r="R2425" s="32">
        <v>0.19900000000000001</v>
      </c>
      <c r="S2425" s="47">
        <v>4.2140000000000004</v>
      </c>
      <c r="T2425" s="31">
        <v>0</v>
      </c>
      <c r="V2425">
        <v>2423</v>
      </c>
      <c r="W2425">
        <v>37</v>
      </c>
      <c r="X2425">
        <v>2.464</v>
      </c>
      <c r="Y2425" s="32">
        <v>4.71</v>
      </c>
      <c r="Z2425">
        <v>0</v>
      </c>
      <c r="AA2425" s="32">
        <v>1.585</v>
      </c>
      <c r="AB2425">
        <v>0</v>
      </c>
      <c r="AC2425" s="34">
        <v>0.2</v>
      </c>
      <c r="AD2425" s="32">
        <v>3.9049999999999998</v>
      </c>
    </row>
    <row r="2426" spans="1:30">
      <c r="A2426">
        <v>2424</v>
      </c>
      <c r="B2426">
        <v>40</v>
      </c>
      <c r="C2426">
        <v>2.4529999999999998</v>
      </c>
      <c r="D2426">
        <v>4.72</v>
      </c>
      <c r="E2426">
        <v>0</v>
      </c>
      <c r="F2426">
        <v>1.718</v>
      </c>
      <c r="G2426">
        <v>0</v>
      </c>
      <c r="H2426">
        <v>0.19900000000000001</v>
      </c>
      <c r="I2426">
        <v>4.2169999999999996</v>
      </c>
      <c r="K2426">
        <v>2424</v>
      </c>
      <c r="L2426">
        <v>40</v>
      </c>
      <c r="M2426" s="32">
        <v>2.4529999999999998</v>
      </c>
      <c r="N2426" s="47">
        <v>4.71</v>
      </c>
      <c r="P2426" s="32">
        <v>1.718</v>
      </c>
      <c r="R2426" s="32">
        <v>0.19900000000000001</v>
      </c>
      <c r="S2426" s="47">
        <v>4.2160000000000002</v>
      </c>
      <c r="T2426" s="31">
        <v>0</v>
      </c>
      <c r="V2426">
        <v>2424</v>
      </c>
      <c r="W2426">
        <v>37</v>
      </c>
      <c r="X2426">
        <v>2.4649999999999999</v>
      </c>
      <c r="Y2426" s="32">
        <v>4.71</v>
      </c>
      <c r="Z2426">
        <v>0</v>
      </c>
      <c r="AA2426" s="32">
        <v>1.585</v>
      </c>
      <c r="AB2426">
        <v>0</v>
      </c>
      <c r="AC2426" s="34">
        <v>0.2</v>
      </c>
      <c r="AD2426" s="32">
        <v>3.907</v>
      </c>
    </row>
    <row r="2427" spans="1:30">
      <c r="A2427">
        <v>2425</v>
      </c>
      <c r="B2427">
        <v>40</v>
      </c>
      <c r="C2427">
        <v>2.4540000000000002</v>
      </c>
      <c r="D2427">
        <v>4.72</v>
      </c>
      <c r="E2427">
        <v>0</v>
      </c>
      <c r="F2427">
        <v>1.718</v>
      </c>
      <c r="G2427">
        <v>0</v>
      </c>
      <c r="H2427">
        <v>0.19900000000000001</v>
      </c>
      <c r="I2427">
        <v>4.2190000000000003</v>
      </c>
      <c r="K2427">
        <v>2425</v>
      </c>
      <c r="L2427">
        <v>40</v>
      </c>
      <c r="M2427" s="32">
        <v>2.4540000000000002</v>
      </c>
      <c r="N2427" s="47">
        <v>4.71</v>
      </c>
      <c r="P2427" s="32">
        <v>1.718</v>
      </c>
      <c r="R2427" s="32">
        <v>0.19900000000000001</v>
      </c>
      <c r="S2427" s="47">
        <v>4.218</v>
      </c>
      <c r="T2427" s="31">
        <v>0</v>
      </c>
      <c r="V2427">
        <v>2425</v>
      </c>
      <c r="W2427">
        <v>37</v>
      </c>
      <c r="X2427">
        <v>2.4660000000000002</v>
      </c>
      <c r="Y2427" s="32">
        <v>4.71</v>
      </c>
      <c r="Z2427">
        <v>0</v>
      </c>
      <c r="AA2427" s="32">
        <v>1.5860000000000001</v>
      </c>
      <c r="AB2427">
        <v>0</v>
      </c>
      <c r="AC2427" s="34">
        <v>0.2</v>
      </c>
      <c r="AD2427" s="32">
        <v>3.91</v>
      </c>
    </row>
    <row r="2428" spans="1:30">
      <c r="A2428">
        <v>2426</v>
      </c>
      <c r="B2428">
        <v>40</v>
      </c>
      <c r="C2428">
        <v>2.4550000000000001</v>
      </c>
      <c r="D2428">
        <v>4.72</v>
      </c>
      <c r="E2428">
        <v>0</v>
      </c>
      <c r="F2428">
        <v>1.718</v>
      </c>
      <c r="G2428">
        <v>0</v>
      </c>
      <c r="H2428">
        <v>0.19900000000000001</v>
      </c>
      <c r="I2428">
        <v>4.2210000000000001</v>
      </c>
      <c r="K2428">
        <v>2426</v>
      </c>
      <c r="L2428">
        <v>40</v>
      </c>
      <c r="M2428" s="32">
        <v>2.4550000000000001</v>
      </c>
      <c r="N2428" s="47">
        <v>4.71</v>
      </c>
      <c r="P2428" s="32">
        <v>1.718</v>
      </c>
      <c r="R2428" s="32">
        <v>0.19900000000000001</v>
      </c>
      <c r="S2428" s="47">
        <v>4.22</v>
      </c>
      <c r="T2428" s="31">
        <v>0</v>
      </c>
      <c r="V2428">
        <v>2426</v>
      </c>
      <c r="W2428">
        <v>37</v>
      </c>
      <c r="X2428">
        <v>2.4670000000000001</v>
      </c>
      <c r="Y2428" s="32">
        <v>4.71</v>
      </c>
      <c r="Z2428">
        <v>0</v>
      </c>
      <c r="AA2428" s="32">
        <v>1.5860000000000001</v>
      </c>
      <c r="AB2428">
        <v>0</v>
      </c>
      <c r="AC2428" s="34">
        <v>0.2</v>
      </c>
      <c r="AD2428" s="32">
        <v>3.9119999999999999</v>
      </c>
    </row>
    <row r="2429" spans="1:30">
      <c r="A2429">
        <v>2427</v>
      </c>
      <c r="B2429">
        <v>40</v>
      </c>
      <c r="C2429">
        <v>2.456</v>
      </c>
      <c r="D2429">
        <v>4.72</v>
      </c>
      <c r="E2429">
        <v>0</v>
      </c>
      <c r="F2429">
        <v>1.718</v>
      </c>
      <c r="G2429">
        <v>0</v>
      </c>
      <c r="H2429">
        <v>0.19900000000000001</v>
      </c>
      <c r="I2429">
        <v>4.2240000000000002</v>
      </c>
      <c r="K2429">
        <v>2427</v>
      </c>
      <c r="L2429">
        <v>40</v>
      </c>
      <c r="M2429" s="32">
        <v>2.456</v>
      </c>
      <c r="N2429" s="47">
        <v>4.71</v>
      </c>
      <c r="P2429" s="32">
        <v>1.718</v>
      </c>
      <c r="R2429" s="32">
        <v>0.19900000000000001</v>
      </c>
      <c r="S2429" s="47">
        <v>4.2220000000000004</v>
      </c>
      <c r="T2429" s="31">
        <v>0</v>
      </c>
      <c r="V2429">
        <v>2427</v>
      </c>
      <c r="W2429">
        <v>37</v>
      </c>
      <c r="X2429">
        <v>2.468</v>
      </c>
      <c r="Y2429" s="32">
        <v>4.71</v>
      </c>
      <c r="Z2429">
        <v>0</v>
      </c>
      <c r="AA2429" s="32">
        <v>1.5860000000000001</v>
      </c>
      <c r="AB2429">
        <v>0</v>
      </c>
      <c r="AC2429" s="34">
        <v>0.2</v>
      </c>
      <c r="AD2429" s="32">
        <v>3.9140000000000001</v>
      </c>
    </row>
    <row r="2430" spans="1:30">
      <c r="A2430">
        <v>2428</v>
      </c>
      <c r="B2430">
        <v>40</v>
      </c>
      <c r="C2430">
        <v>2.4569999999999999</v>
      </c>
      <c r="D2430">
        <v>4.7300000000000004</v>
      </c>
      <c r="E2430">
        <v>0</v>
      </c>
      <c r="F2430">
        <v>1.7190000000000001</v>
      </c>
      <c r="G2430">
        <v>0</v>
      </c>
      <c r="H2430">
        <v>0.19900000000000001</v>
      </c>
      <c r="I2430">
        <v>4.226</v>
      </c>
      <c r="K2430">
        <v>2428</v>
      </c>
      <c r="L2430">
        <v>40</v>
      </c>
      <c r="M2430" s="32">
        <v>2.4569999999999999</v>
      </c>
      <c r="N2430" s="47">
        <v>4.71</v>
      </c>
      <c r="P2430" s="47">
        <v>1.718</v>
      </c>
      <c r="R2430" s="32">
        <v>0.19900000000000001</v>
      </c>
      <c r="S2430" s="47">
        <v>4.2240000000000002</v>
      </c>
      <c r="T2430" s="31">
        <v>0</v>
      </c>
      <c r="V2430">
        <v>2428</v>
      </c>
      <c r="W2430">
        <v>37</v>
      </c>
      <c r="X2430">
        <v>2.4689999999999999</v>
      </c>
      <c r="Y2430" s="32">
        <v>4.71</v>
      </c>
      <c r="Z2430">
        <v>0</v>
      </c>
      <c r="AA2430" s="32">
        <v>1.5860000000000001</v>
      </c>
      <c r="AB2430">
        <v>0</v>
      </c>
      <c r="AC2430" s="34">
        <v>0.2</v>
      </c>
      <c r="AD2430" s="32">
        <v>3.9159999999999999</v>
      </c>
    </row>
    <row r="2431" spans="1:30">
      <c r="A2431">
        <v>2429</v>
      </c>
      <c r="B2431">
        <v>40</v>
      </c>
      <c r="C2431">
        <v>2.4580000000000002</v>
      </c>
      <c r="D2431">
        <v>4.7300000000000004</v>
      </c>
      <c r="E2431">
        <v>0</v>
      </c>
      <c r="F2431">
        <v>1.7190000000000001</v>
      </c>
      <c r="G2431">
        <v>0</v>
      </c>
      <c r="H2431">
        <v>0.19900000000000001</v>
      </c>
      <c r="I2431">
        <v>4.2279999999999998</v>
      </c>
      <c r="K2431">
        <v>2429</v>
      </c>
      <c r="L2431">
        <v>40</v>
      </c>
      <c r="M2431" s="32">
        <v>2.4580000000000002</v>
      </c>
      <c r="N2431" s="47">
        <v>4.71</v>
      </c>
      <c r="P2431" s="32">
        <v>1.7190000000000001</v>
      </c>
      <c r="R2431" s="32">
        <v>0.19900000000000001</v>
      </c>
      <c r="S2431" s="47">
        <v>4.226</v>
      </c>
      <c r="T2431" s="31">
        <v>0</v>
      </c>
      <c r="V2431">
        <v>2429</v>
      </c>
      <c r="W2431">
        <v>37</v>
      </c>
      <c r="X2431">
        <v>2.4700000000000002</v>
      </c>
      <c r="Y2431" s="32">
        <v>4.71</v>
      </c>
      <c r="Z2431">
        <v>0</v>
      </c>
      <c r="AA2431" s="32">
        <v>1.5860000000000001</v>
      </c>
      <c r="AB2431">
        <v>0</v>
      </c>
      <c r="AC2431" s="34">
        <v>0.20100000000000001</v>
      </c>
      <c r="AD2431" s="32">
        <v>3.9180000000000001</v>
      </c>
    </row>
    <row r="2432" spans="1:30">
      <c r="A2432">
        <v>2430</v>
      </c>
      <c r="B2432">
        <v>40</v>
      </c>
      <c r="C2432">
        <v>2.4590000000000001</v>
      </c>
      <c r="D2432">
        <v>4.7300000000000004</v>
      </c>
      <c r="E2432">
        <v>0</v>
      </c>
      <c r="F2432">
        <v>1.7190000000000001</v>
      </c>
      <c r="G2432">
        <v>0</v>
      </c>
      <c r="H2432">
        <v>0.19900000000000001</v>
      </c>
      <c r="I2432">
        <v>4.2300000000000004</v>
      </c>
      <c r="K2432">
        <v>2430</v>
      </c>
      <c r="L2432">
        <v>40</v>
      </c>
      <c r="M2432" s="32">
        <v>2.4590000000000001</v>
      </c>
      <c r="N2432" s="47">
        <v>4.71</v>
      </c>
      <c r="P2432" s="32">
        <v>1.7190000000000001</v>
      </c>
      <c r="R2432" s="32">
        <v>0.19900000000000001</v>
      </c>
      <c r="S2432" s="47">
        <v>4.2279999999999998</v>
      </c>
      <c r="T2432" s="31">
        <v>0</v>
      </c>
      <c r="V2432">
        <v>2430</v>
      </c>
      <c r="W2432">
        <v>37</v>
      </c>
      <c r="X2432">
        <v>2.4710000000000001</v>
      </c>
      <c r="Y2432" s="32">
        <v>4.71</v>
      </c>
      <c r="Z2432">
        <v>0</v>
      </c>
      <c r="AA2432" s="32">
        <v>1.587</v>
      </c>
      <c r="AB2432">
        <v>0</v>
      </c>
      <c r="AC2432" s="34">
        <v>0.20100000000000001</v>
      </c>
      <c r="AD2432" s="32">
        <v>3.92</v>
      </c>
    </row>
    <row r="2433" spans="1:30">
      <c r="A2433">
        <v>2431</v>
      </c>
      <c r="B2433">
        <v>40</v>
      </c>
      <c r="C2433">
        <v>2.46</v>
      </c>
      <c r="D2433">
        <v>4.71</v>
      </c>
      <c r="E2433">
        <v>0</v>
      </c>
      <c r="F2433">
        <v>1.7190000000000001</v>
      </c>
      <c r="G2433">
        <v>0</v>
      </c>
      <c r="H2433">
        <v>0.19900000000000001</v>
      </c>
      <c r="I2433">
        <v>4.2300000000000004</v>
      </c>
      <c r="K2433">
        <v>2431</v>
      </c>
      <c r="L2433">
        <v>40</v>
      </c>
      <c r="M2433" s="32">
        <v>2.46</v>
      </c>
      <c r="N2433" s="32">
        <v>4.71</v>
      </c>
      <c r="P2433" s="32">
        <v>1.7190000000000001</v>
      </c>
      <c r="R2433" s="32">
        <v>0.19900000000000001</v>
      </c>
      <c r="S2433" s="32">
        <v>4.2300000000000004</v>
      </c>
      <c r="T2433" s="31">
        <v>0</v>
      </c>
      <c r="V2433">
        <v>2431</v>
      </c>
      <c r="W2433">
        <v>37</v>
      </c>
      <c r="X2433">
        <v>2.472</v>
      </c>
      <c r="Y2433" s="32">
        <v>4.71</v>
      </c>
      <c r="Z2433">
        <v>0</v>
      </c>
      <c r="AA2433" s="32">
        <v>1.587</v>
      </c>
      <c r="AB2433">
        <v>0</v>
      </c>
      <c r="AC2433" s="34">
        <v>0.20100000000000001</v>
      </c>
      <c r="AD2433" s="32">
        <v>3.9220000000000002</v>
      </c>
    </row>
    <row r="2434" spans="1:30">
      <c r="A2434">
        <v>2432</v>
      </c>
      <c r="B2434">
        <v>40</v>
      </c>
      <c r="C2434">
        <v>2.4609999999999999</v>
      </c>
      <c r="D2434">
        <v>4.71</v>
      </c>
      <c r="E2434">
        <v>0</v>
      </c>
      <c r="F2434">
        <v>1.7190000000000001</v>
      </c>
      <c r="G2434">
        <v>0</v>
      </c>
      <c r="H2434">
        <v>0.19900000000000001</v>
      </c>
      <c r="I2434">
        <v>4.2549999999999999</v>
      </c>
      <c r="K2434">
        <v>2432</v>
      </c>
      <c r="L2434">
        <v>40</v>
      </c>
      <c r="M2434" s="32">
        <v>2.4609999999999999</v>
      </c>
      <c r="N2434" s="32">
        <v>4.71</v>
      </c>
      <c r="P2434" s="32">
        <v>1.7190000000000001</v>
      </c>
      <c r="R2434" s="32">
        <v>0.19900000000000001</v>
      </c>
      <c r="S2434" s="47">
        <v>4.2320000000000002</v>
      </c>
      <c r="T2434" s="31">
        <v>0</v>
      </c>
      <c r="V2434">
        <v>2432</v>
      </c>
      <c r="W2434">
        <v>37</v>
      </c>
      <c r="X2434">
        <v>2.4729999999999999</v>
      </c>
      <c r="Y2434" s="32">
        <v>4.71</v>
      </c>
      <c r="Z2434">
        <v>0</v>
      </c>
      <c r="AA2434" s="32">
        <v>1.587</v>
      </c>
      <c r="AB2434">
        <v>0</v>
      </c>
      <c r="AC2434" s="34">
        <v>0.20100000000000001</v>
      </c>
      <c r="AD2434" s="32">
        <v>3.9239999999999999</v>
      </c>
    </row>
    <row r="2435" spans="1:30">
      <c r="A2435">
        <v>2433</v>
      </c>
      <c r="B2435">
        <v>40</v>
      </c>
      <c r="C2435">
        <v>2.4620000000000002</v>
      </c>
      <c r="D2435">
        <v>4.71</v>
      </c>
      <c r="E2435">
        <v>0</v>
      </c>
      <c r="F2435">
        <v>1.7190000000000001</v>
      </c>
      <c r="G2435">
        <v>0</v>
      </c>
      <c r="H2435">
        <v>0.19900000000000001</v>
      </c>
      <c r="I2435">
        <v>4.2569999999999997</v>
      </c>
      <c r="K2435">
        <v>2433</v>
      </c>
      <c r="L2435">
        <v>40</v>
      </c>
      <c r="M2435" s="32">
        <v>2.4620000000000002</v>
      </c>
      <c r="N2435" s="32">
        <v>4.71</v>
      </c>
      <c r="P2435" s="47">
        <v>1.72</v>
      </c>
      <c r="R2435" s="47">
        <v>0.2</v>
      </c>
      <c r="S2435" s="47">
        <v>4.2350000000000003</v>
      </c>
      <c r="T2435" s="31">
        <v>0</v>
      </c>
      <c r="V2435">
        <v>2433</v>
      </c>
      <c r="W2435">
        <v>37</v>
      </c>
      <c r="X2435">
        <v>2.4740000000000002</v>
      </c>
      <c r="Y2435" s="32">
        <v>4.71</v>
      </c>
      <c r="Z2435">
        <v>0</v>
      </c>
      <c r="AA2435" s="32">
        <v>1.587</v>
      </c>
      <c r="AB2435">
        <v>0</v>
      </c>
      <c r="AC2435" s="34">
        <v>0.20100000000000001</v>
      </c>
      <c r="AD2435" s="32">
        <v>3.9260000000000002</v>
      </c>
    </row>
    <row r="2436" spans="1:30">
      <c r="A2436">
        <v>2434</v>
      </c>
      <c r="B2436">
        <v>40</v>
      </c>
      <c r="C2436">
        <v>2.4630000000000001</v>
      </c>
      <c r="D2436">
        <v>4.71</v>
      </c>
      <c r="E2436">
        <v>0</v>
      </c>
      <c r="F2436">
        <v>1.7190000000000001</v>
      </c>
      <c r="G2436">
        <v>0</v>
      </c>
      <c r="H2436">
        <v>0.19900000000000001</v>
      </c>
      <c r="I2436">
        <v>4.2590000000000003</v>
      </c>
      <c r="K2436">
        <v>2434</v>
      </c>
      <c r="L2436">
        <v>40</v>
      </c>
      <c r="M2436" s="32">
        <v>2.4630000000000001</v>
      </c>
      <c r="N2436" s="32">
        <v>4.71</v>
      </c>
      <c r="P2436" s="47">
        <v>1.72</v>
      </c>
      <c r="R2436" s="47">
        <v>0.2</v>
      </c>
      <c r="S2436" s="47">
        <v>4.2370000000000001</v>
      </c>
      <c r="T2436" s="31">
        <v>0</v>
      </c>
      <c r="V2436">
        <v>2434</v>
      </c>
      <c r="W2436">
        <v>37</v>
      </c>
      <c r="X2436">
        <v>2.4750000000000001</v>
      </c>
      <c r="Y2436" s="32">
        <v>4.71</v>
      </c>
      <c r="Z2436">
        <v>0</v>
      </c>
      <c r="AA2436" s="32">
        <v>1.587</v>
      </c>
      <c r="AB2436">
        <v>0</v>
      </c>
      <c r="AC2436" s="34">
        <v>0.20100000000000001</v>
      </c>
      <c r="AD2436" s="32">
        <v>3.9279999999999999</v>
      </c>
    </row>
    <row r="2437" spans="1:30">
      <c r="A2437">
        <v>2435</v>
      </c>
      <c r="B2437">
        <v>40</v>
      </c>
      <c r="C2437">
        <v>2.464</v>
      </c>
      <c r="D2437">
        <v>4.71</v>
      </c>
      <c r="E2437">
        <v>0</v>
      </c>
      <c r="F2437">
        <v>1.7190000000000001</v>
      </c>
      <c r="G2437">
        <v>0</v>
      </c>
      <c r="H2437">
        <v>0.19900000000000001</v>
      </c>
      <c r="I2437">
        <v>4.2619999999999996</v>
      </c>
      <c r="K2437">
        <v>2435</v>
      </c>
      <c r="L2437">
        <v>40</v>
      </c>
      <c r="M2437" s="32">
        <v>2.464</v>
      </c>
      <c r="N2437" s="32">
        <v>4.71</v>
      </c>
      <c r="P2437" s="47">
        <v>1.72</v>
      </c>
      <c r="R2437" s="47">
        <v>0.2</v>
      </c>
      <c r="S2437" s="47">
        <v>4.2389999999999999</v>
      </c>
      <c r="T2437" s="31">
        <v>0</v>
      </c>
      <c r="V2437">
        <v>2435</v>
      </c>
      <c r="W2437">
        <v>37</v>
      </c>
      <c r="X2437">
        <v>2.476</v>
      </c>
      <c r="Y2437" s="32">
        <v>4.71</v>
      </c>
      <c r="Z2437">
        <v>0</v>
      </c>
      <c r="AA2437" s="32">
        <v>1.5880000000000001</v>
      </c>
      <c r="AB2437">
        <v>0</v>
      </c>
      <c r="AC2437" s="34">
        <v>0.20100000000000001</v>
      </c>
      <c r="AD2437" s="32">
        <v>3.93</v>
      </c>
    </row>
    <row r="2438" spans="1:30">
      <c r="A2438">
        <v>2436</v>
      </c>
      <c r="B2438">
        <v>40</v>
      </c>
      <c r="C2438">
        <v>2.4649999999999999</v>
      </c>
      <c r="D2438">
        <v>4.71</v>
      </c>
      <c r="E2438">
        <v>0</v>
      </c>
      <c r="F2438">
        <v>1.7190000000000001</v>
      </c>
      <c r="G2438">
        <v>0</v>
      </c>
      <c r="H2438">
        <v>0.19900000000000001</v>
      </c>
      <c r="I2438">
        <v>4.2640000000000002</v>
      </c>
      <c r="K2438">
        <v>2436</v>
      </c>
      <c r="L2438">
        <v>40</v>
      </c>
      <c r="M2438" s="32">
        <v>2.4649999999999999</v>
      </c>
      <c r="N2438" s="32">
        <v>4.71</v>
      </c>
      <c r="P2438" s="47">
        <v>1.7210000000000001</v>
      </c>
      <c r="R2438" s="47">
        <v>0.2</v>
      </c>
      <c r="S2438" s="47">
        <v>4.242</v>
      </c>
      <c r="T2438" s="31">
        <v>0</v>
      </c>
      <c r="V2438">
        <v>2436</v>
      </c>
      <c r="W2438">
        <v>37</v>
      </c>
      <c r="X2438">
        <v>2.4769999999999999</v>
      </c>
      <c r="Y2438" s="32">
        <v>4.71</v>
      </c>
      <c r="Z2438">
        <v>0</v>
      </c>
      <c r="AA2438" s="32">
        <v>1.5880000000000001</v>
      </c>
      <c r="AB2438">
        <v>0</v>
      </c>
      <c r="AC2438" s="34">
        <v>0.20100000000000001</v>
      </c>
      <c r="AD2438" s="32">
        <v>3.9329999999999998</v>
      </c>
    </row>
    <row r="2439" spans="1:30">
      <c r="A2439">
        <v>2437</v>
      </c>
      <c r="B2439">
        <v>40</v>
      </c>
      <c r="C2439">
        <v>2.4660000000000002</v>
      </c>
      <c r="D2439">
        <v>4.71</v>
      </c>
      <c r="E2439">
        <v>0</v>
      </c>
      <c r="F2439">
        <v>1.7190000000000001</v>
      </c>
      <c r="G2439">
        <v>0</v>
      </c>
      <c r="H2439">
        <v>0.19900000000000001</v>
      </c>
      <c r="I2439">
        <v>4.266</v>
      </c>
      <c r="K2439">
        <v>2437</v>
      </c>
      <c r="L2439">
        <v>40</v>
      </c>
      <c r="M2439" s="32">
        <v>2.4660000000000002</v>
      </c>
      <c r="N2439" s="32">
        <v>4.71</v>
      </c>
      <c r="P2439" s="47">
        <v>1.7210000000000001</v>
      </c>
      <c r="R2439" s="47">
        <v>0.2</v>
      </c>
      <c r="S2439" s="47">
        <v>4.2439999999999998</v>
      </c>
      <c r="T2439" s="31">
        <v>0</v>
      </c>
      <c r="V2439">
        <v>2437</v>
      </c>
      <c r="W2439">
        <v>37</v>
      </c>
      <c r="X2439">
        <v>2.4780000000000002</v>
      </c>
      <c r="Y2439" s="32">
        <v>4.71</v>
      </c>
      <c r="Z2439">
        <v>0</v>
      </c>
      <c r="AA2439" s="32">
        <v>1.5880000000000001</v>
      </c>
      <c r="AB2439">
        <v>0</v>
      </c>
      <c r="AC2439" s="34">
        <v>0.20100000000000001</v>
      </c>
      <c r="AD2439" s="32">
        <v>3.9350000000000001</v>
      </c>
    </row>
    <row r="2440" spans="1:30">
      <c r="A2440">
        <v>2438</v>
      </c>
      <c r="B2440">
        <v>40</v>
      </c>
      <c r="C2440">
        <v>2.4670000000000001</v>
      </c>
      <c r="D2440">
        <v>4.71</v>
      </c>
      <c r="E2440">
        <v>0</v>
      </c>
      <c r="F2440">
        <v>1.7190000000000001</v>
      </c>
      <c r="G2440">
        <v>0</v>
      </c>
      <c r="H2440">
        <v>0.19900000000000001</v>
      </c>
      <c r="I2440">
        <v>4.2679999999999998</v>
      </c>
      <c r="K2440">
        <v>2438</v>
      </c>
      <c r="L2440">
        <v>40</v>
      </c>
      <c r="M2440" s="32">
        <v>2.4670000000000001</v>
      </c>
      <c r="N2440" s="32">
        <v>4.71</v>
      </c>
      <c r="P2440" s="47">
        <v>1.7210000000000001</v>
      </c>
      <c r="R2440" s="47">
        <v>0.2</v>
      </c>
      <c r="S2440" s="47">
        <v>4.2460000000000004</v>
      </c>
      <c r="T2440" s="31">
        <v>0</v>
      </c>
      <c r="V2440">
        <v>2438</v>
      </c>
      <c r="W2440">
        <v>37</v>
      </c>
      <c r="X2440">
        <v>2.4790000000000001</v>
      </c>
      <c r="Y2440" s="32">
        <v>4.71</v>
      </c>
      <c r="Z2440">
        <v>0</v>
      </c>
      <c r="AA2440" s="32">
        <v>1.5880000000000001</v>
      </c>
      <c r="AB2440">
        <v>0</v>
      </c>
      <c r="AC2440" s="34">
        <v>0.20100000000000001</v>
      </c>
      <c r="AD2440" s="32">
        <v>3.9369999999999998</v>
      </c>
    </row>
    <row r="2441" spans="1:30">
      <c r="A2441">
        <v>2439</v>
      </c>
      <c r="B2441">
        <v>40</v>
      </c>
      <c r="C2441">
        <v>2.468</v>
      </c>
      <c r="D2441">
        <v>4.71</v>
      </c>
      <c r="E2441">
        <v>0</v>
      </c>
      <c r="F2441">
        <v>1.7190000000000001</v>
      </c>
      <c r="G2441">
        <v>0</v>
      </c>
      <c r="H2441">
        <v>0.19900000000000001</v>
      </c>
      <c r="I2441">
        <v>4.2709999999999999</v>
      </c>
      <c r="K2441">
        <v>2439</v>
      </c>
      <c r="L2441">
        <v>40</v>
      </c>
      <c r="M2441" s="32">
        <v>2.468</v>
      </c>
      <c r="N2441" s="32">
        <v>4.71</v>
      </c>
      <c r="P2441" s="47">
        <v>1.7210000000000001</v>
      </c>
      <c r="R2441" s="47">
        <v>0.2</v>
      </c>
      <c r="S2441" s="47">
        <v>4.2480000000000002</v>
      </c>
      <c r="T2441" s="31">
        <v>0</v>
      </c>
      <c r="V2441">
        <v>2439</v>
      </c>
      <c r="W2441">
        <v>37</v>
      </c>
      <c r="X2441">
        <v>2.48</v>
      </c>
      <c r="Y2441" s="32">
        <v>4.71</v>
      </c>
      <c r="Z2441">
        <v>0</v>
      </c>
      <c r="AA2441" s="32">
        <v>1.589</v>
      </c>
      <c r="AB2441">
        <v>0</v>
      </c>
      <c r="AC2441" s="34">
        <v>0.20100000000000001</v>
      </c>
      <c r="AD2441" s="32">
        <v>3.9390000000000001</v>
      </c>
    </row>
    <row r="2442" spans="1:30">
      <c r="A2442">
        <v>2440</v>
      </c>
      <c r="B2442">
        <v>40</v>
      </c>
      <c r="C2442">
        <v>2.4689999999999999</v>
      </c>
      <c r="D2442">
        <v>4.71</v>
      </c>
      <c r="E2442">
        <v>0</v>
      </c>
      <c r="F2442">
        <v>1.7190000000000001</v>
      </c>
      <c r="G2442">
        <v>0</v>
      </c>
      <c r="H2442">
        <v>0.19900000000000001</v>
      </c>
      <c r="I2442">
        <v>4.2729999999999997</v>
      </c>
      <c r="K2442">
        <v>2440</v>
      </c>
      <c r="L2442">
        <v>40</v>
      </c>
      <c r="M2442" s="32">
        <v>2.4689999999999999</v>
      </c>
      <c r="N2442" s="32">
        <v>4.71</v>
      </c>
      <c r="P2442" s="47">
        <v>1.722</v>
      </c>
      <c r="R2442" s="47">
        <v>0.2</v>
      </c>
      <c r="S2442" s="47">
        <v>4.2510000000000003</v>
      </c>
      <c r="T2442" s="31">
        <v>0</v>
      </c>
      <c r="V2442">
        <v>2440</v>
      </c>
      <c r="W2442">
        <v>37</v>
      </c>
      <c r="X2442">
        <v>2.4809999999999999</v>
      </c>
      <c r="Y2442" s="32">
        <v>4.71</v>
      </c>
      <c r="Z2442">
        <v>0</v>
      </c>
      <c r="AA2442" s="32">
        <v>1.589</v>
      </c>
      <c r="AB2442">
        <v>0</v>
      </c>
      <c r="AC2442" s="34">
        <v>0.20100000000000001</v>
      </c>
      <c r="AD2442" s="32">
        <v>3.9409999999999998</v>
      </c>
    </row>
    <row r="2443" spans="1:30">
      <c r="A2443">
        <v>2441</v>
      </c>
      <c r="B2443">
        <v>40</v>
      </c>
      <c r="C2443">
        <v>2.4700000000000002</v>
      </c>
      <c r="D2443">
        <v>4.71</v>
      </c>
      <c r="E2443">
        <v>0</v>
      </c>
      <c r="F2443">
        <v>1.7190000000000001</v>
      </c>
      <c r="G2443">
        <v>0</v>
      </c>
      <c r="H2443">
        <v>0.19900000000000001</v>
      </c>
      <c r="I2443">
        <v>4.2750000000000004</v>
      </c>
      <c r="K2443">
        <v>2441</v>
      </c>
      <c r="L2443">
        <v>40</v>
      </c>
      <c r="M2443" s="32">
        <v>2.4700000000000002</v>
      </c>
      <c r="N2443" s="32">
        <v>4.71</v>
      </c>
      <c r="P2443" s="47">
        <v>1.722</v>
      </c>
      <c r="R2443" s="47">
        <v>0.2</v>
      </c>
      <c r="S2443" s="47">
        <v>4.2530000000000001</v>
      </c>
      <c r="T2443" s="31">
        <v>0</v>
      </c>
      <c r="V2443">
        <v>2441</v>
      </c>
      <c r="W2443">
        <v>38</v>
      </c>
      <c r="X2443">
        <v>2.4820000000000002</v>
      </c>
      <c r="Y2443" s="32">
        <v>4.71</v>
      </c>
      <c r="Z2443">
        <v>0</v>
      </c>
      <c r="AA2443" s="32">
        <v>1.589</v>
      </c>
      <c r="AB2443">
        <v>0</v>
      </c>
      <c r="AC2443" s="34">
        <v>0.20100000000000001</v>
      </c>
      <c r="AD2443" s="32">
        <v>3.9430000000000001</v>
      </c>
    </row>
    <row r="2444" spans="1:30">
      <c r="A2444">
        <v>2442</v>
      </c>
      <c r="B2444">
        <v>40</v>
      </c>
      <c r="C2444">
        <v>2.4710000000000001</v>
      </c>
      <c r="D2444">
        <v>4.71</v>
      </c>
      <c r="E2444">
        <v>0</v>
      </c>
      <c r="F2444">
        <v>1.722</v>
      </c>
      <c r="G2444">
        <v>0</v>
      </c>
      <c r="H2444">
        <v>0.19900000000000001</v>
      </c>
      <c r="I2444">
        <v>4.3</v>
      </c>
      <c r="K2444">
        <v>2442</v>
      </c>
      <c r="L2444">
        <v>40</v>
      </c>
      <c r="M2444" s="32">
        <v>2.4710000000000001</v>
      </c>
      <c r="N2444" s="32">
        <v>4.71</v>
      </c>
      <c r="P2444" s="32">
        <v>1.722</v>
      </c>
      <c r="R2444" s="47">
        <v>0.2</v>
      </c>
      <c r="S2444" s="47">
        <v>4.2549999999999999</v>
      </c>
      <c r="T2444" s="31">
        <v>0</v>
      </c>
      <c r="V2444">
        <v>2442</v>
      </c>
      <c r="W2444">
        <v>38</v>
      </c>
      <c r="X2444">
        <v>2.4830000000000001</v>
      </c>
      <c r="Y2444" s="32">
        <v>4.71</v>
      </c>
      <c r="Z2444">
        <v>0</v>
      </c>
      <c r="AA2444" s="32">
        <v>1.589</v>
      </c>
      <c r="AB2444">
        <v>0</v>
      </c>
      <c r="AC2444" s="34">
        <v>0.20100000000000001</v>
      </c>
      <c r="AD2444" s="32">
        <v>3.9449999999999998</v>
      </c>
    </row>
    <row r="2445" spans="1:30">
      <c r="A2445">
        <v>2443</v>
      </c>
      <c r="B2445">
        <v>40</v>
      </c>
      <c r="C2445">
        <v>2.472</v>
      </c>
      <c r="D2445">
        <v>4.71</v>
      </c>
      <c r="E2445">
        <v>0</v>
      </c>
      <c r="F2445">
        <v>1.722</v>
      </c>
      <c r="G2445">
        <v>0</v>
      </c>
      <c r="H2445">
        <v>0.19900000000000001</v>
      </c>
      <c r="I2445">
        <v>4.3029999999999999</v>
      </c>
      <c r="K2445">
        <v>2443</v>
      </c>
      <c r="L2445">
        <v>40</v>
      </c>
      <c r="M2445" s="32">
        <v>2.472</v>
      </c>
      <c r="N2445" s="32">
        <v>4.71</v>
      </c>
      <c r="P2445" s="32">
        <v>1.722</v>
      </c>
      <c r="R2445" s="47">
        <v>0.2</v>
      </c>
      <c r="S2445" s="47">
        <v>4.2569999999999997</v>
      </c>
      <c r="T2445" s="31">
        <v>0</v>
      </c>
      <c r="V2445">
        <v>2443</v>
      </c>
      <c r="W2445">
        <v>38</v>
      </c>
      <c r="X2445">
        <v>2.484</v>
      </c>
      <c r="Y2445" s="32">
        <v>4.71</v>
      </c>
      <c r="Z2445">
        <v>0</v>
      </c>
      <c r="AA2445" s="32">
        <v>1.589</v>
      </c>
      <c r="AB2445">
        <v>0</v>
      </c>
      <c r="AC2445" s="34">
        <v>0.20100000000000001</v>
      </c>
      <c r="AD2445" s="32">
        <v>3.9470000000000001</v>
      </c>
    </row>
    <row r="2446" spans="1:30">
      <c r="A2446">
        <v>2444</v>
      </c>
      <c r="B2446">
        <v>40</v>
      </c>
      <c r="C2446">
        <v>2.4729999999999999</v>
      </c>
      <c r="D2446">
        <v>4.71</v>
      </c>
      <c r="E2446">
        <v>0</v>
      </c>
      <c r="F2446">
        <v>1.722</v>
      </c>
      <c r="G2446">
        <v>0</v>
      </c>
      <c r="H2446">
        <v>0.19900000000000001</v>
      </c>
      <c r="I2446">
        <v>4.3049999999999997</v>
      </c>
      <c r="K2446">
        <v>2444</v>
      </c>
      <c r="L2446">
        <v>40</v>
      </c>
      <c r="M2446" s="32">
        <v>2.4729999999999999</v>
      </c>
      <c r="N2446" s="32">
        <v>4.71</v>
      </c>
      <c r="P2446" s="47">
        <v>1.7230000000000001</v>
      </c>
      <c r="R2446" s="47">
        <v>0.2</v>
      </c>
      <c r="S2446" s="47">
        <v>4.26</v>
      </c>
      <c r="T2446" s="31">
        <v>0</v>
      </c>
      <c r="V2446">
        <v>2444</v>
      </c>
      <c r="W2446">
        <v>38</v>
      </c>
      <c r="X2446">
        <v>2.4849999999999999</v>
      </c>
      <c r="Y2446" s="32">
        <v>4.71</v>
      </c>
      <c r="Z2446">
        <v>0</v>
      </c>
      <c r="AA2446" s="32">
        <v>1.59</v>
      </c>
      <c r="AB2446">
        <v>0</v>
      </c>
      <c r="AC2446" s="34">
        <v>0.20100000000000001</v>
      </c>
      <c r="AD2446" s="32">
        <v>3.9489999999999998</v>
      </c>
    </row>
    <row r="2447" spans="1:30">
      <c r="A2447">
        <v>2445</v>
      </c>
      <c r="B2447">
        <v>40</v>
      </c>
      <c r="C2447">
        <v>2.4740000000000002</v>
      </c>
      <c r="D2447">
        <v>4.71</v>
      </c>
      <c r="E2447">
        <v>0</v>
      </c>
      <c r="F2447">
        <v>1.722</v>
      </c>
      <c r="G2447">
        <v>0</v>
      </c>
      <c r="H2447">
        <v>0.19900000000000001</v>
      </c>
      <c r="I2447">
        <v>4.3070000000000004</v>
      </c>
      <c r="K2447">
        <v>2445</v>
      </c>
      <c r="L2447">
        <v>40</v>
      </c>
      <c r="M2447" s="32">
        <v>2.4740000000000002</v>
      </c>
      <c r="N2447" s="32">
        <v>4.71</v>
      </c>
      <c r="P2447" s="47">
        <v>1.7230000000000001</v>
      </c>
      <c r="R2447" s="47">
        <v>0.2</v>
      </c>
      <c r="S2447" s="47">
        <v>4.2619999999999996</v>
      </c>
      <c r="T2447" s="31">
        <v>0</v>
      </c>
      <c r="V2447">
        <v>2445</v>
      </c>
      <c r="W2447">
        <v>38</v>
      </c>
      <c r="X2447">
        <v>2.4860000000000002</v>
      </c>
      <c r="Y2447" s="32">
        <v>4.71</v>
      </c>
      <c r="Z2447">
        <v>0</v>
      </c>
      <c r="AA2447" s="32">
        <v>1.59</v>
      </c>
      <c r="AB2447">
        <v>0</v>
      </c>
      <c r="AC2447" s="34">
        <v>0.20100000000000001</v>
      </c>
      <c r="AD2447" s="32">
        <v>3.952</v>
      </c>
    </row>
    <row r="2448" spans="1:30">
      <c r="A2448">
        <v>2446</v>
      </c>
      <c r="B2448">
        <v>40</v>
      </c>
      <c r="C2448">
        <v>2.4750000000000001</v>
      </c>
      <c r="D2448">
        <v>4.71</v>
      </c>
      <c r="E2448">
        <v>0</v>
      </c>
      <c r="F2448">
        <v>1.722</v>
      </c>
      <c r="G2448">
        <v>0</v>
      </c>
      <c r="H2448">
        <v>0.19900000000000001</v>
      </c>
      <c r="I2448">
        <v>4.3090000000000002</v>
      </c>
      <c r="K2448">
        <v>2446</v>
      </c>
      <c r="L2448">
        <v>40</v>
      </c>
      <c r="M2448" s="32">
        <v>2.4750000000000001</v>
      </c>
      <c r="N2448" s="32">
        <v>4.71</v>
      </c>
      <c r="P2448" s="47">
        <v>1.7230000000000001</v>
      </c>
      <c r="R2448" s="47">
        <v>0.2</v>
      </c>
      <c r="S2448" s="47">
        <v>4.2640000000000002</v>
      </c>
      <c r="T2448" s="31">
        <v>0</v>
      </c>
      <c r="V2448">
        <v>2446</v>
      </c>
      <c r="W2448">
        <v>38</v>
      </c>
      <c r="X2448">
        <v>2.4870000000000001</v>
      </c>
      <c r="Y2448" s="32">
        <v>4.71</v>
      </c>
      <c r="Z2448">
        <v>0</v>
      </c>
      <c r="AA2448" s="32">
        <v>1.59</v>
      </c>
      <c r="AB2448">
        <v>0</v>
      </c>
      <c r="AC2448" s="34">
        <v>0.20100000000000001</v>
      </c>
      <c r="AD2448" s="32">
        <v>3.9540000000000002</v>
      </c>
    </row>
    <row r="2449" spans="1:30">
      <c r="A2449">
        <v>2447</v>
      </c>
      <c r="B2449">
        <v>40</v>
      </c>
      <c r="C2449">
        <v>2.476</v>
      </c>
      <c r="D2449">
        <v>4.71</v>
      </c>
      <c r="E2449">
        <v>0</v>
      </c>
      <c r="F2449">
        <v>1.722</v>
      </c>
      <c r="G2449">
        <v>0</v>
      </c>
      <c r="H2449">
        <v>0.19900000000000001</v>
      </c>
      <c r="I2449">
        <v>4.3120000000000003</v>
      </c>
      <c r="K2449">
        <v>2447</v>
      </c>
      <c r="L2449">
        <v>40</v>
      </c>
      <c r="M2449" s="32">
        <v>2.476</v>
      </c>
      <c r="N2449" s="32">
        <v>4.71</v>
      </c>
      <c r="P2449" s="47">
        <v>1.7230000000000001</v>
      </c>
      <c r="R2449" s="47">
        <v>0.2</v>
      </c>
      <c r="S2449" s="47">
        <v>4.266</v>
      </c>
      <c r="T2449" s="31">
        <v>0</v>
      </c>
      <c r="V2449">
        <v>2447</v>
      </c>
      <c r="W2449">
        <v>38</v>
      </c>
      <c r="X2449">
        <v>2.488</v>
      </c>
      <c r="Y2449" s="32">
        <v>4.71</v>
      </c>
      <c r="Z2449">
        <v>0</v>
      </c>
      <c r="AA2449" s="32">
        <v>1.59</v>
      </c>
      <c r="AB2449">
        <v>0</v>
      </c>
      <c r="AC2449" s="34">
        <v>0.20100000000000001</v>
      </c>
      <c r="AD2449" s="32">
        <v>3.956</v>
      </c>
    </row>
    <row r="2450" spans="1:30">
      <c r="A2450">
        <v>2448</v>
      </c>
      <c r="B2450">
        <v>40</v>
      </c>
      <c r="C2450">
        <v>2.4769999999999999</v>
      </c>
      <c r="D2450">
        <v>4.71</v>
      </c>
      <c r="E2450">
        <v>0</v>
      </c>
      <c r="F2450">
        <v>1.722</v>
      </c>
      <c r="G2450">
        <v>0</v>
      </c>
      <c r="H2450">
        <v>0.19900000000000001</v>
      </c>
      <c r="I2450">
        <v>4.3140000000000001</v>
      </c>
      <c r="K2450">
        <v>2448</v>
      </c>
      <c r="L2450">
        <v>40</v>
      </c>
      <c r="M2450" s="32">
        <v>2.4769999999999999</v>
      </c>
      <c r="N2450" s="32">
        <v>4.71</v>
      </c>
      <c r="P2450" s="47">
        <v>1.7230000000000001</v>
      </c>
      <c r="R2450" s="47">
        <v>0.2</v>
      </c>
      <c r="S2450" s="47">
        <v>4.2679999999999998</v>
      </c>
      <c r="T2450" s="31">
        <v>0</v>
      </c>
      <c r="V2450">
        <v>2448</v>
      </c>
      <c r="W2450">
        <v>38</v>
      </c>
      <c r="X2450">
        <v>2.4889999999999999</v>
      </c>
      <c r="Y2450" s="32">
        <v>4.71</v>
      </c>
      <c r="Z2450">
        <v>0</v>
      </c>
      <c r="AA2450" s="32">
        <v>1.591</v>
      </c>
      <c r="AB2450">
        <v>0</v>
      </c>
      <c r="AC2450" s="34">
        <v>0.20100000000000001</v>
      </c>
      <c r="AD2450" s="32">
        <v>3.9580000000000002</v>
      </c>
    </row>
    <row r="2451" spans="1:30">
      <c r="A2451">
        <v>2449</v>
      </c>
      <c r="B2451">
        <v>40</v>
      </c>
      <c r="C2451">
        <v>2.4780000000000002</v>
      </c>
      <c r="D2451">
        <v>4.71</v>
      </c>
      <c r="E2451">
        <v>0</v>
      </c>
      <c r="F2451">
        <v>1.722</v>
      </c>
      <c r="G2451">
        <v>0</v>
      </c>
      <c r="H2451">
        <v>0.19900000000000001</v>
      </c>
      <c r="I2451">
        <v>4.3159999999999998</v>
      </c>
      <c r="K2451">
        <v>2449</v>
      </c>
      <c r="L2451">
        <v>40</v>
      </c>
      <c r="M2451" s="32">
        <v>2.4780000000000002</v>
      </c>
      <c r="N2451" s="32">
        <v>4.71</v>
      </c>
      <c r="P2451" s="47">
        <v>1.724</v>
      </c>
      <c r="R2451" s="47">
        <v>0.2</v>
      </c>
      <c r="S2451" s="47">
        <v>4.2709999999999999</v>
      </c>
      <c r="T2451" s="31">
        <v>0</v>
      </c>
      <c r="V2451">
        <v>2449</v>
      </c>
      <c r="W2451">
        <v>38</v>
      </c>
      <c r="X2451">
        <v>2.4900000000000002</v>
      </c>
      <c r="Y2451" s="32">
        <v>4.71</v>
      </c>
      <c r="Z2451">
        <v>0</v>
      </c>
      <c r="AA2451" s="32">
        <v>1.591</v>
      </c>
      <c r="AB2451">
        <v>0</v>
      </c>
      <c r="AC2451" s="34">
        <v>0.20100000000000001</v>
      </c>
      <c r="AD2451" s="32">
        <v>3.96</v>
      </c>
    </row>
    <row r="2452" spans="1:30">
      <c r="A2452">
        <v>2450</v>
      </c>
      <c r="B2452">
        <v>40</v>
      </c>
      <c r="C2452">
        <v>2.4790000000000001</v>
      </c>
      <c r="D2452">
        <v>4.71</v>
      </c>
      <c r="E2452">
        <v>0</v>
      </c>
      <c r="F2452">
        <v>1.722</v>
      </c>
      <c r="G2452">
        <v>0</v>
      </c>
      <c r="H2452">
        <v>0.19900000000000001</v>
      </c>
      <c r="I2452">
        <v>4.3179999999999996</v>
      </c>
      <c r="K2452">
        <v>2450</v>
      </c>
      <c r="L2452">
        <v>40</v>
      </c>
      <c r="M2452" s="32">
        <v>2.4790000000000001</v>
      </c>
      <c r="N2452" s="32">
        <v>4.71</v>
      </c>
      <c r="P2452" s="47">
        <v>1.724</v>
      </c>
      <c r="R2452" s="47">
        <v>0.2</v>
      </c>
      <c r="S2452" s="47">
        <v>4.2729999999999997</v>
      </c>
      <c r="T2452" s="31">
        <v>0</v>
      </c>
      <c r="V2452">
        <v>2450</v>
      </c>
      <c r="W2452">
        <v>38</v>
      </c>
      <c r="X2452">
        <v>2.4910000000000001</v>
      </c>
      <c r="Y2452" s="32">
        <v>4.71</v>
      </c>
      <c r="Z2452">
        <v>0</v>
      </c>
      <c r="AA2452" s="32">
        <v>1.591</v>
      </c>
      <c r="AB2452">
        <v>0</v>
      </c>
      <c r="AC2452" s="34">
        <v>0.20100000000000001</v>
      </c>
      <c r="AD2452" s="32">
        <v>3.9620000000000002</v>
      </c>
    </row>
    <row r="2453" spans="1:30">
      <c r="A2453">
        <v>2451</v>
      </c>
      <c r="B2453">
        <v>40</v>
      </c>
      <c r="C2453">
        <v>2.48</v>
      </c>
      <c r="D2453">
        <v>4.71</v>
      </c>
      <c r="E2453">
        <v>0</v>
      </c>
      <c r="F2453">
        <v>1.724</v>
      </c>
      <c r="G2453">
        <v>0</v>
      </c>
      <c r="H2453">
        <v>0.19900000000000001</v>
      </c>
      <c r="I2453">
        <v>4.2750000000000004</v>
      </c>
      <c r="K2453">
        <v>2451</v>
      </c>
      <c r="L2453">
        <v>40</v>
      </c>
      <c r="M2453" s="32">
        <v>2.48</v>
      </c>
      <c r="N2453" s="32">
        <v>4.71</v>
      </c>
      <c r="P2453" s="32">
        <v>1.724</v>
      </c>
      <c r="R2453" s="47">
        <v>0.2</v>
      </c>
      <c r="S2453" s="32">
        <v>4.2750000000000004</v>
      </c>
      <c r="T2453" s="31">
        <v>0</v>
      </c>
      <c r="V2453">
        <v>2451</v>
      </c>
      <c r="W2453">
        <v>38</v>
      </c>
      <c r="X2453">
        <v>2.492</v>
      </c>
      <c r="Y2453" s="32">
        <v>4.71</v>
      </c>
      <c r="Z2453">
        <v>0</v>
      </c>
      <c r="AA2453" s="32">
        <v>1.591</v>
      </c>
      <c r="AB2453">
        <v>0</v>
      </c>
      <c r="AC2453" s="34">
        <v>0.20100000000000001</v>
      </c>
      <c r="AD2453" s="32">
        <v>3.9649999999999999</v>
      </c>
    </row>
    <row r="2454" spans="1:30">
      <c r="A2454">
        <v>2452</v>
      </c>
      <c r="B2454">
        <v>40</v>
      </c>
      <c r="C2454">
        <v>2.4809999999999999</v>
      </c>
      <c r="D2454">
        <v>4.71</v>
      </c>
      <c r="E2454">
        <v>0</v>
      </c>
      <c r="F2454">
        <v>1.724</v>
      </c>
      <c r="G2454">
        <v>0</v>
      </c>
      <c r="H2454">
        <v>0.19900000000000001</v>
      </c>
      <c r="I2454">
        <v>4.3449999999999998</v>
      </c>
      <c r="K2454">
        <v>2452</v>
      </c>
      <c r="L2454">
        <v>40</v>
      </c>
      <c r="M2454" s="32">
        <v>2.4809999999999999</v>
      </c>
      <c r="N2454" s="32">
        <v>4.71</v>
      </c>
      <c r="P2454" s="32">
        <v>1.724</v>
      </c>
      <c r="R2454" s="47">
        <v>0.2</v>
      </c>
      <c r="S2454" s="47">
        <v>4.2770000000000001</v>
      </c>
      <c r="T2454" s="31">
        <v>0</v>
      </c>
      <c r="V2454">
        <v>2452</v>
      </c>
      <c r="W2454">
        <v>38</v>
      </c>
      <c r="X2454">
        <v>2.4929999999999999</v>
      </c>
      <c r="Y2454" s="32">
        <v>4.71</v>
      </c>
      <c r="Z2454">
        <v>0</v>
      </c>
      <c r="AA2454" s="32">
        <v>1.591</v>
      </c>
      <c r="AB2454">
        <v>0</v>
      </c>
      <c r="AC2454" s="34">
        <v>0.20100000000000001</v>
      </c>
      <c r="AD2454" s="32">
        <v>3.9670000000000001</v>
      </c>
    </row>
    <row r="2455" spans="1:30">
      <c r="A2455">
        <v>2453</v>
      </c>
      <c r="B2455">
        <v>40</v>
      </c>
      <c r="C2455">
        <v>2.4820000000000002</v>
      </c>
      <c r="D2455">
        <v>4.71</v>
      </c>
      <c r="E2455">
        <v>0</v>
      </c>
      <c r="F2455">
        <v>1.724</v>
      </c>
      <c r="G2455">
        <v>0</v>
      </c>
      <c r="H2455">
        <v>0.19900000000000001</v>
      </c>
      <c r="I2455">
        <v>4.3470000000000004</v>
      </c>
      <c r="K2455">
        <v>2453</v>
      </c>
      <c r="L2455">
        <v>40</v>
      </c>
      <c r="M2455" s="32">
        <v>2.4820000000000002</v>
      </c>
      <c r="N2455" s="32">
        <v>4.71</v>
      </c>
      <c r="P2455" s="32">
        <v>1.724</v>
      </c>
      <c r="R2455" s="47">
        <v>0.2</v>
      </c>
      <c r="S2455" s="47">
        <v>4.28</v>
      </c>
      <c r="T2455" s="31">
        <v>0</v>
      </c>
      <c r="V2455">
        <v>2453</v>
      </c>
      <c r="W2455">
        <v>38</v>
      </c>
      <c r="X2455">
        <v>2.4940000000000002</v>
      </c>
      <c r="Y2455" s="32">
        <v>4.71</v>
      </c>
      <c r="Z2455">
        <v>0</v>
      </c>
      <c r="AA2455" s="32">
        <v>1.5920000000000001</v>
      </c>
      <c r="AB2455">
        <v>0</v>
      </c>
      <c r="AC2455" s="34">
        <v>0.20200000000000001</v>
      </c>
      <c r="AD2455" s="32">
        <v>3.9689999999999999</v>
      </c>
    </row>
    <row r="2456" spans="1:30">
      <c r="A2456">
        <v>2454</v>
      </c>
      <c r="B2456">
        <v>40</v>
      </c>
      <c r="C2456">
        <v>2.4830000000000001</v>
      </c>
      <c r="D2456">
        <v>4.71</v>
      </c>
      <c r="E2456">
        <v>0</v>
      </c>
      <c r="F2456">
        <v>1.724</v>
      </c>
      <c r="G2456">
        <v>0</v>
      </c>
      <c r="H2456">
        <v>0.19900000000000001</v>
      </c>
      <c r="I2456">
        <v>4.3490000000000002</v>
      </c>
      <c r="K2456">
        <v>2454</v>
      </c>
      <c r="L2456">
        <v>40</v>
      </c>
      <c r="M2456" s="32">
        <v>2.4830000000000001</v>
      </c>
      <c r="N2456" s="32">
        <v>4.71</v>
      </c>
      <c r="P2456" s="47">
        <v>1.7250000000000001</v>
      </c>
      <c r="R2456" s="47">
        <v>0.2</v>
      </c>
      <c r="S2456" s="47">
        <v>4.282</v>
      </c>
      <c r="T2456" s="31">
        <v>0</v>
      </c>
      <c r="V2456">
        <v>2454</v>
      </c>
      <c r="W2456">
        <v>38</v>
      </c>
      <c r="X2456">
        <v>2.4950000000000001</v>
      </c>
      <c r="Y2456" s="32">
        <v>4.71</v>
      </c>
      <c r="Z2456">
        <v>0</v>
      </c>
      <c r="AA2456" s="32">
        <v>1.5920000000000001</v>
      </c>
      <c r="AB2456">
        <v>0</v>
      </c>
      <c r="AC2456" s="34">
        <v>0.20200000000000001</v>
      </c>
      <c r="AD2456" s="32">
        <v>3.9710000000000001</v>
      </c>
    </row>
    <row r="2457" spans="1:30">
      <c r="A2457">
        <v>2455</v>
      </c>
      <c r="B2457">
        <v>40</v>
      </c>
      <c r="C2457">
        <v>2.484</v>
      </c>
      <c r="D2457">
        <v>4.71</v>
      </c>
      <c r="E2457">
        <v>0</v>
      </c>
      <c r="F2457">
        <v>1.724</v>
      </c>
      <c r="G2457">
        <v>0</v>
      </c>
      <c r="H2457">
        <v>0.19900000000000001</v>
      </c>
      <c r="I2457">
        <v>4.3520000000000003</v>
      </c>
      <c r="K2457">
        <v>2455</v>
      </c>
      <c r="L2457">
        <v>40</v>
      </c>
      <c r="M2457" s="32">
        <v>2.484</v>
      </c>
      <c r="N2457" s="32">
        <v>4.71</v>
      </c>
      <c r="P2457" s="47">
        <v>1.7250000000000001</v>
      </c>
      <c r="R2457" s="47">
        <v>0.20100000000000001</v>
      </c>
      <c r="S2457" s="47">
        <v>4.2850000000000001</v>
      </c>
      <c r="T2457" s="31">
        <v>0</v>
      </c>
      <c r="V2457">
        <v>2455</v>
      </c>
      <c r="W2457">
        <v>38</v>
      </c>
      <c r="X2457">
        <v>2.496</v>
      </c>
      <c r="Y2457" s="32">
        <v>4.71</v>
      </c>
      <c r="Z2457">
        <v>0</v>
      </c>
      <c r="AA2457" s="32">
        <v>1.5920000000000001</v>
      </c>
      <c r="AB2457">
        <v>0</v>
      </c>
      <c r="AC2457" s="34">
        <v>0.20200000000000001</v>
      </c>
      <c r="AD2457" s="32">
        <v>3.9729999999999999</v>
      </c>
    </row>
    <row r="2458" spans="1:30">
      <c r="A2458">
        <v>2456</v>
      </c>
      <c r="B2458">
        <v>40</v>
      </c>
      <c r="C2458">
        <v>2.4849999999999999</v>
      </c>
      <c r="D2458">
        <v>4.71</v>
      </c>
      <c r="E2458">
        <v>0</v>
      </c>
      <c r="F2458">
        <v>1.724</v>
      </c>
      <c r="G2458">
        <v>0</v>
      </c>
      <c r="H2458">
        <v>0.19900000000000001</v>
      </c>
      <c r="I2458">
        <v>4.3540000000000001</v>
      </c>
      <c r="K2458">
        <v>2456</v>
      </c>
      <c r="L2458">
        <v>40</v>
      </c>
      <c r="M2458" s="32">
        <v>2.4849999999999999</v>
      </c>
      <c r="N2458" s="32">
        <v>4.71</v>
      </c>
      <c r="P2458" s="47">
        <v>1.7250000000000001</v>
      </c>
      <c r="R2458" s="47">
        <v>0.20100000000000001</v>
      </c>
      <c r="S2458" s="47">
        <v>4.2869999999999999</v>
      </c>
      <c r="T2458" s="31">
        <v>0</v>
      </c>
      <c r="V2458">
        <v>2456</v>
      </c>
      <c r="W2458">
        <v>38</v>
      </c>
      <c r="X2458">
        <v>2.4969999999999999</v>
      </c>
      <c r="Y2458" s="32">
        <v>4.71</v>
      </c>
      <c r="Z2458">
        <v>0</v>
      </c>
      <c r="AA2458" s="32">
        <v>1.5920000000000001</v>
      </c>
      <c r="AB2458">
        <v>0</v>
      </c>
      <c r="AC2458" s="34">
        <v>0.20200000000000001</v>
      </c>
      <c r="AD2458" s="32">
        <v>3.9750000000000001</v>
      </c>
    </row>
    <row r="2459" spans="1:30">
      <c r="A2459">
        <v>2457</v>
      </c>
      <c r="B2459">
        <v>40</v>
      </c>
      <c r="C2459">
        <v>2.4860000000000002</v>
      </c>
      <c r="D2459">
        <v>4.71</v>
      </c>
      <c r="E2459">
        <v>0</v>
      </c>
      <c r="F2459">
        <v>1.724</v>
      </c>
      <c r="G2459">
        <v>0</v>
      </c>
      <c r="H2459">
        <v>0.19900000000000001</v>
      </c>
      <c r="I2459">
        <v>4.3559999999999999</v>
      </c>
      <c r="K2459">
        <v>2457</v>
      </c>
      <c r="L2459">
        <v>40</v>
      </c>
      <c r="M2459" s="32">
        <v>2.4860000000000002</v>
      </c>
      <c r="N2459" s="32">
        <v>4.71</v>
      </c>
      <c r="P2459" s="47">
        <v>1.7250000000000001</v>
      </c>
      <c r="R2459" s="47">
        <v>0.20100000000000001</v>
      </c>
      <c r="S2459" s="47">
        <v>4.2889999999999997</v>
      </c>
      <c r="T2459" s="31">
        <v>0</v>
      </c>
      <c r="V2459">
        <v>2457</v>
      </c>
      <c r="W2459">
        <v>38</v>
      </c>
      <c r="X2459">
        <v>2.4980000000000002</v>
      </c>
      <c r="Y2459" s="32">
        <v>4.71</v>
      </c>
      <c r="Z2459">
        <v>0</v>
      </c>
      <c r="AA2459" s="32">
        <v>1.593</v>
      </c>
      <c r="AB2459">
        <v>0</v>
      </c>
      <c r="AC2459" s="34">
        <v>0.20200000000000001</v>
      </c>
      <c r="AD2459" s="32">
        <v>3.9780000000000002</v>
      </c>
    </row>
    <row r="2460" spans="1:30">
      <c r="A2460">
        <v>2458</v>
      </c>
      <c r="B2460">
        <v>40</v>
      </c>
      <c r="C2460">
        <v>2.4870000000000001</v>
      </c>
      <c r="D2460">
        <v>4.71</v>
      </c>
      <c r="E2460">
        <v>0</v>
      </c>
      <c r="F2460">
        <v>1.724</v>
      </c>
      <c r="G2460">
        <v>0</v>
      </c>
      <c r="H2460">
        <v>0.19900000000000001</v>
      </c>
      <c r="I2460">
        <v>4.3579999999999997</v>
      </c>
      <c r="K2460">
        <v>2458</v>
      </c>
      <c r="L2460">
        <v>40</v>
      </c>
      <c r="M2460" s="32">
        <v>2.4870000000000001</v>
      </c>
      <c r="N2460" s="32">
        <v>4.71</v>
      </c>
      <c r="P2460" s="47">
        <v>1.7250000000000001</v>
      </c>
      <c r="R2460" s="47">
        <v>0.20100000000000001</v>
      </c>
      <c r="S2460" s="47">
        <v>4.2919999999999998</v>
      </c>
      <c r="T2460" s="31">
        <v>0</v>
      </c>
      <c r="V2460">
        <v>2458</v>
      </c>
      <c r="W2460">
        <v>38</v>
      </c>
      <c r="X2460">
        <v>2.4990000000000001</v>
      </c>
      <c r="Y2460" s="32">
        <v>4.71</v>
      </c>
      <c r="Z2460">
        <v>0</v>
      </c>
      <c r="AA2460" s="32">
        <v>1.593</v>
      </c>
      <c r="AB2460">
        <v>0</v>
      </c>
      <c r="AC2460" s="34">
        <v>0.20200000000000001</v>
      </c>
      <c r="AD2460" s="32">
        <v>3.98</v>
      </c>
    </row>
    <row r="2461" spans="1:30">
      <c r="A2461">
        <v>2459</v>
      </c>
      <c r="B2461">
        <v>40</v>
      </c>
      <c r="C2461">
        <v>2.488</v>
      </c>
      <c r="D2461">
        <v>4.71</v>
      </c>
      <c r="E2461">
        <v>0</v>
      </c>
      <c r="F2461">
        <v>1.724</v>
      </c>
      <c r="G2461">
        <v>0</v>
      </c>
      <c r="H2461">
        <v>0.19900000000000001</v>
      </c>
      <c r="I2461">
        <v>4.3609999999999998</v>
      </c>
      <c r="K2461">
        <v>2459</v>
      </c>
      <c r="L2461">
        <v>40</v>
      </c>
      <c r="M2461" s="32">
        <v>2.488</v>
      </c>
      <c r="N2461" s="32">
        <v>4.71</v>
      </c>
      <c r="P2461" s="47">
        <v>1.726</v>
      </c>
      <c r="R2461" s="47">
        <v>0.20100000000000001</v>
      </c>
      <c r="S2461" s="47">
        <v>4.2939999999999996</v>
      </c>
      <c r="T2461" s="31">
        <v>0</v>
      </c>
      <c r="V2461">
        <v>2459</v>
      </c>
      <c r="W2461">
        <v>38</v>
      </c>
      <c r="X2461">
        <v>2.5</v>
      </c>
      <c r="Y2461" s="32">
        <v>4.71</v>
      </c>
      <c r="Z2461">
        <v>0</v>
      </c>
      <c r="AA2461" s="32">
        <v>1.593</v>
      </c>
      <c r="AB2461">
        <v>0</v>
      </c>
      <c r="AC2461" s="34">
        <v>0.20200000000000001</v>
      </c>
      <c r="AD2461" s="32">
        <v>3.9820000000000002</v>
      </c>
    </row>
    <row r="2462" spans="1:30">
      <c r="A2462">
        <v>2460</v>
      </c>
      <c r="B2462">
        <v>40</v>
      </c>
      <c r="C2462">
        <v>2.4889999999999999</v>
      </c>
      <c r="D2462">
        <v>4.71</v>
      </c>
      <c r="E2462">
        <v>0</v>
      </c>
      <c r="F2462">
        <v>1.724</v>
      </c>
      <c r="G2462">
        <v>0</v>
      </c>
      <c r="H2462">
        <v>0.19900000000000001</v>
      </c>
      <c r="I2462">
        <v>4.3630000000000004</v>
      </c>
      <c r="K2462">
        <v>2460</v>
      </c>
      <c r="L2462">
        <v>40</v>
      </c>
      <c r="M2462" s="32">
        <v>2.4889999999999999</v>
      </c>
      <c r="N2462" s="32">
        <v>4.71</v>
      </c>
      <c r="P2462" s="47">
        <v>1.726</v>
      </c>
      <c r="R2462" s="47">
        <v>0.20100000000000001</v>
      </c>
      <c r="S2462" s="47">
        <v>4.2969999999999997</v>
      </c>
      <c r="T2462" s="31">
        <v>0</v>
      </c>
      <c r="V2462">
        <v>2460</v>
      </c>
      <c r="W2462">
        <v>38</v>
      </c>
      <c r="X2462">
        <v>2.5009999999999999</v>
      </c>
      <c r="Y2462" s="32">
        <v>4.71</v>
      </c>
      <c r="Z2462">
        <v>0</v>
      </c>
      <c r="AA2462" s="32">
        <v>1.593</v>
      </c>
      <c r="AB2462">
        <v>0</v>
      </c>
      <c r="AC2462" s="34">
        <v>0.20200000000000001</v>
      </c>
      <c r="AD2462" s="32">
        <v>3.984</v>
      </c>
    </row>
    <row r="2463" spans="1:30">
      <c r="A2463">
        <v>2461</v>
      </c>
      <c r="B2463">
        <v>40</v>
      </c>
      <c r="C2463">
        <v>2.4900000000000002</v>
      </c>
      <c r="D2463">
        <v>4.71</v>
      </c>
      <c r="E2463">
        <v>0</v>
      </c>
      <c r="F2463">
        <v>1.724</v>
      </c>
      <c r="G2463">
        <v>0</v>
      </c>
      <c r="H2463">
        <v>0.19900000000000001</v>
      </c>
      <c r="I2463">
        <v>4.3650000000000002</v>
      </c>
      <c r="K2463">
        <v>2461</v>
      </c>
      <c r="L2463">
        <v>40</v>
      </c>
      <c r="M2463" s="32">
        <v>2.4900000000000002</v>
      </c>
      <c r="N2463" s="32">
        <v>4.71</v>
      </c>
      <c r="P2463" s="47">
        <v>1.726</v>
      </c>
      <c r="R2463" s="47">
        <v>0.20100000000000001</v>
      </c>
      <c r="S2463" s="47">
        <v>4.2990000000000004</v>
      </c>
      <c r="T2463" s="31">
        <v>0</v>
      </c>
      <c r="V2463">
        <v>2461</v>
      </c>
      <c r="W2463">
        <v>38</v>
      </c>
      <c r="X2463">
        <v>2.5019999999999998</v>
      </c>
      <c r="Y2463" s="32">
        <v>4.71</v>
      </c>
      <c r="Z2463">
        <v>0</v>
      </c>
      <c r="AA2463" s="32">
        <v>1.593</v>
      </c>
      <c r="AB2463">
        <v>0</v>
      </c>
      <c r="AC2463" s="34">
        <v>0.20200000000000001</v>
      </c>
      <c r="AD2463" s="32">
        <v>3.9860000000000002</v>
      </c>
    </row>
    <row r="2464" spans="1:30">
      <c r="A2464">
        <v>2462</v>
      </c>
      <c r="B2464">
        <v>40</v>
      </c>
      <c r="C2464">
        <v>2.4910000000000001</v>
      </c>
      <c r="D2464">
        <v>4.71</v>
      </c>
      <c r="E2464">
        <v>0</v>
      </c>
      <c r="F2464">
        <v>1.726</v>
      </c>
      <c r="G2464">
        <v>0</v>
      </c>
      <c r="H2464">
        <v>0.19900000000000001</v>
      </c>
      <c r="I2464">
        <v>4.391</v>
      </c>
      <c r="K2464">
        <v>2462</v>
      </c>
      <c r="L2464">
        <v>40</v>
      </c>
      <c r="M2464" s="32">
        <v>2.4910000000000001</v>
      </c>
      <c r="N2464" s="32">
        <v>4.71</v>
      </c>
      <c r="P2464" s="32">
        <v>1.726</v>
      </c>
      <c r="R2464" s="47">
        <v>0.20100000000000001</v>
      </c>
      <c r="S2464" s="47">
        <v>4.3010000000000002</v>
      </c>
      <c r="T2464" s="31">
        <v>0</v>
      </c>
      <c r="V2464">
        <v>2462</v>
      </c>
      <c r="W2464">
        <v>38</v>
      </c>
      <c r="X2464">
        <v>2.5030000000000001</v>
      </c>
      <c r="Y2464" s="32">
        <v>4.71</v>
      </c>
      <c r="Z2464">
        <v>0</v>
      </c>
      <c r="AA2464" s="32">
        <v>1.5940000000000001</v>
      </c>
      <c r="AB2464">
        <v>0</v>
      </c>
      <c r="AC2464" s="34">
        <v>0.20200000000000001</v>
      </c>
      <c r="AD2464" s="32">
        <v>3.988</v>
      </c>
    </row>
    <row r="2465" spans="1:30">
      <c r="A2465">
        <v>2463</v>
      </c>
      <c r="B2465">
        <v>40</v>
      </c>
      <c r="C2465">
        <v>2.492</v>
      </c>
      <c r="D2465">
        <v>4.71</v>
      </c>
      <c r="E2465">
        <v>0</v>
      </c>
      <c r="F2465">
        <v>1.726</v>
      </c>
      <c r="G2465">
        <v>0</v>
      </c>
      <c r="H2465">
        <v>0.19900000000000001</v>
      </c>
      <c r="I2465">
        <v>4.3940000000000001</v>
      </c>
      <c r="K2465">
        <v>2463</v>
      </c>
      <c r="L2465">
        <v>40</v>
      </c>
      <c r="M2465" s="32">
        <v>2.492</v>
      </c>
      <c r="N2465" s="32">
        <v>4.71</v>
      </c>
      <c r="P2465" s="47">
        <v>1.7270000000000001</v>
      </c>
      <c r="R2465" s="47">
        <v>0.20100000000000001</v>
      </c>
      <c r="S2465" s="47">
        <v>4.3040000000000003</v>
      </c>
      <c r="T2465" s="31">
        <v>0</v>
      </c>
      <c r="V2465">
        <v>2463</v>
      </c>
      <c r="W2465">
        <v>38</v>
      </c>
      <c r="X2465">
        <v>2.504</v>
      </c>
      <c r="Y2465" s="32">
        <v>4.71</v>
      </c>
      <c r="Z2465">
        <v>0</v>
      </c>
      <c r="AA2465" s="32">
        <v>1.5940000000000001</v>
      </c>
      <c r="AB2465">
        <v>0</v>
      </c>
      <c r="AC2465" s="34">
        <v>0.20200000000000001</v>
      </c>
      <c r="AD2465" s="32">
        <v>3.99</v>
      </c>
    </row>
    <row r="2466" spans="1:30">
      <c r="A2466">
        <v>2464</v>
      </c>
      <c r="B2466">
        <v>40</v>
      </c>
      <c r="C2466">
        <v>2.4929999999999999</v>
      </c>
      <c r="D2466">
        <v>4.71</v>
      </c>
      <c r="E2466">
        <v>0</v>
      </c>
      <c r="F2466">
        <v>1.726</v>
      </c>
      <c r="G2466">
        <v>0</v>
      </c>
      <c r="H2466">
        <v>0.19900000000000001</v>
      </c>
      <c r="I2466">
        <v>4.3959999999999999</v>
      </c>
      <c r="K2466">
        <v>2464</v>
      </c>
      <c r="L2466">
        <v>40</v>
      </c>
      <c r="M2466" s="32">
        <v>2.4929999999999999</v>
      </c>
      <c r="N2466" s="32">
        <v>4.71</v>
      </c>
      <c r="P2466" s="47">
        <v>1.7270000000000001</v>
      </c>
      <c r="R2466" s="47">
        <v>0.20100000000000001</v>
      </c>
      <c r="S2466" s="47">
        <v>4.306</v>
      </c>
      <c r="T2466" s="31">
        <v>0</v>
      </c>
      <c r="V2466">
        <v>2464</v>
      </c>
      <c r="W2466">
        <v>38</v>
      </c>
      <c r="X2466">
        <v>2.5049999999999999</v>
      </c>
      <c r="Y2466" s="32">
        <v>4.71</v>
      </c>
      <c r="Z2466">
        <v>0</v>
      </c>
      <c r="AA2466" s="32">
        <v>1.5940000000000001</v>
      </c>
      <c r="AB2466">
        <v>0</v>
      </c>
      <c r="AC2466" s="34">
        <v>0.20200000000000001</v>
      </c>
      <c r="AD2466" s="32">
        <v>3.9929999999999999</v>
      </c>
    </row>
    <row r="2467" spans="1:30">
      <c r="A2467">
        <v>2465</v>
      </c>
      <c r="B2467">
        <v>40</v>
      </c>
      <c r="C2467">
        <v>2.4940000000000002</v>
      </c>
      <c r="D2467">
        <v>4.71</v>
      </c>
      <c r="E2467">
        <v>0</v>
      </c>
      <c r="F2467">
        <v>1.726</v>
      </c>
      <c r="G2467">
        <v>0</v>
      </c>
      <c r="H2467">
        <v>0.19900000000000001</v>
      </c>
      <c r="I2467">
        <v>4.3979999999999997</v>
      </c>
      <c r="K2467">
        <v>2465</v>
      </c>
      <c r="L2467">
        <v>40</v>
      </c>
      <c r="M2467" s="32">
        <v>2.4940000000000002</v>
      </c>
      <c r="N2467" s="32">
        <v>4.71</v>
      </c>
      <c r="P2467" s="47">
        <v>1.7270000000000001</v>
      </c>
      <c r="R2467" s="47">
        <v>0.20100000000000001</v>
      </c>
      <c r="S2467" s="47">
        <v>4.3079999999999998</v>
      </c>
      <c r="T2467" s="31">
        <v>0</v>
      </c>
      <c r="V2467">
        <v>2465</v>
      </c>
      <c r="W2467">
        <v>38</v>
      </c>
      <c r="X2467">
        <v>2.5059999999999998</v>
      </c>
      <c r="Y2467" s="32">
        <v>4.71</v>
      </c>
      <c r="Z2467">
        <v>0</v>
      </c>
      <c r="AA2467" s="32">
        <v>1.5940000000000001</v>
      </c>
      <c r="AB2467">
        <v>0</v>
      </c>
      <c r="AC2467" s="34">
        <v>0.20200000000000001</v>
      </c>
      <c r="AD2467" s="32">
        <v>3.9950000000000001</v>
      </c>
    </row>
    <row r="2468" spans="1:30">
      <c r="A2468">
        <v>2466</v>
      </c>
      <c r="B2468">
        <v>40</v>
      </c>
      <c r="C2468">
        <v>2.4950000000000001</v>
      </c>
      <c r="D2468">
        <v>4.71</v>
      </c>
      <c r="E2468">
        <v>0</v>
      </c>
      <c r="F2468">
        <v>1.726</v>
      </c>
      <c r="G2468">
        <v>0</v>
      </c>
      <c r="H2468">
        <v>0.19900000000000001</v>
      </c>
      <c r="I2468">
        <v>4.4009999999999998</v>
      </c>
      <c r="K2468">
        <v>2466</v>
      </c>
      <c r="L2468">
        <v>40</v>
      </c>
      <c r="M2468" s="32">
        <v>2.4950000000000001</v>
      </c>
      <c r="N2468" s="32">
        <v>4.71</v>
      </c>
      <c r="P2468" s="47">
        <v>1.728</v>
      </c>
      <c r="R2468" s="47">
        <v>0.20100000000000001</v>
      </c>
      <c r="S2468" s="47">
        <v>4.3109999999999999</v>
      </c>
      <c r="T2468" s="31">
        <v>0</v>
      </c>
      <c r="V2468">
        <v>2466</v>
      </c>
      <c r="W2468">
        <v>38</v>
      </c>
      <c r="X2468">
        <v>2.5070000000000001</v>
      </c>
      <c r="Y2468" s="32">
        <v>4.71</v>
      </c>
      <c r="Z2468">
        <v>0</v>
      </c>
      <c r="AA2468" s="32">
        <v>1.595</v>
      </c>
      <c r="AB2468">
        <v>0</v>
      </c>
      <c r="AC2468" s="34">
        <v>0.20200000000000001</v>
      </c>
      <c r="AD2468" s="32">
        <v>3.9969999999999999</v>
      </c>
    </row>
    <row r="2469" spans="1:30">
      <c r="A2469">
        <v>2467</v>
      </c>
      <c r="B2469">
        <v>40</v>
      </c>
      <c r="C2469">
        <v>2.496</v>
      </c>
      <c r="D2469">
        <v>4.71</v>
      </c>
      <c r="E2469">
        <v>0</v>
      </c>
      <c r="F2469">
        <v>1.726</v>
      </c>
      <c r="G2469">
        <v>0</v>
      </c>
      <c r="H2469">
        <v>0.19900000000000001</v>
      </c>
      <c r="I2469">
        <v>4.4029999999999996</v>
      </c>
      <c r="K2469">
        <v>2467</v>
      </c>
      <c r="L2469">
        <v>40</v>
      </c>
      <c r="M2469" s="32">
        <v>2.496</v>
      </c>
      <c r="N2469" s="32">
        <v>4.71</v>
      </c>
      <c r="P2469" s="47">
        <v>1.728</v>
      </c>
      <c r="R2469" s="47">
        <v>0.20100000000000001</v>
      </c>
      <c r="S2469" s="47">
        <v>4.3129999999999997</v>
      </c>
      <c r="T2469" s="31">
        <v>0</v>
      </c>
      <c r="V2469">
        <v>2467</v>
      </c>
      <c r="W2469">
        <v>38</v>
      </c>
      <c r="X2469">
        <v>2.508</v>
      </c>
      <c r="Y2469" s="32">
        <v>4.71</v>
      </c>
      <c r="Z2469">
        <v>0</v>
      </c>
      <c r="AA2469" s="32">
        <v>1.595</v>
      </c>
      <c r="AB2469">
        <v>0</v>
      </c>
      <c r="AC2469" s="34">
        <v>0.20200000000000001</v>
      </c>
      <c r="AD2469" s="32">
        <v>3.9990000000000001</v>
      </c>
    </row>
    <row r="2470" spans="1:30">
      <c r="A2470">
        <v>2468</v>
      </c>
      <c r="B2470">
        <v>40</v>
      </c>
      <c r="C2470">
        <v>2.4969999999999999</v>
      </c>
      <c r="D2470">
        <v>4.71</v>
      </c>
      <c r="E2470">
        <v>0</v>
      </c>
      <c r="F2470">
        <v>1.726</v>
      </c>
      <c r="G2470">
        <v>0</v>
      </c>
      <c r="H2470">
        <v>0.19900000000000001</v>
      </c>
      <c r="I2470">
        <v>4.4050000000000002</v>
      </c>
      <c r="K2470">
        <v>2468</v>
      </c>
      <c r="L2470">
        <v>40</v>
      </c>
      <c r="M2470" s="32">
        <v>2.4969999999999999</v>
      </c>
      <c r="N2470" s="32">
        <v>4.71</v>
      </c>
      <c r="P2470" s="47">
        <v>1.728</v>
      </c>
      <c r="R2470" s="47">
        <v>0.20100000000000001</v>
      </c>
      <c r="S2470" s="47">
        <v>4.3150000000000004</v>
      </c>
      <c r="T2470" s="31">
        <v>0</v>
      </c>
      <c r="V2470">
        <v>2468</v>
      </c>
      <c r="W2470">
        <v>38</v>
      </c>
      <c r="X2470">
        <v>2.5089999999999999</v>
      </c>
      <c r="Y2470" s="32">
        <v>4.71</v>
      </c>
      <c r="Z2470">
        <v>0</v>
      </c>
      <c r="AA2470" s="32">
        <v>1.595</v>
      </c>
      <c r="AB2470">
        <v>0</v>
      </c>
      <c r="AC2470" s="34">
        <v>0.20200000000000001</v>
      </c>
      <c r="AD2470" s="32">
        <v>4.0010000000000003</v>
      </c>
    </row>
    <row r="2471" spans="1:30">
      <c r="A2471">
        <v>2469</v>
      </c>
      <c r="B2471">
        <v>40</v>
      </c>
      <c r="C2471">
        <v>2.4980000000000002</v>
      </c>
      <c r="D2471">
        <v>4.71</v>
      </c>
      <c r="E2471">
        <v>0</v>
      </c>
      <c r="F2471">
        <v>1.726</v>
      </c>
      <c r="G2471">
        <v>0</v>
      </c>
      <c r="H2471">
        <v>0.19900000000000001</v>
      </c>
      <c r="I2471">
        <v>4.407</v>
      </c>
      <c r="K2471">
        <v>2469</v>
      </c>
      <c r="L2471">
        <v>40</v>
      </c>
      <c r="M2471" s="32">
        <v>2.4980000000000002</v>
      </c>
      <c r="N2471" s="32">
        <v>4.71</v>
      </c>
      <c r="P2471" s="47">
        <v>1.728</v>
      </c>
      <c r="R2471" s="47">
        <v>0.20100000000000001</v>
      </c>
      <c r="S2471" s="47">
        <v>4.3170000000000002</v>
      </c>
      <c r="T2471" s="31">
        <v>0</v>
      </c>
      <c r="V2471">
        <v>2469</v>
      </c>
      <c r="W2471">
        <v>38</v>
      </c>
      <c r="X2471">
        <v>2.5099999999999998</v>
      </c>
      <c r="Y2471" s="32">
        <v>4.71</v>
      </c>
      <c r="Z2471">
        <v>0</v>
      </c>
      <c r="AA2471" s="32">
        <v>1.595</v>
      </c>
      <c r="AB2471">
        <v>0</v>
      </c>
      <c r="AC2471" s="34">
        <v>0.20200000000000001</v>
      </c>
      <c r="AD2471" s="32">
        <v>4.0030000000000001</v>
      </c>
    </row>
    <row r="2472" spans="1:30">
      <c r="A2472">
        <v>2470</v>
      </c>
      <c r="B2472">
        <v>40</v>
      </c>
      <c r="C2472">
        <v>2.4990000000000001</v>
      </c>
      <c r="D2472">
        <v>4.71</v>
      </c>
      <c r="E2472">
        <v>0</v>
      </c>
      <c r="F2472">
        <v>1.726</v>
      </c>
      <c r="G2472">
        <v>0</v>
      </c>
      <c r="H2472">
        <v>0.19900000000000001</v>
      </c>
      <c r="I2472">
        <v>4.41</v>
      </c>
      <c r="K2472">
        <v>2470</v>
      </c>
      <c r="L2472">
        <v>40</v>
      </c>
      <c r="M2472" s="32">
        <v>2.4990000000000001</v>
      </c>
      <c r="N2472" s="32">
        <v>4.71</v>
      </c>
      <c r="P2472" s="47">
        <v>1.7290000000000001</v>
      </c>
      <c r="R2472" s="47">
        <v>0.20100000000000001</v>
      </c>
      <c r="S2472" s="47">
        <v>4.32</v>
      </c>
      <c r="T2472" s="31">
        <v>0</v>
      </c>
      <c r="V2472">
        <v>2470</v>
      </c>
      <c r="W2472">
        <v>38</v>
      </c>
      <c r="X2472">
        <v>2.5110000000000001</v>
      </c>
      <c r="Y2472" s="32">
        <v>4.71</v>
      </c>
      <c r="Z2472">
        <v>0</v>
      </c>
      <c r="AA2472" s="32">
        <v>1.595</v>
      </c>
      <c r="AB2472">
        <v>0</v>
      </c>
      <c r="AC2472" s="34">
        <v>0.20200000000000001</v>
      </c>
      <c r="AD2472" s="32">
        <v>4.0060000000000002</v>
      </c>
    </row>
    <row r="2473" spans="1:30">
      <c r="A2473">
        <v>2471</v>
      </c>
      <c r="B2473">
        <v>40</v>
      </c>
      <c r="C2473">
        <v>2.5</v>
      </c>
      <c r="D2473">
        <v>4.71</v>
      </c>
      <c r="E2473">
        <v>0</v>
      </c>
      <c r="F2473">
        <v>1.7290000000000001</v>
      </c>
      <c r="G2473">
        <v>0</v>
      </c>
      <c r="H2473">
        <v>0.19900000000000001</v>
      </c>
      <c r="I2473">
        <v>4.3220000000000001</v>
      </c>
      <c r="K2473">
        <v>2471</v>
      </c>
      <c r="L2473">
        <v>40</v>
      </c>
      <c r="M2473" s="32">
        <v>2.5</v>
      </c>
      <c r="N2473" s="32">
        <v>4.71</v>
      </c>
      <c r="P2473" s="32">
        <v>1.7290000000000001</v>
      </c>
      <c r="R2473" s="47">
        <v>0.20100000000000001</v>
      </c>
      <c r="S2473" s="32">
        <v>4.3220000000000001</v>
      </c>
      <c r="T2473" s="31">
        <v>0</v>
      </c>
      <c r="V2473">
        <v>2471</v>
      </c>
      <c r="W2473">
        <v>38</v>
      </c>
      <c r="X2473">
        <v>2.512</v>
      </c>
      <c r="Y2473" s="32">
        <v>4.71</v>
      </c>
      <c r="Z2473">
        <v>0</v>
      </c>
      <c r="AA2473" s="32">
        <v>1.5960000000000001</v>
      </c>
      <c r="AB2473">
        <v>0</v>
      </c>
      <c r="AC2473" s="34">
        <v>0.20200000000000001</v>
      </c>
      <c r="AD2473" s="32">
        <v>4.008</v>
      </c>
    </row>
    <row r="2474" spans="1:30">
      <c r="A2474">
        <v>2472</v>
      </c>
      <c r="B2474">
        <v>40</v>
      </c>
      <c r="C2474">
        <v>2.5009999999999999</v>
      </c>
      <c r="D2474">
        <v>4.71</v>
      </c>
      <c r="E2474">
        <v>0</v>
      </c>
      <c r="F2474">
        <v>1.7290000000000001</v>
      </c>
      <c r="G2474">
        <v>0</v>
      </c>
      <c r="H2474">
        <v>0.19900000000000001</v>
      </c>
      <c r="I2474">
        <v>4.4370000000000003</v>
      </c>
      <c r="K2474">
        <v>2472</v>
      </c>
      <c r="L2474">
        <v>40</v>
      </c>
      <c r="M2474" s="32">
        <v>2.5009999999999999</v>
      </c>
      <c r="N2474" s="32">
        <v>4.71</v>
      </c>
      <c r="P2474" s="32">
        <v>1.7290000000000001</v>
      </c>
      <c r="R2474" s="47">
        <v>0.20100000000000001</v>
      </c>
      <c r="S2474" s="47">
        <v>4.3239999999999998</v>
      </c>
      <c r="T2474" s="31">
        <v>0</v>
      </c>
      <c r="V2474">
        <v>2472</v>
      </c>
      <c r="W2474">
        <v>38</v>
      </c>
      <c r="X2474">
        <v>2.5129999999999999</v>
      </c>
      <c r="Y2474" s="32">
        <v>4.71</v>
      </c>
      <c r="Z2474">
        <v>0</v>
      </c>
      <c r="AA2474" s="32">
        <v>1.5960000000000001</v>
      </c>
      <c r="AB2474">
        <v>0</v>
      </c>
      <c r="AC2474" s="34">
        <v>0.20200000000000001</v>
      </c>
      <c r="AD2474" s="32">
        <v>4.01</v>
      </c>
    </row>
    <row r="2475" spans="1:30">
      <c r="A2475">
        <v>2473</v>
      </c>
      <c r="B2475">
        <v>40</v>
      </c>
      <c r="C2475">
        <v>2.5019999999999998</v>
      </c>
      <c r="D2475">
        <v>4.71</v>
      </c>
      <c r="E2475">
        <v>0</v>
      </c>
      <c r="F2475">
        <v>1.7290000000000001</v>
      </c>
      <c r="G2475">
        <v>0</v>
      </c>
      <c r="H2475">
        <v>0.19900000000000001</v>
      </c>
      <c r="I2475">
        <v>4.4390000000000001</v>
      </c>
      <c r="K2475">
        <v>2473</v>
      </c>
      <c r="L2475">
        <v>40</v>
      </c>
      <c r="M2475" s="32">
        <v>2.5019999999999998</v>
      </c>
      <c r="N2475" s="32">
        <v>4.71</v>
      </c>
      <c r="P2475" s="32">
        <v>1.7290000000000001</v>
      </c>
      <c r="R2475" s="47">
        <v>0.20100000000000001</v>
      </c>
      <c r="S2475" s="47">
        <v>4.327</v>
      </c>
      <c r="T2475" s="31">
        <v>0</v>
      </c>
      <c r="V2475">
        <v>2473</v>
      </c>
      <c r="W2475">
        <v>38</v>
      </c>
      <c r="X2475">
        <v>2.5139999999999998</v>
      </c>
      <c r="Y2475" s="32">
        <v>4.71</v>
      </c>
      <c r="Z2475">
        <v>0</v>
      </c>
      <c r="AA2475" s="32">
        <v>1.5960000000000001</v>
      </c>
      <c r="AB2475">
        <v>0</v>
      </c>
      <c r="AC2475" s="34">
        <v>0.20200000000000001</v>
      </c>
      <c r="AD2475" s="32">
        <v>4.0119999999999996</v>
      </c>
    </row>
    <row r="2476" spans="1:30">
      <c r="A2476">
        <v>2474</v>
      </c>
      <c r="B2476">
        <v>40</v>
      </c>
      <c r="C2476">
        <v>2.5030000000000001</v>
      </c>
      <c r="D2476">
        <v>4.71</v>
      </c>
      <c r="E2476">
        <v>0</v>
      </c>
      <c r="F2476">
        <v>1.7290000000000001</v>
      </c>
      <c r="G2476">
        <v>0</v>
      </c>
      <c r="H2476">
        <v>0.19900000000000001</v>
      </c>
      <c r="I2476">
        <v>4.4420000000000002</v>
      </c>
      <c r="K2476">
        <v>2474</v>
      </c>
      <c r="L2476">
        <v>40</v>
      </c>
      <c r="M2476" s="32">
        <v>2.5030000000000001</v>
      </c>
      <c r="N2476" s="32">
        <v>4.71</v>
      </c>
      <c r="P2476" s="47">
        <v>1.73</v>
      </c>
      <c r="R2476" s="47">
        <v>0.20100000000000001</v>
      </c>
      <c r="S2476" s="47">
        <v>4.3289999999999997</v>
      </c>
      <c r="T2476" s="31">
        <v>0</v>
      </c>
      <c r="V2476">
        <v>2474</v>
      </c>
      <c r="W2476">
        <v>38</v>
      </c>
      <c r="X2476">
        <v>2.5150000000000001</v>
      </c>
      <c r="Y2476" s="32">
        <v>4.71</v>
      </c>
      <c r="Z2476">
        <v>0</v>
      </c>
      <c r="AA2476" s="32">
        <v>1.5960000000000001</v>
      </c>
      <c r="AB2476">
        <v>0</v>
      </c>
      <c r="AC2476" s="34">
        <v>0.20200000000000001</v>
      </c>
      <c r="AD2476" s="32">
        <v>4.0140000000000002</v>
      </c>
    </row>
    <row r="2477" spans="1:30">
      <c r="A2477">
        <v>2475</v>
      </c>
      <c r="B2477">
        <v>40</v>
      </c>
      <c r="C2477">
        <v>2.504</v>
      </c>
      <c r="D2477">
        <v>4.71</v>
      </c>
      <c r="E2477">
        <v>0</v>
      </c>
      <c r="F2477">
        <v>1.7290000000000001</v>
      </c>
      <c r="G2477">
        <v>0</v>
      </c>
      <c r="H2477">
        <v>0.19900000000000001</v>
      </c>
      <c r="I2477">
        <v>4.444</v>
      </c>
      <c r="K2477">
        <v>2475</v>
      </c>
      <c r="L2477">
        <v>40</v>
      </c>
      <c r="M2477" s="32">
        <v>2.504</v>
      </c>
      <c r="N2477" s="32">
        <v>4.71</v>
      </c>
      <c r="P2477" s="47">
        <v>1.73</v>
      </c>
      <c r="R2477" s="47">
        <v>0.20100000000000001</v>
      </c>
      <c r="S2477" s="47">
        <v>4.3310000000000004</v>
      </c>
      <c r="T2477" s="31">
        <v>0</v>
      </c>
      <c r="V2477">
        <v>2475</v>
      </c>
      <c r="W2477">
        <v>38</v>
      </c>
      <c r="X2477">
        <v>2.516</v>
      </c>
      <c r="Y2477" s="32">
        <v>4.71</v>
      </c>
      <c r="Z2477">
        <v>0</v>
      </c>
      <c r="AA2477" s="32">
        <v>1.597</v>
      </c>
      <c r="AB2477">
        <v>0</v>
      </c>
      <c r="AC2477" s="34">
        <v>0.20200000000000001</v>
      </c>
      <c r="AD2477" s="32">
        <v>4.016</v>
      </c>
    </row>
    <row r="2478" spans="1:30">
      <c r="A2478">
        <v>2476</v>
      </c>
      <c r="B2478">
        <v>40</v>
      </c>
      <c r="C2478">
        <v>2.5049999999999999</v>
      </c>
      <c r="D2478">
        <v>4.71</v>
      </c>
      <c r="E2478">
        <v>0</v>
      </c>
      <c r="F2478">
        <v>1.7290000000000001</v>
      </c>
      <c r="G2478">
        <v>0</v>
      </c>
      <c r="H2478">
        <v>0.19900000000000001</v>
      </c>
      <c r="I2478">
        <v>4.4459999999999997</v>
      </c>
      <c r="K2478">
        <v>2476</v>
      </c>
      <c r="L2478">
        <v>40</v>
      </c>
      <c r="M2478" s="32">
        <v>2.5049999999999999</v>
      </c>
      <c r="N2478" s="32">
        <v>4.71</v>
      </c>
      <c r="P2478" s="47">
        <v>1.73</v>
      </c>
      <c r="R2478" s="47">
        <v>0.20100000000000001</v>
      </c>
      <c r="S2478" s="47">
        <v>4.3339999999999996</v>
      </c>
      <c r="T2478" s="31">
        <v>0</v>
      </c>
      <c r="V2478">
        <v>2476</v>
      </c>
      <c r="W2478">
        <v>38</v>
      </c>
      <c r="X2478">
        <v>2.5169999999999999</v>
      </c>
      <c r="Y2478" s="32">
        <v>4.71</v>
      </c>
      <c r="Z2478">
        <v>0</v>
      </c>
      <c r="AA2478" s="32">
        <v>1.597</v>
      </c>
      <c r="AB2478">
        <v>0</v>
      </c>
      <c r="AC2478" s="34">
        <v>0.20200000000000001</v>
      </c>
      <c r="AD2478" s="32">
        <v>4.0190000000000001</v>
      </c>
    </row>
    <row r="2479" spans="1:30">
      <c r="A2479">
        <v>2477</v>
      </c>
      <c r="B2479">
        <v>40</v>
      </c>
      <c r="C2479">
        <v>2.5059999999999998</v>
      </c>
      <c r="D2479">
        <v>4.71</v>
      </c>
      <c r="E2479">
        <v>0</v>
      </c>
      <c r="F2479">
        <v>1.7290000000000001</v>
      </c>
      <c r="G2479">
        <v>0</v>
      </c>
      <c r="H2479">
        <v>0.19900000000000001</v>
      </c>
      <c r="I2479">
        <v>4.4480000000000004</v>
      </c>
      <c r="K2479">
        <v>2477</v>
      </c>
      <c r="L2479">
        <v>40</v>
      </c>
      <c r="M2479" s="32">
        <v>2.5059999999999998</v>
      </c>
      <c r="N2479" s="32">
        <v>4.71</v>
      </c>
      <c r="P2479" s="47">
        <v>1.73</v>
      </c>
      <c r="R2479" s="47">
        <v>0.20100000000000001</v>
      </c>
      <c r="S2479" s="47">
        <v>4.3360000000000003</v>
      </c>
      <c r="T2479" s="31">
        <v>0</v>
      </c>
      <c r="V2479">
        <v>2477</v>
      </c>
      <c r="W2479">
        <v>38</v>
      </c>
      <c r="X2479">
        <v>2.5179999999999998</v>
      </c>
      <c r="Y2479" s="32">
        <v>4.71</v>
      </c>
      <c r="Z2479">
        <v>0</v>
      </c>
      <c r="AA2479" s="32">
        <v>1.597</v>
      </c>
      <c r="AB2479">
        <v>0</v>
      </c>
      <c r="AC2479" s="34">
        <v>0.20300000000000001</v>
      </c>
      <c r="AD2479" s="32">
        <v>4.0209999999999999</v>
      </c>
    </row>
    <row r="2480" spans="1:30">
      <c r="A2480">
        <v>2478</v>
      </c>
      <c r="B2480">
        <v>40</v>
      </c>
      <c r="C2480">
        <v>2.5070000000000001</v>
      </c>
      <c r="D2480">
        <v>4.71</v>
      </c>
      <c r="E2480">
        <v>0</v>
      </c>
      <c r="F2480">
        <v>1.7290000000000001</v>
      </c>
      <c r="G2480">
        <v>0</v>
      </c>
      <c r="H2480">
        <v>0.19900000000000001</v>
      </c>
      <c r="I2480">
        <v>4.4509999999999996</v>
      </c>
      <c r="K2480">
        <v>2478</v>
      </c>
      <c r="L2480">
        <v>40</v>
      </c>
      <c r="M2480" s="32">
        <v>2.5070000000000001</v>
      </c>
      <c r="N2480" s="32">
        <v>4.71</v>
      </c>
      <c r="P2480" s="47">
        <v>1.73</v>
      </c>
      <c r="R2480" s="47">
        <v>0.20200000000000001</v>
      </c>
      <c r="S2480" s="47">
        <v>4.3380000000000001</v>
      </c>
      <c r="T2480" s="31">
        <v>0</v>
      </c>
      <c r="V2480">
        <v>2478</v>
      </c>
      <c r="W2480">
        <v>38</v>
      </c>
      <c r="X2480">
        <v>2.5190000000000001</v>
      </c>
      <c r="Y2480" s="32">
        <v>4.71</v>
      </c>
      <c r="Z2480">
        <v>0</v>
      </c>
      <c r="AA2480" s="32">
        <v>1.597</v>
      </c>
      <c r="AB2480">
        <v>0</v>
      </c>
      <c r="AC2480" s="34">
        <v>0.20300000000000001</v>
      </c>
      <c r="AD2480" s="32">
        <v>4.0229999999999997</v>
      </c>
    </row>
    <row r="2481" spans="1:30">
      <c r="A2481">
        <v>2479</v>
      </c>
      <c r="B2481">
        <v>40</v>
      </c>
      <c r="C2481">
        <v>2.508</v>
      </c>
      <c r="D2481">
        <v>4.71</v>
      </c>
      <c r="E2481">
        <v>0</v>
      </c>
      <c r="F2481">
        <v>1.7290000000000001</v>
      </c>
      <c r="G2481">
        <v>0</v>
      </c>
      <c r="H2481">
        <v>0.19900000000000001</v>
      </c>
      <c r="I2481">
        <v>4.4530000000000003</v>
      </c>
      <c r="K2481">
        <v>2479</v>
      </c>
      <c r="L2481">
        <v>40</v>
      </c>
      <c r="M2481" s="32">
        <v>2.508</v>
      </c>
      <c r="N2481" s="32">
        <v>4.71</v>
      </c>
      <c r="P2481" s="47">
        <v>1.7310000000000001</v>
      </c>
      <c r="R2481" s="47">
        <v>0.20200000000000001</v>
      </c>
      <c r="S2481" s="47">
        <v>4.34</v>
      </c>
      <c r="T2481" s="31">
        <v>0</v>
      </c>
      <c r="V2481">
        <v>2479</v>
      </c>
      <c r="W2481">
        <v>38</v>
      </c>
      <c r="X2481">
        <v>2.52</v>
      </c>
      <c r="Y2481" s="32">
        <v>4.71</v>
      </c>
      <c r="Z2481">
        <v>0</v>
      </c>
      <c r="AA2481" s="32">
        <v>1.597</v>
      </c>
      <c r="AB2481">
        <v>0</v>
      </c>
      <c r="AC2481" s="34">
        <v>0.20300000000000001</v>
      </c>
      <c r="AD2481" s="32">
        <v>4.0250000000000004</v>
      </c>
    </row>
    <row r="2482" spans="1:30">
      <c r="A2482">
        <v>2480</v>
      </c>
      <c r="B2482">
        <v>40</v>
      </c>
      <c r="C2482">
        <v>2.5089999999999999</v>
      </c>
      <c r="D2482">
        <v>4.71</v>
      </c>
      <c r="E2482">
        <v>0</v>
      </c>
      <c r="F2482">
        <v>1.7290000000000001</v>
      </c>
      <c r="G2482">
        <v>0</v>
      </c>
      <c r="H2482">
        <v>0.19900000000000001</v>
      </c>
      <c r="I2482">
        <v>4.4550000000000001</v>
      </c>
      <c r="K2482">
        <v>2480</v>
      </c>
      <c r="L2482">
        <v>40</v>
      </c>
      <c r="M2482" s="32">
        <v>2.5089999999999999</v>
      </c>
      <c r="N2482" s="32">
        <v>4.71</v>
      </c>
      <c r="P2482" s="47">
        <v>1.7310000000000001</v>
      </c>
      <c r="R2482" s="47">
        <v>0.20200000000000001</v>
      </c>
      <c r="S2482" s="47">
        <v>4.343</v>
      </c>
      <c r="T2482" s="31">
        <v>0</v>
      </c>
      <c r="V2482">
        <v>2480</v>
      </c>
      <c r="W2482">
        <v>38</v>
      </c>
      <c r="X2482">
        <v>2.5209999999999999</v>
      </c>
      <c r="Y2482" s="32">
        <v>4.71</v>
      </c>
      <c r="Z2482">
        <v>0</v>
      </c>
      <c r="AA2482" s="32">
        <v>1.5980000000000001</v>
      </c>
      <c r="AB2482">
        <v>0</v>
      </c>
      <c r="AC2482" s="34">
        <v>0.20300000000000001</v>
      </c>
      <c r="AD2482" s="32">
        <v>4.0270000000000001</v>
      </c>
    </row>
    <row r="2483" spans="1:30">
      <c r="A2483">
        <v>2481</v>
      </c>
      <c r="B2483">
        <v>40</v>
      </c>
      <c r="C2483">
        <v>2.5099999999999998</v>
      </c>
      <c r="D2483">
        <v>4.71</v>
      </c>
      <c r="E2483">
        <v>0</v>
      </c>
      <c r="F2483">
        <v>1.7310000000000001</v>
      </c>
      <c r="G2483">
        <v>0</v>
      </c>
      <c r="H2483">
        <v>0.19900000000000001</v>
      </c>
      <c r="I2483">
        <v>4.3449999999999998</v>
      </c>
      <c r="K2483">
        <v>2481</v>
      </c>
      <c r="L2483">
        <v>40</v>
      </c>
      <c r="M2483" s="32">
        <v>2.5099999999999998</v>
      </c>
      <c r="N2483" s="32">
        <v>4.71</v>
      </c>
      <c r="P2483" s="32">
        <v>1.7310000000000001</v>
      </c>
      <c r="R2483" s="47">
        <v>0.20200000000000001</v>
      </c>
      <c r="S2483" s="32">
        <v>4.3449999999999998</v>
      </c>
      <c r="T2483" s="31">
        <v>0</v>
      </c>
      <c r="V2483">
        <v>2481</v>
      </c>
      <c r="W2483">
        <v>38</v>
      </c>
      <c r="X2483">
        <v>2.5219999999999998</v>
      </c>
      <c r="Y2483" s="32">
        <v>4.71</v>
      </c>
      <c r="Z2483">
        <v>0</v>
      </c>
      <c r="AA2483" s="32">
        <v>1.5980000000000001</v>
      </c>
      <c r="AB2483">
        <v>0</v>
      </c>
      <c r="AC2483" s="34">
        <v>0.20300000000000001</v>
      </c>
      <c r="AD2483" s="32">
        <v>4.0289999999999999</v>
      </c>
    </row>
    <row r="2484" spans="1:30">
      <c r="A2484">
        <v>2482</v>
      </c>
      <c r="B2484">
        <v>40</v>
      </c>
      <c r="C2484">
        <v>2.5110000000000001</v>
      </c>
      <c r="D2484">
        <v>4.71</v>
      </c>
      <c r="E2484">
        <v>0</v>
      </c>
      <c r="F2484">
        <v>1.7310000000000001</v>
      </c>
      <c r="G2484">
        <v>0</v>
      </c>
      <c r="H2484">
        <v>0.19900000000000001</v>
      </c>
      <c r="I2484">
        <v>4.4829999999999997</v>
      </c>
      <c r="K2484">
        <v>2482</v>
      </c>
      <c r="L2484">
        <v>40</v>
      </c>
      <c r="M2484" s="32">
        <v>2.5110000000000001</v>
      </c>
      <c r="N2484" s="32">
        <v>4.71</v>
      </c>
      <c r="P2484" s="32">
        <v>1.7310000000000001</v>
      </c>
      <c r="R2484" s="47">
        <v>0.20200000000000001</v>
      </c>
      <c r="S2484" s="47">
        <v>4.3470000000000004</v>
      </c>
      <c r="T2484" s="31">
        <v>0</v>
      </c>
      <c r="V2484">
        <v>2482</v>
      </c>
      <c r="W2484">
        <v>38</v>
      </c>
      <c r="X2484">
        <v>2.5230000000000001</v>
      </c>
      <c r="Y2484" s="32">
        <v>4.71</v>
      </c>
      <c r="Z2484">
        <v>0</v>
      </c>
      <c r="AA2484" s="32">
        <v>1.5980000000000001</v>
      </c>
      <c r="AB2484">
        <v>0</v>
      </c>
      <c r="AC2484" s="34">
        <v>0.20300000000000001</v>
      </c>
      <c r="AD2484" s="32">
        <v>4.0309999999999997</v>
      </c>
    </row>
    <row r="2485" spans="1:30">
      <c r="A2485">
        <v>2483</v>
      </c>
      <c r="B2485">
        <v>40</v>
      </c>
      <c r="C2485">
        <v>2.512</v>
      </c>
      <c r="D2485">
        <v>4.71</v>
      </c>
      <c r="E2485">
        <v>0</v>
      </c>
      <c r="F2485">
        <v>1.7310000000000001</v>
      </c>
      <c r="G2485">
        <v>0</v>
      </c>
      <c r="H2485">
        <v>0.19900000000000001</v>
      </c>
      <c r="I2485">
        <v>4.4850000000000003</v>
      </c>
      <c r="K2485">
        <v>2483</v>
      </c>
      <c r="L2485">
        <v>40</v>
      </c>
      <c r="M2485" s="32">
        <v>2.512</v>
      </c>
      <c r="N2485" s="32">
        <v>4.71</v>
      </c>
      <c r="P2485" s="32">
        <v>1.7310000000000001</v>
      </c>
      <c r="R2485" s="47">
        <v>0.20200000000000001</v>
      </c>
      <c r="S2485" s="47">
        <v>4.3499999999999996</v>
      </c>
      <c r="T2485" s="31">
        <v>0</v>
      </c>
      <c r="V2485">
        <v>2483</v>
      </c>
      <c r="W2485">
        <v>38</v>
      </c>
      <c r="X2485">
        <v>2.524</v>
      </c>
      <c r="Y2485" s="32">
        <v>4.71</v>
      </c>
      <c r="Z2485">
        <v>0</v>
      </c>
      <c r="AA2485" s="32">
        <v>1.5980000000000001</v>
      </c>
      <c r="AB2485">
        <v>0</v>
      </c>
      <c r="AC2485" s="34">
        <v>0.20300000000000001</v>
      </c>
      <c r="AD2485" s="32">
        <v>4.0339999999999998</v>
      </c>
    </row>
    <row r="2486" spans="1:30">
      <c r="A2486">
        <v>2484</v>
      </c>
      <c r="B2486">
        <v>40</v>
      </c>
      <c r="C2486">
        <v>2.5129999999999999</v>
      </c>
      <c r="D2486">
        <v>4.71</v>
      </c>
      <c r="E2486">
        <v>0</v>
      </c>
      <c r="F2486">
        <v>1.7310000000000001</v>
      </c>
      <c r="G2486">
        <v>0</v>
      </c>
      <c r="H2486">
        <v>0.19900000000000001</v>
      </c>
      <c r="I2486">
        <v>4.4870000000000001</v>
      </c>
      <c r="K2486">
        <v>2484</v>
      </c>
      <c r="L2486">
        <v>40</v>
      </c>
      <c r="M2486" s="32">
        <v>2.5129999999999999</v>
      </c>
      <c r="N2486" s="32">
        <v>4.71</v>
      </c>
      <c r="P2486" s="47">
        <v>1.732</v>
      </c>
      <c r="R2486" s="47">
        <v>0.20200000000000001</v>
      </c>
      <c r="S2486" s="47">
        <v>4.3520000000000003</v>
      </c>
      <c r="T2486" s="31">
        <v>0</v>
      </c>
      <c r="V2486">
        <v>2484</v>
      </c>
      <c r="W2486">
        <v>38</v>
      </c>
      <c r="X2486">
        <v>2.5249999999999999</v>
      </c>
      <c r="Y2486" s="32">
        <v>4.71</v>
      </c>
      <c r="Z2486">
        <v>0</v>
      </c>
      <c r="AA2486" s="32">
        <v>1.599</v>
      </c>
      <c r="AB2486">
        <v>0</v>
      </c>
      <c r="AC2486" s="34">
        <v>0.20300000000000001</v>
      </c>
      <c r="AD2486" s="32">
        <v>4.0359999999999996</v>
      </c>
    </row>
    <row r="2487" spans="1:30">
      <c r="A2487">
        <v>2485</v>
      </c>
      <c r="B2487">
        <v>40</v>
      </c>
      <c r="C2487">
        <v>2.5139999999999998</v>
      </c>
      <c r="D2487">
        <v>4.71</v>
      </c>
      <c r="E2487">
        <v>0</v>
      </c>
      <c r="F2487">
        <v>1.7310000000000001</v>
      </c>
      <c r="G2487">
        <v>0</v>
      </c>
      <c r="H2487">
        <v>0.19900000000000001</v>
      </c>
      <c r="I2487">
        <v>4.4889999999999999</v>
      </c>
      <c r="K2487">
        <v>2485</v>
      </c>
      <c r="L2487">
        <v>40</v>
      </c>
      <c r="M2487" s="32">
        <v>2.5139999999999998</v>
      </c>
      <c r="N2487" s="32">
        <v>4.71</v>
      </c>
      <c r="P2487" s="47">
        <v>1.732</v>
      </c>
      <c r="R2487" s="47">
        <v>0.20200000000000001</v>
      </c>
      <c r="S2487" s="47">
        <v>4.3540000000000001</v>
      </c>
      <c r="T2487" s="31">
        <v>0</v>
      </c>
      <c r="V2487">
        <v>2485</v>
      </c>
      <c r="W2487">
        <v>38</v>
      </c>
      <c r="X2487">
        <v>2.5259999999999998</v>
      </c>
      <c r="Y2487" s="32">
        <v>4.71</v>
      </c>
      <c r="Z2487">
        <v>0</v>
      </c>
      <c r="AA2487" s="32">
        <v>1.599</v>
      </c>
      <c r="AB2487">
        <v>0</v>
      </c>
      <c r="AC2487" s="34">
        <v>0.20300000000000001</v>
      </c>
      <c r="AD2487" s="32">
        <v>4.0380000000000003</v>
      </c>
    </row>
    <row r="2488" spans="1:30">
      <c r="A2488">
        <v>2486</v>
      </c>
      <c r="B2488">
        <v>40</v>
      </c>
      <c r="C2488">
        <v>2.5150000000000001</v>
      </c>
      <c r="D2488">
        <v>4.71</v>
      </c>
      <c r="E2488">
        <v>0</v>
      </c>
      <c r="F2488">
        <v>1.7310000000000001</v>
      </c>
      <c r="G2488">
        <v>0</v>
      </c>
      <c r="H2488">
        <v>0.19900000000000001</v>
      </c>
      <c r="I2488">
        <v>4.492</v>
      </c>
      <c r="K2488">
        <v>2486</v>
      </c>
      <c r="L2488">
        <v>40</v>
      </c>
      <c r="M2488" s="32">
        <v>2.5150000000000001</v>
      </c>
      <c r="N2488" s="32">
        <v>4.71</v>
      </c>
      <c r="P2488" s="47">
        <v>1.732</v>
      </c>
      <c r="R2488" s="47">
        <v>0.20200000000000001</v>
      </c>
      <c r="S2488" s="47">
        <v>4.3570000000000002</v>
      </c>
      <c r="T2488" s="31">
        <v>0</v>
      </c>
      <c r="V2488">
        <v>2486</v>
      </c>
      <c r="W2488">
        <v>38</v>
      </c>
      <c r="X2488">
        <v>2.5270000000000001</v>
      </c>
      <c r="Y2488" s="32">
        <v>4.71</v>
      </c>
      <c r="Z2488">
        <v>0</v>
      </c>
      <c r="AA2488" s="32">
        <v>1.599</v>
      </c>
      <c r="AB2488">
        <v>0</v>
      </c>
      <c r="AC2488" s="34">
        <v>0.20300000000000001</v>
      </c>
      <c r="AD2488" s="32">
        <v>4.04</v>
      </c>
    </row>
    <row r="2489" spans="1:30">
      <c r="A2489">
        <v>2487</v>
      </c>
      <c r="B2489">
        <v>40</v>
      </c>
      <c r="C2489">
        <v>2.516</v>
      </c>
      <c r="D2489">
        <v>4.71</v>
      </c>
      <c r="E2489">
        <v>0</v>
      </c>
      <c r="F2489">
        <v>1.7310000000000001</v>
      </c>
      <c r="G2489">
        <v>0</v>
      </c>
      <c r="H2489">
        <v>0.19900000000000001</v>
      </c>
      <c r="I2489">
        <v>4.4939999999999998</v>
      </c>
      <c r="K2489">
        <v>2487</v>
      </c>
      <c r="L2489">
        <v>40</v>
      </c>
      <c r="M2489" s="32">
        <v>2.516</v>
      </c>
      <c r="N2489" s="32">
        <v>4.71</v>
      </c>
      <c r="P2489" s="47">
        <v>1.732</v>
      </c>
      <c r="R2489" s="47">
        <v>0.20200000000000001</v>
      </c>
      <c r="S2489" s="47">
        <v>4.359</v>
      </c>
      <c r="T2489" s="31">
        <v>0</v>
      </c>
      <c r="V2489">
        <v>2487</v>
      </c>
      <c r="W2489">
        <v>38</v>
      </c>
      <c r="X2489">
        <v>2.528</v>
      </c>
      <c r="Y2489" s="32">
        <v>4.71</v>
      </c>
      <c r="Z2489">
        <v>0</v>
      </c>
      <c r="AA2489" s="32">
        <v>1.599</v>
      </c>
      <c r="AB2489">
        <v>0</v>
      </c>
      <c r="AC2489" s="34">
        <v>0.20300000000000001</v>
      </c>
      <c r="AD2489" s="32">
        <v>4.0419999999999998</v>
      </c>
    </row>
    <row r="2490" spans="1:30">
      <c r="A2490">
        <v>2488</v>
      </c>
      <c r="B2490">
        <v>40</v>
      </c>
      <c r="C2490">
        <v>2.5169999999999999</v>
      </c>
      <c r="D2490">
        <v>4.71</v>
      </c>
      <c r="E2490">
        <v>0</v>
      </c>
      <c r="F2490">
        <v>1.7310000000000001</v>
      </c>
      <c r="G2490">
        <v>0</v>
      </c>
      <c r="H2490">
        <v>0.19900000000000001</v>
      </c>
      <c r="I2490">
        <v>4.4960000000000004</v>
      </c>
      <c r="K2490">
        <v>2488</v>
      </c>
      <c r="L2490">
        <v>40</v>
      </c>
      <c r="M2490" s="32">
        <v>2.5169999999999999</v>
      </c>
      <c r="N2490" s="32">
        <v>4.71</v>
      </c>
      <c r="P2490" s="47">
        <v>1.732</v>
      </c>
      <c r="R2490" s="47">
        <v>0.20200000000000001</v>
      </c>
      <c r="S2490" s="47">
        <v>4.3609999999999998</v>
      </c>
      <c r="T2490" s="31">
        <v>0</v>
      </c>
      <c r="V2490">
        <v>2488</v>
      </c>
      <c r="W2490">
        <v>38</v>
      </c>
      <c r="X2490">
        <v>2.5289999999999999</v>
      </c>
      <c r="Y2490" s="32">
        <v>4.71</v>
      </c>
      <c r="Z2490">
        <v>0</v>
      </c>
      <c r="AA2490" s="32">
        <v>1.599</v>
      </c>
      <c r="AB2490">
        <v>0</v>
      </c>
      <c r="AC2490" s="34">
        <v>0.20300000000000001</v>
      </c>
      <c r="AD2490" s="32">
        <v>4.0439999999999996</v>
      </c>
    </row>
    <row r="2491" spans="1:30">
      <c r="A2491">
        <v>2489</v>
      </c>
      <c r="B2491">
        <v>40</v>
      </c>
      <c r="C2491">
        <v>2.5179999999999998</v>
      </c>
      <c r="D2491">
        <v>4.71</v>
      </c>
      <c r="E2491">
        <v>0</v>
      </c>
      <c r="F2491">
        <v>1.7310000000000001</v>
      </c>
      <c r="G2491">
        <v>0</v>
      </c>
      <c r="H2491">
        <v>0.19900000000000001</v>
      </c>
      <c r="I2491">
        <v>4.4980000000000002</v>
      </c>
      <c r="K2491">
        <v>2489</v>
      </c>
      <c r="L2491">
        <v>40</v>
      </c>
      <c r="M2491" s="32">
        <v>2.5179999999999998</v>
      </c>
      <c r="N2491" s="32">
        <v>4.71</v>
      </c>
      <c r="P2491" s="47">
        <v>1.7330000000000001</v>
      </c>
      <c r="R2491" s="47">
        <v>0.20200000000000001</v>
      </c>
      <c r="S2491" s="47">
        <v>4.3630000000000004</v>
      </c>
      <c r="T2491" s="31">
        <v>0</v>
      </c>
      <c r="V2491">
        <v>2489</v>
      </c>
      <c r="W2491">
        <v>38</v>
      </c>
      <c r="X2491">
        <v>2.5299999999999998</v>
      </c>
      <c r="Y2491" s="32">
        <v>4.71</v>
      </c>
      <c r="Z2491">
        <v>0</v>
      </c>
      <c r="AA2491" s="32">
        <v>1.6</v>
      </c>
      <c r="AB2491">
        <v>0</v>
      </c>
      <c r="AC2491" s="34">
        <v>0.20300000000000001</v>
      </c>
      <c r="AD2491" s="32">
        <v>4.0469999999999997</v>
      </c>
    </row>
    <row r="2492" spans="1:30">
      <c r="A2492">
        <v>2490</v>
      </c>
      <c r="B2492">
        <v>40</v>
      </c>
      <c r="C2492">
        <v>2.5190000000000001</v>
      </c>
      <c r="D2492">
        <v>4.71</v>
      </c>
      <c r="E2492">
        <v>0</v>
      </c>
      <c r="F2492">
        <v>1.7310000000000001</v>
      </c>
      <c r="G2492">
        <v>0</v>
      </c>
      <c r="H2492">
        <v>0.19900000000000001</v>
      </c>
      <c r="I2492">
        <v>4.5010000000000003</v>
      </c>
      <c r="K2492">
        <v>2490</v>
      </c>
      <c r="L2492">
        <v>40</v>
      </c>
      <c r="M2492" s="32">
        <v>2.5190000000000001</v>
      </c>
      <c r="N2492" s="32">
        <v>4.71</v>
      </c>
      <c r="P2492" s="47">
        <v>1.7330000000000001</v>
      </c>
      <c r="R2492" s="47">
        <v>0.20200000000000001</v>
      </c>
      <c r="S2492" s="47">
        <v>4.3659999999999997</v>
      </c>
      <c r="T2492" s="31">
        <v>0</v>
      </c>
      <c r="V2492">
        <v>2490</v>
      </c>
      <c r="W2492">
        <v>38</v>
      </c>
      <c r="X2492">
        <v>2.5310000000000001</v>
      </c>
      <c r="Y2492" s="32">
        <v>4.7240000000000002</v>
      </c>
      <c r="Z2492">
        <v>0</v>
      </c>
      <c r="AA2492" s="32">
        <v>1.6</v>
      </c>
      <c r="AB2492">
        <v>0</v>
      </c>
      <c r="AC2492" s="34">
        <v>0.20300000000000001</v>
      </c>
      <c r="AD2492" s="32">
        <v>4.0490000000000004</v>
      </c>
    </row>
    <row r="2493" spans="1:30">
      <c r="A2493">
        <v>2491</v>
      </c>
      <c r="B2493">
        <v>40</v>
      </c>
      <c r="C2493">
        <v>2.52</v>
      </c>
      <c r="D2493">
        <v>4.71</v>
      </c>
      <c r="E2493">
        <v>0</v>
      </c>
      <c r="F2493">
        <v>1.7330000000000001</v>
      </c>
      <c r="G2493">
        <v>0</v>
      </c>
      <c r="H2493">
        <v>0.19900000000000001</v>
      </c>
      <c r="I2493">
        <v>4.3680000000000003</v>
      </c>
      <c r="K2493">
        <v>2491</v>
      </c>
      <c r="L2493">
        <v>40</v>
      </c>
      <c r="M2493" s="32">
        <v>2.52</v>
      </c>
      <c r="N2493" s="32">
        <v>4.71</v>
      </c>
      <c r="P2493" s="32">
        <v>1.7330000000000001</v>
      </c>
      <c r="R2493" s="47">
        <v>0.20200000000000001</v>
      </c>
      <c r="S2493" s="32">
        <v>4.3680000000000003</v>
      </c>
      <c r="T2493" s="31">
        <v>0</v>
      </c>
      <c r="V2493">
        <v>2491</v>
      </c>
      <c r="W2493">
        <v>38</v>
      </c>
      <c r="X2493">
        <v>2.532</v>
      </c>
      <c r="Y2493" s="32">
        <v>4.7380000000000004</v>
      </c>
      <c r="Z2493">
        <v>0</v>
      </c>
      <c r="AA2493" s="32">
        <v>1.6</v>
      </c>
      <c r="AB2493">
        <v>0</v>
      </c>
      <c r="AC2493" s="34">
        <v>0.20300000000000001</v>
      </c>
      <c r="AD2493" s="32">
        <v>4.0510000000000002</v>
      </c>
    </row>
    <row r="2494" spans="1:30">
      <c r="A2494">
        <v>2492</v>
      </c>
      <c r="B2494">
        <v>40</v>
      </c>
      <c r="C2494">
        <v>2.5209999999999999</v>
      </c>
      <c r="D2494">
        <v>4.71</v>
      </c>
      <c r="E2494">
        <v>0</v>
      </c>
      <c r="F2494">
        <v>1.7330000000000001</v>
      </c>
      <c r="G2494">
        <v>0</v>
      </c>
      <c r="H2494">
        <v>0.19900000000000001</v>
      </c>
      <c r="I2494">
        <v>4.5279999999999996</v>
      </c>
      <c r="K2494">
        <v>2492</v>
      </c>
      <c r="L2494">
        <v>40</v>
      </c>
      <c r="M2494" s="32">
        <v>2.5209999999999999</v>
      </c>
      <c r="N2494" s="32">
        <v>4.71</v>
      </c>
      <c r="P2494" s="32">
        <v>1.7330000000000001</v>
      </c>
      <c r="R2494" s="47">
        <v>0.20200000000000001</v>
      </c>
      <c r="S2494" s="47">
        <v>4.37</v>
      </c>
      <c r="T2494" s="31">
        <v>0</v>
      </c>
      <c r="V2494">
        <v>2492</v>
      </c>
      <c r="W2494">
        <v>38</v>
      </c>
      <c r="X2494">
        <v>2.5329999999999999</v>
      </c>
      <c r="Y2494" s="32">
        <v>4.7519999999999998</v>
      </c>
      <c r="Z2494">
        <v>0</v>
      </c>
      <c r="AA2494" s="32">
        <v>1.6</v>
      </c>
      <c r="AB2494">
        <v>0</v>
      </c>
      <c r="AC2494" s="34">
        <v>0.20300000000000001</v>
      </c>
      <c r="AD2494" s="32">
        <v>4.0529999999999999</v>
      </c>
    </row>
    <row r="2495" spans="1:30">
      <c r="A2495">
        <v>2493</v>
      </c>
      <c r="B2495">
        <v>40</v>
      </c>
      <c r="C2495">
        <v>2.5219999999999998</v>
      </c>
      <c r="D2495">
        <v>4.71</v>
      </c>
      <c r="E2495">
        <v>0</v>
      </c>
      <c r="F2495">
        <v>1.7330000000000001</v>
      </c>
      <c r="G2495">
        <v>0</v>
      </c>
      <c r="H2495">
        <v>0.19900000000000001</v>
      </c>
      <c r="I2495">
        <v>4.53</v>
      </c>
      <c r="K2495">
        <v>2493</v>
      </c>
      <c r="L2495">
        <v>40</v>
      </c>
      <c r="M2495" s="32">
        <v>2.5219999999999998</v>
      </c>
      <c r="N2495" s="32">
        <v>4.71</v>
      </c>
      <c r="P2495" s="47">
        <v>1.734</v>
      </c>
      <c r="R2495" s="47">
        <v>0.20200000000000001</v>
      </c>
      <c r="S2495" s="47">
        <v>4.3730000000000002</v>
      </c>
      <c r="T2495" s="31">
        <v>0</v>
      </c>
      <c r="V2495">
        <v>2493</v>
      </c>
      <c r="W2495">
        <v>38</v>
      </c>
      <c r="X2495">
        <v>2.5339999999999998</v>
      </c>
      <c r="Y2495" s="32">
        <v>4.766</v>
      </c>
      <c r="Z2495">
        <v>0</v>
      </c>
      <c r="AA2495" s="32">
        <v>1.6</v>
      </c>
      <c r="AB2495">
        <v>0</v>
      </c>
      <c r="AC2495" s="34">
        <v>0.20300000000000001</v>
      </c>
      <c r="AD2495" s="32">
        <v>4.0549999999999997</v>
      </c>
    </row>
    <row r="2496" spans="1:30">
      <c r="A2496">
        <v>2494</v>
      </c>
      <c r="B2496">
        <v>40</v>
      </c>
      <c r="C2496">
        <v>2.5230000000000001</v>
      </c>
      <c r="D2496">
        <v>4.71</v>
      </c>
      <c r="E2496">
        <v>0</v>
      </c>
      <c r="F2496">
        <v>1.7330000000000001</v>
      </c>
      <c r="G2496">
        <v>0</v>
      </c>
      <c r="H2496">
        <v>0.19900000000000001</v>
      </c>
      <c r="I2496">
        <v>4.5330000000000004</v>
      </c>
      <c r="K2496">
        <v>2494</v>
      </c>
      <c r="L2496">
        <v>40</v>
      </c>
      <c r="M2496" s="32">
        <v>2.5230000000000001</v>
      </c>
      <c r="N2496" s="32">
        <v>4.71</v>
      </c>
      <c r="P2496" s="47">
        <v>1.734</v>
      </c>
      <c r="R2496" s="47">
        <v>0.20200000000000001</v>
      </c>
      <c r="S2496" s="47">
        <v>4.375</v>
      </c>
      <c r="T2496" s="31">
        <v>0</v>
      </c>
      <c r="V2496">
        <v>2494</v>
      </c>
      <c r="W2496">
        <v>38</v>
      </c>
      <c r="X2496">
        <v>2.5350000000000001</v>
      </c>
      <c r="Y2496" s="32">
        <v>4.78</v>
      </c>
      <c r="Z2496">
        <v>0</v>
      </c>
      <c r="AA2496" s="32">
        <v>1.601</v>
      </c>
      <c r="AB2496">
        <v>0</v>
      </c>
      <c r="AC2496" s="34">
        <v>0.20300000000000001</v>
      </c>
      <c r="AD2496" s="32">
        <v>4.0570000000000004</v>
      </c>
    </row>
    <row r="2497" spans="1:30">
      <c r="A2497">
        <v>2495</v>
      </c>
      <c r="B2497">
        <v>40</v>
      </c>
      <c r="C2497">
        <v>2.524</v>
      </c>
      <c r="D2497">
        <v>4.71</v>
      </c>
      <c r="E2497">
        <v>0</v>
      </c>
      <c r="F2497">
        <v>1.7330000000000001</v>
      </c>
      <c r="G2497">
        <v>0</v>
      </c>
      <c r="H2497">
        <v>0.19900000000000001</v>
      </c>
      <c r="I2497">
        <v>4.5350000000000001</v>
      </c>
      <c r="K2497">
        <v>2495</v>
      </c>
      <c r="L2497">
        <v>40</v>
      </c>
      <c r="M2497" s="32">
        <v>2.524</v>
      </c>
      <c r="N2497" s="32">
        <v>4.71</v>
      </c>
      <c r="P2497" s="47">
        <v>1.734</v>
      </c>
      <c r="R2497" s="47">
        <v>0.20200000000000001</v>
      </c>
      <c r="S2497" s="47">
        <v>4.3769999999999998</v>
      </c>
      <c r="T2497" s="31">
        <v>0</v>
      </c>
      <c r="V2497">
        <v>2495</v>
      </c>
      <c r="W2497">
        <v>38</v>
      </c>
      <c r="X2497">
        <v>2.536</v>
      </c>
      <c r="Y2497" s="32">
        <v>4.7939999999999996</v>
      </c>
      <c r="Z2497">
        <v>0</v>
      </c>
      <c r="AA2497" s="32">
        <v>1.601</v>
      </c>
      <c r="AB2497">
        <v>0</v>
      </c>
      <c r="AC2497" s="34">
        <v>0.20300000000000001</v>
      </c>
      <c r="AD2497" s="32">
        <v>4.0599999999999996</v>
      </c>
    </row>
    <row r="2498" spans="1:30">
      <c r="A2498">
        <v>2496</v>
      </c>
      <c r="B2498">
        <v>40</v>
      </c>
      <c r="C2498">
        <v>2.5249999999999999</v>
      </c>
      <c r="D2498">
        <v>4.71</v>
      </c>
      <c r="E2498">
        <v>0</v>
      </c>
      <c r="F2498">
        <v>1.7330000000000001</v>
      </c>
      <c r="G2498">
        <v>0</v>
      </c>
      <c r="H2498">
        <v>0.19900000000000001</v>
      </c>
      <c r="I2498">
        <v>4.5369999999999999</v>
      </c>
      <c r="K2498">
        <v>2496</v>
      </c>
      <c r="L2498">
        <v>40</v>
      </c>
      <c r="M2498" s="32">
        <v>2.5249999999999999</v>
      </c>
      <c r="N2498" s="32">
        <v>4.71</v>
      </c>
      <c r="P2498" s="47">
        <v>1.7350000000000001</v>
      </c>
      <c r="R2498" s="47">
        <v>0.20200000000000001</v>
      </c>
      <c r="S2498" s="47">
        <v>4.38</v>
      </c>
      <c r="T2498" s="31">
        <v>0</v>
      </c>
      <c r="V2498">
        <v>2496</v>
      </c>
      <c r="W2498">
        <v>38</v>
      </c>
      <c r="X2498">
        <v>2.5369999999999999</v>
      </c>
      <c r="Y2498" s="32">
        <v>4.8079999999999998</v>
      </c>
      <c r="Z2498">
        <v>0</v>
      </c>
      <c r="AA2498" s="32">
        <v>1.601</v>
      </c>
      <c r="AB2498">
        <v>0</v>
      </c>
      <c r="AC2498" s="34">
        <v>0.20300000000000001</v>
      </c>
      <c r="AD2498" s="32">
        <v>4.0620000000000003</v>
      </c>
    </row>
    <row r="2499" spans="1:30">
      <c r="A2499">
        <v>2497</v>
      </c>
      <c r="B2499">
        <v>40</v>
      </c>
      <c r="C2499">
        <v>2.5259999999999998</v>
      </c>
      <c r="D2499">
        <v>4.71</v>
      </c>
      <c r="E2499">
        <v>0</v>
      </c>
      <c r="F2499">
        <v>1.7330000000000001</v>
      </c>
      <c r="G2499">
        <v>0</v>
      </c>
      <c r="H2499">
        <v>0.19900000000000001</v>
      </c>
      <c r="I2499">
        <v>4.5389999999999997</v>
      </c>
      <c r="K2499">
        <v>2497</v>
      </c>
      <c r="L2499">
        <v>40</v>
      </c>
      <c r="M2499" s="32">
        <v>2.5259999999999998</v>
      </c>
      <c r="N2499" s="32">
        <v>4.71</v>
      </c>
      <c r="P2499" s="47">
        <v>1.7350000000000001</v>
      </c>
      <c r="R2499" s="47">
        <v>0.20200000000000001</v>
      </c>
      <c r="S2499" s="47">
        <v>4.3819999999999997</v>
      </c>
      <c r="T2499" s="31">
        <v>0</v>
      </c>
      <c r="V2499">
        <v>2497</v>
      </c>
      <c r="W2499">
        <v>38</v>
      </c>
      <c r="X2499">
        <v>2.5379999999999998</v>
      </c>
      <c r="Y2499" s="32">
        <v>4.8220000000000001</v>
      </c>
      <c r="Z2499">
        <v>0</v>
      </c>
      <c r="AA2499" s="32">
        <v>1.601</v>
      </c>
      <c r="AB2499">
        <v>0</v>
      </c>
      <c r="AC2499" s="34">
        <v>0.20300000000000001</v>
      </c>
      <c r="AD2499" s="32">
        <v>4.0640000000000001</v>
      </c>
    </row>
    <row r="2500" spans="1:30">
      <c r="A2500">
        <v>2498</v>
      </c>
      <c r="B2500">
        <v>40</v>
      </c>
      <c r="C2500">
        <v>2.5270000000000001</v>
      </c>
      <c r="D2500">
        <v>4.71</v>
      </c>
      <c r="E2500">
        <v>0</v>
      </c>
      <c r="F2500">
        <v>1.7330000000000001</v>
      </c>
      <c r="G2500">
        <v>0</v>
      </c>
      <c r="H2500">
        <v>0.19900000000000001</v>
      </c>
      <c r="I2500">
        <v>4.5419999999999998</v>
      </c>
      <c r="K2500">
        <v>2498</v>
      </c>
      <c r="L2500">
        <v>40</v>
      </c>
      <c r="M2500" s="32">
        <v>2.5270000000000001</v>
      </c>
      <c r="N2500" s="32">
        <v>4.71</v>
      </c>
      <c r="P2500" s="47">
        <v>1.7350000000000001</v>
      </c>
      <c r="R2500" s="47">
        <v>0.20200000000000001</v>
      </c>
      <c r="S2500" s="47">
        <v>4.3840000000000003</v>
      </c>
      <c r="T2500" s="31">
        <v>0</v>
      </c>
      <c r="V2500">
        <v>2498</v>
      </c>
      <c r="W2500">
        <v>38</v>
      </c>
      <c r="X2500">
        <v>2.5390000000000001</v>
      </c>
      <c r="Y2500" s="32">
        <v>4.8360000000000003</v>
      </c>
      <c r="Z2500">
        <v>0</v>
      </c>
      <c r="AA2500" s="32">
        <v>1.6020000000000001</v>
      </c>
      <c r="AB2500">
        <v>0</v>
      </c>
      <c r="AC2500" s="34">
        <v>0.20300000000000001</v>
      </c>
      <c r="AD2500" s="32">
        <v>4.0659999999999998</v>
      </c>
    </row>
    <row r="2501" spans="1:30">
      <c r="A2501">
        <v>2499</v>
      </c>
      <c r="B2501">
        <v>40</v>
      </c>
      <c r="C2501">
        <v>2.528</v>
      </c>
      <c r="D2501">
        <v>4.71</v>
      </c>
      <c r="E2501">
        <v>0</v>
      </c>
      <c r="F2501">
        <v>1.7330000000000001</v>
      </c>
      <c r="G2501">
        <v>0</v>
      </c>
      <c r="H2501">
        <v>0.19900000000000001</v>
      </c>
      <c r="I2501">
        <v>4.5439999999999996</v>
      </c>
      <c r="K2501">
        <v>2499</v>
      </c>
      <c r="L2501">
        <v>40</v>
      </c>
      <c r="M2501" s="32">
        <v>2.528</v>
      </c>
      <c r="N2501" s="32">
        <v>4.71</v>
      </c>
      <c r="P2501" s="47">
        <v>1.7350000000000001</v>
      </c>
      <c r="R2501" s="47">
        <v>0.20200000000000001</v>
      </c>
      <c r="S2501" s="47">
        <v>4.3860000000000001</v>
      </c>
      <c r="T2501" s="31">
        <v>0</v>
      </c>
      <c r="V2501">
        <v>2499</v>
      </c>
      <c r="W2501">
        <v>38</v>
      </c>
      <c r="X2501">
        <v>2.54</v>
      </c>
      <c r="Y2501" s="32">
        <v>4.8499999999999996</v>
      </c>
      <c r="Z2501">
        <v>0</v>
      </c>
      <c r="AA2501" s="32">
        <v>1.6020000000000001</v>
      </c>
      <c r="AB2501">
        <v>0</v>
      </c>
      <c r="AC2501" s="34">
        <v>0.20300000000000001</v>
      </c>
      <c r="AD2501" s="32">
        <v>4.0679999999999996</v>
      </c>
    </row>
    <row r="2502" spans="1:30">
      <c r="A2502">
        <v>2500</v>
      </c>
      <c r="B2502">
        <v>40</v>
      </c>
      <c r="C2502">
        <v>2.5289999999999999</v>
      </c>
      <c r="D2502">
        <v>4.71</v>
      </c>
      <c r="E2502">
        <v>0</v>
      </c>
      <c r="F2502">
        <v>1.7330000000000001</v>
      </c>
      <c r="G2502">
        <v>0</v>
      </c>
      <c r="H2502">
        <v>0.19900000000000001</v>
      </c>
      <c r="I2502">
        <v>4.5460000000000003</v>
      </c>
      <c r="K2502">
        <v>2500</v>
      </c>
      <c r="L2502">
        <v>40</v>
      </c>
      <c r="M2502" s="32">
        <v>2.5289999999999999</v>
      </c>
      <c r="N2502" s="32">
        <v>4.71</v>
      </c>
      <c r="P2502" s="47">
        <v>1.736</v>
      </c>
      <c r="R2502" s="47">
        <v>0.20300000000000001</v>
      </c>
      <c r="S2502" s="47">
        <v>4.3890000000000002</v>
      </c>
      <c r="T2502" s="31">
        <v>0</v>
      </c>
      <c r="V2502">
        <v>2500</v>
      </c>
      <c r="W2502">
        <v>38</v>
      </c>
      <c r="X2502">
        <v>2.5409999999999999</v>
      </c>
      <c r="Y2502" s="32">
        <v>4.8499999999999996</v>
      </c>
      <c r="Z2502">
        <v>0</v>
      </c>
      <c r="AA2502" s="32">
        <v>1.6020000000000001</v>
      </c>
      <c r="AB2502">
        <v>0</v>
      </c>
      <c r="AC2502" s="34">
        <v>0.20300000000000001</v>
      </c>
      <c r="AD2502" s="32">
        <v>4.07</v>
      </c>
    </row>
    <row r="2503" spans="1:30">
      <c r="A2503">
        <v>2501</v>
      </c>
      <c r="B2503">
        <v>40</v>
      </c>
      <c r="C2503">
        <v>2.5299999999999998</v>
      </c>
      <c r="D2503">
        <v>4.71</v>
      </c>
      <c r="E2503">
        <v>0</v>
      </c>
      <c r="F2503">
        <v>1.736</v>
      </c>
      <c r="G2503">
        <v>0</v>
      </c>
      <c r="H2503">
        <v>0.19900000000000001</v>
      </c>
      <c r="I2503">
        <v>4.391</v>
      </c>
      <c r="K2503">
        <v>2501</v>
      </c>
      <c r="L2503">
        <v>40</v>
      </c>
      <c r="M2503" s="32">
        <v>2.5299999999999998</v>
      </c>
      <c r="N2503" s="32">
        <v>4.71</v>
      </c>
      <c r="P2503" s="32">
        <v>1.736</v>
      </c>
      <c r="R2503" s="47">
        <v>0.20300000000000001</v>
      </c>
      <c r="S2503" s="32">
        <v>4.391</v>
      </c>
      <c r="T2503" s="31">
        <v>0</v>
      </c>
      <c r="V2503">
        <v>2501</v>
      </c>
      <c r="W2503">
        <v>38</v>
      </c>
      <c r="X2503">
        <v>2.5419999999999998</v>
      </c>
      <c r="Y2503" s="32">
        <v>4.8499999999999996</v>
      </c>
      <c r="Z2503">
        <v>0</v>
      </c>
      <c r="AA2503" s="32">
        <v>1.6020000000000001</v>
      </c>
      <c r="AB2503">
        <v>0</v>
      </c>
      <c r="AC2503" s="34">
        <v>0.20399999999999999</v>
      </c>
      <c r="AD2503" s="32">
        <v>4.0720000000000001</v>
      </c>
    </row>
    <row r="2504" spans="1:30">
      <c r="A2504">
        <v>2502</v>
      </c>
      <c r="B2504">
        <v>40</v>
      </c>
      <c r="C2504">
        <v>2.5310000000000001</v>
      </c>
      <c r="D2504">
        <v>4.71</v>
      </c>
      <c r="E2504">
        <v>0</v>
      </c>
      <c r="F2504">
        <v>1.736</v>
      </c>
      <c r="G2504">
        <v>0</v>
      </c>
      <c r="H2504">
        <v>0.19900000000000001</v>
      </c>
      <c r="I2504">
        <v>4.5739999999999998</v>
      </c>
      <c r="K2504">
        <v>2502</v>
      </c>
      <c r="L2504">
        <v>40</v>
      </c>
      <c r="M2504" s="32">
        <v>2.5310000000000001</v>
      </c>
      <c r="N2504" s="47">
        <v>4.7240000000000002</v>
      </c>
      <c r="P2504" s="32">
        <v>1.736</v>
      </c>
      <c r="R2504" s="47">
        <v>0.20300000000000001</v>
      </c>
      <c r="S2504" s="47">
        <v>4.3929999999999998</v>
      </c>
      <c r="T2504" s="31">
        <v>0</v>
      </c>
      <c r="V2504">
        <v>2502</v>
      </c>
      <c r="W2504">
        <v>38</v>
      </c>
      <c r="X2504">
        <v>2.5430000000000001</v>
      </c>
      <c r="Y2504" s="32">
        <v>4.8499999999999996</v>
      </c>
      <c r="Z2504">
        <v>0</v>
      </c>
      <c r="AA2504" s="32">
        <v>1.6020000000000001</v>
      </c>
      <c r="AB2504">
        <v>0</v>
      </c>
      <c r="AC2504" s="34">
        <v>0.20399999999999999</v>
      </c>
      <c r="AD2504" s="32">
        <v>4.0750000000000002</v>
      </c>
    </row>
    <row r="2505" spans="1:30">
      <c r="A2505">
        <v>2503</v>
      </c>
      <c r="B2505">
        <v>40</v>
      </c>
      <c r="C2505">
        <v>2.532</v>
      </c>
      <c r="D2505">
        <v>4.71</v>
      </c>
      <c r="E2505">
        <v>0</v>
      </c>
      <c r="F2505">
        <v>1.736</v>
      </c>
      <c r="G2505">
        <v>0</v>
      </c>
      <c r="H2505">
        <v>0.19900000000000001</v>
      </c>
      <c r="I2505">
        <v>4.5759999999999996</v>
      </c>
      <c r="K2505">
        <v>2503</v>
      </c>
      <c r="L2505">
        <v>40</v>
      </c>
      <c r="M2505" s="32">
        <v>2.532</v>
      </c>
      <c r="N2505" s="47">
        <v>4.7380000000000004</v>
      </c>
      <c r="P2505" s="32">
        <v>1.736</v>
      </c>
      <c r="R2505" s="47">
        <v>0.20300000000000001</v>
      </c>
      <c r="S2505" s="47">
        <v>4.3949999999999996</v>
      </c>
      <c r="T2505" s="31">
        <v>0</v>
      </c>
      <c r="V2505">
        <v>2503</v>
      </c>
      <c r="W2505">
        <v>38</v>
      </c>
      <c r="X2505">
        <v>2.544</v>
      </c>
      <c r="Y2505" s="32">
        <v>4.8499999999999996</v>
      </c>
      <c r="Z2505">
        <v>0</v>
      </c>
      <c r="AA2505" s="32">
        <v>1.603</v>
      </c>
      <c r="AB2505">
        <v>0</v>
      </c>
      <c r="AC2505" s="34">
        <v>0.20399999999999999</v>
      </c>
      <c r="AD2505" s="32">
        <v>4.077</v>
      </c>
    </row>
    <row r="2506" spans="1:30">
      <c r="A2506">
        <v>2504</v>
      </c>
      <c r="B2506">
        <v>40</v>
      </c>
      <c r="C2506">
        <v>2.5329999999999999</v>
      </c>
      <c r="D2506">
        <v>4.71</v>
      </c>
      <c r="E2506">
        <v>0</v>
      </c>
      <c r="F2506">
        <v>1.736</v>
      </c>
      <c r="G2506">
        <v>0</v>
      </c>
      <c r="H2506">
        <v>0.19900000000000001</v>
      </c>
      <c r="I2506">
        <v>4.5780000000000003</v>
      </c>
      <c r="K2506">
        <v>2504</v>
      </c>
      <c r="L2506">
        <v>40</v>
      </c>
      <c r="M2506" s="32">
        <v>2.5329999999999999</v>
      </c>
      <c r="N2506" s="47">
        <v>4.7519999999999998</v>
      </c>
      <c r="P2506" s="47">
        <v>1.7370000000000001</v>
      </c>
      <c r="R2506" s="47">
        <v>0.20300000000000001</v>
      </c>
      <c r="S2506" s="47">
        <v>4.3979999999999997</v>
      </c>
      <c r="T2506" s="31">
        <v>0</v>
      </c>
      <c r="V2506">
        <v>2504</v>
      </c>
      <c r="W2506">
        <v>38</v>
      </c>
      <c r="X2506">
        <v>2.5449999999999999</v>
      </c>
      <c r="Y2506" s="32">
        <v>4.8499999999999996</v>
      </c>
      <c r="Z2506">
        <v>0</v>
      </c>
      <c r="AA2506" s="32">
        <v>1.603</v>
      </c>
      <c r="AB2506">
        <v>0</v>
      </c>
      <c r="AC2506" s="34">
        <v>0.20399999999999999</v>
      </c>
      <c r="AD2506" s="32">
        <v>4.0789999999999997</v>
      </c>
    </row>
    <row r="2507" spans="1:30">
      <c r="A2507">
        <v>2505</v>
      </c>
      <c r="B2507">
        <v>40</v>
      </c>
      <c r="C2507">
        <v>2.5339999999999998</v>
      </c>
      <c r="D2507">
        <v>4.71</v>
      </c>
      <c r="E2507">
        <v>0</v>
      </c>
      <c r="F2507">
        <v>1.736</v>
      </c>
      <c r="G2507">
        <v>0</v>
      </c>
      <c r="H2507">
        <v>0.19900000000000001</v>
      </c>
      <c r="I2507">
        <v>4.58</v>
      </c>
      <c r="K2507">
        <v>2505</v>
      </c>
      <c r="L2507">
        <v>40</v>
      </c>
      <c r="M2507" s="32">
        <v>2.5339999999999998</v>
      </c>
      <c r="N2507" s="47">
        <v>4.766</v>
      </c>
      <c r="P2507" s="47">
        <v>1.7370000000000001</v>
      </c>
      <c r="R2507" s="47">
        <v>0.20300000000000001</v>
      </c>
      <c r="S2507" s="47">
        <v>4.4000000000000004</v>
      </c>
      <c r="T2507" s="31">
        <v>0</v>
      </c>
      <c r="V2507">
        <v>2505</v>
      </c>
      <c r="W2507">
        <v>38</v>
      </c>
      <c r="X2507">
        <v>2.5459999999999998</v>
      </c>
      <c r="Y2507" s="32">
        <v>4.8499999999999996</v>
      </c>
      <c r="Z2507">
        <v>0</v>
      </c>
      <c r="AA2507" s="32">
        <v>1.603</v>
      </c>
      <c r="AB2507">
        <v>0</v>
      </c>
      <c r="AC2507" s="34">
        <v>0.20399999999999999</v>
      </c>
      <c r="AD2507" s="32">
        <v>4.0810000000000004</v>
      </c>
    </row>
    <row r="2508" spans="1:30">
      <c r="A2508">
        <v>2506</v>
      </c>
      <c r="B2508">
        <v>40</v>
      </c>
      <c r="C2508">
        <v>2.5350000000000001</v>
      </c>
      <c r="D2508">
        <v>4.71</v>
      </c>
      <c r="E2508">
        <v>0</v>
      </c>
      <c r="F2508">
        <v>1.736</v>
      </c>
      <c r="G2508">
        <v>0</v>
      </c>
      <c r="H2508">
        <v>0.19900000000000001</v>
      </c>
      <c r="I2508">
        <v>4.5830000000000002</v>
      </c>
      <c r="K2508">
        <v>2506</v>
      </c>
      <c r="L2508">
        <v>40</v>
      </c>
      <c r="M2508" s="32">
        <v>2.5350000000000001</v>
      </c>
      <c r="N2508" s="47">
        <v>4.78</v>
      </c>
      <c r="P2508" s="47">
        <v>1.7370000000000001</v>
      </c>
      <c r="R2508" s="47">
        <v>0.20300000000000001</v>
      </c>
      <c r="S2508" s="47">
        <v>4.4020000000000001</v>
      </c>
      <c r="T2508" s="31">
        <v>0</v>
      </c>
      <c r="V2508">
        <v>2506</v>
      </c>
      <c r="W2508">
        <v>38</v>
      </c>
      <c r="X2508">
        <v>2.5470000000000002</v>
      </c>
      <c r="Y2508" s="32">
        <v>4.8499999999999996</v>
      </c>
      <c r="Z2508">
        <v>0</v>
      </c>
      <c r="AA2508" s="32">
        <v>1.603</v>
      </c>
      <c r="AB2508">
        <v>0</v>
      </c>
      <c r="AC2508" s="34">
        <v>0.20399999999999999</v>
      </c>
      <c r="AD2508" s="32">
        <v>4.0830000000000002</v>
      </c>
    </row>
    <row r="2509" spans="1:30">
      <c r="A2509">
        <v>2507</v>
      </c>
      <c r="B2509">
        <v>40</v>
      </c>
      <c r="C2509">
        <v>2.536</v>
      </c>
      <c r="D2509">
        <v>4.71</v>
      </c>
      <c r="E2509">
        <v>0</v>
      </c>
      <c r="F2509">
        <v>1.736</v>
      </c>
      <c r="G2509">
        <v>0</v>
      </c>
      <c r="H2509">
        <v>0.19900000000000001</v>
      </c>
      <c r="I2509">
        <v>4.585</v>
      </c>
      <c r="K2509">
        <v>2507</v>
      </c>
      <c r="L2509">
        <v>40</v>
      </c>
      <c r="M2509" s="32">
        <v>2.536</v>
      </c>
      <c r="N2509" s="47">
        <v>4.7939999999999996</v>
      </c>
      <c r="P2509" s="47">
        <v>1.7370000000000001</v>
      </c>
      <c r="R2509" s="47">
        <v>0.20300000000000001</v>
      </c>
      <c r="S2509" s="47">
        <v>4.4039999999999999</v>
      </c>
      <c r="T2509" s="31">
        <v>0</v>
      </c>
      <c r="V2509">
        <v>2507</v>
      </c>
      <c r="W2509">
        <v>38</v>
      </c>
      <c r="X2509">
        <v>2.548</v>
      </c>
      <c r="Y2509" s="32">
        <v>4.8499999999999996</v>
      </c>
      <c r="Z2509">
        <v>0</v>
      </c>
      <c r="AA2509" s="32">
        <v>1.6040000000000001</v>
      </c>
      <c r="AB2509">
        <v>0</v>
      </c>
      <c r="AC2509" s="34">
        <v>0.20399999999999999</v>
      </c>
      <c r="AD2509" s="32">
        <v>4.085</v>
      </c>
    </row>
    <row r="2510" spans="1:30">
      <c r="A2510">
        <v>2508</v>
      </c>
      <c r="B2510">
        <v>40</v>
      </c>
      <c r="C2510">
        <v>2.5369999999999999</v>
      </c>
      <c r="D2510">
        <v>4.71</v>
      </c>
      <c r="E2510">
        <v>0</v>
      </c>
      <c r="F2510">
        <v>1.736</v>
      </c>
      <c r="G2510">
        <v>0</v>
      </c>
      <c r="H2510">
        <v>0.19900000000000001</v>
      </c>
      <c r="I2510">
        <v>4.5869999999999997</v>
      </c>
      <c r="K2510">
        <v>2508</v>
      </c>
      <c r="L2510">
        <v>40</v>
      </c>
      <c r="M2510" s="32">
        <v>2.5369999999999999</v>
      </c>
      <c r="N2510" s="47">
        <v>4.8079999999999998</v>
      </c>
      <c r="P2510" s="47">
        <v>1.7370000000000001</v>
      </c>
      <c r="R2510" s="47">
        <v>0.20300000000000001</v>
      </c>
      <c r="S2510" s="47">
        <v>4.4059999999999997</v>
      </c>
      <c r="T2510" s="31">
        <v>0</v>
      </c>
      <c r="V2510">
        <v>2508</v>
      </c>
      <c r="W2510">
        <v>38</v>
      </c>
      <c r="X2510">
        <v>2.5489999999999999</v>
      </c>
      <c r="Y2510" s="32">
        <v>4.8499999999999996</v>
      </c>
      <c r="Z2510">
        <v>0</v>
      </c>
      <c r="AA2510" s="32">
        <v>1.6040000000000001</v>
      </c>
      <c r="AB2510">
        <v>0</v>
      </c>
      <c r="AC2510" s="34">
        <v>0.20399999999999999</v>
      </c>
      <c r="AD2510" s="32">
        <v>4.0880000000000001</v>
      </c>
    </row>
    <row r="2511" spans="1:30">
      <c r="A2511">
        <v>2509</v>
      </c>
      <c r="B2511">
        <v>40</v>
      </c>
      <c r="C2511">
        <v>2.5379999999999998</v>
      </c>
      <c r="D2511">
        <v>4.71</v>
      </c>
      <c r="E2511">
        <v>0</v>
      </c>
      <c r="F2511">
        <v>1.736</v>
      </c>
      <c r="G2511">
        <v>0</v>
      </c>
      <c r="H2511">
        <v>0.19900000000000001</v>
      </c>
      <c r="I2511">
        <v>4.5890000000000004</v>
      </c>
      <c r="K2511">
        <v>2509</v>
      </c>
      <c r="L2511">
        <v>40</v>
      </c>
      <c r="M2511" s="32">
        <v>2.5379999999999998</v>
      </c>
      <c r="N2511" s="47">
        <v>4.8220000000000001</v>
      </c>
      <c r="P2511" s="47">
        <v>1.738</v>
      </c>
      <c r="R2511" s="47">
        <v>0.20300000000000001</v>
      </c>
      <c r="S2511" s="47">
        <v>4.4089999999999998</v>
      </c>
      <c r="T2511" s="31">
        <v>0</v>
      </c>
      <c r="V2511">
        <v>2509</v>
      </c>
      <c r="W2511">
        <v>38</v>
      </c>
      <c r="X2511">
        <v>2.5499999999999998</v>
      </c>
      <c r="Y2511" s="32">
        <v>4.8499999999999996</v>
      </c>
      <c r="Z2511">
        <v>0</v>
      </c>
      <c r="AA2511" s="32">
        <v>1.6040000000000001</v>
      </c>
      <c r="AB2511">
        <v>0</v>
      </c>
      <c r="AC2511" s="34">
        <v>0.20399999999999999</v>
      </c>
      <c r="AD2511" s="32">
        <v>4.09</v>
      </c>
    </row>
    <row r="2512" spans="1:30">
      <c r="A2512">
        <v>2510</v>
      </c>
      <c r="B2512">
        <v>40</v>
      </c>
      <c r="C2512">
        <v>2.5390000000000001</v>
      </c>
      <c r="D2512">
        <v>4.71</v>
      </c>
      <c r="E2512">
        <v>0</v>
      </c>
      <c r="F2512">
        <v>1.736</v>
      </c>
      <c r="G2512">
        <v>0</v>
      </c>
      <c r="H2512">
        <v>0.19900000000000001</v>
      </c>
      <c r="I2512">
        <v>4.5919999999999996</v>
      </c>
      <c r="K2512">
        <v>2510</v>
      </c>
      <c r="L2512">
        <v>40</v>
      </c>
      <c r="M2512" s="32">
        <v>2.5390000000000001</v>
      </c>
      <c r="N2512" s="47">
        <v>4.8360000000000003</v>
      </c>
      <c r="P2512" s="47">
        <v>1.738</v>
      </c>
      <c r="R2512" s="47">
        <v>0.20300000000000001</v>
      </c>
      <c r="S2512" s="47">
        <v>4.4109999999999996</v>
      </c>
      <c r="T2512" s="31">
        <v>0</v>
      </c>
      <c r="V2512">
        <v>2510</v>
      </c>
      <c r="W2512">
        <v>38</v>
      </c>
      <c r="X2512">
        <v>2.5510000000000002</v>
      </c>
      <c r="Y2512" s="32">
        <v>4.8499999999999996</v>
      </c>
      <c r="Z2512">
        <v>0</v>
      </c>
      <c r="AA2512" s="32">
        <v>1.6040000000000001</v>
      </c>
      <c r="AB2512">
        <v>0</v>
      </c>
      <c r="AC2512" s="34">
        <v>0.20399999999999999</v>
      </c>
      <c r="AD2512" s="32">
        <v>4.0919999999999996</v>
      </c>
    </row>
    <row r="2513" spans="1:30">
      <c r="A2513">
        <v>2511</v>
      </c>
      <c r="B2513">
        <v>41</v>
      </c>
      <c r="C2513">
        <v>2.54</v>
      </c>
      <c r="D2513">
        <v>4.8499999999999996</v>
      </c>
      <c r="E2513">
        <v>0</v>
      </c>
      <c r="F2513">
        <v>1.738</v>
      </c>
      <c r="G2513">
        <v>0</v>
      </c>
      <c r="H2513">
        <v>0.20300000000000001</v>
      </c>
      <c r="I2513">
        <v>4.4130000000000003</v>
      </c>
      <c r="K2513">
        <v>2511</v>
      </c>
      <c r="L2513">
        <v>41</v>
      </c>
      <c r="M2513" s="32">
        <v>2.54</v>
      </c>
      <c r="N2513" s="32">
        <v>4.8499999999999996</v>
      </c>
      <c r="P2513" s="32">
        <v>1.738</v>
      </c>
      <c r="R2513" s="32">
        <v>0.20300000000000001</v>
      </c>
      <c r="S2513" s="32">
        <v>4.4130000000000003</v>
      </c>
      <c r="T2513" s="31">
        <v>0</v>
      </c>
      <c r="V2513">
        <v>2511</v>
      </c>
      <c r="W2513">
        <v>38</v>
      </c>
      <c r="X2513">
        <v>2.552</v>
      </c>
      <c r="Y2513" s="32">
        <v>4.8499999999999996</v>
      </c>
      <c r="Z2513">
        <v>0</v>
      </c>
      <c r="AA2513" s="32">
        <v>1.6040000000000001</v>
      </c>
      <c r="AB2513">
        <v>0</v>
      </c>
      <c r="AC2513" s="34">
        <v>0.20399999999999999</v>
      </c>
      <c r="AD2513" s="32">
        <v>4.0940000000000003</v>
      </c>
    </row>
    <row r="2514" spans="1:30">
      <c r="A2514">
        <v>2512</v>
      </c>
      <c r="B2514">
        <v>41</v>
      </c>
      <c r="C2514">
        <v>2.5409999999999999</v>
      </c>
      <c r="D2514">
        <v>4.8499999999999996</v>
      </c>
      <c r="E2514">
        <v>0</v>
      </c>
      <c r="F2514">
        <v>1.738</v>
      </c>
      <c r="G2514">
        <v>0</v>
      </c>
      <c r="H2514">
        <v>0.20300000000000001</v>
      </c>
      <c r="I2514">
        <v>4.415</v>
      </c>
      <c r="K2514">
        <v>2512</v>
      </c>
      <c r="L2514">
        <v>41</v>
      </c>
      <c r="M2514" s="32">
        <v>2.5409999999999999</v>
      </c>
      <c r="N2514" s="32">
        <v>4.8499999999999996</v>
      </c>
      <c r="P2514" s="32">
        <v>1.738</v>
      </c>
      <c r="R2514" s="32">
        <v>0.20300000000000001</v>
      </c>
      <c r="S2514" s="47">
        <v>4.4160000000000004</v>
      </c>
      <c r="T2514" s="31">
        <v>0</v>
      </c>
      <c r="V2514">
        <v>2512</v>
      </c>
      <c r="W2514">
        <v>38</v>
      </c>
      <c r="X2514">
        <v>2.5529999999999999</v>
      </c>
      <c r="Y2514" s="32">
        <v>4.8499999999999996</v>
      </c>
      <c r="Z2514">
        <v>0</v>
      </c>
      <c r="AA2514" s="32">
        <v>1.605</v>
      </c>
      <c r="AB2514">
        <v>0</v>
      </c>
      <c r="AC2514" s="34">
        <v>0.20399999999999999</v>
      </c>
      <c r="AD2514" s="32">
        <v>4.0960000000000001</v>
      </c>
    </row>
    <row r="2515" spans="1:30">
      <c r="A2515">
        <v>2513</v>
      </c>
      <c r="B2515">
        <v>41</v>
      </c>
      <c r="C2515">
        <v>2.5419999999999998</v>
      </c>
      <c r="D2515">
        <v>4.8499999999999996</v>
      </c>
      <c r="E2515">
        <v>0</v>
      </c>
      <c r="F2515">
        <v>1.738</v>
      </c>
      <c r="G2515">
        <v>0</v>
      </c>
      <c r="H2515">
        <v>0.20300000000000001</v>
      </c>
      <c r="I2515">
        <v>4.4180000000000001</v>
      </c>
      <c r="K2515">
        <v>2513</v>
      </c>
      <c r="L2515">
        <v>41</v>
      </c>
      <c r="M2515" s="32">
        <v>2.5419999999999998</v>
      </c>
      <c r="N2515" s="32">
        <v>4.8499999999999996</v>
      </c>
      <c r="P2515" s="32">
        <v>1.738</v>
      </c>
      <c r="R2515" s="32">
        <v>0.20300000000000001</v>
      </c>
      <c r="S2515" s="32">
        <v>4.4180000000000001</v>
      </c>
      <c r="T2515" s="31">
        <v>0</v>
      </c>
      <c r="V2515">
        <v>2513</v>
      </c>
      <c r="W2515">
        <v>38</v>
      </c>
      <c r="X2515">
        <v>2.5539999999999998</v>
      </c>
      <c r="Y2515" s="32">
        <v>4.8499999999999996</v>
      </c>
      <c r="Z2515">
        <v>0</v>
      </c>
      <c r="AA2515" s="32">
        <v>1.605</v>
      </c>
      <c r="AB2515">
        <v>0</v>
      </c>
      <c r="AC2515" s="34">
        <v>0.20399999999999999</v>
      </c>
      <c r="AD2515" s="32">
        <v>4.0979999999999999</v>
      </c>
    </row>
    <row r="2516" spans="1:30">
      <c r="A2516">
        <v>2514</v>
      </c>
      <c r="B2516">
        <v>41</v>
      </c>
      <c r="C2516">
        <v>2.5430000000000001</v>
      </c>
      <c r="D2516">
        <v>4.8600000000000003</v>
      </c>
      <c r="E2516">
        <v>0</v>
      </c>
      <c r="F2516">
        <v>1.7390000000000001</v>
      </c>
      <c r="G2516">
        <v>0</v>
      </c>
      <c r="H2516">
        <v>0.20300000000000001</v>
      </c>
      <c r="I2516">
        <v>4.42</v>
      </c>
      <c r="K2516">
        <v>2514</v>
      </c>
      <c r="L2516">
        <v>41</v>
      </c>
      <c r="M2516" s="32">
        <v>2.5430000000000001</v>
      </c>
      <c r="N2516" s="47">
        <v>4.8499999999999996</v>
      </c>
      <c r="P2516" s="32">
        <v>1.7390000000000001</v>
      </c>
      <c r="R2516" s="32">
        <v>0.20300000000000001</v>
      </c>
      <c r="S2516" s="47">
        <v>4.4210000000000003</v>
      </c>
      <c r="T2516" s="31">
        <v>0</v>
      </c>
      <c r="V2516">
        <v>2514</v>
      </c>
      <c r="W2516">
        <v>38</v>
      </c>
      <c r="X2516">
        <v>2.5550000000000002</v>
      </c>
      <c r="Y2516" s="32">
        <v>4.8499999999999996</v>
      </c>
      <c r="Z2516">
        <v>0</v>
      </c>
      <c r="AA2516" s="32">
        <v>1.605</v>
      </c>
      <c r="AB2516">
        <v>0</v>
      </c>
      <c r="AC2516" s="34">
        <v>0.20399999999999999</v>
      </c>
      <c r="AD2516" s="32">
        <v>4.101</v>
      </c>
    </row>
    <row r="2517" spans="1:30">
      <c r="A2517">
        <v>2515</v>
      </c>
      <c r="B2517">
        <v>41</v>
      </c>
      <c r="C2517">
        <v>2.544</v>
      </c>
      <c r="D2517">
        <v>4.8600000000000003</v>
      </c>
      <c r="E2517">
        <v>0</v>
      </c>
      <c r="F2517">
        <v>1.7390000000000001</v>
      </c>
      <c r="G2517">
        <v>0</v>
      </c>
      <c r="H2517">
        <v>0.20300000000000001</v>
      </c>
      <c r="I2517">
        <v>4.4219999999999997</v>
      </c>
      <c r="K2517">
        <v>2515</v>
      </c>
      <c r="L2517">
        <v>41</v>
      </c>
      <c r="M2517" s="32">
        <v>2.544</v>
      </c>
      <c r="N2517" s="47">
        <v>4.8499999999999996</v>
      </c>
      <c r="P2517" s="32">
        <v>1.7390000000000001</v>
      </c>
      <c r="R2517" s="32">
        <v>0.20300000000000001</v>
      </c>
      <c r="S2517" s="47">
        <v>4.423</v>
      </c>
      <c r="T2517" s="31">
        <v>0</v>
      </c>
      <c r="V2517">
        <v>2515</v>
      </c>
      <c r="W2517">
        <v>38</v>
      </c>
      <c r="X2517">
        <v>2.556</v>
      </c>
      <c r="Y2517" s="32">
        <v>4.8499999999999996</v>
      </c>
      <c r="Z2517">
        <v>0</v>
      </c>
      <c r="AA2517" s="32">
        <v>1.605</v>
      </c>
      <c r="AB2517">
        <v>0</v>
      </c>
      <c r="AC2517" s="34">
        <v>0.20399999999999999</v>
      </c>
      <c r="AD2517" s="32">
        <v>4.1029999999999998</v>
      </c>
    </row>
    <row r="2518" spans="1:30">
      <c r="A2518">
        <v>2516</v>
      </c>
      <c r="B2518">
        <v>41</v>
      </c>
      <c r="C2518">
        <v>2.5449999999999999</v>
      </c>
      <c r="D2518">
        <v>4.8600000000000003</v>
      </c>
      <c r="E2518">
        <v>0</v>
      </c>
      <c r="F2518">
        <v>1.7390000000000001</v>
      </c>
      <c r="G2518">
        <v>0</v>
      </c>
      <c r="H2518">
        <v>0.20300000000000001</v>
      </c>
      <c r="I2518">
        <v>4.4249999999999998</v>
      </c>
      <c r="K2518">
        <v>2516</v>
      </c>
      <c r="L2518">
        <v>41</v>
      </c>
      <c r="M2518" s="32">
        <v>2.5449999999999999</v>
      </c>
      <c r="N2518" s="47">
        <v>4.8499999999999996</v>
      </c>
      <c r="P2518" s="32">
        <v>1.7390000000000001</v>
      </c>
      <c r="R2518" s="32">
        <v>0.20300000000000001</v>
      </c>
      <c r="S2518" s="47">
        <v>4.4260000000000002</v>
      </c>
      <c r="T2518" s="31">
        <v>0</v>
      </c>
      <c r="V2518">
        <v>2516</v>
      </c>
      <c r="W2518">
        <v>38</v>
      </c>
      <c r="X2518">
        <v>2.5569999999999999</v>
      </c>
      <c r="Y2518" s="32">
        <v>4.8499999999999996</v>
      </c>
      <c r="Z2518">
        <v>0</v>
      </c>
      <c r="AA2518" s="32">
        <v>1.6060000000000001</v>
      </c>
      <c r="AB2518">
        <v>0</v>
      </c>
      <c r="AC2518" s="34">
        <v>0.20399999999999999</v>
      </c>
      <c r="AD2518" s="32">
        <v>4.1050000000000004</v>
      </c>
    </row>
    <row r="2519" spans="1:30">
      <c r="A2519">
        <v>2517</v>
      </c>
      <c r="B2519">
        <v>41</v>
      </c>
      <c r="C2519">
        <v>2.5459999999999998</v>
      </c>
      <c r="D2519">
        <v>4.8600000000000003</v>
      </c>
      <c r="E2519">
        <v>0</v>
      </c>
      <c r="F2519">
        <v>1.7390000000000001</v>
      </c>
      <c r="G2519">
        <v>0</v>
      </c>
      <c r="H2519">
        <v>0.20300000000000001</v>
      </c>
      <c r="I2519">
        <v>4.4269999999999996</v>
      </c>
      <c r="K2519">
        <v>2517</v>
      </c>
      <c r="L2519">
        <v>41</v>
      </c>
      <c r="M2519" s="32">
        <v>2.5459999999999998</v>
      </c>
      <c r="N2519" s="47">
        <v>4.8499999999999996</v>
      </c>
      <c r="P2519" s="32">
        <v>1.7390000000000001</v>
      </c>
      <c r="R2519" s="32">
        <v>0.20300000000000001</v>
      </c>
      <c r="S2519" s="47">
        <v>4.4279999999999999</v>
      </c>
      <c r="T2519" s="31">
        <v>0</v>
      </c>
      <c r="V2519">
        <v>2517</v>
      </c>
      <c r="W2519">
        <v>38</v>
      </c>
      <c r="X2519">
        <v>2.5579999999999998</v>
      </c>
      <c r="Y2519" s="32">
        <v>4.8499999999999996</v>
      </c>
      <c r="Z2519">
        <v>0</v>
      </c>
      <c r="AA2519" s="32">
        <v>1.6060000000000001</v>
      </c>
      <c r="AB2519">
        <v>0</v>
      </c>
      <c r="AC2519" s="34">
        <v>0.20399999999999999</v>
      </c>
      <c r="AD2519" s="32">
        <v>4.1070000000000002</v>
      </c>
    </row>
    <row r="2520" spans="1:30">
      <c r="A2520">
        <v>2518</v>
      </c>
      <c r="B2520">
        <v>41</v>
      </c>
      <c r="C2520">
        <v>2.5470000000000002</v>
      </c>
      <c r="D2520">
        <v>4.87</v>
      </c>
      <c r="E2520">
        <v>0</v>
      </c>
      <c r="F2520">
        <v>1.74</v>
      </c>
      <c r="G2520">
        <v>0</v>
      </c>
      <c r="H2520">
        <v>0.20300000000000001</v>
      </c>
      <c r="I2520">
        <v>4.4290000000000003</v>
      </c>
      <c r="K2520">
        <v>2518</v>
      </c>
      <c r="L2520">
        <v>41</v>
      </c>
      <c r="M2520" s="32">
        <v>2.5470000000000002</v>
      </c>
      <c r="N2520" s="47">
        <v>4.8499999999999996</v>
      </c>
      <c r="P2520" s="47">
        <v>1.7390000000000001</v>
      </c>
      <c r="R2520" s="32">
        <v>0.20300000000000001</v>
      </c>
      <c r="S2520" s="47">
        <v>4.431</v>
      </c>
      <c r="T2520" s="31">
        <v>0</v>
      </c>
      <c r="V2520">
        <v>2518</v>
      </c>
      <c r="W2520">
        <v>38</v>
      </c>
      <c r="X2520">
        <v>2.5590000000000002</v>
      </c>
      <c r="Y2520" s="32">
        <v>4.8499999999999996</v>
      </c>
      <c r="Z2520">
        <v>0</v>
      </c>
      <c r="AA2520" s="32">
        <v>1.6060000000000001</v>
      </c>
      <c r="AB2520">
        <v>0</v>
      </c>
      <c r="AC2520" s="34">
        <v>0.20399999999999999</v>
      </c>
      <c r="AD2520" s="32">
        <v>4.109</v>
      </c>
    </row>
    <row r="2521" spans="1:30">
      <c r="A2521">
        <v>2519</v>
      </c>
      <c r="B2521">
        <v>41</v>
      </c>
      <c r="C2521">
        <v>2.548</v>
      </c>
      <c r="D2521">
        <v>4.87</v>
      </c>
      <c r="E2521">
        <v>0</v>
      </c>
      <c r="F2521">
        <v>1.74</v>
      </c>
      <c r="G2521">
        <v>0</v>
      </c>
      <c r="H2521">
        <v>0.20300000000000001</v>
      </c>
      <c r="I2521">
        <v>4.4320000000000004</v>
      </c>
      <c r="K2521">
        <v>2519</v>
      </c>
      <c r="L2521">
        <v>41</v>
      </c>
      <c r="M2521" s="32">
        <v>2.548</v>
      </c>
      <c r="N2521" s="47">
        <v>4.8499999999999996</v>
      </c>
      <c r="P2521" s="32">
        <v>1.74</v>
      </c>
      <c r="R2521" s="47">
        <v>0.20399999999999999</v>
      </c>
      <c r="S2521" s="47">
        <v>4.4329999999999998</v>
      </c>
      <c r="T2521" s="31">
        <v>0</v>
      </c>
      <c r="V2521">
        <v>2519</v>
      </c>
      <c r="W2521">
        <v>38</v>
      </c>
      <c r="X2521">
        <v>2.56</v>
      </c>
      <c r="Y2521" s="32">
        <v>4.8499999999999996</v>
      </c>
      <c r="Z2521">
        <v>0</v>
      </c>
      <c r="AA2521" s="32">
        <v>1.6060000000000001</v>
      </c>
      <c r="AB2521">
        <v>0</v>
      </c>
      <c r="AC2521" s="34">
        <v>0.20399999999999999</v>
      </c>
      <c r="AD2521" s="32">
        <v>4.1109999999999998</v>
      </c>
    </row>
    <row r="2522" spans="1:30">
      <c r="A2522">
        <v>2520</v>
      </c>
      <c r="B2522">
        <v>41</v>
      </c>
      <c r="C2522">
        <v>2.5489999999999999</v>
      </c>
      <c r="D2522">
        <v>4.87</v>
      </c>
      <c r="E2522">
        <v>0</v>
      </c>
      <c r="F2522">
        <v>1.74</v>
      </c>
      <c r="G2522">
        <v>0</v>
      </c>
      <c r="H2522">
        <v>0.20300000000000001</v>
      </c>
      <c r="I2522">
        <v>4.4340000000000002</v>
      </c>
      <c r="K2522">
        <v>2520</v>
      </c>
      <c r="L2522">
        <v>41</v>
      </c>
      <c r="M2522" s="32">
        <v>2.5489999999999999</v>
      </c>
      <c r="N2522" s="47">
        <v>4.8499999999999996</v>
      </c>
      <c r="P2522" s="32">
        <v>1.74</v>
      </c>
      <c r="R2522" s="47">
        <v>0.20399999999999999</v>
      </c>
      <c r="S2522" s="47">
        <v>4.4359999999999999</v>
      </c>
      <c r="T2522" s="31">
        <v>0</v>
      </c>
      <c r="V2522">
        <v>2520</v>
      </c>
      <c r="W2522">
        <v>38</v>
      </c>
      <c r="X2522">
        <v>2.5609999999999999</v>
      </c>
      <c r="Y2522" s="32">
        <v>4.8499999999999996</v>
      </c>
      <c r="Z2522">
        <v>0</v>
      </c>
      <c r="AA2522" s="32">
        <v>1.6060000000000001</v>
      </c>
      <c r="AB2522">
        <v>0</v>
      </c>
      <c r="AC2522" s="34">
        <v>0.20399999999999999</v>
      </c>
      <c r="AD2522" s="32">
        <v>4.1130000000000004</v>
      </c>
    </row>
    <row r="2523" spans="1:30">
      <c r="A2523">
        <v>2521</v>
      </c>
      <c r="B2523">
        <v>41</v>
      </c>
      <c r="C2523">
        <v>2.5499999999999998</v>
      </c>
      <c r="D2523">
        <v>4.8499999999999996</v>
      </c>
      <c r="E2523">
        <v>0</v>
      </c>
      <c r="F2523">
        <v>1.74</v>
      </c>
      <c r="G2523">
        <v>0</v>
      </c>
      <c r="H2523">
        <v>0.20300000000000001</v>
      </c>
      <c r="I2523">
        <v>4.4379999999999997</v>
      </c>
      <c r="K2523">
        <v>2521</v>
      </c>
      <c r="L2523">
        <v>41</v>
      </c>
      <c r="M2523" s="32">
        <v>2.5499999999999998</v>
      </c>
      <c r="N2523" s="32">
        <v>4.8499999999999996</v>
      </c>
      <c r="P2523" s="32">
        <v>1.74</v>
      </c>
      <c r="R2523" s="47">
        <v>0.20399999999999999</v>
      </c>
      <c r="S2523" s="32">
        <v>4.4379999999999997</v>
      </c>
      <c r="T2523" s="31">
        <v>0</v>
      </c>
      <c r="V2523">
        <v>2521</v>
      </c>
      <c r="W2523">
        <v>38</v>
      </c>
      <c r="X2523">
        <v>2.5619999999999998</v>
      </c>
      <c r="Y2523" s="32">
        <v>4.8499999999999996</v>
      </c>
      <c r="Z2523">
        <v>0</v>
      </c>
      <c r="AA2523" s="32">
        <v>1.607</v>
      </c>
      <c r="AB2523">
        <v>0</v>
      </c>
      <c r="AC2523" s="34">
        <v>0.20399999999999999</v>
      </c>
      <c r="AD2523" s="32">
        <v>4.1159999999999997</v>
      </c>
    </row>
    <row r="2524" spans="1:30">
      <c r="A2524">
        <v>2522</v>
      </c>
      <c r="B2524">
        <v>41</v>
      </c>
      <c r="C2524">
        <v>2.5510000000000002</v>
      </c>
      <c r="D2524">
        <v>4.8499999999999996</v>
      </c>
      <c r="E2524">
        <v>0</v>
      </c>
      <c r="F2524">
        <v>1.74</v>
      </c>
      <c r="G2524">
        <v>0</v>
      </c>
      <c r="H2524">
        <v>0.20300000000000001</v>
      </c>
      <c r="I2524">
        <v>4.4640000000000004</v>
      </c>
      <c r="K2524">
        <v>2522</v>
      </c>
      <c r="L2524">
        <v>41</v>
      </c>
      <c r="M2524" s="32">
        <v>2.5510000000000002</v>
      </c>
      <c r="N2524" s="32">
        <v>4.8499999999999996</v>
      </c>
      <c r="P2524" s="32">
        <v>1.74</v>
      </c>
      <c r="R2524" s="47">
        <v>0.20399999999999999</v>
      </c>
      <c r="S2524" s="47">
        <v>4.4400000000000004</v>
      </c>
      <c r="T2524" s="31">
        <v>0</v>
      </c>
      <c r="V2524">
        <v>2522</v>
      </c>
      <c r="W2524">
        <v>38</v>
      </c>
      <c r="X2524">
        <v>2.5630000000000002</v>
      </c>
      <c r="Y2524" s="32">
        <v>4.8499999999999996</v>
      </c>
      <c r="Z2524">
        <v>0</v>
      </c>
      <c r="AA2524" s="32">
        <v>1.607</v>
      </c>
      <c r="AB2524">
        <v>0</v>
      </c>
      <c r="AC2524" s="34">
        <v>0.20399999999999999</v>
      </c>
      <c r="AD2524" s="32">
        <v>4.1180000000000003</v>
      </c>
    </row>
    <row r="2525" spans="1:30">
      <c r="A2525">
        <v>2523</v>
      </c>
      <c r="B2525">
        <v>41</v>
      </c>
      <c r="C2525">
        <v>2.552</v>
      </c>
      <c r="D2525">
        <v>4.8499999999999996</v>
      </c>
      <c r="E2525">
        <v>0</v>
      </c>
      <c r="F2525">
        <v>1.74</v>
      </c>
      <c r="G2525">
        <v>0</v>
      </c>
      <c r="H2525">
        <v>0.20300000000000001</v>
      </c>
      <c r="I2525">
        <v>4.4660000000000002</v>
      </c>
      <c r="K2525">
        <v>2523</v>
      </c>
      <c r="L2525">
        <v>41</v>
      </c>
      <c r="M2525" s="32">
        <v>2.552</v>
      </c>
      <c r="N2525" s="32">
        <v>4.8499999999999996</v>
      </c>
      <c r="P2525" s="47">
        <v>1.7410000000000001</v>
      </c>
      <c r="R2525" s="47">
        <v>0.20399999999999999</v>
      </c>
      <c r="S2525" s="47">
        <v>4.4429999999999996</v>
      </c>
      <c r="T2525" s="31">
        <v>0</v>
      </c>
      <c r="V2525">
        <v>2523</v>
      </c>
      <c r="W2525">
        <v>38</v>
      </c>
      <c r="X2525">
        <v>2.5640000000000001</v>
      </c>
      <c r="Y2525" s="32">
        <v>4.8499999999999996</v>
      </c>
      <c r="Z2525">
        <v>0</v>
      </c>
      <c r="AA2525" s="32">
        <v>1.607</v>
      </c>
      <c r="AB2525">
        <v>0</v>
      </c>
      <c r="AC2525" s="34">
        <v>0.20399999999999999</v>
      </c>
      <c r="AD2525" s="32">
        <v>4.12</v>
      </c>
    </row>
    <row r="2526" spans="1:30">
      <c r="A2526">
        <v>2524</v>
      </c>
      <c r="B2526">
        <v>41</v>
      </c>
      <c r="C2526">
        <v>2.5529999999999999</v>
      </c>
      <c r="D2526">
        <v>4.8499999999999996</v>
      </c>
      <c r="E2526">
        <v>0</v>
      </c>
      <c r="F2526">
        <v>1.74</v>
      </c>
      <c r="G2526">
        <v>0</v>
      </c>
      <c r="H2526">
        <v>0.20300000000000001</v>
      </c>
      <c r="I2526">
        <v>4.468</v>
      </c>
      <c r="K2526">
        <v>2524</v>
      </c>
      <c r="L2526">
        <v>41</v>
      </c>
      <c r="M2526" s="32">
        <v>2.5529999999999999</v>
      </c>
      <c r="N2526" s="32">
        <v>4.8499999999999996</v>
      </c>
      <c r="P2526" s="47">
        <v>1.7410000000000001</v>
      </c>
      <c r="R2526" s="47">
        <v>0.20399999999999999</v>
      </c>
      <c r="S2526" s="47">
        <v>4.4450000000000003</v>
      </c>
      <c r="T2526" s="31">
        <v>0</v>
      </c>
      <c r="V2526">
        <v>2524</v>
      </c>
      <c r="W2526">
        <v>38</v>
      </c>
      <c r="X2526">
        <v>2.5649999999999999</v>
      </c>
      <c r="Y2526" s="32">
        <v>4.8499999999999996</v>
      </c>
      <c r="Z2526">
        <v>0</v>
      </c>
      <c r="AA2526" s="32">
        <v>1.607</v>
      </c>
      <c r="AB2526">
        <v>0</v>
      </c>
      <c r="AC2526" s="34">
        <v>0.20399999999999999</v>
      </c>
      <c r="AD2526" s="32">
        <v>4.1219999999999999</v>
      </c>
    </row>
    <row r="2527" spans="1:30">
      <c r="A2527">
        <v>2525</v>
      </c>
      <c r="B2527">
        <v>41</v>
      </c>
      <c r="C2527">
        <v>2.5539999999999998</v>
      </c>
      <c r="D2527">
        <v>4.8499999999999996</v>
      </c>
      <c r="E2527">
        <v>0</v>
      </c>
      <c r="F2527">
        <v>1.74</v>
      </c>
      <c r="G2527">
        <v>0</v>
      </c>
      <c r="H2527">
        <v>0.20300000000000001</v>
      </c>
      <c r="I2527">
        <v>4.4710000000000001</v>
      </c>
      <c r="K2527">
        <v>2525</v>
      </c>
      <c r="L2527">
        <v>41</v>
      </c>
      <c r="M2527" s="32">
        <v>2.5539999999999998</v>
      </c>
      <c r="N2527" s="32">
        <v>4.8499999999999996</v>
      </c>
      <c r="P2527" s="47">
        <v>1.7410000000000001</v>
      </c>
      <c r="R2527" s="47">
        <v>0.20399999999999999</v>
      </c>
      <c r="S2527" s="47">
        <v>4.4480000000000004</v>
      </c>
      <c r="T2527" s="31">
        <v>0</v>
      </c>
      <c r="V2527">
        <v>2525</v>
      </c>
      <c r="W2527">
        <v>38</v>
      </c>
      <c r="X2527">
        <v>2.5659999999999998</v>
      </c>
      <c r="Y2527" s="32">
        <v>4.8499999999999996</v>
      </c>
      <c r="Z2527">
        <v>0</v>
      </c>
      <c r="AA2527" s="32">
        <v>1.6080000000000001</v>
      </c>
      <c r="AB2527">
        <v>0</v>
      </c>
      <c r="AC2527" s="34">
        <v>0.20499999999999999</v>
      </c>
      <c r="AD2527" s="32">
        <v>4.1239999999999997</v>
      </c>
    </row>
    <row r="2528" spans="1:30">
      <c r="A2528">
        <v>2526</v>
      </c>
      <c r="B2528">
        <v>41</v>
      </c>
      <c r="C2528">
        <v>2.5550000000000002</v>
      </c>
      <c r="D2528">
        <v>4.8499999999999996</v>
      </c>
      <c r="E2528">
        <v>0</v>
      </c>
      <c r="F2528">
        <v>1.74</v>
      </c>
      <c r="G2528">
        <v>0</v>
      </c>
      <c r="H2528">
        <v>0.20300000000000001</v>
      </c>
      <c r="I2528">
        <v>4.4729999999999999</v>
      </c>
      <c r="K2528">
        <v>2526</v>
      </c>
      <c r="L2528">
        <v>41</v>
      </c>
      <c r="M2528" s="32">
        <v>2.5550000000000002</v>
      </c>
      <c r="N2528" s="32">
        <v>4.8499999999999996</v>
      </c>
      <c r="P2528" s="47">
        <v>1.742</v>
      </c>
      <c r="R2528" s="47">
        <v>0.20399999999999999</v>
      </c>
      <c r="S2528" s="47">
        <v>4.45</v>
      </c>
      <c r="T2528" s="31">
        <v>0</v>
      </c>
      <c r="V2528">
        <v>2526</v>
      </c>
      <c r="W2528">
        <v>38</v>
      </c>
      <c r="X2528">
        <v>2.5670000000000002</v>
      </c>
      <c r="Y2528" s="32">
        <v>4.8499999999999996</v>
      </c>
      <c r="Z2528">
        <v>0</v>
      </c>
      <c r="AA2528" s="32">
        <v>1.6080000000000001</v>
      </c>
      <c r="AB2528">
        <v>0</v>
      </c>
      <c r="AC2528" s="34">
        <v>0.20499999999999999</v>
      </c>
      <c r="AD2528" s="32">
        <v>4.1260000000000003</v>
      </c>
    </row>
    <row r="2529" spans="1:30">
      <c r="A2529">
        <v>2527</v>
      </c>
      <c r="B2529">
        <v>41</v>
      </c>
      <c r="C2529">
        <v>2.556</v>
      </c>
      <c r="D2529">
        <v>4.8499999999999996</v>
      </c>
      <c r="E2529">
        <v>0</v>
      </c>
      <c r="F2529">
        <v>1.74</v>
      </c>
      <c r="G2529">
        <v>0</v>
      </c>
      <c r="H2529">
        <v>0.20300000000000001</v>
      </c>
      <c r="I2529">
        <v>4.4749999999999996</v>
      </c>
      <c r="K2529">
        <v>2527</v>
      </c>
      <c r="L2529">
        <v>41</v>
      </c>
      <c r="M2529" s="32">
        <v>2.556</v>
      </c>
      <c r="N2529" s="32">
        <v>4.8499999999999996</v>
      </c>
      <c r="P2529" s="47">
        <v>1.742</v>
      </c>
      <c r="R2529" s="47">
        <v>0.20399999999999999</v>
      </c>
      <c r="S2529" s="47">
        <v>4.452</v>
      </c>
      <c r="T2529" s="31">
        <v>0</v>
      </c>
      <c r="V2529">
        <v>2527</v>
      </c>
      <c r="W2529">
        <v>38</v>
      </c>
      <c r="X2529">
        <v>2.5680000000000001</v>
      </c>
      <c r="Y2529" s="32">
        <v>4.8499999999999996</v>
      </c>
      <c r="Z2529">
        <v>0</v>
      </c>
      <c r="AA2529" s="32">
        <v>1.6080000000000001</v>
      </c>
      <c r="AB2529">
        <v>0</v>
      </c>
      <c r="AC2529" s="34">
        <v>0.20499999999999999</v>
      </c>
      <c r="AD2529" s="32">
        <v>4.1289999999999996</v>
      </c>
    </row>
    <row r="2530" spans="1:30">
      <c r="A2530">
        <v>2528</v>
      </c>
      <c r="B2530">
        <v>41</v>
      </c>
      <c r="C2530">
        <v>2.5569999999999999</v>
      </c>
      <c r="D2530">
        <v>4.8499999999999996</v>
      </c>
      <c r="E2530">
        <v>0</v>
      </c>
      <c r="F2530">
        <v>1.74</v>
      </c>
      <c r="G2530">
        <v>0</v>
      </c>
      <c r="H2530">
        <v>0.20300000000000001</v>
      </c>
      <c r="I2530">
        <v>4.4770000000000003</v>
      </c>
      <c r="K2530">
        <v>2528</v>
      </c>
      <c r="L2530">
        <v>41</v>
      </c>
      <c r="M2530" s="32">
        <v>2.5569999999999999</v>
      </c>
      <c r="N2530" s="32">
        <v>4.8499999999999996</v>
      </c>
      <c r="P2530" s="47">
        <v>1.742</v>
      </c>
      <c r="R2530" s="47">
        <v>0.20399999999999999</v>
      </c>
      <c r="S2530" s="47">
        <v>4.4550000000000001</v>
      </c>
      <c r="T2530" s="31">
        <v>0</v>
      </c>
      <c r="V2530">
        <v>2528</v>
      </c>
      <c r="W2530">
        <v>38</v>
      </c>
      <c r="X2530">
        <v>2.569</v>
      </c>
      <c r="Y2530" s="32">
        <v>4.8499999999999996</v>
      </c>
      <c r="Z2530">
        <v>0</v>
      </c>
      <c r="AA2530" s="32">
        <v>1.6080000000000001</v>
      </c>
      <c r="AB2530">
        <v>0</v>
      </c>
      <c r="AC2530" s="34">
        <v>0.20499999999999999</v>
      </c>
      <c r="AD2530" s="32">
        <v>4.1310000000000002</v>
      </c>
    </row>
    <row r="2531" spans="1:30">
      <c r="A2531">
        <v>2529</v>
      </c>
      <c r="B2531">
        <v>41</v>
      </c>
      <c r="C2531">
        <v>2.5579999999999998</v>
      </c>
      <c r="D2531">
        <v>4.8499999999999996</v>
      </c>
      <c r="E2531">
        <v>0</v>
      </c>
      <c r="F2531">
        <v>1.74</v>
      </c>
      <c r="G2531">
        <v>0</v>
      </c>
      <c r="H2531">
        <v>0.20300000000000001</v>
      </c>
      <c r="I2531">
        <v>4.4800000000000004</v>
      </c>
      <c r="K2531">
        <v>2529</v>
      </c>
      <c r="L2531">
        <v>41</v>
      </c>
      <c r="M2531" s="32">
        <v>2.5579999999999998</v>
      </c>
      <c r="N2531" s="32">
        <v>4.8499999999999996</v>
      </c>
      <c r="P2531" s="47">
        <v>1.742</v>
      </c>
      <c r="R2531" s="47">
        <v>0.20399999999999999</v>
      </c>
      <c r="S2531" s="47">
        <v>4.4569999999999999</v>
      </c>
      <c r="T2531" s="31">
        <v>0</v>
      </c>
      <c r="V2531">
        <v>2529</v>
      </c>
      <c r="W2531">
        <v>38</v>
      </c>
      <c r="X2531">
        <v>2.57</v>
      </c>
      <c r="Y2531" s="32">
        <v>4.8499999999999996</v>
      </c>
      <c r="Z2531">
        <v>0</v>
      </c>
      <c r="AA2531" s="32">
        <v>1.6080000000000001</v>
      </c>
      <c r="AB2531">
        <v>0</v>
      </c>
      <c r="AC2531" s="34">
        <v>0.20499999999999999</v>
      </c>
      <c r="AD2531" s="32">
        <v>4.133</v>
      </c>
    </row>
    <row r="2532" spans="1:30">
      <c r="A2532">
        <v>2530</v>
      </c>
      <c r="B2532">
        <v>41</v>
      </c>
      <c r="C2532">
        <v>2.5590000000000002</v>
      </c>
      <c r="D2532">
        <v>4.8499999999999996</v>
      </c>
      <c r="E2532">
        <v>0</v>
      </c>
      <c r="F2532">
        <v>1.74</v>
      </c>
      <c r="G2532">
        <v>0</v>
      </c>
      <c r="H2532">
        <v>0.20300000000000001</v>
      </c>
      <c r="I2532">
        <v>4.4820000000000002</v>
      </c>
      <c r="K2532">
        <v>2530</v>
      </c>
      <c r="L2532">
        <v>41</v>
      </c>
      <c r="M2532" s="32">
        <v>2.5590000000000002</v>
      </c>
      <c r="N2532" s="32">
        <v>4.8499999999999996</v>
      </c>
      <c r="P2532" s="47">
        <v>1.7430000000000001</v>
      </c>
      <c r="R2532" s="47">
        <v>0.20399999999999999</v>
      </c>
      <c r="S2532" s="47">
        <v>4.46</v>
      </c>
      <c r="T2532" s="31">
        <v>0</v>
      </c>
      <c r="V2532">
        <v>2530</v>
      </c>
      <c r="W2532">
        <v>38</v>
      </c>
      <c r="X2532">
        <v>2.5710000000000002</v>
      </c>
      <c r="Y2532" s="32">
        <v>4.8499999999999996</v>
      </c>
      <c r="Z2532">
        <v>0</v>
      </c>
      <c r="AA2532" s="32">
        <v>1.609</v>
      </c>
      <c r="AB2532">
        <v>0</v>
      </c>
      <c r="AC2532" s="34">
        <v>0.20499999999999999</v>
      </c>
      <c r="AD2532" s="32">
        <v>4.1349999999999998</v>
      </c>
    </row>
    <row r="2533" spans="1:30">
      <c r="A2533">
        <v>2531</v>
      </c>
      <c r="B2533">
        <v>41</v>
      </c>
      <c r="C2533">
        <v>2.56</v>
      </c>
      <c r="D2533">
        <v>4.8499999999999996</v>
      </c>
      <c r="E2533">
        <v>0</v>
      </c>
      <c r="F2533">
        <v>1.7430000000000001</v>
      </c>
      <c r="G2533">
        <v>0</v>
      </c>
      <c r="H2533">
        <v>0.20300000000000001</v>
      </c>
      <c r="I2533">
        <v>4.4619999999999997</v>
      </c>
      <c r="K2533">
        <v>2531</v>
      </c>
      <c r="L2533">
        <v>41</v>
      </c>
      <c r="M2533" s="32">
        <v>2.56</v>
      </c>
      <c r="N2533" s="32">
        <v>4.8499999999999996</v>
      </c>
      <c r="P2533" s="32">
        <v>1.7430000000000001</v>
      </c>
      <c r="R2533" s="47">
        <v>0.20399999999999999</v>
      </c>
      <c r="S2533" s="32">
        <v>4.4619999999999997</v>
      </c>
      <c r="T2533" s="31">
        <v>0</v>
      </c>
      <c r="V2533">
        <v>2531</v>
      </c>
      <c r="W2533">
        <v>38</v>
      </c>
      <c r="X2533">
        <v>2.5720000000000001</v>
      </c>
      <c r="Y2533" s="32">
        <v>4.8499999999999996</v>
      </c>
      <c r="Z2533">
        <v>0</v>
      </c>
      <c r="AA2533" s="32">
        <v>1.609</v>
      </c>
      <c r="AB2533">
        <v>0</v>
      </c>
      <c r="AC2533" s="34">
        <v>0.20499999999999999</v>
      </c>
      <c r="AD2533" s="32">
        <v>4.1369999999999996</v>
      </c>
    </row>
    <row r="2534" spans="1:30">
      <c r="A2534">
        <v>2532</v>
      </c>
      <c r="B2534">
        <v>41</v>
      </c>
      <c r="C2534">
        <v>2.5609999999999999</v>
      </c>
      <c r="D2534">
        <v>4.8499999999999996</v>
      </c>
      <c r="E2534">
        <v>0</v>
      </c>
      <c r="F2534">
        <v>1.7430000000000001</v>
      </c>
      <c r="G2534">
        <v>0</v>
      </c>
      <c r="H2534">
        <v>0.20300000000000001</v>
      </c>
      <c r="I2534">
        <v>4.5110000000000001</v>
      </c>
      <c r="K2534">
        <v>2532</v>
      </c>
      <c r="L2534">
        <v>41</v>
      </c>
      <c r="M2534" s="32">
        <v>2.5609999999999999</v>
      </c>
      <c r="N2534" s="32">
        <v>4.8499999999999996</v>
      </c>
      <c r="P2534" s="32">
        <v>1.7430000000000001</v>
      </c>
      <c r="R2534" s="47">
        <v>0.20399999999999999</v>
      </c>
      <c r="S2534" s="47">
        <v>4.4640000000000004</v>
      </c>
      <c r="T2534" s="31">
        <v>0</v>
      </c>
      <c r="V2534">
        <v>2532</v>
      </c>
      <c r="W2534">
        <v>38</v>
      </c>
      <c r="X2534">
        <v>2.573</v>
      </c>
      <c r="Y2534" s="32">
        <v>4.8499999999999996</v>
      </c>
      <c r="Z2534">
        <v>0</v>
      </c>
      <c r="AA2534" s="32">
        <v>1.609</v>
      </c>
      <c r="AB2534">
        <v>0</v>
      </c>
      <c r="AC2534" s="34">
        <v>0.20499999999999999</v>
      </c>
      <c r="AD2534" s="32">
        <v>4.1390000000000002</v>
      </c>
    </row>
    <row r="2535" spans="1:30">
      <c r="A2535">
        <v>2533</v>
      </c>
      <c r="B2535">
        <v>41</v>
      </c>
      <c r="C2535">
        <v>2.5619999999999998</v>
      </c>
      <c r="D2535">
        <v>4.8499999999999996</v>
      </c>
      <c r="E2535">
        <v>0</v>
      </c>
      <c r="F2535">
        <v>1.7430000000000001</v>
      </c>
      <c r="G2535">
        <v>0</v>
      </c>
      <c r="H2535">
        <v>0.20300000000000001</v>
      </c>
      <c r="I2535">
        <v>4.5129999999999999</v>
      </c>
      <c r="K2535">
        <v>2533</v>
      </c>
      <c r="L2535">
        <v>41</v>
      </c>
      <c r="M2535" s="32">
        <v>2.5619999999999998</v>
      </c>
      <c r="N2535" s="32">
        <v>4.8499999999999996</v>
      </c>
      <c r="P2535" s="32">
        <v>1.7430000000000001</v>
      </c>
      <c r="R2535" s="47">
        <v>0.20399999999999999</v>
      </c>
      <c r="S2535" s="47">
        <v>4.4669999999999996</v>
      </c>
      <c r="T2535" s="31">
        <v>0</v>
      </c>
      <c r="V2535">
        <v>2533</v>
      </c>
      <c r="W2535">
        <v>38</v>
      </c>
      <c r="X2535">
        <v>2.5739999999999998</v>
      </c>
      <c r="Y2535" s="32">
        <v>4.8499999999999996</v>
      </c>
      <c r="Z2535">
        <v>0</v>
      </c>
      <c r="AA2535" s="32">
        <v>1.609</v>
      </c>
      <c r="AB2535">
        <v>0</v>
      </c>
      <c r="AC2535" s="34">
        <v>0.20499999999999999</v>
      </c>
      <c r="AD2535" s="32">
        <v>4.1420000000000003</v>
      </c>
    </row>
    <row r="2536" spans="1:30">
      <c r="A2536">
        <v>2534</v>
      </c>
      <c r="B2536">
        <v>41</v>
      </c>
      <c r="C2536">
        <v>2.5630000000000002</v>
      </c>
      <c r="D2536">
        <v>4.8499999999999996</v>
      </c>
      <c r="E2536">
        <v>0</v>
      </c>
      <c r="F2536">
        <v>1.7430000000000001</v>
      </c>
      <c r="G2536">
        <v>0</v>
      </c>
      <c r="H2536">
        <v>0.20300000000000001</v>
      </c>
      <c r="I2536">
        <v>4.5149999999999997</v>
      </c>
      <c r="K2536">
        <v>2534</v>
      </c>
      <c r="L2536">
        <v>41</v>
      </c>
      <c r="M2536" s="32">
        <v>2.5630000000000002</v>
      </c>
      <c r="N2536" s="32">
        <v>4.8499999999999996</v>
      </c>
      <c r="P2536" s="47">
        <v>1.744</v>
      </c>
      <c r="R2536" s="47">
        <v>0.20499999999999999</v>
      </c>
      <c r="S2536" s="47">
        <v>4.4690000000000003</v>
      </c>
      <c r="T2536" s="31">
        <v>0</v>
      </c>
      <c r="V2536">
        <v>2534</v>
      </c>
      <c r="W2536">
        <v>38</v>
      </c>
      <c r="X2536">
        <v>2.5750000000000002</v>
      </c>
      <c r="Y2536" s="32">
        <v>4.8499999999999996</v>
      </c>
      <c r="Z2536">
        <v>0</v>
      </c>
      <c r="AA2536" s="32">
        <v>1.61</v>
      </c>
      <c r="AB2536">
        <v>0</v>
      </c>
      <c r="AC2536" s="34">
        <v>0.20499999999999999</v>
      </c>
      <c r="AD2536" s="32">
        <v>4.1440000000000001</v>
      </c>
    </row>
    <row r="2537" spans="1:30">
      <c r="A2537">
        <v>2535</v>
      </c>
      <c r="B2537">
        <v>41</v>
      </c>
      <c r="C2537">
        <v>2.5640000000000001</v>
      </c>
      <c r="D2537">
        <v>4.8499999999999996</v>
      </c>
      <c r="E2537">
        <v>0</v>
      </c>
      <c r="F2537">
        <v>1.7430000000000001</v>
      </c>
      <c r="G2537">
        <v>0</v>
      </c>
      <c r="H2537">
        <v>0.20300000000000001</v>
      </c>
      <c r="I2537">
        <v>4.5179999999999998</v>
      </c>
      <c r="K2537">
        <v>2535</v>
      </c>
      <c r="L2537">
        <v>41</v>
      </c>
      <c r="M2537" s="32">
        <v>2.5640000000000001</v>
      </c>
      <c r="N2537" s="32">
        <v>4.8499999999999996</v>
      </c>
      <c r="P2537" s="47">
        <v>1.744</v>
      </c>
      <c r="R2537" s="47">
        <v>0.20499999999999999</v>
      </c>
      <c r="S2537" s="47">
        <v>4.4710000000000001</v>
      </c>
      <c r="T2537" s="31">
        <v>0</v>
      </c>
      <c r="V2537">
        <v>2535</v>
      </c>
      <c r="W2537">
        <v>38</v>
      </c>
      <c r="X2537">
        <v>2.5760000000000001</v>
      </c>
      <c r="Y2537" s="32">
        <v>4.8499999999999996</v>
      </c>
      <c r="Z2537">
        <v>0</v>
      </c>
      <c r="AA2537" s="32">
        <v>1.61</v>
      </c>
      <c r="AB2537">
        <v>0</v>
      </c>
      <c r="AC2537" s="34">
        <v>0.20499999999999999</v>
      </c>
      <c r="AD2537" s="32">
        <v>4.1459999999999999</v>
      </c>
    </row>
    <row r="2538" spans="1:30">
      <c r="A2538">
        <v>2536</v>
      </c>
      <c r="B2538">
        <v>41</v>
      </c>
      <c r="C2538">
        <v>2.5649999999999999</v>
      </c>
      <c r="D2538">
        <v>4.8499999999999996</v>
      </c>
      <c r="E2538">
        <v>0</v>
      </c>
      <c r="F2538">
        <v>1.7430000000000001</v>
      </c>
      <c r="G2538">
        <v>0</v>
      </c>
      <c r="H2538">
        <v>0.20300000000000001</v>
      </c>
      <c r="I2538">
        <v>4.5199999999999996</v>
      </c>
      <c r="K2538">
        <v>2536</v>
      </c>
      <c r="L2538">
        <v>41</v>
      </c>
      <c r="M2538" s="32">
        <v>2.5649999999999999</v>
      </c>
      <c r="N2538" s="32">
        <v>4.8499999999999996</v>
      </c>
      <c r="P2538" s="47">
        <v>1.744</v>
      </c>
      <c r="R2538" s="47">
        <v>0.20499999999999999</v>
      </c>
      <c r="S2538" s="47">
        <v>4.4740000000000002</v>
      </c>
      <c r="T2538" s="31">
        <v>0</v>
      </c>
      <c r="V2538">
        <v>2536</v>
      </c>
      <c r="W2538">
        <v>39</v>
      </c>
      <c r="X2538">
        <v>2.577</v>
      </c>
      <c r="Y2538" s="32">
        <v>4.8499999999999996</v>
      </c>
      <c r="Z2538">
        <v>0</v>
      </c>
      <c r="AA2538" s="32">
        <v>1.61</v>
      </c>
      <c r="AB2538">
        <v>0</v>
      </c>
      <c r="AC2538" s="34">
        <v>0.20499999999999999</v>
      </c>
      <c r="AD2538" s="32">
        <v>4.1479999999999997</v>
      </c>
    </row>
    <row r="2539" spans="1:30">
      <c r="A2539">
        <v>2537</v>
      </c>
      <c r="B2539">
        <v>41</v>
      </c>
      <c r="C2539">
        <v>2.5659999999999998</v>
      </c>
      <c r="D2539">
        <v>4.8499999999999996</v>
      </c>
      <c r="E2539">
        <v>0</v>
      </c>
      <c r="F2539">
        <v>1.7430000000000001</v>
      </c>
      <c r="G2539">
        <v>0</v>
      </c>
      <c r="H2539">
        <v>0.20300000000000001</v>
      </c>
      <c r="I2539">
        <v>4.5220000000000002</v>
      </c>
      <c r="K2539">
        <v>2537</v>
      </c>
      <c r="L2539">
        <v>41</v>
      </c>
      <c r="M2539" s="32">
        <v>2.5659999999999998</v>
      </c>
      <c r="N2539" s="32">
        <v>4.8499999999999996</v>
      </c>
      <c r="P2539" s="47">
        <v>1.744</v>
      </c>
      <c r="R2539" s="47">
        <v>0.20499999999999999</v>
      </c>
      <c r="S2539" s="47">
        <v>4.476</v>
      </c>
      <c r="T2539" s="31">
        <v>0</v>
      </c>
      <c r="V2539">
        <v>2537</v>
      </c>
      <c r="W2539">
        <v>39</v>
      </c>
      <c r="X2539">
        <v>2.5779999999999998</v>
      </c>
      <c r="Y2539" s="32">
        <v>4.8499999999999996</v>
      </c>
      <c r="Z2539">
        <v>0</v>
      </c>
      <c r="AA2539" s="32">
        <v>1.61</v>
      </c>
      <c r="AB2539">
        <v>0</v>
      </c>
      <c r="AC2539" s="34">
        <v>0.20499999999999999</v>
      </c>
      <c r="AD2539" s="32">
        <v>4.1500000000000004</v>
      </c>
    </row>
    <row r="2540" spans="1:30">
      <c r="A2540">
        <v>2538</v>
      </c>
      <c r="B2540">
        <v>41</v>
      </c>
      <c r="C2540">
        <v>2.5670000000000002</v>
      </c>
      <c r="D2540">
        <v>4.8499999999999996</v>
      </c>
      <c r="E2540">
        <v>0</v>
      </c>
      <c r="F2540">
        <v>1.7430000000000001</v>
      </c>
      <c r="G2540">
        <v>0</v>
      </c>
      <c r="H2540">
        <v>0.20300000000000001</v>
      </c>
      <c r="I2540">
        <v>4.5250000000000004</v>
      </c>
      <c r="K2540">
        <v>2538</v>
      </c>
      <c r="L2540">
        <v>41</v>
      </c>
      <c r="M2540" s="32">
        <v>2.5670000000000002</v>
      </c>
      <c r="N2540" s="32">
        <v>4.8499999999999996</v>
      </c>
      <c r="P2540" s="47">
        <v>1.744</v>
      </c>
      <c r="R2540" s="47">
        <v>0.20499999999999999</v>
      </c>
      <c r="S2540" s="47">
        <v>4.4779999999999998</v>
      </c>
      <c r="T2540" s="31">
        <v>0</v>
      </c>
      <c r="V2540">
        <v>2538</v>
      </c>
      <c r="W2540">
        <v>39</v>
      </c>
      <c r="X2540">
        <v>2.5790000000000002</v>
      </c>
      <c r="Y2540" s="32">
        <v>4.8499999999999996</v>
      </c>
      <c r="Z2540">
        <v>0</v>
      </c>
      <c r="AA2540" s="32">
        <v>1.61</v>
      </c>
      <c r="AB2540">
        <v>0</v>
      </c>
      <c r="AC2540" s="34">
        <v>0.20499999999999999</v>
      </c>
      <c r="AD2540" s="32">
        <v>4.1520000000000001</v>
      </c>
    </row>
    <row r="2541" spans="1:30">
      <c r="A2541">
        <v>2539</v>
      </c>
      <c r="B2541">
        <v>41</v>
      </c>
      <c r="C2541">
        <v>2.5680000000000001</v>
      </c>
      <c r="D2541">
        <v>4.8499999999999996</v>
      </c>
      <c r="E2541">
        <v>0</v>
      </c>
      <c r="F2541">
        <v>1.7430000000000001</v>
      </c>
      <c r="G2541">
        <v>0</v>
      </c>
      <c r="H2541">
        <v>0.20300000000000001</v>
      </c>
      <c r="I2541">
        <v>4.5270000000000001</v>
      </c>
      <c r="K2541">
        <v>2539</v>
      </c>
      <c r="L2541">
        <v>41</v>
      </c>
      <c r="M2541" s="32">
        <v>2.5680000000000001</v>
      </c>
      <c r="N2541" s="32">
        <v>4.8499999999999996</v>
      </c>
      <c r="P2541" s="47">
        <v>1.7450000000000001</v>
      </c>
      <c r="R2541" s="47">
        <v>0.20499999999999999</v>
      </c>
      <c r="S2541" s="47">
        <v>4.4800000000000004</v>
      </c>
      <c r="T2541" s="31">
        <v>0</v>
      </c>
      <c r="V2541">
        <v>2539</v>
      </c>
      <c r="W2541">
        <v>39</v>
      </c>
      <c r="X2541">
        <v>2.58</v>
      </c>
      <c r="Y2541" s="32">
        <v>4.8499999999999996</v>
      </c>
      <c r="Z2541">
        <v>0</v>
      </c>
      <c r="AA2541" s="32">
        <v>1.611</v>
      </c>
      <c r="AB2541">
        <v>0</v>
      </c>
      <c r="AC2541" s="34">
        <v>0.20499999999999999</v>
      </c>
      <c r="AD2541" s="32">
        <v>4.1550000000000002</v>
      </c>
    </row>
    <row r="2542" spans="1:30">
      <c r="A2542">
        <v>2540</v>
      </c>
      <c r="B2542">
        <v>41</v>
      </c>
      <c r="C2542">
        <v>2.569</v>
      </c>
      <c r="D2542">
        <v>4.8499999999999996</v>
      </c>
      <c r="E2542">
        <v>0</v>
      </c>
      <c r="F2542">
        <v>1.7430000000000001</v>
      </c>
      <c r="G2542">
        <v>0</v>
      </c>
      <c r="H2542">
        <v>0.20300000000000001</v>
      </c>
      <c r="I2542">
        <v>4.5289999999999999</v>
      </c>
      <c r="K2542">
        <v>2540</v>
      </c>
      <c r="L2542">
        <v>41</v>
      </c>
      <c r="M2542" s="32">
        <v>2.569</v>
      </c>
      <c r="N2542" s="32">
        <v>4.8499999999999996</v>
      </c>
      <c r="P2542" s="47">
        <v>1.7450000000000001</v>
      </c>
      <c r="R2542" s="47">
        <v>0.20499999999999999</v>
      </c>
      <c r="S2542" s="47">
        <v>4.4829999999999997</v>
      </c>
      <c r="T2542" s="31">
        <v>0</v>
      </c>
      <c r="V2542">
        <v>2540</v>
      </c>
      <c r="W2542">
        <v>39</v>
      </c>
      <c r="X2542">
        <v>2.581</v>
      </c>
      <c r="Y2542" s="32">
        <v>4.8499999999999996</v>
      </c>
      <c r="Z2542">
        <v>0</v>
      </c>
      <c r="AA2542" s="32">
        <v>1.611</v>
      </c>
      <c r="AB2542">
        <v>0</v>
      </c>
      <c r="AC2542" s="34">
        <v>0.20499999999999999</v>
      </c>
      <c r="AD2542" s="32">
        <v>4.157</v>
      </c>
    </row>
    <row r="2543" spans="1:30">
      <c r="A2543">
        <v>2541</v>
      </c>
      <c r="B2543">
        <v>41</v>
      </c>
      <c r="C2543">
        <v>2.57</v>
      </c>
      <c r="D2543">
        <v>4.8499999999999996</v>
      </c>
      <c r="E2543">
        <v>0</v>
      </c>
      <c r="F2543">
        <v>1.7450000000000001</v>
      </c>
      <c r="G2543">
        <v>0</v>
      </c>
      <c r="H2543">
        <v>0.20300000000000001</v>
      </c>
      <c r="I2543">
        <v>4.4850000000000003</v>
      </c>
      <c r="K2543">
        <v>2541</v>
      </c>
      <c r="L2543">
        <v>41</v>
      </c>
      <c r="M2543" s="32">
        <v>2.57</v>
      </c>
      <c r="N2543" s="32">
        <v>4.8499999999999996</v>
      </c>
      <c r="P2543" s="32">
        <v>1.7450000000000001</v>
      </c>
      <c r="R2543" s="47">
        <v>0.20499999999999999</v>
      </c>
      <c r="S2543" s="32">
        <v>4.4850000000000003</v>
      </c>
      <c r="T2543" s="31">
        <v>0</v>
      </c>
      <c r="V2543">
        <v>2541</v>
      </c>
      <c r="W2543">
        <v>39</v>
      </c>
      <c r="X2543">
        <v>2.5819999999999999</v>
      </c>
      <c r="Y2543" s="32">
        <v>4.8499999999999996</v>
      </c>
      <c r="Z2543">
        <v>0</v>
      </c>
      <c r="AA2543" s="32">
        <v>1.611</v>
      </c>
      <c r="AB2543">
        <v>0</v>
      </c>
      <c r="AC2543" s="34">
        <v>0.20499999999999999</v>
      </c>
      <c r="AD2543" s="32">
        <v>4.1589999999999998</v>
      </c>
    </row>
    <row r="2544" spans="1:30">
      <c r="A2544">
        <v>2542</v>
      </c>
      <c r="B2544">
        <v>41</v>
      </c>
      <c r="C2544">
        <v>2.5710000000000002</v>
      </c>
      <c r="D2544">
        <v>4.8499999999999996</v>
      </c>
      <c r="E2544">
        <v>0</v>
      </c>
      <c r="F2544">
        <v>1.7450000000000001</v>
      </c>
      <c r="G2544">
        <v>0</v>
      </c>
      <c r="H2544">
        <v>0.20300000000000001</v>
      </c>
      <c r="I2544">
        <v>4.5570000000000004</v>
      </c>
      <c r="K2544">
        <v>2542</v>
      </c>
      <c r="L2544">
        <v>41</v>
      </c>
      <c r="M2544" s="32">
        <v>2.5710000000000002</v>
      </c>
      <c r="N2544" s="32">
        <v>4.8499999999999996</v>
      </c>
      <c r="P2544" s="32">
        <v>1.7450000000000001</v>
      </c>
      <c r="R2544" s="47">
        <v>0.20499999999999999</v>
      </c>
      <c r="S2544" s="47">
        <v>4.4870000000000001</v>
      </c>
      <c r="T2544" s="31">
        <v>0</v>
      </c>
      <c r="V2544">
        <v>2542</v>
      </c>
      <c r="W2544">
        <v>39</v>
      </c>
      <c r="X2544">
        <v>2.5830000000000002</v>
      </c>
      <c r="Y2544" s="32">
        <v>4.8499999999999996</v>
      </c>
      <c r="Z2544">
        <v>0</v>
      </c>
      <c r="AA2544" s="32">
        <v>1.611</v>
      </c>
      <c r="AB2544">
        <v>0</v>
      </c>
      <c r="AC2544" s="34">
        <v>0.20499999999999999</v>
      </c>
      <c r="AD2544" s="32">
        <v>4.1609999999999996</v>
      </c>
    </row>
    <row r="2545" spans="1:30">
      <c r="A2545">
        <v>2543</v>
      </c>
      <c r="B2545">
        <v>41</v>
      </c>
      <c r="C2545">
        <v>2.5720000000000001</v>
      </c>
      <c r="D2545">
        <v>4.8499999999999996</v>
      </c>
      <c r="E2545">
        <v>0</v>
      </c>
      <c r="F2545">
        <v>1.7450000000000001</v>
      </c>
      <c r="G2545">
        <v>0</v>
      </c>
      <c r="H2545">
        <v>0.20300000000000001</v>
      </c>
      <c r="I2545">
        <v>4.5590000000000002</v>
      </c>
      <c r="K2545">
        <v>2543</v>
      </c>
      <c r="L2545">
        <v>41</v>
      </c>
      <c r="M2545" s="32">
        <v>2.5720000000000001</v>
      </c>
      <c r="N2545" s="32">
        <v>4.8499999999999996</v>
      </c>
      <c r="P2545" s="47">
        <v>1.746</v>
      </c>
      <c r="R2545" s="47">
        <v>0.20499999999999999</v>
      </c>
      <c r="S2545" s="47">
        <v>4.49</v>
      </c>
      <c r="T2545" s="31">
        <v>0</v>
      </c>
      <c r="V2545">
        <v>2543</v>
      </c>
      <c r="W2545">
        <v>39</v>
      </c>
      <c r="X2545">
        <v>2.5840000000000001</v>
      </c>
      <c r="Y2545" s="32">
        <v>4.8499999999999996</v>
      </c>
      <c r="Z2545">
        <v>0</v>
      </c>
      <c r="AA2545" s="32">
        <v>1.6120000000000001</v>
      </c>
      <c r="AB2545">
        <v>0</v>
      </c>
      <c r="AC2545" s="34">
        <v>0.20499999999999999</v>
      </c>
      <c r="AD2545" s="32">
        <v>4.1639999999999997</v>
      </c>
    </row>
    <row r="2546" spans="1:30">
      <c r="A2546">
        <v>2544</v>
      </c>
      <c r="B2546">
        <v>41</v>
      </c>
      <c r="C2546">
        <v>2.573</v>
      </c>
      <c r="D2546">
        <v>4.8499999999999996</v>
      </c>
      <c r="E2546">
        <v>0</v>
      </c>
      <c r="F2546">
        <v>1.7450000000000001</v>
      </c>
      <c r="G2546">
        <v>0</v>
      </c>
      <c r="H2546">
        <v>0.20300000000000001</v>
      </c>
      <c r="I2546">
        <v>4.5620000000000003</v>
      </c>
      <c r="K2546">
        <v>2544</v>
      </c>
      <c r="L2546">
        <v>41</v>
      </c>
      <c r="M2546" s="32">
        <v>2.573</v>
      </c>
      <c r="N2546" s="32">
        <v>4.8499999999999996</v>
      </c>
      <c r="P2546" s="47">
        <v>1.746</v>
      </c>
      <c r="R2546" s="47">
        <v>0.20499999999999999</v>
      </c>
      <c r="S2546" s="47">
        <v>4.492</v>
      </c>
      <c r="T2546" s="31">
        <v>0</v>
      </c>
      <c r="V2546">
        <v>2544</v>
      </c>
      <c r="W2546">
        <v>39</v>
      </c>
      <c r="X2546">
        <v>2.585</v>
      </c>
      <c r="Y2546" s="32">
        <v>4.8499999999999996</v>
      </c>
      <c r="Z2546">
        <v>0</v>
      </c>
      <c r="AA2546" s="32">
        <v>1.6120000000000001</v>
      </c>
      <c r="AB2546">
        <v>0</v>
      </c>
      <c r="AC2546" s="34">
        <v>0.20499999999999999</v>
      </c>
      <c r="AD2546" s="32">
        <v>4.1660000000000004</v>
      </c>
    </row>
    <row r="2547" spans="1:30">
      <c r="A2547">
        <v>2545</v>
      </c>
      <c r="B2547">
        <v>41</v>
      </c>
      <c r="C2547">
        <v>2.5739999999999998</v>
      </c>
      <c r="D2547">
        <v>4.8499999999999996</v>
      </c>
      <c r="E2547">
        <v>0</v>
      </c>
      <c r="F2547">
        <v>1.7450000000000001</v>
      </c>
      <c r="G2547">
        <v>0</v>
      </c>
      <c r="H2547">
        <v>0.20300000000000001</v>
      </c>
      <c r="I2547">
        <v>4.5640000000000001</v>
      </c>
      <c r="K2547">
        <v>2545</v>
      </c>
      <c r="L2547">
        <v>41</v>
      </c>
      <c r="M2547" s="32">
        <v>2.5739999999999998</v>
      </c>
      <c r="N2547" s="32">
        <v>4.8499999999999996</v>
      </c>
      <c r="P2547" s="47">
        <v>1.746</v>
      </c>
      <c r="R2547" s="47">
        <v>0.20499999999999999</v>
      </c>
      <c r="S2547" s="47">
        <v>4.4950000000000001</v>
      </c>
      <c r="T2547" s="31">
        <v>0</v>
      </c>
      <c r="V2547">
        <v>2545</v>
      </c>
      <c r="W2547">
        <v>39</v>
      </c>
      <c r="X2547">
        <v>2.5859999999999999</v>
      </c>
      <c r="Y2547" s="32">
        <v>4.8499999999999996</v>
      </c>
      <c r="Z2547">
        <v>0</v>
      </c>
      <c r="AA2547" s="32">
        <v>1.6120000000000001</v>
      </c>
      <c r="AB2547">
        <v>0</v>
      </c>
      <c r="AC2547" s="34">
        <v>0.20499999999999999</v>
      </c>
      <c r="AD2547" s="32">
        <v>4.1680000000000001</v>
      </c>
    </row>
    <row r="2548" spans="1:30">
      <c r="A2548">
        <v>2546</v>
      </c>
      <c r="B2548">
        <v>41</v>
      </c>
      <c r="C2548">
        <v>2.5750000000000002</v>
      </c>
      <c r="D2548">
        <v>4.8499999999999996</v>
      </c>
      <c r="E2548">
        <v>0</v>
      </c>
      <c r="F2548">
        <v>1.7450000000000001</v>
      </c>
      <c r="G2548">
        <v>0</v>
      </c>
      <c r="H2548">
        <v>0.20300000000000001</v>
      </c>
      <c r="I2548">
        <v>4.5659999999999998</v>
      </c>
      <c r="K2548">
        <v>2546</v>
      </c>
      <c r="L2548">
        <v>41</v>
      </c>
      <c r="M2548" s="32">
        <v>2.5750000000000002</v>
      </c>
      <c r="N2548" s="32">
        <v>4.8499999999999996</v>
      </c>
      <c r="P2548" s="47">
        <v>1.7470000000000001</v>
      </c>
      <c r="R2548" s="47">
        <v>0.20499999999999999</v>
      </c>
      <c r="S2548" s="47">
        <v>4.4969999999999999</v>
      </c>
      <c r="T2548" s="31">
        <v>0</v>
      </c>
      <c r="V2548">
        <v>2546</v>
      </c>
      <c r="W2548">
        <v>39</v>
      </c>
      <c r="X2548">
        <v>2.5870000000000002</v>
      </c>
      <c r="Y2548" s="32">
        <v>4.8499999999999996</v>
      </c>
      <c r="Z2548">
        <v>0</v>
      </c>
      <c r="AA2548" s="32">
        <v>1.6120000000000001</v>
      </c>
      <c r="AB2548">
        <v>0</v>
      </c>
      <c r="AC2548" s="34">
        <v>0.20499999999999999</v>
      </c>
      <c r="AD2548" s="32">
        <v>4.17</v>
      </c>
    </row>
    <row r="2549" spans="1:30">
      <c r="A2549">
        <v>2547</v>
      </c>
      <c r="B2549">
        <v>41</v>
      </c>
      <c r="C2549">
        <v>2.5760000000000001</v>
      </c>
      <c r="D2549">
        <v>4.8499999999999996</v>
      </c>
      <c r="E2549">
        <v>0</v>
      </c>
      <c r="F2549">
        <v>1.7450000000000001</v>
      </c>
      <c r="G2549">
        <v>0</v>
      </c>
      <c r="H2549">
        <v>0.20300000000000001</v>
      </c>
      <c r="I2549">
        <v>4.569</v>
      </c>
      <c r="K2549">
        <v>2547</v>
      </c>
      <c r="L2549">
        <v>41</v>
      </c>
      <c r="M2549" s="32">
        <v>2.5760000000000001</v>
      </c>
      <c r="N2549" s="32">
        <v>4.8499999999999996</v>
      </c>
      <c r="P2549" s="47">
        <v>1.7470000000000001</v>
      </c>
      <c r="R2549" s="47">
        <v>0.20499999999999999</v>
      </c>
      <c r="S2549" s="47">
        <v>4.4989999999999997</v>
      </c>
      <c r="T2549" s="31">
        <v>0</v>
      </c>
      <c r="V2549">
        <v>2547</v>
      </c>
      <c r="W2549">
        <v>39</v>
      </c>
      <c r="X2549">
        <v>2.5880000000000001</v>
      </c>
      <c r="Y2549" s="32">
        <v>4.8499999999999996</v>
      </c>
      <c r="Z2549">
        <v>0</v>
      </c>
      <c r="AA2549" s="32">
        <v>1.6120000000000001</v>
      </c>
      <c r="AB2549">
        <v>0</v>
      </c>
      <c r="AC2549" s="34">
        <v>0.20499999999999999</v>
      </c>
      <c r="AD2549" s="32">
        <v>4.1719999999999997</v>
      </c>
    </row>
    <row r="2550" spans="1:30">
      <c r="A2550">
        <v>2548</v>
      </c>
      <c r="B2550">
        <v>41</v>
      </c>
      <c r="C2550">
        <v>2.577</v>
      </c>
      <c r="D2550">
        <v>4.8499999999999996</v>
      </c>
      <c r="E2550">
        <v>0</v>
      </c>
      <c r="F2550">
        <v>1.7450000000000001</v>
      </c>
      <c r="G2550">
        <v>0</v>
      </c>
      <c r="H2550">
        <v>0.20300000000000001</v>
      </c>
      <c r="I2550">
        <v>4.5709999999999997</v>
      </c>
      <c r="K2550">
        <v>2548</v>
      </c>
      <c r="L2550">
        <v>41</v>
      </c>
      <c r="M2550" s="32">
        <v>2.577</v>
      </c>
      <c r="N2550" s="32">
        <v>4.8499999999999996</v>
      </c>
      <c r="P2550" s="47">
        <v>1.7470000000000001</v>
      </c>
      <c r="R2550" s="47">
        <v>0.20499999999999999</v>
      </c>
      <c r="S2550" s="47">
        <v>4.5019999999999998</v>
      </c>
      <c r="T2550" s="31">
        <v>0</v>
      </c>
      <c r="V2550">
        <v>2548</v>
      </c>
      <c r="W2550">
        <v>39</v>
      </c>
      <c r="X2550">
        <v>2.589</v>
      </c>
      <c r="Y2550" s="32">
        <v>4.8499999999999996</v>
      </c>
      <c r="Z2550">
        <v>0</v>
      </c>
      <c r="AA2550" s="32">
        <v>1.613</v>
      </c>
      <c r="AB2550">
        <v>0</v>
      </c>
      <c r="AC2550" s="34">
        <v>0.20599999999999999</v>
      </c>
      <c r="AD2550" s="32">
        <v>4.1749999999999998</v>
      </c>
    </row>
    <row r="2551" spans="1:30">
      <c r="A2551">
        <v>2549</v>
      </c>
      <c r="B2551">
        <v>41</v>
      </c>
      <c r="C2551">
        <v>2.5779999999999998</v>
      </c>
      <c r="D2551">
        <v>4.8499999999999996</v>
      </c>
      <c r="E2551">
        <v>0</v>
      </c>
      <c r="F2551">
        <v>1.7450000000000001</v>
      </c>
      <c r="G2551">
        <v>0</v>
      </c>
      <c r="H2551">
        <v>0.20300000000000001</v>
      </c>
      <c r="I2551">
        <v>4.5730000000000004</v>
      </c>
      <c r="K2551">
        <v>2549</v>
      </c>
      <c r="L2551">
        <v>41</v>
      </c>
      <c r="M2551" s="32">
        <v>2.5779999999999998</v>
      </c>
      <c r="N2551" s="32">
        <v>4.8499999999999996</v>
      </c>
      <c r="P2551" s="47">
        <v>1.7470000000000001</v>
      </c>
      <c r="R2551" s="47">
        <v>0.20599999999999999</v>
      </c>
      <c r="S2551" s="47">
        <v>4.5039999999999996</v>
      </c>
      <c r="T2551" s="31">
        <v>0</v>
      </c>
      <c r="V2551">
        <v>2549</v>
      </c>
      <c r="W2551">
        <v>39</v>
      </c>
      <c r="X2551">
        <v>2.59</v>
      </c>
      <c r="Y2551" s="32">
        <v>4.8499999999999996</v>
      </c>
      <c r="Z2551">
        <v>0</v>
      </c>
      <c r="AA2551" s="32">
        <v>1.613</v>
      </c>
      <c r="AB2551">
        <v>0</v>
      </c>
      <c r="AC2551" s="34">
        <v>0.20599999999999999</v>
      </c>
      <c r="AD2551" s="32">
        <v>4.1769999999999996</v>
      </c>
    </row>
    <row r="2552" spans="1:30">
      <c r="A2552">
        <v>2550</v>
      </c>
      <c r="B2552">
        <v>41</v>
      </c>
      <c r="C2552">
        <v>2.5790000000000002</v>
      </c>
      <c r="D2552">
        <v>4.8499999999999996</v>
      </c>
      <c r="E2552">
        <v>0</v>
      </c>
      <c r="F2552">
        <v>1.7450000000000001</v>
      </c>
      <c r="G2552">
        <v>0</v>
      </c>
      <c r="H2552">
        <v>0.20300000000000001</v>
      </c>
      <c r="I2552">
        <v>4.5759999999999996</v>
      </c>
      <c r="K2552">
        <v>2550</v>
      </c>
      <c r="L2552">
        <v>41</v>
      </c>
      <c r="M2552" s="32">
        <v>2.5790000000000002</v>
      </c>
      <c r="N2552" s="32">
        <v>4.8499999999999996</v>
      </c>
      <c r="P2552" s="47">
        <v>1.748</v>
      </c>
      <c r="R2552" s="47">
        <v>0.20599999999999999</v>
      </c>
      <c r="S2552" s="47">
        <v>4.5069999999999997</v>
      </c>
      <c r="T2552" s="31">
        <v>0</v>
      </c>
      <c r="V2552">
        <v>2550</v>
      </c>
      <c r="W2552">
        <v>39</v>
      </c>
      <c r="X2552">
        <v>2.5910000000000002</v>
      </c>
      <c r="Y2552" s="32">
        <v>4.8499999999999996</v>
      </c>
      <c r="Z2552">
        <v>0</v>
      </c>
      <c r="AA2552" s="32">
        <v>1.613</v>
      </c>
      <c r="AB2552">
        <v>0</v>
      </c>
      <c r="AC2552" s="34">
        <v>0.20599999999999999</v>
      </c>
      <c r="AD2552" s="32">
        <v>4.1790000000000003</v>
      </c>
    </row>
    <row r="2553" spans="1:30">
      <c r="A2553">
        <v>2551</v>
      </c>
      <c r="B2553">
        <v>41</v>
      </c>
      <c r="C2553">
        <v>2.58</v>
      </c>
      <c r="D2553">
        <v>4.8499999999999996</v>
      </c>
      <c r="E2553">
        <v>0</v>
      </c>
      <c r="F2553">
        <v>1.748</v>
      </c>
      <c r="G2553">
        <v>0</v>
      </c>
      <c r="H2553">
        <v>0.20300000000000001</v>
      </c>
      <c r="I2553">
        <v>4.5090000000000003</v>
      </c>
      <c r="K2553">
        <v>2551</v>
      </c>
      <c r="L2553">
        <v>41</v>
      </c>
      <c r="M2553" s="32">
        <v>2.58</v>
      </c>
      <c r="N2553" s="32">
        <v>4.8499999999999996</v>
      </c>
      <c r="P2553" s="32">
        <v>1.748</v>
      </c>
      <c r="R2553" s="47">
        <v>0.20599999999999999</v>
      </c>
      <c r="S2553" s="32">
        <v>4.5090000000000003</v>
      </c>
      <c r="T2553" s="31">
        <v>0</v>
      </c>
      <c r="V2553">
        <v>2551</v>
      </c>
      <c r="W2553">
        <v>39</v>
      </c>
      <c r="X2553">
        <v>2.5920000000000001</v>
      </c>
      <c r="Y2553" s="32">
        <v>4.8499999999999996</v>
      </c>
      <c r="Z2553">
        <v>0</v>
      </c>
      <c r="AA2553" s="32">
        <v>1.613</v>
      </c>
      <c r="AB2553">
        <v>0</v>
      </c>
      <c r="AC2553" s="34">
        <v>0.20599999999999999</v>
      </c>
      <c r="AD2553" s="32">
        <v>4.181</v>
      </c>
    </row>
    <row r="2554" spans="1:30">
      <c r="A2554">
        <v>2552</v>
      </c>
      <c r="B2554">
        <v>41</v>
      </c>
      <c r="C2554">
        <v>2.581</v>
      </c>
      <c r="D2554">
        <v>4.8499999999999996</v>
      </c>
      <c r="E2554">
        <v>0</v>
      </c>
      <c r="F2554">
        <v>1.748</v>
      </c>
      <c r="G2554">
        <v>0</v>
      </c>
      <c r="H2554">
        <v>0.20300000000000001</v>
      </c>
      <c r="I2554">
        <v>4.6040000000000001</v>
      </c>
      <c r="K2554">
        <v>2552</v>
      </c>
      <c r="L2554">
        <v>41</v>
      </c>
      <c r="M2554" s="32">
        <v>2.581</v>
      </c>
      <c r="N2554" s="32">
        <v>4.8499999999999996</v>
      </c>
      <c r="P2554" s="32">
        <v>1.748</v>
      </c>
      <c r="R2554" s="47">
        <v>0.20599999999999999</v>
      </c>
      <c r="S2554" s="47">
        <v>4.5110000000000001</v>
      </c>
      <c r="T2554" s="31">
        <v>0</v>
      </c>
      <c r="V2554">
        <v>2552</v>
      </c>
      <c r="W2554">
        <v>39</v>
      </c>
      <c r="X2554">
        <v>2.593</v>
      </c>
      <c r="Y2554" s="32">
        <v>4.8499999999999996</v>
      </c>
      <c r="Z2554">
        <v>0</v>
      </c>
      <c r="AA2554" s="32">
        <v>1.6140000000000001</v>
      </c>
      <c r="AB2554">
        <v>0</v>
      </c>
      <c r="AC2554" s="34">
        <v>0.20599999999999999</v>
      </c>
      <c r="AD2554" s="32">
        <v>4.1840000000000002</v>
      </c>
    </row>
    <row r="2555" spans="1:30">
      <c r="A2555">
        <v>2553</v>
      </c>
      <c r="B2555">
        <v>41</v>
      </c>
      <c r="C2555">
        <v>2.5819999999999999</v>
      </c>
      <c r="D2555">
        <v>4.8499999999999996</v>
      </c>
      <c r="E2555">
        <v>0</v>
      </c>
      <c r="F2555">
        <v>1.748</v>
      </c>
      <c r="G2555">
        <v>0</v>
      </c>
      <c r="H2555">
        <v>0.20300000000000001</v>
      </c>
      <c r="I2555">
        <v>4.6070000000000002</v>
      </c>
      <c r="K2555">
        <v>2553</v>
      </c>
      <c r="L2555">
        <v>41</v>
      </c>
      <c r="M2555" s="32">
        <v>2.5819999999999999</v>
      </c>
      <c r="N2555" s="32">
        <v>4.8499999999999996</v>
      </c>
      <c r="P2555" s="32">
        <v>1.748</v>
      </c>
      <c r="R2555" s="47">
        <v>0.20599999999999999</v>
      </c>
      <c r="S2555" s="47">
        <v>4.5140000000000002</v>
      </c>
      <c r="T2555" s="31">
        <v>0</v>
      </c>
      <c r="V2555">
        <v>2553</v>
      </c>
      <c r="W2555">
        <v>39</v>
      </c>
      <c r="X2555">
        <v>2.5939999999999999</v>
      </c>
      <c r="Y2555" s="32">
        <v>4.8499999999999996</v>
      </c>
      <c r="Z2555">
        <v>0</v>
      </c>
      <c r="AA2555" s="32">
        <v>1.6140000000000001</v>
      </c>
      <c r="AB2555">
        <v>0</v>
      </c>
      <c r="AC2555" s="34">
        <v>0.20599999999999999</v>
      </c>
      <c r="AD2555" s="32">
        <v>4.1859999999999999</v>
      </c>
    </row>
    <row r="2556" spans="1:30">
      <c r="A2556">
        <v>2554</v>
      </c>
      <c r="B2556">
        <v>41</v>
      </c>
      <c r="C2556">
        <v>2.5830000000000002</v>
      </c>
      <c r="D2556">
        <v>4.8499999999999996</v>
      </c>
      <c r="E2556">
        <v>0</v>
      </c>
      <c r="F2556">
        <v>1.748</v>
      </c>
      <c r="G2556">
        <v>0</v>
      </c>
      <c r="H2556">
        <v>0.20300000000000001</v>
      </c>
      <c r="I2556">
        <v>4.609</v>
      </c>
      <c r="K2556">
        <v>2554</v>
      </c>
      <c r="L2556">
        <v>41</v>
      </c>
      <c r="M2556" s="32">
        <v>2.5830000000000002</v>
      </c>
      <c r="N2556" s="32">
        <v>4.8499999999999996</v>
      </c>
      <c r="P2556" s="47">
        <v>1.7490000000000001</v>
      </c>
      <c r="R2556" s="47">
        <v>0.20599999999999999</v>
      </c>
      <c r="S2556" s="47">
        <v>4.516</v>
      </c>
      <c r="T2556" s="31">
        <v>0</v>
      </c>
      <c r="V2556">
        <v>2554</v>
      </c>
      <c r="W2556">
        <v>39</v>
      </c>
      <c r="X2556">
        <v>2.5950000000000002</v>
      </c>
      <c r="Y2556" s="32">
        <v>4.8499999999999996</v>
      </c>
      <c r="Z2556">
        <v>0</v>
      </c>
      <c r="AA2556" s="32">
        <v>1.6140000000000001</v>
      </c>
      <c r="AB2556">
        <v>0</v>
      </c>
      <c r="AC2556" s="34">
        <v>0.20599999999999999</v>
      </c>
      <c r="AD2556" s="32">
        <v>4.1879999999999997</v>
      </c>
    </row>
    <row r="2557" spans="1:30">
      <c r="A2557">
        <v>2555</v>
      </c>
      <c r="B2557">
        <v>41</v>
      </c>
      <c r="C2557">
        <v>2.5840000000000001</v>
      </c>
      <c r="D2557">
        <v>4.8499999999999996</v>
      </c>
      <c r="E2557">
        <v>0</v>
      </c>
      <c r="F2557">
        <v>1.748</v>
      </c>
      <c r="G2557">
        <v>0</v>
      </c>
      <c r="H2557">
        <v>0.20300000000000001</v>
      </c>
      <c r="I2557">
        <v>4.6109999999999998</v>
      </c>
      <c r="K2557">
        <v>2555</v>
      </c>
      <c r="L2557">
        <v>41</v>
      </c>
      <c r="M2557" s="32">
        <v>2.5840000000000001</v>
      </c>
      <c r="N2557" s="32">
        <v>4.8499999999999996</v>
      </c>
      <c r="P2557" s="47">
        <v>1.7490000000000001</v>
      </c>
      <c r="R2557" s="47">
        <v>0.20599999999999999</v>
      </c>
      <c r="S2557" s="47">
        <v>4.5190000000000001</v>
      </c>
      <c r="T2557" s="31">
        <v>0</v>
      </c>
      <c r="V2557">
        <v>2555</v>
      </c>
      <c r="W2557">
        <v>39</v>
      </c>
      <c r="X2557">
        <v>2.5960000000000001</v>
      </c>
      <c r="Y2557" s="32">
        <v>4.8499999999999996</v>
      </c>
      <c r="Z2557">
        <v>0</v>
      </c>
      <c r="AA2557" s="32">
        <v>1.6140000000000001</v>
      </c>
      <c r="AB2557">
        <v>0</v>
      </c>
      <c r="AC2557" s="34">
        <v>0.20599999999999999</v>
      </c>
      <c r="AD2557" s="32">
        <v>4.1900000000000004</v>
      </c>
    </row>
    <row r="2558" spans="1:30">
      <c r="A2558">
        <v>2556</v>
      </c>
      <c r="B2558">
        <v>41</v>
      </c>
      <c r="C2558">
        <v>2.585</v>
      </c>
      <c r="D2558">
        <v>4.8499999999999996</v>
      </c>
      <c r="E2558">
        <v>0</v>
      </c>
      <c r="F2558">
        <v>1.748</v>
      </c>
      <c r="G2558">
        <v>0</v>
      </c>
      <c r="H2558">
        <v>0.20300000000000001</v>
      </c>
      <c r="I2558">
        <v>4.6139999999999999</v>
      </c>
      <c r="K2558">
        <v>2556</v>
      </c>
      <c r="L2558">
        <v>41</v>
      </c>
      <c r="M2558" s="32">
        <v>2.585</v>
      </c>
      <c r="N2558" s="32">
        <v>4.8499999999999996</v>
      </c>
      <c r="P2558" s="47">
        <v>1.7490000000000001</v>
      </c>
      <c r="R2558" s="47">
        <v>0.20599999999999999</v>
      </c>
      <c r="S2558" s="47">
        <v>4.5209999999999999</v>
      </c>
      <c r="T2558" s="31">
        <v>0</v>
      </c>
      <c r="V2558">
        <v>2556</v>
      </c>
      <c r="W2558">
        <v>39</v>
      </c>
      <c r="X2558">
        <v>2.597</v>
      </c>
      <c r="Y2558" s="32">
        <v>4.8499999999999996</v>
      </c>
      <c r="Z2558">
        <v>0</v>
      </c>
      <c r="AA2558" s="32">
        <v>1.6140000000000001</v>
      </c>
      <c r="AB2558">
        <v>0</v>
      </c>
      <c r="AC2558" s="34">
        <v>0.20599999999999999</v>
      </c>
      <c r="AD2558" s="32">
        <v>4.1920000000000002</v>
      </c>
    </row>
    <row r="2559" spans="1:30">
      <c r="A2559">
        <v>2557</v>
      </c>
      <c r="B2559">
        <v>41</v>
      </c>
      <c r="C2559">
        <v>2.5859999999999999</v>
      </c>
      <c r="D2559">
        <v>4.8499999999999996</v>
      </c>
      <c r="E2559">
        <v>0</v>
      </c>
      <c r="F2559">
        <v>1.748</v>
      </c>
      <c r="G2559">
        <v>0</v>
      </c>
      <c r="H2559">
        <v>0.20300000000000001</v>
      </c>
      <c r="I2559">
        <v>4.6159999999999997</v>
      </c>
      <c r="K2559">
        <v>2557</v>
      </c>
      <c r="L2559">
        <v>41</v>
      </c>
      <c r="M2559" s="32">
        <v>2.5859999999999999</v>
      </c>
      <c r="N2559" s="32">
        <v>4.8499999999999996</v>
      </c>
      <c r="P2559" s="47">
        <v>1.7490000000000001</v>
      </c>
      <c r="R2559" s="47">
        <v>0.20599999999999999</v>
      </c>
      <c r="S2559" s="47">
        <v>4.5229999999999997</v>
      </c>
      <c r="T2559" s="31">
        <v>0</v>
      </c>
      <c r="V2559">
        <v>2557</v>
      </c>
      <c r="W2559">
        <v>39</v>
      </c>
      <c r="X2559">
        <v>2.5979999999999999</v>
      </c>
      <c r="Y2559" s="32">
        <v>4.8499999999999996</v>
      </c>
      <c r="Z2559">
        <v>0</v>
      </c>
      <c r="AA2559" s="32">
        <v>1.615</v>
      </c>
      <c r="AB2559">
        <v>0</v>
      </c>
      <c r="AC2559" s="34">
        <v>0.20599999999999999</v>
      </c>
      <c r="AD2559" s="32">
        <v>4.1950000000000003</v>
      </c>
    </row>
    <row r="2560" spans="1:30">
      <c r="A2560">
        <v>2558</v>
      </c>
      <c r="B2560">
        <v>41</v>
      </c>
      <c r="C2560">
        <v>2.5870000000000002</v>
      </c>
      <c r="D2560">
        <v>4.8499999999999996</v>
      </c>
      <c r="E2560">
        <v>0</v>
      </c>
      <c r="F2560">
        <v>1.748</v>
      </c>
      <c r="G2560">
        <v>0</v>
      </c>
      <c r="H2560">
        <v>0.20300000000000001</v>
      </c>
      <c r="I2560">
        <v>4.6180000000000003</v>
      </c>
      <c r="K2560">
        <v>2558</v>
      </c>
      <c r="L2560">
        <v>41</v>
      </c>
      <c r="M2560" s="32">
        <v>2.5870000000000002</v>
      </c>
      <c r="N2560" s="32">
        <v>4.8499999999999996</v>
      </c>
      <c r="P2560" s="47">
        <v>1.7490000000000001</v>
      </c>
      <c r="R2560" s="47">
        <v>0.20599999999999999</v>
      </c>
      <c r="S2560" s="47">
        <v>4.5259999999999998</v>
      </c>
      <c r="T2560" s="31">
        <v>0</v>
      </c>
      <c r="V2560">
        <v>2558</v>
      </c>
      <c r="W2560">
        <v>39</v>
      </c>
      <c r="X2560">
        <v>2.5990000000000002</v>
      </c>
      <c r="Y2560" s="32">
        <v>4.8499999999999996</v>
      </c>
      <c r="Z2560">
        <v>0</v>
      </c>
      <c r="AA2560" s="32">
        <v>1.615</v>
      </c>
      <c r="AB2560">
        <v>0</v>
      </c>
      <c r="AC2560" s="34">
        <v>0.20599999999999999</v>
      </c>
      <c r="AD2560" s="32">
        <v>4.1970000000000001</v>
      </c>
    </row>
    <row r="2561" spans="1:30">
      <c r="A2561">
        <v>2559</v>
      </c>
      <c r="B2561">
        <v>41</v>
      </c>
      <c r="C2561">
        <v>2.5880000000000001</v>
      </c>
      <c r="D2561">
        <v>4.8499999999999996</v>
      </c>
      <c r="E2561">
        <v>0</v>
      </c>
      <c r="F2561">
        <v>1.748</v>
      </c>
      <c r="G2561">
        <v>0</v>
      </c>
      <c r="H2561">
        <v>0.20300000000000001</v>
      </c>
      <c r="I2561">
        <v>4.62</v>
      </c>
      <c r="K2561">
        <v>2559</v>
      </c>
      <c r="L2561">
        <v>41</v>
      </c>
      <c r="M2561" s="32">
        <v>2.5880000000000001</v>
      </c>
      <c r="N2561" s="32">
        <v>4.8499999999999996</v>
      </c>
      <c r="P2561" s="47">
        <v>1.75</v>
      </c>
      <c r="R2561" s="47">
        <v>0.20599999999999999</v>
      </c>
      <c r="S2561" s="47">
        <v>4.5279999999999996</v>
      </c>
      <c r="T2561" s="31">
        <v>0</v>
      </c>
      <c r="V2561">
        <v>2559</v>
      </c>
      <c r="W2561">
        <v>39</v>
      </c>
      <c r="X2561">
        <v>2.6</v>
      </c>
      <c r="Y2561" s="32">
        <v>4.8499999999999996</v>
      </c>
      <c r="Z2561">
        <v>0</v>
      </c>
      <c r="AA2561" s="32">
        <v>1.615</v>
      </c>
      <c r="AB2561">
        <v>0</v>
      </c>
      <c r="AC2561" s="34">
        <v>0.20599999999999999</v>
      </c>
      <c r="AD2561" s="32">
        <v>4.1989999999999998</v>
      </c>
    </row>
    <row r="2562" spans="1:30">
      <c r="A2562">
        <v>2560</v>
      </c>
      <c r="B2562">
        <v>41</v>
      </c>
      <c r="C2562">
        <v>2.589</v>
      </c>
      <c r="D2562">
        <v>4.8499999999999996</v>
      </c>
      <c r="E2562">
        <v>0</v>
      </c>
      <c r="F2562">
        <v>1.748</v>
      </c>
      <c r="G2562">
        <v>0</v>
      </c>
      <c r="H2562">
        <v>0.20300000000000001</v>
      </c>
      <c r="I2562">
        <v>4.6230000000000002</v>
      </c>
      <c r="K2562">
        <v>2560</v>
      </c>
      <c r="L2562">
        <v>41</v>
      </c>
      <c r="M2562" s="32">
        <v>2.589</v>
      </c>
      <c r="N2562" s="32">
        <v>4.8499999999999996</v>
      </c>
      <c r="P2562" s="47">
        <v>1.75</v>
      </c>
      <c r="R2562" s="47">
        <v>0.20599999999999999</v>
      </c>
      <c r="S2562" s="47">
        <v>4.5309999999999997</v>
      </c>
      <c r="T2562" s="31">
        <v>0</v>
      </c>
      <c r="V2562">
        <v>2560</v>
      </c>
      <c r="W2562">
        <v>39</v>
      </c>
      <c r="X2562">
        <v>2.601</v>
      </c>
      <c r="Y2562" s="32">
        <v>4.8499999999999996</v>
      </c>
      <c r="Z2562">
        <v>0</v>
      </c>
      <c r="AA2562" s="32">
        <v>1.615</v>
      </c>
      <c r="AB2562">
        <v>0</v>
      </c>
      <c r="AC2562" s="34">
        <v>0.20599999999999999</v>
      </c>
      <c r="AD2562" s="32">
        <v>4.2009999999999996</v>
      </c>
    </row>
    <row r="2563" spans="1:30">
      <c r="A2563">
        <v>2561</v>
      </c>
      <c r="B2563">
        <v>41</v>
      </c>
      <c r="C2563">
        <v>2.59</v>
      </c>
      <c r="D2563">
        <v>4.8499999999999996</v>
      </c>
      <c r="E2563">
        <v>0</v>
      </c>
      <c r="F2563">
        <v>1.75</v>
      </c>
      <c r="G2563">
        <v>0</v>
      </c>
      <c r="H2563">
        <v>0.20300000000000001</v>
      </c>
      <c r="I2563">
        <v>4.5330000000000004</v>
      </c>
      <c r="K2563">
        <v>2561</v>
      </c>
      <c r="L2563">
        <v>41</v>
      </c>
      <c r="M2563" s="32">
        <v>2.59</v>
      </c>
      <c r="N2563" s="32">
        <v>4.8499999999999996</v>
      </c>
      <c r="P2563" s="32">
        <v>1.75</v>
      </c>
      <c r="R2563" s="47">
        <v>0.20599999999999999</v>
      </c>
      <c r="S2563" s="32">
        <v>4.5330000000000004</v>
      </c>
      <c r="T2563" s="31">
        <v>0</v>
      </c>
      <c r="V2563">
        <v>2561</v>
      </c>
      <c r="W2563">
        <v>39</v>
      </c>
      <c r="X2563">
        <v>2.6019999999999999</v>
      </c>
      <c r="Y2563" s="32">
        <v>4.8499999999999996</v>
      </c>
      <c r="Z2563">
        <v>0</v>
      </c>
      <c r="AA2563" s="32">
        <v>1.6160000000000001</v>
      </c>
      <c r="AB2563">
        <v>0</v>
      </c>
      <c r="AC2563" s="34">
        <v>0.20599999999999999</v>
      </c>
      <c r="AD2563" s="32">
        <v>4.2039999999999997</v>
      </c>
    </row>
    <row r="2564" spans="1:30">
      <c r="A2564">
        <v>2562</v>
      </c>
      <c r="B2564">
        <v>41</v>
      </c>
      <c r="C2564">
        <v>2.5910000000000002</v>
      </c>
      <c r="D2564">
        <v>4.8499999999999996</v>
      </c>
      <c r="E2564">
        <v>0</v>
      </c>
      <c r="F2564">
        <v>1.75</v>
      </c>
      <c r="G2564">
        <v>0</v>
      </c>
      <c r="H2564">
        <v>0.20300000000000001</v>
      </c>
      <c r="I2564">
        <v>4.6509999999999998</v>
      </c>
      <c r="K2564">
        <v>2562</v>
      </c>
      <c r="L2564">
        <v>41</v>
      </c>
      <c r="M2564" s="32">
        <v>2.5910000000000002</v>
      </c>
      <c r="N2564" s="32">
        <v>4.8499999999999996</v>
      </c>
      <c r="P2564" s="32">
        <v>1.75</v>
      </c>
      <c r="R2564" s="47">
        <v>0.20599999999999999</v>
      </c>
      <c r="S2564" s="47">
        <v>4.5350000000000001</v>
      </c>
      <c r="T2564" s="31">
        <v>0</v>
      </c>
      <c r="V2564">
        <v>2562</v>
      </c>
      <c r="W2564">
        <v>39</v>
      </c>
      <c r="X2564">
        <v>2.6030000000000002</v>
      </c>
      <c r="Y2564" s="32">
        <v>4.8499999999999996</v>
      </c>
      <c r="Z2564">
        <v>0</v>
      </c>
      <c r="AA2564" s="32">
        <v>1.6160000000000001</v>
      </c>
      <c r="AB2564">
        <v>0</v>
      </c>
      <c r="AC2564" s="34">
        <v>0.20599999999999999</v>
      </c>
      <c r="AD2564" s="32">
        <v>4.2060000000000004</v>
      </c>
    </row>
    <row r="2565" spans="1:30">
      <c r="A2565">
        <v>2563</v>
      </c>
      <c r="B2565">
        <v>41</v>
      </c>
      <c r="C2565">
        <v>2.5920000000000001</v>
      </c>
      <c r="D2565">
        <v>4.8499999999999996</v>
      </c>
      <c r="E2565">
        <v>0</v>
      </c>
      <c r="F2565">
        <v>1.75</v>
      </c>
      <c r="G2565">
        <v>0</v>
      </c>
      <c r="H2565">
        <v>0.20300000000000001</v>
      </c>
      <c r="I2565">
        <v>4.6539999999999999</v>
      </c>
      <c r="K2565">
        <v>2563</v>
      </c>
      <c r="L2565">
        <v>41</v>
      </c>
      <c r="M2565" s="32">
        <v>2.5920000000000001</v>
      </c>
      <c r="N2565" s="32">
        <v>4.8499999999999996</v>
      </c>
      <c r="P2565" s="47">
        <v>1.7509999999999999</v>
      </c>
      <c r="R2565" s="47">
        <v>0.20599999999999999</v>
      </c>
      <c r="S2565" s="47">
        <v>4.5380000000000003</v>
      </c>
      <c r="T2565" s="31">
        <v>0</v>
      </c>
      <c r="V2565">
        <v>2563</v>
      </c>
      <c r="W2565">
        <v>39</v>
      </c>
      <c r="X2565">
        <v>2.6040000000000001</v>
      </c>
      <c r="Y2565" s="32">
        <v>4.8499999999999996</v>
      </c>
      <c r="Z2565">
        <v>0</v>
      </c>
      <c r="AA2565" s="32">
        <v>1.6160000000000001</v>
      </c>
      <c r="AB2565">
        <v>0</v>
      </c>
      <c r="AC2565" s="34">
        <v>0.20599999999999999</v>
      </c>
      <c r="AD2565" s="32">
        <v>4.2080000000000002</v>
      </c>
    </row>
    <row r="2566" spans="1:30">
      <c r="A2566">
        <v>2564</v>
      </c>
      <c r="B2566">
        <v>41</v>
      </c>
      <c r="C2566">
        <v>2.593</v>
      </c>
      <c r="D2566">
        <v>4.8499999999999996</v>
      </c>
      <c r="E2566">
        <v>0</v>
      </c>
      <c r="F2566">
        <v>1.75</v>
      </c>
      <c r="G2566">
        <v>0</v>
      </c>
      <c r="H2566">
        <v>0.20300000000000001</v>
      </c>
      <c r="I2566">
        <v>4.6559999999999997</v>
      </c>
      <c r="K2566">
        <v>2564</v>
      </c>
      <c r="L2566">
        <v>41</v>
      </c>
      <c r="M2566" s="32">
        <v>2.593</v>
      </c>
      <c r="N2566" s="32">
        <v>4.8499999999999996</v>
      </c>
      <c r="P2566" s="47">
        <v>1.7509999999999999</v>
      </c>
      <c r="R2566" s="47">
        <v>0.20699999999999999</v>
      </c>
      <c r="S2566" s="47">
        <v>4.54</v>
      </c>
      <c r="T2566" s="31">
        <v>0</v>
      </c>
      <c r="V2566">
        <v>2564</v>
      </c>
      <c r="W2566">
        <v>39</v>
      </c>
      <c r="X2566">
        <v>2.605</v>
      </c>
      <c r="Y2566" s="32">
        <v>4.8499999999999996</v>
      </c>
      <c r="Z2566">
        <v>0</v>
      </c>
      <c r="AA2566" s="32">
        <v>1.6160000000000001</v>
      </c>
      <c r="AB2566">
        <v>0</v>
      </c>
      <c r="AC2566" s="34">
        <v>0.20599999999999999</v>
      </c>
      <c r="AD2566" s="32">
        <v>4.21</v>
      </c>
    </row>
    <row r="2567" spans="1:30">
      <c r="A2567">
        <v>2565</v>
      </c>
      <c r="B2567">
        <v>41</v>
      </c>
      <c r="C2567">
        <v>2.5939999999999999</v>
      </c>
      <c r="D2567">
        <v>4.8499999999999996</v>
      </c>
      <c r="E2567">
        <v>0</v>
      </c>
      <c r="F2567">
        <v>1.75</v>
      </c>
      <c r="G2567">
        <v>0</v>
      </c>
      <c r="H2567">
        <v>0.20300000000000001</v>
      </c>
      <c r="I2567">
        <v>4.6580000000000004</v>
      </c>
      <c r="K2567">
        <v>2565</v>
      </c>
      <c r="L2567">
        <v>41</v>
      </c>
      <c r="M2567" s="32">
        <v>2.5939999999999999</v>
      </c>
      <c r="N2567" s="32">
        <v>4.8499999999999996</v>
      </c>
      <c r="P2567" s="47">
        <v>1.7509999999999999</v>
      </c>
      <c r="R2567" s="47">
        <v>0.20699999999999999</v>
      </c>
      <c r="S2567" s="47">
        <v>4.5430000000000001</v>
      </c>
      <c r="T2567" s="31">
        <v>0</v>
      </c>
      <c r="V2567">
        <v>2565</v>
      </c>
      <c r="W2567">
        <v>39</v>
      </c>
      <c r="X2567">
        <v>2.6059999999999999</v>
      </c>
      <c r="Y2567" s="32">
        <v>4.8499999999999996</v>
      </c>
      <c r="Z2567">
        <v>0</v>
      </c>
      <c r="AA2567" s="32">
        <v>1.6160000000000001</v>
      </c>
      <c r="AB2567">
        <v>0</v>
      </c>
      <c r="AC2567" s="34">
        <v>0.20599999999999999</v>
      </c>
      <c r="AD2567" s="32">
        <v>4.2119999999999997</v>
      </c>
    </row>
    <row r="2568" spans="1:30">
      <c r="A2568">
        <v>2566</v>
      </c>
      <c r="B2568">
        <v>41</v>
      </c>
      <c r="C2568">
        <v>2.5950000000000002</v>
      </c>
      <c r="D2568">
        <v>4.8499999999999996</v>
      </c>
      <c r="E2568">
        <v>0</v>
      </c>
      <c r="F2568">
        <v>1.75</v>
      </c>
      <c r="G2568">
        <v>0</v>
      </c>
      <c r="H2568">
        <v>0.20300000000000001</v>
      </c>
      <c r="I2568">
        <v>4.6609999999999996</v>
      </c>
      <c r="K2568">
        <v>2566</v>
      </c>
      <c r="L2568">
        <v>41</v>
      </c>
      <c r="M2568" s="32">
        <v>2.5950000000000002</v>
      </c>
      <c r="N2568" s="32">
        <v>4.8499999999999996</v>
      </c>
      <c r="P2568" s="47">
        <v>1.752</v>
      </c>
      <c r="R2568" s="47">
        <v>0.20699999999999999</v>
      </c>
      <c r="S2568" s="47">
        <v>4.5449999999999999</v>
      </c>
      <c r="T2568" s="31">
        <v>0</v>
      </c>
      <c r="V2568">
        <v>2566</v>
      </c>
      <c r="W2568">
        <v>39</v>
      </c>
      <c r="X2568">
        <v>2.6070000000000002</v>
      </c>
      <c r="Y2568" s="32">
        <v>4.8499999999999996</v>
      </c>
      <c r="Z2568">
        <v>0</v>
      </c>
      <c r="AA2568" s="32">
        <v>1.617</v>
      </c>
      <c r="AB2568">
        <v>0</v>
      </c>
      <c r="AC2568" s="34">
        <v>0.20599999999999999</v>
      </c>
      <c r="AD2568" s="32">
        <v>4.2149999999999999</v>
      </c>
    </row>
    <row r="2569" spans="1:30">
      <c r="A2569">
        <v>2567</v>
      </c>
      <c r="B2569">
        <v>41</v>
      </c>
      <c r="C2569">
        <v>2.5960000000000001</v>
      </c>
      <c r="D2569">
        <v>4.8499999999999996</v>
      </c>
      <c r="E2569">
        <v>0</v>
      </c>
      <c r="F2569">
        <v>1.75</v>
      </c>
      <c r="G2569">
        <v>0</v>
      </c>
      <c r="H2569">
        <v>0.20300000000000001</v>
      </c>
      <c r="I2569">
        <v>4.6630000000000003</v>
      </c>
      <c r="K2569">
        <v>2567</v>
      </c>
      <c r="L2569">
        <v>41</v>
      </c>
      <c r="M2569" s="32">
        <v>2.5960000000000001</v>
      </c>
      <c r="N2569" s="32">
        <v>4.8499999999999996</v>
      </c>
      <c r="P2569" s="47">
        <v>1.752</v>
      </c>
      <c r="R2569" s="47">
        <v>0.20699999999999999</v>
      </c>
      <c r="S2569" s="47">
        <v>4.5469999999999997</v>
      </c>
      <c r="T2569" s="31">
        <v>0</v>
      </c>
      <c r="V2569">
        <v>2567</v>
      </c>
      <c r="W2569">
        <v>39</v>
      </c>
      <c r="X2569">
        <v>2.6080000000000001</v>
      </c>
      <c r="Y2569" s="32">
        <v>4.8499999999999996</v>
      </c>
      <c r="Z2569">
        <v>0</v>
      </c>
      <c r="AA2569" s="32">
        <v>1.617</v>
      </c>
      <c r="AB2569">
        <v>0</v>
      </c>
      <c r="AC2569" s="34">
        <v>0.20599999999999999</v>
      </c>
      <c r="AD2569" s="32">
        <v>4.2169999999999996</v>
      </c>
    </row>
    <row r="2570" spans="1:30">
      <c r="A2570">
        <v>2568</v>
      </c>
      <c r="B2570">
        <v>41</v>
      </c>
      <c r="C2570">
        <v>2.597</v>
      </c>
      <c r="D2570">
        <v>4.8499999999999996</v>
      </c>
      <c r="E2570">
        <v>0</v>
      </c>
      <c r="F2570">
        <v>1.75</v>
      </c>
      <c r="G2570">
        <v>0</v>
      </c>
      <c r="H2570">
        <v>0.20300000000000001</v>
      </c>
      <c r="I2570">
        <v>4.665</v>
      </c>
      <c r="K2570">
        <v>2568</v>
      </c>
      <c r="L2570">
        <v>41</v>
      </c>
      <c r="M2570" s="32">
        <v>2.597</v>
      </c>
      <c r="N2570" s="32">
        <v>4.8499999999999996</v>
      </c>
      <c r="P2570" s="47">
        <v>1.752</v>
      </c>
      <c r="R2570" s="47">
        <v>0.20699999999999999</v>
      </c>
      <c r="S2570" s="47">
        <v>4.55</v>
      </c>
      <c r="T2570" s="31">
        <v>0</v>
      </c>
      <c r="V2570">
        <v>2568</v>
      </c>
      <c r="W2570">
        <v>39</v>
      </c>
      <c r="X2570">
        <v>2.609</v>
      </c>
      <c r="Y2570" s="32">
        <v>4.8499999999999996</v>
      </c>
      <c r="Z2570">
        <v>0</v>
      </c>
      <c r="AA2570" s="32">
        <v>1.617</v>
      </c>
      <c r="AB2570">
        <v>0</v>
      </c>
      <c r="AC2570" s="34">
        <v>0.20599999999999999</v>
      </c>
      <c r="AD2570" s="32">
        <v>4.2190000000000003</v>
      </c>
    </row>
    <row r="2571" spans="1:30">
      <c r="A2571">
        <v>2569</v>
      </c>
      <c r="B2571">
        <v>41</v>
      </c>
      <c r="C2571">
        <v>2.5979999999999999</v>
      </c>
      <c r="D2571">
        <v>4.8499999999999996</v>
      </c>
      <c r="E2571">
        <v>0</v>
      </c>
      <c r="F2571">
        <v>1.75</v>
      </c>
      <c r="G2571">
        <v>0</v>
      </c>
      <c r="H2571">
        <v>0.20300000000000001</v>
      </c>
      <c r="I2571">
        <v>4.6680000000000001</v>
      </c>
      <c r="K2571">
        <v>2569</v>
      </c>
      <c r="L2571">
        <v>41</v>
      </c>
      <c r="M2571" s="32">
        <v>2.5979999999999999</v>
      </c>
      <c r="N2571" s="32">
        <v>4.8499999999999996</v>
      </c>
      <c r="P2571" s="47">
        <v>1.752</v>
      </c>
      <c r="R2571" s="47">
        <v>0.20699999999999999</v>
      </c>
      <c r="S2571" s="47">
        <v>4.5519999999999996</v>
      </c>
      <c r="T2571" s="31">
        <v>0</v>
      </c>
      <c r="V2571">
        <v>2569</v>
      </c>
      <c r="W2571">
        <v>39</v>
      </c>
      <c r="X2571">
        <v>2.61</v>
      </c>
      <c r="Y2571" s="32">
        <v>4.8499999999999996</v>
      </c>
      <c r="Z2571">
        <v>0</v>
      </c>
      <c r="AA2571" s="32">
        <v>1.617</v>
      </c>
      <c r="AB2571">
        <v>0</v>
      </c>
      <c r="AC2571" s="34">
        <v>0.20599999999999999</v>
      </c>
      <c r="AD2571" s="32">
        <v>4.2210000000000001</v>
      </c>
    </row>
    <row r="2572" spans="1:30">
      <c r="A2572">
        <v>2570</v>
      </c>
      <c r="B2572">
        <v>41</v>
      </c>
      <c r="C2572">
        <v>2.5990000000000002</v>
      </c>
      <c r="D2572">
        <v>4.8499999999999996</v>
      </c>
      <c r="E2572">
        <v>0</v>
      </c>
      <c r="F2572">
        <v>1.75</v>
      </c>
      <c r="G2572">
        <v>0</v>
      </c>
      <c r="H2572">
        <v>0.20300000000000001</v>
      </c>
      <c r="I2572">
        <v>4.67</v>
      </c>
      <c r="K2572">
        <v>2570</v>
      </c>
      <c r="L2572">
        <v>41</v>
      </c>
      <c r="M2572" s="32">
        <v>2.5990000000000002</v>
      </c>
      <c r="N2572" s="32">
        <v>4.8499999999999996</v>
      </c>
      <c r="P2572" s="47">
        <v>1.7529999999999999</v>
      </c>
      <c r="R2572" s="47">
        <v>0.20699999999999999</v>
      </c>
      <c r="S2572" s="47">
        <v>4.5549999999999997</v>
      </c>
      <c r="T2572" s="31">
        <v>0</v>
      </c>
      <c r="V2572">
        <v>2570</v>
      </c>
      <c r="W2572">
        <v>39</v>
      </c>
      <c r="X2572">
        <v>2.6110000000000002</v>
      </c>
      <c r="Y2572" s="32">
        <v>4.8499999999999996</v>
      </c>
      <c r="Z2572">
        <v>0</v>
      </c>
      <c r="AA2572" s="32">
        <v>1.6180000000000001</v>
      </c>
      <c r="AB2572">
        <v>0</v>
      </c>
      <c r="AC2572" s="34">
        <v>0.20599999999999999</v>
      </c>
      <c r="AD2572" s="32">
        <v>4.2240000000000002</v>
      </c>
    </row>
    <row r="2573" spans="1:30">
      <c r="A2573">
        <v>2571</v>
      </c>
      <c r="B2573">
        <v>41</v>
      </c>
      <c r="C2573">
        <v>2.6</v>
      </c>
      <c r="D2573">
        <v>4.8499999999999996</v>
      </c>
      <c r="E2573">
        <v>0</v>
      </c>
      <c r="F2573">
        <v>1.75</v>
      </c>
      <c r="G2573">
        <v>0</v>
      </c>
      <c r="H2573">
        <v>0.20300000000000001</v>
      </c>
      <c r="I2573">
        <v>4.6719999999999997</v>
      </c>
      <c r="K2573">
        <v>2571</v>
      </c>
      <c r="L2573">
        <v>41</v>
      </c>
      <c r="M2573" s="32">
        <v>2.6</v>
      </c>
      <c r="N2573" s="32">
        <v>4.8499999999999996</v>
      </c>
      <c r="P2573" s="47">
        <v>1.7529999999999999</v>
      </c>
      <c r="R2573" s="47">
        <v>0.20699999999999999</v>
      </c>
      <c r="S2573" s="47">
        <v>4.5570000000000004</v>
      </c>
      <c r="T2573" s="31">
        <v>0</v>
      </c>
      <c r="V2573">
        <v>2571</v>
      </c>
      <c r="W2573">
        <v>39</v>
      </c>
      <c r="X2573">
        <v>2.6120000000000001</v>
      </c>
      <c r="Y2573" s="32">
        <v>4.8499999999999996</v>
      </c>
      <c r="Z2573">
        <v>0</v>
      </c>
      <c r="AA2573" s="32">
        <v>1.6180000000000001</v>
      </c>
      <c r="AB2573">
        <v>0</v>
      </c>
      <c r="AC2573" s="34">
        <v>0.20599999999999999</v>
      </c>
      <c r="AD2573" s="32">
        <v>4.226</v>
      </c>
    </row>
    <row r="2574" spans="1:30">
      <c r="A2574">
        <v>2572</v>
      </c>
      <c r="B2574">
        <v>41</v>
      </c>
      <c r="C2574">
        <v>2.601</v>
      </c>
      <c r="D2574">
        <v>4.8499999999999996</v>
      </c>
      <c r="E2574">
        <v>0</v>
      </c>
      <c r="F2574">
        <v>1.7529999999999999</v>
      </c>
      <c r="G2574">
        <v>0</v>
      </c>
      <c r="H2574">
        <v>0.20300000000000001</v>
      </c>
      <c r="I2574">
        <v>4.6989999999999998</v>
      </c>
      <c r="K2574">
        <v>2572</v>
      </c>
      <c r="L2574">
        <v>41</v>
      </c>
      <c r="M2574" s="32">
        <v>2.601</v>
      </c>
      <c r="N2574" s="32">
        <v>4.8499999999999996</v>
      </c>
      <c r="P2574" s="32">
        <v>1.7529999999999999</v>
      </c>
      <c r="R2574" s="47">
        <v>0.20699999999999999</v>
      </c>
      <c r="S2574" s="47">
        <v>4.5590000000000002</v>
      </c>
      <c r="T2574" s="31">
        <v>0</v>
      </c>
      <c r="V2574">
        <v>2572</v>
      </c>
      <c r="W2574">
        <v>39</v>
      </c>
      <c r="X2574">
        <v>2.613</v>
      </c>
      <c r="Y2574" s="32">
        <v>4.8499999999999996</v>
      </c>
      <c r="Z2574">
        <v>0</v>
      </c>
      <c r="AA2574" s="32">
        <v>1.6180000000000001</v>
      </c>
      <c r="AB2574">
        <v>0</v>
      </c>
      <c r="AC2574" s="34">
        <v>0.20699999999999999</v>
      </c>
      <c r="AD2574" s="32">
        <v>4.2279999999999998</v>
      </c>
    </row>
    <row r="2575" spans="1:30">
      <c r="A2575">
        <v>2573</v>
      </c>
      <c r="B2575">
        <v>41</v>
      </c>
      <c r="C2575">
        <v>2.6019999999999999</v>
      </c>
      <c r="D2575">
        <v>4.8499999999999996</v>
      </c>
      <c r="E2575">
        <v>0</v>
      </c>
      <c r="F2575">
        <v>1.7529999999999999</v>
      </c>
      <c r="G2575">
        <v>0</v>
      </c>
      <c r="H2575">
        <v>0.20300000000000001</v>
      </c>
      <c r="I2575">
        <v>4.7009999999999996</v>
      </c>
      <c r="K2575">
        <v>2573</v>
      </c>
      <c r="L2575">
        <v>41</v>
      </c>
      <c r="M2575" s="32">
        <v>2.6019999999999999</v>
      </c>
      <c r="N2575" s="32">
        <v>4.8499999999999996</v>
      </c>
      <c r="P2575" s="32">
        <v>1.7529999999999999</v>
      </c>
      <c r="R2575" s="47">
        <v>0.20699999999999999</v>
      </c>
      <c r="S2575" s="47">
        <v>4.5620000000000003</v>
      </c>
      <c r="T2575" s="31">
        <v>0</v>
      </c>
      <c r="V2575">
        <v>2573</v>
      </c>
      <c r="W2575">
        <v>39</v>
      </c>
      <c r="X2575">
        <v>2.6139999999999999</v>
      </c>
      <c r="Y2575" s="32">
        <v>4.8499999999999996</v>
      </c>
      <c r="Z2575">
        <v>0</v>
      </c>
      <c r="AA2575" s="32">
        <v>1.6180000000000001</v>
      </c>
      <c r="AB2575">
        <v>0</v>
      </c>
      <c r="AC2575" s="34">
        <v>0.20699999999999999</v>
      </c>
      <c r="AD2575" s="32">
        <v>4.2300000000000004</v>
      </c>
    </row>
    <row r="2576" spans="1:30">
      <c r="A2576">
        <v>2574</v>
      </c>
      <c r="B2576">
        <v>41</v>
      </c>
      <c r="C2576">
        <v>2.6030000000000002</v>
      </c>
      <c r="D2576">
        <v>4.8499999999999996</v>
      </c>
      <c r="E2576">
        <v>0</v>
      </c>
      <c r="F2576">
        <v>1.7529999999999999</v>
      </c>
      <c r="G2576">
        <v>0</v>
      </c>
      <c r="H2576">
        <v>0.20300000000000001</v>
      </c>
      <c r="I2576">
        <v>4.7030000000000003</v>
      </c>
      <c r="K2576">
        <v>2574</v>
      </c>
      <c r="L2576">
        <v>41</v>
      </c>
      <c r="M2576" s="32">
        <v>2.6030000000000002</v>
      </c>
      <c r="N2576" s="32">
        <v>4.8499999999999996</v>
      </c>
      <c r="P2576" s="47">
        <v>1.754</v>
      </c>
      <c r="R2576" s="47">
        <v>0.20699999999999999</v>
      </c>
      <c r="S2576" s="47">
        <v>4.5640000000000001</v>
      </c>
      <c r="T2576" s="31">
        <v>0</v>
      </c>
      <c r="V2576">
        <v>2574</v>
      </c>
      <c r="W2576">
        <v>39</v>
      </c>
      <c r="X2576">
        <v>2.6150000000000002</v>
      </c>
      <c r="Y2576" s="32">
        <v>4.8499999999999996</v>
      </c>
      <c r="Z2576">
        <v>0</v>
      </c>
      <c r="AA2576" s="32">
        <v>1.6180000000000001</v>
      </c>
      <c r="AB2576">
        <v>0</v>
      </c>
      <c r="AC2576" s="34">
        <v>0.20699999999999999</v>
      </c>
      <c r="AD2576" s="32">
        <v>4.2320000000000002</v>
      </c>
    </row>
    <row r="2577" spans="1:30">
      <c r="A2577">
        <v>2575</v>
      </c>
      <c r="B2577">
        <v>41</v>
      </c>
      <c r="C2577">
        <v>2.6040000000000001</v>
      </c>
      <c r="D2577">
        <v>4.8499999999999996</v>
      </c>
      <c r="E2577">
        <v>0</v>
      </c>
      <c r="F2577">
        <v>1.7529999999999999</v>
      </c>
      <c r="G2577">
        <v>0</v>
      </c>
      <c r="H2577">
        <v>0.20300000000000001</v>
      </c>
      <c r="I2577">
        <v>4.7060000000000004</v>
      </c>
      <c r="K2577">
        <v>2575</v>
      </c>
      <c r="L2577">
        <v>41</v>
      </c>
      <c r="M2577" s="32">
        <v>2.6040000000000001</v>
      </c>
      <c r="N2577" s="32">
        <v>4.8499999999999996</v>
      </c>
      <c r="P2577" s="47">
        <v>1.754</v>
      </c>
      <c r="R2577" s="47">
        <v>0.20699999999999999</v>
      </c>
      <c r="S2577" s="47">
        <v>4.5670000000000002</v>
      </c>
      <c r="T2577" s="31">
        <v>0</v>
      </c>
      <c r="V2577">
        <v>2575</v>
      </c>
      <c r="W2577">
        <v>39</v>
      </c>
      <c r="X2577">
        <v>2.6160000000000001</v>
      </c>
      <c r="Y2577" s="32">
        <v>4.8499999999999996</v>
      </c>
      <c r="Z2577">
        <v>0</v>
      </c>
      <c r="AA2577" s="32">
        <v>1.619</v>
      </c>
      <c r="AB2577">
        <v>0</v>
      </c>
      <c r="AC2577" s="34">
        <v>0.20699999999999999</v>
      </c>
      <c r="AD2577" s="32">
        <v>4.2350000000000003</v>
      </c>
    </row>
    <row r="2578" spans="1:30">
      <c r="A2578">
        <v>2576</v>
      </c>
      <c r="B2578">
        <v>41</v>
      </c>
      <c r="C2578">
        <v>2.605</v>
      </c>
      <c r="D2578">
        <v>4.8499999999999996</v>
      </c>
      <c r="E2578">
        <v>0</v>
      </c>
      <c r="F2578">
        <v>1.7529999999999999</v>
      </c>
      <c r="G2578">
        <v>0</v>
      </c>
      <c r="H2578">
        <v>0.20300000000000001</v>
      </c>
      <c r="I2578">
        <v>4.7080000000000002</v>
      </c>
      <c r="K2578">
        <v>2576</v>
      </c>
      <c r="L2578">
        <v>41</v>
      </c>
      <c r="M2578" s="32">
        <v>2.605</v>
      </c>
      <c r="N2578" s="32">
        <v>4.8499999999999996</v>
      </c>
      <c r="P2578" s="47">
        <v>1.754</v>
      </c>
      <c r="R2578" s="47">
        <v>0.20699999999999999</v>
      </c>
      <c r="S2578" s="47">
        <v>4.569</v>
      </c>
      <c r="T2578" s="31">
        <v>0</v>
      </c>
      <c r="V2578">
        <v>2576</v>
      </c>
      <c r="W2578">
        <v>39</v>
      </c>
      <c r="X2578">
        <v>2.617</v>
      </c>
      <c r="Y2578" s="32">
        <v>4.8499999999999996</v>
      </c>
      <c r="Z2578">
        <v>0</v>
      </c>
      <c r="AA2578" s="32">
        <v>1.619</v>
      </c>
      <c r="AB2578">
        <v>0</v>
      </c>
      <c r="AC2578" s="34">
        <v>0.20699999999999999</v>
      </c>
      <c r="AD2578" s="32">
        <v>4.2370000000000001</v>
      </c>
    </row>
    <row r="2579" spans="1:30">
      <c r="A2579">
        <v>2577</v>
      </c>
      <c r="B2579">
        <v>41</v>
      </c>
      <c r="C2579">
        <v>2.6059999999999999</v>
      </c>
      <c r="D2579">
        <v>4.8499999999999996</v>
      </c>
      <c r="E2579">
        <v>0</v>
      </c>
      <c r="F2579">
        <v>1.7529999999999999</v>
      </c>
      <c r="G2579">
        <v>0</v>
      </c>
      <c r="H2579">
        <v>0.20300000000000001</v>
      </c>
      <c r="I2579">
        <v>4.71</v>
      </c>
      <c r="K2579">
        <v>2577</v>
      </c>
      <c r="L2579">
        <v>41</v>
      </c>
      <c r="M2579" s="32">
        <v>2.6059999999999999</v>
      </c>
      <c r="N2579" s="32">
        <v>4.8499999999999996</v>
      </c>
      <c r="P2579" s="47">
        <v>1.754</v>
      </c>
      <c r="R2579" s="47">
        <v>0.20699999999999999</v>
      </c>
      <c r="S2579" s="47">
        <v>4.5709999999999997</v>
      </c>
      <c r="T2579" s="31">
        <v>0</v>
      </c>
      <c r="V2579">
        <v>2577</v>
      </c>
      <c r="W2579">
        <v>39</v>
      </c>
      <c r="X2579">
        <v>2.6179999999999999</v>
      </c>
      <c r="Y2579" s="32">
        <v>4.8499999999999996</v>
      </c>
      <c r="Z2579">
        <v>0</v>
      </c>
      <c r="AA2579" s="32">
        <v>1.619</v>
      </c>
      <c r="AB2579">
        <v>0</v>
      </c>
      <c r="AC2579" s="34">
        <v>0.20699999999999999</v>
      </c>
      <c r="AD2579" s="32">
        <v>4.2389999999999999</v>
      </c>
    </row>
    <row r="2580" spans="1:30">
      <c r="A2580">
        <v>2578</v>
      </c>
      <c r="B2580">
        <v>41</v>
      </c>
      <c r="C2580">
        <v>2.6070000000000002</v>
      </c>
      <c r="D2580">
        <v>4.8499999999999996</v>
      </c>
      <c r="E2580">
        <v>0</v>
      </c>
      <c r="F2580">
        <v>1.7529999999999999</v>
      </c>
      <c r="G2580">
        <v>0</v>
      </c>
      <c r="H2580">
        <v>0.20300000000000001</v>
      </c>
      <c r="I2580">
        <v>4.7130000000000001</v>
      </c>
      <c r="K2580">
        <v>2578</v>
      </c>
      <c r="L2580">
        <v>41</v>
      </c>
      <c r="M2580" s="32">
        <v>2.6070000000000002</v>
      </c>
      <c r="N2580" s="32">
        <v>4.8499999999999996</v>
      </c>
      <c r="P2580" s="47">
        <v>1.754</v>
      </c>
      <c r="R2580" s="47">
        <v>0.20699999999999999</v>
      </c>
      <c r="S2580" s="47">
        <v>4.5739999999999998</v>
      </c>
      <c r="T2580" s="31">
        <v>0</v>
      </c>
      <c r="V2580">
        <v>2578</v>
      </c>
      <c r="W2580">
        <v>39</v>
      </c>
      <c r="X2580">
        <v>2.6190000000000002</v>
      </c>
      <c r="Y2580" s="32">
        <v>4.8499999999999996</v>
      </c>
      <c r="Z2580">
        <v>0</v>
      </c>
      <c r="AA2580" s="32">
        <v>1.619</v>
      </c>
      <c r="AB2580">
        <v>0</v>
      </c>
      <c r="AC2580" s="34">
        <v>0.20699999999999999</v>
      </c>
      <c r="AD2580" s="32">
        <v>4.2409999999999997</v>
      </c>
    </row>
    <row r="2581" spans="1:30">
      <c r="A2581">
        <v>2579</v>
      </c>
      <c r="B2581">
        <v>41</v>
      </c>
      <c r="C2581">
        <v>2.6080000000000001</v>
      </c>
      <c r="D2581">
        <v>4.8499999999999996</v>
      </c>
      <c r="E2581">
        <v>0</v>
      </c>
      <c r="F2581">
        <v>1.7529999999999999</v>
      </c>
      <c r="G2581">
        <v>0</v>
      </c>
      <c r="H2581">
        <v>0.20300000000000001</v>
      </c>
      <c r="I2581">
        <v>4.7149999999999999</v>
      </c>
      <c r="K2581">
        <v>2579</v>
      </c>
      <c r="L2581">
        <v>41</v>
      </c>
      <c r="M2581" s="32">
        <v>2.6080000000000001</v>
      </c>
      <c r="N2581" s="32">
        <v>4.8499999999999996</v>
      </c>
      <c r="P2581" s="47">
        <v>1.7549999999999999</v>
      </c>
      <c r="R2581" s="47">
        <v>0.20799999999999999</v>
      </c>
      <c r="S2581" s="47">
        <v>4.5759999999999996</v>
      </c>
      <c r="T2581" s="31">
        <v>0</v>
      </c>
      <c r="V2581">
        <v>2579</v>
      </c>
      <c r="W2581">
        <v>39</v>
      </c>
      <c r="X2581">
        <v>2.62</v>
      </c>
      <c r="Y2581" s="32">
        <v>4.8499999999999996</v>
      </c>
      <c r="Z2581">
        <v>0</v>
      </c>
      <c r="AA2581" s="32">
        <v>1.62</v>
      </c>
      <c r="AB2581">
        <v>0</v>
      </c>
      <c r="AC2581" s="34">
        <v>0.20699999999999999</v>
      </c>
      <c r="AD2581" s="32">
        <v>4.2439999999999998</v>
      </c>
    </row>
    <row r="2582" spans="1:30">
      <c r="A2582">
        <v>2580</v>
      </c>
      <c r="B2582">
        <v>41</v>
      </c>
      <c r="C2582">
        <v>2.609</v>
      </c>
      <c r="D2582">
        <v>4.8499999999999996</v>
      </c>
      <c r="E2582">
        <v>0</v>
      </c>
      <c r="F2582">
        <v>1.7529999999999999</v>
      </c>
      <c r="G2582">
        <v>0</v>
      </c>
      <c r="H2582">
        <v>0.20300000000000001</v>
      </c>
      <c r="I2582">
        <v>4.7169999999999996</v>
      </c>
      <c r="K2582">
        <v>2580</v>
      </c>
      <c r="L2582">
        <v>41</v>
      </c>
      <c r="M2582" s="32">
        <v>2.609</v>
      </c>
      <c r="N2582" s="32">
        <v>4.8499999999999996</v>
      </c>
      <c r="P2582" s="47">
        <v>1.7549999999999999</v>
      </c>
      <c r="R2582" s="47">
        <v>0.20799999999999999</v>
      </c>
      <c r="S2582" s="47">
        <v>4.5789999999999997</v>
      </c>
      <c r="T2582" s="31">
        <v>0</v>
      </c>
      <c r="V2582">
        <v>2580</v>
      </c>
      <c r="W2582">
        <v>39</v>
      </c>
      <c r="X2582">
        <v>2.621</v>
      </c>
      <c r="Y2582" s="32">
        <v>4.8650000000000002</v>
      </c>
      <c r="Z2582">
        <v>0</v>
      </c>
      <c r="AA2582" s="32">
        <v>1.62</v>
      </c>
      <c r="AB2582">
        <v>0</v>
      </c>
      <c r="AC2582" s="34">
        <v>0.20699999999999999</v>
      </c>
      <c r="AD2582" s="32">
        <v>4.2460000000000004</v>
      </c>
    </row>
    <row r="2583" spans="1:30">
      <c r="A2583">
        <v>2581</v>
      </c>
      <c r="B2583">
        <v>41</v>
      </c>
      <c r="C2583">
        <v>2.61</v>
      </c>
      <c r="D2583">
        <v>4.8499999999999996</v>
      </c>
      <c r="E2583">
        <v>0</v>
      </c>
      <c r="F2583">
        <v>1.7549999999999999</v>
      </c>
      <c r="G2583">
        <v>0</v>
      </c>
      <c r="H2583">
        <v>0.20300000000000001</v>
      </c>
      <c r="I2583">
        <v>4.5810000000000004</v>
      </c>
      <c r="K2583">
        <v>2581</v>
      </c>
      <c r="L2583">
        <v>41</v>
      </c>
      <c r="M2583" s="32">
        <v>2.61</v>
      </c>
      <c r="N2583" s="32">
        <v>4.8499999999999996</v>
      </c>
      <c r="P2583" s="32">
        <v>1.7549999999999999</v>
      </c>
      <c r="R2583" s="47">
        <v>0.20799999999999999</v>
      </c>
      <c r="S2583" s="32">
        <v>4.5810000000000004</v>
      </c>
      <c r="T2583" s="31">
        <v>0</v>
      </c>
      <c r="V2583">
        <v>2581</v>
      </c>
      <c r="W2583">
        <v>39</v>
      </c>
      <c r="X2583">
        <v>2.6219999999999999</v>
      </c>
      <c r="Y2583" s="32">
        <v>4.88</v>
      </c>
      <c r="Z2583">
        <v>0</v>
      </c>
      <c r="AA2583" s="32">
        <v>1.62</v>
      </c>
      <c r="AB2583">
        <v>0</v>
      </c>
      <c r="AC2583" s="34">
        <v>0.20699999999999999</v>
      </c>
      <c r="AD2583" s="32">
        <v>4.2480000000000002</v>
      </c>
    </row>
    <row r="2584" spans="1:30">
      <c r="A2584">
        <v>2582</v>
      </c>
      <c r="B2584">
        <v>41</v>
      </c>
      <c r="C2584">
        <v>2.6110000000000002</v>
      </c>
      <c r="D2584">
        <v>4.8499999999999996</v>
      </c>
      <c r="E2584">
        <v>0</v>
      </c>
      <c r="F2584">
        <v>1.7549999999999999</v>
      </c>
      <c r="G2584">
        <v>0</v>
      </c>
      <c r="H2584">
        <v>0.20300000000000001</v>
      </c>
      <c r="I2584">
        <v>4.7460000000000004</v>
      </c>
      <c r="K2584">
        <v>2582</v>
      </c>
      <c r="L2584">
        <v>41</v>
      </c>
      <c r="M2584" s="32">
        <v>2.6110000000000002</v>
      </c>
      <c r="N2584" s="32">
        <v>4.8499999999999996</v>
      </c>
      <c r="P2584" s="32">
        <v>1.7549999999999999</v>
      </c>
      <c r="R2584" s="47">
        <v>0.20799999999999999</v>
      </c>
      <c r="S2584" s="47">
        <v>4.5830000000000002</v>
      </c>
      <c r="T2584" s="31">
        <v>0</v>
      </c>
      <c r="V2584">
        <v>2582</v>
      </c>
      <c r="W2584">
        <v>39</v>
      </c>
      <c r="X2584">
        <v>2.6230000000000002</v>
      </c>
      <c r="Y2584" s="32">
        <v>4.8949999999999996</v>
      </c>
      <c r="Z2584">
        <v>0</v>
      </c>
      <c r="AA2584" s="32">
        <v>1.62</v>
      </c>
      <c r="AB2584">
        <v>0</v>
      </c>
      <c r="AC2584" s="34">
        <v>0.20699999999999999</v>
      </c>
      <c r="AD2584" s="32">
        <v>4.25</v>
      </c>
    </row>
    <row r="2585" spans="1:30">
      <c r="A2585">
        <v>2583</v>
      </c>
      <c r="B2585">
        <v>41</v>
      </c>
      <c r="C2585">
        <v>2.6120000000000001</v>
      </c>
      <c r="D2585">
        <v>4.8499999999999996</v>
      </c>
      <c r="E2585">
        <v>0</v>
      </c>
      <c r="F2585">
        <v>1.7549999999999999</v>
      </c>
      <c r="G2585">
        <v>0</v>
      </c>
      <c r="H2585">
        <v>0.20300000000000001</v>
      </c>
      <c r="I2585">
        <v>4.7480000000000002</v>
      </c>
      <c r="K2585">
        <v>2583</v>
      </c>
      <c r="L2585">
        <v>41</v>
      </c>
      <c r="M2585" s="32">
        <v>2.6120000000000001</v>
      </c>
      <c r="N2585" s="32">
        <v>4.8499999999999996</v>
      </c>
      <c r="P2585" s="47">
        <v>1.756</v>
      </c>
      <c r="R2585" s="47">
        <v>0.20799999999999999</v>
      </c>
      <c r="S2585" s="47">
        <v>4.5860000000000003</v>
      </c>
      <c r="T2585" s="31">
        <v>0</v>
      </c>
      <c r="V2585">
        <v>2583</v>
      </c>
      <c r="W2585">
        <v>39</v>
      </c>
      <c r="X2585">
        <v>2.6240000000000001</v>
      </c>
      <c r="Y2585" s="32">
        <v>4.91</v>
      </c>
      <c r="Z2585">
        <v>0</v>
      </c>
      <c r="AA2585" s="32">
        <v>1.621</v>
      </c>
      <c r="AB2585">
        <v>0</v>
      </c>
      <c r="AC2585" s="34">
        <v>0.20699999999999999</v>
      </c>
      <c r="AD2585" s="32">
        <v>4.2530000000000001</v>
      </c>
    </row>
    <row r="2586" spans="1:30">
      <c r="A2586">
        <v>2584</v>
      </c>
      <c r="B2586">
        <v>41</v>
      </c>
      <c r="C2586">
        <v>2.613</v>
      </c>
      <c r="D2586">
        <v>4.8499999999999996</v>
      </c>
      <c r="E2586">
        <v>0</v>
      </c>
      <c r="F2586">
        <v>1.7549999999999999</v>
      </c>
      <c r="G2586">
        <v>0</v>
      </c>
      <c r="H2586">
        <v>0.20300000000000001</v>
      </c>
      <c r="I2586">
        <v>4.7510000000000003</v>
      </c>
      <c r="K2586">
        <v>2584</v>
      </c>
      <c r="L2586">
        <v>41</v>
      </c>
      <c r="M2586" s="32">
        <v>2.613</v>
      </c>
      <c r="N2586" s="32">
        <v>4.8499999999999996</v>
      </c>
      <c r="P2586" s="47">
        <v>1.756</v>
      </c>
      <c r="R2586" s="47">
        <v>0.20799999999999999</v>
      </c>
      <c r="S2586" s="47">
        <v>4.5880000000000001</v>
      </c>
      <c r="T2586" s="31">
        <v>0</v>
      </c>
      <c r="V2586">
        <v>2584</v>
      </c>
      <c r="W2586">
        <v>39</v>
      </c>
      <c r="X2586">
        <v>2.625</v>
      </c>
      <c r="Y2586" s="32">
        <v>4.9249999999999998</v>
      </c>
      <c r="Z2586">
        <v>0</v>
      </c>
      <c r="AA2586" s="32">
        <v>1.621</v>
      </c>
      <c r="AB2586">
        <v>0</v>
      </c>
      <c r="AC2586" s="34">
        <v>0.20699999999999999</v>
      </c>
      <c r="AD2586" s="32">
        <v>4.2549999999999999</v>
      </c>
    </row>
    <row r="2587" spans="1:30">
      <c r="A2587">
        <v>2585</v>
      </c>
      <c r="B2587">
        <v>41</v>
      </c>
      <c r="C2587">
        <v>2.6139999999999999</v>
      </c>
      <c r="D2587">
        <v>4.8499999999999996</v>
      </c>
      <c r="E2587">
        <v>0</v>
      </c>
      <c r="F2587">
        <v>1.7549999999999999</v>
      </c>
      <c r="G2587">
        <v>0</v>
      </c>
      <c r="H2587">
        <v>0.20300000000000001</v>
      </c>
      <c r="I2587">
        <v>4.7530000000000001</v>
      </c>
      <c r="K2587">
        <v>2585</v>
      </c>
      <c r="L2587">
        <v>41</v>
      </c>
      <c r="M2587" s="32">
        <v>2.6139999999999999</v>
      </c>
      <c r="N2587" s="32">
        <v>4.8499999999999996</v>
      </c>
      <c r="P2587" s="47">
        <v>1.756</v>
      </c>
      <c r="R2587" s="47">
        <v>0.20799999999999999</v>
      </c>
      <c r="S2587" s="47">
        <v>4.5910000000000002</v>
      </c>
      <c r="T2587" s="31">
        <v>0</v>
      </c>
      <c r="V2587">
        <v>2585</v>
      </c>
      <c r="W2587">
        <v>39</v>
      </c>
      <c r="X2587">
        <v>2.6259999999999999</v>
      </c>
      <c r="Y2587" s="32">
        <v>4.9400000000000004</v>
      </c>
      <c r="Z2587">
        <v>0</v>
      </c>
      <c r="AA2587" s="32">
        <v>1.621</v>
      </c>
      <c r="AB2587">
        <v>0</v>
      </c>
      <c r="AC2587" s="34">
        <v>0.20699999999999999</v>
      </c>
      <c r="AD2587" s="32">
        <v>4.2569999999999997</v>
      </c>
    </row>
    <row r="2588" spans="1:30">
      <c r="A2588">
        <v>2586</v>
      </c>
      <c r="B2588">
        <v>41</v>
      </c>
      <c r="C2588">
        <v>2.6150000000000002</v>
      </c>
      <c r="D2588">
        <v>4.8499999999999996</v>
      </c>
      <c r="E2588">
        <v>0</v>
      </c>
      <c r="F2588">
        <v>1.7549999999999999</v>
      </c>
      <c r="G2588">
        <v>0</v>
      </c>
      <c r="H2588">
        <v>0.20300000000000001</v>
      </c>
      <c r="I2588">
        <v>4.7549999999999999</v>
      </c>
      <c r="K2588">
        <v>2586</v>
      </c>
      <c r="L2588">
        <v>41</v>
      </c>
      <c r="M2588" s="32">
        <v>2.6150000000000002</v>
      </c>
      <c r="N2588" s="32">
        <v>4.8499999999999996</v>
      </c>
      <c r="P2588" s="47">
        <v>1.7569999999999999</v>
      </c>
      <c r="R2588" s="47">
        <v>0.20799999999999999</v>
      </c>
      <c r="S2588" s="47">
        <v>4.593</v>
      </c>
      <c r="T2588" s="31">
        <v>0</v>
      </c>
      <c r="V2588">
        <v>2586</v>
      </c>
      <c r="W2588">
        <v>39</v>
      </c>
      <c r="X2588">
        <v>2.6269999999999998</v>
      </c>
      <c r="Y2588" s="32">
        <v>4.9550000000000001</v>
      </c>
      <c r="Z2588">
        <v>0</v>
      </c>
      <c r="AA2588" s="32">
        <v>1.621</v>
      </c>
      <c r="AB2588">
        <v>0</v>
      </c>
      <c r="AC2588" s="34">
        <v>0.20699999999999999</v>
      </c>
      <c r="AD2588" s="32">
        <v>4.2590000000000003</v>
      </c>
    </row>
    <row r="2589" spans="1:30">
      <c r="A2589">
        <v>2587</v>
      </c>
      <c r="B2589">
        <v>41</v>
      </c>
      <c r="C2589">
        <v>2.6160000000000001</v>
      </c>
      <c r="D2589">
        <v>4.8499999999999996</v>
      </c>
      <c r="E2589">
        <v>0</v>
      </c>
      <c r="F2589">
        <v>1.7549999999999999</v>
      </c>
      <c r="G2589">
        <v>0</v>
      </c>
      <c r="H2589">
        <v>0.20300000000000001</v>
      </c>
      <c r="I2589">
        <v>4.7569999999999997</v>
      </c>
      <c r="K2589">
        <v>2587</v>
      </c>
      <c r="L2589">
        <v>41</v>
      </c>
      <c r="M2589" s="32">
        <v>2.6160000000000001</v>
      </c>
      <c r="N2589" s="32">
        <v>4.8499999999999996</v>
      </c>
      <c r="P2589" s="47">
        <v>1.7569999999999999</v>
      </c>
      <c r="R2589" s="47">
        <v>0.20799999999999999</v>
      </c>
      <c r="S2589" s="47">
        <v>4.5949999999999998</v>
      </c>
      <c r="T2589" s="31">
        <v>0</v>
      </c>
      <c r="V2589">
        <v>2587</v>
      </c>
      <c r="W2589">
        <v>39</v>
      </c>
      <c r="X2589">
        <v>2.6280000000000001</v>
      </c>
      <c r="Y2589" s="32">
        <v>4.97</v>
      </c>
      <c r="Z2589">
        <v>0</v>
      </c>
      <c r="AA2589" s="32">
        <v>1.621</v>
      </c>
      <c r="AB2589">
        <v>0</v>
      </c>
      <c r="AC2589" s="34">
        <v>0.20699999999999999</v>
      </c>
      <c r="AD2589" s="32">
        <v>4.2610000000000001</v>
      </c>
    </row>
    <row r="2590" spans="1:30">
      <c r="A2590">
        <v>2588</v>
      </c>
      <c r="B2590">
        <v>41</v>
      </c>
      <c r="C2590">
        <v>2.617</v>
      </c>
      <c r="D2590">
        <v>4.8499999999999996</v>
      </c>
      <c r="E2590">
        <v>0</v>
      </c>
      <c r="F2590">
        <v>1.7549999999999999</v>
      </c>
      <c r="G2590">
        <v>0</v>
      </c>
      <c r="H2590">
        <v>0.20300000000000001</v>
      </c>
      <c r="I2590">
        <v>4.76</v>
      </c>
      <c r="K2590">
        <v>2588</v>
      </c>
      <c r="L2590">
        <v>41</v>
      </c>
      <c r="M2590" s="32">
        <v>2.617</v>
      </c>
      <c r="N2590" s="32">
        <v>4.8499999999999996</v>
      </c>
      <c r="P2590" s="47">
        <v>1.7569999999999999</v>
      </c>
      <c r="R2590" s="47">
        <v>0.20799999999999999</v>
      </c>
      <c r="S2590" s="47">
        <v>4.5979999999999999</v>
      </c>
      <c r="T2590" s="31">
        <v>0</v>
      </c>
      <c r="V2590">
        <v>2588</v>
      </c>
      <c r="W2590">
        <v>39</v>
      </c>
      <c r="X2590">
        <v>2.629</v>
      </c>
      <c r="Y2590" s="32">
        <v>4.9850000000000003</v>
      </c>
      <c r="Z2590">
        <v>0</v>
      </c>
      <c r="AA2590" s="32">
        <v>1.6220000000000001</v>
      </c>
      <c r="AB2590">
        <v>0</v>
      </c>
      <c r="AC2590" s="34">
        <v>0.20699999999999999</v>
      </c>
      <c r="AD2590" s="32">
        <v>4.2640000000000002</v>
      </c>
    </row>
    <row r="2591" spans="1:30">
      <c r="A2591">
        <v>2589</v>
      </c>
      <c r="B2591">
        <v>41</v>
      </c>
      <c r="C2591">
        <v>2.6179999999999999</v>
      </c>
      <c r="D2591">
        <v>4.8499999999999996</v>
      </c>
      <c r="E2591">
        <v>0</v>
      </c>
      <c r="F2591">
        <v>1.7549999999999999</v>
      </c>
      <c r="G2591">
        <v>0</v>
      </c>
      <c r="H2591">
        <v>0.20300000000000001</v>
      </c>
      <c r="I2591">
        <v>4.7619999999999996</v>
      </c>
      <c r="K2591">
        <v>2589</v>
      </c>
      <c r="L2591">
        <v>41</v>
      </c>
      <c r="M2591" s="32">
        <v>2.6179999999999999</v>
      </c>
      <c r="N2591" s="32">
        <v>4.8499999999999996</v>
      </c>
      <c r="P2591" s="47">
        <v>1.7569999999999999</v>
      </c>
      <c r="R2591" s="47">
        <v>0.20799999999999999</v>
      </c>
      <c r="S2591" s="47">
        <v>4.5999999999999996</v>
      </c>
      <c r="T2591" s="31">
        <v>0</v>
      </c>
      <c r="V2591">
        <v>2589</v>
      </c>
      <c r="W2591">
        <v>39</v>
      </c>
      <c r="X2591">
        <v>2.63</v>
      </c>
      <c r="Y2591" s="32">
        <v>5</v>
      </c>
      <c r="Z2591">
        <v>0</v>
      </c>
      <c r="AA2591" s="32">
        <v>1.6220000000000001</v>
      </c>
      <c r="AB2591">
        <v>0</v>
      </c>
      <c r="AC2591" s="34">
        <v>0.20699999999999999</v>
      </c>
      <c r="AD2591" s="32">
        <v>4.266</v>
      </c>
    </row>
    <row r="2592" spans="1:30">
      <c r="A2592">
        <v>2590</v>
      </c>
      <c r="B2592">
        <v>41</v>
      </c>
      <c r="C2592">
        <v>2.6190000000000002</v>
      </c>
      <c r="D2592">
        <v>4.8499999999999996</v>
      </c>
      <c r="E2592">
        <v>0</v>
      </c>
      <c r="F2592">
        <v>1.7549999999999999</v>
      </c>
      <c r="G2592">
        <v>0</v>
      </c>
      <c r="H2592">
        <v>0.20300000000000001</v>
      </c>
      <c r="I2592">
        <v>4.7640000000000002</v>
      </c>
      <c r="K2592">
        <v>2590</v>
      </c>
      <c r="L2592">
        <v>41</v>
      </c>
      <c r="M2592" s="32">
        <v>2.6190000000000002</v>
      </c>
      <c r="N2592" s="32">
        <v>4.8499999999999996</v>
      </c>
      <c r="P2592" s="47">
        <v>1.758</v>
      </c>
      <c r="R2592" s="47">
        <v>0.20799999999999999</v>
      </c>
      <c r="S2592" s="47">
        <v>4.6029999999999998</v>
      </c>
      <c r="T2592" s="31">
        <v>0</v>
      </c>
      <c r="V2592">
        <v>2590</v>
      </c>
      <c r="W2592">
        <v>39</v>
      </c>
      <c r="X2592">
        <v>2.6309999999999998</v>
      </c>
      <c r="Y2592" s="32">
        <v>5</v>
      </c>
      <c r="Z2592">
        <v>0</v>
      </c>
      <c r="AA2592" s="32">
        <v>1.6220000000000001</v>
      </c>
      <c r="AB2592">
        <v>0</v>
      </c>
      <c r="AC2592" s="34">
        <v>0.20699999999999999</v>
      </c>
      <c r="AD2592" s="32">
        <v>4.2679999999999998</v>
      </c>
    </row>
    <row r="2593" spans="1:30">
      <c r="A2593">
        <v>2591</v>
      </c>
      <c r="B2593">
        <v>41</v>
      </c>
      <c r="C2593">
        <v>2.62</v>
      </c>
      <c r="D2593">
        <v>4.8499999999999996</v>
      </c>
      <c r="E2593">
        <v>0</v>
      </c>
      <c r="F2593">
        <v>1.7549999999999999</v>
      </c>
      <c r="G2593">
        <v>0</v>
      </c>
      <c r="H2593">
        <v>0.20300000000000001</v>
      </c>
      <c r="I2593">
        <v>4.7670000000000003</v>
      </c>
      <c r="K2593">
        <v>2591</v>
      </c>
      <c r="L2593">
        <v>41</v>
      </c>
      <c r="M2593" s="32">
        <v>2.62</v>
      </c>
      <c r="N2593" s="32">
        <v>4.8499999999999996</v>
      </c>
      <c r="P2593" s="47">
        <v>1.758</v>
      </c>
      <c r="R2593" s="47">
        <v>0.20799999999999999</v>
      </c>
      <c r="S2593" s="47">
        <v>4.6050000000000004</v>
      </c>
      <c r="T2593" s="31">
        <v>0</v>
      </c>
      <c r="V2593">
        <v>2591</v>
      </c>
      <c r="W2593">
        <v>39</v>
      </c>
      <c r="X2593">
        <v>2.6320000000000001</v>
      </c>
      <c r="Y2593" s="32">
        <v>5</v>
      </c>
      <c r="Z2593">
        <v>0</v>
      </c>
      <c r="AA2593" s="32">
        <v>1.6220000000000001</v>
      </c>
      <c r="AB2593">
        <v>0</v>
      </c>
      <c r="AC2593" s="34">
        <v>0.20699999999999999</v>
      </c>
      <c r="AD2593" s="32">
        <v>4.2699999999999996</v>
      </c>
    </row>
    <row r="2594" spans="1:30">
      <c r="A2594">
        <v>2592</v>
      </c>
      <c r="B2594">
        <v>41</v>
      </c>
      <c r="C2594">
        <v>2.621</v>
      </c>
      <c r="D2594">
        <v>4.8499999999999996</v>
      </c>
      <c r="E2594">
        <v>0</v>
      </c>
      <c r="F2594">
        <v>1.758</v>
      </c>
      <c r="G2594">
        <v>0</v>
      </c>
      <c r="H2594">
        <v>0.20300000000000001</v>
      </c>
      <c r="I2594">
        <v>4.7930000000000001</v>
      </c>
      <c r="K2594">
        <v>2592</v>
      </c>
      <c r="L2594">
        <v>41</v>
      </c>
      <c r="M2594" s="32">
        <v>2.621</v>
      </c>
      <c r="N2594" s="47">
        <v>4.8650000000000002</v>
      </c>
      <c r="P2594" s="32">
        <v>1.758</v>
      </c>
      <c r="R2594" s="47">
        <v>0.20799999999999999</v>
      </c>
      <c r="S2594" s="47">
        <v>4.6070000000000002</v>
      </c>
      <c r="T2594" s="31">
        <v>0</v>
      </c>
      <c r="V2594">
        <v>2592</v>
      </c>
      <c r="W2594">
        <v>39</v>
      </c>
      <c r="X2594">
        <v>2.633</v>
      </c>
      <c r="Y2594" s="32">
        <v>5</v>
      </c>
      <c r="Z2594">
        <v>0</v>
      </c>
      <c r="AA2594" s="32">
        <v>1.623</v>
      </c>
      <c r="AB2594">
        <v>0</v>
      </c>
      <c r="AC2594" s="34">
        <v>0.20699999999999999</v>
      </c>
      <c r="AD2594" s="32">
        <v>4.2729999999999997</v>
      </c>
    </row>
    <row r="2595" spans="1:30">
      <c r="A2595">
        <v>2593</v>
      </c>
      <c r="B2595">
        <v>41</v>
      </c>
      <c r="C2595">
        <v>2.6219999999999999</v>
      </c>
      <c r="D2595">
        <v>4.8499999999999996</v>
      </c>
      <c r="E2595">
        <v>0</v>
      </c>
      <c r="F2595">
        <v>1.758</v>
      </c>
      <c r="G2595">
        <v>0</v>
      </c>
      <c r="H2595">
        <v>0.20300000000000001</v>
      </c>
      <c r="I2595">
        <v>4.7949999999999999</v>
      </c>
      <c r="K2595">
        <v>2593</v>
      </c>
      <c r="L2595">
        <v>41</v>
      </c>
      <c r="M2595" s="32">
        <v>2.6219999999999999</v>
      </c>
      <c r="N2595" s="47">
        <v>4.88</v>
      </c>
      <c r="P2595" s="32">
        <v>1.758</v>
      </c>
      <c r="R2595" s="47">
        <v>0.20799999999999999</v>
      </c>
      <c r="S2595" s="47">
        <v>4.6079999999999997</v>
      </c>
      <c r="T2595" s="31">
        <v>0</v>
      </c>
      <c r="V2595">
        <v>2593</v>
      </c>
      <c r="W2595">
        <v>39</v>
      </c>
      <c r="X2595">
        <v>2.6339999999999999</v>
      </c>
      <c r="Y2595" s="32">
        <v>5</v>
      </c>
      <c r="Z2595">
        <v>0</v>
      </c>
      <c r="AA2595" s="32">
        <v>1.623</v>
      </c>
      <c r="AB2595">
        <v>0</v>
      </c>
      <c r="AC2595" s="34">
        <v>0.20699999999999999</v>
      </c>
      <c r="AD2595" s="32">
        <v>4.2750000000000004</v>
      </c>
    </row>
    <row r="2596" spans="1:30">
      <c r="A2596">
        <v>2594</v>
      </c>
      <c r="B2596">
        <v>41</v>
      </c>
      <c r="C2596">
        <v>2.6230000000000002</v>
      </c>
      <c r="D2596">
        <v>4.8499999999999996</v>
      </c>
      <c r="E2596">
        <v>0</v>
      </c>
      <c r="F2596">
        <v>1.758</v>
      </c>
      <c r="G2596">
        <v>0</v>
      </c>
      <c r="H2596">
        <v>0.20300000000000001</v>
      </c>
      <c r="I2596">
        <v>4.798</v>
      </c>
      <c r="K2596">
        <v>2594</v>
      </c>
      <c r="L2596">
        <v>41</v>
      </c>
      <c r="M2596" s="32">
        <v>2.6230000000000002</v>
      </c>
      <c r="N2596" s="47">
        <v>4.8949999999999996</v>
      </c>
      <c r="P2596" s="47">
        <v>1.7589999999999999</v>
      </c>
      <c r="R2596" s="47">
        <v>0.20899999999999999</v>
      </c>
      <c r="S2596" s="47">
        <v>4.6100000000000003</v>
      </c>
      <c r="T2596" s="31">
        <v>0</v>
      </c>
      <c r="V2596">
        <v>2594</v>
      </c>
      <c r="W2596">
        <v>39</v>
      </c>
      <c r="X2596">
        <v>2.6349999999999998</v>
      </c>
      <c r="Y2596" s="32">
        <v>5</v>
      </c>
      <c r="Z2596">
        <v>0</v>
      </c>
      <c r="AA2596" s="32">
        <v>1.623</v>
      </c>
      <c r="AB2596">
        <v>0</v>
      </c>
      <c r="AC2596" s="34">
        <v>0.20699999999999999</v>
      </c>
      <c r="AD2596" s="32">
        <v>4.2770000000000001</v>
      </c>
    </row>
    <row r="2597" spans="1:30">
      <c r="A2597">
        <v>2595</v>
      </c>
      <c r="B2597">
        <v>41</v>
      </c>
      <c r="C2597">
        <v>2.6240000000000001</v>
      </c>
      <c r="D2597">
        <v>4.8499999999999996</v>
      </c>
      <c r="E2597">
        <v>0</v>
      </c>
      <c r="F2597">
        <v>1.758</v>
      </c>
      <c r="G2597">
        <v>0</v>
      </c>
      <c r="H2597">
        <v>0.20300000000000001</v>
      </c>
      <c r="I2597">
        <v>4.8</v>
      </c>
      <c r="K2597">
        <v>2595</v>
      </c>
      <c r="L2597">
        <v>41</v>
      </c>
      <c r="M2597" s="32">
        <v>2.6240000000000001</v>
      </c>
      <c r="N2597" s="47">
        <v>4.91</v>
      </c>
      <c r="P2597" s="47">
        <v>1.7589999999999999</v>
      </c>
      <c r="R2597" s="47">
        <v>0.20899999999999999</v>
      </c>
      <c r="S2597" s="47">
        <v>4.6120000000000001</v>
      </c>
      <c r="T2597" s="31">
        <v>0</v>
      </c>
      <c r="V2597">
        <v>2595</v>
      </c>
      <c r="W2597">
        <v>39</v>
      </c>
      <c r="X2597">
        <v>2.6360000000000001</v>
      </c>
      <c r="Y2597" s="32">
        <v>5</v>
      </c>
      <c r="Z2597">
        <v>0</v>
      </c>
      <c r="AA2597" s="32">
        <v>1.623</v>
      </c>
      <c r="AB2597">
        <v>0</v>
      </c>
      <c r="AC2597" s="34">
        <v>0.20799999999999999</v>
      </c>
      <c r="AD2597" s="32">
        <v>4.2789999999999999</v>
      </c>
    </row>
    <row r="2598" spans="1:30">
      <c r="A2598">
        <v>2596</v>
      </c>
      <c r="B2598">
        <v>41</v>
      </c>
      <c r="C2598">
        <v>2.625</v>
      </c>
      <c r="D2598">
        <v>4.8499999999999996</v>
      </c>
      <c r="E2598">
        <v>0</v>
      </c>
      <c r="F2598">
        <v>1.758</v>
      </c>
      <c r="G2598">
        <v>0</v>
      </c>
      <c r="H2598">
        <v>0.20300000000000001</v>
      </c>
      <c r="I2598">
        <v>4.8019999999999996</v>
      </c>
      <c r="K2598">
        <v>2596</v>
      </c>
      <c r="L2598">
        <v>41</v>
      </c>
      <c r="M2598" s="32">
        <v>2.625</v>
      </c>
      <c r="N2598" s="47">
        <v>4.9249999999999998</v>
      </c>
      <c r="P2598" s="47">
        <v>1.7589999999999999</v>
      </c>
      <c r="R2598" s="47">
        <v>0.20899999999999999</v>
      </c>
      <c r="S2598" s="47">
        <v>4.6139999999999999</v>
      </c>
      <c r="T2598" s="31">
        <v>0</v>
      </c>
      <c r="V2598">
        <v>2596</v>
      </c>
      <c r="W2598">
        <v>39</v>
      </c>
      <c r="X2598">
        <v>2.637</v>
      </c>
      <c r="Y2598" s="32">
        <v>5</v>
      </c>
      <c r="Z2598">
        <v>0</v>
      </c>
      <c r="AA2598" s="32">
        <v>1.623</v>
      </c>
      <c r="AB2598">
        <v>0</v>
      </c>
      <c r="AC2598" s="34">
        <v>0.20799999999999999</v>
      </c>
      <c r="AD2598" s="32">
        <v>4.2809999999999997</v>
      </c>
    </row>
    <row r="2599" spans="1:30">
      <c r="A2599">
        <v>2597</v>
      </c>
      <c r="B2599">
        <v>41</v>
      </c>
      <c r="C2599">
        <v>2.6259999999999999</v>
      </c>
      <c r="D2599">
        <v>4.8499999999999996</v>
      </c>
      <c r="E2599">
        <v>0</v>
      </c>
      <c r="F2599">
        <v>1.758</v>
      </c>
      <c r="G2599">
        <v>0</v>
      </c>
      <c r="H2599">
        <v>0.20300000000000001</v>
      </c>
      <c r="I2599">
        <v>4.8049999999999997</v>
      </c>
      <c r="K2599">
        <v>2597</v>
      </c>
      <c r="L2599">
        <v>41</v>
      </c>
      <c r="M2599" s="32">
        <v>2.6259999999999999</v>
      </c>
      <c r="N2599" s="47">
        <v>4.9400000000000004</v>
      </c>
      <c r="P2599" s="47">
        <v>1.7589999999999999</v>
      </c>
      <c r="R2599" s="47">
        <v>0.20899999999999999</v>
      </c>
      <c r="S2599" s="47">
        <v>4.6150000000000002</v>
      </c>
      <c r="T2599" s="31">
        <v>0</v>
      </c>
      <c r="V2599">
        <v>2597</v>
      </c>
      <c r="W2599">
        <v>39</v>
      </c>
      <c r="X2599">
        <v>2.6379999999999999</v>
      </c>
      <c r="Y2599" s="32">
        <v>5</v>
      </c>
      <c r="Z2599">
        <v>0</v>
      </c>
      <c r="AA2599" s="32">
        <v>1.6240000000000001</v>
      </c>
      <c r="AB2599">
        <v>0</v>
      </c>
      <c r="AC2599" s="34">
        <v>0.20799999999999999</v>
      </c>
      <c r="AD2599" s="32">
        <v>4.2839999999999998</v>
      </c>
    </row>
    <row r="2600" spans="1:30">
      <c r="A2600">
        <v>2598</v>
      </c>
      <c r="B2600">
        <v>41</v>
      </c>
      <c r="C2600">
        <v>2.6269999999999998</v>
      </c>
      <c r="D2600">
        <v>4.8499999999999996</v>
      </c>
      <c r="E2600">
        <v>0</v>
      </c>
      <c r="F2600">
        <v>1.758</v>
      </c>
      <c r="G2600">
        <v>0</v>
      </c>
      <c r="H2600">
        <v>0.20300000000000001</v>
      </c>
      <c r="I2600">
        <v>4.8070000000000004</v>
      </c>
      <c r="K2600">
        <v>2598</v>
      </c>
      <c r="L2600">
        <v>41</v>
      </c>
      <c r="M2600" s="32">
        <v>2.6269999999999998</v>
      </c>
      <c r="N2600" s="47">
        <v>4.9550000000000001</v>
      </c>
      <c r="P2600" s="47">
        <v>1.7589999999999999</v>
      </c>
      <c r="R2600" s="47">
        <v>0.20899999999999999</v>
      </c>
      <c r="S2600" s="47">
        <v>4.617</v>
      </c>
      <c r="T2600" s="31">
        <v>0</v>
      </c>
      <c r="V2600">
        <v>2598</v>
      </c>
      <c r="W2600">
        <v>39</v>
      </c>
      <c r="X2600">
        <v>2.6389999999999998</v>
      </c>
      <c r="Y2600" s="32">
        <v>5</v>
      </c>
      <c r="Z2600">
        <v>0</v>
      </c>
      <c r="AA2600" s="32">
        <v>1.6240000000000001</v>
      </c>
      <c r="AB2600">
        <v>0</v>
      </c>
      <c r="AC2600" s="34">
        <v>0.20799999999999999</v>
      </c>
      <c r="AD2600" s="32">
        <v>4.2859999999999996</v>
      </c>
    </row>
    <row r="2601" spans="1:30">
      <c r="A2601">
        <v>2599</v>
      </c>
      <c r="B2601">
        <v>41</v>
      </c>
      <c r="C2601">
        <v>2.6280000000000001</v>
      </c>
      <c r="D2601">
        <v>4.8499999999999996</v>
      </c>
      <c r="E2601">
        <v>0</v>
      </c>
      <c r="F2601">
        <v>1.758</v>
      </c>
      <c r="G2601">
        <v>0</v>
      </c>
      <c r="H2601">
        <v>0.20300000000000001</v>
      </c>
      <c r="I2601">
        <v>4.8090000000000002</v>
      </c>
      <c r="K2601">
        <v>2599</v>
      </c>
      <c r="L2601">
        <v>41</v>
      </c>
      <c r="M2601" s="32">
        <v>2.6280000000000001</v>
      </c>
      <c r="N2601" s="47">
        <v>4.97</v>
      </c>
      <c r="P2601" s="47">
        <v>1.76</v>
      </c>
      <c r="R2601" s="47">
        <v>0.20899999999999999</v>
      </c>
      <c r="S2601" s="47">
        <v>4.6189999999999998</v>
      </c>
      <c r="T2601" s="31">
        <v>0</v>
      </c>
      <c r="V2601">
        <v>2599</v>
      </c>
      <c r="W2601">
        <v>39</v>
      </c>
      <c r="X2601">
        <v>2.64</v>
      </c>
      <c r="Y2601" s="32">
        <v>5</v>
      </c>
      <c r="Z2601">
        <v>0</v>
      </c>
      <c r="AA2601" s="32">
        <v>1.6240000000000001</v>
      </c>
      <c r="AB2601">
        <v>0</v>
      </c>
      <c r="AC2601" s="34">
        <v>0.20799999999999999</v>
      </c>
      <c r="AD2601" s="32">
        <v>4.2880000000000003</v>
      </c>
    </row>
    <row r="2602" spans="1:30">
      <c r="A2602">
        <v>2600</v>
      </c>
      <c r="B2602">
        <v>41</v>
      </c>
      <c r="C2602">
        <v>2.629</v>
      </c>
      <c r="D2602">
        <v>4.8499999999999996</v>
      </c>
      <c r="E2602">
        <v>0</v>
      </c>
      <c r="F2602">
        <v>1.758</v>
      </c>
      <c r="G2602">
        <v>0</v>
      </c>
      <c r="H2602">
        <v>0.20300000000000001</v>
      </c>
      <c r="I2602">
        <v>4.8120000000000003</v>
      </c>
      <c r="K2602">
        <v>2600</v>
      </c>
      <c r="L2602">
        <v>41</v>
      </c>
      <c r="M2602" s="32">
        <v>2.629</v>
      </c>
      <c r="N2602" s="47">
        <v>4.9850000000000003</v>
      </c>
      <c r="P2602" s="47">
        <v>1.76</v>
      </c>
      <c r="R2602" s="47">
        <v>0.20899999999999999</v>
      </c>
      <c r="S2602" s="47">
        <v>4.62</v>
      </c>
      <c r="T2602" s="31">
        <v>0</v>
      </c>
      <c r="V2602">
        <v>2600</v>
      </c>
      <c r="W2602">
        <v>39</v>
      </c>
      <c r="X2602">
        <v>2.641</v>
      </c>
      <c r="Y2602" s="32">
        <v>5</v>
      </c>
      <c r="Z2602">
        <v>0</v>
      </c>
      <c r="AA2602" s="32">
        <v>1.6240000000000001</v>
      </c>
      <c r="AB2602">
        <v>0</v>
      </c>
      <c r="AC2602" s="34">
        <v>0.20799999999999999</v>
      </c>
      <c r="AD2602" s="32">
        <v>4.29</v>
      </c>
    </row>
    <row r="2603" spans="1:30">
      <c r="A2603">
        <v>2601</v>
      </c>
      <c r="B2603">
        <v>42</v>
      </c>
      <c r="C2603">
        <v>2.63</v>
      </c>
      <c r="D2603">
        <v>5</v>
      </c>
      <c r="E2603">
        <v>0</v>
      </c>
      <c r="F2603">
        <v>1.76</v>
      </c>
      <c r="G2603">
        <v>0</v>
      </c>
      <c r="H2603">
        <v>0.20899999999999999</v>
      </c>
      <c r="I2603">
        <v>4.6219999999999999</v>
      </c>
      <c r="K2603">
        <v>2601</v>
      </c>
      <c r="L2603">
        <v>42</v>
      </c>
      <c r="M2603" s="32">
        <v>2.63</v>
      </c>
      <c r="N2603" s="32">
        <v>5</v>
      </c>
      <c r="P2603" s="32">
        <v>1.76</v>
      </c>
      <c r="R2603" s="32">
        <v>0.20899999999999999</v>
      </c>
      <c r="S2603" s="32">
        <v>4.6219999999999999</v>
      </c>
      <c r="T2603" s="31">
        <v>0</v>
      </c>
      <c r="V2603">
        <v>2601</v>
      </c>
      <c r="W2603">
        <v>39</v>
      </c>
      <c r="X2603">
        <v>2.6419999999999999</v>
      </c>
      <c r="Y2603" s="32">
        <v>5</v>
      </c>
      <c r="Z2603">
        <v>0</v>
      </c>
      <c r="AA2603" s="32">
        <v>1.625</v>
      </c>
      <c r="AB2603">
        <v>0</v>
      </c>
      <c r="AC2603" s="34">
        <v>0.20799999999999999</v>
      </c>
      <c r="AD2603" s="32">
        <v>4.2930000000000001</v>
      </c>
    </row>
    <row r="2604" spans="1:30">
      <c r="A2604">
        <v>2602</v>
      </c>
      <c r="B2604">
        <v>42</v>
      </c>
      <c r="C2604">
        <v>2.6309999999999998</v>
      </c>
      <c r="D2604">
        <v>5</v>
      </c>
      <c r="E2604">
        <v>0</v>
      </c>
      <c r="F2604">
        <v>1.76</v>
      </c>
      <c r="G2604">
        <v>0</v>
      </c>
      <c r="H2604">
        <v>0.20899999999999999</v>
      </c>
      <c r="I2604">
        <v>4.625</v>
      </c>
      <c r="K2604">
        <v>2602</v>
      </c>
      <c r="L2604">
        <v>42</v>
      </c>
      <c r="M2604" s="32">
        <v>2.6309999999999998</v>
      </c>
      <c r="N2604" s="32">
        <v>5</v>
      </c>
      <c r="P2604" s="32">
        <v>1.76</v>
      </c>
      <c r="R2604" s="32">
        <v>0.20899999999999999</v>
      </c>
      <c r="S2604" s="32">
        <v>4.625</v>
      </c>
      <c r="T2604" s="31">
        <v>0</v>
      </c>
      <c r="V2604">
        <v>2602</v>
      </c>
      <c r="W2604">
        <v>39</v>
      </c>
      <c r="X2604">
        <v>2.6429999999999998</v>
      </c>
      <c r="Y2604" s="32">
        <v>5</v>
      </c>
      <c r="Z2604">
        <v>0</v>
      </c>
      <c r="AA2604" s="32">
        <v>1.625</v>
      </c>
      <c r="AB2604">
        <v>0</v>
      </c>
      <c r="AC2604" s="34">
        <v>0.20799999999999999</v>
      </c>
      <c r="AD2604" s="32">
        <v>4.2949999999999999</v>
      </c>
    </row>
    <row r="2605" spans="1:30">
      <c r="A2605">
        <v>2603</v>
      </c>
      <c r="B2605">
        <v>42</v>
      </c>
      <c r="C2605">
        <v>2.6320000000000001</v>
      </c>
      <c r="D2605">
        <v>5.01</v>
      </c>
      <c r="E2605">
        <v>0</v>
      </c>
      <c r="F2605">
        <v>1.7609999999999999</v>
      </c>
      <c r="G2605">
        <v>0</v>
      </c>
      <c r="H2605">
        <v>0.20899999999999999</v>
      </c>
      <c r="I2605">
        <v>4.6280000000000001</v>
      </c>
      <c r="K2605">
        <v>2603</v>
      </c>
      <c r="L2605">
        <v>42</v>
      </c>
      <c r="M2605" s="32">
        <v>2.6320000000000001</v>
      </c>
      <c r="N2605" s="47">
        <v>5</v>
      </c>
      <c r="P2605" s="32">
        <v>1.7609999999999999</v>
      </c>
      <c r="R2605" s="32">
        <v>0.20899999999999999</v>
      </c>
      <c r="S2605" s="32">
        <v>4.6280000000000001</v>
      </c>
      <c r="T2605" s="31">
        <v>0</v>
      </c>
      <c r="V2605">
        <v>2603</v>
      </c>
      <c r="W2605">
        <v>39</v>
      </c>
      <c r="X2605">
        <v>2.6440000000000001</v>
      </c>
      <c r="Y2605" s="32">
        <v>5</v>
      </c>
      <c r="Z2605">
        <v>0</v>
      </c>
      <c r="AA2605" s="32">
        <v>1.625</v>
      </c>
      <c r="AB2605">
        <v>0</v>
      </c>
      <c r="AC2605" s="34">
        <v>0.20799999999999999</v>
      </c>
      <c r="AD2605" s="32">
        <v>4.2969999999999997</v>
      </c>
    </row>
    <row r="2606" spans="1:30">
      <c r="A2606">
        <v>2604</v>
      </c>
      <c r="B2606">
        <v>42</v>
      </c>
      <c r="C2606">
        <v>2.633</v>
      </c>
      <c r="D2606">
        <v>5.01</v>
      </c>
      <c r="E2606">
        <v>0</v>
      </c>
      <c r="F2606">
        <v>1.7609999999999999</v>
      </c>
      <c r="G2606">
        <v>0</v>
      </c>
      <c r="H2606">
        <v>0.20899999999999999</v>
      </c>
      <c r="I2606">
        <v>4.63</v>
      </c>
      <c r="K2606">
        <v>2604</v>
      </c>
      <c r="L2606">
        <v>42</v>
      </c>
      <c r="M2606" s="32">
        <v>2.633</v>
      </c>
      <c r="N2606" s="47">
        <v>5</v>
      </c>
      <c r="P2606" s="32">
        <v>1.7609999999999999</v>
      </c>
      <c r="R2606" s="47">
        <v>0.20799999999999999</v>
      </c>
      <c r="S2606" s="47">
        <v>4.6319999999999997</v>
      </c>
      <c r="T2606" s="31">
        <v>0</v>
      </c>
      <c r="V2606">
        <v>2604</v>
      </c>
      <c r="W2606">
        <v>39</v>
      </c>
      <c r="X2606">
        <v>2.645</v>
      </c>
      <c r="Y2606" s="32">
        <v>5</v>
      </c>
      <c r="Z2606">
        <v>0</v>
      </c>
      <c r="AA2606" s="32">
        <v>1.625</v>
      </c>
      <c r="AB2606">
        <v>0</v>
      </c>
      <c r="AC2606" s="34">
        <v>0.20799999999999999</v>
      </c>
      <c r="AD2606" s="32">
        <v>4.2990000000000004</v>
      </c>
    </row>
    <row r="2607" spans="1:30">
      <c r="A2607">
        <v>2605</v>
      </c>
      <c r="B2607">
        <v>42</v>
      </c>
      <c r="C2607">
        <v>2.6339999999999999</v>
      </c>
      <c r="D2607">
        <v>5.01</v>
      </c>
      <c r="E2607">
        <v>0</v>
      </c>
      <c r="F2607">
        <v>1.7609999999999999</v>
      </c>
      <c r="G2607">
        <v>0</v>
      </c>
      <c r="H2607">
        <v>0.20899999999999999</v>
      </c>
      <c r="I2607">
        <v>4.633</v>
      </c>
      <c r="K2607">
        <v>2605</v>
      </c>
      <c r="L2607">
        <v>42</v>
      </c>
      <c r="M2607" s="32">
        <v>2.6339999999999999</v>
      </c>
      <c r="N2607" s="47">
        <v>5</v>
      </c>
      <c r="P2607" s="32">
        <v>1.7609999999999999</v>
      </c>
      <c r="R2607" s="47">
        <v>0.20799999999999999</v>
      </c>
      <c r="S2607" s="47">
        <v>4.6349999999999998</v>
      </c>
      <c r="T2607" s="31">
        <v>0</v>
      </c>
      <c r="V2607">
        <v>2605</v>
      </c>
      <c r="W2607">
        <v>39</v>
      </c>
      <c r="X2607">
        <v>2.6459999999999999</v>
      </c>
      <c r="Y2607" s="32">
        <v>5</v>
      </c>
      <c r="Z2607">
        <v>0</v>
      </c>
      <c r="AA2607" s="32">
        <v>1.625</v>
      </c>
      <c r="AB2607">
        <v>0</v>
      </c>
      <c r="AC2607" s="34">
        <v>0.20799999999999999</v>
      </c>
      <c r="AD2607" s="32">
        <v>4.3010000000000002</v>
      </c>
    </row>
    <row r="2608" spans="1:30">
      <c r="A2608">
        <v>2606</v>
      </c>
      <c r="B2608">
        <v>42</v>
      </c>
      <c r="C2608">
        <v>2.6349999999999998</v>
      </c>
      <c r="D2608">
        <v>5.01</v>
      </c>
      <c r="E2608">
        <v>0</v>
      </c>
      <c r="F2608">
        <v>1.7609999999999999</v>
      </c>
      <c r="G2608">
        <v>0</v>
      </c>
      <c r="H2608">
        <v>0.20899999999999999</v>
      </c>
      <c r="I2608">
        <v>4.6360000000000001</v>
      </c>
      <c r="K2608">
        <v>2606</v>
      </c>
      <c r="L2608">
        <v>42</v>
      </c>
      <c r="M2608" s="32">
        <v>2.6349999999999998</v>
      </c>
      <c r="N2608" s="47">
        <v>5</v>
      </c>
      <c r="P2608" s="47">
        <v>1.762</v>
      </c>
      <c r="R2608" s="47">
        <v>0.20799999999999999</v>
      </c>
      <c r="S2608" s="47">
        <v>4.6379999999999999</v>
      </c>
      <c r="T2608" s="31">
        <v>0</v>
      </c>
      <c r="V2608">
        <v>2606</v>
      </c>
      <c r="W2608">
        <v>39</v>
      </c>
      <c r="X2608">
        <v>2.6469999999999998</v>
      </c>
      <c r="Y2608" s="32">
        <v>5</v>
      </c>
      <c r="Z2608">
        <v>0</v>
      </c>
      <c r="AA2608" s="32">
        <v>1.6259999999999999</v>
      </c>
      <c r="AB2608">
        <v>0</v>
      </c>
      <c r="AC2608" s="34">
        <v>0.20799999999999999</v>
      </c>
      <c r="AD2608" s="32">
        <v>4.3040000000000003</v>
      </c>
    </row>
    <row r="2609" spans="1:30">
      <c r="A2609">
        <v>2607</v>
      </c>
      <c r="B2609">
        <v>42</v>
      </c>
      <c r="C2609">
        <v>2.6360000000000001</v>
      </c>
      <c r="D2609">
        <v>5.0199999999999996</v>
      </c>
      <c r="E2609">
        <v>0</v>
      </c>
      <c r="F2609">
        <v>1.762</v>
      </c>
      <c r="G2609">
        <v>0</v>
      </c>
      <c r="H2609">
        <v>0.20899999999999999</v>
      </c>
      <c r="I2609">
        <v>4.6390000000000002</v>
      </c>
      <c r="K2609">
        <v>2607</v>
      </c>
      <c r="L2609">
        <v>42</v>
      </c>
      <c r="M2609" s="32">
        <v>2.6360000000000001</v>
      </c>
      <c r="N2609" s="47">
        <v>5</v>
      </c>
      <c r="P2609" s="32">
        <v>1.762</v>
      </c>
      <c r="R2609" s="47">
        <v>0.20799999999999999</v>
      </c>
      <c r="S2609" s="47">
        <v>4.641</v>
      </c>
      <c r="T2609" s="31">
        <v>0</v>
      </c>
      <c r="V2609">
        <v>2607</v>
      </c>
      <c r="W2609">
        <v>39</v>
      </c>
      <c r="X2609">
        <v>2.6480000000000001</v>
      </c>
      <c r="Y2609" s="32">
        <v>5</v>
      </c>
      <c r="Z2609">
        <v>0</v>
      </c>
      <c r="AA2609" s="32">
        <v>1.6259999999999999</v>
      </c>
      <c r="AB2609">
        <v>0</v>
      </c>
      <c r="AC2609" s="34">
        <v>0.20799999999999999</v>
      </c>
      <c r="AD2609" s="32">
        <v>4.306</v>
      </c>
    </row>
    <row r="2610" spans="1:30">
      <c r="A2610">
        <v>2608</v>
      </c>
      <c r="B2610">
        <v>42</v>
      </c>
      <c r="C2610">
        <v>2.637</v>
      </c>
      <c r="D2610">
        <v>5.0199999999999996</v>
      </c>
      <c r="E2610">
        <v>0</v>
      </c>
      <c r="F2610">
        <v>1.762</v>
      </c>
      <c r="G2610">
        <v>0</v>
      </c>
      <c r="H2610">
        <v>0.20899999999999999</v>
      </c>
      <c r="I2610">
        <v>4.641</v>
      </c>
      <c r="K2610">
        <v>2608</v>
      </c>
      <c r="L2610">
        <v>42</v>
      </c>
      <c r="M2610" s="32">
        <v>2.637</v>
      </c>
      <c r="N2610" s="47">
        <v>5</v>
      </c>
      <c r="P2610" s="32">
        <v>1.762</v>
      </c>
      <c r="R2610" s="47">
        <v>0.20699999999999999</v>
      </c>
      <c r="S2610" s="47">
        <v>4.6440000000000001</v>
      </c>
      <c r="T2610" s="31">
        <v>0</v>
      </c>
      <c r="V2610">
        <v>2608</v>
      </c>
      <c r="W2610">
        <v>39</v>
      </c>
      <c r="X2610">
        <v>2.649</v>
      </c>
      <c r="Y2610" s="32">
        <v>5</v>
      </c>
      <c r="Z2610">
        <v>0</v>
      </c>
      <c r="AA2610" s="32">
        <v>1.6259999999999999</v>
      </c>
      <c r="AB2610">
        <v>0</v>
      </c>
      <c r="AC2610" s="34">
        <v>0.20799999999999999</v>
      </c>
      <c r="AD2610" s="32">
        <v>4.3079999999999998</v>
      </c>
    </row>
    <row r="2611" spans="1:30">
      <c r="A2611">
        <v>2609</v>
      </c>
      <c r="B2611">
        <v>42</v>
      </c>
      <c r="C2611">
        <v>2.6379999999999999</v>
      </c>
      <c r="D2611">
        <v>5.0199999999999996</v>
      </c>
      <c r="E2611">
        <v>0</v>
      </c>
      <c r="F2611">
        <v>1.762</v>
      </c>
      <c r="G2611">
        <v>0</v>
      </c>
      <c r="H2611">
        <v>0.20899999999999999</v>
      </c>
      <c r="I2611">
        <v>4.6440000000000001</v>
      </c>
      <c r="K2611">
        <v>2609</v>
      </c>
      <c r="L2611">
        <v>42</v>
      </c>
      <c r="M2611" s="32">
        <v>2.6379999999999999</v>
      </c>
      <c r="N2611" s="47">
        <v>5</v>
      </c>
      <c r="P2611" s="32">
        <v>1.762</v>
      </c>
      <c r="R2611" s="47">
        <v>0.20699999999999999</v>
      </c>
      <c r="S2611" s="47">
        <v>4.6479999999999997</v>
      </c>
      <c r="T2611" s="31">
        <v>0</v>
      </c>
      <c r="V2611">
        <v>2609</v>
      </c>
      <c r="W2611">
        <v>39</v>
      </c>
      <c r="X2611">
        <v>2.65</v>
      </c>
      <c r="Y2611" s="32">
        <v>5</v>
      </c>
      <c r="Z2611">
        <v>0</v>
      </c>
      <c r="AA2611" s="32">
        <v>1.6259999999999999</v>
      </c>
      <c r="AB2611">
        <v>0</v>
      </c>
      <c r="AC2611" s="34">
        <v>0.20799999999999999</v>
      </c>
      <c r="AD2611" s="32">
        <v>4.3099999999999996</v>
      </c>
    </row>
    <row r="2612" spans="1:30">
      <c r="A2612">
        <v>2610</v>
      </c>
      <c r="B2612">
        <v>42</v>
      </c>
      <c r="C2612">
        <v>2.6389999999999998</v>
      </c>
      <c r="D2612">
        <v>5.0199999999999996</v>
      </c>
      <c r="E2612">
        <v>0</v>
      </c>
      <c r="F2612">
        <v>1.7629999999999999</v>
      </c>
      <c r="G2612">
        <v>0</v>
      </c>
      <c r="H2612">
        <v>0.20899999999999999</v>
      </c>
      <c r="I2612">
        <v>4.6470000000000002</v>
      </c>
      <c r="K2612">
        <v>2610</v>
      </c>
      <c r="L2612">
        <v>42</v>
      </c>
      <c r="M2612" s="32">
        <v>2.6389999999999998</v>
      </c>
      <c r="N2612" s="47">
        <v>5</v>
      </c>
      <c r="P2612" s="32">
        <v>1.7629999999999999</v>
      </c>
      <c r="R2612" s="47">
        <v>0.20699999999999999</v>
      </c>
      <c r="S2612" s="47">
        <v>4.6509999999999998</v>
      </c>
      <c r="T2612" s="31">
        <v>0</v>
      </c>
      <c r="V2612">
        <v>2610</v>
      </c>
      <c r="W2612">
        <v>39</v>
      </c>
      <c r="X2612">
        <v>2.6509999999999998</v>
      </c>
      <c r="Y2612" s="32">
        <v>5</v>
      </c>
      <c r="Z2612">
        <v>0</v>
      </c>
      <c r="AA2612" s="32">
        <v>1.627</v>
      </c>
      <c r="AB2612">
        <v>0</v>
      </c>
      <c r="AC2612" s="34">
        <v>0.20799999999999999</v>
      </c>
      <c r="AD2612" s="32">
        <v>4.3129999999999997</v>
      </c>
    </row>
    <row r="2613" spans="1:30">
      <c r="A2613">
        <v>2611</v>
      </c>
      <c r="B2613">
        <v>42</v>
      </c>
      <c r="C2613">
        <v>2.64</v>
      </c>
      <c r="D2613">
        <v>5.03</v>
      </c>
      <c r="E2613">
        <v>0</v>
      </c>
      <c r="F2613">
        <v>1.7629999999999999</v>
      </c>
      <c r="G2613">
        <v>0</v>
      </c>
      <c r="H2613">
        <v>0.20899999999999999</v>
      </c>
      <c r="I2613">
        <v>4.6500000000000004</v>
      </c>
      <c r="K2613">
        <v>2611</v>
      </c>
      <c r="L2613">
        <v>42</v>
      </c>
      <c r="M2613" s="32">
        <v>2.64</v>
      </c>
      <c r="N2613" s="47">
        <v>5</v>
      </c>
      <c r="P2613" s="32">
        <v>1.7629999999999999</v>
      </c>
      <c r="R2613" s="47">
        <v>0.20699999999999999</v>
      </c>
      <c r="S2613" s="47">
        <v>4.6539999999999999</v>
      </c>
      <c r="T2613" s="31">
        <v>0</v>
      </c>
      <c r="V2613">
        <v>2611</v>
      </c>
      <c r="W2613">
        <v>39</v>
      </c>
      <c r="X2613">
        <v>2.6520000000000001</v>
      </c>
      <c r="Y2613" s="32">
        <v>5</v>
      </c>
      <c r="Z2613">
        <v>0</v>
      </c>
      <c r="AA2613" s="32">
        <v>1.627</v>
      </c>
      <c r="AB2613">
        <v>0</v>
      </c>
      <c r="AC2613" s="34">
        <v>0.20799999999999999</v>
      </c>
      <c r="AD2613" s="32">
        <v>4.3150000000000004</v>
      </c>
    </row>
    <row r="2614" spans="1:30">
      <c r="A2614">
        <v>2612</v>
      </c>
      <c r="B2614">
        <v>42</v>
      </c>
      <c r="C2614">
        <v>2.641</v>
      </c>
      <c r="D2614">
        <v>5</v>
      </c>
      <c r="E2614">
        <v>0</v>
      </c>
      <c r="F2614">
        <v>1.7629999999999999</v>
      </c>
      <c r="G2614">
        <v>0</v>
      </c>
      <c r="H2614">
        <v>0.20899999999999999</v>
      </c>
      <c r="I2614">
        <v>4.6840000000000002</v>
      </c>
      <c r="K2614">
        <v>2612</v>
      </c>
      <c r="L2614">
        <v>42</v>
      </c>
      <c r="M2614" s="32">
        <v>2.641</v>
      </c>
      <c r="N2614" s="32">
        <v>5</v>
      </c>
      <c r="P2614" s="32">
        <v>1.7629999999999999</v>
      </c>
      <c r="R2614" s="47">
        <v>0.20599999999999999</v>
      </c>
      <c r="S2614" s="47">
        <v>4.657</v>
      </c>
      <c r="T2614" s="31">
        <v>0</v>
      </c>
      <c r="V2614">
        <v>2612</v>
      </c>
      <c r="W2614">
        <v>39</v>
      </c>
      <c r="X2614">
        <v>2.653</v>
      </c>
      <c r="Y2614" s="32">
        <v>5</v>
      </c>
      <c r="Z2614">
        <v>0</v>
      </c>
      <c r="AA2614" s="32">
        <v>1.627</v>
      </c>
      <c r="AB2614">
        <v>0</v>
      </c>
      <c r="AC2614" s="34">
        <v>0.20799999999999999</v>
      </c>
      <c r="AD2614" s="32">
        <v>4.3170000000000002</v>
      </c>
    </row>
    <row r="2615" spans="1:30">
      <c r="A2615">
        <v>2613</v>
      </c>
      <c r="B2615">
        <v>42</v>
      </c>
      <c r="C2615">
        <v>2.6419999999999999</v>
      </c>
      <c r="D2615">
        <v>5</v>
      </c>
      <c r="E2615">
        <v>0</v>
      </c>
      <c r="F2615">
        <v>1.7629999999999999</v>
      </c>
      <c r="G2615">
        <v>0</v>
      </c>
      <c r="H2615">
        <v>0.20899999999999999</v>
      </c>
      <c r="I2615">
        <v>4.6870000000000003</v>
      </c>
      <c r="K2615">
        <v>2613</v>
      </c>
      <c r="L2615">
        <v>42</v>
      </c>
      <c r="M2615" s="32">
        <v>2.6419999999999999</v>
      </c>
      <c r="N2615" s="32">
        <v>5</v>
      </c>
      <c r="P2615" s="47">
        <v>1.764</v>
      </c>
      <c r="R2615" s="47">
        <v>0.20599999999999999</v>
      </c>
      <c r="S2615" s="47">
        <v>4.6589999999999998</v>
      </c>
      <c r="T2615" s="31">
        <v>0</v>
      </c>
      <c r="V2615">
        <v>2613</v>
      </c>
      <c r="W2615">
        <v>39</v>
      </c>
      <c r="X2615">
        <v>2.6539999999999999</v>
      </c>
      <c r="Y2615" s="32">
        <v>5</v>
      </c>
      <c r="Z2615">
        <v>0</v>
      </c>
      <c r="AA2615" s="32">
        <v>1.627</v>
      </c>
      <c r="AB2615">
        <v>0</v>
      </c>
      <c r="AC2615" s="34">
        <v>0.20799999999999999</v>
      </c>
      <c r="AD2615" s="32">
        <v>4.319</v>
      </c>
    </row>
    <row r="2616" spans="1:30">
      <c r="A2616">
        <v>2614</v>
      </c>
      <c r="B2616">
        <v>42</v>
      </c>
      <c r="C2616">
        <v>2.6429999999999998</v>
      </c>
      <c r="D2616">
        <v>5</v>
      </c>
      <c r="E2616">
        <v>0</v>
      </c>
      <c r="F2616">
        <v>1.7629999999999999</v>
      </c>
      <c r="G2616">
        <v>0</v>
      </c>
      <c r="H2616">
        <v>0.20899999999999999</v>
      </c>
      <c r="I2616">
        <v>4.6900000000000004</v>
      </c>
      <c r="K2616">
        <v>2614</v>
      </c>
      <c r="L2616">
        <v>42</v>
      </c>
      <c r="M2616" s="32">
        <v>2.6429999999999998</v>
      </c>
      <c r="N2616" s="32">
        <v>5</v>
      </c>
      <c r="P2616" s="47">
        <v>1.764</v>
      </c>
      <c r="R2616" s="47">
        <v>0.20599999999999999</v>
      </c>
      <c r="S2616" s="47">
        <v>4.6619999999999999</v>
      </c>
      <c r="T2616" s="31">
        <v>0</v>
      </c>
      <c r="V2616">
        <v>2614</v>
      </c>
      <c r="W2616">
        <v>39</v>
      </c>
      <c r="X2616">
        <v>2.6549999999999998</v>
      </c>
      <c r="Y2616" s="32">
        <v>5</v>
      </c>
      <c r="Z2616">
        <v>0</v>
      </c>
      <c r="AA2616" s="32">
        <v>1.627</v>
      </c>
      <c r="AB2616">
        <v>0</v>
      </c>
      <c r="AC2616" s="34">
        <v>0.20799999999999999</v>
      </c>
      <c r="AD2616" s="32">
        <v>4.3209999999999997</v>
      </c>
    </row>
    <row r="2617" spans="1:30">
      <c r="A2617">
        <v>2615</v>
      </c>
      <c r="B2617">
        <v>42</v>
      </c>
      <c r="C2617">
        <v>2.6440000000000001</v>
      </c>
      <c r="D2617">
        <v>5</v>
      </c>
      <c r="E2617">
        <v>0</v>
      </c>
      <c r="F2617">
        <v>1.7629999999999999</v>
      </c>
      <c r="G2617">
        <v>0</v>
      </c>
      <c r="H2617">
        <v>0.20899999999999999</v>
      </c>
      <c r="I2617">
        <v>4.6929999999999996</v>
      </c>
      <c r="K2617">
        <v>2615</v>
      </c>
      <c r="L2617">
        <v>42</v>
      </c>
      <c r="M2617" s="32">
        <v>2.6440000000000001</v>
      </c>
      <c r="N2617" s="32">
        <v>5</v>
      </c>
      <c r="P2617" s="47">
        <v>1.764</v>
      </c>
      <c r="R2617" s="47">
        <v>0.20599999999999999</v>
      </c>
      <c r="S2617" s="47">
        <v>4.6639999999999997</v>
      </c>
      <c r="T2617" s="31">
        <v>0</v>
      </c>
      <c r="V2617">
        <v>2615</v>
      </c>
      <c r="W2617">
        <v>39</v>
      </c>
      <c r="X2617">
        <v>2.6560000000000001</v>
      </c>
      <c r="Y2617" s="32">
        <v>5</v>
      </c>
      <c r="Z2617">
        <v>0</v>
      </c>
      <c r="AA2617" s="32">
        <v>1.6279999999999999</v>
      </c>
      <c r="AB2617">
        <v>0</v>
      </c>
      <c r="AC2617" s="34">
        <v>0.20799999999999999</v>
      </c>
      <c r="AD2617" s="32">
        <v>4.3239999999999998</v>
      </c>
    </row>
    <row r="2618" spans="1:30">
      <c r="A2618">
        <v>2616</v>
      </c>
      <c r="B2618">
        <v>42</v>
      </c>
      <c r="C2618">
        <v>2.645</v>
      </c>
      <c r="D2618">
        <v>5</v>
      </c>
      <c r="E2618">
        <v>0</v>
      </c>
      <c r="F2618">
        <v>1.7629999999999999</v>
      </c>
      <c r="G2618">
        <v>0</v>
      </c>
      <c r="H2618">
        <v>0.20899999999999999</v>
      </c>
      <c r="I2618">
        <v>4.6950000000000003</v>
      </c>
      <c r="K2618">
        <v>2616</v>
      </c>
      <c r="L2618">
        <v>42</v>
      </c>
      <c r="M2618" s="32">
        <v>2.645</v>
      </c>
      <c r="N2618" s="32">
        <v>5</v>
      </c>
      <c r="P2618" s="47">
        <v>1.7649999999999999</v>
      </c>
      <c r="R2618" s="47">
        <v>0.20599999999999999</v>
      </c>
      <c r="S2618" s="47">
        <v>4.6669999999999998</v>
      </c>
      <c r="T2618" s="31">
        <v>0</v>
      </c>
      <c r="V2618">
        <v>2616</v>
      </c>
      <c r="W2618">
        <v>39</v>
      </c>
      <c r="X2618">
        <v>2.657</v>
      </c>
      <c r="Y2618" s="32">
        <v>5</v>
      </c>
      <c r="Z2618">
        <v>0</v>
      </c>
      <c r="AA2618" s="32">
        <v>1.6279999999999999</v>
      </c>
      <c r="AB2618">
        <v>0</v>
      </c>
      <c r="AC2618" s="34">
        <v>0.20799999999999999</v>
      </c>
      <c r="AD2618" s="32">
        <v>4.3259999999999996</v>
      </c>
    </row>
    <row r="2619" spans="1:30">
      <c r="A2619">
        <v>2617</v>
      </c>
      <c r="B2619">
        <v>42</v>
      </c>
      <c r="C2619">
        <v>2.6459999999999999</v>
      </c>
      <c r="D2619">
        <v>5</v>
      </c>
      <c r="E2619">
        <v>0</v>
      </c>
      <c r="F2619">
        <v>1.7629999999999999</v>
      </c>
      <c r="G2619">
        <v>0</v>
      </c>
      <c r="H2619">
        <v>0.20899999999999999</v>
      </c>
      <c r="I2619">
        <v>4.6980000000000004</v>
      </c>
      <c r="K2619">
        <v>2617</v>
      </c>
      <c r="L2619">
        <v>42</v>
      </c>
      <c r="M2619" s="32">
        <v>2.6459999999999999</v>
      </c>
      <c r="N2619" s="32">
        <v>5</v>
      </c>
      <c r="P2619" s="47">
        <v>1.7649999999999999</v>
      </c>
      <c r="R2619" s="47">
        <v>0.20499999999999999</v>
      </c>
      <c r="S2619" s="47">
        <v>4.6689999999999996</v>
      </c>
      <c r="T2619" s="31">
        <v>0</v>
      </c>
      <c r="V2619">
        <v>2617</v>
      </c>
      <c r="W2619">
        <v>39</v>
      </c>
      <c r="X2619">
        <v>2.6579999999999999</v>
      </c>
      <c r="Y2619" s="32">
        <v>5</v>
      </c>
      <c r="Z2619">
        <v>0</v>
      </c>
      <c r="AA2619" s="32">
        <v>1.6279999999999999</v>
      </c>
      <c r="AB2619">
        <v>0</v>
      </c>
      <c r="AC2619" s="34">
        <v>0.20799999999999999</v>
      </c>
      <c r="AD2619" s="32">
        <v>4.3280000000000003</v>
      </c>
    </row>
    <row r="2620" spans="1:30">
      <c r="A2620">
        <v>2618</v>
      </c>
      <c r="B2620">
        <v>42</v>
      </c>
      <c r="C2620">
        <v>2.6469999999999998</v>
      </c>
      <c r="D2620">
        <v>5</v>
      </c>
      <c r="E2620">
        <v>0</v>
      </c>
      <c r="F2620">
        <v>1.7629999999999999</v>
      </c>
      <c r="G2620">
        <v>0</v>
      </c>
      <c r="H2620">
        <v>0.20899999999999999</v>
      </c>
      <c r="I2620">
        <v>4.7009999999999996</v>
      </c>
      <c r="K2620">
        <v>2618</v>
      </c>
      <c r="L2620">
        <v>42</v>
      </c>
      <c r="M2620" s="32">
        <v>2.6469999999999998</v>
      </c>
      <c r="N2620" s="32">
        <v>5</v>
      </c>
      <c r="P2620" s="47">
        <v>1.7649999999999999</v>
      </c>
      <c r="R2620" s="47">
        <v>0.20499999999999999</v>
      </c>
      <c r="S2620" s="47">
        <v>4.6719999999999997</v>
      </c>
      <c r="T2620" s="31">
        <v>0</v>
      </c>
      <c r="V2620">
        <v>2618</v>
      </c>
      <c r="W2620">
        <v>39</v>
      </c>
      <c r="X2620">
        <v>2.6589999999999998</v>
      </c>
      <c r="Y2620" s="32">
        <v>5</v>
      </c>
      <c r="Z2620">
        <v>0</v>
      </c>
      <c r="AA2620" s="32">
        <v>1.6279999999999999</v>
      </c>
      <c r="AB2620">
        <v>0</v>
      </c>
      <c r="AC2620" s="34">
        <v>0.20799999999999999</v>
      </c>
      <c r="AD2620" s="32">
        <v>4.33</v>
      </c>
    </row>
    <row r="2621" spans="1:30">
      <c r="A2621">
        <v>2619</v>
      </c>
      <c r="B2621">
        <v>42</v>
      </c>
      <c r="C2621">
        <v>2.6480000000000001</v>
      </c>
      <c r="D2621">
        <v>5</v>
      </c>
      <c r="E2621">
        <v>0</v>
      </c>
      <c r="F2621">
        <v>1.7629999999999999</v>
      </c>
      <c r="G2621">
        <v>0</v>
      </c>
      <c r="H2621">
        <v>0.20899999999999999</v>
      </c>
      <c r="I2621">
        <v>4.7039999999999997</v>
      </c>
      <c r="K2621">
        <v>2619</v>
      </c>
      <c r="L2621">
        <v>42</v>
      </c>
      <c r="M2621" s="32">
        <v>2.6480000000000001</v>
      </c>
      <c r="N2621" s="32">
        <v>5</v>
      </c>
      <c r="P2621" s="47">
        <v>1.7649999999999999</v>
      </c>
      <c r="R2621" s="47">
        <v>0.20499999999999999</v>
      </c>
      <c r="S2621" s="47">
        <v>4.6740000000000004</v>
      </c>
      <c r="T2621" s="31">
        <v>0</v>
      </c>
      <c r="V2621">
        <v>2619</v>
      </c>
      <c r="W2621">
        <v>39</v>
      </c>
      <c r="X2621">
        <v>2.66</v>
      </c>
      <c r="Y2621" s="32">
        <v>5</v>
      </c>
      <c r="Z2621">
        <v>0</v>
      </c>
      <c r="AA2621" s="32">
        <v>1.629</v>
      </c>
      <c r="AB2621">
        <v>0</v>
      </c>
      <c r="AC2621" s="34">
        <v>0.20899999999999999</v>
      </c>
      <c r="AD2621" s="32">
        <v>4.3330000000000002</v>
      </c>
    </row>
    <row r="2622" spans="1:30">
      <c r="A2622">
        <v>2620</v>
      </c>
      <c r="B2622">
        <v>42</v>
      </c>
      <c r="C2622">
        <v>2.649</v>
      </c>
      <c r="D2622">
        <v>5</v>
      </c>
      <c r="E2622">
        <v>0</v>
      </c>
      <c r="F2622">
        <v>1.7629999999999999</v>
      </c>
      <c r="G2622">
        <v>0</v>
      </c>
      <c r="H2622">
        <v>0.20899999999999999</v>
      </c>
      <c r="I2622">
        <v>4.7060000000000004</v>
      </c>
      <c r="K2622">
        <v>2620</v>
      </c>
      <c r="L2622">
        <v>42</v>
      </c>
      <c r="M2622" s="32">
        <v>2.649</v>
      </c>
      <c r="N2622" s="32">
        <v>5</v>
      </c>
      <c r="P2622" s="47">
        <v>1.766</v>
      </c>
      <c r="R2622" s="47">
        <v>0.20499999999999999</v>
      </c>
      <c r="S2622" s="47">
        <v>4.6769999999999996</v>
      </c>
      <c r="T2622" s="31">
        <v>0</v>
      </c>
      <c r="V2622">
        <v>2620</v>
      </c>
      <c r="W2622">
        <v>39</v>
      </c>
      <c r="X2622">
        <v>2.661</v>
      </c>
      <c r="Y2622" s="32">
        <v>5</v>
      </c>
      <c r="Z2622">
        <v>0</v>
      </c>
      <c r="AA2622" s="32">
        <v>1.629</v>
      </c>
      <c r="AB2622">
        <v>0</v>
      </c>
      <c r="AC2622" s="34">
        <v>0.20899999999999999</v>
      </c>
      <c r="AD2622" s="32">
        <v>4.335</v>
      </c>
    </row>
    <row r="2623" spans="1:30">
      <c r="A2623">
        <v>2621</v>
      </c>
      <c r="B2623">
        <v>42</v>
      </c>
      <c r="C2623">
        <v>2.65</v>
      </c>
      <c r="D2623">
        <v>5</v>
      </c>
      <c r="E2623">
        <v>0</v>
      </c>
      <c r="F2623">
        <v>1.766</v>
      </c>
      <c r="G2623">
        <v>0</v>
      </c>
      <c r="H2623">
        <v>0.20899999999999999</v>
      </c>
      <c r="I2623">
        <v>4.6790000000000003</v>
      </c>
      <c r="K2623">
        <v>2621</v>
      </c>
      <c r="L2623">
        <v>42</v>
      </c>
      <c r="M2623" s="32">
        <v>2.65</v>
      </c>
      <c r="N2623" s="32">
        <v>5</v>
      </c>
      <c r="P2623" s="32">
        <v>1.766</v>
      </c>
      <c r="R2623" s="47">
        <v>0.20399999999999999</v>
      </c>
      <c r="S2623" s="32">
        <v>4.6790000000000003</v>
      </c>
      <c r="T2623" s="31">
        <v>0</v>
      </c>
      <c r="V2623">
        <v>2621</v>
      </c>
      <c r="W2623">
        <v>39</v>
      </c>
      <c r="X2623">
        <v>2.6619999999999999</v>
      </c>
      <c r="Y2623" s="32">
        <v>5</v>
      </c>
      <c r="Z2623">
        <v>0</v>
      </c>
      <c r="AA2623" s="32">
        <v>1.629</v>
      </c>
      <c r="AB2623">
        <v>0</v>
      </c>
      <c r="AC2623" s="34">
        <v>0.20899999999999999</v>
      </c>
      <c r="AD2623" s="32">
        <v>4.3369999999999997</v>
      </c>
    </row>
    <row r="2624" spans="1:30">
      <c r="A2624">
        <v>2622</v>
      </c>
      <c r="B2624">
        <v>42</v>
      </c>
      <c r="C2624">
        <v>2.6509999999999998</v>
      </c>
      <c r="D2624">
        <v>5</v>
      </c>
      <c r="E2624">
        <v>0</v>
      </c>
      <c r="F2624">
        <v>1.766</v>
      </c>
      <c r="G2624">
        <v>0</v>
      </c>
      <c r="H2624">
        <v>0.20899999999999999</v>
      </c>
      <c r="I2624">
        <v>4.7370000000000001</v>
      </c>
      <c r="K2624">
        <v>2622</v>
      </c>
      <c r="L2624">
        <v>42</v>
      </c>
      <c r="M2624" s="32">
        <v>2.6509999999999998</v>
      </c>
      <c r="N2624" s="32">
        <v>5</v>
      </c>
      <c r="P2624" s="32">
        <v>1.766</v>
      </c>
      <c r="R2624" s="47">
        <v>0.20399999999999999</v>
      </c>
      <c r="S2624" s="47">
        <v>4.6820000000000004</v>
      </c>
      <c r="T2624" s="31">
        <v>0</v>
      </c>
      <c r="V2624">
        <v>2622</v>
      </c>
      <c r="W2624">
        <v>39</v>
      </c>
      <c r="X2624">
        <v>2.6629999999999998</v>
      </c>
      <c r="Y2624" s="32">
        <v>5</v>
      </c>
      <c r="Z2624">
        <v>0</v>
      </c>
      <c r="AA2624" s="32">
        <v>1.629</v>
      </c>
      <c r="AB2624">
        <v>0</v>
      </c>
      <c r="AC2624" s="34">
        <v>0.20899999999999999</v>
      </c>
      <c r="AD2624" s="32">
        <v>4.3390000000000004</v>
      </c>
    </row>
    <row r="2625" spans="1:30">
      <c r="A2625">
        <v>2623</v>
      </c>
      <c r="B2625">
        <v>42</v>
      </c>
      <c r="C2625">
        <v>2.6520000000000001</v>
      </c>
      <c r="D2625">
        <v>5</v>
      </c>
      <c r="E2625">
        <v>0</v>
      </c>
      <c r="F2625">
        <v>1.766</v>
      </c>
      <c r="G2625">
        <v>0</v>
      </c>
      <c r="H2625">
        <v>0.20899999999999999</v>
      </c>
      <c r="I2625">
        <v>4.74</v>
      </c>
      <c r="K2625">
        <v>2623</v>
      </c>
      <c r="L2625">
        <v>42</v>
      </c>
      <c r="M2625" s="32">
        <v>2.6520000000000001</v>
      </c>
      <c r="N2625" s="32">
        <v>5</v>
      </c>
      <c r="P2625" s="47">
        <v>1.7669999999999999</v>
      </c>
      <c r="R2625" s="47">
        <v>0.20399999999999999</v>
      </c>
      <c r="S2625" s="47">
        <v>4.6840000000000002</v>
      </c>
      <c r="T2625" s="31">
        <v>0</v>
      </c>
      <c r="V2625">
        <v>2623</v>
      </c>
      <c r="W2625">
        <v>39</v>
      </c>
      <c r="X2625">
        <v>2.6640000000000001</v>
      </c>
      <c r="Y2625" s="32">
        <v>5</v>
      </c>
      <c r="Z2625">
        <v>0</v>
      </c>
      <c r="AA2625" s="32">
        <v>1.629</v>
      </c>
      <c r="AB2625">
        <v>0</v>
      </c>
      <c r="AC2625" s="34">
        <v>0.20899999999999999</v>
      </c>
      <c r="AD2625" s="32">
        <v>4.3410000000000002</v>
      </c>
    </row>
    <row r="2626" spans="1:30">
      <c r="A2626">
        <v>2624</v>
      </c>
      <c r="B2626">
        <v>42</v>
      </c>
      <c r="C2626">
        <v>2.653</v>
      </c>
      <c r="D2626">
        <v>5</v>
      </c>
      <c r="E2626">
        <v>0</v>
      </c>
      <c r="F2626">
        <v>1.766</v>
      </c>
      <c r="G2626">
        <v>0</v>
      </c>
      <c r="H2626">
        <v>0.20899999999999999</v>
      </c>
      <c r="I2626">
        <v>4.742</v>
      </c>
      <c r="K2626">
        <v>2624</v>
      </c>
      <c r="L2626">
        <v>42</v>
      </c>
      <c r="M2626" s="32">
        <v>2.653</v>
      </c>
      <c r="N2626" s="32">
        <v>5</v>
      </c>
      <c r="P2626" s="47">
        <v>1.7669999999999999</v>
      </c>
      <c r="R2626" s="47">
        <v>0.20399999999999999</v>
      </c>
      <c r="S2626" s="47">
        <v>4.6870000000000003</v>
      </c>
      <c r="T2626" s="31">
        <v>0</v>
      </c>
      <c r="V2626">
        <v>2624</v>
      </c>
      <c r="W2626">
        <v>39</v>
      </c>
      <c r="X2626">
        <v>2.665</v>
      </c>
      <c r="Y2626" s="32">
        <v>5</v>
      </c>
      <c r="Z2626">
        <v>0</v>
      </c>
      <c r="AA2626" s="32">
        <v>1.63</v>
      </c>
      <c r="AB2626">
        <v>0</v>
      </c>
      <c r="AC2626" s="34">
        <v>0.20899999999999999</v>
      </c>
      <c r="AD2626" s="32">
        <v>4.3440000000000003</v>
      </c>
    </row>
    <row r="2627" spans="1:30">
      <c r="A2627">
        <v>2625</v>
      </c>
      <c r="B2627">
        <v>42</v>
      </c>
      <c r="C2627">
        <v>2.6539999999999999</v>
      </c>
      <c r="D2627">
        <v>5</v>
      </c>
      <c r="E2627">
        <v>0</v>
      </c>
      <c r="F2627">
        <v>1.766</v>
      </c>
      <c r="G2627">
        <v>0</v>
      </c>
      <c r="H2627">
        <v>0.20899999999999999</v>
      </c>
      <c r="I2627">
        <v>4.7450000000000001</v>
      </c>
      <c r="K2627">
        <v>2625</v>
      </c>
      <c r="L2627">
        <v>42</v>
      </c>
      <c r="M2627" s="32">
        <v>2.6539999999999999</v>
      </c>
      <c r="N2627" s="32">
        <v>5</v>
      </c>
      <c r="P2627" s="47">
        <v>1.7669999999999999</v>
      </c>
      <c r="R2627" s="47">
        <v>0.20399999999999999</v>
      </c>
      <c r="S2627" s="47">
        <v>4.6890000000000001</v>
      </c>
      <c r="T2627" s="31">
        <v>0</v>
      </c>
      <c r="V2627">
        <v>2625</v>
      </c>
      <c r="W2627">
        <v>39</v>
      </c>
      <c r="X2627">
        <v>2.6659999999999999</v>
      </c>
      <c r="Y2627" s="32">
        <v>5</v>
      </c>
      <c r="Z2627">
        <v>0</v>
      </c>
      <c r="AA2627" s="32">
        <v>1.63</v>
      </c>
      <c r="AB2627">
        <v>0</v>
      </c>
      <c r="AC2627" s="34">
        <v>0.20899999999999999</v>
      </c>
      <c r="AD2627" s="32">
        <v>4.3460000000000001</v>
      </c>
    </row>
    <row r="2628" spans="1:30">
      <c r="A2628">
        <v>2626</v>
      </c>
      <c r="B2628">
        <v>42</v>
      </c>
      <c r="C2628">
        <v>2.6549999999999998</v>
      </c>
      <c r="D2628">
        <v>5</v>
      </c>
      <c r="E2628">
        <v>0</v>
      </c>
      <c r="F2628">
        <v>1.766</v>
      </c>
      <c r="G2628">
        <v>0</v>
      </c>
      <c r="H2628">
        <v>0.20899999999999999</v>
      </c>
      <c r="I2628">
        <v>4.7480000000000002</v>
      </c>
      <c r="K2628">
        <v>2626</v>
      </c>
      <c r="L2628">
        <v>42</v>
      </c>
      <c r="M2628" s="32">
        <v>2.6549999999999998</v>
      </c>
      <c r="N2628" s="32">
        <v>5</v>
      </c>
      <c r="P2628" s="47">
        <v>1.768</v>
      </c>
      <c r="R2628" s="47">
        <v>0.20300000000000001</v>
      </c>
      <c r="S2628" s="47">
        <v>4.6920000000000002</v>
      </c>
      <c r="T2628" s="31">
        <v>0</v>
      </c>
      <c r="V2628">
        <v>2626</v>
      </c>
      <c r="W2628">
        <v>39</v>
      </c>
      <c r="X2628">
        <v>2.6669999999999998</v>
      </c>
      <c r="Y2628" s="32">
        <v>5</v>
      </c>
      <c r="Z2628">
        <v>0</v>
      </c>
      <c r="AA2628" s="32">
        <v>1.63</v>
      </c>
      <c r="AB2628">
        <v>0</v>
      </c>
      <c r="AC2628" s="34">
        <v>0.20899999999999999</v>
      </c>
      <c r="AD2628" s="32">
        <v>4.3479999999999999</v>
      </c>
    </row>
    <row r="2629" spans="1:30">
      <c r="A2629">
        <v>2627</v>
      </c>
      <c r="B2629">
        <v>42</v>
      </c>
      <c r="C2629">
        <v>2.6560000000000001</v>
      </c>
      <c r="D2629">
        <v>5</v>
      </c>
      <c r="E2629">
        <v>0</v>
      </c>
      <c r="F2629">
        <v>1.766</v>
      </c>
      <c r="G2629">
        <v>0</v>
      </c>
      <c r="H2629">
        <v>0.20899999999999999</v>
      </c>
      <c r="I2629">
        <v>4.7510000000000003</v>
      </c>
      <c r="K2629">
        <v>2627</v>
      </c>
      <c r="L2629">
        <v>42</v>
      </c>
      <c r="M2629" s="32">
        <v>2.6560000000000001</v>
      </c>
      <c r="N2629" s="32">
        <v>5</v>
      </c>
      <c r="P2629" s="47">
        <v>1.768</v>
      </c>
      <c r="R2629" s="47">
        <v>0.20300000000000001</v>
      </c>
      <c r="S2629" s="47">
        <v>4.694</v>
      </c>
      <c r="T2629" s="31">
        <v>0</v>
      </c>
      <c r="V2629">
        <v>2627</v>
      </c>
      <c r="W2629">
        <v>39</v>
      </c>
      <c r="X2629">
        <v>2.6680000000000001</v>
      </c>
      <c r="Y2629" s="32">
        <v>5</v>
      </c>
      <c r="Z2629">
        <v>0</v>
      </c>
      <c r="AA2629" s="32">
        <v>1.63</v>
      </c>
      <c r="AB2629">
        <v>0</v>
      </c>
      <c r="AC2629" s="34">
        <v>0.20899999999999999</v>
      </c>
      <c r="AD2629" s="32">
        <v>4.3499999999999996</v>
      </c>
    </row>
    <row r="2630" spans="1:30">
      <c r="A2630">
        <v>2628</v>
      </c>
      <c r="B2630">
        <v>42</v>
      </c>
      <c r="C2630">
        <v>2.657</v>
      </c>
      <c r="D2630">
        <v>5</v>
      </c>
      <c r="E2630">
        <v>0</v>
      </c>
      <c r="F2630">
        <v>1.766</v>
      </c>
      <c r="G2630">
        <v>0</v>
      </c>
      <c r="H2630">
        <v>0.20899999999999999</v>
      </c>
      <c r="I2630">
        <v>4.7530000000000001</v>
      </c>
      <c r="K2630">
        <v>2628</v>
      </c>
      <c r="L2630">
        <v>42</v>
      </c>
      <c r="M2630" s="32">
        <v>2.657</v>
      </c>
      <c r="N2630" s="32">
        <v>5</v>
      </c>
      <c r="P2630" s="47">
        <v>1.768</v>
      </c>
      <c r="R2630" s="47">
        <v>0.20300000000000001</v>
      </c>
      <c r="S2630" s="47">
        <v>4.6970000000000001</v>
      </c>
      <c r="T2630" s="31">
        <v>0</v>
      </c>
      <c r="V2630">
        <v>2628</v>
      </c>
      <c r="W2630">
        <v>39</v>
      </c>
      <c r="X2630">
        <v>2.669</v>
      </c>
      <c r="Y2630" s="32">
        <v>5</v>
      </c>
      <c r="Z2630">
        <v>0</v>
      </c>
      <c r="AA2630" s="32">
        <v>1.631</v>
      </c>
      <c r="AB2630">
        <v>0</v>
      </c>
      <c r="AC2630" s="34">
        <v>0.20899999999999999</v>
      </c>
      <c r="AD2630" s="32">
        <v>4.3529999999999998</v>
      </c>
    </row>
    <row r="2631" spans="1:30">
      <c r="A2631">
        <v>2629</v>
      </c>
      <c r="B2631">
        <v>42</v>
      </c>
      <c r="C2631">
        <v>2.6579999999999999</v>
      </c>
      <c r="D2631">
        <v>5</v>
      </c>
      <c r="E2631">
        <v>0</v>
      </c>
      <c r="F2631">
        <v>1.766</v>
      </c>
      <c r="G2631">
        <v>0</v>
      </c>
      <c r="H2631">
        <v>0.20899999999999999</v>
      </c>
      <c r="I2631">
        <v>4.7560000000000002</v>
      </c>
      <c r="K2631">
        <v>2629</v>
      </c>
      <c r="L2631">
        <v>42</v>
      </c>
      <c r="M2631" s="32">
        <v>2.6579999999999999</v>
      </c>
      <c r="N2631" s="32">
        <v>5</v>
      </c>
      <c r="P2631" s="47">
        <v>1.768</v>
      </c>
      <c r="R2631" s="47">
        <v>0.20300000000000001</v>
      </c>
      <c r="S2631" s="47">
        <v>4.6989999999999998</v>
      </c>
      <c r="T2631" s="31">
        <v>0</v>
      </c>
      <c r="V2631">
        <v>2629</v>
      </c>
      <c r="W2631">
        <v>39</v>
      </c>
      <c r="X2631">
        <v>2.67</v>
      </c>
      <c r="Y2631" s="32">
        <v>5</v>
      </c>
      <c r="Z2631">
        <v>0</v>
      </c>
      <c r="AA2631" s="32">
        <v>1.631</v>
      </c>
      <c r="AB2631">
        <v>0</v>
      </c>
      <c r="AC2631" s="34">
        <v>0.20899999999999999</v>
      </c>
      <c r="AD2631" s="32">
        <v>4.3550000000000004</v>
      </c>
    </row>
    <row r="2632" spans="1:30">
      <c r="A2632">
        <v>2630</v>
      </c>
      <c r="B2632">
        <v>42</v>
      </c>
      <c r="C2632">
        <v>2.6589999999999998</v>
      </c>
      <c r="D2632">
        <v>5</v>
      </c>
      <c r="E2632">
        <v>0</v>
      </c>
      <c r="F2632">
        <v>1.766</v>
      </c>
      <c r="G2632">
        <v>0</v>
      </c>
      <c r="H2632">
        <v>0.20899999999999999</v>
      </c>
      <c r="I2632">
        <v>4.7590000000000003</v>
      </c>
      <c r="K2632">
        <v>2630</v>
      </c>
      <c r="L2632">
        <v>42</v>
      </c>
      <c r="M2632" s="32">
        <v>2.6589999999999998</v>
      </c>
      <c r="N2632" s="32">
        <v>5</v>
      </c>
      <c r="P2632" s="47">
        <v>1.7689999999999999</v>
      </c>
      <c r="R2632" s="47">
        <v>0.20200000000000001</v>
      </c>
      <c r="S2632" s="47">
        <v>4.702</v>
      </c>
      <c r="T2632" s="31">
        <v>0</v>
      </c>
      <c r="V2632">
        <v>2630</v>
      </c>
      <c r="W2632">
        <v>40</v>
      </c>
      <c r="X2632">
        <v>2.6709999999999998</v>
      </c>
      <c r="Y2632" s="32">
        <v>5</v>
      </c>
      <c r="Z2632">
        <v>0</v>
      </c>
      <c r="AA2632" s="32">
        <v>1.631</v>
      </c>
      <c r="AB2632">
        <v>0</v>
      </c>
      <c r="AC2632" s="34">
        <v>0.20899999999999999</v>
      </c>
      <c r="AD2632" s="32">
        <v>4.3570000000000002</v>
      </c>
    </row>
    <row r="2633" spans="1:30">
      <c r="A2633">
        <v>2631</v>
      </c>
      <c r="B2633">
        <v>42</v>
      </c>
      <c r="C2633">
        <v>2.66</v>
      </c>
      <c r="D2633">
        <v>5</v>
      </c>
      <c r="E2633">
        <v>0</v>
      </c>
      <c r="F2633">
        <v>1.766</v>
      </c>
      <c r="G2633">
        <v>0</v>
      </c>
      <c r="H2633">
        <v>0.20899999999999999</v>
      </c>
      <c r="I2633">
        <v>4.7619999999999996</v>
      </c>
      <c r="K2633">
        <v>2631</v>
      </c>
      <c r="L2633">
        <v>42</v>
      </c>
      <c r="M2633" s="32">
        <v>2.66</v>
      </c>
      <c r="N2633" s="32">
        <v>5</v>
      </c>
      <c r="P2633" s="47">
        <v>1.7689999999999999</v>
      </c>
      <c r="R2633" s="47">
        <v>0.20200000000000001</v>
      </c>
      <c r="S2633" s="47">
        <v>4.7039999999999997</v>
      </c>
      <c r="T2633" s="31">
        <v>0</v>
      </c>
      <c r="V2633">
        <v>2631</v>
      </c>
      <c r="W2633">
        <v>40</v>
      </c>
      <c r="X2633">
        <v>2.6720000000000002</v>
      </c>
      <c r="Y2633" s="32">
        <v>5</v>
      </c>
      <c r="Z2633">
        <v>0</v>
      </c>
      <c r="AA2633" s="32">
        <v>1.631</v>
      </c>
      <c r="AB2633">
        <v>0</v>
      </c>
      <c r="AC2633" s="34">
        <v>0.20899999999999999</v>
      </c>
      <c r="AD2633" s="32">
        <v>4.359</v>
      </c>
    </row>
    <row r="2634" spans="1:30">
      <c r="A2634">
        <v>2632</v>
      </c>
      <c r="B2634">
        <v>42</v>
      </c>
      <c r="C2634">
        <v>2.661</v>
      </c>
      <c r="D2634">
        <v>5</v>
      </c>
      <c r="E2634">
        <v>0</v>
      </c>
      <c r="F2634">
        <v>1.7689999999999999</v>
      </c>
      <c r="G2634">
        <v>0</v>
      </c>
      <c r="H2634">
        <v>0.20899999999999999</v>
      </c>
      <c r="I2634">
        <v>4.7889999999999997</v>
      </c>
      <c r="K2634">
        <v>2632</v>
      </c>
      <c r="L2634">
        <v>42</v>
      </c>
      <c r="M2634" s="32">
        <v>2.661</v>
      </c>
      <c r="N2634" s="32">
        <v>5</v>
      </c>
      <c r="P2634" s="32">
        <v>1.7689999999999999</v>
      </c>
      <c r="R2634" s="47">
        <v>0.20200000000000001</v>
      </c>
      <c r="S2634" s="47">
        <v>4.7069999999999999</v>
      </c>
      <c r="T2634" s="31">
        <v>0</v>
      </c>
      <c r="V2634">
        <v>2632</v>
      </c>
      <c r="W2634">
        <v>40</v>
      </c>
      <c r="X2634">
        <v>2.673</v>
      </c>
      <c r="Y2634" s="32">
        <v>5</v>
      </c>
      <c r="Z2634">
        <v>0</v>
      </c>
      <c r="AA2634" s="32">
        <v>1.631</v>
      </c>
      <c r="AB2634">
        <v>0</v>
      </c>
      <c r="AC2634" s="34">
        <v>0.20899999999999999</v>
      </c>
      <c r="AD2634" s="32">
        <v>4.3620000000000001</v>
      </c>
    </row>
    <row r="2635" spans="1:30">
      <c r="A2635">
        <v>2633</v>
      </c>
      <c r="B2635">
        <v>42</v>
      </c>
      <c r="C2635">
        <v>2.6619999999999999</v>
      </c>
      <c r="D2635">
        <v>5</v>
      </c>
      <c r="E2635">
        <v>0</v>
      </c>
      <c r="F2635">
        <v>1.7689999999999999</v>
      </c>
      <c r="G2635">
        <v>0</v>
      </c>
      <c r="H2635">
        <v>0.20899999999999999</v>
      </c>
      <c r="I2635">
        <v>4.7919999999999998</v>
      </c>
      <c r="K2635">
        <v>2633</v>
      </c>
      <c r="L2635">
        <v>42</v>
      </c>
      <c r="M2635" s="32">
        <v>2.6619999999999999</v>
      </c>
      <c r="N2635" s="32">
        <v>5</v>
      </c>
      <c r="P2635" s="32">
        <v>1.7689999999999999</v>
      </c>
      <c r="R2635" s="47">
        <v>0.20200000000000001</v>
      </c>
      <c r="S2635" s="47">
        <v>4.7089999999999996</v>
      </c>
      <c r="T2635" s="31">
        <v>0</v>
      </c>
      <c r="V2635">
        <v>2633</v>
      </c>
      <c r="W2635">
        <v>40</v>
      </c>
      <c r="X2635">
        <v>2.6739999999999999</v>
      </c>
      <c r="Y2635" s="32">
        <v>5</v>
      </c>
      <c r="Z2635">
        <v>0</v>
      </c>
      <c r="AA2635" s="32">
        <v>1.6319999999999999</v>
      </c>
      <c r="AB2635">
        <v>0</v>
      </c>
      <c r="AC2635" s="34">
        <v>0.20899999999999999</v>
      </c>
      <c r="AD2635" s="32">
        <v>4.3639999999999999</v>
      </c>
    </row>
    <row r="2636" spans="1:30">
      <c r="A2636">
        <v>2634</v>
      </c>
      <c r="B2636">
        <v>42</v>
      </c>
      <c r="C2636">
        <v>2.6629999999999998</v>
      </c>
      <c r="D2636">
        <v>5</v>
      </c>
      <c r="E2636">
        <v>0</v>
      </c>
      <c r="F2636">
        <v>1.7689999999999999</v>
      </c>
      <c r="G2636">
        <v>0</v>
      </c>
      <c r="H2636">
        <v>0.20899999999999999</v>
      </c>
      <c r="I2636">
        <v>4.7949999999999999</v>
      </c>
      <c r="K2636">
        <v>2634</v>
      </c>
      <c r="L2636">
        <v>42</v>
      </c>
      <c r="M2636" s="32">
        <v>2.6629999999999998</v>
      </c>
      <c r="N2636" s="32">
        <v>5</v>
      </c>
      <c r="P2636" s="47">
        <v>1.77</v>
      </c>
      <c r="R2636" s="47">
        <v>0.20100000000000001</v>
      </c>
      <c r="S2636" s="47">
        <v>4.7119999999999997</v>
      </c>
      <c r="T2636" s="31">
        <v>0</v>
      </c>
      <c r="V2636">
        <v>2634</v>
      </c>
      <c r="W2636">
        <v>40</v>
      </c>
      <c r="X2636">
        <v>2.6749999999999998</v>
      </c>
      <c r="Y2636" s="32">
        <v>5</v>
      </c>
      <c r="Z2636">
        <v>0</v>
      </c>
      <c r="AA2636" s="32">
        <v>1.6319999999999999</v>
      </c>
      <c r="AB2636">
        <v>0</v>
      </c>
      <c r="AC2636" s="34">
        <v>0.20899999999999999</v>
      </c>
      <c r="AD2636" s="32">
        <v>4.3659999999999997</v>
      </c>
    </row>
    <row r="2637" spans="1:30">
      <c r="A2637">
        <v>2635</v>
      </c>
      <c r="B2637">
        <v>42</v>
      </c>
      <c r="C2637">
        <v>2.6640000000000001</v>
      </c>
      <c r="D2637">
        <v>5</v>
      </c>
      <c r="E2637">
        <v>0</v>
      </c>
      <c r="F2637">
        <v>1.7689999999999999</v>
      </c>
      <c r="G2637">
        <v>0</v>
      </c>
      <c r="H2637">
        <v>0.20899999999999999</v>
      </c>
      <c r="I2637">
        <v>4.798</v>
      </c>
      <c r="K2637">
        <v>2635</v>
      </c>
      <c r="L2637">
        <v>42</v>
      </c>
      <c r="M2637" s="32">
        <v>2.6640000000000001</v>
      </c>
      <c r="N2637" s="32">
        <v>5</v>
      </c>
      <c r="P2637" s="47">
        <v>1.77</v>
      </c>
      <c r="R2637" s="47">
        <v>0.20100000000000001</v>
      </c>
      <c r="S2637" s="47">
        <v>4.7140000000000004</v>
      </c>
      <c r="T2637" s="31">
        <v>0</v>
      </c>
      <c r="V2637">
        <v>2635</v>
      </c>
      <c r="W2637">
        <v>40</v>
      </c>
      <c r="X2637">
        <v>2.6760000000000002</v>
      </c>
      <c r="Y2637" s="32">
        <v>5</v>
      </c>
      <c r="Z2637">
        <v>0</v>
      </c>
      <c r="AA2637" s="32">
        <v>1.6319999999999999</v>
      </c>
      <c r="AB2637">
        <v>0</v>
      </c>
      <c r="AC2637" s="34">
        <v>0.20899999999999999</v>
      </c>
      <c r="AD2637" s="32">
        <v>4.3680000000000003</v>
      </c>
    </row>
    <row r="2638" spans="1:30">
      <c r="A2638">
        <v>2636</v>
      </c>
      <c r="B2638">
        <v>42</v>
      </c>
      <c r="C2638">
        <v>2.665</v>
      </c>
      <c r="D2638">
        <v>5</v>
      </c>
      <c r="E2638">
        <v>0</v>
      </c>
      <c r="F2638">
        <v>1.7689999999999999</v>
      </c>
      <c r="G2638">
        <v>0</v>
      </c>
      <c r="H2638">
        <v>0.20899999999999999</v>
      </c>
      <c r="I2638">
        <v>4.8010000000000002</v>
      </c>
      <c r="K2638">
        <v>2636</v>
      </c>
      <c r="L2638">
        <v>42</v>
      </c>
      <c r="M2638" s="32">
        <v>2.665</v>
      </c>
      <c r="N2638" s="32">
        <v>5</v>
      </c>
      <c r="P2638" s="47">
        <v>1.77</v>
      </c>
      <c r="R2638" s="47">
        <v>0.20100000000000001</v>
      </c>
      <c r="S2638" s="47">
        <v>4.7169999999999996</v>
      </c>
      <c r="T2638" s="31">
        <v>0</v>
      </c>
      <c r="V2638">
        <v>2636</v>
      </c>
      <c r="W2638">
        <v>40</v>
      </c>
      <c r="X2638">
        <v>2.677</v>
      </c>
      <c r="Y2638" s="32">
        <v>5</v>
      </c>
      <c r="Z2638">
        <v>0</v>
      </c>
      <c r="AA2638" s="32">
        <v>1.6319999999999999</v>
      </c>
      <c r="AB2638">
        <v>0</v>
      </c>
      <c r="AC2638" s="34">
        <v>0.20899999999999999</v>
      </c>
      <c r="AD2638" s="32">
        <v>4.3710000000000004</v>
      </c>
    </row>
    <row r="2639" spans="1:30">
      <c r="A2639">
        <v>2637</v>
      </c>
      <c r="B2639">
        <v>42</v>
      </c>
      <c r="C2639">
        <v>2.6659999999999999</v>
      </c>
      <c r="D2639">
        <v>5</v>
      </c>
      <c r="E2639">
        <v>0</v>
      </c>
      <c r="F2639">
        <v>1.7689999999999999</v>
      </c>
      <c r="G2639">
        <v>0</v>
      </c>
      <c r="H2639">
        <v>0.20899999999999999</v>
      </c>
      <c r="I2639">
        <v>4.8029999999999999</v>
      </c>
      <c r="K2639">
        <v>2637</v>
      </c>
      <c r="L2639">
        <v>42</v>
      </c>
      <c r="M2639" s="32">
        <v>2.6659999999999999</v>
      </c>
      <c r="N2639" s="32">
        <v>5</v>
      </c>
      <c r="P2639" s="47">
        <v>1.77</v>
      </c>
      <c r="R2639" s="47">
        <v>0.20100000000000001</v>
      </c>
      <c r="S2639" s="47">
        <v>4.72</v>
      </c>
      <c r="T2639" s="31">
        <v>0</v>
      </c>
      <c r="V2639">
        <v>2637</v>
      </c>
      <c r="W2639">
        <v>40</v>
      </c>
      <c r="X2639">
        <v>2.6779999999999999</v>
      </c>
      <c r="Y2639" s="32">
        <v>5</v>
      </c>
      <c r="Z2639">
        <v>0</v>
      </c>
      <c r="AA2639" s="32">
        <v>1.633</v>
      </c>
      <c r="AB2639">
        <v>0</v>
      </c>
      <c r="AC2639" s="34">
        <v>0.20899999999999999</v>
      </c>
      <c r="AD2639" s="32">
        <v>4.3730000000000002</v>
      </c>
    </row>
    <row r="2640" spans="1:30">
      <c r="A2640">
        <v>2638</v>
      </c>
      <c r="B2640">
        <v>42</v>
      </c>
      <c r="C2640">
        <v>2.6669999999999998</v>
      </c>
      <c r="D2640">
        <v>5</v>
      </c>
      <c r="E2640">
        <v>0</v>
      </c>
      <c r="F2640">
        <v>1.7689999999999999</v>
      </c>
      <c r="G2640">
        <v>0</v>
      </c>
      <c r="H2640">
        <v>0.20899999999999999</v>
      </c>
      <c r="I2640">
        <v>4.806</v>
      </c>
      <c r="K2640">
        <v>2638</v>
      </c>
      <c r="L2640">
        <v>42</v>
      </c>
      <c r="M2640" s="32">
        <v>2.6669999999999998</v>
      </c>
      <c r="N2640" s="32">
        <v>5</v>
      </c>
      <c r="P2640" s="47">
        <v>1.77</v>
      </c>
      <c r="R2640" s="47">
        <v>0.20100000000000001</v>
      </c>
      <c r="S2640" s="47">
        <v>4.7220000000000004</v>
      </c>
      <c r="T2640" s="31">
        <v>0</v>
      </c>
      <c r="V2640">
        <v>2638</v>
      </c>
      <c r="W2640">
        <v>40</v>
      </c>
      <c r="X2640">
        <v>2.6789999999999998</v>
      </c>
      <c r="Y2640" s="32">
        <v>5</v>
      </c>
      <c r="Z2640">
        <v>0</v>
      </c>
      <c r="AA2640" s="32">
        <v>1.633</v>
      </c>
      <c r="AB2640">
        <v>0</v>
      </c>
      <c r="AC2640" s="34">
        <v>0.20899999999999999</v>
      </c>
      <c r="AD2640" s="32">
        <v>4.375</v>
      </c>
    </row>
    <row r="2641" spans="1:30">
      <c r="A2641">
        <v>2639</v>
      </c>
      <c r="B2641">
        <v>42</v>
      </c>
      <c r="C2641">
        <v>2.6680000000000001</v>
      </c>
      <c r="D2641">
        <v>5</v>
      </c>
      <c r="E2641">
        <v>0</v>
      </c>
      <c r="F2641">
        <v>1.7689999999999999</v>
      </c>
      <c r="G2641">
        <v>0</v>
      </c>
      <c r="H2641">
        <v>0.20899999999999999</v>
      </c>
      <c r="I2641">
        <v>4.8090000000000002</v>
      </c>
      <c r="K2641">
        <v>2639</v>
      </c>
      <c r="L2641">
        <v>42</v>
      </c>
      <c r="M2641" s="32">
        <v>2.6680000000000001</v>
      </c>
      <c r="N2641" s="32">
        <v>5</v>
      </c>
      <c r="P2641" s="47">
        <v>1.7709999999999999</v>
      </c>
      <c r="R2641" s="47">
        <v>0.2</v>
      </c>
      <c r="S2641" s="47">
        <v>4.7249999999999996</v>
      </c>
      <c r="T2641" s="31">
        <v>0</v>
      </c>
      <c r="V2641">
        <v>2639</v>
      </c>
      <c r="W2641">
        <v>40</v>
      </c>
      <c r="X2641">
        <v>2.68</v>
      </c>
      <c r="Y2641" s="32">
        <v>5</v>
      </c>
      <c r="Z2641">
        <v>0</v>
      </c>
      <c r="AA2641" s="32">
        <v>1.633</v>
      </c>
      <c r="AB2641">
        <v>0</v>
      </c>
      <c r="AC2641" s="34">
        <v>0.20899999999999999</v>
      </c>
      <c r="AD2641" s="32">
        <v>4.3780000000000001</v>
      </c>
    </row>
    <row r="2642" spans="1:30">
      <c r="A2642">
        <v>2640</v>
      </c>
      <c r="B2642">
        <v>42</v>
      </c>
      <c r="C2642">
        <v>2.669</v>
      </c>
      <c r="D2642">
        <v>5</v>
      </c>
      <c r="E2642">
        <v>0</v>
      </c>
      <c r="F2642">
        <v>1.7689999999999999</v>
      </c>
      <c r="G2642">
        <v>0</v>
      </c>
      <c r="H2642">
        <v>0.20899999999999999</v>
      </c>
      <c r="I2642">
        <v>4.8120000000000003</v>
      </c>
      <c r="K2642">
        <v>2640</v>
      </c>
      <c r="L2642">
        <v>42</v>
      </c>
      <c r="M2642" s="32">
        <v>2.669</v>
      </c>
      <c r="N2642" s="32">
        <v>5</v>
      </c>
      <c r="P2642" s="47">
        <v>1.7709999999999999</v>
      </c>
      <c r="R2642" s="47">
        <v>0.2</v>
      </c>
      <c r="S2642" s="47">
        <v>4.7270000000000003</v>
      </c>
      <c r="T2642" s="31">
        <v>0</v>
      </c>
      <c r="V2642">
        <v>2640</v>
      </c>
      <c r="W2642">
        <v>40</v>
      </c>
      <c r="X2642">
        <v>2.681</v>
      </c>
      <c r="Y2642" s="32">
        <v>5</v>
      </c>
      <c r="Z2642">
        <v>0</v>
      </c>
      <c r="AA2642" s="32">
        <v>1.633</v>
      </c>
      <c r="AB2642">
        <v>0</v>
      </c>
      <c r="AC2642" s="34">
        <v>0.20899999999999999</v>
      </c>
      <c r="AD2642" s="32">
        <v>4.38</v>
      </c>
    </row>
    <row r="2643" spans="1:30">
      <c r="A2643">
        <v>2641</v>
      </c>
      <c r="B2643">
        <v>42</v>
      </c>
      <c r="C2643">
        <v>2.67</v>
      </c>
      <c r="D2643">
        <v>5</v>
      </c>
      <c r="E2643">
        <v>0</v>
      </c>
      <c r="F2643">
        <v>1.7709999999999999</v>
      </c>
      <c r="G2643">
        <v>0</v>
      </c>
      <c r="H2643">
        <v>0.20899999999999999</v>
      </c>
      <c r="I2643">
        <v>4.7300000000000004</v>
      </c>
      <c r="K2643">
        <v>2641</v>
      </c>
      <c r="L2643">
        <v>42</v>
      </c>
      <c r="M2643" s="32">
        <v>2.67</v>
      </c>
      <c r="N2643" s="32">
        <v>5</v>
      </c>
      <c r="P2643" s="32">
        <v>1.7709999999999999</v>
      </c>
      <c r="R2643" s="47">
        <v>0.2</v>
      </c>
      <c r="S2643" s="32">
        <v>4.7300000000000004</v>
      </c>
      <c r="T2643" s="31">
        <v>0</v>
      </c>
      <c r="V2643">
        <v>2641</v>
      </c>
      <c r="W2643">
        <v>40</v>
      </c>
      <c r="X2643">
        <v>2.6819999999999999</v>
      </c>
      <c r="Y2643" s="32">
        <v>5</v>
      </c>
      <c r="Z2643">
        <v>0</v>
      </c>
      <c r="AA2643" s="32">
        <v>1.6339999999999999</v>
      </c>
      <c r="AB2643">
        <v>0</v>
      </c>
      <c r="AC2643" s="34">
        <v>0.20899999999999999</v>
      </c>
      <c r="AD2643" s="32">
        <v>4.3819999999999997</v>
      </c>
    </row>
    <row r="2644" spans="1:30">
      <c r="A2644">
        <v>2642</v>
      </c>
      <c r="B2644">
        <v>42</v>
      </c>
      <c r="C2644">
        <v>2.6709999999999998</v>
      </c>
      <c r="D2644">
        <v>5</v>
      </c>
      <c r="E2644">
        <v>0</v>
      </c>
      <c r="F2644">
        <v>1.7709999999999999</v>
      </c>
      <c r="G2644">
        <v>0</v>
      </c>
      <c r="H2644">
        <v>0.20899999999999999</v>
      </c>
      <c r="I2644">
        <v>4.843</v>
      </c>
      <c r="K2644">
        <v>2642</v>
      </c>
      <c r="L2644">
        <v>42</v>
      </c>
      <c r="M2644" s="32">
        <v>2.6709999999999998</v>
      </c>
      <c r="N2644" s="32">
        <v>5</v>
      </c>
      <c r="P2644" s="32">
        <v>1.7709999999999999</v>
      </c>
      <c r="R2644" s="47">
        <v>0.2</v>
      </c>
      <c r="S2644" s="47">
        <v>4.7329999999999997</v>
      </c>
      <c r="T2644" s="31">
        <v>0</v>
      </c>
      <c r="V2644">
        <v>2642</v>
      </c>
      <c r="W2644">
        <v>40</v>
      </c>
      <c r="X2644">
        <v>2.6829999999999998</v>
      </c>
      <c r="Y2644" s="32">
        <v>5</v>
      </c>
      <c r="Z2644">
        <v>0</v>
      </c>
      <c r="AA2644" s="32">
        <v>1.6339999999999999</v>
      </c>
      <c r="AB2644">
        <v>0</v>
      </c>
      <c r="AC2644" s="34">
        <v>0.21</v>
      </c>
      <c r="AD2644" s="32">
        <v>4.3840000000000003</v>
      </c>
    </row>
    <row r="2645" spans="1:30">
      <c r="A2645">
        <v>2643</v>
      </c>
      <c r="B2645">
        <v>42</v>
      </c>
      <c r="C2645">
        <v>2.6720000000000002</v>
      </c>
      <c r="D2645">
        <v>5</v>
      </c>
      <c r="E2645">
        <v>0</v>
      </c>
      <c r="F2645">
        <v>1.7709999999999999</v>
      </c>
      <c r="G2645">
        <v>0</v>
      </c>
      <c r="H2645">
        <v>0.20899999999999999</v>
      </c>
      <c r="I2645">
        <v>4.8460000000000001</v>
      </c>
      <c r="K2645">
        <v>2643</v>
      </c>
      <c r="L2645">
        <v>42</v>
      </c>
      <c r="M2645" s="32">
        <v>2.6720000000000002</v>
      </c>
      <c r="N2645" s="32">
        <v>5</v>
      </c>
      <c r="P2645" s="47">
        <v>1.772</v>
      </c>
      <c r="R2645" s="47">
        <v>0.19900000000000001</v>
      </c>
      <c r="S2645" s="47">
        <v>4.7350000000000003</v>
      </c>
      <c r="T2645" s="31">
        <v>0</v>
      </c>
      <c r="V2645">
        <v>2643</v>
      </c>
      <c r="W2645">
        <v>40</v>
      </c>
      <c r="X2645">
        <v>2.6840000000000002</v>
      </c>
      <c r="Y2645" s="32">
        <v>5</v>
      </c>
      <c r="Z2645">
        <v>0</v>
      </c>
      <c r="AA2645" s="32">
        <v>1.6339999999999999</v>
      </c>
      <c r="AB2645">
        <v>0</v>
      </c>
      <c r="AC2645" s="34">
        <v>0.21</v>
      </c>
      <c r="AD2645" s="32">
        <v>4.3869999999999996</v>
      </c>
    </row>
    <row r="2646" spans="1:30">
      <c r="A2646">
        <v>2644</v>
      </c>
      <c r="B2646">
        <v>42</v>
      </c>
      <c r="C2646">
        <v>2.673</v>
      </c>
      <c r="D2646">
        <v>5</v>
      </c>
      <c r="E2646">
        <v>0</v>
      </c>
      <c r="F2646">
        <v>1.7709999999999999</v>
      </c>
      <c r="G2646">
        <v>0</v>
      </c>
      <c r="H2646">
        <v>0.20899999999999999</v>
      </c>
      <c r="I2646">
        <v>4.8490000000000002</v>
      </c>
      <c r="K2646">
        <v>2644</v>
      </c>
      <c r="L2646">
        <v>42</v>
      </c>
      <c r="M2646" s="32">
        <v>2.673</v>
      </c>
      <c r="N2646" s="32">
        <v>5</v>
      </c>
      <c r="P2646" s="47">
        <v>1.772</v>
      </c>
      <c r="R2646" s="47">
        <v>0.19900000000000001</v>
      </c>
      <c r="S2646" s="47">
        <v>4.7380000000000004</v>
      </c>
      <c r="T2646" s="31">
        <v>0</v>
      </c>
      <c r="V2646">
        <v>2644</v>
      </c>
      <c r="W2646">
        <v>40</v>
      </c>
      <c r="X2646">
        <v>2.6850000000000001</v>
      </c>
      <c r="Y2646" s="32">
        <v>5</v>
      </c>
      <c r="Z2646">
        <v>0</v>
      </c>
      <c r="AA2646" s="32">
        <v>1.6339999999999999</v>
      </c>
      <c r="AB2646">
        <v>0</v>
      </c>
      <c r="AC2646" s="34">
        <v>0.21</v>
      </c>
      <c r="AD2646" s="32">
        <v>4.3890000000000002</v>
      </c>
    </row>
    <row r="2647" spans="1:30">
      <c r="A2647">
        <v>2645</v>
      </c>
      <c r="B2647">
        <v>42</v>
      </c>
      <c r="C2647">
        <v>2.6739999999999999</v>
      </c>
      <c r="D2647">
        <v>5</v>
      </c>
      <c r="E2647">
        <v>0</v>
      </c>
      <c r="F2647">
        <v>1.7709999999999999</v>
      </c>
      <c r="G2647">
        <v>0</v>
      </c>
      <c r="H2647">
        <v>0.20899999999999999</v>
      </c>
      <c r="I2647">
        <v>4.851</v>
      </c>
      <c r="K2647">
        <v>2645</v>
      </c>
      <c r="L2647">
        <v>42</v>
      </c>
      <c r="M2647" s="32">
        <v>2.6739999999999999</v>
      </c>
      <c r="N2647" s="32">
        <v>5</v>
      </c>
      <c r="P2647" s="47">
        <v>1.772</v>
      </c>
      <c r="R2647" s="47">
        <v>0.19900000000000001</v>
      </c>
      <c r="S2647" s="47">
        <v>4.74</v>
      </c>
      <c r="T2647" s="31">
        <v>0</v>
      </c>
      <c r="V2647">
        <v>2645</v>
      </c>
      <c r="W2647">
        <v>40</v>
      </c>
      <c r="X2647">
        <v>2.6859999999999999</v>
      </c>
      <c r="Y2647" s="32">
        <v>5</v>
      </c>
      <c r="Z2647">
        <v>0</v>
      </c>
      <c r="AA2647" s="32">
        <v>1.635</v>
      </c>
      <c r="AB2647">
        <v>0</v>
      </c>
      <c r="AC2647" s="34">
        <v>0.21</v>
      </c>
      <c r="AD2647" s="32">
        <v>4.391</v>
      </c>
    </row>
    <row r="2648" spans="1:30">
      <c r="A2648">
        <v>2646</v>
      </c>
      <c r="B2648">
        <v>42</v>
      </c>
      <c r="C2648">
        <v>2.6749999999999998</v>
      </c>
      <c r="D2648">
        <v>5</v>
      </c>
      <c r="E2648">
        <v>0</v>
      </c>
      <c r="F2648">
        <v>1.7709999999999999</v>
      </c>
      <c r="G2648">
        <v>0</v>
      </c>
      <c r="H2648">
        <v>0.20899999999999999</v>
      </c>
      <c r="I2648">
        <v>4.8540000000000001</v>
      </c>
      <c r="K2648">
        <v>2646</v>
      </c>
      <c r="L2648">
        <v>42</v>
      </c>
      <c r="M2648" s="32">
        <v>2.6749999999999998</v>
      </c>
      <c r="N2648" s="32">
        <v>5</v>
      </c>
      <c r="P2648" s="47">
        <v>1.7729999999999999</v>
      </c>
      <c r="R2648" s="47">
        <v>0.19900000000000001</v>
      </c>
      <c r="S2648" s="47">
        <v>4.7430000000000003</v>
      </c>
      <c r="T2648" s="31">
        <v>0</v>
      </c>
      <c r="V2648">
        <v>2646</v>
      </c>
      <c r="W2648">
        <v>40</v>
      </c>
      <c r="X2648">
        <v>2.6869999999999998</v>
      </c>
      <c r="Y2648" s="32">
        <v>5</v>
      </c>
      <c r="Z2648">
        <v>0</v>
      </c>
      <c r="AA2648" s="32">
        <v>1.635</v>
      </c>
      <c r="AB2648">
        <v>0</v>
      </c>
      <c r="AC2648" s="34">
        <v>0.21</v>
      </c>
      <c r="AD2648" s="32">
        <v>4.3940000000000001</v>
      </c>
    </row>
    <row r="2649" spans="1:30">
      <c r="A2649">
        <v>2647</v>
      </c>
      <c r="B2649">
        <v>42</v>
      </c>
      <c r="C2649">
        <v>2.6760000000000002</v>
      </c>
      <c r="D2649">
        <v>5</v>
      </c>
      <c r="E2649">
        <v>0</v>
      </c>
      <c r="F2649">
        <v>1.7709999999999999</v>
      </c>
      <c r="G2649">
        <v>0</v>
      </c>
      <c r="H2649">
        <v>0.20899999999999999</v>
      </c>
      <c r="I2649">
        <v>4.8570000000000002</v>
      </c>
      <c r="K2649">
        <v>2647</v>
      </c>
      <c r="L2649">
        <v>42</v>
      </c>
      <c r="M2649" s="32">
        <v>2.6760000000000002</v>
      </c>
      <c r="N2649" s="32">
        <v>5</v>
      </c>
      <c r="P2649" s="47">
        <v>1.7729999999999999</v>
      </c>
      <c r="R2649" s="47">
        <v>0.19800000000000001</v>
      </c>
      <c r="S2649" s="47">
        <v>4.7450000000000001</v>
      </c>
      <c r="T2649" s="31">
        <v>0</v>
      </c>
      <c r="V2649">
        <v>2647</v>
      </c>
      <c r="W2649">
        <v>40</v>
      </c>
      <c r="X2649">
        <v>2.6880000000000002</v>
      </c>
      <c r="Y2649" s="32">
        <v>5</v>
      </c>
      <c r="Z2649">
        <v>0</v>
      </c>
      <c r="AA2649" s="32">
        <v>1.635</v>
      </c>
      <c r="AB2649">
        <v>0</v>
      </c>
      <c r="AC2649" s="34">
        <v>0.21</v>
      </c>
      <c r="AD2649" s="32">
        <v>4.3959999999999999</v>
      </c>
    </row>
    <row r="2650" spans="1:30">
      <c r="A2650">
        <v>2648</v>
      </c>
      <c r="B2650">
        <v>42</v>
      </c>
      <c r="C2650">
        <v>2.677</v>
      </c>
      <c r="D2650">
        <v>5</v>
      </c>
      <c r="E2650">
        <v>0</v>
      </c>
      <c r="F2650">
        <v>1.7709999999999999</v>
      </c>
      <c r="G2650">
        <v>0</v>
      </c>
      <c r="H2650">
        <v>0.20899999999999999</v>
      </c>
      <c r="I2650">
        <v>4.8600000000000003</v>
      </c>
      <c r="K2650">
        <v>2648</v>
      </c>
      <c r="L2650">
        <v>42</v>
      </c>
      <c r="M2650" s="32">
        <v>2.677</v>
      </c>
      <c r="N2650" s="32">
        <v>5</v>
      </c>
      <c r="P2650" s="47">
        <v>1.7729999999999999</v>
      </c>
      <c r="R2650" s="47">
        <v>0.19800000000000001</v>
      </c>
      <c r="S2650" s="47">
        <v>4.7480000000000002</v>
      </c>
      <c r="T2650" s="31">
        <v>0</v>
      </c>
      <c r="V2650">
        <v>2648</v>
      </c>
      <c r="W2650">
        <v>40</v>
      </c>
      <c r="X2650">
        <v>2.6890000000000001</v>
      </c>
      <c r="Y2650" s="32">
        <v>5</v>
      </c>
      <c r="Z2650">
        <v>0</v>
      </c>
      <c r="AA2650" s="32">
        <v>1.635</v>
      </c>
      <c r="AB2650">
        <v>0</v>
      </c>
      <c r="AC2650" s="34">
        <v>0.21</v>
      </c>
      <c r="AD2650" s="32">
        <v>4.3979999999999997</v>
      </c>
    </row>
    <row r="2651" spans="1:30">
      <c r="A2651">
        <v>2649</v>
      </c>
      <c r="B2651">
        <v>42</v>
      </c>
      <c r="C2651">
        <v>2.6779999999999999</v>
      </c>
      <c r="D2651">
        <v>5</v>
      </c>
      <c r="E2651">
        <v>0</v>
      </c>
      <c r="F2651">
        <v>1.7709999999999999</v>
      </c>
      <c r="G2651">
        <v>0</v>
      </c>
      <c r="H2651">
        <v>0.20899999999999999</v>
      </c>
      <c r="I2651">
        <v>4.8620000000000001</v>
      </c>
      <c r="K2651">
        <v>2649</v>
      </c>
      <c r="L2651">
        <v>42</v>
      </c>
      <c r="M2651" s="32">
        <v>2.6779999999999999</v>
      </c>
      <c r="N2651" s="32">
        <v>5</v>
      </c>
      <c r="P2651" s="47">
        <v>1.7729999999999999</v>
      </c>
      <c r="R2651" s="47">
        <v>0.19800000000000001</v>
      </c>
      <c r="S2651" s="47">
        <v>4.75</v>
      </c>
      <c r="T2651" s="31">
        <v>0</v>
      </c>
      <c r="V2651">
        <v>2649</v>
      </c>
      <c r="W2651">
        <v>40</v>
      </c>
      <c r="X2651">
        <v>2.69</v>
      </c>
      <c r="Y2651" s="32">
        <v>5</v>
      </c>
      <c r="Z2651">
        <v>0</v>
      </c>
      <c r="AA2651" s="32">
        <v>1.635</v>
      </c>
      <c r="AB2651">
        <v>0</v>
      </c>
      <c r="AC2651" s="34">
        <v>0.21</v>
      </c>
      <c r="AD2651" s="32">
        <v>4.4009999999999998</v>
      </c>
    </row>
    <row r="2652" spans="1:30">
      <c r="A2652">
        <v>2650</v>
      </c>
      <c r="B2652">
        <v>42</v>
      </c>
      <c r="C2652">
        <v>2.6789999999999998</v>
      </c>
      <c r="D2652">
        <v>5</v>
      </c>
      <c r="E2652">
        <v>0</v>
      </c>
      <c r="F2652">
        <v>1.7709999999999999</v>
      </c>
      <c r="G2652">
        <v>0</v>
      </c>
      <c r="H2652">
        <v>0.20899999999999999</v>
      </c>
      <c r="I2652">
        <v>4.8650000000000002</v>
      </c>
      <c r="K2652">
        <v>2650</v>
      </c>
      <c r="L2652">
        <v>42</v>
      </c>
      <c r="M2652" s="32">
        <v>2.6789999999999998</v>
      </c>
      <c r="N2652" s="32">
        <v>5</v>
      </c>
      <c r="P2652" s="47">
        <v>1.774</v>
      </c>
      <c r="R2652" s="47">
        <v>0.19800000000000001</v>
      </c>
      <c r="S2652" s="47">
        <v>4.7530000000000001</v>
      </c>
      <c r="T2652" s="31">
        <v>0</v>
      </c>
      <c r="V2652">
        <v>2650</v>
      </c>
      <c r="W2652">
        <v>40</v>
      </c>
      <c r="X2652">
        <v>2.6909999999999998</v>
      </c>
      <c r="Y2652" s="32">
        <v>5.0140000000000002</v>
      </c>
      <c r="Z2652">
        <v>0</v>
      </c>
      <c r="AA2652" s="32">
        <v>1.6359999999999999</v>
      </c>
      <c r="AB2652">
        <v>0</v>
      </c>
      <c r="AC2652" s="34">
        <v>0.21</v>
      </c>
      <c r="AD2652" s="32">
        <v>4.4029999999999996</v>
      </c>
    </row>
    <row r="2653" spans="1:30">
      <c r="A2653">
        <v>2651</v>
      </c>
      <c r="B2653">
        <v>42</v>
      </c>
      <c r="C2653">
        <v>2.68</v>
      </c>
      <c r="D2653">
        <v>5</v>
      </c>
      <c r="E2653">
        <v>0</v>
      </c>
      <c r="F2653">
        <v>1.7709999999999999</v>
      </c>
      <c r="G2653">
        <v>0</v>
      </c>
      <c r="H2653">
        <v>0.20899999999999999</v>
      </c>
      <c r="I2653">
        <v>4.8680000000000003</v>
      </c>
      <c r="K2653">
        <v>2651</v>
      </c>
      <c r="L2653">
        <v>42</v>
      </c>
      <c r="M2653" s="32">
        <v>2.68</v>
      </c>
      <c r="N2653" s="32">
        <v>5</v>
      </c>
      <c r="P2653" s="47">
        <v>1.774</v>
      </c>
      <c r="R2653" s="47">
        <v>0.19800000000000001</v>
      </c>
      <c r="S2653" s="47">
        <v>4.7549999999999999</v>
      </c>
      <c r="T2653" s="31">
        <v>0</v>
      </c>
      <c r="V2653">
        <v>2651</v>
      </c>
      <c r="W2653">
        <v>40</v>
      </c>
      <c r="X2653">
        <v>2.6920000000000002</v>
      </c>
      <c r="Y2653" s="32">
        <v>5.0279999999999996</v>
      </c>
      <c r="Z2653">
        <v>0</v>
      </c>
      <c r="AA2653" s="32">
        <v>1.6359999999999999</v>
      </c>
      <c r="AB2653">
        <v>0</v>
      </c>
      <c r="AC2653" s="34">
        <v>0.21</v>
      </c>
      <c r="AD2653" s="32">
        <v>4.4050000000000002</v>
      </c>
    </row>
    <row r="2654" spans="1:30">
      <c r="A2654">
        <v>2652</v>
      </c>
      <c r="B2654">
        <v>42</v>
      </c>
      <c r="C2654">
        <v>2.681</v>
      </c>
      <c r="D2654">
        <v>5</v>
      </c>
      <c r="E2654">
        <v>0</v>
      </c>
      <c r="F2654">
        <v>1.774</v>
      </c>
      <c r="G2654">
        <v>0</v>
      </c>
      <c r="H2654">
        <v>0.20899999999999999</v>
      </c>
      <c r="I2654">
        <v>4.8959999999999999</v>
      </c>
      <c r="K2654">
        <v>2652</v>
      </c>
      <c r="L2654">
        <v>42</v>
      </c>
      <c r="M2654" s="32">
        <v>2.681</v>
      </c>
      <c r="N2654" s="32">
        <v>5</v>
      </c>
      <c r="P2654" s="32">
        <v>1.774</v>
      </c>
      <c r="R2654" s="47">
        <v>0.19700000000000001</v>
      </c>
      <c r="S2654" s="47">
        <v>4.758</v>
      </c>
      <c r="T2654" s="31">
        <v>0</v>
      </c>
      <c r="V2654">
        <v>2652</v>
      </c>
      <c r="W2654">
        <v>40</v>
      </c>
      <c r="X2654">
        <v>2.6930000000000001</v>
      </c>
      <c r="Y2654" s="32">
        <v>5.0419999999999998</v>
      </c>
      <c r="Z2654">
        <v>0</v>
      </c>
      <c r="AA2654" s="32">
        <v>1.6359999999999999</v>
      </c>
      <c r="AB2654">
        <v>0</v>
      </c>
      <c r="AC2654" s="34">
        <v>0.21</v>
      </c>
      <c r="AD2654" s="32">
        <v>4.407</v>
      </c>
    </row>
    <row r="2655" spans="1:30">
      <c r="A2655">
        <v>2653</v>
      </c>
      <c r="B2655">
        <v>42</v>
      </c>
      <c r="C2655">
        <v>2.6819999999999999</v>
      </c>
      <c r="D2655">
        <v>5</v>
      </c>
      <c r="E2655">
        <v>0</v>
      </c>
      <c r="F2655">
        <v>1.774</v>
      </c>
      <c r="G2655">
        <v>0</v>
      </c>
      <c r="H2655">
        <v>0.20899999999999999</v>
      </c>
      <c r="I2655">
        <v>4.8979999999999997</v>
      </c>
      <c r="K2655">
        <v>2653</v>
      </c>
      <c r="L2655">
        <v>42</v>
      </c>
      <c r="M2655" s="32">
        <v>2.6819999999999999</v>
      </c>
      <c r="N2655" s="32">
        <v>5</v>
      </c>
      <c r="P2655" s="47">
        <v>1.7749999999999999</v>
      </c>
      <c r="R2655" s="47">
        <v>0.19700000000000001</v>
      </c>
      <c r="S2655" s="47">
        <v>4.76</v>
      </c>
      <c r="T2655" s="31">
        <v>0</v>
      </c>
      <c r="V2655">
        <v>2653</v>
      </c>
      <c r="W2655">
        <v>40</v>
      </c>
      <c r="X2655">
        <v>2.694</v>
      </c>
      <c r="Y2655" s="32">
        <v>5.056</v>
      </c>
      <c r="Z2655">
        <v>0</v>
      </c>
      <c r="AA2655" s="32">
        <v>1.6359999999999999</v>
      </c>
      <c r="AB2655">
        <v>0</v>
      </c>
      <c r="AC2655" s="34">
        <v>0.21</v>
      </c>
      <c r="AD2655" s="32">
        <v>4.41</v>
      </c>
    </row>
    <row r="2656" spans="1:30">
      <c r="A2656">
        <v>2654</v>
      </c>
      <c r="B2656">
        <v>42</v>
      </c>
      <c r="C2656">
        <v>2.6829999999999998</v>
      </c>
      <c r="D2656">
        <v>5</v>
      </c>
      <c r="E2656">
        <v>0</v>
      </c>
      <c r="F2656">
        <v>1.774</v>
      </c>
      <c r="G2656">
        <v>0</v>
      </c>
      <c r="H2656">
        <v>0.20899999999999999</v>
      </c>
      <c r="I2656">
        <v>4.9009999999999998</v>
      </c>
      <c r="K2656">
        <v>2654</v>
      </c>
      <c r="L2656">
        <v>42</v>
      </c>
      <c r="M2656" s="32">
        <v>2.6829999999999998</v>
      </c>
      <c r="N2656" s="32">
        <v>5</v>
      </c>
      <c r="P2656" s="47">
        <v>1.7749999999999999</v>
      </c>
      <c r="R2656" s="47">
        <v>0.19700000000000001</v>
      </c>
      <c r="S2656" s="47">
        <v>4.7629999999999999</v>
      </c>
      <c r="T2656" s="31">
        <v>0</v>
      </c>
      <c r="V2656">
        <v>2654</v>
      </c>
      <c r="W2656">
        <v>40</v>
      </c>
      <c r="X2656">
        <v>2.6949999999999998</v>
      </c>
      <c r="Y2656" s="32">
        <v>5.07</v>
      </c>
      <c r="Z2656">
        <v>0</v>
      </c>
      <c r="AA2656" s="32">
        <v>1.637</v>
      </c>
      <c r="AB2656">
        <v>0</v>
      </c>
      <c r="AC2656" s="34">
        <v>0.21</v>
      </c>
      <c r="AD2656" s="32">
        <v>4.4119999999999999</v>
      </c>
    </row>
    <row r="2657" spans="1:30">
      <c r="A2657">
        <v>2655</v>
      </c>
      <c r="B2657">
        <v>42</v>
      </c>
      <c r="C2657">
        <v>2.6840000000000002</v>
      </c>
      <c r="D2657">
        <v>5</v>
      </c>
      <c r="E2657">
        <v>0</v>
      </c>
      <c r="F2657">
        <v>1.774</v>
      </c>
      <c r="G2657">
        <v>0</v>
      </c>
      <c r="H2657">
        <v>0.20899999999999999</v>
      </c>
      <c r="I2657">
        <v>4.9039999999999999</v>
      </c>
      <c r="K2657">
        <v>2655</v>
      </c>
      <c r="L2657">
        <v>42</v>
      </c>
      <c r="M2657" s="32">
        <v>2.6840000000000002</v>
      </c>
      <c r="N2657" s="32">
        <v>5</v>
      </c>
      <c r="P2657" s="47">
        <v>1.7749999999999999</v>
      </c>
      <c r="R2657" s="47">
        <v>0.19700000000000001</v>
      </c>
      <c r="S2657" s="47">
        <v>4.7649999999999997</v>
      </c>
      <c r="T2657" s="31">
        <v>0</v>
      </c>
      <c r="V2657">
        <v>2655</v>
      </c>
      <c r="W2657">
        <v>40</v>
      </c>
      <c r="X2657">
        <v>2.6960000000000002</v>
      </c>
      <c r="Y2657" s="32">
        <v>5.0839999999999996</v>
      </c>
      <c r="Z2657">
        <v>0</v>
      </c>
      <c r="AA2657" s="32">
        <v>1.637</v>
      </c>
      <c r="AB2657">
        <v>0</v>
      </c>
      <c r="AC2657" s="34">
        <v>0.21</v>
      </c>
      <c r="AD2657" s="32">
        <v>4.4139999999999997</v>
      </c>
    </row>
    <row r="2658" spans="1:30">
      <c r="A2658">
        <v>2656</v>
      </c>
      <c r="B2658">
        <v>42</v>
      </c>
      <c r="C2658">
        <v>2.6850000000000001</v>
      </c>
      <c r="D2658">
        <v>5</v>
      </c>
      <c r="E2658">
        <v>0</v>
      </c>
      <c r="F2658">
        <v>1.774</v>
      </c>
      <c r="G2658">
        <v>0</v>
      </c>
      <c r="H2658">
        <v>0.20899999999999999</v>
      </c>
      <c r="I2658">
        <v>4.907</v>
      </c>
      <c r="K2658">
        <v>2656</v>
      </c>
      <c r="L2658">
        <v>42</v>
      </c>
      <c r="M2658" s="32">
        <v>2.6850000000000001</v>
      </c>
      <c r="N2658" s="32">
        <v>5</v>
      </c>
      <c r="P2658" s="47">
        <v>1.776</v>
      </c>
      <c r="R2658" s="47">
        <v>0.19600000000000001</v>
      </c>
      <c r="S2658" s="47">
        <v>4.7679999999999998</v>
      </c>
      <c r="T2658" s="31">
        <v>0</v>
      </c>
      <c r="V2658">
        <v>2656</v>
      </c>
      <c r="W2658">
        <v>40</v>
      </c>
      <c r="X2658">
        <v>2.6970000000000001</v>
      </c>
      <c r="Y2658" s="32">
        <v>5.0979999999999999</v>
      </c>
      <c r="Z2658">
        <v>0</v>
      </c>
      <c r="AA2658" s="32">
        <v>1.637</v>
      </c>
      <c r="AB2658">
        <v>0</v>
      </c>
      <c r="AC2658" s="34">
        <v>0.21</v>
      </c>
      <c r="AD2658" s="32">
        <v>4.4169999999999998</v>
      </c>
    </row>
    <row r="2659" spans="1:30">
      <c r="A2659">
        <v>2657</v>
      </c>
      <c r="B2659">
        <v>42</v>
      </c>
      <c r="C2659">
        <v>2.6859999999999999</v>
      </c>
      <c r="D2659">
        <v>5</v>
      </c>
      <c r="E2659">
        <v>0</v>
      </c>
      <c r="F2659">
        <v>1.774</v>
      </c>
      <c r="G2659">
        <v>0</v>
      </c>
      <c r="H2659">
        <v>0.20899999999999999</v>
      </c>
      <c r="I2659">
        <v>4.9089999999999998</v>
      </c>
      <c r="K2659">
        <v>2657</v>
      </c>
      <c r="L2659">
        <v>42</v>
      </c>
      <c r="M2659" s="32">
        <v>2.6859999999999999</v>
      </c>
      <c r="N2659" s="32">
        <v>5</v>
      </c>
      <c r="P2659" s="47">
        <v>1.776</v>
      </c>
      <c r="R2659" s="47">
        <v>0.19600000000000001</v>
      </c>
      <c r="S2659" s="47">
        <v>4.7699999999999996</v>
      </c>
      <c r="T2659" s="31">
        <v>0</v>
      </c>
      <c r="V2659">
        <v>2657</v>
      </c>
      <c r="W2659">
        <v>40</v>
      </c>
      <c r="X2659">
        <v>2.698</v>
      </c>
      <c r="Y2659" s="32">
        <v>5.1120000000000001</v>
      </c>
      <c r="Z2659">
        <v>0</v>
      </c>
      <c r="AA2659" s="32">
        <v>1.637</v>
      </c>
      <c r="AB2659">
        <v>0</v>
      </c>
      <c r="AC2659" s="34">
        <v>0.21</v>
      </c>
      <c r="AD2659" s="32">
        <v>4.4189999999999996</v>
      </c>
    </row>
    <row r="2660" spans="1:30">
      <c r="A2660">
        <v>2658</v>
      </c>
      <c r="B2660">
        <v>42</v>
      </c>
      <c r="C2660">
        <v>2.6869999999999998</v>
      </c>
      <c r="D2660">
        <v>5</v>
      </c>
      <c r="E2660">
        <v>0</v>
      </c>
      <c r="F2660">
        <v>1.774</v>
      </c>
      <c r="G2660">
        <v>0</v>
      </c>
      <c r="H2660">
        <v>0.20899999999999999</v>
      </c>
      <c r="I2660">
        <v>4.9119999999999999</v>
      </c>
      <c r="K2660">
        <v>2658</v>
      </c>
      <c r="L2660">
        <v>42</v>
      </c>
      <c r="M2660" s="32">
        <v>2.6869999999999998</v>
      </c>
      <c r="N2660" s="32">
        <v>5</v>
      </c>
      <c r="P2660" s="47">
        <v>1.776</v>
      </c>
      <c r="R2660" s="47">
        <v>0.19600000000000001</v>
      </c>
      <c r="S2660" s="47">
        <v>4.7729999999999997</v>
      </c>
      <c r="T2660" s="31">
        <v>0</v>
      </c>
      <c r="V2660">
        <v>2658</v>
      </c>
      <c r="W2660">
        <v>40</v>
      </c>
      <c r="X2660">
        <v>2.6989999999999998</v>
      </c>
      <c r="Y2660" s="32">
        <v>5.1260000000000003</v>
      </c>
      <c r="Z2660">
        <v>0</v>
      </c>
      <c r="AA2660" s="32">
        <v>1.6379999999999999</v>
      </c>
      <c r="AB2660">
        <v>0</v>
      </c>
      <c r="AC2660" s="34">
        <v>0.21</v>
      </c>
      <c r="AD2660" s="32">
        <v>4.4210000000000003</v>
      </c>
    </row>
    <row r="2661" spans="1:30">
      <c r="A2661">
        <v>2659</v>
      </c>
      <c r="B2661">
        <v>42</v>
      </c>
      <c r="C2661">
        <v>2.6880000000000002</v>
      </c>
      <c r="D2661">
        <v>5</v>
      </c>
      <c r="E2661">
        <v>0</v>
      </c>
      <c r="F2661">
        <v>1.774</v>
      </c>
      <c r="G2661">
        <v>0</v>
      </c>
      <c r="H2661">
        <v>0.20899999999999999</v>
      </c>
      <c r="I2661">
        <v>4.915</v>
      </c>
      <c r="K2661">
        <v>2659</v>
      </c>
      <c r="L2661">
        <v>42</v>
      </c>
      <c r="M2661" s="32">
        <v>2.6880000000000002</v>
      </c>
      <c r="N2661" s="32">
        <v>5</v>
      </c>
      <c r="P2661" s="47">
        <v>1.776</v>
      </c>
      <c r="R2661" s="47">
        <v>0.19600000000000001</v>
      </c>
      <c r="S2661" s="47">
        <v>4.7750000000000004</v>
      </c>
      <c r="T2661" s="31">
        <v>0</v>
      </c>
      <c r="V2661">
        <v>2659</v>
      </c>
      <c r="W2661">
        <v>40</v>
      </c>
      <c r="X2661">
        <v>2.7</v>
      </c>
      <c r="Y2661" s="32">
        <v>5.14</v>
      </c>
      <c r="Z2661">
        <v>0</v>
      </c>
      <c r="AA2661" s="32">
        <v>1.6379999999999999</v>
      </c>
      <c r="AB2661">
        <v>0</v>
      </c>
      <c r="AC2661" s="34">
        <v>0.21</v>
      </c>
      <c r="AD2661" s="32">
        <v>4.423</v>
      </c>
    </row>
    <row r="2662" spans="1:30">
      <c r="A2662">
        <v>2660</v>
      </c>
      <c r="B2662">
        <v>42</v>
      </c>
      <c r="C2662">
        <v>2.6890000000000001</v>
      </c>
      <c r="D2662">
        <v>5</v>
      </c>
      <c r="E2662">
        <v>0</v>
      </c>
      <c r="F2662">
        <v>1.774</v>
      </c>
      <c r="G2662">
        <v>0</v>
      </c>
      <c r="H2662">
        <v>0.20899999999999999</v>
      </c>
      <c r="I2662">
        <v>4.9180000000000001</v>
      </c>
      <c r="K2662">
        <v>2660</v>
      </c>
      <c r="L2662">
        <v>42</v>
      </c>
      <c r="M2662" s="32">
        <v>2.6890000000000001</v>
      </c>
      <c r="N2662" s="32">
        <v>5</v>
      </c>
      <c r="P2662" s="47">
        <v>1.7769999999999999</v>
      </c>
      <c r="R2662" s="47">
        <v>0.19600000000000001</v>
      </c>
      <c r="S2662" s="47">
        <v>4.7779999999999996</v>
      </c>
      <c r="T2662" s="31">
        <v>0</v>
      </c>
      <c r="V2662">
        <v>2660</v>
      </c>
      <c r="W2662">
        <v>40</v>
      </c>
      <c r="X2662">
        <v>2.7010000000000001</v>
      </c>
      <c r="Y2662" s="32">
        <v>5.14</v>
      </c>
      <c r="Z2662">
        <v>0</v>
      </c>
      <c r="AA2662" s="32">
        <v>1.6379999999999999</v>
      </c>
      <c r="AB2662">
        <v>0</v>
      </c>
      <c r="AC2662" s="34">
        <v>0.21</v>
      </c>
      <c r="AD2662" s="32">
        <v>4.4260000000000002</v>
      </c>
    </row>
    <row r="2663" spans="1:30">
      <c r="A2663">
        <v>2661</v>
      </c>
      <c r="B2663">
        <v>42</v>
      </c>
      <c r="C2663">
        <v>2.69</v>
      </c>
      <c r="D2663">
        <v>5</v>
      </c>
      <c r="E2663">
        <v>0</v>
      </c>
      <c r="F2663">
        <v>1.7769999999999999</v>
      </c>
      <c r="G2663">
        <v>0</v>
      </c>
      <c r="H2663">
        <v>0.20899999999999999</v>
      </c>
      <c r="I2663">
        <v>4.78</v>
      </c>
      <c r="K2663">
        <v>2661</v>
      </c>
      <c r="L2663">
        <v>42</v>
      </c>
      <c r="M2663" s="32">
        <v>2.69</v>
      </c>
      <c r="N2663" s="32">
        <v>5</v>
      </c>
      <c r="P2663" s="32">
        <v>1.7769999999999999</v>
      </c>
      <c r="R2663" s="47">
        <v>0.19500000000000001</v>
      </c>
      <c r="S2663" s="32">
        <v>4.78</v>
      </c>
      <c r="T2663" s="31">
        <v>0</v>
      </c>
      <c r="V2663">
        <v>2661</v>
      </c>
      <c r="W2663">
        <v>40</v>
      </c>
      <c r="X2663">
        <v>2.702</v>
      </c>
      <c r="Y2663" s="32">
        <v>5.14</v>
      </c>
      <c r="Z2663">
        <v>0</v>
      </c>
      <c r="AA2663" s="32">
        <v>1.6379999999999999</v>
      </c>
      <c r="AB2663">
        <v>0</v>
      </c>
      <c r="AC2663" s="34">
        <v>0.21</v>
      </c>
      <c r="AD2663" s="32">
        <v>4.4279999999999999</v>
      </c>
    </row>
    <row r="2664" spans="1:30">
      <c r="A2664">
        <v>2662</v>
      </c>
      <c r="B2664">
        <v>42</v>
      </c>
      <c r="C2664">
        <v>2.6909999999999998</v>
      </c>
      <c r="D2664">
        <v>5</v>
      </c>
      <c r="E2664">
        <v>0</v>
      </c>
      <c r="F2664">
        <v>1.7769999999999999</v>
      </c>
      <c r="G2664">
        <v>0</v>
      </c>
      <c r="H2664">
        <v>0.20899999999999999</v>
      </c>
      <c r="I2664">
        <v>4.9480000000000004</v>
      </c>
      <c r="K2664">
        <v>2662</v>
      </c>
      <c r="L2664">
        <v>42</v>
      </c>
      <c r="M2664" s="32">
        <v>2.6909999999999998</v>
      </c>
      <c r="N2664" s="47">
        <v>5.0140000000000002</v>
      </c>
      <c r="P2664" s="32">
        <v>1.7769999999999999</v>
      </c>
      <c r="R2664" s="47">
        <v>0.19500000000000001</v>
      </c>
      <c r="S2664" s="47">
        <v>4.7839999999999998</v>
      </c>
      <c r="T2664" s="31">
        <v>0</v>
      </c>
      <c r="V2664">
        <v>2662</v>
      </c>
      <c r="W2664">
        <v>40</v>
      </c>
      <c r="X2664">
        <v>2.7029999999999998</v>
      </c>
      <c r="Y2664" s="32">
        <v>5.14</v>
      </c>
      <c r="Z2664">
        <v>0</v>
      </c>
      <c r="AA2664" s="32">
        <v>1.639</v>
      </c>
      <c r="AB2664">
        <v>0</v>
      </c>
      <c r="AC2664" s="34">
        <v>0.21</v>
      </c>
      <c r="AD2664" s="32">
        <v>4.43</v>
      </c>
    </row>
    <row r="2665" spans="1:30">
      <c r="A2665">
        <v>2663</v>
      </c>
      <c r="B2665">
        <v>42</v>
      </c>
      <c r="C2665">
        <v>2.6920000000000002</v>
      </c>
      <c r="D2665">
        <v>5</v>
      </c>
      <c r="E2665">
        <v>0</v>
      </c>
      <c r="F2665">
        <v>1.7769999999999999</v>
      </c>
      <c r="G2665">
        <v>0</v>
      </c>
      <c r="H2665">
        <v>0.20899999999999999</v>
      </c>
      <c r="I2665">
        <v>4.9509999999999996</v>
      </c>
      <c r="K2665">
        <v>2663</v>
      </c>
      <c r="L2665">
        <v>42</v>
      </c>
      <c r="M2665" s="32">
        <v>2.6920000000000002</v>
      </c>
      <c r="N2665" s="47">
        <v>5.0279999999999996</v>
      </c>
      <c r="P2665" s="47">
        <v>1.778</v>
      </c>
      <c r="R2665" s="47">
        <v>0.19500000000000001</v>
      </c>
      <c r="S2665" s="47">
        <v>4.7869999999999999</v>
      </c>
      <c r="T2665" s="31">
        <v>0</v>
      </c>
      <c r="V2665">
        <v>2663</v>
      </c>
      <c r="W2665">
        <v>40</v>
      </c>
      <c r="X2665">
        <v>2.7040000000000002</v>
      </c>
      <c r="Y2665" s="32">
        <v>5.14</v>
      </c>
      <c r="Z2665">
        <v>0</v>
      </c>
      <c r="AA2665" s="32">
        <v>1.639</v>
      </c>
      <c r="AB2665">
        <v>0</v>
      </c>
      <c r="AC2665" s="34">
        <v>0.21</v>
      </c>
      <c r="AD2665" s="32">
        <v>4.4329999999999998</v>
      </c>
    </row>
    <row r="2666" spans="1:30">
      <c r="A2666">
        <v>2664</v>
      </c>
      <c r="B2666">
        <v>42</v>
      </c>
      <c r="C2666">
        <v>2.6930000000000001</v>
      </c>
      <c r="D2666">
        <v>5</v>
      </c>
      <c r="E2666">
        <v>0</v>
      </c>
      <c r="F2666">
        <v>1.7769999999999999</v>
      </c>
      <c r="G2666">
        <v>0</v>
      </c>
      <c r="H2666">
        <v>0.20899999999999999</v>
      </c>
      <c r="I2666">
        <v>4.9539999999999997</v>
      </c>
      <c r="K2666">
        <v>2664</v>
      </c>
      <c r="L2666">
        <v>42</v>
      </c>
      <c r="M2666" s="32">
        <v>2.6930000000000001</v>
      </c>
      <c r="N2666" s="47">
        <v>5.0419999999999998</v>
      </c>
      <c r="P2666" s="47">
        <v>1.778</v>
      </c>
      <c r="R2666" s="47">
        <v>0.19500000000000001</v>
      </c>
      <c r="S2666" s="47">
        <v>4.7910000000000004</v>
      </c>
      <c r="T2666" s="31">
        <v>0</v>
      </c>
      <c r="V2666">
        <v>2664</v>
      </c>
      <c r="W2666">
        <v>40</v>
      </c>
      <c r="X2666">
        <v>2.7050000000000001</v>
      </c>
      <c r="Y2666" s="32">
        <v>5.14</v>
      </c>
      <c r="Z2666">
        <v>0</v>
      </c>
      <c r="AA2666" s="32">
        <v>1.639</v>
      </c>
      <c r="AB2666">
        <v>0</v>
      </c>
      <c r="AC2666" s="34">
        <v>0.21</v>
      </c>
      <c r="AD2666" s="32">
        <v>4.4349999999999996</v>
      </c>
    </row>
    <row r="2667" spans="1:30">
      <c r="A2667">
        <v>2665</v>
      </c>
      <c r="B2667">
        <v>42</v>
      </c>
      <c r="C2667">
        <v>2.694</v>
      </c>
      <c r="D2667">
        <v>5</v>
      </c>
      <c r="E2667">
        <v>0</v>
      </c>
      <c r="F2667">
        <v>1.7769999999999999</v>
      </c>
      <c r="G2667">
        <v>0</v>
      </c>
      <c r="H2667">
        <v>0.20899999999999999</v>
      </c>
      <c r="I2667">
        <v>4.9560000000000004</v>
      </c>
      <c r="K2667">
        <v>2665</v>
      </c>
      <c r="L2667">
        <v>42</v>
      </c>
      <c r="M2667" s="32">
        <v>2.694</v>
      </c>
      <c r="N2667" s="47">
        <v>5.056</v>
      </c>
      <c r="P2667" s="47">
        <v>1.778</v>
      </c>
      <c r="R2667" s="47">
        <v>0.19400000000000001</v>
      </c>
      <c r="S2667" s="47">
        <v>4.7939999999999996</v>
      </c>
      <c r="T2667" s="31">
        <v>0</v>
      </c>
      <c r="V2667">
        <v>2665</v>
      </c>
      <c r="W2667">
        <v>40</v>
      </c>
      <c r="X2667">
        <v>2.706</v>
      </c>
      <c r="Y2667" s="32">
        <v>5.14</v>
      </c>
      <c r="Z2667">
        <v>0</v>
      </c>
      <c r="AA2667" s="32">
        <v>1.639</v>
      </c>
      <c r="AB2667">
        <v>0</v>
      </c>
      <c r="AC2667" s="34">
        <v>0.21099999999999999</v>
      </c>
      <c r="AD2667" s="32">
        <v>4.4370000000000003</v>
      </c>
    </row>
    <row r="2668" spans="1:30">
      <c r="A2668">
        <v>2666</v>
      </c>
      <c r="B2668">
        <v>42</v>
      </c>
      <c r="C2668">
        <v>2.6949999999999998</v>
      </c>
      <c r="D2668">
        <v>5</v>
      </c>
      <c r="E2668">
        <v>0</v>
      </c>
      <c r="F2668">
        <v>1.7769999999999999</v>
      </c>
      <c r="G2668">
        <v>0</v>
      </c>
      <c r="H2668">
        <v>0.20899999999999999</v>
      </c>
      <c r="I2668">
        <v>4.9589999999999996</v>
      </c>
      <c r="K2668">
        <v>2666</v>
      </c>
      <c r="L2668">
        <v>42</v>
      </c>
      <c r="M2668" s="32">
        <v>2.6949999999999998</v>
      </c>
      <c r="N2668" s="47">
        <v>5.07</v>
      </c>
      <c r="P2668" s="47">
        <v>1.7789999999999999</v>
      </c>
      <c r="R2668" s="47">
        <v>0.19400000000000001</v>
      </c>
      <c r="S2668" s="47">
        <v>4.798</v>
      </c>
      <c r="T2668" s="31">
        <v>0</v>
      </c>
      <c r="V2668">
        <v>2666</v>
      </c>
      <c r="W2668">
        <v>40</v>
      </c>
      <c r="X2668">
        <v>2.7069999999999999</v>
      </c>
      <c r="Y2668" s="32">
        <v>5.14</v>
      </c>
      <c r="Z2668">
        <v>0</v>
      </c>
      <c r="AA2668" s="32">
        <v>1.64</v>
      </c>
      <c r="AB2668">
        <v>0</v>
      </c>
      <c r="AC2668" s="34">
        <v>0.21099999999999999</v>
      </c>
      <c r="AD2668" s="32">
        <v>4.4390000000000001</v>
      </c>
    </row>
    <row r="2669" spans="1:30">
      <c r="A2669">
        <v>2667</v>
      </c>
      <c r="B2669">
        <v>42</v>
      </c>
      <c r="C2669">
        <v>2.6960000000000002</v>
      </c>
      <c r="D2669">
        <v>5</v>
      </c>
      <c r="E2669">
        <v>0</v>
      </c>
      <c r="F2669">
        <v>1.7769999999999999</v>
      </c>
      <c r="G2669">
        <v>0</v>
      </c>
      <c r="H2669">
        <v>0.20899999999999999</v>
      </c>
      <c r="I2669">
        <v>4.9619999999999997</v>
      </c>
      <c r="K2669">
        <v>2667</v>
      </c>
      <c r="L2669">
        <v>42</v>
      </c>
      <c r="M2669" s="32">
        <v>2.6960000000000002</v>
      </c>
      <c r="N2669" s="47">
        <v>5.0839999999999996</v>
      </c>
      <c r="P2669" s="47">
        <v>1.7789999999999999</v>
      </c>
      <c r="R2669" s="47">
        <v>0.19400000000000001</v>
      </c>
      <c r="S2669" s="47">
        <v>4.8010000000000002</v>
      </c>
      <c r="T2669" s="31">
        <v>0</v>
      </c>
      <c r="V2669">
        <v>2667</v>
      </c>
      <c r="W2669">
        <v>40</v>
      </c>
      <c r="X2669">
        <v>2.7080000000000002</v>
      </c>
      <c r="Y2669" s="32">
        <v>5.14</v>
      </c>
      <c r="Z2669">
        <v>0</v>
      </c>
      <c r="AA2669" s="32">
        <v>1.64</v>
      </c>
      <c r="AB2669">
        <v>0</v>
      </c>
      <c r="AC2669" s="34">
        <v>0.21099999999999999</v>
      </c>
      <c r="AD2669" s="32">
        <v>4.4420000000000002</v>
      </c>
    </row>
    <row r="2670" spans="1:30">
      <c r="A2670">
        <v>2668</v>
      </c>
      <c r="B2670">
        <v>42</v>
      </c>
      <c r="C2670">
        <v>2.6970000000000001</v>
      </c>
      <c r="D2670">
        <v>5</v>
      </c>
      <c r="E2670">
        <v>0</v>
      </c>
      <c r="F2670">
        <v>1.7769999999999999</v>
      </c>
      <c r="G2670">
        <v>0</v>
      </c>
      <c r="H2670">
        <v>0.20899999999999999</v>
      </c>
      <c r="I2670">
        <v>4.9649999999999999</v>
      </c>
      <c r="K2670">
        <v>2668</v>
      </c>
      <c r="L2670">
        <v>42</v>
      </c>
      <c r="M2670" s="32">
        <v>2.6970000000000001</v>
      </c>
      <c r="N2670" s="47">
        <v>5.0979999999999999</v>
      </c>
      <c r="P2670" s="47">
        <v>1.7789999999999999</v>
      </c>
      <c r="R2670" s="47">
        <v>0.19400000000000001</v>
      </c>
      <c r="S2670" s="47">
        <v>4.8049999999999997</v>
      </c>
      <c r="T2670" s="31">
        <v>0</v>
      </c>
      <c r="V2670">
        <v>2668</v>
      </c>
      <c r="W2670">
        <v>40</v>
      </c>
      <c r="X2670">
        <v>2.7090000000000001</v>
      </c>
      <c r="Y2670" s="32">
        <v>5.14</v>
      </c>
      <c r="Z2670">
        <v>0</v>
      </c>
      <c r="AA2670" s="32">
        <v>1.64</v>
      </c>
      <c r="AB2670">
        <v>0</v>
      </c>
      <c r="AC2670" s="34">
        <v>0.21099999999999999</v>
      </c>
      <c r="AD2670" s="32">
        <v>4.444</v>
      </c>
    </row>
    <row r="2671" spans="1:30">
      <c r="A2671">
        <v>2669</v>
      </c>
      <c r="B2671">
        <v>42</v>
      </c>
      <c r="C2671">
        <v>2.698</v>
      </c>
      <c r="D2671">
        <v>5</v>
      </c>
      <c r="E2671">
        <v>0</v>
      </c>
      <c r="F2671">
        <v>1.7769999999999999</v>
      </c>
      <c r="G2671">
        <v>0</v>
      </c>
      <c r="H2671">
        <v>0.20899999999999999</v>
      </c>
      <c r="I2671">
        <v>4.9669999999999996</v>
      </c>
      <c r="K2671">
        <v>2669</v>
      </c>
      <c r="L2671">
        <v>42</v>
      </c>
      <c r="M2671" s="32">
        <v>2.698</v>
      </c>
      <c r="N2671" s="47">
        <v>5.1120000000000001</v>
      </c>
      <c r="P2671" s="47">
        <v>1.7789999999999999</v>
      </c>
      <c r="R2671" s="47">
        <v>0.193</v>
      </c>
      <c r="S2671" s="47">
        <v>4.8079999999999998</v>
      </c>
      <c r="T2671" s="31">
        <v>0</v>
      </c>
      <c r="V2671">
        <v>2669</v>
      </c>
      <c r="W2671">
        <v>40</v>
      </c>
      <c r="X2671">
        <v>2.71</v>
      </c>
      <c r="Y2671" s="32">
        <v>5.14</v>
      </c>
      <c r="Z2671">
        <v>0</v>
      </c>
      <c r="AA2671" s="32">
        <v>1.64</v>
      </c>
      <c r="AB2671">
        <v>0</v>
      </c>
      <c r="AC2671" s="34">
        <v>0.21099999999999999</v>
      </c>
      <c r="AD2671" s="32">
        <v>4.4459999999999997</v>
      </c>
    </row>
    <row r="2672" spans="1:30">
      <c r="A2672">
        <v>2670</v>
      </c>
      <c r="B2672">
        <v>42</v>
      </c>
      <c r="C2672">
        <v>2.6989999999999998</v>
      </c>
      <c r="D2672">
        <v>5</v>
      </c>
      <c r="E2672">
        <v>0</v>
      </c>
      <c r="F2672">
        <v>1.7769999999999999</v>
      </c>
      <c r="G2672">
        <v>0</v>
      </c>
      <c r="H2672">
        <v>0.20899999999999999</v>
      </c>
      <c r="I2672">
        <v>4.97</v>
      </c>
      <c r="K2672">
        <v>2670</v>
      </c>
      <c r="L2672">
        <v>42</v>
      </c>
      <c r="M2672" s="32">
        <v>2.6989999999999998</v>
      </c>
      <c r="N2672" s="47">
        <v>5.1260000000000003</v>
      </c>
      <c r="P2672" s="47">
        <v>1.78</v>
      </c>
      <c r="R2672" s="47">
        <v>0.193</v>
      </c>
      <c r="S2672" s="47">
        <v>4.8120000000000003</v>
      </c>
      <c r="T2672" s="31">
        <v>0</v>
      </c>
      <c r="V2672">
        <v>2670</v>
      </c>
      <c r="W2672">
        <v>40</v>
      </c>
      <c r="X2672">
        <v>2.7109999999999999</v>
      </c>
      <c r="Y2672" s="32">
        <v>5.14</v>
      </c>
      <c r="Z2672">
        <v>0</v>
      </c>
      <c r="AA2672" s="32">
        <v>1.64</v>
      </c>
      <c r="AB2672">
        <v>0</v>
      </c>
      <c r="AC2672" s="34">
        <v>0.21099999999999999</v>
      </c>
      <c r="AD2672" s="32">
        <v>4.4489999999999998</v>
      </c>
    </row>
    <row r="2673" spans="1:30">
      <c r="A2673">
        <v>2671</v>
      </c>
      <c r="B2673">
        <v>43</v>
      </c>
      <c r="C2673">
        <v>2.7</v>
      </c>
      <c r="D2673">
        <v>5.14</v>
      </c>
      <c r="E2673">
        <v>0</v>
      </c>
      <c r="F2673">
        <v>1.78</v>
      </c>
      <c r="G2673">
        <v>0</v>
      </c>
      <c r="H2673">
        <v>0.193</v>
      </c>
      <c r="I2673">
        <v>4.8150000000000004</v>
      </c>
      <c r="K2673">
        <v>2671</v>
      </c>
      <c r="L2673">
        <v>43</v>
      </c>
      <c r="M2673" s="32">
        <v>2.7</v>
      </c>
      <c r="N2673" s="32">
        <v>5.14</v>
      </c>
      <c r="P2673" s="32">
        <v>1.78</v>
      </c>
      <c r="R2673" s="32">
        <v>0.193</v>
      </c>
      <c r="S2673" s="32">
        <v>4.8150000000000004</v>
      </c>
      <c r="T2673" s="31">
        <v>0</v>
      </c>
      <c r="V2673">
        <v>2671</v>
      </c>
      <c r="W2673">
        <v>40</v>
      </c>
      <c r="X2673">
        <v>2.7120000000000002</v>
      </c>
      <c r="Y2673" s="32">
        <v>5.14</v>
      </c>
      <c r="Z2673">
        <v>0</v>
      </c>
      <c r="AA2673" s="32">
        <v>1.641</v>
      </c>
      <c r="AB2673">
        <v>0</v>
      </c>
      <c r="AC2673" s="34">
        <v>0.21099999999999999</v>
      </c>
      <c r="AD2673" s="32">
        <v>4.4509999999999996</v>
      </c>
    </row>
    <row r="2674" spans="1:30">
      <c r="A2674">
        <v>2672</v>
      </c>
      <c r="B2674">
        <v>43</v>
      </c>
      <c r="C2674">
        <v>2.7010000000000001</v>
      </c>
      <c r="D2674">
        <v>5.14</v>
      </c>
      <c r="E2674">
        <v>0</v>
      </c>
      <c r="F2674">
        <v>1.78</v>
      </c>
      <c r="G2674">
        <v>0</v>
      </c>
      <c r="H2674">
        <v>0.193</v>
      </c>
      <c r="I2674">
        <v>4.8170000000000002</v>
      </c>
      <c r="K2674">
        <v>2672</v>
      </c>
      <c r="L2674">
        <v>43</v>
      </c>
      <c r="M2674" s="32">
        <v>2.7010000000000001</v>
      </c>
      <c r="N2674" s="32">
        <v>5.14</v>
      </c>
      <c r="P2674" s="32">
        <v>1.78</v>
      </c>
      <c r="R2674" s="32">
        <v>0.193</v>
      </c>
      <c r="S2674" s="32">
        <v>4.8170000000000002</v>
      </c>
      <c r="T2674" s="31">
        <v>0</v>
      </c>
      <c r="V2674">
        <v>2672</v>
      </c>
      <c r="W2674">
        <v>40</v>
      </c>
      <c r="X2674">
        <v>2.7130000000000001</v>
      </c>
      <c r="Y2674" s="32">
        <v>5.14</v>
      </c>
      <c r="Z2674">
        <v>0</v>
      </c>
      <c r="AA2674" s="32">
        <v>1.641</v>
      </c>
      <c r="AB2674">
        <v>0</v>
      </c>
      <c r="AC2674" s="34">
        <v>0.21099999999999999</v>
      </c>
      <c r="AD2674" s="32">
        <v>4.4530000000000003</v>
      </c>
    </row>
    <row r="2675" spans="1:30">
      <c r="A2675">
        <v>2673</v>
      </c>
      <c r="B2675">
        <v>43</v>
      </c>
      <c r="C2675">
        <v>2.702</v>
      </c>
      <c r="D2675">
        <v>5.14</v>
      </c>
      <c r="E2675">
        <v>0</v>
      </c>
      <c r="F2675">
        <v>1.7809999999999999</v>
      </c>
      <c r="G2675">
        <v>0</v>
      </c>
      <c r="H2675">
        <v>0.193</v>
      </c>
      <c r="I2675">
        <v>4.82</v>
      </c>
      <c r="K2675">
        <v>2673</v>
      </c>
      <c r="L2675">
        <v>43</v>
      </c>
      <c r="M2675" s="32">
        <v>2.702</v>
      </c>
      <c r="N2675" s="32">
        <v>5.14</v>
      </c>
      <c r="P2675" s="32">
        <v>1.7809999999999999</v>
      </c>
      <c r="R2675" s="32">
        <v>0.193</v>
      </c>
      <c r="S2675" s="47">
        <v>4.8179999999999996</v>
      </c>
      <c r="T2675" s="31">
        <v>0</v>
      </c>
      <c r="V2675">
        <v>2673</v>
      </c>
      <c r="W2675">
        <v>40</v>
      </c>
      <c r="X2675">
        <v>2.714</v>
      </c>
      <c r="Y2675" s="32">
        <v>5.14</v>
      </c>
      <c r="Z2675">
        <v>0</v>
      </c>
      <c r="AA2675" s="32">
        <v>1.641</v>
      </c>
      <c r="AB2675">
        <v>0</v>
      </c>
      <c r="AC2675" s="34">
        <v>0.21099999999999999</v>
      </c>
      <c r="AD2675" s="32">
        <v>4.4550000000000001</v>
      </c>
    </row>
    <row r="2676" spans="1:30">
      <c r="A2676">
        <v>2674</v>
      </c>
      <c r="B2676">
        <v>43</v>
      </c>
      <c r="C2676">
        <v>2.7029999999999998</v>
      </c>
      <c r="D2676">
        <v>5.15</v>
      </c>
      <c r="E2676">
        <v>0</v>
      </c>
      <c r="F2676">
        <v>1.7809999999999999</v>
      </c>
      <c r="G2676">
        <v>0</v>
      </c>
      <c r="H2676">
        <v>0.193</v>
      </c>
      <c r="I2676">
        <v>4.8220000000000001</v>
      </c>
      <c r="K2676">
        <v>2674</v>
      </c>
      <c r="L2676">
        <v>43</v>
      </c>
      <c r="M2676" s="32">
        <v>2.7029999999999998</v>
      </c>
      <c r="N2676" s="47">
        <v>5.14</v>
      </c>
      <c r="P2676" s="32">
        <v>1.7809999999999999</v>
      </c>
      <c r="R2676" s="32">
        <v>0.193</v>
      </c>
      <c r="S2676" s="47">
        <v>4.82</v>
      </c>
      <c r="T2676" s="31">
        <v>0</v>
      </c>
      <c r="V2676">
        <v>2674</v>
      </c>
      <c r="W2676">
        <v>40</v>
      </c>
      <c r="X2676">
        <v>2.7149999999999999</v>
      </c>
      <c r="Y2676" s="32">
        <v>5.14</v>
      </c>
      <c r="Z2676">
        <v>0</v>
      </c>
      <c r="AA2676" s="32">
        <v>1.641</v>
      </c>
      <c r="AB2676">
        <v>0</v>
      </c>
      <c r="AC2676" s="34">
        <v>0.21099999999999999</v>
      </c>
      <c r="AD2676" s="32">
        <v>4.4580000000000002</v>
      </c>
    </row>
    <row r="2677" spans="1:30">
      <c r="A2677">
        <v>2675</v>
      </c>
      <c r="B2677">
        <v>43</v>
      </c>
      <c r="C2677">
        <v>2.7040000000000002</v>
      </c>
      <c r="D2677">
        <v>5.15</v>
      </c>
      <c r="E2677">
        <v>0</v>
      </c>
      <c r="F2677">
        <v>1.7809999999999999</v>
      </c>
      <c r="G2677">
        <v>0</v>
      </c>
      <c r="H2677">
        <v>0.193</v>
      </c>
      <c r="I2677">
        <v>4.8250000000000002</v>
      </c>
      <c r="K2677">
        <v>2675</v>
      </c>
      <c r="L2677">
        <v>43</v>
      </c>
      <c r="M2677" s="32">
        <v>2.7040000000000002</v>
      </c>
      <c r="N2677" s="47">
        <v>5.14</v>
      </c>
      <c r="P2677" s="32">
        <v>1.7809999999999999</v>
      </c>
      <c r="R2677" s="32">
        <v>0.193</v>
      </c>
      <c r="S2677" s="47">
        <v>4.8209999999999997</v>
      </c>
      <c r="T2677" s="31">
        <v>0</v>
      </c>
      <c r="V2677">
        <v>2675</v>
      </c>
      <c r="W2677">
        <v>40</v>
      </c>
      <c r="X2677">
        <v>2.7160000000000002</v>
      </c>
      <c r="Y2677" s="32">
        <v>5.14</v>
      </c>
      <c r="Z2677">
        <v>0</v>
      </c>
      <c r="AA2677" s="32">
        <v>1.6419999999999999</v>
      </c>
      <c r="AB2677">
        <v>0</v>
      </c>
      <c r="AC2677" s="34">
        <v>0.21099999999999999</v>
      </c>
      <c r="AD2677" s="32">
        <v>4.46</v>
      </c>
    </row>
    <row r="2678" spans="1:30">
      <c r="A2678">
        <v>2676</v>
      </c>
      <c r="B2678">
        <v>43</v>
      </c>
      <c r="C2678">
        <v>2.7050000000000001</v>
      </c>
      <c r="D2678">
        <v>5.15</v>
      </c>
      <c r="E2678">
        <v>0</v>
      </c>
      <c r="F2678">
        <v>1.7809999999999999</v>
      </c>
      <c r="G2678">
        <v>0</v>
      </c>
      <c r="H2678">
        <v>0.193</v>
      </c>
      <c r="I2678">
        <v>4.827</v>
      </c>
      <c r="K2678">
        <v>2676</v>
      </c>
      <c r="L2678">
        <v>43</v>
      </c>
      <c r="M2678" s="32">
        <v>2.7050000000000001</v>
      </c>
      <c r="N2678" s="47">
        <v>5.14</v>
      </c>
      <c r="P2678" s="47">
        <v>1.782</v>
      </c>
      <c r="R2678" s="32">
        <v>0.193</v>
      </c>
      <c r="S2678" s="47">
        <v>4.8230000000000004</v>
      </c>
      <c r="T2678" s="31">
        <v>0</v>
      </c>
      <c r="V2678">
        <v>2676</v>
      </c>
      <c r="W2678">
        <v>40</v>
      </c>
      <c r="X2678">
        <v>2.7170000000000001</v>
      </c>
      <c r="Y2678" s="32">
        <v>5.14</v>
      </c>
      <c r="Z2678">
        <v>0</v>
      </c>
      <c r="AA2678" s="32">
        <v>1.6419999999999999</v>
      </c>
      <c r="AB2678">
        <v>0</v>
      </c>
      <c r="AC2678" s="34">
        <v>0.21099999999999999</v>
      </c>
      <c r="AD2678" s="32">
        <v>4.4619999999999997</v>
      </c>
    </row>
    <row r="2679" spans="1:30">
      <c r="A2679">
        <v>2677</v>
      </c>
      <c r="B2679">
        <v>43</v>
      </c>
      <c r="C2679">
        <v>2.706</v>
      </c>
      <c r="D2679">
        <v>5.15</v>
      </c>
      <c r="E2679">
        <v>0</v>
      </c>
      <c r="F2679">
        <v>1.782</v>
      </c>
      <c r="G2679">
        <v>0</v>
      </c>
      <c r="H2679">
        <v>0.193</v>
      </c>
      <c r="I2679">
        <v>4.83</v>
      </c>
      <c r="K2679">
        <v>2677</v>
      </c>
      <c r="L2679">
        <v>43</v>
      </c>
      <c r="M2679" s="32">
        <v>2.706</v>
      </c>
      <c r="N2679" s="47">
        <v>5.14</v>
      </c>
      <c r="P2679" s="32">
        <v>1.782</v>
      </c>
      <c r="R2679" s="32">
        <v>0.193</v>
      </c>
      <c r="S2679" s="47">
        <v>4.8250000000000002</v>
      </c>
      <c r="T2679" s="31">
        <v>0</v>
      </c>
      <c r="V2679">
        <v>2677</v>
      </c>
      <c r="W2679">
        <v>40</v>
      </c>
      <c r="X2679">
        <v>2.718</v>
      </c>
      <c r="Y2679" s="32">
        <v>5.14</v>
      </c>
      <c r="Z2679">
        <v>0</v>
      </c>
      <c r="AA2679" s="32">
        <v>1.6419999999999999</v>
      </c>
      <c r="AB2679">
        <v>0</v>
      </c>
      <c r="AC2679" s="34">
        <v>0.21099999999999999</v>
      </c>
      <c r="AD2679" s="32">
        <v>4.4649999999999999</v>
      </c>
    </row>
    <row r="2680" spans="1:30">
      <c r="A2680">
        <v>2678</v>
      </c>
      <c r="B2680">
        <v>43</v>
      </c>
      <c r="C2680">
        <v>2.7069999999999999</v>
      </c>
      <c r="D2680">
        <v>5.16</v>
      </c>
      <c r="E2680">
        <v>0</v>
      </c>
      <c r="F2680">
        <v>1.782</v>
      </c>
      <c r="G2680">
        <v>0</v>
      </c>
      <c r="H2680">
        <v>0.193</v>
      </c>
      <c r="I2680">
        <v>4.8319999999999999</v>
      </c>
      <c r="K2680">
        <v>2678</v>
      </c>
      <c r="L2680">
        <v>43</v>
      </c>
      <c r="M2680" s="32">
        <v>2.7069999999999999</v>
      </c>
      <c r="N2680" s="47">
        <v>5.14</v>
      </c>
      <c r="P2680" s="32">
        <v>1.782</v>
      </c>
      <c r="R2680" s="32">
        <v>0.193</v>
      </c>
      <c r="S2680" s="47">
        <v>4.8259999999999996</v>
      </c>
      <c r="T2680" s="31">
        <v>0</v>
      </c>
      <c r="V2680">
        <v>2678</v>
      </c>
      <c r="W2680">
        <v>40</v>
      </c>
      <c r="X2680">
        <v>2.7189999999999999</v>
      </c>
      <c r="Y2680" s="32">
        <v>5.14</v>
      </c>
      <c r="Z2680">
        <v>0</v>
      </c>
      <c r="AA2680" s="32">
        <v>1.6419999999999999</v>
      </c>
      <c r="AB2680">
        <v>0</v>
      </c>
      <c r="AC2680" s="34">
        <v>0.21099999999999999</v>
      </c>
      <c r="AD2680" s="32">
        <v>4.4669999999999996</v>
      </c>
    </row>
    <row r="2681" spans="1:30">
      <c r="A2681">
        <v>2679</v>
      </c>
      <c r="B2681">
        <v>43</v>
      </c>
      <c r="C2681">
        <v>2.7080000000000002</v>
      </c>
      <c r="D2681">
        <v>5.16</v>
      </c>
      <c r="E2681">
        <v>0</v>
      </c>
      <c r="F2681">
        <v>1.782</v>
      </c>
      <c r="G2681">
        <v>0</v>
      </c>
      <c r="H2681">
        <v>0.193</v>
      </c>
      <c r="I2681">
        <v>4.835</v>
      </c>
      <c r="K2681">
        <v>2679</v>
      </c>
      <c r="L2681">
        <v>43</v>
      </c>
      <c r="M2681" s="32">
        <v>2.7080000000000002</v>
      </c>
      <c r="N2681" s="47">
        <v>5.14</v>
      </c>
      <c r="P2681" s="32">
        <v>1.782</v>
      </c>
      <c r="R2681" s="32">
        <v>0.193</v>
      </c>
      <c r="S2681" s="47">
        <v>4.8280000000000003</v>
      </c>
      <c r="T2681" s="31">
        <v>0</v>
      </c>
      <c r="V2681">
        <v>2679</v>
      </c>
      <c r="W2681">
        <v>40</v>
      </c>
      <c r="X2681">
        <v>2.72</v>
      </c>
      <c r="Y2681" s="32">
        <v>5.14</v>
      </c>
      <c r="Z2681">
        <v>0</v>
      </c>
      <c r="AA2681" s="32">
        <v>1.643</v>
      </c>
      <c r="AB2681">
        <v>0</v>
      </c>
      <c r="AC2681" s="34">
        <v>0.21099999999999999</v>
      </c>
      <c r="AD2681" s="32">
        <v>4.4690000000000003</v>
      </c>
    </row>
    <row r="2682" spans="1:30">
      <c r="A2682">
        <v>2680</v>
      </c>
      <c r="B2682">
        <v>43</v>
      </c>
      <c r="C2682">
        <v>2.7090000000000001</v>
      </c>
      <c r="D2682">
        <v>5.16</v>
      </c>
      <c r="E2682">
        <v>0</v>
      </c>
      <c r="F2682">
        <v>1.782</v>
      </c>
      <c r="G2682">
        <v>0</v>
      </c>
      <c r="H2682">
        <v>0.193</v>
      </c>
      <c r="I2682">
        <v>4.8369999999999997</v>
      </c>
      <c r="K2682">
        <v>2680</v>
      </c>
      <c r="L2682">
        <v>43</v>
      </c>
      <c r="M2682" s="32">
        <v>2.7090000000000001</v>
      </c>
      <c r="N2682" s="47">
        <v>5.14</v>
      </c>
      <c r="P2682" s="47">
        <v>1.7829999999999999</v>
      </c>
      <c r="R2682" s="32">
        <v>0.193</v>
      </c>
      <c r="S2682" s="47">
        <v>4.8289999999999997</v>
      </c>
      <c r="T2682" s="31">
        <v>0</v>
      </c>
      <c r="V2682">
        <v>2680</v>
      </c>
      <c r="W2682">
        <v>40</v>
      </c>
      <c r="X2682">
        <v>2.7210000000000001</v>
      </c>
      <c r="Y2682" s="32">
        <v>5.14</v>
      </c>
      <c r="Z2682">
        <v>0</v>
      </c>
      <c r="AA2682" s="32">
        <v>1.643</v>
      </c>
      <c r="AB2682">
        <v>0</v>
      </c>
      <c r="AC2682" s="34">
        <v>0.21099999999999999</v>
      </c>
      <c r="AD2682" s="32">
        <v>4.4720000000000004</v>
      </c>
    </row>
    <row r="2683" spans="1:30">
      <c r="A2683">
        <v>2681</v>
      </c>
      <c r="B2683">
        <v>43</v>
      </c>
      <c r="C2683">
        <v>2.71</v>
      </c>
      <c r="D2683">
        <v>5.14</v>
      </c>
      <c r="E2683">
        <v>0</v>
      </c>
      <c r="F2683">
        <v>1.7829999999999999</v>
      </c>
      <c r="G2683">
        <v>0</v>
      </c>
      <c r="H2683">
        <v>0.193</v>
      </c>
      <c r="I2683">
        <v>4.8310000000000004</v>
      </c>
      <c r="K2683">
        <v>2681</v>
      </c>
      <c r="L2683">
        <v>43</v>
      </c>
      <c r="M2683" s="32">
        <v>2.71</v>
      </c>
      <c r="N2683" s="32">
        <v>5.14</v>
      </c>
      <c r="P2683" s="32">
        <v>1.7829999999999999</v>
      </c>
      <c r="R2683" s="32">
        <v>0.193</v>
      </c>
      <c r="S2683" s="32">
        <v>4.8310000000000004</v>
      </c>
      <c r="T2683" s="31">
        <v>0</v>
      </c>
      <c r="V2683">
        <v>2681</v>
      </c>
      <c r="W2683">
        <v>40</v>
      </c>
      <c r="X2683">
        <v>2.722</v>
      </c>
      <c r="Y2683" s="32">
        <v>5.14</v>
      </c>
      <c r="Z2683">
        <v>0</v>
      </c>
      <c r="AA2683" s="32">
        <v>1.643</v>
      </c>
      <c r="AB2683">
        <v>0</v>
      </c>
      <c r="AC2683" s="34">
        <v>0.21099999999999999</v>
      </c>
      <c r="AD2683" s="32">
        <v>4.4740000000000002</v>
      </c>
    </row>
    <row r="2684" spans="1:30">
      <c r="A2684">
        <v>2682</v>
      </c>
      <c r="B2684">
        <v>43</v>
      </c>
      <c r="C2684">
        <v>2.7109999999999999</v>
      </c>
      <c r="D2684">
        <v>5.14</v>
      </c>
      <c r="E2684">
        <v>0</v>
      </c>
      <c r="F2684">
        <v>1.7829999999999999</v>
      </c>
      <c r="G2684">
        <v>0</v>
      </c>
      <c r="H2684">
        <v>0.193</v>
      </c>
      <c r="I2684">
        <v>4.8579999999999997</v>
      </c>
      <c r="K2684">
        <v>2682</v>
      </c>
      <c r="L2684">
        <v>43</v>
      </c>
      <c r="M2684" s="32">
        <v>2.7109999999999999</v>
      </c>
      <c r="N2684" s="32">
        <v>5.14</v>
      </c>
      <c r="P2684" s="32">
        <v>1.7829999999999999</v>
      </c>
      <c r="R2684" s="32">
        <v>0.193</v>
      </c>
      <c r="S2684" s="47">
        <v>4.8330000000000002</v>
      </c>
      <c r="T2684" s="31">
        <v>0</v>
      </c>
      <c r="V2684">
        <v>2682</v>
      </c>
      <c r="W2684">
        <v>40</v>
      </c>
      <c r="X2684">
        <v>2.7229999999999999</v>
      </c>
      <c r="Y2684" s="32">
        <v>5.14</v>
      </c>
      <c r="Z2684">
        <v>0</v>
      </c>
      <c r="AA2684" s="32">
        <v>1.643</v>
      </c>
      <c r="AB2684">
        <v>0</v>
      </c>
      <c r="AC2684" s="34">
        <v>0.21099999999999999</v>
      </c>
      <c r="AD2684" s="32">
        <v>4.476</v>
      </c>
    </row>
    <row r="2685" spans="1:30">
      <c r="A2685">
        <v>2683</v>
      </c>
      <c r="B2685">
        <v>43</v>
      </c>
      <c r="C2685">
        <v>2.7120000000000002</v>
      </c>
      <c r="D2685">
        <v>5.14</v>
      </c>
      <c r="E2685">
        <v>0</v>
      </c>
      <c r="F2685">
        <v>1.7829999999999999</v>
      </c>
      <c r="G2685">
        <v>0</v>
      </c>
      <c r="H2685">
        <v>0.193</v>
      </c>
      <c r="I2685">
        <v>4.8600000000000003</v>
      </c>
      <c r="K2685">
        <v>2683</v>
      </c>
      <c r="L2685">
        <v>43</v>
      </c>
      <c r="M2685" s="32">
        <v>2.7120000000000002</v>
      </c>
      <c r="N2685" s="32">
        <v>5.14</v>
      </c>
      <c r="P2685" s="32">
        <v>1.7829999999999999</v>
      </c>
      <c r="R2685" s="32">
        <v>0.193</v>
      </c>
      <c r="S2685" s="47">
        <v>4.8360000000000003</v>
      </c>
      <c r="T2685" s="31">
        <v>0</v>
      </c>
      <c r="V2685">
        <v>2683</v>
      </c>
      <c r="W2685">
        <v>40</v>
      </c>
      <c r="X2685">
        <v>2.7240000000000002</v>
      </c>
      <c r="Y2685" s="32">
        <v>5.14</v>
      </c>
      <c r="Z2685">
        <v>0</v>
      </c>
      <c r="AA2685" s="32">
        <v>1.6439999999999999</v>
      </c>
      <c r="AB2685">
        <v>0</v>
      </c>
      <c r="AC2685" s="34">
        <v>0.21099999999999999</v>
      </c>
      <c r="AD2685" s="32">
        <v>4.4779999999999998</v>
      </c>
    </row>
    <row r="2686" spans="1:30">
      <c r="A2686">
        <v>2684</v>
      </c>
      <c r="B2686">
        <v>43</v>
      </c>
      <c r="C2686">
        <v>2.7130000000000001</v>
      </c>
      <c r="D2686">
        <v>5.14</v>
      </c>
      <c r="E2686">
        <v>0</v>
      </c>
      <c r="F2686">
        <v>1.7829999999999999</v>
      </c>
      <c r="G2686">
        <v>0</v>
      </c>
      <c r="H2686">
        <v>0.193</v>
      </c>
      <c r="I2686">
        <v>4.8630000000000004</v>
      </c>
      <c r="K2686">
        <v>2684</v>
      </c>
      <c r="L2686">
        <v>43</v>
      </c>
      <c r="M2686" s="32">
        <v>2.7130000000000001</v>
      </c>
      <c r="N2686" s="32">
        <v>5.14</v>
      </c>
      <c r="P2686" s="47">
        <v>1.784</v>
      </c>
      <c r="R2686" s="32">
        <v>0.193</v>
      </c>
      <c r="S2686" s="47">
        <v>4.8380000000000001</v>
      </c>
      <c r="T2686" s="31">
        <v>0</v>
      </c>
      <c r="V2686">
        <v>2684</v>
      </c>
      <c r="W2686">
        <v>40</v>
      </c>
      <c r="X2686">
        <v>2.7250000000000001</v>
      </c>
      <c r="Y2686" s="32">
        <v>5.14</v>
      </c>
      <c r="Z2686">
        <v>0</v>
      </c>
      <c r="AA2686" s="32">
        <v>1.6439999999999999</v>
      </c>
      <c r="AB2686">
        <v>0</v>
      </c>
      <c r="AC2686" s="34">
        <v>0.21099999999999999</v>
      </c>
      <c r="AD2686" s="32">
        <v>4.4809999999999999</v>
      </c>
    </row>
    <row r="2687" spans="1:30">
      <c r="A2687">
        <v>2685</v>
      </c>
      <c r="B2687">
        <v>43</v>
      </c>
      <c r="C2687">
        <v>2.714</v>
      </c>
      <c r="D2687">
        <v>5.14</v>
      </c>
      <c r="E2687">
        <v>0</v>
      </c>
      <c r="F2687">
        <v>1.7829999999999999</v>
      </c>
      <c r="G2687">
        <v>0</v>
      </c>
      <c r="H2687">
        <v>0.193</v>
      </c>
      <c r="I2687">
        <v>4.8650000000000002</v>
      </c>
      <c r="K2687">
        <v>2685</v>
      </c>
      <c r="L2687">
        <v>43</v>
      </c>
      <c r="M2687" s="32">
        <v>2.714</v>
      </c>
      <c r="N2687" s="32">
        <v>5.14</v>
      </c>
      <c r="P2687" s="47">
        <v>1.784</v>
      </c>
      <c r="R2687" s="47">
        <v>0.19400000000000001</v>
      </c>
      <c r="S2687" s="47">
        <v>4.8410000000000002</v>
      </c>
      <c r="T2687" s="31">
        <v>0</v>
      </c>
      <c r="V2687">
        <v>2685</v>
      </c>
      <c r="W2687">
        <v>40</v>
      </c>
      <c r="X2687">
        <v>2.726</v>
      </c>
      <c r="Y2687" s="32">
        <v>5.14</v>
      </c>
      <c r="Z2687">
        <v>0</v>
      </c>
      <c r="AA2687" s="32">
        <v>1.6439999999999999</v>
      </c>
      <c r="AB2687">
        <v>0</v>
      </c>
      <c r="AC2687" s="34">
        <v>0.21099999999999999</v>
      </c>
      <c r="AD2687" s="32">
        <v>4.4829999999999997</v>
      </c>
    </row>
    <row r="2688" spans="1:30">
      <c r="A2688">
        <v>2686</v>
      </c>
      <c r="B2688">
        <v>43</v>
      </c>
      <c r="C2688">
        <v>2.7149999999999999</v>
      </c>
      <c r="D2688">
        <v>5.14</v>
      </c>
      <c r="E2688">
        <v>0</v>
      </c>
      <c r="F2688">
        <v>1.7829999999999999</v>
      </c>
      <c r="G2688">
        <v>0</v>
      </c>
      <c r="H2688">
        <v>0.193</v>
      </c>
      <c r="I2688">
        <v>4.8680000000000003</v>
      </c>
      <c r="K2688">
        <v>2686</v>
      </c>
      <c r="L2688">
        <v>43</v>
      </c>
      <c r="M2688" s="32">
        <v>2.7149999999999999</v>
      </c>
      <c r="N2688" s="32">
        <v>5.14</v>
      </c>
      <c r="P2688" s="47">
        <v>1.784</v>
      </c>
      <c r="R2688" s="47">
        <v>0.19400000000000001</v>
      </c>
      <c r="S2688" s="47">
        <v>4.843</v>
      </c>
      <c r="T2688" s="31">
        <v>0</v>
      </c>
      <c r="V2688">
        <v>2686</v>
      </c>
      <c r="W2688">
        <v>40</v>
      </c>
      <c r="X2688">
        <v>2.7269999999999999</v>
      </c>
      <c r="Y2688" s="32">
        <v>5.14</v>
      </c>
      <c r="Z2688">
        <v>0</v>
      </c>
      <c r="AA2688" s="32">
        <v>1.6439999999999999</v>
      </c>
      <c r="AB2688">
        <v>0</v>
      </c>
      <c r="AC2688" s="34">
        <v>0.21099999999999999</v>
      </c>
      <c r="AD2688" s="32">
        <v>4.4850000000000003</v>
      </c>
    </row>
    <row r="2689" spans="1:30">
      <c r="A2689">
        <v>2687</v>
      </c>
      <c r="B2689">
        <v>43</v>
      </c>
      <c r="C2689">
        <v>2.7160000000000002</v>
      </c>
      <c r="D2689">
        <v>5.14</v>
      </c>
      <c r="E2689">
        <v>0</v>
      </c>
      <c r="F2689">
        <v>1.7829999999999999</v>
      </c>
      <c r="G2689">
        <v>0</v>
      </c>
      <c r="H2689">
        <v>0.193</v>
      </c>
      <c r="I2689">
        <v>4.87</v>
      </c>
      <c r="K2689">
        <v>2687</v>
      </c>
      <c r="L2689">
        <v>43</v>
      </c>
      <c r="M2689" s="32">
        <v>2.7160000000000002</v>
      </c>
      <c r="N2689" s="32">
        <v>5.14</v>
      </c>
      <c r="P2689" s="47">
        <v>1.784</v>
      </c>
      <c r="R2689" s="47">
        <v>0.19400000000000001</v>
      </c>
      <c r="S2689" s="47">
        <v>4.8449999999999998</v>
      </c>
      <c r="T2689" s="31">
        <v>0</v>
      </c>
      <c r="V2689">
        <v>2687</v>
      </c>
      <c r="W2689">
        <v>40</v>
      </c>
      <c r="X2689">
        <v>2.7280000000000002</v>
      </c>
      <c r="Y2689" s="32">
        <v>5.14</v>
      </c>
      <c r="Z2689">
        <v>0</v>
      </c>
      <c r="AA2689" s="32">
        <v>1.6439999999999999</v>
      </c>
      <c r="AB2689">
        <v>0</v>
      </c>
      <c r="AC2689" s="34">
        <v>0.21099999999999999</v>
      </c>
      <c r="AD2689" s="32">
        <v>4.4880000000000004</v>
      </c>
    </row>
    <row r="2690" spans="1:30">
      <c r="A2690">
        <v>2688</v>
      </c>
      <c r="B2690">
        <v>43</v>
      </c>
      <c r="C2690">
        <v>2.7170000000000001</v>
      </c>
      <c r="D2690">
        <v>5.14</v>
      </c>
      <c r="E2690">
        <v>0</v>
      </c>
      <c r="F2690">
        <v>1.7829999999999999</v>
      </c>
      <c r="G2690">
        <v>0</v>
      </c>
      <c r="H2690">
        <v>0.193</v>
      </c>
      <c r="I2690">
        <v>4.8730000000000002</v>
      </c>
      <c r="K2690">
        <v>2688</v>
      </c>
      <c r="L2690">
        <v>43</v>
      </c>
      <c r="M2690" s="32">
        <v>2.7170000000000001</v>
      </c>
      <c r="N2690" s="32">
        <v>5.14</v>
      </c>
      <c r="P2690" s="47">
        <v>1.784</v>
      </c>
      <c r="R2690" s="47">
        <v>0.19400000000000001</v>
      </c>
      <c r="S2690" s="47">
        <v>4.8479999999999999</v>
      </c>
      <c r="T2690" s="31">
        <v>0</v>
      </c>
      <c r="V2690">
        <v>2688</v>
      </c>
      <c r="W2690">
        <v>40</v>
      </c>
      <c r="X2690">
        <v>2.7290000000000001</v>
      </c>
      <c r="Y2690" s="32">
        <v>5.14</v>
      </c>
      <c r="Z2690">
        <v>0</v>
      </c>
      <c r="AA2690" s="32">
        <v>1.645</v>
      </c>
      <c r="AB2690">
        <v>0</v>
      </c>
      <c r="AC2690" s="34">
        <v>0.21099999999999999</v>
      </c>
      <c r="AD2690" s="32">
        <v>4.49</v>
      </c>
    </row>
    <row r="2691" spans="1:30">
      <c r="A2691">
        <v>2689</v>
      </c>
      <c r="B2691">
        <v>43</v>
      </c>
      <c r="C2691">
        <v>2.718</v>
      </c>
      <c r="D2691">
        <v>5.14</v>
      </c>
      <c r="E2691">
        <v>0</v>
      </c>
      <c r="F2691">
        <v>1.7829999999999999</v>
      </c>
      <c r="G2691">
        <v>0</v>
      </c>
      <c r="H2691">
        <v>0.193</v>
      </c>
      <c r="I2691">
        <v>4.875</v>
      </c>
      <c r="K2691">
        <v>2689</v>
      </c>
      <c r="L2691">
        <v>43</v>
      </c>
      <c r="M2691" s="32">
        <v>2.718</v>
      </c>
      <c r="N2691" s="32">
        <v>5.14</v>
      </c>
      <c r="P2691" s="47">
        <v>1.7849999999999999</v>
      </c>
      <c r="R2691" s="47">
        <v>0.19400000000000001</v>
      </c>
      <c r="S2691" s="47">
        <v>4.8499999999999996</v>
      </c>
      <c r="T2691" s="31">
        <v>0</v>
      </c>
      <c r="V2691">
        <v>2689</v>
      </c>
      <c r="W2691">
        <v>40</v>
      </c>
      <c r="X2691">
        <v>2.73</v>
      </c>
      <c r="Y2691" s="32">
        <v>5.14</v>
      </c>
      <c r="Z2691">
        <v>0</v>
      </c>
      <c r="AA2691" s="32">
        <v>1.645</v>
      </c>
      <c r="AB2691">
        <v>0</v>
      </c>
      <c r="AC2691" s="34">
        <v>0.21199999999999999</v>
      </c>
      <c r="AD2691" s="32">
        <v>4.492</v>
      </c>
    </row>
    <row r="2692" spans="1:30">
      <c r="A2692">
        <v>2690</v>
      </c>
      <c r="B2692">
        <v>43</v>
      </c>
      <c r="C2692">
        <v>2.7189999999999999</v>
      </c>
      <c r="D2692">
        <v>5.14</v>
      </c>
      <c r="E2692">
        <v>0</v>
      </c>
      <c r="F2692">
        <v>1.7829999999999999</v>
      </c>
      <c r="G2692">
        <v>0</v>
      </c>
      <c r="H2692">
        <v>0.193</v>
      </c>
      <c r="I2692">
        <v>4.8780000000000001</v>
      </c>
      <c r="K2692">
        <v>2690</v>
      </c>
      <c r="L2692">
        <v>43</v>
      </c>
      <c r="M2692" s="32">
        <v>2.7189999999999999</v>
      </c>
      <c r="N2692" s="32">
        <v>5.14</v>
      </c>
      <c r="P2692" s="47">
        <v>1.7849999999999999</v>
      </c>
      <c r="R2692" s="47">
        <v>0.19400000000000001</v>
      </c>
      <c r="S2692" s="47">
        <v>4.8529999999999998</v>
      </c>
      <c r="T2692" s="31">
        <v>0</v>
      </c>
      <c r="V2692">
        <v>2690</v>
      </c>
      <c r="W2692">
        <v>40</v>
      </c>
      <c r="X2692">
        <v>2.7309999999999999</v>
      </c>
      <c r="Y2692" s="32">
        <v>5.14</v>
      </c>
      <c r="Z2692">
        <v>0</v>
      </c>
      <c r="AA2692" s="32">
        <v>1.645</v>
      </c>
      <c r="AB2692">
        <v>0</v>
      </c>
      <c r="AC2692" s="34">
        <v>0.21199999999999999</v>
      </c>
      <c r="AD2692" s="32">
        <v>4.4939999999999998</v>
      </c>
    </row>
    <row r="2693" spans="1:30">
      <c r="A2693">
        <v>2691</v>
      </c>
      <c r="B2693">
        <v>43</v>
      </c>
      <c r="C2693">
        <v>2.72</v>
      </c>
      <c r="D2693">
        <v>5.14</v>
      </c>
      <c r="E2693">
        <v>0</v>
      </c>
      <c r="F2693">
        <v>1.7829999999999999</v>
      </c>
      <c r="G2693">
        <v>0</v>
      </c>
      <c r="H2693">
        <v>0.193</v>
      </c>
      <c r="I2693">
        <v>4.88</v>
      </c>
      <c r="K2693">
        <v>2691</v>
      </c>
      <c r="L2693">
        <v>43</v>
      </c>
      <c r="M2693" s="32">
        <v>2.72</v>
      </c>
      <c r="N2693" s="32">
        <v>5.14</v>
      </c>
      <c r="P2693" s="47">
        <v>1.7849999999999999</v>
      </c>
      <c r="R2693" s="47">
        <v>0.19400000000000001</v>
      </c>
      <c r="S2693" s="47">
        <v>4.8550000000000004</v>
      </c>
      <c r="T2693" s="31">
        <v>0</v>
      </c>
      <c r="V2693">
        <v>2691</v>
      </c>
      <c r="W2693">
        <v>40</v>
      </c>
      <c r="X2693">
        <v>2.7320000000000002</v>
      </c>
      <c r="Y2693" s="32">
        <v>5.14</v>
      </c>
      <c r="Z2693">
        <v>0</v>
      </c>
      <c r="AA2693" s="32">
        <v>1.645</v>
      </c>
      <c r="AB2693">
        <v>0</v>
      </c>
      <c r="AC2693" s="34">
        <v>0.21199999999999999</v>
      </c>
      <c r="AD2693" s="32">
        <v>4.4969999999999999</v>
      </c>
    </row>
    <row r="2694" spans="1:30">
      <c r="A2694">
        <v>2692</v>
      </c>
      <c r="B2694">
        <v>43</v>
      </c>
      <c r="C2694">
        <v>2.7210000000000001</v>
      </c>
      <c r="D2694">
        <v>5.14</v>
      </c>
      <c r="E2694">
        <v>0</v>
      </c>
      <c r="F2694">
        <v>1.7849999999999999</v>
      </c>
      <c r="G2694">
        <v>0</v>
      </c>
      <c r="H2694">
        <v>0.193</v>
      </c>
      <c r="I2694">
        <v>4.9059999999999997</v>
      </c>
      <c r="K2694">
        <v>2692</v>
      </c>
      <c r="L2694">
        <v>43</v>
      </c>
      <c r="M2694" s="32">
        <v>2.7210000000000001</v>
      </c>
      <c r="N2694" s="32">
        <v>5.14</v>
      </c>
      <c r="P2694" s="32">
        <v>1.7849999999999999</v>
      </c>
      <c r="R2694" s="47">
        <v>0.19400000000000001</v>
      </c>
      <c r="S2694" s="47">
        <v>4.8579999999999997</v>
      </c>
      <c r="T2694" s="31">
        <v>0</v>
      </c>
      <c r="V2694">
        <v>2692</v>
      </c>
      <c r="W2694">
        <v>40</v>
      </c>
      <c r="X2694">
        <v>2.7330000000000001</v>
      </c>
      <c r="Y2694" s="32">
        <v>5.14</v>
      </c>
      <c r="Z2694">
        <v>0</v>
      </c>
      <c r="AA2694" s="32">
        <v>1.6459999999999999</v>
      </c>
      <c r="AB2694">
        <v>0</v>
      </c>
      <c r="AC2694" s="34">
        <v>0.21199999999999999</v>
      </c>
      <c r="AD2694" s="32">
        <v>4.4989999999999997</v>
      </c>
    </row>
    <row r="2695" spans="1:30">
      <c r="A2695">
        <v>2693</v>
      </c>
      <c r="B2695">
        <v>43</v>
      </c>
      <c r="C2695">
        <v>2.722</v>
      </c>
      <c r="D2695">
        <v>5.14</v>
      </c>
      <c r="E2695">
        <v>0</v>
      </c>
      <c r="F2695">
        <v>1.7849999999999999</v>
      </c>
      <c r="G2695">
        <v>0</v>
      </c>
      <c r="H2695">
        <v>0.193</v>
      </c>
      <c r="I2695">
        <v>4.9089999999999998</v>
      </c>
      <c r="K2695">
        <v>2693</v>
      </c>
      <c r="L2695">
        <v>43</v>
      </c>
      <c r="M2695" s="32">
        <v>2.722</v>
      </c>
      <c r="N2695" s="32">
        <v>5.14</v>
      </c>
      <c r="P2695" s="47">
        <v>1.786</v>
      </c>
      <c r="R2695" s="47">
        <v>0.19400000000000001</v>
      </c>
      <c r="S2695" s="47">
        <v>4.8600000000000003</v>
      </c>
      <c r="T2695" s="31">
        <v>0</v>
      </c>
      <c r="V2695">
        <v>2693</v>
      </c>
      <c r="W2695">
        <v>40</v>
      </c>
      <c r="X2695">
        <v>2.734</v>
      </c>
      <c r="Y2695" s="32">
        <v>5.14</v>
      </c>
      <c r="Z2695">
        <v>0</v>
      </c>
      <c r="AA2695" s="32">
        <v>1.6459999999999999</v>
      </c>
      <c r="AB2695">
        <v>0</v>
      </c>
      <c r="AC2695" s="34">
        <v>0.21199999999999999</v>
      </c>
      <c r="AD2695" s="32">
        <v>4.5010000000000003</v>
      </c>
    </row>
    <row r="2696" spans="1:30">
      <c r="A2696">
        <v>2694</v>
      </c>
      <c r="B2696">
        <v>43</v>
      </c>
      <c r="C2696">
        <v>2.7229999999999999</v>
      </c>
      <c r="D2696">
        <v>5.14</v>
      </c>
      <c r="E2696">
        <v>0</v>
      </c>
      <c r="F2696">
        <v>1.7849999999999999</v>
      </c>
      <c r="G2696">
        <v>0</v>
      </c>
      <c r="H2696">
        <v>0.193</v>
      </c>
      <c r="I2696">
        <v>4.9109999999999996</v>
      </c>
      <c r="K2696">
        <v>2694</v>
      </c>
      <c r="L2696">
        <v>43</v>
      </c>
      <c r="M2696" s="32">
        <v>2.7229999999999999</v>
      </c>
      <c r="N2696" s="32">
        <v>5.14</v>
      </c>
      <c r="P2696" s="47">
        <v>1.786</v>
      </c>
      <c r="R2696" s="47">
        <v>0.19400000000000001</v>
      </c>
      <c r="S2696" s="47">
        <v>4.8630000000000004</v>
      </c>
      <c r="T2696" s="31">
        <v>0</v>
      </c>
      <c r="V2696">
        <v>2694</v>
      </c>
      <c r="W2696">
        <v>40</v>
      </c>
      <c r="X2696">
        <v>2.7349999999999999</v>
      </c>
      <c r="Y2696" s="32">
        <v>5.14</v>
      </c>
      <c r="Z2696">
        <v>0</v>
      </c>
      <c r="AA2696" s="32">
        <v>1.6459999999999999</v>
      </c>
      <c r="AB2696">
        <v>0</v>
      </c>
      <c r="AC2696" s="34">
        <v>0.21199999999999999</v>
      </c>
      <c r="AD2696" s="32">
        <v>4.5039999999999996</v>
      </c>
    </row>
    <row r="2697" spans="1:30">
      <c r="A2697">
        <v>2695</v>
      </c>
      <c r="B2697">
        <v>43</v>
      </c>
      <c r="C2697">
        <v>2.7240000000000002</v>
      </c>
      <c r="D2697">
        <v>5.14</v>
      </c>
      <c r="E2697">
        <v>0</v>
      </c>
      <c r="F2697">
        <v>1.7849999999999999</v>
      </c>
      <c r="G2697">
        <v>0</v>
      </c>
      <c r="H2697">
        <v>0.193</v>
      </c>
      <c r="I2697">
        <v>4.9139999999999997</v>
      </c>
      <c r="K2697">
        <v>2695</v>
      </c>
      <c r="L2697">
        <v>43</v>
      </c>
      <c r="M2697" s="32">
        <v>2.7240000000000002</v>
      </c>
      <c r="N2697" s="32">
        <v>5.14</v>
      </c>
      <c r="P2697" s="47">
        <v>1.786</v>
      </c>
      <c r="R2697" s="47">
        <v>0.19400000000000001</v>
      </c>
      <c r="S2697" s="47">
        <v>4.8650000000000002</v>
      </c>
      <c r="T2697" s="31">
        <v>0</v>
      </c>
      <c r="V2697">
        <v>2695</v>
      </c>
      <c r="W2697">
        <v>40</v>
      </c>
      <c r="X2697">
        <v>2.7360000000000002</v>
      </c>
      <c r="Y2697" s="32">
        <v>5.14</v>
      </c>
      <c r="Z2697">
        <v>0</v>
      </c>
      <c r="AA2697" s="32">
        <v>1.6459999999999999</v>
      </c>
      <c r="AB2697">
        <v>0</v>
      </c>
      <c r="AC2697" s="34">
        <v>0.21199999999999999</v>
      </c>
      <c r="AD2697" s="32">
        <v>4.5060000000000002</v>
      </c>
    </row>
    <row r="2698" spans="1:30">
      <c r="A2698">
        <v>2696</v>
      </c>
      <c r="B2698">
        <v>43</v>
      </c>
      <c r="C2698">
        <v>2.7250000000000001</v>
      </c>
      <c r="D2698">
        <v>5.14</v>
      </c>
      <c r="E2698">
        <v>0</v>
      </c>
      <c r="F2698">
        <v>1.7849999999999999</v>
      </c>
      <c r="G2698">
        <v>0</v>
      </c>
      <c r="H2698">
        <v>0.193</v>
      </c>
      <c r="I2698">
        <v>4.9160000000000004</v>
      </c>
      <c r="K2698">
        <v>2696</v>
      </c>
      <c r="L2698">
        <v>43</v>
      </c>
      <c r="M2698" s="32">
        <v>2.7250000000000001</v>
      </c>
      <c r="N2698" s="32">
        <v>5.14</v>
      </c>
      <c r="P2698" s="47">
        <v>1.7869999999999999</v>
      </c>
      <c r="R2698" s="47">
        <v>0.19400000000000001</v>
      </c>
      <c r="S2698" s="47">
        <v>4.8680000000000003</v>
      </c>
      <c r="T2698" s="31">
        <v>0</v>
      </c>
      <c r="V2698">
        <v>2696</v>
      </c>
      <c r="W2698">
        <v>40</v>
      </c>
      <c r="X2698">
        <v>2.7370000000000001</v>
      </c>
      <c r="Y2698" s="32">
        <v>5.14</v>
      </c>
      <c r="Z2698">
        <v>0</v>
      </c>
      <c r="AA2698" s="32">
        <v>1.647</v>
      </c>
      <c r="AB2698">
        <v>0</v>
      </c>
      <c r="AC2698" s="34">
        <v>0.21199999999999999</v>
      </c>
      <c r="AD2698" s="32">
        <v>4.508</v>
      </c>
    </row>
    <row r="2699" spans="1:30">
      <c r="A2699">
        <v>2697</v>
      </c>
      <c r="B2699">
        <v>43</v>
      </c>
      <c r="C2699">
        <v>2.726</v>
      </c>
      <c r="D2699">
        <v>5.14</v>
      </c>
      <c r="E2699">
        <v>0</v>
      </c>
      <c r="F2699">
        <v>1.7849999999999999</v>
      </c>
      <c r="G2699">
        <v>0</v>
      </c>
      <c r="H2699">
        <v>0.193</v>
      </c>
      <c r="I2699">
        <v>4.9189999999999996</v>
      </c>
      <c r="K2699">
        <v>2697</v>
      </c>
      <c r="L2699">
        <v>43</v>
      </c>
      <c r="M2699" s="32">
        <v>2.726</v>
      </c>
      <c r="N2699" s="32">
        <v>5.14</v>
      </c>
      <c r="P2699" s="47">
        <v>1.7869999999999999</v>
      </c>
      <c r="R2699" s="47">
        <v>0.19400000000000001</v>
      </c>
      <c r="S2699" s="47">
        <v>4.87</v>
      </c>
      <c r="T2699" s="31">
        <v>0</v>
      </c>
      <c r="V2699">
        <v>2697</v>
      </c>
      <c r="W2699">
        <v>40</v>
      </c>
      <c r="X2699">
        <v>2.738</v>
      </c>
      <c r="Y2699" s="32">
        <v>5.14</v>
      </c>
      <c r="Z2699">
        <v>0</v>
      </c>
      <c r="AA2699" s="32">
        <v>1.647</v>
      </c>
      <c r="AB2699">
        <v>0</v>
      </c>
      <c r="AC2699" s="34">
        <v>0.21199999999999999</v>
      </c>
      <c r="AD2699" s="32">
        <v>4.51</v>
      </c>
    </row>
    <row r="2700" spans="1:30">
      <c r="A2700">
        <v>2698</v>
      </c>
      <c r="B2700">
        <v>43</v>
      </c>
      <c r="C2700">
        <v>2.7269999999999999</v>
      </c>
      <c r="D2700">
        <v>5.14</v>
      </c>
      <c r="E2700">
        <v>0</v>
      </c>
      <c r="F2700">
        <v>1.7849999999999999</v>
      </c>
      <c r="G2700">
        <v>0</v>
      </c>
      <c r="H2700">
        <v>0.193</v>
      </c>
      <c r="I2700">
        <v>4.9210000000000003</v>
      </c>
      <c r="K2700">
        <v>2698</v>
      </c>
      <c r="L2700">
        <v>43</v>
      </c>
      <c r="M2700" s="32">
        <v>2.7269999999999999</v>
      </c>
      <c r="N2700" s="32">
        <v>5.14</v>
      </c>
      <c r="P2700" s="47">
        <v>1.7869999999999999</v>
      </c>
      <c r="R2700" s="47">
        <v>0.19400000000000001</v>
      </c>
      <c r="S2700" s="47">
        <v>4.8730000000000002</v>
      </c>
      <c r="T2700" s="31">
        <v>0</v>
      </c>
      <c r="V2700">
        <v>2698</v>
      </c>
      <c r="W2700">
        <v>40</v>
      </c>
      <c r="X2700">
        <v>2.7389999999999999</v>
      </c>
      <c r="Y2700" s="32">
        <v>5.14</v>
      </c>
      <c r="Z2700">
        <v>0</v>
      </c>
      <c r="AA2700" s="32">
        <v>1.647</v>
      </c>
      <c r="AB2700">
        <v>0</v>
      </c>
      <c r="AC2700" s="34">
        <v>0.21199999999999999</v>
      </c>
      <c r="AD2700" s="32">
        <v>4.5129999999999999</v>
      </c>
    </row>
    <row r="2701" spans="1:30">
      <c r="A2701">
        <v>2699</v>
      </c>
      <c r="B2701">
        <v>43</v>
      </c>
      <c r="C2701">
        <v>2.7280000000000002</v>
      </c>
      <c r="D2701">
        <v>5.14</v>
      </c>
      <c r="E2701">
        <v>0</v>
      </c>
      <c r="F2701">
        <v>1.7849999999999999</v>
      </c>
      <c r="G2701">
        <v>0</v>
      </c>
      <c r="H2701">
        <v>0.193</v>
      </c>
      <c r="I2701">
        <v>4.9240000000000004</v>
      </c>
      <c r="K2701">
        <v>2699</v>
      </c>
      <c r="L2701">
        <v>43</v>
      </c>
      <c r="M2701" s="32">
        <v>2.7280000000000002</v>
      </c>
      <c r="N2701" s="32">
        <v>5.14</v>
      </c>
      <c r="P2701" s="47">
        <v>1.7869999999999999</v>
      </c>
      <c r="R2701" s="47">
        <v>0.19400000000000001</v>
      </c>
      <c r="S2701" s="47">
        <v>4.875</v>
      </c>
      <c r="T2701" s="31">
        <v>0</v>
      </c>
      <c r="V2701">
        <v>2699</v>
      </c>
      <c r="W2701">
        <v>40</v>
      </c>
      <c r="X2701">
        <v>2.74</v>
      </c>
      <c r="Y2701" s="32">
        <v>5.14</v>
      </c>
      <c r="Z2701">
        <v>0</v>
      </c>
      <c r="AA2701" s="32">
        <v>1.647</v>
      </c>
      <c r="AB2701">
        <v>0</v>
      </c>
      <c r="AC2701" s="34">
        <v>0.21199999999999999</v>
      </c>
      <c r="AD2701" s="32">
        <v>4.5149999999999997</v>
      </c>
    </row>
    <row r="2702" spans="1:30">
      <c r="A2702">
        <v>2700</v>
      </c>
      <c r="B2702">
        <v>43</v>
      </c>
      <c r="C2702">
        <v>2.7290000000000001</v>
      </c>
      <c r="D2702">
        <v>5.14</v>
      </c>
      <c r="E2702">
        <v>0</v>
      </c>
      <c r="F2702">
        <v>1.7849999999999999</v>
      </c>
      <c r="G2702">
        <v>0</v>
      </c>
      <c r="H2702">
        <v>0.193</v>
      </c>
      <c r="I2702">
        <v>4.9260000000000002</v>
      </c>
      <c r="K2702">
        <v>2700</v>
      </c>
      <c r="L2702">
        <v>43</v>
      </c>
      <c r="M2702" s="32">
        <v>2.7290000000000001</v>
      </c>
      <c r="N2702" s="32">
        <v>5.14</v>
      </c>
      <c r="P2702" s="47">
        <v>1.788</v>
      </c>
      <c r="R2702" s="47">
        <v>0.19400000000000001</v>
      </c>
      <c r="S2702" s="47">
        <v>4.8780000000000001</v>
      </c>
      <c r="T2702" s="31">
        <v>0</v>
      </c>
      <c r="V2702">
        <v>2700</v>
      </c>
      <c r="W2702">
        <v>40</v>
      </c>
      <c r="X2702">
        <v>2.7410000000000001</v>
      </c>
      <c r="Y2702" s="32">
        <v>5.14</v>
      </c>
      <c r="Z2702">
        <v>0</v>
      </c>
      <c r="AA2702" s="32">
        <v>1.6479999999999999</v>
      </c>
      <c r="AB2702">
        <v>0</v>
      </c>
      <c r="AC2702" s="34">
        <v>0.21199999999999999</v>
      </c>
      <c r="AD2702" s="32">
        <v>4.5170000000000003</v>
      </c>
    </row>
    <row r="2703" spans="1:30">
      <c r="A2703">
        <v>2701</v>
      </c>
      <c r="B2703">
        <v>43</v>
      </c>
      <c r="C2703">
        <v>2.73</v>
      </c>
      <c r="D2703">
        <v>5.14</v>
      </c>
      <c r="E2703">
        <v>0</v>
      </c>
      <c r="F2703">
        <v>1.788</v>
      </c>
      <c r="G2703">
        <v>0</v>
      </c>
      <c r="H2703">
        <v>0.193</v>
      </c>
      <c r="I2703">
        <v>4.88</v>
      </c>
      <c r="K2703">
        <v>2701</v>
      </c>
      <c r="L2703">
        <v>43</v>
      </c>
      <c r="M2703" s="32">
        <v>2.73</v>
      </c>
      <c r="N2703" s="32">
        <v>5.14</v>
      </c>
      <c r="P2703" s="32">
        <v>1.788</v>
      </c>
      <c r="R2703" s="47">
        <v>0.19400000000000001</v>
      </c>
      <c r="S2703" s="32">
        <v>4.88</v>
      </c>
      <c r="T2703" s="31">
        <v>0</v>
      </c>
      <c r="V2703">
        <v>2701</v>
      </c>
      <c r="W2703">
        <v>40</v>
      </c>
      <c r="X2703">
        <v>2.742</v>
      </c>
      <c r="Y2703" s="32">
        <v>5.14</v>
      </c>
      <c r="Z2703">
        <v>0</v>
      </c>
      <c r="AA2703" s="32">
        <v>1.6479999999999999</v>
      </c>
      <c r="AB2703">
        <v>0</v>
      </c>
      <c r="AC2703" s="34">
        <v>0.21199999999999999</v>
      </c>
      <c r="AD2703" s="32">
        <v>4.5199999999999996</v>
      </c>
    </row>
    <row r="2704" spans="1:30">
      <c r="A2704">
        <v>2702</v>
      </c>
      <c r="B2704">
        <v>43</v>
      </c>
      <c r="C2704">
        <v>2.7309999999999999</v>
      </c>
      <c r="D2704">
        <v>5.14</v>
      </c>
      <c r="E2704">
        <v>0</v>
      </c>
      <c r="F2704">
        <v>1.788</v>
      </c>
      <c r="G2704">
        <v>0</v>
      </c>
      <c r="H2704">
        <v>0.193</v>
      </c>
      <c r="I2704">
        <v>4.9560000000000004</v>
      </c>
      <c r="K2704">
        <v>2702</v>
      </c>
      <c r="L2704">
        <v>43</v>
      </c>
      <c r="M2704" s="32">
        <v>2.7309999999999999</v>
      </c>
      <c r="N2704" s="32">
        <v>5.14</v>
      </c>
      <c r="P2704" s="32">
        <v>1.788</v>
      </c>
      <c r="R2704" s="47">
        <v>0.19400000000000001</v>
      </c>
      <c r="S2704" s="47">
        <v>4.883</v>
      </c>
      <c r="T2704" s="31">
        <v>0</v>
      </c>
      <c r="V2704">
        <v>2702</v>
      </c>
      <c r="W2704">
        <v>40</v>
      </c>
      <c r="X2704">
        <v>2.7429999999999999</v>
      </c>
      <c r="Y2704" s="32">
        <v>5.14</v>
      </c>
      <c r="Z2704">
        <v>0</v>
      </c>
      <c r="AA2704" s="32">
        <v>1.6479999999999999</v>
      </c>
      <c r="AB2704">
        <v>0</v>
      </c>
      <c r="AC2704" s="34">
        <v>0.21199999999999999</v>
      </c>
      <c r="AD2704" s="32">
        <v>4.5220000000000002</v>
      </c>
    </row>
    <row r="2705" spans="1:30">
      <c r="A2705">
        <v>2703</v>
      </c>
      <c r="B2705">
        <v>43</v>
      </c>
      <c r="C2705">
        <v>2.7320000000000002</v>
      </c>
      <c r="D2705">
        <v>5.14</v>
      </c>
      <c r="E2705">
        <v>0</v>
      </c>
      <c r="F2705">
        <v>1.788</v>
      </c>
      <c r="G2705">
        <v>0</v>
      </c>
      <c r="H2705">
        <v>0.193</v>
      </c>
      <c r="I2705">
        <v>4.9580000000000002</v>
      </c>
      <c r="K2705">
        <v>2703</v>
      </c>
      <c r="L2705">
        <v>43</v>
      </c>
      <c r="M2705" s="32">
        <v>2.7320000000000002</v>
      </c>
      <c r="N2705" s="32">
        <v>5.14</v>
      </c>
      <c r="P2705" s="32">
        <v>1.788</v>
      </c>
      <c r="R2705" s="47">
        <v>0.19400000000000001</v>
      </c>
      <c r="S2705" s="47">
        <v>4.8849999999999998</v>
      </c>
      <c r="T2705" s="31">
        <v>0</v>
      </c>
      <c r="V2705">
        <v>2703</v>
      </c>
      <c r="W2705">
        <v>40</v>
      </c>
      <c r="X2705">
        <v>2.7440000000000002</v>
      </c>
      <c r="Y2705" s="32">
        <v>5.14</v>
      </c>
      <c r="Z2705">
        <v>0</v>
      </c>
      <c r="AA2705" s="32">
        <v>1.6479999999999999</v>
      </c>
      <c r="AB2705">
        <v>0</v>
      </c>
      <c r="AC2705" s="34">
        <v>0.21199999999999999</v>
      </c>
      <c r="AD2705" s="32">
        <v>4.524</v>
      </c>
    </row>
    <row r="2706" spans="1:30">
      <c r="A2706">
        <v>2704</v>
      </c>
      <c r="B2706">
        <v>43</v>
      </c>
      <c r="C2706">
        <v>2.7330000000000001</v>
      </c>
      <c r="D2706">
        <v>5.14</v>
      </c>
      <c r="E2706">
        <v>0</v>
      </c>
      <c r="F2706">
        <v>1.788</v>
      </c>
      <c r="G2706">
        <v>0</v>
      </c>
      <c r="H2706">
        <v>0.193</v>
      </c>
      <c r="I2706">
        <v>4.9610000000000003</v>
      </c>
      <c r="K2706">
        <v>2704</v>
      </c>
      <c r="L2706">
        <v>43</v>
      </c>
      <c r="M2706" s="32">
        <v>2.7330000000000001</v>
      </c>
      <c r="N2706" s="32">
        <v>5.14</v>
      </c>
      <c r="P2706" s="47">
        <v>1.7889999999999999</v>
      </c>
      <c r="R2706" s="47">
        <v>0.19400000000000001</v>
      </c>
      <c r="S2706" s="47">
        <v>4.8879999999999999</v>
      </c>
      <c r="T2706" s="31">
        <v>0</v>
      </c>
      <c r="V2706">
        <v>2704</v>
      </c>
      <c r="W2706">
        <v>40</v>
      </c>
      <c r="X2706">
        <v>2.7450000000000001</v>
      </c>
      <c r="Y2706" s="32">
        <v>5.14</v>
      </c>
      <c r="Z2706">
        <v>0</v>
      </c>
      <c r="AA2706" s="32">
        <v>1.649</v>
      </c>
      <c r="AB2706">
        <v>0</v>
      </c>
      <c r="AC2706" s="34">
        <v>0.21199999999999999</v>
      </c>
      <c r="AD2706" s="32">
        <v>4.5259999999999998</v>
      </c>
    </row>
    <row r="2707" spans="1:30">
      <c r="A2707">
        <v>2705</v>
      </c>
      <c r="B2707">
        <v>43</v>
      </c>
      <c r="C2707">
        <v>2.734</v>
      </c>
      <c r="D2707">
        <v>5.14</v>
      </c>
      <c r="E2707">
        <v>0</v>
      </c>
      <c r="F2707">
        <v>1.788</v>
      </c>
      <c r="G2707">
        <v>0</v>
      </c>
      <c r="H2707">
        <v>0.193</v>
      </c>
      <c r="I2707">
        <v>4.9630000000000001</v>
      </c>
      <c r="K2707">
        <v>2705</v>
      </c>
      <c r="L2707">
        <v>43</v>
      </c>
      <c r="M2707" s="32">
        <v>2.734</v>
      </c>
      <c r="N2707" s="32">
        <v>5.14</v>
      </c>
      <c r="P2707" s="47">
        <v>1.7889999999999999</v>
      </c>
      <c r="R2707" s="47">
        <v>0.19400000000000001</v>
      </c>
      <c r="S2707" s="47">
        <v>4.8899999999999997</v>
      </c>
      <c r="T2707" s="31">
        <v>0</v>
      </c>
      <c r="V2707">
        <v>2705</v>
      </c>
      <c r="W2707">
        <v>40</v>
      </c>
      <c r="X2707">
        <v>2.746</v>
      </c>
      <c r="Y2707" s="32">
        <v>5.14</v>
      </c>
      <c r="Z2707">
        <v>0</v>
      </c>
      <c r="AA2707" s="32">
        <v>1.649</v>
      </c>
      <c r="AB2707">
        <v>0</v>
      </c>
      <c r="AC2707" s="34">
        <v>0.21199999999999999</v>
      </c>
      <c r="AD2707" s="32">
        <v>4.5289999999999999</v>
      </c>
    </row>
    <row r="2708" spans="1:30">
      <c r="A2708">
        <v>2706</v>
      </c>
      <c r="B2708">
        <v>43</v>
      </c>
      <c r="C2708">
        <v>2.7349999999999999</v>
      </c>
      <c r="D2708">
        <v>5.14</v>
      </c>
      <c r="E2708">
        <v>0</v>
      </c>
      <c r="F2708">
        <v>1.788</v>
      </c>
      <c r="G2708">
        <v>0</v>
      </c>
      <c r="H2708">
        <v>0.193</v>
      </c>
      <c r="I2708">
        <v>4.9660000000000002</v>
      </c>
      <c r="K2708">
        <v>2706</v>
      </c>
      <c r="L2708">
        <v>43</v>
      </c>
      <c r="M2708" s="32">
        <v>2.7349999999999999</v>
      </c>
      <c r="N2708" s="32">
        <v>5.14</v>
      </c>
      <c r="P2708" s="47">
        <v>1.7889999999999999</v>
      </c>
      <c r="R2708" s="47">
        <v>0.19400000000000001</v>
      </c>
      <c r="S2708" s="47">
        <v>4.8929999999999998</v>
      </c>
      <c r="T2708" s="31">
        <v>0</v>
      </c>
      <c r="V2708">
        <v>2706</v>
      </c>
      <c r="W2708">
        <v>40</v>
      </c>
      <c r="X2708">
        <v>2.7469999999999999</v>
      </c>
      <c r="Y2708" s="32">
        <v>5.14</v>
      </c>
      <c r="Z2708">
        <v>0</v>
      </c>
      <c r="AA2708" s="32">
        <v>1.649</v>
      </c>
      <c r="AB2708">
        <v>0</v>
      </c>
      <c r="AC2708" s="34">
        <v>0.21199999999999999</v>
      </c>
      <c r="AD2708" s="32">
        <v>4.5309999999999997</v>
      </c>
    </row>
    <row r="2709" spans="1:30">
      <c r="A2709">
        <v>2707</v>
      </c>
      <c r="B2709">
        <v>43</v>
      </c>
      <c r="C2709">
        <v>2.7360000000000002</v>
      </c>
      <c r="D2709">
        <v>5.14</v>
      </c>
      <c r="E2709">
        <v>0</v>
      </c>
      <c r="F2709">
        <v>1.788</v>
      </c>
      <c r="G2709">
        <v>0</v>
      </c>
      <c r="H2709">
        <v>0.193</v>
      </c>
      <c r="I2709">
        <v>4.968</v>
      </c>
      <c r="K2709">
        <v>2707</v>
      </c>
      <c r="L2709">
        <v>43</v>
      </c>
      <c r="M2709" s="32">
        <v>2.7360000000000002</v>
      </c>
      <c r="N2709" s="32">
        <v>5.14</v>
      </c>
      <c r="P2709" s="47">
        <v>1.7889999999999999</v>
      </c>
      <c r="R2709" s="47">
        <v>0.19400000000000001</v>
      </c>
      <c r="S2709" s="47">
        <v>4.8949999999999996</v>
      </c>
      <c r="T2709" s="31">
        <v>0</v>
      </c>
      <c r="V2709">
        <v>2707</v>
      </c>
      <c r="W2709">
        <v>40</v>
      </c>
      <c r="X2709">
        <v>2.7480000000000002</v>
      </c>
      <c r="Y2709" s="32">
        <v>5.14</v>
      </c>
      <c r="Z2709">
        <v>0</v>
      </c>
      <c r="AA2709" s="32">
        <v>1.649</v>
      </c>
      <c r="AB2709">
        <v>0</v>
      </c>
      <c r="AC2709" s="34">
        <v>0.21199999999999999</v>
      </c>
      <c r="AD2709" s="32">
        <v>4.5330000000000004</v>
      </c>
    </row>
    <row r="2710" spans="1:30">
      <c r="A2710">
        <v>2708</v>
      </c>
      <c r="B2710">
        <v>43</v>
      </c>
      <c r="C2710">
        <v>2.7370000000000001</v>
      </c>
      <c r="D2710">
        <v>5.14</v>
      </c>
      <c r="E2710">
        <v>0</v>
      </c>
      <c r="F2710">
        <v>1.788</v>
      </c>
      <c r="G2710">
        <v>0</v>
      </c>
      <c r="H2710">
        <v>0.193</v>
      </c>
      <c r="I2710">
        <v>4.9710000000000001</v>
      </c>
      <c r="K2710">
        <v>2708</v>
      </c>
      <c r="L2710">
        <v>43</v>
      </c>
      <c r="M2710" s="32">
        <v>2.7370000000000001</v>
      </c>
      <c r="N2710" s="32">
        <v>5.14</v>
      </c>
      <c r="P2710" s="47">
        <v>1.7889999999999999</v>
      </c>
      <c r="R2710" s="47">
        <v>0.19400000000000001</v>
      </c>
      <c r="S2710" s="47">
        <v>4.8979999999999997</v>
      </c>
      <c r="T2710" s="31">
        <v>0</v>
      </c>
      <c r="V2710">
        <v>2708</v>
      </c>
      <c r="W2710">
        <v>40</v>
      </c>
      <c r="X2710">
        <v>2.7490000000000001</v>
      </c>
      <c r="Y2710" s="32">
        <v>5.14</v>
      </c>
      <c r="Z2710">
        <v>0</v>
      </c>
      <c r="AA2710" s="32">
        <v>1.649</v>
      </c>
      <c r="AB2710">
        <v>0</v>
      </c>
      <c r="AC2710" s="34">
        <v>0.21199999999999999</v>
      </c>
      <c r="AD2710" s="32">
        <v>4.5359999999999996</v>
      </c>
    </row>
    <row r="2711" spans="1:30">
      <c r="A2711">
        <v>2709</v>
      </c>
      <c r="B2711">
        <v>43</v>
      </c>
      <c r="C2711">
        <v>2.738</v>
      </c>
      <c r="D2711">
        <v>5.14</v>
      </c>
      <c r="E2711">
        <v>0</v>
      </c>
      <c r="F2711">
        <v>1.788</v>
      </c>
      <c r="G2711">
        <v>0</v>
      </c>
      <c r="H2711">
        <v>0.193</v>
      </c>
      <c r="I2711">
        <v>4.9729999999999999</v>
      </c>
      <c r="K2711">
        <v>2709</v>
      </c>
      <c r="L2711">
        <v>43</v>
      </c>
      <c r="M2711" s="32">
        <v>2.738</v>
      </c>
      <c r="N2711" s="32">
        <v>5.14</v>
      </c>
      <c r="P2711" s="47">
        <v>1.79</v>
      </c>
      <c r="R2711" s="47">
        <v>0.19400000000000001</v>
      </c>
      <c r="S2711" s="47">
        <v>4.9000000000000004</v>
      </c>
      <c r="T2711" s="31">
        <v>0</v>
      </c>
      <c r="V2711">
        <v>2709</v>
      </c>
      <c r="W2711">
        <v>40</v>
      </c>
      <c r="X2711">
        <v>2.75</v>
      </c>
      <c r="Y2711" s="32">
        <v>5.14</v>
      </c>
      <c r="Z2711">
        <v>0</v>
      </c>
      <c r="AA2711" s="32">
        <v>1.65</v>
      </c>
      <c r="AB2711">
        <v>0</v>
      </c>
      <c r="AC2711" s="34">
        <v>0.21199999999999999</v>
      </c>
      <c r="AD2711" s="32">
        <v>4.5380000000000003</v>
      </c>
    </row>
    <row r="2712" spans="1:30">
      <c r="A2712">
        <v>2710</v>
      </c>
      <c r="B2712">
        <v>43</v>
      </c>
      <c r="C2712">
        <v>2.7389999999999999</v>
      </c>
      <c r="D2712">
        <v>5.14</v>
      </c>
      <c r="E2712">
        <v>0</v>
      </c>
      <c r="F2712">
        <v>1.788</v>
      </c>
      <c r="G2712">
        <v>0</v>
      </c>
      <c r="H2712">
        <v>0.193</v>
      </c>
      <c r="I2712">
        <v>4.976</v>
      </c>
      <c r="K2712">
        <v>2710</v>
      </c>
      <c r="L2712">
        <v>43</v>
      </c>
      <c r="M2712" s="32">
        <v>2.7389999999999999</v>
      </c>
      <c r="N2712" s="32">
        <v>5.14</v>
      </c>
      <c r="P2712" s="47">
        <v>1.79</v>
      </c>
      <c r="R2712" s="47">
        <v>0.19400000000000001</v>
      </c>
      <c r="S2712" s="47">
        <v>4.9029999999999996</v>
      </c>
      <c r="T2712" s="31">
        <v>0</v>
      </c>
      <c r="V2712">
        <v>2710</v>
      </c>
      <c r="W2712">
        <v>40</v>
      </c>
      <c r="X2712">
        <v>2.7509999999999999</v>
      </c>
      <c r="Y2712" s="32">
        <v>5.14</v>
      </c>
      <c r="Z2712">
        <v>0</v>
      </c>
      <c r="AA2712" s="32">
        <v>1.65</v>
      </c>
      <c r="AB2712">
        <v>0</v>
      </c>
      <c r="AC2712" s="34">
        <v>0.21199999999999999</v>
      </c>
      <c r="AD2712" s="32">
        <v>4.54</v>
      </c>
    </row>
    <row r="2713" spans="1:30">
      <c r="A2713">
        <v>2711</v>
      </c>
      <c r="B2713">
        <v>43</v>
      </c>
      <c r="C2713">
        <v>2.74</v>
      </c>
      <c r="D2713">
        <v>5.14</v>
      </c>
      <c r="E2713">
        <v>0</v>
      </c>
      <c r="F2713">
        <v>1.788</v>
      </c>
      <c r="G2713">
        <v>0</v>
      </c>
      <c r="H2713">
        <v>0.193</v>
      </c>
      <c r="I2713">
        <v>4.9779999999999998</v>
      </c>
      <c r="K2713">
        <v>2711</v>
      </c>
      <c r="L2713">
        <v>43</v>
      </c>
      <c r="M2713" s="32">
        <v>2.74</v>
      </c>
      <c r="N2713" s="32">
        <v>5.14</v>
      </c>
      <c r="P2713" s="47">
        <v>1.79</v>
      </c>
      <c r="R2713" s="47">
        <v>0.19500000000000001</v>
      </c>
      <c r="S2713" s="47">
        <v>4.9050000000000002</v>
      </c>
      <c r="T2713" s="31">
        <v>0</v>
      </c>
      <c r="V2713">
        <v>2711</v>
      </c>
      <c r="W2713">
        <v>40</v>
      </c>
      <c r="X2713">
        <v>2.7519999999999998</v>
      </c>
      <c r="Y2713" s="32">
        <v>5.14</v>
      </c>
      <c r="Z2713">
        <v>0</v>
      </c>
      <c r="AA2713" s="32">
        <v>1.65</v>
      </c>
      <c r="AB2713">
        <v>0</v>
      </c>
      <c r="AC2713" s="34">
        <v>0.21199999999999999</v>
      </c>
      <c r="AD2713" s="32">
        <v>4.5430000000000001</v>
      </c>
    </row>
    <row r="2714" spans="1:30">
      <c r="A2714">
        <v>2712</v>
      </c>
      <c r="B2714">
        <v>43</v>
      </c>
      <c r="C2714">
        <v>2.7410000000000001</v>
      </c>
      <c r="D2714">
        <v>5.14</v>
      </c>
      <c r="E2714">
        <v>0</v>
      </c>
      <c r="F2714">
        <v>1.79</v>
      </c>
      <c r="G2714">
        <v>0</v>
      </c>
      <c r="H2714">
        <v>0.193</v>
      </c>
      <c r="I2714">
        <v>5.0049999999999999</v>
      </c>
      <c r="K2714">
        <v>2712</v>
      </c>
      <c r="L2714">
        <v>43</v>
      </c>
      <c r="M2714" s="32">
        <v>2.7410000000000001</v>
      </c>
      <c r="N2714" s="32">
        <v>5.14</v>
      </c>
      <c r="P2714" s="32">
        <v>1.79</v>
      </c>
      <c r="R2714" s="47">
        <v>0.19500000000000001</v>
      </c>
      <c r="S2714" s="47">
        <v>4.907</v>
      </c>
      <c r="T2714" s="31">
        <v>0</v>
      </c>
      <c r="V2714">
        <v>2712</v>
      </c>
      <c r="W2714">
        <v>40</v>
      </c>
      <c r="X2714">
        <v>2.7530000000000001</v>
      </c>
      <c r="Y2714" s="32">
        <v>5.14</v>
      </c>
      <c r="Z2714">
        <v>0</v>
      </c>
      <c r="AA2714" s="32">
        <v>1.65</v>
      </c>
      <c r="AB2714">
        <v>0</v>
      </c>
      <c r="AC2714" s="34">
        <v>0.21299999999999999</v>
      </c>
      <c r="AD2714" s="32">
        <v>4.5449999999999999</v>
      </c>
    </row>
    <row r="2715" spans="1:30">
      <c r="A2715">
        <v>2713</v>
      </c>
      <c r="B2715">
        <v>43</v>
      </c>
      <c r="C2715">
        <v>2.742</v>
      </c>
      <c r="D2715">
        <v>5.14</v>
      </c>
      <c r="E2715">
        <v>0</v>
      </c>
      <c r="F2715">
        <v>1.79</v>
      </c>
      <c r="G2715">
        <v>0</v>
      </c>
      <c r="H2715">
        <v>0.193</v>
      </c>
      <c r="I2715">
        <v>5.008</v>
      </c>
      <c r="K2715">
        <v>2713</v>
      </c>
      <c r="L2715">
        <v>43</v>
      </c>
      <c r="M2715" s="32">
        <v>2.742</v>
      </c>
      <c r="N2715" s="32">
        <v>5.14</v>
      </c>
      <c r="P2715" s="47">
        <v>1.7909999999999999</v>
      </c>
      <c r="R2715" s="47">
        <v>0.19500000000000001</v>
      </c>
      <c r="S2715" s="47">
        <v>4.91</v>
      </c>
      <c r="T2715" s="31">
        <v>0</v>
      </c>
      <c r="V2715">
        <v>2713</v>
      </c>
      <c r="W2715">
        <v>40</v>
      </c>
      <c r="X2715">
        <v>2.754</v>
      </c>
      <c r="Y2715" s="32">
        <v>5.14</v>
      </c>
      <c r="Z2715">
        <v>0</v>
      </c>
      <c r="AA2715" s="32">
        <v>1.651</v>
      </c>
      <c r="AB2715">
        <v>0</v>
      </c>
      <c r="AC2715" s="34">
        <v>0.21299999999999999</v>
      </c>
      <c r="AD2715" s="32">
        <v>4.5469999999999997</v>
      </c>
    </row>
    <row r="2716" spans="1:30">
      <c r="A2716">
        <v>2714</v>
      </c>
      <c r="B2716">
        <v>43</v>
      </c>
      <c r="C2716">
        <v>2.7429999999999999</v>
      </c>
      <c r="D2716">
        <v>5.14</v>
      </c>
      <c r="E2716">
        <v>0</v>
      </c>
      <c r="F2716">
        <v>1.79</v>
      </c>
      <c r="G2716">
        <v>0</v>
      </c>
      <c r="H2716">
        <v>0.193</v>
      </c>
      <c r="I2716">
        <v>5.01</v>
      </c>
      <c r="K2716">
        <v>2714</v>
      </c>
      <c r="L2716">
        <v>43</v>
      </c>
      <c r="M2716" s="32">
        <v>2.7429999999999999</v>
      </c>
      <c r="N2716" s="32">
        <v>5.14</v>
      </c>
      <c r="P2716" s="47">
        <v>1.7909999999999999</v>
      </c>
      <c r="R2716" s="47">
        <v>0.19500000000000001</v>
      </c>
      <c r="S2716" s="47">
        <v>4.9119999999999999</v>
      </c>
      <c r="T2716" s="31">
        <v>0</v>
      </c>
      <c r="V2716">
        <v>2714</v>
      </c>
      <c r="W2716">
        <v>40</v>
      </c>
      <c r="X2716">
        <v>2.7549999999999999</v>
      </c>
      <c r="Y2716" s="32">
        <v>5.14</v>
      </c>
      <c r="Z2716">
        <v>0</v>
      </c>
      <c r="AA2716" s="32">
        <v>1.651</v>
      </c>
      <c r="AB2716">
        <v>0</v>
      </c>
      <c r="AC2716" s="34">
        <v>0.21299999999999999</v>
      </c>
      <c r="AD2716" s="32">
        <v>4.5490000000000004</v>
      </c>
    </row>
    <row r="2717" spans="1:30">
      <c r="A2717">
        <v>2715</v>
      </c>
      <c r="B2717">
        <v>43</v>
      </c>
      <c r="C2717">
        <v>2.7440000000000002</v>
      </c>
      <c r="D2717">
        <v>5.14</v>
      </c>
      <c r="E2717">
        <v>0</v>
      </c>
      <c r="F2717">
        <v>1.79</v>
      </c>
      <c r="G2717">
        <v>0</v>
      </c>
      <c r="H2717">
        <v>0.193</v>
      </c>
      <c r="I2717">
        <v>5.0129999999999999</v>
      </c>
      <c r="K2717">
        <v>2715</v>
      </c>
      <c r="L2717">
        <v>43</v>
      </c>
      <c r="M2717" s="32">
        <v>2.7440000000000002</v>
      </c>
      <c r="N2717" s="32">
        <v>5.14</v>
      </c>
      <c r="P2717" s="47">
        <v>1.7909999999999999</v>
      </c>
      <c r="R2717" s="47">
        <v>0.19500000000000001</v>
      </c>
      <c r="S2717" s="47">
        <v>4.915</v>
      </c>
      <c r="T2717" s="31">
        <v>0</v>
      </c>
      <c r="V2717">
        <v>2715</v>
      </c>
      <c r="W2717">
        <v>40</v>
      </c>
      <c r="X2717">
        <v>2.7559999999999998</v>
      </c>
      <c r="Y2717" s="32">
        <v>5.14</v>
      </c>
      <c r="Z2717">
        <v>0</v>
      </c>
      <c r="AA2717" s="32">
        <v>1.651</v>
      </c>
      <c r="AB2717">
        <v>0</v>
      </c>
      <c r="AC2717" s="34">
        <v>0.21299999999999999</v>
      </c>
      <c r="AD2717" s="32">
        <v>4.5519999999999996</v>
      </c>
    </row>
    <row r="2718" spans="1:30">
      <c r="A2718">
        <v>2716</v>
      </c>
      <c r="B2718">
        <v>43</v>
      </c>
      <c r="C2718">
        <v>2.7450000000000001</v>
      </c>
      <c r="D2718">
        <v>5.14</v>
      </c>
      <c r="E2718">
        <v>0</v>
      </c>
      <c r="F2718">
        <v>1.79</v>
      </c>
      <c r="G2718">
        <v>0</v>
      </c>
      <c r="H2718">
        <v>0.193</v>
      </c>
      <c r="I2718">
        <v>5.0149999999999997</v>
      </c>
      <c r="K2718">
        <v>2716</v>
      </c>
      <c r="L2718">
        <v>43</v>
      </c>
      <c r="M2718" s="32">
        <v>2.7450000000000001</v>
      </c>
      <c r="N2718" s="32">
        <v>5.14</v>
      </c>
      <c r="P2718" s="47">
        <v>1.792</v>
      </c>
      <c r="R2718" s="47">
        <v>0.19500000000000001</v>
      </c>
      <c r="S2718" s="47">
        <v>4.9169999999999998</v>
      </c>
      <c r="T2718" s="31">
        <v>0</v>
      </c>
      <c r="V2718">
        <v>2716</v>
      </c>
      <c r="W2718">
        <v>40</v>
      </c>
      <c r="X2718">
        <v>2.7570000000000001</v>
      </c>
      <c r="Y2718" s="32">
        <v>5.14</v>
      </c>
      <c r="Z2718">
        <v>0</v>
      </c>
      <c r="AA2718" s="32">
        <v>1.651</v>
      </c>
      <c r="AB2718">
        <v>0</v>
      </c>
      <c r="AC2718" s="34">
        <v>0.21299999999999999</v>
      </c>
      <c r="AD2718" s="32">
        <v>4.5540000000000003</v>
      </c>
    </row>
    <row r="2719" spans="1:30">
      <c r="A2719">
        <v>2717</v>
      </c>
      <c r="B2719">
        <v>43</v>
      </c>
      <c r="C2719">
        <v>2.746</v>
      </c>
      <c r="D2719">
        <v>5.14</v>
      </c>
      <c r="E2719">
        <v>0</v>
      </c>
      <c r="F2719">
        <v>1.79</v>
      </c>
      <c r="G2719">
        <v>0</v>
      </c>
      <c r="H2719">
        <v>0.193</v>
      </c>
      <c r="I2719">
        <v>5.0179999999999998</v>
      </c>
      <c r="K2719">
        <v>2717</v>
      </c>
      <c r="L2719">
        <v>43</v>
      </c>
      <c r="M2719" s="32">
        <v>2.746</v>
      </c>
      <c r="N2719" s="32">
        <v>5.14</v>
      </c>
      <c r="P2719" s="47">
        <v>1.792</v>
      </c>
      <c r="R2719" s="47">
        <v>0.19500000000000001</v>
      </c>
      <c r="S2719" s="47">
        <v>4.9189999999999996</v>
      </c>
      <c r="T2719" s="31">
        <v>0</v>
      </c>
      <c r="V2719">
        <v>2717</v>
      </c>
      <c r="W2719">
        <v>40</v>
      </c>
      <c r="X2719">
        <v>2.758</v>
      </c>
      <c r="Y2719" s="32">
        <v>5.14</v>
      </c>
      <c r="Z2719">
        <v>0</v>
      </c>
      <c r="AA2719" s="32">
        <v>1.6519999999999999</v>
      </c>
      <c r="AB2719">
        <v>0</v>
      </c>
      <c r="AC2719" s="34">
        <v>0.21299999999999999</v>
      </c>
      <c r="AD2719" s="32">
        <v>4.556</v>
      </c>
    </row>
    <row r="2720" spans="1:30">
      <c r="A2720">
        <v>2718</v>
      </c>
      <c r="B2720">
        <v>43</v>
      </c>
      <c r="C2720">
        <v>2.7469999999999999</v>
      </c>
      <c r="D2720">
        <v>5.14</v>
      </c>
      <c r="E2720">
        <v>0</v>
      </c>
      <c r="F2720">
        <v>1.79</v>
      </c>
      <c r="G2720">
        <v>0</v>
      </c>
      <c r="H2720">
        <v>0.193</v>
      </c>
      <c r="I2720">
        <v>5.0199999999999996</v>
      </c>
      <c r="K2720">
        <v>2718</v>
      </c>
      <c r="L2720">
        <v>43</v>
      </c>
      <c r="M2720" s="32">
        <v>2.7469999999999999</v>
      </c>
      <c r="N2720" s="32">
        <v>5.14</v>
      </c>
      <c r="P2720" s="47">
        <v>1.792</v>
      </c>
      <c r="R2720" s="47">
        <v>0.19500000000000001</v>
      </c>
      <c r="S2720" s="47">
        <v>4.9219999999999997</v>
      </c>
      <c r="T2720" s="31">
        <v>0</v>
      </c>
      <c r="V2720">
        <v>2718</v>
      </c>
      <c r="W2720">
        <v>40</v>
      </c>
      <c r="X2720">
        <v>2.7589999999999999</v>
      </c>
      <c r="Y2720" s="32">
        <v>5.14</v>
      </c>
      <c r="Z2720">
        <v>0</v>
      </c>
      <c r="AA2720" s="32">
        <v>1.6519999999999999</v>
      </c>
      <c r="AB2720">
        <v>0</v>
      </c>
      <c r="AC2720" s="34">
        <v>0.21299999999999999</v>
      </c>
      <c r="AD2720" s="32">
        <v>4.5590000000000002</v>
      </c>
    </row>
    <row r="2721" spans="1:30">
      <c r="A2721">
        <v>2719</v>
      </c>
      <c r="B2721">
        <v>43</v>
      </c>
      <c r="C2721">
        <v>2.7480000000000002</v>
      </c>
      <c r="D2721">
        <v>5.14</v>
      </c>
      <c r="E2721">
        <v>0</v>
      </c>
      <c r="F2721">
        <v>1.79</v>
      </c>
      <c r="G2721">
        <v>0</v>
      </c>
      <c r="H2721">
        <v>0.193</v>
      </c>
      <c r="I2721">
        <v>5.0229999999999997</v>
      </c>
      <c r="K2721">
        <v>2719</v>
      </c>
      <c r="L2721">
        <v>43</v>
      </c>
      <c r="M2721" s="32">
        <v>2.7480000000000002</v>
      </c>
      <c r="N2721" s="32">
        <v>5.14</v>
      </c>
      <c r="P2721" s="47">
        <v>1.792</v>
      </c>
      <c r="R2721" s="47">
        <v>0.19500000000000001</v>
      </c>
      <c r="S2721" s="47">
        <v>4.9240000000000004</v>
      </c>
      <c r="T2721" s="31">
        <v>0</v>
      </c>
      <c r="V2721">
        <v>2719</v>
      </c>
      <c r="W2721">
        <v>40</v>
      </c>
      <c r="X2721">
        <v>2.76</v>
      </c>
      <c r="Y2721" s="32">
        <v>5.14</v>
      </c>
      <c r="Z2721">
        <v>0</v>
      </c>
      <c r="AA2721" s="32">
        <v>1.6519999999999999</v>
      </c>
      <c r="AB2721">
        <v>0</v>
      </c>
      <c r="AC2721" s="34">
        <v>0.21299999999999999</v>
      </c>
      <c r="AD2721" s="32">
        <v>4.5609999999999999</v>
      </c>
    </row>
    <row r="2722" spans="1:30">
      <c r="A2722">
        <v>2720</v>
      </c>
      <c r="B2722">
        <v>43</v>
      </c>
      <c r="C2722">
        <v>2.7490000000000001</v>
      </c>
      <c r="D2722">
        <v>5.14</v>
      </c>
      <c r="E2722">
        <v>0</v>
      </c>
      <c r="F2722">
        <v>1.79</v>
      </c>
      <c r="G2722">
        <v>0</v>
      </c>
      <c r="H2722">
        <v>0.193</v>
      </c>
      <c r="I2722">
        <v>5.0250000000000004</v>
      </c>
      <c r="K2722">
        <v>2720</v>
      </c>
      <c r="L2722">
        <v>43</v>
      </c>
      <c r="M2722" s="32">
        <v>2.7490000000000001</v>
      </c>
      <c r="N2722" s="32">
        <v>5.14</v>
      </c>
      <c r="P2722" s="47">
        <v>1.7929999999999999</v>
      </c>
      <c r="R2722" s="47">
        <v>0.19500000000000001</v>
      </c>
      <c r="S2722" s="47">
        <v>4.9269999999999996</v>
      </c>
      <c r="T2722" s="31">
        <v>0</v>
      </c>
      <c r="V2722">
        <v>2720</v>
      </c>
      <c r="W2722">
        <v>40</v>
      </c>
      <c r="X2722">
        <v>2.7610000000000001</v>
      </c>
      <c r="Y2722" s="32">
        <v>5.14</v>
      </c>
      <c r="Z2722">
        <v>0</v>
      </c>
      <c r="AA2722" s="32">
        <v>1.6519999999999999</v>
      </c>
      <c r="AB2722">
        <v>0</v>
      </c>
      <c r="AC2722" s="34">
        <v>0.21299999999999999</v>
      </c>
      <c r="AD2722" s="32">
        <v>4.5629999999999997</v>
      </c>
    </row>
    <row r="2723" spans="1:30">
      <c r="A2723">
        <v>2721</v>
      </c>
      <c r="B2723">
        <v>43</v>
      </c>
      <c r="C2723">
        <v>2.75</v>
      </c>
      <c r="D2723">
        <v>5.14</v>
      </c>
      <c r="E2723">
        <v>0</v>
      </c>
      <c r="F2723">
        <v>1.7929999999999999</v>
      </c>
      <c r="G2723">
        <v>0</v>
      </c>
      <c r="H2723">
        <v>0.193</v>
      </c>
      <c r="I2723">
        <v>4.9290000000000003</v>
      </c>
      <c r="K2723">
        <v>2721</v>
      </c>
      <c r="L2723">
        <v>43</v>
      </c>
      <c r="M2723" s="32">
        <v>2.75</v>
      </c>
      <c r="N2723" s="32">
        <v>5.14</v>
      </c>
      <c r="P2723" s="32">
        <v>1.7929999999999999</v>
      </c>
      <c r="R2723" s="47">
        <v>0.19500000000000001</v>
      </c>
      <c r="S2723" s="32">
        <v>4.9290000000000003</v>
      </c>
      <c r="T2723" s="31">
        <v>0</v>
      </c>
      <c r="V2723">
        <v>2721</v>
      </c>
      <c r="W2723">
        <v>40</v>
      </c>
      <c r="X2723">
        <v>2.762</v>
      </c>
      <c r="Y2723" s="32">
        <v>5.14</v>
      </c>
      <c r="Z2723">
        <v>0</v>
      </c>
      <c r="AA2723" s="32">
        <v>1.653</v>
      </c>
      <c r="AB2723">
        <v>0</v>
      </c>
      <c r="AC2723" s="34">
        <v>0.21299999999999999</v>
      </c>
      <c r="AD2723" s="32">
        <v>4.5650000000000004</v>
      </c>
    </row>
    <row r="2724" spans="1:30">
      <c r="A2724">
        <v>2722</v>
      </c>
      <c r="B2724">
        <v>43</v>
      </c>
      <c r="C2724">
        <v>2.7509999999999999</v>
      </c>
      <c r="D2724">
        <v>5.14</v>
      </c>
      <c r="E2724">
        <v>0</v>
      </c>
      <c r="F2724">
        <v>1.7929999999999999</v>
      </c>
      <c r="G2724">
        <v>0</v>
      </c>
      <c r="H2724">
        <v>0.193</v>
      </c>
      <c r="I2724">
        <v>5.0540000000000003</v>
      </c>
      <c r="K2724">
        <v>2722</v>
      </c>
      <c r="L2724">
        <v>43</v>
      </c>
      <c r="M2724" s="32">
        <v>2.7509999999999999</v>
      </c>
      <c r="N2724" s="32">
        <v>5.14</v>
      </c>
      <c r="P2724" s="32">
        <v>1.7929999999999999</v>
      </c>
      <c r="R2724" s="47">
        <v>0.19500000000000001</v>
      </c>
      <c r="S2724" s="47">
        <v>4.9320000000000004</v>
      </c>
      <c r="T2724" s="31">
        <v>0</v>
      </c>
      <c r="V2724">
        <v>2722</v>
      </c>
      <c r="W2724">
        <v>40</v>
      </c>
      <c r="X2724">
        <v>2.7629999999999999</v>
      </c>
      <c r="Y2724" s="32">
        <v>5.14</v>
      </c>
      <c r="Z2724">
        <v>0</v>
      </c>
      <c r="AA2724" s="32">
        <v>1.653</v>
      </c>
      <c r="AB2724">
        <v>0</v>
      </c>
      <c r="AC2724" s="34">
        <v>0.21299999999999999</v>
      </c>
      <c r="AD2724" s="32">
        <v>4.5679999999999996</v>
      </c>
    </row>
    <row r="2725" spans="1:30">
      <c r="A2725">
        <v>2723</v>
      </c>
      <c r="B2725">
        <v>43</v>
      </c>
      <c r="C2725">
        <v>2.7519999999999998</v>
      </c>
      <c r="D2725">
        <v>5.14</v>
      </c>
      <c r="E2725">
        <v>0</v>
      </c>
      <c r="F2725">
        <v>1.7929999999999999</v>
      </c>
      <c r="G2725">
        <v>0</v>
      </c>
      <c r="H2725">
        <v>0.193</v>
      </c>
      <c r="I2725">
        <v>5.056</v>
      </c>
      <c r="K2725">
        <v>2723</v>
      </c>
      <c r="L2725">
        <v>43</v>
      </c>
      <c r="M2725" s="32">
        <v>2.7519999999999998</v>
      </c>
      <c r="N2725" s="32">
        <v>5.14</v>
      </c>
      <c r="P2725" s="32">
        <v>1.7929999999999999</v>
      </c>
      <c r="R2725" s="47">
        <v>0.19500000000000001</v>
      </c>
      <c r="S2725" s="47">
        <v>4.9340000000000002</v>
      </c>
      <c r="T2725" s="31">
        <v>0</v>
      </c>
      <c r="V2725">
        <v>2723</v>
      </c>
      <c r="W2725">
        <v>41</v>
      </c>
      <c r="X2725">
        <v>2.7639999999999998</v>
      </c>
      <c r="Y2725" s="32">
        <v>5.14</v>
      </c>
      <c r="Z2725">
        <v>0</v>
      </c>
      <c r="AA2725" s="32">
        <v>1.653</v>
      </c>
      <c r="AB2725">
        <v>0</v>
      </c>
      <c r="AC2725" s="34">
        <v>0.21299999999999999</v>
      </c>
      <c r="AD2725" s="32">
        <v>4.57</v>
      </c>
    </row>
    <row r="2726" spans="1:30">
      <c r="A2726">
        <v>2724</v>
      </c>
      <c r="B2726">
        <v>43</v>
      </c>
      <c r="C2726">
        <v>2.7530000000000001</v>
      </c>
      <c r="D2726">
        <v>5.14</v>
      </c>
      <c r="E2726">
        <v>0</v>
      </c>
      <c r="F2726">
        <v>1.7929999999999999</v>
      </c>
      <c r="G2726">
        <v>0</v>
      </c>
      <c r="H2726">
        <v>0.193</v>
      </c>
      <c r="I2726">
        <v>5.0590000000000002</v>
      </c>
      <c r="K2726">
        <v>2724</v>
      </c>
      <c r="L2726">
        <v>43</v>
      </c>
      <c r="M2726" s="32">
        <v>2.7530000000000001</v>
      </c>
      <c r="N2726" s="32">
        <v>5.14</v>
      </c>
      <c r="P2726" s="47">
        <v>1.794</v>
      </c>
      <c r="R2726" s="47">
        <v>0.19500000000000001</v>
      </c>
      <c r="S2726" s="47">
        <v>4.9370000000000003</v>
      </c>
      <c r="T2726" s="31">
        <v>0</v>
      </c>
      <c r="V2726">
        <v>2724</v>
      </c>
      <c r="W2726">
        <v>41</v>
      </c>
      <c r="X2726">
        <v>2.7650000000000001</v>
      </c>
      <c r="Y2726" s="32">
        <v>5.14</v>
      </c>
      <c r="Z2726">
        <v>0</v>
      </c>
      <c r="AA2726" s="32">
        <v>1.653</v>
      </c>
      <c r="AB2726">
        <v>0</v>
      </c>
      <c r="AC2726" s="34">
        <v>0.21299999999999999</v>
      </c>
      <c r="AD2726" s="32">
        <v>4.5720000000000001</v>
      </c>
    </row>
    <row r="2727" spans="1:30">
      <c r="A2727">
        <v>2725</v>
      </c>
      <c r="B2727">
        <v>43</v>
      </c>
      <c r="C2727">
        <v>2.754</v>
      </c>
      <c r="D2727">
        <v>5.14</v>
      </c>
      <c r="E2727">
        <v>0</v>
      </c>
      <c r="F2727">
        <v>1.7929999999999999</v>
      </c>
      <c r="G2727">
        <v>0</v>
      </c>
      <c r="H2727">
        <v>0.193</v>
      </c>
      <c r="I2727">
        <v>5.0609999999999999</v>
      </c>
      <c r="K2727">
        <v>2725</v>
      </c>
      <c r="L2727">
        <v>43</v>
      </c>
      <c r="M2727" s="32">
        <v>2.754</v>
      </c>
      <c r="N2727" s="32">
        <v>5.14</v>
      </c>
      <c r="P2727" s="47">
        <v>1.794</v>
      </c>
      <c r="R2727" s="47">
        <v>0.19500000000000001</v>
      </c>
      <c r="S2727" s="47">
        <v>4.9390000000000001</v>
      </c>
      <c r="T2727" s="31">
        <v>0</v>
      </c>
      <c r="V2727">
        <v>2725</v>
      </c>
      <c r="W2727">
        <v>41</v>
      </c>
      <c r="X2727">
        <v>2.766</v>
      </c>
      <c r="Y2727" s="32">
        <v>5.14</v>
      </c>
      <c r="Z2727">
        <v>0</v>
      </c>
      <c r="AA2727" s="32">
        <v>1.653</v>
      </c>
      <c r="AB2727">
        <v>0</v>
      </c>
      <c r="AC2727" s="34">
        <v>0.21299999999999999</v>
      </c>
      <c r="AD2727" s="32">
        <v>4.5750000000000002</v>
      </c>
    </row>
    <row r="2728" spans="1:30">
      <c r="A2728">
        <v>2726</v>
      </c>
      <c r="B2728">
        <v>43</v>
      </c>
      <c r="C2728">
        <v>2.7549999999999999</v>
      </c>
      <c r="D2728">
        <v>5.14</v>
      </c>
      <c r="E2728">
        <v>0</v>
      </c>
      <c r="F2728">
        <v>1.7929999999999999</v>
      </c>
      <c r="G2728">
        <v>0</v>
      </c>
      <c r="H2728">
        <v>0.193</v>
      </c>
      <c r="I2728">
        <v>5.0640000000000001</v>
      </c>
      <c r="K2728">
        <v>2726</v>
      </c>
      <c r="L2728">
        <v>43</v>
      </c>
      <c r="M2728" s="32">
        <v>2.7549999999999999</v>
      </c>
      <c r="N2728" s="32">
        <v>5.14</v>
      </c>
      <c r="P2728" s="47">
        <v>1.794</v>
      </c>
      <c r="R2728" s="47">
        <v>0.19500000000000001</v>
      </c>
      <c r="S2728" s="47">
        <v>4.9420000000000002</v>
      </c>
      <c r="T2728" s="31">
        <v>0</v>
      </c>
      <c r="V2728">
        <v>2726</v>
      </c>
      <c r="W2728">
        <v>41</v>
      </c>
      <c r="X2728">
        <v>2.7669999999999999</v>
      </c>
      <c r="Y2728" s="32">
        <v>5.14</v>
      </c>
      <c r="Z2728">
        <v>0</v>
      </c>
      <c r="AA2728" s="32">
        <v>1.6539999999999999</v>
      </c>
      <c r="AB2728">
        <v>0</v>
      </c>
      <c r="AC2728" s="34">
        <v>0.21299999999999999</v>
      </c>
      <c r="AD2728" s="32">
        <v>4.577</v>
      </c>
    </row>
    <row r="2729" spans="1:30">
      <c r="A2729">
        <v>2727</v>
      </c>
      <c r="B2729">
        <v>43</v>
      </c>
      <c r="C2729">
        <v>2.7559999999999998</v>
      </c>
      <c r="D2729">
        <v>5.14</v>
      </c>
      <c r="E2729">
        <v>0</v>
      </c>
      <c r="F2729">
        <v>1.7929999999999999</v>
      </c>
      <c r="G2729">
        <v>0</v>
      </c>
      <c r="H2729">
        <v>0.193</v>
      </c>
      <c r="I2729">
        <v>5.0659999999999998</v>
      </c>
      <c r="K2729">
        <v>2727</v>
      </c>
      <c r="L2729">
        <v>43</v>
      </c>
      <c r="M2729" s="32">
        <v>2.7559999999999998</v>
      </c>
      <c r="N2729" s="32">
        <v>5.14</v>
      </c>
      <c r="P2729" s="47">
        <v>1.794</v>
      </c>
      <c r="R2729" s="47">
        <v>0.19500000000000001</v>
      </c>
      <c r="S2729" s="47">
        <v>4.944</v>
      </c>
      <c r="T2729" s="31">
        <v>0</v>
      </c>
      <c r="V2729">
        <v>2727</v>
      </c>
      <c r="W2729">
        <v>41</v>
      </c>
      <c r="X2729">
        <v>2.7679999999999998</v>
      </c>
      <c r="Y2729" s="32">
        <v>5.14</v>
      </c>
      <c r="Z2729">
        <v>0</v>
      </c>
      <c r="AA2729" s="32">
        <v>1.6539999999999999</v>
      </c>
      <c r="AB2729">
        <v>0</v>
      </c>
      <c r="AC2729" s="34">
        <v>0.21299999999999999</v>
      </c>
      <c r="AD2729" s="32">
        <v>4.5789999999999997</v>
      </c>
    </row>
    <row r="2730" spans="1:30">
      <c r="A2730">
        <v>2728</v>
      </c>
      <c r="B2730">
        <v>43</v>
      </c>
      <c r="C2730">
        <v>2.7570000000000001</v>
      </c>
      <c r="D2730">
        <v>5.14</v>
      </c>
      <c r="E2730">
        <v>0</v>
      </c>
      <c r="F2730">
        <v>1.7929999999999999</v>
      </c>
      <c r="G2730">
        <v>0</v>
      </c>
      <c r="H2730">
        <v>0.193</v>
      </c>
      <c r="I2730">
        <v>5.069</v>
      </c>
      <c r="K2730">
        <v>2728</v>
      </c>
      <c r="L2730">
        <v>43</v>
      </c>
      <c r="M2730" s="32">
        <v>2.7570000000000001</v>
      </c>
      <c r="N2730" s="32">
        <v>5.14</v>
      </c>
      <c r="P2730" s="47">
        <v>1.794</v>
      </c>
      <c r="R2730" s="47">
        <v>0.19500000000000001</v>
      </c>
      <c r="S2730" s="47">
        <v>4.9470000000000001</v>
      </c>
      <c r="T2730" s="31">
        <v>0</v>
      </c>
      <c r="V2730">
        <v>2728</v>
      </c>
      <c r="W2730">
        <v>41</v>
      </c>
      <c r="X2730">
        <v>2.7690000000000001</v>
      </c>
      <c r="Y2730" s="32">
        <v>5.14</v>
      </c>
      <c r="Z2730">
        <v>0</v>
      </c>
      <c r="AA2730" s="32">
        <v>1.6539999999999999</v>
      </c>
      <c r="AB2730">
        <v>0</v>
      </c>
      <c r="AC2730" s="34">
        <v>0.21299999999999999</v>
      </c>
      <c r="AD2730" s="32">
        <v>4.5819999999999999</v>
      </c>
    </row>
    <row r="2731" spans="1:30">
      <c r="A2731">
        <v>2729</v>
      </c>
      <c r="B2731">
        <v>43</v>
      </c>
      <c r="C2731">
        <v>2.758</v>
      </c>
      <c r="D2731">
        <v>5.14</v>
      </c>
      <c r="E2731">
        <v>0</v>
      </c>
      <c r="F2731">
        <v>1.7929999999999999</v>
      </c>
      <c r="G2731">
        <v>0</v>
      </c>
      <c r="H2731">
        <v>0.193</v>
      </c>
      <c r="I2731">
        <v>5.0709999999999997</v>
      </c>
      <c r="K2731">
        <v>2729</v>
      </c>
      <c r="L2731">
        <v>43</v>
      </c>
      <c r="M2731" s="32">
        <v>2.758</v>
      </c>
      <c r="N2731" s="32">
        <v>5.14</v>
      </c>
      <c r="P2731" s="47">
        <v>1.7949999999999999</v>
      </c>
      <c r="R2731" s="47">
        <v>0.19500000000000001</v>
      </c>
      <c r="S2731" s="47">
        <v>4.9489999999999998</v>
      </c>
      <c r="T2731" s="31">
        <v>0</v>
      </c>
      <c r="V2731">
        <v>2729</v>
      </c>
      <c r="W2731">
        <v>41</v>
      </c>
      <c r="X2731">
        <v>2.77</v>
      </c>
      <c r="Y2731" s="32">
        <v>5.14</v>
      </c>
      <c r="Z2731">
        <v>0</v>
      </c>
      <c r="AA2731" s="32">
        <v>1.6539999999999999</v>
      </c>
      <c r="AB2731">
        <v>0</v>
      </c>
      <c r="AC2731" s="34">
        <v>0.21299999999999999</v>
      </c>
      <c r="AD2731" s="32">
        <v>4.5839999999999996</v>
      </c>
    </row>
    <row r="2732" spans="1:30">
      <c r="A2732">
        <v>2730</v>
      </c>
      <c r="B2732">
        <v>43</v>
      </c>
      <c r="C2732">
        <v>2.7589999999999999</v>
      </c>
      <c r="D2732">
        <v>5.14</v>
      </c>
      <c r="E2732">
        <v>0</v>
      </c>
      <c r="F2732">
        <v>1.7929999999999999</v>
      </c>
      <c r="G2732">
        <v>0</v>
      </c>
      <c r="H2732">
        <v>0.193</v>
      </c>
      <c r="I2732">
        <v>5.0739999999999998</v>
      </c>
      <c r="K2732">
        <v>2730</v>
      </c>
      <c r="L2732">
        <v>43</v>
      </c>
      <c r="M2732" s="32">
        <v>2.7589999999999999</v>
      </c>
      <c r="N2732" s="32">
        <v>5.14</v>
      </c>
      <c r="P2732" s="47">
        <v>1.7949999999999999</v>
      </c>
      <c r="R2732" s="47">
        <v>0.19500000000000001</v>
      </c>
      <c r="S2732" s="47">
        <v>4.952</v>
      </c>
      <c r="T2732" s="31">
        <v>0</v>
      </c>
      <c r="V2732">
        <v>2730</v>
      </c>
      <c r="W2732">
        <v>41</v>
      </c>
      <c r="X2732">
        <v>2.7709999999999999</v>
      </c>
      <c r="Y2732" s="32">
        <v>5.1539999999999999</v>
      </c>
      <c r="Z2732">
        <v>0</v>
      </c>
      <c r="AA2732" s="32">
        <v>1.655</v>
      </c>
      <c r="AB2732">
        <v>0</v>
      </c>
      <c r="AC2732" s="34">
        <v>0.21299999999999999</v>
      </c>
      <c r="AD2732" s="32">
        <v>4.5860000000000003</v>
      </c>
    </row>
    <row r="2733" spans="1:30">
      <c r="A2733">
        <v>2731</v>
      </c>
      <c r="B2733">
        <v>43</v>
      </c>
      <c r="C2733">
        <v>2.76</v>
      </c>
      <c r="D2733">
        <v>5.14</v>
      </c>
      <c r="E2733">
        <v>0</v>
      </c>
      <c r="F2733">
        <v>1.7949999999999999</v>
      </c>
      <c r="G2733">
        <v>0</v>
      </c>
      <c r="H2733">
        <v>0.193</v>
      </c>
      <c r="I2733">
        <v>4.9539999999999997</v>
      </c>
      <c r="K2733">
        <v>2731</v>
      </c>
      <c r="L2733">
        <v>43</v>
      </c>
      <c r="M2733" s="32">
        <v>2.76</v>
      </c>
      <c r="N2733" s="32">
        <v>5.14</v>
      </c>
      <c r="P2733" s="32">
        <v>1.7949999999999999</v>
      </c>
      <c r="R2733" s="47">
        <v>0.19500000000000001</v>
      </c>
      <c r="S2733" s="32">
        <v>4.9539999999999997</v>
      </c>
      <c r="T2733" s="31">
        <v>0</v>
      </c>
      <c r="V2733">
        <v>2731</v>
      </c>
      <c r="W2733">
        <v>41</v>
      </c>
      <c r="X2733">
        <v>2.7719999999999998</v>
      </c>
      <c r="Y2733" s="32">
        <v>5.1680000000000001</v>
      </c>
      <c r="Z2733">
        <v>0</v>
      </c>
      <c r="AA2733" s="32">
        <v>1.655</v>
      </c>
      <c r="AB2733">
        <v>0</v>
      </c>
      <c r="AC2733" s="34">
        <v>0.21299999999999999</v>
      </c>
      <c r="AD2733" s="32">
        <v>4.5890000000000004</v>
      </c>
    </row>
    <row r="2734" spans="1:30">
      <c r="A2734">
        <v>2732</v>
      </c>
      <c r="B2734">
        <v>43</v>
      </c>
      <c r="C2734">
        <v>2.7610000000000001</v>
      </c>
      <c r="D2734">
        <v>5.14</v>
      </c>
      <c r="E2734">
        <v>0</v>
      </c>
      <c r="F2734">
        <v>1.7949999999999999</v>
      </c>
      <c r="G2734">
        <v>0</v>
      </c>
      <c r="H2734">
        <v>0.193</v>
      </c>
      <c r="I2734">
        <v>5.1029999999999998</v>
      </c>
      <c r="K2734">
        <v>2732</v>
      </c>
      <c r="L2734">
        <v>43</v>
      </c>
      <c r="M2734" s="32">
        <v>2.7610000000000001</v>
      </c>
      <c r="N2734" s="32">
        <v>5.14</v>
      </c>
      <c r="P2734" s="32">
        <v>1.7949999999999999</v>
      </c>
      <c r="R2734" s="47">
        <v>0.19500000000000001</v>
      </c>
      <c r="S2734" s="47">
        <v>4.9569999999999999</v>
      </c>
      <c r="T2734" s="31">
        <v>0</v>
      </c>
      <c r="V2734">
        <v>2732</v>
      </c>
      <c r="W2734">
        <v>41</v>
      </c>
      <c r="X2734">
        <v>2.7730000000000001</v>
      </c>
      <c r="Y2734" s="32">
        <v>5.1820000000000004</v>
      </c>
      <c r="Z2734">
        <v>0</v>
      </c>
      <c r="AA2734" s="32">
        <v>1.655</v>
      </c>
      <c r="AB2734">
        <v>0</v>
      </c>
      <c r="AC2734" s="34">
        <v>0.21299999999999999</v>
      </c>
      <c r="AD2734" s="32">
        <v>4.5910000000000002</v>
      </c>
    </row>
    <row r="2735" spans="1:30">
      <c r="A2735">
        <v>2733</v>
      </c>
      <c r="B2735">
        <v>43</v>
      </c>
      <c r="C2735">
        <v>2.762</v>
      </c>
      <c r="D2735">
        <v>5.14</v>
      </c>
      <c r="E2735">
        <v>0</v>
      </c>
      <c r="F2735">
        <v>1.7949999999999999</v>
      </c>
      <c r="G2735">
        <v>0</v>
      </c>
      <c r="H2735">
        <v>0.193</v>
      </c>
      <c r="I2735">
        <v>5.1059999999999999</v>
      </c>
      <c r="K2735">
        <v>2733</v>
      </c>
      <c r="L2735">
        <v>43</v>
      </c>
      <c r="M2735" s="32">
        <v>2.762</v>
      </c>
      <c r="N2735" s="32">
        <v>5.14</v>
      </c>
      <c r="P2735" s="47">
        <v>1.796</v>
      </c>
      <c r="R2735" s="47">
        <v>0.19500000000000001</v>
      </c>
      <c r="S2735" s="47">
        <v>4.9589999999999996</v>
      </c>
      <c r="T2735" s="31">
        <v>0</v>
      </c>
      <c r="V2735">
        <v>2733</v>
      </c>
      <c r="W2735">
        <v>41</v>
      </c>
      <c r="X2735">
        <v>2.774</v>
      </c>
      <c r="Y2735" s="32">
        <v>5.1959999999999997</v>
      </c>
      <c r="Z2735">
        <v>0</v>
      </c>
      <c r="AA2735" s="32">
        <v>1.655</v>
      </c>
      <c r="AB2735">
        <v>0</v>
      </c>
      <c r="AC2735" s="34">
        <v>0.21299999999999999</v>
      </c>
      <c r="AD2735" s="32">
        <v>4.593</v>
      </c>
    </row>
    <row r="2736" spans="1:30">
      <c r="A2736">
        <v>2734</v>
      </c>
      <c r="B2736">
        <v>43</v>
      </c>
      <c r="C2736">
        <v>2.7629999999999999</v>
      </c>
      <c r="D2736">
        <v>5.14</v>
      </c>
      <c r="E2736">
        <v>0</v>
      </c>
      <c r="F2736">
        <v>1.7949999999999999</v>
      </c>
      <c r="G2736">
        <v>0</v>
      </c>
      <c r="H2736">
        <v>0.193</v>
      </c>
      <c r="I2736">
        <v>5.1079999999999997</v>
      </c>
      <c r="K2736">
        <v>2734</v>
      </c>
      <c r="L2736">
        <v>43</v>
      </c>
      <c r="M2736" s="32">
        <v>2.7629999999999999</v>
      </c>
      <c r="N2736" s="32">
        <v>5.14</v>
      </c>
      <c r="P2736" s="47">
        <v>1.796</v>
      </c>
      <c r="R2736" s="47">
        <v>0.19500000000000001</v>
      </c>
      <c r="S2736" s="47">
        <v>4.9619999999999997</v>
      </c>
      <c r="T2736" s="31">
        <v>0</v>
      </c>
      <c r="V2736">
        <v>2734</v>
      </c>
      <c r="W2736">
        <v>41</v>
      </c>
      <c r="X2736">
        <v>2.7749999999999999</v>
      </c>
      <c r="Y2736" s="32">
        <v>5.21</v>
      </c>
      <c r="Z2736">
        <v>0</v>
      </c>
      <c r="AA2736" s="32">
        <v>1.6559999999999999</v>
      </c>
      <c r="AB2736">
        <v>0</v>
      </c>
      <c r="AC2736" s="34">
        <v>0.21299999999999999</v>
      </c>
      <c r="AD2736" s="32">
        <v>4.5960000000000001</v>
      </c>
    </row>
    <row r="2737" spans="1:30">
      <c r="A2737">
        <v>2735</v>
      </c>
      <c r="B2737">
        <v>43</v>
      </c>
      <c r="C2737">
        <v>2.7639999999999998</v>
      </c>
      <c r="D2737">
        <v>5.14</v>
      </c>
      <c r="E2737">
        <v>0</v>
      </c>
      <c r="F2737">
        <v>1.7949999999999999</v>
      </c>
      <c r="G2737">
        <v>0</v>
      </c>
      <c r="H2737">
        <v>0.193</v>
      </c>
      <c r="I2737">
        <v>5.1109999999999998</v>
      </c>
      <c r="K2737">
        <v>2735</v>
      </c>
      <c r="L2737">
        <v>43</v>
      </c>
      <c r="M2737" s="32">
        <v>2.7639999999999998</v>
      </c>
      <c r="N2737" s="32">
        <v>5.14</v>
      </c>
      <c r="P2737" s="47">
        <v>1.796</v>
      </c>
      <c r="R2737" s="47">
        <v>0.19500000000000001</v>
      </c>
      <c r="S2737" s="47">
        <v>4.9640000000000004</v>
      </c>
      <c r="T2737" s="31">
        <v>0</v>
      </c>
      <c r="V2737">
        <v>2735</v>
      </c>
      <c r="W2737">
        <v>41</v>
      </c>
      <c r="X2737">
        <v>2.7759999999999998</v>
      </c>
      <c r="Y2737" s="32">
        <v>5.2240000000000002</v>
      </c>
      <c r="Z2737">
        <v>0</v>
      </c>
      <c r="AA2737" s="32">
        <v>1.6559999999999999</v>
      </c>
      <c r="AB2737">
        <v>0</v>
      </c>
      <c r="AC2737" s="34">
        <v>0.21299999999999999</v>
      </c>
      <c r="AD2737" s="32">
        <v>4.5979999999999999</v>
      </c>
    </row>
    <row r="2738" spans="1:30">
      <c r="A2738">
        <v>2736</v>
      </c>
      <c r="B2738">
        <v>43</v>
      </c>
      <c r="C2738">
        <v>2.7650000000000001</v>
      </c>
      <c r="D2738">
        <v>5.14</v>
      </c>
      <c r="E2738">
        <v>0</v>
      </c>
      <c r="F2738">
        <v>1.7949999999999999</v>
      </c>
      <c r="G2738">
        <v>0</v>
      </c>
      <c r="H2738">
        <v>0.193</v>
      </c>
      <c r="I2738">
        <v>5.1130000000000004</v>
      </c>
      <c r="K2738">
        <v>2736</v>
      </c>
      <c r="L2738">
        <v>43</v>
      </c>
      <c r="M2738" s="32">
        <v>2.7650000000000001</v>
      </c>
      <c r="N2738" s="32">
        <v>5.14</v>
      </c>
      <c r="P2738" s="47">
        <v>1.7969999999999999</v>
      </c>
      <c r="R2738" s="47">
        <v>0.19500000000000001</v>
      </c>
      <c r="S2738" s="47">
        <v>4.9669999999999996</v>
      </c>
      <c r="T2738" s="31">
        <v>0</v>
      </c>
      <c r="V2738">
        <v>2736</v>
      </c>
      <c r="W2738">
        <v>41</v>
      </c>
      <c r="X2738">
        <v>2.7770000000000001</v>
      </c>
      <c r="Y2738" s="32">
        <v>5.2380000000000004</v>
      </c>
      <c r="Z2738">
        <v>0</v>
      </c>
      <c r="AA2738" s="32">
        <v>1.6559999999999999</v>
      </c>
      <c r="AB2738">
        <v>0</v>
      </c>
      <c r="AC2738" s="34">
        <v>0.21299999999999999</v>
      </c>
      <c r="AD2738" s="32">
        <v>4.5999999999999996</v>
      </c>
    </row>
    <row r="2739" spans="1:30">
      <c r="A2739">
        <v>2737</v>
      </c>
      <c r="B2739">
        <v>43</v>
      </c>
      <c r="C2739">
        <v>2.766</v>
      </c>
      <c r="D2739">
        <v>5.14</v>
      </c>
      <c r="E2739">
        <v>0</v>
      </c>
      <c r="F2739">
        <v>1.7949999999999999</v>
      </c>
      <c r="G2739">
        <v>0</v>
      </c>
      <c r="H2739">
        <v>0.193</v>
      </c>
      <c r="I2739">
        <v>5.1159999999999997</v>
      </c>
      <c r="K2739">
        <v>2737</v>
      </c>
      <c r="L2739">
        <v>43</v>
      </c>
      <c r="M2739" s="32">
        <v>2.766</v>
      </c>
      <c r="N2739" s="32">
        <v>5.14</v>
      </c>
      <c r="P2739" s="47">
        <v>1.7969999999999999</v>
      </c>
      <c r="R2739" s="47">
        <v>0.19500000000000001</v>
      </c>
      <c r="S2739" s="47">
        <v>4.9690000000000003</v>
      </c>
      <c r="T2739" s="31">
        <v>0</v>
      </c>
      <c r="V2739">
        <v>2737</v>
      </c>
      <c r="W2739">
        <v>41</v>
      </c>
      <c r="X2739">
        <v>2.778</v>
      </c>
      <c r="Y2739" s="32">
        <v>5.2519999999999998</v>
      </c>
      <c r="Z2739">
        <v>0</v>
      </c>
      <c r="AA2739" s="32">
        <v>1.6559999999999999</v>
      </c>
      <c r="AB2739">
        <v>0</v>
      </c>
      <c r="AC2739" s="34">
        <v>0.21299999999999999</v>
      </c>
      <c r="AD2739" s="32">
        <v>4.6029999999999998</v>
      </c>
    </row>
    <row r="2740" spans="1:30">
      <c r="A2740">
        <v>2738</v>
      </c>
      <c r="B2740">
        <v>43</v>
      </c>
      <c r="C2740">
        <v>2.7669999999999999</v>
      </c>
      <c r="D2740">
        <v>5.14</v>
      </c>
      <c r="E2740">
        <v>0</v>
      </c>
      <c r="F2740">
        <v>1.7949999999999999</v>
      </c>
      <c r="G2740">
        <v>0</v>
      </c>
      <c r="H2740">
        <v>0.193</v>
      </c>
      <c r="I2740">
        <v>5.1180000000000003</v>
      </c>
      <c r="K2740">
        <v>2738</v>
      </c>
      <c r="L2740">
        <v>43</v>
      </c>
      <c r="M2740" s="32">
        <v>2.7669999999999999</v>
      </c>
      <c r="N2740" s="32">
        <v>5.14</v>
      </c>
      <c r="P2740" s="47">
        <v>1.7969999999999999</v>
      </c>
      <c r="R2740" s="47">
        <v>0.19600000000000001</v>
      </c>
      <c r="S2740" s="47">
        <v>4.9720000000000004</v>
      </c>
      <c r="T2740" s="31">
        <v>0</v>
      </c>
      <c r="V2740">
        <v>2738</v>
      </c>
      <c r="W2740">
        <v>41</v>
      </c>
      <c r="X2740">
        <v>2.7789999999999999</v>
      </c>
      <c r="Y2740" s="32">
        <v>5.266</v>
      </c>
      <c r="Z2740">
        <v>0</v>
      </c>
      <c r="AA2740" s="32">
        <v>1.657</v>
      </c>
      <c r="AB2740">
        <v>0</v>
      </c>
      <c r="AC2740" s="34">
        <v>0.21299999999999999</v>
      </c>
      <c r="AD2740" s="32">
        <v>4.6050000000000004</v>
      </c>
    </row>
    <row r="2741" spans="1:30">
      <c r="A2741">
        <v>2739</v>
      </c>
      <c r="B2741">
        <v>43</v>
      </c>
      <c r="C2741">
        <v>2.7679999999999998</v>
      </c>
      <c r="D2741">
        <v>5.14</v>
      </c>
      <c r="E2741">
        <v>0</v>
      </c>
      <c r="F2741">
        <v>1.7949999999999999</v>
      </c>
      <c r="G2741">
        <v>0</v>
      </c>
      <c r="H2741">
        <v>0.193</v>
      </c>
      <c r="I2741">
        <v>5.1210000000000004</v>
      </c>
      <c r="K2741">
        <v>2739</v>
      </c>
      <c r="L2741">
        <v>43</v>
      </c>
      <c r="M2741" s="32">
        <v>2.7679999999999998</v>
      </c>
      <c r="N2741" s="32">
        <v>5.14</v>
      </c>
      <c r="P2741" s="47">
        <v>1.7969999999999999</v>
      </c>
      <c r="R2741" s="47">
        <v>0.19600000000000001</v>
      </c>
      <c r="S2741" s="47">
        <v>4.9740000000000002</v>
      </c>
      <c r="T2741" s="31">
        <v>0</v>
      </c>
      <c r="V2741">
        <v>2739</v>
      </c>
      <c r="W2741">
        <v>41</v>
      </c>
      <c r="X2741">
        <v>2.78</v>
      </c>
      <c r="Y2741" s="32">
        <v>5.28</v>
      </c>
      <c r="Z2741">
        <v>0</v>
      </c>
      <c r="AA2741" s="32">
        <v>1.657</v>
      </c>
      <c r="AB2741">
        <v>0</v>
      </c>
      <c r="AC2741" s="34">
        <v>0.214</v>
      </c>
      <c r="AD2741" s="32">
        <v>4.6070000000000002</v>
      </c>
    </row>
    <row r="2742" spans="1:30">
      <c r="A2742">
        <v>2740</v>
      </c>
      <c r="B2742">
        <v>43</v>
      </c>
      <c r="C2742">
        <v>2.7690000000000001</v>
      </c>
      <c r="D2742">
        <v>5.14</v>
      </c>
      <c r="E2742">
        <v>0</v>
      </c>
      <c r="F2742">
        <v>1.7949999999999999</v>
      </c>
      <c r="G2742">
        <v>0</v>
      </c>
      <c r="H2742">
        <v>0.193</v>
      </c>
      <c r="I2742">
        <v>5.1230000000000002</v>
      </c>
      <c r="K2742">
        <v>2740</v>
      </c>
      <c r="L2742">
        <v>43</v>
      </c>
      <c r="M2742" s="32">
        <v>2.7690000000000001</v>
      </c>
      <c r="N2742" s="32">
        <v>5.14</v>
      </c>
      <c r="P2742" s="47">
        <v>1.798</v>
      </c>
      <c r="R2742" s="47">
        <v>0.19600000000000001</v>
      </c>
      <c r="S2742" s="47">
        <v>4.9770000000000003</v>
      </c>
      <c r="T2742" s="31">
        <v>0</v>
      </c>
      <c r="V2742">
        <v>2740</v>
      </c>
      <c r="W2742">
        <v>41</v>
      </c>
      <c r="X2742">
        <v>2.7810000000000001</v>
      </c>
      <c r="Y2742" s="32">
        <v>5.28</v>
      </c>
      <c r="Z2742">
        <v>0</v>
      </c>
      <c r="AA2742" s="32">
        <v>1.657</v>
      </c>
      <c r="AB2742">
        <v>0</v>
      </c>
      <c r="AC2742" s="34">
        <v>0.214</v>
      </c>
      <c r="AD2742" s="32">
        <v>4.609</v>
      </c>
    </row>
    <row r="2743" spans="1:30">
      <c r="A2743">
        <v>2741</v>
      </c>
      <c r="B2743">
        <v>43</v>
      </c>
      <c r="C2743">
        <v>2.77</v>
      </c>
      <c r="D2743">
        <v>5.14</v>
      </c>
      <c r="E2743">
        <v>0</v>
      </c>
      <c r="F2743">
        <v>1.798</v>
      </c>
      <c r="G2743">
        <v>0</v>
      </c>
      <c r="H2743">
        <v>0.193</v>
      </c>
      <c r="I2743">
        <v>4.9790000000000001</v>
      </c>
      <c r="K2743">
        <v>2741</v>
      </c>
      <c r="L2743">
        <v>43</v>
      </c>
      <c r="M2743" s="32">
        <v>2.77</v>
      </c>
      <c r="N2743" s="32">
        <v>5.14</v>
      </c>
      <c r="P2743" s="32">
        <v>1.798</v>
      </c>
      <c r="R2743" s="47">
        <v>0.19600000000000001</v>
      </c>
      <c r="S2743" s="32">
        <v>4.9790000000000001</v>
      </c>
      <c r="T2743" s="31">
        <v>0</v>
      </c>
      <c r="V2743">
        <v>2741</v>
      </c>
      <c r="W2743">
        <v>41</v>
      </c>
      <c r="X2743">
        <v>2.782</v>
      </c>
      <c r="Y2743" s="32">
        <v>5.28</v>
      </c>
      <c r="Z2743">
        <v>0</v>
      </c>
      <c r="AA2743" s="32">
        <v>1.657</v>
      </c>
      <c r="AB2743">
        <v>0</v>
      </c>
      <c r="AC2743" s="34">
        <v>0.214</v>
      </c>
      <c r="AD2743" s="32">
        <v>4.6120000000000001</v>
      </c>
    </row>
    <row r="2744" spans="1:30">
      <c r="A2744">
        <v>2742</v>
      </c>
      <c r="B2744">
        <v>43</v>
      </c>
      <c r="C2744">
        <v>2.7709999999999999</v>
      </c>
      <c r="D2744">
        <v>5.14</v>
      </c>
      <c r="E2744">
        <v>0</v>
      </c>
      <c r="F2744">
        <v>1.798</v>
      </c>
      <c r="G2744">
        <v>0</v>
      </c>
      <c r="H2744">
        <v>0.193</v>
      </c>
      <c r="I2744">
        <v>5.1529999999999996</v>
      </c>
      <c r="K2744">
        <v>2742</v>
      </c>
      <c r="L2744">
        <v>43</v>
      </c>
      <c r="M2744" s="32">
        <v>2.7709999999999999</v>
      </c>
      <c r="N2744" s="47">
        <v>5.1539999999999999</v>
      </c>
      <c r="P2744" s="32">
        <v>1.798</v>
      </c>
      <c r="R2744" s="47">
        <v>0.19600000000000001</v>
      </c>
      <c r="S2744" s="47">
        <v>4.9820000000000002</v>
      </c>
      <c r="T2744" s="31">
        <v>0</v>
      </c>
      <c r="V2744">
        <v>2742</v>
      </c>
      <c r="W2744">
        <v>41</v>
      </c>
      <c r="X2744">
        <v>2.7829999999999999</v>
      </c>
      <c r="Y2744" s="32">
        <v>5.28</v>
      </c>
      <c r="Z2744">
        <v>0</v>
      </c>
      <c r="AA2744" s="32">
        <v>1.657</v>
      </c>
      <c r="AB2744">
        <v>0</v>
      </c>
      <c r="AC2744" s="34">
        <v>0.214</v>
      </c>
      <c r="AD2744" s="32">
        <v>4.6139999999999999</v>
      </c>
    </row>
    <row r="2745" spans="1:30">
      <c r="A2745">
        <v>2743</v>
      </c>
      <c r="B2745">
        <v>43</v>
      </c>
      <c r="C2745">
        <v>2.7719999999999998</v>
      </c>
      <c r="D2745">
        <v>5.14</v>
      </c>
      <c r="E2745">
        <v>0</v>
      </c>
      <c r="F2745">
        <v>1.798</v>
      </c>
      <c r="G2745">
        <v>0</v>
      </c>
      <c r="H2745">
        <v>0.193</v>
      </c>
      <c r="I2745">
        <v>5.1550000000000002</v>
      </c>
      <c r="K2745">
        <v>2743</v>
      </c>
      <c r="L2745">
        <v>43</v>
      </c>
      <c r="M2745" s="32">
        <v>2.7719999999999998</v>
      </c>
      <c r="N2745" s="47">
        <v>5.1680000000000001</v>
      </c>
      <c r="P2745" s="32">
        <v>1.798</v>
      </c>
      <c r="R2745" s="47">
        <v>0.19600000000000001</v>
      </c>
      <c r="S2745" s="47">
        <v>4.9850000000000003</v>
      </c>
      <c r="T2745" s="31">
        <v>0</v>
      </c>
      <c r="V2745">
        <v>2743</v>
      </c>
      <c r="W2745">
        <v>41</v>
      </c>
      <c r="X2745">
        <v>2.7839999999999998</v>
      </c>
      <c r="Y2745" s="32">
        <v>5.28</v>
      </c>
      <c r="Z2745">
        <v>0</v>
      </c>
      <c r="AA2745" s="32">
        <v>1.6579999999999999</v>
      </c>
      <c r="AB2745">
        <v>0</v>
      </c>
      <c r="AC2745" s="34">
        <v>0.214</v>
      </c>
      <c r="AD2745" s="32">
        <v>4.6159999999999997</v>
      </c>
    </row>
    <row r="2746" spans="1:30">
      <c r="A2746">
        <v>2744</v>
      </c>
      <c r="B2746">
        <v>43</v>
      </c>
      <c r="C2746">
        <v>2.7730000000000001</v>
      </c>
      <c r="D2746">
        <v>5.14</v>
      </c>
      <c r="E2746">
        <v>0</v>
      </c>
      <c r="F2746">
        <v>1.798</v>
      </c>
      <c r="G2746">
        <v>0</v>
      </c>
      <c r="H2746">
        <v>0.193</v>
      </c>
      <c r="I2746">
        <v>5.1580000000000004</v>
      </c>
      <c r="K2746">
        <v>2744</v>
      </c>
      <c r="L2746">
        <v>43</v>
      </c>
      <c r="M2746" s="32">
        <v>2.7730000000000001</v>
      </c>
      <c r="N2746" s="47">
        <v>5.1820000000000004</v>
      </c>
      <c r="P2746" s="47">
        <v>1.7989999999999999</v>
      </c>
      <c r="R2746" s="47">
        <v>0.19600000000000001</v>
      </c>
      <c r="S2746" s="47">
        <v>4.9889999999999999</v>
      </c>
      <c r="T2746" s="31">
        <v>0</v>
      </c>
      <c r="V2746">
        <v>2744</v>
      </c>
      <c r="W2746">
        <v>41</v>
      </c>
      <c r="X2746">
        <v>2.7850000000000001</v>
      </c>
      <c r="Y2746" s="32">
        <v>5.28</v>
      </c>
      <c r="Z2746">
        <v>0</v>
      </c>
      <c r="AA2746" s="32">
        <v>1.6579999999999999</v>
      </c>
      <c r="AB2746">
        <v>0</v>
      </c>
      <c r="AC2746" s="34">
        <v>0.214</v>
      </c>
      <c r="AD2746" s="32">
        <v>4.6189999999999998</v>
      </c>
    </row>
    <row r="2747" spans="1:30">
      <c r="A2747">
        <v>2745</v>
      </c>
      <c r="B2747">
        <v>43</v>
      </c>
      <c r="C2747">
        <v>2.774</v>
      </c>
      <c r="D2747">
        <v>5.14</v>
      </c>
      <c r="E2747">
        <v>0</v>
      </c>
      <c r="F2747">
        <v>1.798</v>
      </c>
      <c r="G2747">
        <v>0</v>
      </c>
      <c r="H2747">
        <v>0.193</v>
      </c>
      <c r="I2747">
        <v>5.16</v>
      </c>
      <c r="K2747">
        <v>2745</v>
      </c>
      <c r="L2747">
        <v>43</v>
      </c>
      <c r="M2747" s="32">
        <v>2.774</v>
      </c>
      <c r="N2747" s="47">
        <v>5.1959999999999997</v>
      </c>
      <c r="P2747" s="47">
        <v>1.7989999999999999</v>
      </c>
      <c r="R2747" s="47">
        <v>0.19600000000000001</v>
      </c>
      <c r="S2747" s="47">
        <v>4.992</v>
      </c>
      <c r="T2747" s="31">
        <v>0</v>
      </c>
      <c r="V2747">
        <v>2745</v>
      </c>
      <c r="W2747">
        <v>41</v>
      </c>
      <c r="X2747">
        <v>2.786</v>
      </c>
      <c r="Y2747" s="32">
        <v>5.28</v>
      </c>
      <c r="Z2747">
        <v>0</v>
      </c>
      <c r="AA2747" s="32">
        <v>1.6579999999999999</v>
      </c>
      <c r="AB2747">
        <v>0</v>
      </c>
      <c r="AC2747" s="34">
        <v>0.214</v>
      </c>
      <c r="AD2747" s="32">
        <v>4.6210000000000004</v>
      </c>
    </row>
    <row r="2748" spans="1:30">
      <c r="A2748">
        <v>2746</v>
      </c>
      <c r="B2748">
        <v>43</v>
      </c>
      <c r="C2748">
        <v>2.7749999999999999</v>
      </c>
      <c r="D2748">
        <v>5.14</v>
      </c>
      <c r="E2748">
        <v>0</v>
      </c>
      <c r="F2748">
        <v>1.798</v>
      </c>
      <c r="G2748">
        <v>0</v>
      </c>
      <c r="H2748">
        <v>0.193</v>
      </c>
      <c r="I2748">
        <v>5.1630000000000003</v>
      </c>
      <c r="K2748">
        <v>2746</v>
      </c>
      <c r="L2748">
        <v>43</v>
      </c>
      <c r="M2748" s="32">
        <v>2.7749999999999999</v>
      </c>
      <c r="N2748" s="47">
        <v>5.21</v>
      </c>
      <c r="P2748" s="47">
        <v>1.7989999999999999</v>
      </c>
      <c r="R2748" s="47">
        <v>0.19600000000000001</v>
      </c>
      <c r="S2748" s="47">
        <v>4.9950000000000001</v>
      </c>
      <c r="T2748" s="31">
        <v>0</v>
      </c>
      <c r="V2748">
        <v>2746</v>
      </c>
      <c r="W2748">
        <v>41</v>
      </c>
      <c r="X2748">
        <v>2.7869999999999999</v>
      </c>
      <c r="Y2748" s="32">
        <v>5.28</v>
      </c>
      <c r="Z2748">
        <v>0</v>
      </c>
      <c r="AA2748" s="32">
        <v>1.6579999999999999</v>
      </c>
      <c r="AB2748">
        <v>0</v>
      </c>
      <c r="AC2748" s="34">
        <v>0.214</v>
      </c>
      <c r="AD2748" s="32">
        <v>4.6230000000000002</v>
      </c>
    </row>
    <row r="2749" spans="1:30">
      <c r="A2749">
        <v>2747</v>
      </c>
      <c r="B2749">
        <v>43</v>
      </c>
      <c r="C2749">
        <v>2.7759999999999998</v>
      </c>
      <c r="D2749">
        <v>5.14</v>
      </c>
      <c r="E2749">
        <v>0</v>
      </c>
      <c r="F2749">
        <v>1.798</v>
      </c>
      <c r="G2749">
        <v>0</v>
      </c>
      <c r="H2749">
        <v>0.193</v>
      </c>
      <c r="I2749">
        <v>5.165</v>
      </c>
      <c r="K2749">
        <v>2747</v>
      </c>
      <c r="L2749">
        <v>43</v>
      </c>
      <c r="M2749" s="32">
        <v>2.7759999999999998</v>
      </c>
      <c r="N2749" s="47">
        <v>5.2240000000000002</v>
      </c>
      <c r="P2749" s="47">
        <v>1.7989999999999999</v>
      </c>
      <c r="R2749" s="47">
        <v>0.19600000000000001</v>
      </c>
      <c r="S2749" s="47">
        <v>4.9980000000000002</v>
      </c>
      <c r="T2749" s="31">
        <v>0</v>
      </c>
      <c r="V2749">
        <v>2747</v>
      </c>
      <c r="W2749">
        <v>41</v>
      </c>
      <c r="X2749">
        <v>2.7879999999999998</v>
      </c>
      <c r="Y2749" s="32">
        <v>5.28</v>
      </c>
      <c r="Z2749">
        <v>0</v>
      </c>
      <c r="AA2749" s="32">
        <v>1.659</v>
      </c>
      <c r="AB2749">
        <v>0</v>
      </c>
      <c r="AC2749" s="34">
        <v>0.214</v>
      </c>
      <c r="AD2749" s="32">
        <v>4.6260000000000003</v>
      </c>
    </row>
    <row r="2750" spans="1:30">
      <c r="A2750">
        <v>2748</v>
      </c>
      <c r="B2750">
        <v>43</v>
      </c>
      <c r="C2750">
        <v>2.7770000000000001</v>
      </c>
      <c r="D2750">
        <v>5.14</v>
      </c>
      <c r="E2750">
        <v>0</v>
      </c>
      <c r="F2750">
        <v>1.798</v>
      </c>
      <c r="G2750">
        <v>0</v>
      </c>
      <c r="H2750">
        <v>0.193</v>
      </c>
      <c r="I2750">
        <v>5.1680000000000001</v>
      </c>
      <c r="K2750">
        <v>2748</v>
      </c>
      <c r="L2750">
        <v>43</v>
      </c>
      <c r="M2750" s="32">
        <v>2.7770000000000001</v>
      </c>
      <c r="N2750" s="47">
        <v>5.2380000000000004</v>
      </c>
      <c r="P2750" s="47">
        <v>1.7989999999999999</v>
      </c>
      <c r="R2750" s="47">
        <v>0.19600000000000001</v>
      </c>
      <c r="S2750" s="47">
        <v>5.0010000000000003</v>
      </c>
      <c r="T2750" s="31">
        <v>0</v>
      </c>
      <c r="V2750">
        <v>2748</v>
      </c>
      <c r="W2750">
        <v>41</v>
      </c>
      <c r="X2750">
        <v>2.7890000000000001</v>
      </c>
      <c r="Y2750" s="32">
        <v>5.28</v>
      </c>
      <c r="Z2750">
        <v>0</v>
      </c>
      <c r="AA2750" s="32">
        <v>1.659</v>
      </c>
      <c r="AB2750">
        <v>0</v>
      </c>
      <c r="AC2750" s="34">
        <v>0.214</v>
      </c>
      <c r="AD2750" s="32">
        <v>4.6280000000000001</v>
      </c>
    </row>
    <row r="2751" spans="1:30">
      <c r="A2751">
        <v>2749</v>
      </c>
      <c r="B2751">
        <v>43</v>
      </c>
      <c r="C2751">
        <v>2.778</v>
      </c>
      <c r="D2751">
        <v>5.14</v>
      </c>
      <c r="E2751">
        <v>0</v>
      </c>
      <c r="F2751">
        <v>1.798</v>
      </c>
      <c r="G2751">
        <v>0</v>
      </c>
      <c r="H2751">
        <v>0.193</v>
      </c>
      <c r="I2751">
        <v>5.17</v>
      </c>
      <c r="K2751">
        <v>2749</v>
      </c>
      <c r="L2751">
        <v>43</v>
      </c>
      <c r="M2751" s="32">
        <v>2.778</v>
      </c>
      <c r="N2751" s="47">
        <v>5.2519999999999998</v>
      </c>
      <c r="P2751" s="47">
        <v>1.8</v>
      </c>
      <c r="R2751" s="47">
        <v>0.19600000000000001</v>
      </c>
      <c r="S2751" s="47">
        <v>5.0049999999999999</v>
      </c>
      <c r="T2751" s="31">
        <v>0</v>
      </c>
      <c r="V2751">
        <v>2749</v>
      </c>
      <c r="W2751">
        <v>41</v>
      </c>
      <c r="X2751">
        <v>2.79</v>
      </c>
      <c r="Y2751" s="32">
        <v>5.28</v>
      </c>
      <c r="Z2751">
        <v>0</v>
      </c>
      <c r="AA2751" s="32">
        <v>1.659</v>
      </c>
      <c r="AB2751">
        <v>0</v>
      </c>
      <c r="AC2751" s="34">
        <v>0.214</v>
      </c>
      <c r="AD2751" s="32">
        <v>4.63</v>
      </c>
    </row>
    <row r="2752" spans="1:30">
      <c r="A2752">
        <v>2750</v>
      </c>
      <c r="B2752">
        <v>43</v>
      </c>
      <c r="C2752">
        <v>2.7789999999999999</v>
      </c>
      <c r="D2752">
        <v>5.14</v>
      </c>
      <c r="E2752">
        <v>0</v>
      </c>
      <c r="F2752">
        <v>1.798</v>
      </c>
      <c r="G2752">
        <v>0</v>
      </c>
      <c r="H2752">
        <v>0.193</v>
      </c>
      <c r="I2752">
        <v>5.173</v>
      </c>
      <c r="K2752">
        <v>2750</v>
      </c>
      <c r="L2752">
        <v>43</v>
      </c>
      <c r="M2752" s="32">
        <v>2.7789999999999999</v>
      </c>
      <c r="N2752" s="47">
        <v>5.266</v>
      </c>
      <c r="P2752" s="47">
        <v>1.8</v>
      </c>
      <c r="R2752" s="47">
        <v>0.19600000000000001</v>
      </c>
      <c r="S2752" s="47">
        <v>5.008</v>
      </c>
      <c r="T2752" s="31">
        <v>0</v>
      </c>
      <c r="V2752">
        <v>2750</v>
      </c>
      <c r="W2752">
        <v>41</v>
      </c>
      <c r="X2752">
        <v>2.7909999999999999</v>
      </c>
      <c r="Y2752" s="32">
        <v>5.28</v>
      </c>
      <c r="Z2752">
        <v>0</v>
      </c>
      <c r="AA2752" s="32">
        <v>1.659</v>
      </c>
      <c r="AB2752">
        <v>0</v>
      </c>
      <c r="AC2752" s="34">
        <v>0.214</v>
      </c>
      <c r="AD2752" s="32">
        <v>4.633</v>
      </c>
    </row>
    <row r="2753" spans="1:30">
      <c r="A2753">
        <v>2751</v>
      </c>
      <c r="B2753">
        <v>44</v>
      </c>
      <c r="C2753">
        <v>2.78</v>
      </c>
      <c r="D2753">
        <v>5.28</v>
      </c>
      <c r="E2753">
        <v>0</v>
      </c>
      <c r="F2753">
        <v>1.8</v>
      </c>
      <c r="G2753">
        <v>0</v>
      </c>
      <c r="H2753">
        <v>0.19600000000000001</v>
      </c>
      <c r="I2753">
        <v>5.0110000000000001</v>
      </c>
      <c r="K2753">
        <v>2751</v>
      </c>
      <c r="L2753">
        <v>44</v>
      </c>
      <c r="M2753" s="32">
        <v>2.78</v>
      </c>
      <c r="N2753" s="32">
        <v>5.28</v>
      </c>
      <c r="P2753" s="32">
        <v>1.8</v>
      </c>
      <c r="R2753" s="32">
        <v>0.19600000000000001</v>
      </c>
      <c r="S2753" s="32">
        <v>5.0110000000000001</v>
      </c>
      <c r="T2753" s="31">
        <v>0</v>
      </c>
      <c r="V2753">
        <v>2751</v>
      </c>
      <c r="W2753">
        <v>41</v>
      </c>
      <c r="X2753">
        <v>2.7919999999999998</v>
      </c>
      <c r="Y2753" s="32">
        <v>5.28</v>
      </c>
      <c r="Z2753">
        <v>0</v>
      </c>
      <c r="AA2753" s="32">
        <v>1.66</v>
      </c>
      <c r="AB2753">
        <v>0</v>
      </c>
      <c r="AC2753" s="34">
        <v>0.214</v>
      </c>
      <c r="AD2753" s="32">
        <v>4.6349999999999998</v>
      </c>
    </row>
    <row r="2754" spans="1:30">
      <c r="A2754">
        <v>2752</v>
      </c>
      <c r="B2754">
        <v>44</v>
      </c>
      <c r="C2754">
        <v>2.7810000000000001</v>
      </c>
      <c r="D2754">
        <v>5.28</v>
      </c>
      <c r="E2754">
        <v>0</v>
      </c>
      <c r="F2754">
        <v>1.8</v>
      </c>
      <c r="G2754">
        <v>0</v>
      </c>
      <c r="H2754">
        <v>0.19600000000000001</v>
      </c>
      <c r="I2754">
        <v>5.0140000000000002</v>
      </c>
      <c r="K2754">
        <v>2752</v>
      </c>
      <c r="L2754">
        <v>44</v>
      </c>
      <c r="M2754" s="32">
        <v>2.7810000000000001</v>
      </c>
      <c r="N2754" s="32">
        <v>5.28</v>
      </c>
      <c r="P2754" s="32">
        <v>1.8</v>
      </c>
      <c r="R2754" s="32">
        <v>0.19600000000000001</v>
      </c>
      <c r="S2754" s="47">
        <v>5.0129999999999999</v>
      </c>
      <c r="T2754" s="31">
        <v>0</v>
      </c>
      <c r="V2754">
        <v>2752</v>
      </c>
      <c r="W2754">
        <v>41</v>
      </c>
      <c r="X2754">
        <v>2.7930000000000001</v>
      </c>
      <c r="Y2754" s="32">
        <v>5.28</v>
      </c>
      <c r="Z2754">
        <v>0</v>
      </c>
      <c r="AA2754" s="32">
        <v>1.66</v>
      </c>
      <c r="AB2754">
        <v>0</v>
      </c>
      <c r="AC2754" s="34">
        <v>0.214</v>
      </c>
      <c r="AD2754" s="32">
        <v>4.6369999999999996</v>
      </c>
    </row>
    <row r="2755" spans="1:30">
      <c r="A2755">
        <v>2753</v>
      </c>
      <c r="B2755">
        <v>44</v>
      </c>
      <c r="C2755">
        <v>2.782</v>
      </c>
      <c r="D2755">
        <v>5.29</v>
      </c>
      <c r="E2755">
        <v>0</v>
      </c>
      <c r="F2755">
        <v>1.8009999999999999</v>
      </c>
      <c r="G2755">
        <v>0</v>
      </c>
      <c r="H2755">
        <v>0.19600000000000001</v>
      </c>
      <c r="I2755">
        <v>5.016</v>
      </c>
      <c r="K2755">
        <v>2753</v>
      </c>
      <c r="L2755">
        <v>44</v>
      </c>
      <c r="M2755" s="32">
        <v>2.782</v>
      </c>
      <c r="N2755" s="47">
        <v>5.28</v>
      </c>
      <c r="P2755" s="32">
        <v>1.8009999999999999</v>
      </c>
      <c r="R2755" s="32">
        <v>0.19600000000000001</v>
      </c>
      <c r="S2755" s="47">
        <v>5.0149999999999997</v>
      </c>
      <c r="T2755" s="31">
        <v>0</v>
      </c>
      <c r="V2755">
        <v>2753</v>
      </c>
      <c r="W2755">
        <v>41</v>
      </c>
      <c r="X2755">
        <v>2.794</v>
      </c>
      <c r="Y2755" s="32">
        <v>5.28</v>
      </c>
      <c r="Z2755">
        <v>0</v>
      </c>
      <c r="AA2755" s="32">
        <v>1.66</v>
      </c>
      <c r="AB2755">
        <v>0</v>
      </c>
      <c r="AC2755" s="34">
        <v>0.214</v>
      </c>
      <c r="AD2755" s="32">
        <v>4.6399999999999997</v>
      </c>
    </row>
    <row r="2756" spans="1:30">
      <c r="A2756">
        <v>2754</v>
      </c>
      <c r="B2756">
        <v>44</v>
      </c>
      <c r="C2756">
        <v>2.7829999999999999</v>
      </c>
      <c r="D2756">
        <v>5.29</v>
      </c>
      <c r="E2756">
        <v>0</v>
      </c>
      <c r="F2756">
        <v>1.8009999999999999</v>
      </c>
      <c r="G2756">
        <v>0</v>
      </c>
      <c r="H2756">
        <v>0.19600000000000001</v>
      </c>
      <c r="I2756">
        <v>5.0190000000000001</v>
      </c>
      <c r="K2756">
        <v>2754</v>
      </c>
      <c r="L2756">
        <v>44</v>
      </c>
      <c r="M2756" s="32">
        <v>2.7829999999999999</v>
      </c>
      <c r="N2756" s="47">
        <v>5.28</v>
      </c>
      <c r="P2756" s="32">
        <v>1.8009999999999999</v>
      </c>
      <c r="R2756" s="32">
        <v>0.19600000000000001</v>
      </c>
      <c r="S2756" s="47">
        <v>5.016</v>
      </c>
      <c r="T2756" s="31">
        <v>0</v>
      </c>
      <c r="V2756">
        <v>2754</v>
      </c>
      <c r="W2756">
        <v>41</v>
      </c>
      <c r="X2756">
        <v>2.7949999999999999</v>
      </c>
      <c r="Y2756" s="32">
        <v>5.28</v>
      </c>
      <c r="Z2756">
        <v>0</v>
      </c>
      <c r="AA2756" s="32">
        <v>1.66</v>
      </c>
      <c r="AB2756">
        <v>0</v>
      </c>
      <c r="AC2756" s="34">
        <v>0.214</v>
      </c>
      <c r="AD2756" s="32">
        <v>4.6420000000000003</v>
      </c>
    </row>
    <row r="2757" spans="1:30">
      <c r="A2757">
        <v>2755</v>
      </c>
      <c r="B2757">
        <v>44</v>
      </c>
      <c r="C2757">
        <v>2.7839999999999998</v>
      </c>
      <c r="D2757">
        <v>5.29</v>
      </c>
      <c r="E2757">
        <v>0</v>
      </c>
      <c r="F2757">
        <v>1.8009999999999999</v>
      </c>
      <c r="G2757">
        <v>0</v>
      </c>
      <c r="H2757">
        <v>0.19600000000000001</v>
      </c>
      <c r="I2757">
        <v>5.0209999999999999</v>
      </c>
      <c r="K2757">
        <v>2755</v>
      </c>
      <c r="L2757">
        <v>44</v>
      </c>
      <c r="M2757" s="32">
        <v>2.7839999999999998</v>
      </c>
      <c r="N2757" s="47">
        <v>5.28</v>
      </c>
      <c r="P2757" s="32">
        <v>1.8009999999999999</v>
      </c>
      <c r="R2757" s="32">
        <v>0.19600000000000001</v>
      </c>
      <c r="S2757" s="47">
        <v>5.0179999999999998</v>
      </c>
      <c r="T2757" s="31">
        <v>0</v>
      </c>
      <c r="V2757">
        <v>2755</v>
      </c>
      <c r="W2757">
        <v>41</v>
      </c>
      <c r="X2757">
        <v>2.7959999999999998</v>
      </c>
      <c r="Y2757" s="32">
        <v>5.28</v>
      </c>
      <c r="Z2757">
        <v>0</v>
      </c>
      <c r="AA2757" s="32">
        <v>1.661</v>
      </c>
      <c r="AB2757">
        <v>0</v>
      </c>
      <c r="AC2757" s="34">
        <v>0.214</v>
      </c>
      <c r="AD2757" s="32">
        <v>4.6440000000000001</v>
      </c>
    </row>
    <row r="2758" spans="1:30">
      <c r="A2758">
        <v>2756</v>
      </c>
      <c r="B2758">
        <v>44</v>
      </c>
      <c r="C2758">
        <v>2.7850000000000001</v>
      </c>
      <c r="D2758">
        <v>5.29</v>
      </c>
      <c r="E2758">
        <v>0</v>
      </c>
      <c r="F2758">
        <v>1.8009999999999999</v>
      </c>
      <c r="G2758">
        <v>0</v>
      </c>
      <c r="H2758">
        <v>0.19600000000000001</v>
      </c>
      <c r="I2758">
        <v>5.024</v>
      </c>
      <c r="K2758">
        <v>2756</v>
      </c>
      <c r="L2758">
        <v>44</v>
      </c>
      <c r="M2758" s="32">
        <v>2.7850000000000001</v>
      </c>
      <c r="N2758" s="47">
        <v>5.28</v>
      </c>
      <c r="P2758" s="47">
        <v>1.802</v>
      </c>
      <c r="R2758" s="32">
        <v>0.19600000000000001</v>
      </c>
      <c r="S2758" s="47">
        <v>5.0199999999999996</v>
      </c>
      <c r="T2758" s="31">
        <v>0</v>
      </c>
      <c r="V2758">
        <v>2756</v>
      </c>
      <c r="W2758">
        <v>41</v>
      </c>
      <c r="X2758">
        <v>2.7970000000000002</v>
      </c>
      <c r="Y2758" s="32">
        <v>5.28</v>
      </c>
      <c r="Z2758">
        <v>0</v>
      </c>
      <c r="AA2758" s="32">
        <v>1.661</v>
      </c>
      <c r="AB2758">
        <v>0</v>
      </c>
      <c r="AC2758" s="34">
        <v>0.214</v>
      </c>
      <c r="AD2758" s="32">
        <v>4.6470000000000002</v>
      </c>
    </row>
    <row r="2759" spans="1:30">
      <c r="A2759">
        <v>2757</v>
      </c>
      <c r="B2759">
        <v>44</v>
      </c>
      <c r="C2759">
        <v>2.786</v>
      </c>
      <c r="D2759">
        <v>5.3</v>
      </c>
      <c r="E2759">
        <v>0</v>
      </c>
      <c r="F2759">
        <v>1.802</v>
      </c>
      <c r="G2759">
        <v>0</v>
      </c>
      <c r="H2759">
        <v>0.19600000000000001</v>
      </c>
      <c r="I2759">
        <v>5.0259999999999998</v>
      </c>
      <c r="K2759">
        <v>2757</v>
      </c>
      <c r="L2759">
        <v>44</v>
      </c>
      <c r="M2759" s="32">
        <v>2.786</v>
      </c>
      <c r="N2759" s="47">
        <v>5.28</v>
      </c>
      <c r="P2759" s="32">
        <v>1.802</v>
      </c>
      <c r="R2759" s="32">
        <v>0.19600000000000001</v>
      </c>
      <c r="S2759" s="47">
        <v>5.0220000000000002</v>
      </c>
      <c r="T2759" s="31">
        <v>0</v>
      </c>
      <c r="V2759">
        <v>2757</v>
      </c>
      <c r="W2759">
        <v>41</v>
      </c>
      <c r="X2759">
        <v>2.798</v>
      </c>
      <c r="Y2759" s="32">
        <v>5.28</v>
      </c>
      <c r="Z2759">
        <v>0</v>
      </c>
      <c r="AA2759" s="32">
        <v>1.661</v>
      </c>
      <c r="AB2759">
        <v>0</v>
      </c>
      <c r="AC2759" s="34">
        <v>0.214</v>
      </c>
      <c r="AD2759" s="32">
        <v>4.649</v>
      </c>
    </row>
    <row r="2760" spans="1:30">
      <c r="A2760">
        <v>2758</v>
      </c>
      <c r="B2760">
        <v>44</v>
      </c>
      <c r="C2760">
        <v>2.7869999999999999</v>
      </c>
      <c r="D2760">
        <v>5.3</v>
      </c>
      <c r="E2760">
        <v>0</v>
      </c>
      <c r="F2760">
        <v>1.802</v>
      </c>
      <c r="G2760">
        <v>0</v>
      </c>
      <c r="H2760">
        <v>0.19600000000000001</v>
      </c>
      <c r="I2760">
        <v>5.0289999999999999</v>
      </c>
      <c r="K2760">
        <v>2758</v>
      </c>
      <c r="L2760">
        <v>44</v>
      </c>
      <c r="M2760" s="32">
        <v>2.7869999999999999</v>
      </c>
      <c r="N2760" s="47">
        <v>5.28</v>
      </c>
      <c r="P2760" s="32">
        <v>1.802</v>
      </c>
      <c r="R2760" s="32">
        <v>0.19600000000000001</v>
      </c>
      <c r="S2760" s="47">
        <v>5.024</v>
      </c>
      <c r="T2760" s="31">
        <v>0</v>
      </c>
      <c r="V2760">
        <v>2758</v>
      </c>
      <c r="W2760">
        <v>41</v>
      </c>
      <c r="X2760">
        <v>2.7989999999999999</v>
      </c>
      <c r="Y2760" s="32">
        <v>5.28</v>
      </c>
      <c r="Z2760">
        <v>0</v>
      </c>
      <c r="AA2760" s="32">
        <v>1.661</v>
      </c>
      <c r="AB2760">
        <v>0</v>
      </c>
      <c r="AC2760" s="34">
        <v>0.214</v>
      </c>
      <c r="AD2760" s="32">
        <v>4.6509999999999998</v>
      </c>
    </row>
    <row r="2761" spans="1:30">
      <c r="A2761">
        <v>2759</v>
      </c>
      <c r="B2761">
        <v>44</v>
      </c>
      <c r="C2761">
        <v>2.7879999999999998</v>
      </c>
      <c r="D2761">
        <v>5.3</v>
      </c>
      <c r="E2761">
        <v>0</v>
      </c>
      <c r="F2761">
        <v>1.802</v>
      </c>
      <c r="G2761">
        <v>0</v>
      </c>
      <c r="H2761">
        <v>0.19600000000000001</v>
      </c>
      <c r="I2761">
        <v>5.0309999999999997</v>
      </c>
      <c r="K2761">
        <v>2759</v>
      </c>
      <c r="L2761">
        <v>44</v>
      </c>
      <c r="M2761" s="32">
        <v>2.7879999999999998</v>
      </c>
      <c r="N2761" s="47">
        <v>5.28</v>
      </c>
      <c r="P2761" s="32">
        <v>1.802</v>
      </c>
      <c r="R2761" s="32">
        <v>0.19600000000000001</v>
      </c>
      <c r="S2761" s="47">
        <v>5.0250000000000004</v>
      </c>
      <c r="T2761" s="31">
        <v>0</v>
      </c>
      <c r="V2761">
        <v>2759</v>
      </c>
      <c r="W2761">
        <v>41</v>
      </c>
      <c r="X2761">
        <v>2.8</v>
      </c>
      <c r="Y2761" s="32">
        <v>5.28</v>
      </c>
      <c r="Z2761">
        <v>0</v>
      </c>
      <c r="AA2761" s="32">
        <v>1.6619999999999999</v>
      </c>
      <c r="AB2761">
        <v>0</v>
      </c>
      <c r="AC2761" s="34">
        <v>0.214</v>
      </c>
      <c r="AD2761" s="32">
        <v>4.6539999999999999</v>
      </c>
    </row>
    <row r="2762" spans="1:30">
      <c r="A2762">
        <v>2760</v>
      </c>
      <c r="B2762">
        <v>44</v>
      </c>
      <c r="C2762">
        <v>2.7890000000000001</v>
      </c>
      <c r="D2762">
        <v>5.3</v>
      </c>
      <c r="E2762">
        <v>0</v>
      </c>
      <c r="F2762">
        <v>1.802</v>
      </c>
      <c r="G2762">
        <v>0</v>
      </c>
      <c r="H2762">
        <v>0.19600000000000001</v>
      </c>
      <c r="I2762">
        <v>5.0339999999999998</v>
      </c>
      <c r="K2762">
        <v>2760</v>
      </c>
      <c r="L2762">
        <v>44</v>
      </c>
      <c r="M2762" s="32">
        <v>2.7890000000000001</v>
      </c>
      <c r="N2762" s="47">
        <v>5.28</v>
      </c>
      <c r="P2762" s="47">
        <v>1.8029999999999999</v>
      </c>
      <c r="R2762" s="32">
        <v>0.19600000000000001</v>
      </c>
      <c r="S2762" s="47">
        <v>5.0270000000000001</v>
      </c>
      <c r="T2762" s="31">
        <v>0</v>
      </c>
      <c r="V2762">
        <v>2760</v>
      </c>
      <c r="W2762">
        <v>41</v>
      </c>
      <c r="X2762">
        <v>2.8010000000000002</v>
      </c>
      <c r="Y2762" s="32">
        <v>5.28</v>
      </c>
      <c r="Z2762">
        <v>0</v>
      </c>
      <c r="AA2762" s="32">
        <v>1.6619999999999999</v>
      </c>
      <c r="AB2762">
        <v>0</v>
      </c>
      <c r="AC2762" s="34">
        <v>0.214</v>
      </c>
      <c r="AD2762" s="32">
        <v>4.6559999999999997</v>
      </c>
    </row>
    <row r="2763" spans="1:30">
      <c r="A2763">
        <v>2761</v>
      </c>
      <c r="B2763">
        <v>44</v>
      </c>
      <c r="C2763">
        <v>2.79</v>
      </c>
      <c r="D2763">
        <v>5.28</v>
      </c>
      <c r="E2763">
        <v>0</v>
      </c>
      <c r="F2763">
        <v>1.8029999999999999</v>
      </c>
      <c r="G2763">
        <v>0</v>
      </c>
      <c r="H2763">
        <v>0.19600000000000001</v>
      </c>
      <c r="I2763">
        <v>5.0289999999999999</v>
      </c>
      <c r="K2763">
        <v>2761</v>
      </c>
      <c r="L2763">
        <v>44</v>
      </c>
      <c r="M2763" s="32">
        <v>2.79</v>
      </c>
      <c r="N2763" s="32">
        <v>5.28</v>
      </c>
      <c r="P2763" s="32">
        <v>1.8029999999999999</v>
      </c>
      <c r="R2763" s="47">
        <v>0.19700000000000001</v>
      </c>
      <c r="S2763" s="32">
        <v>5.0289999999999999</v>
      </c>
      <c r="T2763" s="31">
        <v>0</v>
      </c>
      <c r="V2763">
        <v>2761</v>
      </c>
      <c r="W2763">
        <v>41</v>
      </c>
      <c r="X2763">
        <v>2.802</v>
      </c>
      <c r="Y2763" s="32">
        <v>5.28</v>
      </c>
      <c r="Z2763">
        <v>0</v>
      </c>
      <c r="AA2763" s="32">
        <v>1.6619999999999999</v>
      </c>
      <c r="AB2763">
        <v>0</v>
      </c>
      <c r="AC2763" s="34">
        <v>0.214</v>
      </c>
      <c r="AD2763" s="32">
        <v>4.6580000000000004</v>
      </c>
    </row>
    <row r="2764" spans="1:30">
      <c r="A2764">
        <v>2762</v>
      </c>
      <c r="B2764">
        <v>44</v>
      </c>
      <c r="C2764">
        <v>2.7909999999999999</v>
      </c>
      <c r="D2764">
        <v>5.28</v>
      </c>
      <c r="E2764">
        <v>0</v>
      </c>
      <c r="F2764">
        <v>1.8029999999999999</v>
      </c>
      <c r="G2764">
        <v>0</v>
      </c>
      <c r="H2764">
        <v>0.19600000000000001</v>
      </c>
      <c r="I2764">
        <v>5.0570000000000004</v>
      </c>
      <c r="K2764">
        <v>2762</v>
      </c>
      <c r="L2764">
        <v>44</v>
      </c>
      <c r="M2764" s="32">
        <v>2.7909999999999999</v>
      </c>
      <c r="N2764" s="32">
        <v>5.28</v>
      </c>
      <c r="P2764" s="32">
        <v>1.8029999999999999</v>
      </c>
      <c r="R2764" s="47">
        <v>0.19700000000000001</v>
      </c>
      <c r="S2764" s="47">
        <v>5.032</v>
      </c>
      <c r="T2764" s="31">
        <v>0</v>
      </c>
      <c r="V2764">
        <v>2762</v>
      </c>
      <c r="W2764">
        <v>41</v>
      </c>
      <c r="X2764">
        <v>2.8029999999999999</v>
      </c>
      <c r="Y2764" s="32">
        <v>5.28</v>
      </c>
      <c r="Z2764">
        <v>0</v>
      </c>
      <c r="AA2764" s="32">
        <v>1.6619999999999999</v>
      </c>
      <c r="AB2764">
        <v>0</v>
      </c>
      <c r="AC2764" s="34">
        <v>0.214</v>
      </c>
      <c r="AD2764" s="32">
        <v>4.6609999999999996</v>
      </c>
    </row>
    <row r="2765" spans="1:30">
      <c r="A2765">
        <v>2763</v>
      </c>
      <c r="B2765">
        <v>44</v>
      </c>
      <c r="C2765">
        <v>2.7919999999999998</v>
      </c>
      <c r="D2765">
        <v>5.28</v>
      </c>
      <c r="E2765">
        <v>0</v>
      </c>
      <c r="F2765">
        <v>1.8029999999999999</v>
      </c>
      <c r="G2765">
        <v>0</v>
      </c>
      <c r="H2765">
        <v>0.19600000000000001</v>
      </c>
      <c r="I2765">
        <v>5.0590000000000002</v>
      </c>
      <c r="K2765">
        <v>2763</v>
      </c>
      <c r="L2765">
        <v>44</v>
      </c>
      <c r="M2765" s="32">
        <v>2.7919999999999998</v>
      </c>
      <c r="N2765" s="32">
        <v>5.28</v>
      </c>
      <c r="P2765" s="32">
        <v>1.8029999999999999</v>
      </c>
      <c r="R2765" s="47">
        <v>0.19700000000000001</v>
      </c>
      <c r="S2765" s="47">
        <v>5.0339999999999998</v>
      </c>
      <c r="T2765" s="31">
        <v>0</v>
      </c>
      <c r="V2765">
        <v>2763</v>
      </c>
      <c r="W2765">
        <v>41</v>
      </c>
      <c r="X2765">
        <v>2.8039999999999998</v>
      </c>
      <c r="Y2765" s="32">
        <v>5.28</v>
      </c>
      <c r="Z2765">
        <v>0</v>
      </c>
      <c r="AA2765" s="32">
        <v>1.6619999999999999</v>
      </c>
      <c r="AB2765">
        <v>0</v>
      </c>
      <c r="AC2765" s="34">
        <v>0.214</v>
      </c>
      <c r="AD2765" s="32">
        <v>4.6630000000000003</v>
      </c>
    </row>
    <row r="2766" spans="1:30">
      <c r="A2766">
        <v>2764</v>
      </c>
      <c r="B2766">
        <v>44</v>
      </c>
      <c r="C2766">
        <v>2.7930000000000001</v>
      </c>
      <c r="D2766">
        <v>5.28</v>
      </c>
      <c r="E2766">
        <v>0</v>
      </c>
      <c r="F2766">
        <v>1.8029999999999999</v>
      </c>
      <c r="G2766">
        <v>0</v>
      </c>
      <c r="H2766">
        <v>0.19600000000000001</v>
      </c>
      <c r="I2766">
        <v>5.0620000000000003</v>
      </c>
      <c r="K2766">
        <v>2764</v>
      </c>
      <c r="L2766">
        <v>44</v>
      </c>
      <c r="M2766" s="32">
        <v>2.7930000000000001</v>
      </c>
      <c r="N2766" s="32">
        <v>5.28</v>
      </c>
      <c r="P2766" s="47">
        <v>1.804</v>
      </c>
      <c r="R2766" s="47">
        <v>0.19700000000000001</v>
      </c>
      <c r="S2766" s="47">
        <v>5.0369999999999999</v>
      </c>
      <c r="T2766" s="31">
        <v>0</v>
      </c>
      <c r="V2766">
        <v>2764</v>
      </c>
      <c r="W2766">
        <v>41</v>
      </c>
      <c r="X2766">
        <v>2.8050000000000002</v>
      </c>
      <c r="Y2766" s="32">
        <v>5.28</v>
      </c>
      <c r="Z2766">
        <v>0</v>
      </c>
      <c r="AA2766" s="32">
        <v>1.663</v>
      </c>
      <c r="AB2766">
        <v>0</v>
      </c>
      <c r="AC2766" s="34">
        <v>0.214</v>
      </c>
      <c r="AD2766" s="32">
        <v>4.665</v>
      </c>
    </row>
    <row r="2767" spans="1:30">
      <c r="A2767">
        <v>2765</v>
      </c>
      <c r="B2767">
        <v>44</v>
      </c>
      <c r="C2767">
        <v>2.794</v>
      </c>
      <c r="D2767">
        <v>5.28</v>
      </c>
      <c r="E2767">
        <v>0</v>
      </c>
      <c r="F2767">
        <v>1.8029999999999999</v>
      </c>
      <c r="G2767">
        <v>0</v>
      </c>
      <c r="H2767">
        <v>0.19600000000000001</v>
      </c>
      <c r="I2767">
        <v>5.0640000000000001</v>
      </c>
      <c r="K2767">
        <v>2765</v>
      </c>
      <c r="L2767">
        <v>44</v>
      </c>
      <c r="M2767" s="32">
        <v>2.794</v>
      </c>
      <c r="N2767" s="32">
        <v>5.28</v>
      </c>
      <c r="P2767" s="47">
        <v>1.804</v>
      </c>
      <c r="R2767" s="47">
        <v>0.19700000000000001</v>
      </c>
      <c r="S2767" s="47">
        <v>5.0389999999999997</v>
      </c>
      <c r="T2767" s="31">
        <v>0</v>
      </c>
      <c r="V2767">
        <v>2765</v>
      </c>
      <c r="W2767">
        <v>41</v>
      </c>
      <c r="X2767">
        <v>2.806</v>
      </c>
      <c r="Y2767" s="32">
        <v>5.28</v>
      </c>
      <c r="Z2767">
        <v>0</v>
      </c>
      <c r="AA2767" s="32">
        <v>1.663</v>
      </c>
      <c r="AB2767">
        <v>0</v>
      </c>
      <c r="AC2767" s="34">
        <v>0.214</v>
      </c>
      <c r="AD2767" s="32">
        <v>4.6680000000000001</v>
      </c>
    </row>
    <row r="2768" spans="1:30">
      <c r="A2768">
        <v>2766</v>
      </c>
      <c r="B2768">
        <v>44</v>
      </c>
      <c r="C2768">
        <v>2.7949999999999999</v>
      </c>
      <c r="D2768">
        <v>5.28</v>
      </c>
      <c r="E2768">
        <v>0</v>
      </c>
      <c r="F2768">
        <v>1.8029999999999999</v>
      </c>
      <c r="G2768">
        <v>0</v>
      </c>
      <c r="H2768">
        <v>0.19600000000000001</v>
      </c>
      <c r="I2768">
        <v>5.0670000000000002</v>
      </c>
      <c r="K2768">
        <v>2766</v>
      </c>
      <c r="L2768">
        <v>44</v>
      </c>
      <c r="M2768" s="32">
        <v>2.7949999999999999</v>
      </c>
      <c r="N2768" s="32">
        <v>5.28</v>
      </c>
      <c r="P2768" s="47">
        <v>1.804</v>
      </c>
      <c r="R2768" s="47">
        <v>0.19700000000000001</v>
      </c>
      <c r="S2768" s="47">
        <v>5.0419999999999998</v>
      </c>
      <c r="T2768" s="31">
        <v>0</v>
      </c>
      <c r="V2768">
        <v>2766</v>
      </c>
      <c r="W2768">
        <v>41</v>
      </c>
      <c r="X2768">
        <v>2.8069999999999999</v>
      </c>
      <c r="Y2768" s="32">
        <v>5.28</v>
      </c>
      <c r="Z2768">
        <v>0</v>
      </c>
      <c r="AA2768" s="32">
        <v>1.663</v>
      </c>
      <c r="AB2768">
        <v>0</v>
      </c>
      <c r="AC2768" s="34">
        <v>0.214</v>
      </c>
      <c r="AD2768" s="32">
        <v>4.67</v>
      </c>
    </row>
    <row r="2769" spans="1:30">
      <c r="A2769">
        <v>2767</v>
      </c>
      <c r="B2769">
        <v>44</v>
      </c>
      <c r="C2769">
        <v>2.7959999999999998</v>
      </c>
      <c r="D2769">
        <v>5.28</v>
      </c>
      <c r="E2769">
        <v>0</v>
      </c>
      <c r="F2769">
        <v>1.8029999999999999</v>
      </c>
      <c r="G2769">
        <v>0</v>
      </c>
      <c r="H2769">
        <v>0.19600000000000001</v>
      </c>
      <c r="I2769">
        <v>5.069</v>
      </c>
      <c r="K2769">
        <v>2767</v>
      </c>
      <c r="L2769">
        <v>44</v>
      </c>
      <c r="M2769" s="32">
        <v>2.7959999999999998</v>
      </c>
      <c r="N2769" s="32">
        <v>5.28</v>
      </c>
      <c r="P2769" s="47">
        <v>1.804</v>
      </c>
      <c r="R2769" s="47">
        <v>0.19700000000000001</v>
      </c>
      <c r="S2769" s="47">
        <v>5.0449999999999999</v>
      </c>
      <c r="T2769" s="31">
        <v>0</v>
      </c>
      <c r="V2769">
        <v>2767</v>
      </c>
      <c r="W2769">
        <v>41</v>
      </c>
      <c r="X2769">
        <v>2.8079999999999998</v>
      </c>
      <c r="Y2769" s="32">
        <v>5.28</v>
      </c>
      <c r="Z2769">
        <v>0</v>
      </c>
      <c r="AA2769" s="32">
        <v>1.663</v>
      </c>
      <c r="AB2769">
        <v>0</v>
      </c>
      <c r="AC2769" s="34">
        <v>0.214</v>
      </c>
      <c r="AD2769" s="32">
        <v>4.6719999999999997</v>
      </c>
    </row>
    <row r="2770" spans="1:30">
      <c r="A2770">
        <v>2768</v>
      </c>
      <c r="B2770">
        <v>44</v>
      </c>
      <c r="C2770">
        <v>2.7970000000000002</v>
      </c>
      <c r="D2770">
        <v>5.28</v>
      </c>
      <c r="E2770">
        <v>0</v>
      </c>
      <c r="F2770">
        <v>1.8029999999999999</v>
      </c>
      <c r="G2770">
        <v>0</v>
      </c>
      <c r="H2770">
        <v>0.19600000000000001</v>
      </c>
      <c r="I2770">
        <v>5.0720000000000001</v>
      </c>
      <c r="K2770">
        <v>2768</v>
      </c>
      <c r="L2770">
        <v>44</v>
      </c>
      <c r="M2770" s="32">
        <v>2.7970000000000002</v>
      </c>
      <c r="N2770" s="32">
        <v>5.28</v>
      </c>
      <c r="P2770" s="47">
        <v>1.804</v>
      </c>
      <c r="R2770" s="47">
        <v>0.19700000000000001</v>
      </c>
      <c r="S2770" s="47">
        <v>5.0469999999999997</v>
      </c>
      <c r="T2770" s="31">
        <v>0</v>
      </c>
      <c r="V2770">
        <v>2768</v>
      </c>
      <c r="W2770">
        <v>41</v>
      </c>
      <c r="X2770">
        <v>2.8090000000000002</v>
      </c>
      <c r="Y2770" s="32">
        <v>5.28</v>
      </c>
      <c r="Z2770">
        <v>0</v>
      </c>
      <c r="AA2770" s="32">
        <v>1.6639999999999999</v>
      </c>
      <c r="AB2770">
        <v>0</v>
      </c>
      <c r="AC2770" s="34">
        <v>0.214</v>
      </c>
      <c r="AD2770" s="32">
        <v>4.6749999999999998</v>
      </c>
    </row>
    <row r="2771" spans="1:30">
      <c r="A2771">
        <v>2769</v>
      </c>
      <c r="B2771">
        <v>44</v>
      </c>
      <c r="C2771">
        <v>2.798</v>
      </c>
      <c r="D2771">
        <v>5.28</v>
      </c>
      <c r="E2771">
        <v>0</v>
      </c>
      <c r="F2771">
        <v>1.8029999999999999</v>
      </c>
      <c r="G2771">
        <v>0</v>
      </c>
      <c r="H2771">
        <v>0.19600000000000001</v>
      </c>
      <c r="I2771">
        <v>5.0739999999999998</v>
      </c>
      <c r="K2771">
        <v>2769</v>
      </c>
      <c r="L2771">
        <v>44</v>
      </c>
      <c r="M2771" s="32">
        <v>2.798</v>
      </c>
      <c r="N2771" s="32">
        <v>5.28</v>
      </c>
      <c r="P2771" s="47">
        <v>1.8049999999999999</v>
      </c>
      <c r="R2771" s="47">
        <v>0.19700000000000001</v>
      </c>
      <c r="S2771" s="47">
        <v>5.05</v>
      </c>
      <c r="T2771" s="31">
        <v>0</v>
      </c>
      <c r="V2771">
        <v>2769</v>
      </c>
      <c r="W2771">
        <v>41</v>
      </c>
      <c r="X2771">
        <v>2.81</v>
      </c>
      <c r="Y2771" s="32">
        <v>5.28</v>
      </c>
      <c r="Z2771">
        <v>0</v>
      </c>
      <c r="AA2771" s="32">
        <v>1.6639999999999999</v>
      </c>
      <c r="AB2771">
        <v>0</v>
      </c>
      <c r="AC2771" s="34">
        <v>0.214</v>
      </c>
      <c r="AD2771" s="32">
        <v>4.6769999999999996</v>
      </c>
    </row>
    <row r="2772" spans="1:30">
      <c r="A2772">
        <v>2770</v>
      </c>
      <c r="B2772">
        <v>44</v>
      </c>
      <c r="C2772">
        <v>2.7989999999999999</v>
      </c>
      <c r="D2772">
        <v>5.28</v>
      </c>
      <c r="E2772">
        <v>0</v>
      </c>
      <c r="F2772">
        <v>1.8029999999999999</v>
      </c>
      <c r="G2772">
        <v>0</v>
      </c>
      <c r="H2772">
        <v>0.19600000000000001</v>
      </c>
      <c r="I2772">
        <v>5.077</v>
      </c>
      <c r="K2772">
        <v>2770</v>
      </c>
      <c r="L2772">
        <v>44</v>
      </c>
      <c r="M2772" s="32">
        <v>2.7989999999999999</v>
      </c>
      <c r="N2772" s="32">
        <v>5.28</v>
      </c>
      <c r="P2772" s="47">
        <v>1.8049999999999999</v>
      </c>
      <c r="R2772" s="47">
        <v>0.19700000000000001</v>
      </c>
      <c r="S2772" s="47">
        <v>5.0519999999999996</v>
      </c>
      <c r="T2772" s="31">
        <v>0</v>
      </c>
      <c r="V2772">
        <v>2770</v>
      </c>
      <c r="W2772">
        <v>41</v>
      </c>
      <c r="X2772">
        <v>2.8109999999999999</v>
      </c>
      <c r="Y2772" s="32">
        <v>5.28</v>
      </c>
      <c r="Z2772">
        <v>0</v>
      </c>
      <c r="AA2772" s="32">
        <v>1.6639999999999999</v>
      </c>
      <c r="AB2772">
        <v>0</v>
      </c>
      <c r="AC2772" s="34">
        <v>0.215</v>
      </c>
      <c r="AD2772" s="32">
        <v>4.6790000000000003</v>
      </c>
    </row>
    <row r="2773" spans="1:30">
      <c r="A2773">
        <v>2771</v>
      </c>
      <c r="B2773">
        <v>44</v>
      </c>
      <c r="C2773">
        <v>2.8</v>
      </c>
      <c r="D2773">
        <v>5.28</v>
      </c>
      <c r="E2773">
        <v>0</v>
      </c>
      <c r="F2773">
        <v>1.8049999999999999</v>
      </c>
      <c r="G2773">
        <v>0</v>
      </c>
      <c r="H2773">
        <v>0.19600000000000001</v>
      </c>
      <c r="I2773">
        <v>5.0549999999999997</v>
      </c>
      <c r="K2773">
        <v>2771</v>
      </c>
      <c r="L2773">
        <v>44</v>
      </c>
      <c r="M2773" s="32">
        <v>2.8</v>
      </c>
      <c r="N2773" s="32">
        <v>5.28</v>
      </c>
      <c r="P2773" s="32">
        <v>1.8049999999999999</v>
      </c>
      <c r="R2773" s="47">
        <v>0.19700000000000001</v>
      </c>
      <c r="S2773" s="32">
        <v>5.0549999999999997</v>
      </c>
      <c r="T2773" s="31">
        <v>0</v>
      </c>
      <c r="V2773">
        <v>2771</v>
      </c>
      <c r="W2773">
        <v>41</v>
      </c>
      <c r="X2773">
        <v>2.8119999999999998</v>
      </c>
      <c r="Y2773" s="32">
        <v>5.28</v>
      </c>
      <c r="Z2773">
        <v>0</v>
      </c>
      <c r="AA2773" s="32">
        <v>1.6639999999999999</v>
      </c>
      <c r="AB2773">
        <v>0</v>
      </c>
      <c r="AC2773" s="34">
        <v>0.215</v>
      </c>
      <c r="AD2773" s="32">
        <v>4.681</v>
      </c>
    </row>
    <row r="2774" spans="1:30">
      <c r="A2774">
        <v>2772</v>
      </c>
      <c r="B2774">
        <v>44</v>
      </c>
      <c r="C2774">
        <v>2.8010000000000002</v>
      </c>
      <c r="D2774">
        <v>5.28</v>
      </c>
      <c r="E2774">
        <v>0</v>
      </c>
      <c r="F2774">
        <v>1.8049999999999999</v>
      </c>
      <c r="G2774">
        <v>0</v>
      </c>
      <c r="H2774">
        <v>0.19600000000000001</v>
      </c>
      <c r="I2774">
        <v>5.1079999999999997</v>
      </c>
      <c r="K2774">
        <v>2772</v>
      </c>
      <c r="L2774">
        <v>44</v>
      </c>
      <c r="M2774" s="32">
        <v>2.8010000000000002</v>
      </c>
      <c r="N2774" s="32">
        <v>5.28</v>
      </c>
      <c r="P2774" s="32">
        <v>1.8049999999999999</v>
      </c>
      <c r="R2774" s="47">
        <v>0.19700000000000001</v>
      </c>
      <c r="S2774" s="47">
        <v>5.0579999999999998</v>
      </c>
      <c r="T2774" s="31">
        <v>0</v>
      </c>
      <c r="V2774">
        <v>2772</v>
      </c>
      <c r="W2774">
        <v>41</v>
      </c>
      <c r="X2774">
        <v>2.8130000000000002</v>
      </c>
      <c r="Y2774" s="32">
        <v>5.28</v>
      </c>
      <c r="Z2774">
        <v>0</v>
      </c>
      <c r="AA2774" s="32">
        <v>1.665</v>
      </c>
      <c r="AB2774">
        <v>0</v>
      </c>
      <c r="AC2774" s="34">
        <v>0.215</v>
      </c>
      <c r="AD2774" s="32">
        <v>4.6840000000000002</v>
      </c>
    </row>
    <row r="2775" spans="1:30">
      <c r="A2775">
        <v>2773</v>
      </c>
      <c r="B2775">
        <v>44</v>
      </c>
      <c r="C2775">
        <v>2.802</v>
      </c>
      <c r="D2775">
        <v>5.28</v>
      </c>
      <c r="E2775">
        <v>0</v>
      </c>
      <c r="F2775">
        <v>1.8049999999999999</v>
      </c>
      <c r="G2775">
        <v>0</v>
      </c>
      <c r="H2775">
        <v>0.19600000000000001</v>
      </c>
      <c r="I2775">
        <v>5.1100000000000003</v>
      </c>
      <c r="K2775">
        <v>2773</v>
      </c>
      <c r="L2775">
        <v>44</v>
      </c>
      <c r="M2775" s="32">
        <v>2.802</v>
      </c>
      <c r="N2775" s="32">
        <v>5.28</v>
      </c>
      <c r="P2775" s="47">
        <v>1.806</v>
      </c>
      <c r="R2775" s="47">
        <v>0.19700000000000001</v>
      </c>
      <c r="S2775" s="47">
        <v>5.0599999999999996</v>
      </c>
      <c r="T2775" s="31">
        <v>0</v>
      </c>
      <c r="V2775">
        <v>2773</v>
      </c>
      <c r="W2775">
        <v>41</v>
      </c>
      <c r="X2775">
        <v>2.8140000000000001</v>
      </c>
      <c r="Y2775" s="32">
        <v>5.28</v>
      </c>
      <c r="Z2775">
        <v>0</v>
      </c>
      <c r="AA2775" s="32">
        <v>1.665</v>
      </c>
      <c r="AB2775">
        <v>0</v>
      </c>
      <c r="AC2775" s="34">
        <v>0.215</v>
      </c>
      <c r="AD2775" s="32">
        <v>4.6859999999999999</v>
      </c>
    </row>
    <row r="2776" spans="1:30">
      <c r="A2776">
        <v>2774</v>
      </c>
      <c r="B2776">
        <v>44</v>
      </c>
      <c r="C2776">
        <v>2.8029999999999999</v>
      </c>
      <c r="D2776">
        <v>5.28</v>
      </c>
      <c r="E2776">
        <v>0</v>
      </c>
      <c r="F2776">
        <v>1.8049999999999999</v>
      </c>
      <c r="G2776">
        <v>0</v>
      </c>
      <c r="H2776">
        <v>0.19600000000000001</v>
      </c>
      <c r="I2776">
        <v>5.1130000000000004</v>
      </c>
      <c r="K2776">
        <v>2774</v>
      </c>
      <c r="L2776">
        <v>44</v>
      </c>
      <c r="M2776" s="32">
        <v>2.8029999999999999</v>
      </c>
      <c r="N2776" s="32">
        <v>5.28</v>
      </c>
      <c r="P2776" s="47">
        <v>1.806</v>
      </c>
      <c r="R2776" s="47">
        <v>0.19700000000000001</v>
      </c>
      <c r="S2776" s="47">
        <v>5.0629999999999997</v>
      </c>
      <c r="T2776" s="31">
        <v>0</v>
      </c>
      <c r="V2776">
        <v>2774</v>
      </c>
      <c r="W2776">
        <v>41</v>
      </c>
      <c r="X2776">
        <v>2.8149999999999999</v>
      </c>
      <c r="Y2776" s="32">
        <v>5.28</v>
      </c>
      <c r="Z2776">
        <v>0</v>
      </c>
      <c r="AA2776" s="32">
        <v>1.665</v>
      </c>
      <c r="AB2776">
        <v>0</v>
      </c>
      <c r="AC2776" s="34">
        <v>0.215</v>
      </c>
      <c r="AD2776" s="32">
        <v>4.6879999999999997</v>
      </c>
    </row>
    <row r="2777" spans="1:30">
      <c r="A2777">
        <v>2775</v>
      </c>
      <c r="B2777">
        <v>44</v>
      </c>
      <c r="C2777">
        <v>2.8039999999999998</v>
      </c>
      <c r="D2777">
        <v>5.28</v>
      </c>
      <c r="E2777">
        <v>0</v>
      </c>
      <c r="F2777">
        <v>1.8049999999999999</v>
      </c>
      <c r="G2777">
        <v>0</v>
      </c>
      <c r="H2777">
        <v>0.19600000000000001</v>
      </c>
      <c r="I2777">
        <v>5.1150000000000002</v>
      </c>
      <c r="K2777">
        <v>2775</v>
      </c>
      <c r="L2777">
        <v>44</v>
      </c>
      <c r="M2777" s="32">
        <v>2.8039999999999998</v>
      </c>
      <c r="N2777" s="32">
        <v>5.28</v>
      </c>
      <c r="P2777" s="47">
        <v>1.806</v>
      </c>
      <c r="R2777" s="47">
        <v>0.19700000000000001</v>
      </c>
      <c r="S2777" s="47">
        <v>5.0650000000000004</v>
      </c>
      <c r="T2777" s="31">
        <v>0</v>
      </c>
      <c r="V2777">
        <v>2775</v>
      </c>
      <c r="W2777">
        <v>41</v>
      </c>
      <c r="X2777">
        <v>2.8159999999999998</v>
      </c>
      <c r="Y2777" s="32">
        <v>5.28</v>
      </c>
      <c r="Z2777">
        <v>0</v>
      </c>
      <c r="AA2777" s="32">
        <v>1.665</v>
      </c>
      <c r="AB2777">
        <v>0</v>
      </c>
      <c r="AC2777" s="34">
        <v>0.215</v>
      </c>
      <c r="AD2777" s="32">
        <v>4.6909999999999998</v>
      </c>
    </row>
    <row r="2778" spans="1:30">
      <c r="A2778">
        <v>2776</v>
      </c>
      <c r="B2778">
        <v>44</v>
      </c>
      <c r="C2778">
        <v>2.8050000000000002</v>
      </c>
      <c r="D2778">
        <v>5.28</v>
      </c>
      <c r="E2778">
        <v>0</v>
      </c>
      <c r="F2778">
        <v>1.8049999999999999</v>
      </c>
      <c r="G2778">
        <v>0</v>
      </c>
      <c r="H2778">
        <v>0.19600000000000001</v>
      </c>
      <c r="I2778">
        <v>5.1180000000000003</v>
      </c>
      <c r="K2778">
        <v>2776</v>
      </c>
      <c r="L2778">
        <v>44</v>
      </c>
      <c r="M2778" s="32">
        <v>2.8050000000000002</v>
      </c>
      <c r="N2778" s="32">
        <v>5.28</v>
      </c>
      <c r="P2778" s="47">
        <v>1.8069999999999999</v>
      </c>
      <c r="R2778" s="47">
        <v>0.19700000000000001</v>
      </c>
      <c r="S2778" s="47">
        <v>5.0679999999999996</v>
      </c>
      <c r="T2778" s="31">
        <v>0</v>
      </c>
      <c r="V2778">
        <v>2776</v>
      </c>
      <c r="W2778">
        <v>41</v>
      </c>
      <c r="X2778">
        <v>2.8170000000000002</v>
      </c>
      <c r="Y2778" s="32">
        <v>5.28</v>
      </c>
      <c r="Z2778">
        <v>0</v>
      </c>
      <c r="AA2778" s="32">
        <v>1.6659999999999999</v>
      </c>
      <c r="AB2778">
        <v>0</v>
      </c>
      <c r="AC2778" s="34">
        <v>0.215</v>
      </c>
      <c r="AD2778" s="32">
        <v>4.6929999999999996</v>
      </c>
    </row>
    <row r="2779" spans="1:30">
      <c r="A2779">
        <v>2777</v>
      </c>
      <c r="B2779">
        <v>44</v>
      </c>
      <c r="C2779">
        <v>2.806</v>
      </c>
      <c r="D2779">
        <v>5.28</v>
      </c>
      <c r="E2779">
        <v>0</v>
      </c>
      <c r="F2779">
        <v>1.8049999999999999</v>
      </c>
      <c r="G2779">
        <v>0</v>
      </c>
      <c r="H2779">
        <v>0.19600000000000001</v>
      </c>
      <c r="I2779">
        <v>5.12</v>
      </c>
      <c r="K2779">
        <v>2777</v>
      </c>
      <c r="L2779">
        <v>44</v>
      </c>
      <c r="M2779" s="32">
        <v>2.806</v>
      </c>
      <c r="N2779" s="32">
        <v>5.28</v>
      </c>
      <c r="P2779" s="47">
        <v>1.8069999999999999</v>
      </c>
      <c r="R2779" s="47">
        <v>0.19700000000000001</v>
      </c>
      <c r="S2779" s="47">
        <v>5.07</v>
      </c>
      <c r="T2779" s="31">
        <v>0</v>
      </c>
      <c r="V2779">
        <v>2777</v>
      </c>
      <c r="W2779">
        <v>41</v>
      </c>
      <c r="X2779">
        <v>2.8180000000000001</v>
      </c>
      <c r="Y2779" s="32">
        <v>5.28</v>
      </c>
      <c r="Z2779">
        <v>0</v>
      </c>
      <c r="AA2779" s="32">
        <v>1.6659999999999999</v>
      </c>
      <c r="AB2779">
        <v>0</v>
      </c>
      <c r="AC2779" s="34">
        <v>0.215</v>
      </c>
      <c r="AD2779" s="32">
        <v>4.6950000000000003</v>
      </c>
    </row>
    <row r="2780" spans="1:30">
      <c r="A2780">
        <v>2778</v>
      </c>
      <c r="B2780">
        <v>44</v>
      </c>
      <c r="C2780">
        <v>2.8069999999999999</v>
      </c>
      <c r="D2780">
        <v>5.28</v>
      </c>
      <c r="E2780">
        <v>0</v>
      </c>
      <c r="F2780">
        <v>1.8049999999999999</v>
      </c>
      <c r="G2780">
        <v>0</v>
      </c>
      <c r="H2780">
        <v>0.19600000000000001</v>
      </c>
      <c r="I2780">
        <v>5.1230000000000002</v>
      </c>
      <c r="K2780">
        <v>2778</v>
      </c>
      <c r="L2780">
        <v>44</v>
      </c>
      <c r="M2780" s="32">
        <v>2.8069999999999999</v>
      </c>
      <c r="N2780" s="32">
        <v>5.28</v>
      </c>
      <c r="P2780" s="47">
        <v>1.8069999999999999</v>
      </c>
      <c r="R2780" s="47">
        <v>0.19700000000000001</v>
      </c>
      <c r="S2780" s="47">
        <v>5.0730000000000004</v>
      </c>
      <c r="T2780" s="31">
        <v>0</v>
      </c>
      <c r="V2780">
        <v>2778</v>
      </c>
      <c r="W2780">
        <v>41</v>
      </c>
      <c r="X2780">
        <v>2.819</v>
      </c>
      <c r="Y2780" s="32">
        <v>5.28</v>
      </c>
      <c r="Z2780">
        <v>0</v>
      </c>
      <c r="AA2780" s="32">
        <v>1.6659999999999999</v>
      </c>
      <c r="AB2780">
        <v>0</v>
      </c>
      <c r="AC2780" s="34">
        <v>0.215</v>
      </c>
      <c r="AD2780" s="32">
        <v>4.6980000000000004</v>
      </c>
    </row>
    <row r="2781" spans="1:30">
      <c r="A2781">
        <v>2779</v>
      </c>
      <c r="B2781">
        <v>44</v>
      </c>
      <c r="C2781">
        <v>2.8079999999999998</v>
      </c>
      <c r="D2781">
        <v>5.28</v>
      </c>
      <c r="E2781">
        <v>0</v>
      </c>
      <c r="F2781">
        <v>1.8049999999999999</v>
      </c>
      <c r="G2781">
        <v>0</v>
      </c>
      <c r="H2781">
        <v>0.19600000000000001</v>
      </c>
      <c r="I2781">
        <v>5.125</v>
      </c>
      <c r="K2781">
        <v>2779</v>
      </c>
      <c r="L2781">
        <v>44</v>
      </c>
      <c r="M2781" s="32">
        <v>2.8079999999999998</v>
      </c>
      <c r="N2781" s="32">
        <v>5.28</v>
      </c>
      <c r="P2781" s="47">
        <v>1.8069999999999999</v>
      </c>
      <c r="R2781" s="47">
        <v>0.19700000000000001</v>
      </c>
      <c r="S2781" s="47">
        <v>5.0750000000000002</v>
      </c>
      <c r="T2781" s="31">
        <v>0</v>
      </c>
      <c r="V2781">
        <v>2779</v>
      </c>
      <c r="W2781">
        <v>41</v>
      </c>
      <c r="X2781">
        <v>2.82</v>
      </c>
      <c r="Y2781" s="32">
        <v>5.28</v>
      </c>
      <c r="Z2781">
        <v>0</v>
      </c>
      <c r="AA2781" s="32">
        <v>1.6659999999999999</v>
      </c>
      <c r="AB2781">
        <v>0</v>
      </c>
      <c r="AC2781" s="34">
        <v>0.215</v>
      </c>
      <c r="AD2781" s="32">
        <v>4.7</v>
      </c>
    </row>
    <row r="2782" spans="1:30">
      <c r="A2782">
        <v>2780</v>
      </c>
      <c r="B2782">
        <v>44</v>
      </c>
      <c r="C2782">
        <v>2.8090000000000002</v>
      </c>
      <c r="D2782">
        <v>5.28</v>
      </c>
      <c r="E2782">
        <v>0</v>
      </c>
      <c r="F2782">
        <v>1.8049999999999999</v>
      </c>
      <c r="G2782">
        <v>0</v>
      </c>
      <c r="H2782">
        <v>0.19600000000000001</v>
      </c>
      <c r="I2782">
        <v>5.1280000000000001</v>
      </c>
      <c r="K2782">
        <v>2780</v>
      </c>
      <c r="L2782">
        <v>44</v>
      </c>
      <c r="M2782" s="32">
        <v>2.8090000000000002</v>
      </c>
      <c r="N2782" s="32">
        <v>5.28</v>
      </c>
      <c r="P2782" s="47">
        <v>1.8080000000000001</v>
      </c>
      <c r="R2782" s="47">
        <v>0.19700000000000001</v>
      </c>
      <c r="S2782" s="47">
        <v>5.0780000000000003</v>
      </c>
      <c r="T2782" s="31">
        <v>0</v>
      </c>
      <c r="V2782">
        <v>2780</v>
      </c>
      <c r="W2782">
        <v>41</v>
      </c>
      <c r="X2782">
        <v>2.8210000000000002</v>
      </c>
      <c r="Y2782" s="32">
        <v>5.28</v>
      </c>
      <c r="Z2782">
        <v>0</v>
      </c>
      <c r="AA2782" s="32">
        <v>1.6659999999999999</v>
      </c>
      <c r="AB2782">
        <v>0</v>
      </c>
      <c r="AC2782" s="34">
        <v>0.215</v>
      </c>
      <c r="AD2782" s="32">
        <v>4.702</v>
      </c>
    </row>
    <row r="2783" spans="1:30">
      <c r="A2783">
        <v>2781</v>
      </c>
      <c r="B2783">
        <v>44</v>
      </c>
      <c r="C2783">
        <v>2.81</v>
      </c>
      <c r="D2783">
        <v>5.28</v>
      </c>
      <c r="E2783">
        <v>0</v>
      </c>
      <c r="F2783">
        <v>1.8080000000000001</v>
      </c>
      <c r="G2783">
        <v>0</v>
      </c>
      <c r="H2783">
        <v>0.19600000000000001</v>
      </c>
      <c r="I2783">
        <v>5.08</v>
      </c>
      <c r="K2783">
        <v>2781</v>
      </c>
      <c r="L2783">
        <v>44</v>
      </c>
      <c r="M2783" s="32">
        <v>2.81</v>
      </c>
      <c r="N2783" s="32">
        <v>5.28</v>
      </c>
      <c r="P2783" s="32">
        <v>1.8080000000000001</v>
      </c>
      <c r="R2783" s="47">
        <v>0.19800000000000001</v>
      </c>
      <c r="S2783" s="32">
        <v>5.08</v>
      </c>
      <c r="T2783" s="31">
        <v>0</v>
      </c>
      <c r="V2783">
        <v>2781</v>
      </c>
      <c r="W2783">
        <v>41</v>
      </c>
      <c r="X2783">
        <v>2.8220000000000001</v>
      </c>
      <c r="Y2783" s="32">
        <v>5.28</v>
      </c>
      <c r="Z2783">
        <v>0</v>
      </c>
      <c r="AA2783" s="32">
        <v>1.667</v>
      </c>
      <c r="AB2783">
        <v>0</v>
      </c>
      <c r="AC2783" s="34">
        <v>0.215</v>
      </c>
      <c r="AD2783" s="32">
        <v>4.7050000000000001</v>
      </c>
    </row>
    <row r="2784" spans="1:30">
      <c r="A2784">
        <v>2782</v>
      </c>
      <c r="B2784">
        <v>44</v>
      </c>
      <c r="C2784">
        <v>2.8109999999999999</v>
      </c>
      <c r="D2784">
        <v>5.28</v>
      </c>
      <c r="E2784">
        <v>0</v>
      </c>
      <c r="F2784">
        <v>1.8080000000000001</v>
      </c>
      <c r="G2784">
        <v>0</v>
      </c>
      <c r="H2784">
        <v>0.19600000000000001</v>
      </c>
      <c r="I2784">
        <v>5.1580000000000004</v>
      </c>
      <c r="K2784">
        <v>2782</v>
      </c>
      <c r="L2784">
        <v>44</v>
      </c>
      <c r="M2784" s="32">
        <v>2.8109999999999999</v>
      </c>
      <c r="N2784" s="32">
        <v>5.28</v>
      </c>
      <c r="P2784" s="32">
        <v>1.8080000000000001</v>
      </c>
      <c r="R2784" s="47">
        <v>0.19800000000000001</v>
      </c>
      <c r="S2784" s="47">
        <v>5.0830000000000002</v>
      </c>
      <c r="T2784" s="31">
        <v>0</v>
      </c>
      <c r="V2784">
        <v>2782</v>
      </c>
      <c r="W2784">
        <v>41</v>
      </c>
      <c r="X2784">
        <v>2.823</v>
      </c>
      <c r="Y2784" s="32">
        <v>5.28</v>
      </c>
      <c r="Z2784">
        <v>0</v>
      </c>
      <c r="AA2784" s="32">
        <v>1.667</v>
      </c>
      <c r="AB2784">
        <v>0</v>
      </c>
      <c r="AC2784" s="34">
        <v>0.215</v>
      </c>
      <c r="AD2784" s="32">
        <v>4.7069999999999999</v>
      </c>
    </row>
    <row r="2785" spans="1:30">
      <c r="A2785">
        <v>2783</v>
      </c>
      <c r="B2785">
        <v>44</v>
      </c>
      <c r="C2785">
        <v>2.8119999999999998</v>
      </c>
      <c r="D2785">
        <v>5.28</v>
      </c>
      <c r="E2785">
        <v>0</v>
      </c>
      <c r="F2785">
        <v>1.8080000000000001</v>
      </c>
      <c r="G2785">
        <v>0</v>
      </c>
      <c r="H2785">
        <v>0.19600000000000001</v>
      </c>
      <c r="I2785">
        <v>5.16</v>
      </c>
      <c r="K2785">
        <v>2783</v>
      </c>
      <c r="L2785">
        <v>44</v>
      </c>
      <c r="M2785" s="32">
        <v>2.8119999999999998</v>
      </c>
      <c r="N2785" s="32">
        <v>5.28</v>
      </c>
      <c r="P2785" s="47">
        <v>1.8089999999999999</v>
      </c>
      <c r="R2785" s="47">
        <v>0.19800000000000001</v>
      </c>
      <c r="S2785" s="47">
        <v>5.085</v>
      </c>
      <c r="T2785" s="31">
        <v>0</v>
      </c>
      <c r="V2785">
        <v>2783</v>
      </c>
      <c r="W2785">
        <v>41</v>
      </c>
      <c r="X2785">
        <v>2.8239999999999998</v>
      </c>
      <c r="Y2785" s="32">
        <v>5.28</v>
      </c>
      <c r="Z2785">
        <v>0</v>
      </c>
      <c r="AA2785" s="32">
        <v>1.667</v>
      </c>
      <c r="AB2785">
        <v>0</v>
      </c>
      <c r="AC2785" s="34">
        <v>0.215</v>
      </c>
      <c r="AD2785" s="32">
        <v>4.7089999999999996</v>
      </c>
    </row>
    <row r="2786" spans="1:30">
      <c r="A2786">
        <v>2784</v>
      </c>
      <c r="B2786">
        <v>44</v>
      </c>
      <c r="C2786">
        <v>2.8130000000000002</v>
      </c>
      <c r="D2786">
        <v>5.28</v>
      </c>
      <c r="E2786">
        <v>0</v>
      </c>
      <c r="F2786">
        <v>1.8080000000000001</v>
      </c>
      <c r="G2786">
        <v>0</v>
      </c>
      <c r="H2786">
        <v>0.19600000000000001</v>
      </c>
      <c r="I2786">
        <v>5.1630000000000003</v>
      </c>
      <c r="K2786">
        <v>2784</v>
      </c>
      <c r="L2786">
        <v>44</v>
      </c>
      <c r="M2786" s="32">
        <v>2.8130000000000002</v>
      </c>
      <c r="N2786" s="32">
        <v>5.28</v>
      </c>
      <c r="P2786" s="47">
        <v>1.8089999999999999</v>
      </c>
      <c r="R2786" s="47">
        <v>0.19800000000000001</v>
      </c>
      <c r="S2786" s="47">
        <v>5.0880000000000001</v>
      </c>
      <c r="T2786" s="31">
        <v>0</v>
      </c>
      <c r="V2786">
        <v>2784</v>
      </c>
      <c r="W2786">
        <v>41</v>
      </c>
      <c r="X2786">
        <v>2.8250000000000002</v>
      </c>
      <c r="Y2786" s="32">
        <v>5.28</v>
      </c>
      <c r="Z2786">
        <v>0</v>
      </c>
      <c r="AA2786" s="32">
        <v>1.667</v>
      </c>
      <c r="AB2786">
        <v>0</v>
      </c>
      <c r="AC2786" s="34">
        <v>0.215</v>
      </c>
      <c r="AD2786" s="32">
        <v>4.7119999999999997</v>
      </c>
    </row>
    <row r="2787" spans="1:30">
      <c r="A2787">
        <v>2785</v>
      </c>
      <c r="B2787">
        <v>44</v>
      </c>
      <c r="C2787">
        <v>2.8140000000000001</v>
      </c>
      <c r="D2787">
        <v>5.28</v>
      </c>
      <c r="E2787">
        <v>0</v>
      </c>
      <c r="F2787">
        <v>1.8080000000000001</v>
      </c>
      <c r="G2787">
        <v>0</v>
      </c>
      <c r="H2787">
        <v>0.19600000000000001</v>
      </c>
      <c r="I2787">
        <v>5.165</v>
      </c>
      <c r="K2787">
        <v>2785</v>
      </c>
      <c r="L2787">
        <v>44</v>
      </c>
      <c r="M2787" s="32">
        <v>2.8140000000000001</v>
      </c>
      <c r="N2787" s="32">
        <v>5.28</v>
      </c>
      <c r="P2787" s="47">
        <v>1.8089999999999999</v>
      </c>
      <c r="R2787" s="47">
        <v>0.19800000000000001</v>
      </c>
      <c r="S2787" s="47">
        <v>5.09</v>
      </c>
      <c r="T2787" s="31">
        <v>0</v>
      </c>
      <c r="V2787">
        <v>2785</v>
      </c>
      <c r="W2787">
        <v>41</v>
      </c>
      <c r="X2787">
        <v>2.8260000000000001</v>
      </c>
      <c r="Y2787" s="32">
        <v>5.28</v>
      </c>
      <c r="Z2787">
        <v>0</v>
      </c>
      <c r="AA2787" s="32">
        <v>1.6679999999999999</v>
      </c>
      <c r="AB2787">
        <v>0</v>
      </c>
      <c r="AC2787" s="34">
        <v>0.215</v>
      </c>
      <c r="AD2787" s="32">
        <v>4.7140000000000004</v>
      </c>
    </row>
    <row r="2788" spans="1:30">
      <c r="A2788">
        <v>2786</v>
      </c>
      <c r="B2788">
        <v>44</v>
      </c>
      <c r="C2788">
        <v>2.8149999999999999</v>
      </c>
      <c r="D2788">
        <v>5.28</v>
      </c>
      <c r="E2788">
        <v>0</v>
      </c>
      <c r="F2788">
        <v>1.8080000000000001</v>
      </c>
      <c r="G2788">
        <v>0</v>
      </c>
      <c r="H2788">
        <v>0.19600000000000001</v>
      </c>
      <c r="I2788">
        <v>5.1680000000000001</v>
      </c>
      <c r="K2788">
        <v>2786</v>
      </c>
      <c r="L2788">
        <v>44</v>
      </c>
      <c r="M2788" s="32">
        <v>2.8149999999999999</v>
      </c>
      <c r="N2788" s="32">
        <v>5.28</v>
      </c>
      <c r="P2788" s="47">
        <v>1.81</v>
      </c>
      <c r="R2788" s="47">
        <v>0.19800000000000001</v>
      </c>
      <c r="S2788" s="47">
        <v>5.093</v>
      </c>
      <c r="T2788" s="31">
        <v>0</v>
      </c>
      <c r="V2788">
        <v>2786</v>
      </c>
      <c r="W2788">
        <v>41</v>
      </c>
      <c r="X2788">
        <v>2.827</v>
      </c>
      <c r="Y2788" s="32">
        <v>5.28</v>
      </c>
      <c r="Z2788">
        <v>0</v>
      </c>
      <c r="AA2788" s="32">
        <v>1.6679999999999999</v>
      </c>
      <c r="AB2788">
        <v>0</v>
      </c>
      <c r="AC2788" s="34">
        <v>0.215</v>
      </c>
      <c r="AD2788" s="32">
        <v>4.7160000000000002</v>
      </c>
    </row>
    <row r="2789" spans="1:30">
      <c r="A2789">
        <v>2787</v>
      </c>
      <c r="B2789">
        <v>44</v>
      </c>
      <c r="C2789">
        <v>2.8159999999999998</v>
      </c>
      <c r="D2789">
        <v>5.28</v>
      </c>
      <c r="E2789">
        <v>0</v>
      </c>
      <c r="F2789">
        <v>1.8080000000000001</v>
      </c>
      <c r="G2789">
        <v>0</v>
      </c>
      <c r="H2789">
        <v>0.19600000000000001</v>
      </c>
      <c r="I2789">
        <v>5.17</v>
      </c>
      <c r="K2789">
        <v>2787</v>
      </c>
      <c r="L2789">
        <v>44</v>
      </c>
      <c r="M2789" s="32">
        <v>2.8159999999999998</v>
      </c>
      <c r="N2789" s="32">
        <v>5.28</v>
      </c>
      <c r="P2789" s="47">
        <v>1.81</v>
      </c>
      <c r="R2789" s="47">
        <v>0.19800000000000001</v>
      </c>
      <c r="S2789" s="47">
        <v>5.0960000000000001</v>
      </c>
      <c r="T2789" s="31">
        <v>0</v>
      </c>
      <c r="V2789">
        <v>2787</v>
      </c>
      <c r="W2789">
        <v>41</v>
      </c>
      <c r="X2789">
        <v>2.8279999999999998</v>
      </c>
      <c r="Y2789" s="32">
        <v>5.28</v>
      </c>
      <c r="Z2789">
        <v>0</v>
      </c>
      <c r="AA2789" s="32">
        <v>1.6679999999999999</v>
      </c>
      <c r="AB2789">
        <v>0</v>
      </c>
      <c r="AC2789" s="34">
        <v>0.215</v>
      </c>
      <c r="AD2789" s="32">
        <v>4.7190000000000003</v>
      </c>
    </row>
    <row r="2790" spans="1:30">
      <c r="A2790">
        <v>2788</v>
      </c>
      <c r="B2790">
        <v>44</v>
      </c>
      <c r="C2790">
        <v>2.8170000000000002</v>
      </c>
      <c r="D2790">
        <v>5.28</v>
      </c>
      <c r="E2790">
        <v>0</v>
      </c>
      <c r="F2790">
        <v>1.8080000000000001</v>
      </c>
      <c r="G2790">
        <v>0</v>
      </c>
      <c r="H2790">
        <v>0.19600000000000001</v>
      </c>
      <c r="I2790">
        <v>5.173</v>
      </c>
      <c r="K2790">
        <v>2788</v>
      </c>
      <c r="L2790">
        <v>44</v>
      </c>
      <c r="M2790" s="32">
        <v>2.8170000000000002</v>
      </c>
      <c r="N2790" s="32">
        <v>5.28</v>
      </c>
      <c r="P2790" s="47">
        <v>1.81</v>
      </c>
      <c r="R2790" s="47">
        <v>0.19800000000000001</v>
      </c>
      <c r="S2790" s="47">
        <v>5.0979999999999999</v>
      </c>
      <c r="T2790" s="31">
        <v>0</v>
      </c>
      <c r="V2790">
        <v>2788</v>
      </c>
      <c r="W2790">
        <v>41</v>
      </c>
      <c r="X2790">
        <v>2.8290000000000002</v>
      </c>
      <c r="Y2790" s="32">
        <v>5.28</v>
      </c>
      <c r="Z2790">
        <v>0</v>
      </c>
      <c r="AA2790" s="32">
        <v>1.6679999999999999</v>
      </c>
      <c r="AB2790">
        <v>0</v>
      </c>
      <c r="AC2790" s="34">
        <v>0.215</v>
      </c>
      <c r="AD2790" s="32">
        <v>4.7210000000000001</v>
      </c>
    </row>
    <row r="2791" spans="1:30">
      <c r="A2791">
        <v>2789</v>
      </c>
      <c r="B2791">
        <v>44</v>
      </c>
      <c r="C2791">
        <v>2.8180000000000001</v>
      </c>
      <c r="D2791">
        <v>5.28</v>
      </c>
      <c r="E2791">
        <v>0</v>
      </c>
      <c r="F2791">
        <v>1.8080000000000001</v>
      </c>
      <c r="G2791">
        <v>0</v>
      </c>
      <c r="H2791">
        <v>0.19600000000000001</v>
      </c>
      <c r="I2791">
        <v>5.1749999999999998</v>
      </c>
      <c r="K2791">
        <v>2789</v>
      </c>
      <c r="L2791">
        <v>44</v>
      </c>
      <c r="M2791" s="32">
        <v>2.8180000000000001</v>
      </c>
      <c r="N2791" s="32">
        <v>5.28</v>
      </c>
      <c r="P2791" s="47">
        <v>1.81</v>
      </c>
      <c r="R2791" s="47">
        <v>0.19800000000000001</v>
      </c>
      <c r="S2791" s="47">
        <v>5.101</v>
      </c>
      <c r="T2791" s="31">
        <v>0</v>
      </c>
      <c r="V2791">
        <v>2789</v>
      </c>
      <c r="W2791">
        <v>41</v>
      </c>
      <c r="X2791">
        <v>2.83</v>
      </c>
      <c r="Y2791" s="32">
        <v>5.28</v>
      </c>
      <c r="Z2791">
        <v>0</v>
      </c>
      <c r="AA2791" s="32">
        <v>1.669</v>
      </c>
      <c r="AB2791">
        <v>0</v>
      </c>
      <c r="AC2791" s="34">
        <v>0.215</v>
      </c>
      <c r="AD2791" s="32">
        <v>4.7229999999999999</v>
      </c>
    </row>
    <row r="2792" spans="1:30">
      <c r="A2792">
        <v>2790</v>
      </c>
      <c r="B2792">
        <v>44</v>
      </c>
      <c r="C2792">
        <v>2.819</v>
      </c>
      <c r="D2792">
        <v>5.28</v>
      </c>
      <c r="E2792">
        <v>0</v>
      </c>
      <c r="F2792">
        <v>1.8080000000000001</v>
      </c>
      <c r="G2792">
        <v>0</v>
      </c>
      <c r="H2792">
        <v>0.19600000000000001</v>
      </c>
      <c r="I2792">
        <v>5.1779999999999999</v>
      </c>
      <c r="K2792">
        <v>2790</v>
      </c>
      <c r="L2792">
        <v>44</v>
      </c>
      <c r="M2792" s="32">
        <v>2.819</v>
      </c>
      <c r="N2792" s="32">
        <v>5.28</v>
      </c>
      <c r="P2792" s="47">
        <v>1.8109999999999999</v>
      </c>
      <c r="R2792" s="47">
        <v>0.19800000000000001</v>
      </c>
      <c r="S2792" s="47">
        <v>5.1029999999999998</v>
      </c>
      <c r="T2792" s="31">
        <v>0</v>
      </c>
      <c r="V2792">
        <v>2790</v>
      </c>
      <c r="W2792">
        <v>41</v>
      </c>
      <c r="X2792">
        <v>2.831</v>
      </c>
      <c r="Y2792" s="32">
        <v>5.28</v>
      </c>
      <c r="Z2792">
        <v>0</v>
      </c>
      <c r="AA2792" s="32">
        <v>1.669</v>
      </c>
      <c r="AB2792">
        <v>0</v>
      </c>
      <c r="AC2792" s="34">
        <v>0.215</v>
      </c>
      <c r="AD2792" s="32">
        <v>4.726</v>
      </c>
    </row>
    <row r="2793" spans="1:30">
      <c r="A2793">
        <v>2791</v>
      </c>
      <c r="B2793">
        <v>44</v>
      </c>
      <c r="C2793">
        <v>2.82</v>
      </c>
      <c r="D2793">
        <v>5.28</v>
      </c>
      <c r="E2793">
        <v>0</v>
      </c>
      <c r="F2793">
        <v>1.8109999999999999</v>
      </c>
      <c r="G2793">
        <v>0</v>
      </c>
      <c r="H2793">
        <v>0.19600000000000001</v>
      </c>
      <c r="I2793">
        <v>5.1059999999999999</v>
      </c>
      <c r="K2793">
        <v>2791</v>
      </c>
      <c r="L2793">
        <v>44</v>
      </c>
      <c r="M2793" s="32">
        <v>2.82</v>
      </c>
      <c r="N2793" s="32">
        <v>5.28</v>
      </c>
      <c r="P2793" s="32">
        <v>1.8109999999999999</v>
      </c>
      <c r="R2793" s="47">
        <v>0.19800000000000001</v>
      </c>
      <c r="S2793" s="32">
        <v>5.1059999999999999</v>
      </c>
      <c r="T2793" s="31">
        <v>0</v>
      </c>
      <c r="V2793">
        <v>2791</v>
      </c>
      <c r="W2793">
        <v>41</v>
      </c>
      <c r="X2793">
        <v>2.8319999999999999</v>
      </c>
      <c r="Y2793" s="32">
        <v>5.28</v>
      </c>
      <c r="Z2793">
        <v>0</v>
      </c>
      <c r="AA2793" s="32">
        <v>1.669</v>
      </c>
      <c r="AB2793">
        <v>0</v>
      </c>
      <c r="AC2793" s="34">
        <v>0.215</v>
      </c>
      <c r="AD2793" s="32">
        <v>4.7279999999999998</v>
      </c>
    </row>
    <row r="2794" spans="1:30">
      <c r="A2794">
        <v>2792</v>
      </c>
      <c r="B2794">
        <v>44</v>
      </c>
      <c r="C2794">
        <v>2.8210000000000002</v>
      </c>
      <c r="D2794">
        <v>5.28</v>
      </c>
      <c r="E2794">
        <v>0</v>
      </c>
      <c r="F2794">
        <v>1.8109999999999999</v>
      </c>
      <c r="G2794">
        <v>0</v>
      </c>
      <c r="H2794">
        <v>0.19600000000000001</v>
      </c>
      <c r="I2794">
        <v>5.2089999999999996</v>
      </c>
      <c r="K2794">
        <v>2792</v>
      </c>
      <c r="L2794">
        <v>44</v>
      </c>
      <c r="M2794" s="32">
        <v>2.8210000000000002</v>
      </c>
      <c r="N2794" s="32">
        <v>5.28</v>
      </c>
      <c r="P2794" s="32">
        <v>1.8109999999999999</v>
      </c>
      <c r="R2794" s="47">
        <v>0.19800000000000001</v>
      </c>
      <c r="S2794" s="47">
        <v>5.109</v>
      </c>
      <c r="T2794" s="31">
        <v>0</v>
      </c>
      <c r="V2794">
        <v>2792</v>
      </c>
      <c r="W2794">
        <v>41</v>
      </c>
      <c r="X2794">
        <v>2.8330000000000002</v>
      </c>
      <c r="Y2794" s="32">
        <v>5.28</v>
      </c>
      <c r="Z2794">
        <v>0</v>
      </c>
      <c r="AA2794" s="32">
        <v>1.669</v>
      </c>
      <c r="AB2794">
        <v>0</v>
      </c>
      <c r="AC2794" s="34">
        <v>0.215</v>
      </c>
      <c r="AD2794" s="32">
        <v>4.7300000000000004</v>
      </c>
    </row>
    <row r="2795" spans="1:30">
      <c r="A2795">
        <v>2793</v>
      </c>
      <c r="B2795">
        <v>44</v>
      </c>
      <c r="C2795">
        <v>2.8220000000000001</v>
      </c>
      <c r="D2795">
        <v>5.28</v>
      </c>
      <c r="E2795">
        <v>0</v>
      </c>
      <c r="F2795">
        <v>1.8109999999999999</v>
      </c>
      <c r="G2795">
        <v>0</v>
      </c>
      <c r="H2795">
        <v>0.19600000000000001</v>
      </c>
      <c r="I2795">
        <v>5.2110000000000003</v>
      </c>
      <c r="K2795">
        <v>2793</v>
      </c>
      <c r="L2795">
        <v>44</v>
      </c>
      <c r="M2795" s="32">
        <v>2.8220000000000001</v>
      </c>
      <c r="N2795" s="32">
        <v>5.28</v>
      </c>
      <c r="P2795" s="32">
        <v>1.8109999999999999</v>
      </c>
      <c r="R2795" s="47">
        <v>0.19800000000000001</v>
      </c>
      <c r="S2795" s="47">
        <v>5.1109999999999998</v>
      </c>
      <c r="T2795" s="31">
        <v>0</v>
      </c>
      <c r="V2795">
        <v>2793</v>
      </c>
      <c r="W2795">
        <v>41</v>
      </c>
      <c r="X2795">
        <v>2.8340000000000001</v>
      </c>
      <c r="Y2795" s="32">
        <v>5.28</v>
      </c>
      <c r="Z2795">
        <v>0</v>
      </c>
      <c r="AA2795" s="32">
        <v>1.67</v>
      </c>
      <c r="AB2795">
        <v>0</v>
      </c>
      <c r="AC2795" s="34">
        <v>0.215</v>
      </c>
      <c r="AD2795" s="32">
        <v>4.7329999999999997</v>
      </c>
    </row>
    <row r="2796" spans="1:30">
      <c r="A2796">
        <v>2794</v>
      </c>
      <c r="B2796">
        <v>44</v>
      </c>
      <c r="C2796">
        <v>2.823</v>
      </c>
      <c r="D2796">
        <v>5.28</v>
      </c>
      <c r="E2796">
        <v>0</v>
      </c>
      <c r="F2796">
        <v>1.8109999999999999</v>
      </c>
      <c r="G2796">
        <v>0</v>
      </c>
      <c r="H2796">
        <v>0.19600000000000001</v>
      </c>
      <c r="I2796">
        <v>5.2140000000000004</v>
      </c>
      <c r="K2796">
        <v>2794</v>
      </c>
      <c r="L2796">
        <v>44</v>
      </c>
      <c r="M2796" s="32">
        <v>2.823</v>
      </c>
      <c r="N2796" s="32">
        <v>5.28</v>
      </c>
      <c r="P2796" s="47">
        <v>1.8120000000000001</v>
      </c>
      <c r="R2796" s="47">
        <v>0.19800000000000001</v>
      </c>
      <c r="S2796" s="47">
        <v>5.1139999999999999</v>
      </c>
      <c r="T2796" s="31">
        <v>0</v>
      </c>
      <c r="V2796">
        <v>2794</v>
      </c>
      <c r="W2796">
        <v>41</v>
      </c>
      <c r="X2796">
        <v>2.835</v>
      </c>
      <c r="Y2796" s="32">
        <v>5.28</v>
      </c>
      <c r="Z2796">
        <v>0</v>
      </c>
      <c r="AA2796" s="32">
        <v>1.67</v>
      </c>
      <c r="AB2796">
        <v>0</v>
      </c>
      <c r="AC2796" s="34">
        <v>0.215</v>
      </c>
      <c r="AD2796" s="32">
        <v>4.7350000000000003</v>
      </c>
    </row>
    <row r="2797" spans="1:30">
      <c r="A2797">
        <v>2795</v>
      </c>
      <c r="B2797">
        <v>44</v>
      </c>
      <c r="C2797">
        <v>2.8239999999999998</v>
      </c>
      <c r="D2797">
        <v>5.28</v>
      </c>
      <c r="E2797">
        <v>0</v>
      </c>
      <c r="F2797">
        <v>1.8109999999999999</v>
      </c>
      <c r="G2797">
        <v>0</v>
      </c>
      <c r="H2797">
        <v>0.19600000000000001</v>
      </c>
      <c r="I2797">
        <v>5.2160000000000002</v>
      </c>
      <c r="K2797">
        <v>2795</v>
      </c>
      <c r="L2797">
        <v>44</v>
      </c>
      <c r="M2797" s="32">
        <v>2.8239999999999998</v>
      </c>
      <c r="N2797" s="32">
        <v>5.28</v>
      </c>
      <c r="P2797" s="47">
        <v>1.8120000000000001</v>
      </c>
      <c r="R2797" s="47">
        <v>0.19800000000000001</v>
      </c>
      <c r="S2797" s="47">
        <v>5.1159999999999997</v>
      </c>
      <c r="T2797" s="31">
        <v>0</v>
      </c>
      <c r="V2797">
        <v>2795</v>
      </c>
      <c r="W2797">
        <v>41</v>
      </c>
      <c r="X2797">
        <v>2.8359999999999999</v>
      </c>
      <c r="Y2797" s="32">
        <v>5.28</v>
      </c>
      <c r="Z2797">
        <v>0</v>
      </c>
      <c r="AA2797" s="32">
        <v>1.67</v>
      </c>
      <c r="AB2797">
        <v>0</v>
      </c>
      <c r="AC2797" s="34">
        <v>0.215</v>
      </c>
      <c r="AD2797" s="32">
        <v>4.7370000000000001</v>
      </c>
    </row>
    <row r="2798" spans="1:30">
      <c r="A2798">
        <v>2796</v>
      </c>
      <c r="B2798">
        <v>44</v>
      </c>
      <c r="C2798">
        <v>2.8250000000000002</v>
      </c>
      <c r="D2798">
        <v>5.28</v>
      </c>
      <c r="E2798">
        <v>0</v>
      </c>
      <c r="F2798">
        <v>1.8109999999999999</v>
      </c>
      <c r="G2798">
        <v>0</v>
      </c>
      <c r="H2798">
        <v>0.19600000000000001</v>
      </c>
      <c r="I2798">
        <v>5.2190000000000003</v>
      </c>
      <c r="K2798">
        <v>2796</v>
      </c>
      <c r="L2798">
        <v>44</v>
      </c>
      <c r="M2798" s="32">
        <v>2.8250000000000002</v>
      </c>
      <c r="N2798" s="32">
        <v>5.28</v>
      </c>
      <c r="P2798" s="47">
        <v>1.8120000000000001</v>
      </c>
      <c r="R2798" s="47">
        <v>0.19800000000000001</v>
      </c>
      <c r="S2798" s="47">
        <v>5.1189999999999998</v>
      </c>
      <c r="T2798" s="31">
        <v>0</v>
      </c>
      <c r="V2798">
        <v>2796</v>
      </c>
      <c r="W2798">
        <v>41</v>
      </c>
      <c r="X2798">
        <v>2.8370000000000002</v>
      </c>
      <c r="Y2798" s="32">
        <v>5.28</v>
      </c>
      <c r="Z2798">
        <v>0</v>
      </c>
      <c r="AA2798" s="32">
        <v>1.67</v>
      </c>
      <c r="AB2798">
        <v>0</v>
      </c>
      <c r="AC2798" s="34">
        <v>0.215</v>
      </c>
      <c r="AD2798" s="32">
        <v>4.74</v>
      </c>
    </row>
    <row r="2799" spans="1:30">
      <c r="A2799">
        <v>2797</v>
      </c>
      <c r="B2799">
        <v>44</v>
      </c>
      <c r="C2799">
        <v>2.8260000000000001</v>
      </c>
      <c r="D2799">
        <v>5.28</v>
      </c>
      <c r="E2799">
        <v>0</v>
      </c>
      <c r="F2799">
        <v>1.8109999999999999</v>
      </c>
      <c r="G2799">
        <v>0</v>
      </c>
      <c r="H2799">
        <v>0.19600000000000001</v>
      </c>
      <c r="I2799">
        <v>5.2210000000000001</v>
      </c>
      <c r="K2799">
        <v>2797</v>
      </c>
      <c r="L2799">
        <v>44</v>
      </c>
      <c r="M2799" s="32">
        <v>2.8260000000000001</v>
      </c>
      <c r="N2799" s="32">
        <v>5.28</v>
      </c>
      <c r="P2799" s="47">
        <v>1.8120000000000001</v>
      </c>
      <c r="R2799" s="47">
        <v>0.19800000000000001</v>
      </c>
      <c r="S2799" s="47">
        <v>5.1210000000000004</v>
      </c>
      <c r="T2799" s="31">
        <v>0</v>
      </c>
      <c r="V2799">
        <v>2797</v>
      </c>
      <c r="W2799">
        <v>41</v>
      </c>
      <c r="X2799">
        <v>2.8380000000000001</v>
      </c>
      <c r="Y2799" s="32">
        <v>5.28</v>
      </c>
      <c r="Z2799">
        <v>0</v>
      </c>
      <c r="AA2799" s="32">
        <v>1.671</v>
      </c>
      <c r="AB2799">
        <v>0</v>
      </c>
      <c r="AC2799" s="34">
        <v>0.215</v>
      </c>
      <c r="AD2799" s="32">
        <v>4.742</v>
      </c>
    </row>
    <row r="2800" spans="1:30">
      <c r="A2800">
        <v>2798</v>
      </c>
      <c r="B2800">
        <v>44</v>
      </c>
      <c r="C2800">
        <v>2.827</v>
      </c>
      <c r="D2800">
        <v>5.28</v>
      </c>
      <c r="E2800">
        <v>0</v>
      </c>
      <c r="F2800">
        <v>1.8109999999999999</v>
      </c>
      <c r="G2800">
        <v>0</v>
      </c>
      <c r="H2800">
        <v>0.19600000000000001</v>
      </c>
      <c r="I2800">
        <v>5.2240000000000002</v>
      </c>
      <c r="K2800">
        <v>2798</v>
      </c>
      <c r="L2800">
        <v>44</v>
      </c>
      <c r="M2800" s="32">
        <v>2.827</v>
      </c>
      <c r="N2800" s="32">
        <v>5.28</v>
      </c>
      <c r="P2800" s="47">
        <v>1.8120000000000001</v>
      </c>
      <c r="R2800" s="47">
        <v>0.19800000000000001</v>
      </c>
      <c r="S2800" s="47">
        <v>5.1239999999999997</v>
      </c>
      <c r="T2800" s="31">
        <v>0</v>
      </c>
      <c r="V2800">
        <v>2798</v>
      </c>
      <c r="W2800">
        <v>41</v>
      </c>
      <c r="X2800">
        <v>2.839</v>
      </c>
      <c r="Y2800" s="32">
        <v>5.28</v>
      </c>
      <c r="Z2800">
        <v>0</v>
      </c>
      <c r="AA2800" s="32">
        <v>1.671</v>
      </c>
      <c r="AB2800">
        <v>0</v>
      </c>
      <c r="AC2800" s="34">
        <v>0.215</v>
      </c>
      <c r="AD2800" s="32">
        <v>4.7439999999999998</v>
      </c>
    </row>
    <row r="2801" spans="1:30">
      <c r="A2801">
        <v>2799</v>
      </c>
      <c r="B2801">
        <v>44</v>
      </c>
      <c r="C2801">
        <v>2.8279999999999998</v>
      </c>
      <c r="D2801">
        <v>5.28</v>
      </c>
      <c r="E2801">
        <v>0</v>
      </c>
      <c r="F2801">
        <v>1.8109999999999999</v>
      </c>
      <c r="G2801">
        <v>0</v>
      </c>
      <c r="H2801">
        <v>0.19600000000000001</v>
      </c>
      <c r="I2801">
        <v>5.226</v>
      </c>
      <c r="K2801">
        <v>2799</v>
      </c>
      <c r="L2801">
        <v>44</v>
      </c>
      <c r="M2801" s="32">
        <v>2.8279999999999998</v>
      </c>
      <c r="N2801" s="32">
        <v>5.28</v>
      </c>
      <c r="P2801" s="47">
        <v>1.8129999999999999</v>
      </c>
      <c r="R2801" s="47">
        <v>0.19800000000000001</v>
      </c>
      <c r="S2801" s="47">
        <v>5.1260000000000003</v>
      </c>
      <c r="T2801" s="31">
        <v>0</v>
      </c>
      <c r="V2801">
        <v>2799</v>
      </c>
      <c r="W2801">
        <v>41</v>
      </c>
      <c r="X2801">
        <v>2.84</v>
      </c>
      <c r="Y2801" s="32">
        <v>5.28</v>
      </c>
      <c r="Z2801">
        <v>0</v>
      </c>
      <c r="AA2801" s="32">
        <v>1.671</v>
      </c>
      <c r="AB2801">
        <v>0</v>
      </c>
      <c r="AC2801" s="34">
        <v>0.215</v>
      </c>
      <c r="AD2801" s="32">
        <v>4.7469999999999999</v>
      </c>
    </row>
    <row r="2802" spans="1:30">
      <c r="A2802">
        <v>2800</v>
      </c>
      <c r="B2802">
        <v>44</v>
      </c>
      <c r="C2802">
        <v>2.8290000000000002</v>
      </c>
      <c r="D2802">
        <v>5.28</v>
      </c>
      <c r="E2802">
        <v>0</v>
      </c>
      <c r="F2802">
        <v>1.8109999999999999</v>
      </c>
      <c r="G2802">
        <v>0</v>
      </c>
      <c r="H2802">
        <v>0.19600000000000001</v>
      </c>
      <c r="I2802">
        <v>5.2290000000000001</v>
      </c>
      <c r="K2802">
        <v>2800</v>
      </c>
      <c r="L2802">
        <v>44</v>
      </c>
      <c r="M2802" s="32">
        <v>2.8290000000000002</v>
      </c>
      <c r="N2802" s="32">
        <v>5.28</v>
      </c>
      <c r="P2802" s="47">
        <v>1.8129999999999999</v>
      </c>
      <c r="R2802" s="47">
        <v>0.19800000000000001</v>
      </c>
      <c r="S2802" s="47">
        <v>5.1289999999999996</v>
      </c>
      <c r="T2802" s="31">
        <v>0</v>
      </c>
      <c r="V2802">
        <v>2800</v>
      </c>
      <c r="W2802">
        <v>41</v>
      </c>
      <c r="X2802">
        <v>2.8410000000000002</v>
      </c>
      <c r="Y2802" s="32">
        <v>5.28</v>
      </c>
      <c r="Z2802">
        <v>0</v>
      </c>
      <c r="AA2802" s="32">
        <v>1.671</v>
      </c>
      <c r="AB2802">
        <v>0</v>
      </c>
      <c r="AC2802" s="34">
        <v>0.215</v>
      </c>
      <c r="AD2802" s="32">
        <v>4.7489999999999997</v>
      </c>
    </row>
    <row r="2803" spans="1:30">
      <c r="A2803">
        <v>2801</v>
      </c>
      <c r="B2803">
        <v>44</v>
      </c>
      <c r="C2803">
        <v>2.83</v>
      </c>
      <c r="D2803">
        <v>5.28</v>
      </c>
      <c r="E2803">
        <v>0</v>
      </c>
      <c r="F2803">
        <v>1.8129999999999999</v>
      </c>
      <c r="G2803">
        <v>0</v>
      </c>
      <c r="H2803">
        <v>0.19600000000000001</v>
      </c>
      <c r="I2803">
        <v>5.1310000000000002</v>
      </c>
      <c r="K2803">
        <v>2801</v>
      </c>
      <c r="L2803">
        <v>44</v>
      </c>
      <c r="M2803" s="32">
        <v>2.83</v>
      </c>
      <c r="N2803" s="32">
        <v>5.28</v>
      </c>
      <c r="P2803" s="32">
        <v>1.8129999999999999</v>
      </c>
      <c r="R2803" s="47">
        <v>0.19900000000000001</v>
      </c>
      <c r="S2803" s="32">
        <v>5.1310000000000002</v>
      </c>
      <c r="T2803" s="31">
        <v>0</v>
      </c>
      <c r="V2803">
        <v>2801</v>
      </c>
      <c r="W2803">
        <v>41</v>
      </c>
      <c r="X2803">
        <v>2.8420000000000001</v>
      </c>
      <c r="Y2803" s="32">
        <v>5.28</v>
      </c>
      <c r="Z2803">
        <v>0</v>
      </c>
      <c r="AA2803" s="32">
        <v>1.671</v>
      </c>
      <c r="AB2803">
        <v>0</v>
      </c>
      <c r="AC2803" s="34">
        <v>0.216</v>
      </c>
      <c r="AD2803" s="32">
        <v>4.7510000000000003</v>
      </c>
    </row>
    <row r="2804" spans="1:30">
      <c r="A2804">
        <v>2802</v>
      </c>
      <c r="B2804">
        <v>44</v>
      </c>
      <c r="C2804">
        <v>2.831</v>
      </c>
      <c r="D2804">
        <v>5.28</v>
      </c>
      <c r="E2804">
        <v>0</v>
      </c>
      <c r="F2804">
        <v>1.8129999999999999</v>
      </c>
      <c r="G2804">
        <v>0</v>
      </c>
      <c r="H2804">
        <v>0.19600000000000001</v>
      </c>
      <c r="I2804">
        <v>5.2590000000000003</v>
      </c>
      <c r="K2804">
        <v>2802</v>
      </c>
      <c r="L2804">
        <v>44</v>
      </c>
      <c r="M2804" s="32">
        <v>2.831</v>
      </c>
      <c r="N2804" s="32">
        <v>5.28</v>
      </c>
      <c r="P2804" s="32">
        <v>1.8129999999999999</v>
      </c>
      <c r="R2804" s="47">
        <v>0.19900000000000001</v>
      </c>
      <c r="S2804" s="47">
        <v>5.1340000000000003</v>
      </c>
      <c r="T2804" s="31">
        <v>0</v>
      </c>
      <c r="V2804">
        <v>2802</v>
      </c>
      <c r="W2804">
        <v>41</v>
      </c>
      <c r="X2804">
        <v>2.843</v>
      </c>
      <c r="Y2804" s="32">
        <v>5.28</v>
      </c>
      <c r="Z2804">
        <v>0</v>
      </c>
      <c r="AA2804" s="32">
        <v>1.6719999999999999</v>
      </c>
      <c r="AB2804">
        <v>0</v>
      </c>
      <c r="AC2804" s="34">
        <v>0.216</v>
      </c>
      <c r="AD2804" s="32">
        <v>4.7530000000000001</v>
      </c>
    </row>
    <row r="2805" spans="1:30">
      <c r="A2805">
        <v>2803</v>
      </c>
      <c r="B2805">
        <v>44</v>
      </c>
      <c r="C2805">
        <v>2.8319999999999999</v>
      </c>
      <c r="D2805">
        <v>5.28</v>
      </c>
      <c r="E2805">
        <v>0</v>
      </c>
      <c r="F2805">
        <v>1.8129999999999999</v>
      </c>
      <c r="G2805">
        <v>0</v>
      </c>
      <c r="H2805">
        <v>0.19600000000000001</v>
      </c>
      <c r="I2805">
        <v>5.2610000000000001</v>
      </c>
      <c r="K2805">
        <v>2803</v>
      </c>
      <c r="L2805">
        <v>44</v>
      </c>
      <c r="M2805" s="32">
        <v>2.8319999999999999</v>
      </c>
      <c r="N2805" s="32">
        <v>5.28</v>
      </c>
      <c r="P2805" s="47">
        <v>1.8140000000000001</v>
      </c>
      <c r="R2805" s="47">
        <v>0.19900000000000001</v>
      </c>
      <c r="S2805" s="47">
        <v>5.1360000000000001</v>
      </c>
      <c r="T2805" s="31">
        <v>0</v>
      </c>
      <c r="V2805">
        <v>2803</v>
      </c>
      <c r="W2805">
        <v>41</v>
      </c>
      <c r="X2805">
        <v>2.8439999999999999</v>
      </c>
      <c r="Y2805" s="32">
        <v>5.28</v>
      </c>
      <c r="Z2805">
        <v>0</v>
      </c>
      <c r="AA2805" s="32">
        <v>1.6719999999999999</v>
      </c>
      <c r="AB2805">
        <v>0</v>
      </c>
      <c r="AC2805" s="34">
        <v>0.216</v>
      </c>
      <c r="AD2805" s="32">
        <v>4.7560000000000002</v>
      </c>
    </row>
    <row r="2806" spans="1:30">
      <c r="A2806">
        <v>2804</v>
      </c>
      <c r="B2806">
        <v>44</v>
      </c>
      <c r="C2806">
        <v>2.8330000000000002</v>
      </c>
      <c r="D2806">
        <v>5.28</v>
      </c>
      <c r="E2806">
        <v>0</v>
      </c>
      <c r="F2806">
        <v>1.8129999999999999</v>
      </c>
      <c r="G2806">
        <v>0</v>
      </c>
      <c r="H2806">
        <v>0.19600000000000001</v>
      </c>
      <c r="I2806">
        <v>5.2640000000000002</v>
      </c>
      <c r="K2806">
        <v>2804</v>
      </c>
      <c r="L2806">
        <v>44</v>
      </c>
      <c r="M2806" s="32">
        <v>2.8330000000000002</v>
      </c>
      <c r="N2806" s="32">
        <v>5.28</v>
      </c>
      <c r="P2806" s="47">
        <v>1.8140000000000001</v>
      </c>
      <c r="R2806" s="47">
        <v>0.19900000000000001</v>
      </c>
      <c r="S2806" s="47">
        <v>5.1390000000000002</v>
      </c>
      <c r="T2806" s="31">
        <v>0</v>
      </c>
      <c r="V2806">
        <v>2804</v>
      </c>
      <c r="W2806">
        <v>41</v>
      </c>
      <c r="X2806">
        <v>2.8450000000000002</v>
      </c>
      <c r="Y2806" s="32">
        <v>5.28</v>
      </c>
      <c r="Z2806">
        <v>0</v>
      </c>
      <c r="AA2806" s="32">
        <v>1.6719999999999999</v>
      </c>
      <c r="AB2806">
        <v>0</v>
      </c>
      <c r="AC2806" s="34">
        <v>0.216</v>
      </c>
      <c r="AD2806" s="32">
        <v>4.758</v>
      </c>
    </row>
    <row r="2807" spans="1:30">
      <c r="A2807">
        <v>2805</v>
      </c>
      <c r="B2807">
        <v>44</v>
      </c>
      <c r="C2807">
        <v>2.8340000000000001</v>
      </c>
      <c r="D2807">
        <v>5.28</v>
      </c>
      <c r="E2807">
        <v>0</v>
      </c>
      <c r="F2807">
        <v>1.8129999999999999</v>
      </c>
      <c r="G2807">
        <v>0</v>
      </c>
      <c r="H2807">
        <v>0.19600000000000001</v>
      </c>
      <c r="I2807">
        <v>5.266</v>
      </c>
      <c r="K2807">
        <v>2805</v>
      </c>
      <c r="L2807">
        <v>44</v>
      </c>
      <c r="M2807" s="32">
        <v>2.8340000000000001</v>
      </c>
      <c r="N2807" s="32">
        <v>5.28</v>
      </c>
      <c r="P2807" s="47">
        <v>1.8140000000000001</v>
      </c>
      <c r="R2807" s="47">
        <v>0.19900000000000001</v>
      </c>
      <c r="S2807" s="47">
        <v>5.141</v>
      </c>
      <c r="T2807" s="31">
        <v>0</v>
      </c>
      <c r="V2807">
        <v>2805</v>
      </c>
      <c r="W2807">
        <v>41</v>
      </c>
      <c r="X2807">
        <v>2.8460000000000001</v>
      </c>
      <c r="Y2807" s="32">
        <v>5.28</v>
      </c>
      <c r="Z2807">
        <v>0</v>
      </c>
      <c r="AA2807" s="32">
        <v>1.6719999999999999</v>
      </c>
      <c r="AB2807">
        <v>0</v>
      </c>
      <c r="AC2807" s="34">
        <v>0.216</v>
      </c>
      <c r="AD2807" s="32">
        <v>4.76</v>
      </c>
    </row>
    <row r="2808" spans="1:30">
      <c r="A2808">
        <v>2806</v>
      </c>
      <c r="B2808">
        <v>44</v>
      </c>
      <c r="C2808">
        <v>2.835</v>
      </c>
      <c r="D2808">
        <v>5.28</v>
      </c>
      <c r="E2808">
        <v>0</v>
      </c>
      <c r="F2808">
        <v>1.8129999999999999</v>
      </c>
      <c r="G2808">
        <v>0</v>
      </c>
      <c r="H2808">
        <v>0.19600000000000001</v>
      </c>
      <c r="I2808">
        <v>5.2690000000000001</v>
      </c>
      <c r="K2808">
        <v>2806</v>
      </c>
      <c r="L2808">
        <v>44</v>
      </c>
      <c r="M2808" s="32">
        <v>2.835</v>
      </c>
      <c r="N2808" s="32">
        <v>5.28</v>
      </c>
      <c r="P2808" s="47">
        <v>1.8149999999999999</v>
      </c>
      <c r="R2808" s="47">
        <v>0.19900000000000001</v>
      </c>
      <c r="S2808" s="47">
        <v>5.1440000000000001</v>
      </c>
      <c r="T2808" s="31">
        <v>0</v>
      </c>
      <c r="V2808">
        <v>2806</v>
      </c>
      <c r="W2808">
        <v>41</v>
      </c>
      <c r="X2808">
        <v>2.847</v>
      </c>
      <c r="Y2808" s="32">
        <v>5.28</v>
      </c>
      <c r="Z2808">
        <v>0</v>
      </c>
      <c r="AA2808" s="32">
        <v>1.673</v>
      </c>
      <c r="AB2808">
        <v>0</v>
      </c>
      <c r="AC2808" s="34">
        <v>0.216</v>
      </c>
      <c r="AD2808" s="32">
        <v>4.7629999999999999</v>
      </c>
    </row>
    <row r="2809" spans="1:30">
      <c r="A2809">
        <v>2807</v>
      </c>
      <c r="B2809">
        <v>44</v>
      </c>
      <c r="C2809">
        <v>2.8359999999999999</v>
      </c>
      <c r="D2809">
        <v>5.28</v>
      </c>
      <c r="E2809">
        <v>0</v>
      </c>
      <c r="F2809">
        <v>1.8129999999999999</v>
      </c>
      <c r="G2809">
        <v>0</v>
      </c>
      <c r="H2809">
        <v>0.19600000000000001</v>
      </c>
      <c r="I2809">
        <v>5.2709999999999999</v>
      </c>
      <c r="K2809">
        <v>2807</v>
      </c>
      <c r="L2809">
        <v>44</v>
      </c>
      <c r="M2809" s="32">
        <v>2.8359999999999999</v>
      </c>
      <c r="N2809" s="32">
        <v>5.28</v>
      </c>
      <c r="P2809" s="47">
        <v>1.8149999999999999</v>
      </c>
      <c r="R2809" s="47">
        <v>0.19900000000000001</v>
      </c>
      <c r="S2809" s="47">
        <v>5.1470000000000002</v>
      </c>
      <c r="T2809" s="31">
        <v>0</v>
      </c>
      <c r="V2809">
        <v>2807</v>
      </c>
      <c r="W2809">
        <v>41</v>
      </c>
      <c r="X2809">
        <v>2.8479999999999999</v>
      </c>
      <c r="Y2809" s="32">
        <v>5.28</v>
      </c>
      <c r="Z2809">
        <v>0</v>
      </c>
      <c r="AA2809" s="32">
        <v>1.673</v>
      </c>
      <c r="AB2809">
        <v>0</v>
      </c>
      <c r="AC2809" s="34">
        <v>0.216</v>
      </c>
      <c r="AD2809" s="32">
        <v>4.7649999999999997</v>
      </c>
    </row>
    <row r="2810" spans="1:30">
      <c r="A2810">
        <v>2808</v>
      </c>
      <c r="B2810">
        <v>44</v>
      </c>
      <c r="C2810">
        <v>2.8370000000000002</v>
      </c>
      <c r="D2810">
        <v>5.28</v>
      </c>
      <c r="E2810">
        <v>0</v>
      </c>
      <c r="F2810">
        <v>1.8129999999999999</v>
      </c>
      <c r="G2810">
        <v>0</v>
      </c>
      <c r="H2810">
        <v>0.19600000000000001</v>
      </c>
      <c r="I2810">
        <v>5.274</v>
      </c>
      <c r="K2810">
        <v>2808</v>
      </c>
      <c r="L2810">
        <v>44</v>
      </c>
      <c r="M2810" s="32">
        <v>2.8370000000000002</v>
      </c>
      <c r="N2810" s="32">
        <v>5.28</v>
      </c>
      <c r="P2810" s="47">
        <v>1.8149999999999999</v>
      </c>
      <c r="R2810" s="47">
        <v>0.19900000000000001</v>
      </c>
      <c r="S2810" s="47">
        <v>5.149</v>
      </c>
      <c r="T2810" s="31">
        <v>0</v>
      </c>
      <c r="V2810">
        <v>2808</v>
      </c>
      <c r="W2810">
        <v>41</v>
      </c>
      <c r="X2810">
        <v>2.8490000000000002</v>
      </c>
      <c r="Y2810" s="32">
        <v>5.28</v>
      </c>
      <c r="Z2810">
        <v>0</v>
      </c>
      <c r="AA2810" s="32">
        <v>1.673</v>
      </c>
      <c r="AB2810">
        <v>0</v>
      </c>
      <c r="AC2810" s="34">
        <v>0.216</v>
      </c>
      <c r="AD2810" s="32">
        <v>4.7670000000000003</v>
      </c>
    </row>
    <row r="2811" spans="1:30">
      <c r="A2811">
        <v>2809</v>
      </c>
      <c r="B2811">
        <v>44</v>
      </c>
      <c r="C2811">
        <v>2.8380000000000001</v>
      </c>
      <c r="D2811">
        <v>5.28</v>
      </c>
      <c r="E2811">
        <v>0</v>
      </c>
      <c r="F2811">
        <v>1.8129999999999999</v>
      </c>
      <c r="G2811">
        <v>0</v>
      </c>
      <c r="H2811">
        <v>0.19600000000000001</v>
      </c>
      <c r="I2811">
        <v>5.2759999999999998</v>
      </c>
      <c r="K2811">
        <v>2809</v>
      </c>
      <c r="L2811">
        <v>44</v>
      </c>
      <c r="M2811" s="32">
        <v>2.8380000000000001</v>
      </c>
      <c r="N2811" s="32">
        <v>5.28</v>
      </c>
      <c r="P2811" s="47">
        <v>1.8149999999999999</v>
      </c>
      <c r="R2811" s="47">
        <v>0.19900000000000001</v>
      </c>
      <c r="S2811" s="47">
        <v>5.1520000000000001</v>
      </c>
      <c r="T2811" s="31">
        <v>0</v>
      </c>
      <c r="V2811">
        <v>2809</v>
      </c>
      <c r="W2811">
        <v>41</v>
      </c>
      <c r="X2811">
        <v>2.85</v>
      </c>
      <c r="Y2811" s="32">
        <v>5.28</v>
      </c>
      <c r="Z2811">
        <v>0</v>
      </c>
      <c r="AA2811" s="32">
        <v>1.673</v>
      </c>
      <c r="AB2811">
        <v>0</v>
      </c>
      <c r="AC2811" s="34">
        <v>0.216</v>
      </c>
      <c r="AD2811" s="32">
        <v>4.7699999999999996</v>
      </c>
    </row>
    <row r="2812" spans="1:30">
      <c r="A2812">
        <v>2810</v>
      </c>
      <c r="B2812">
        <v>44</v>
      </c>
      <c r="C2812">
        <v>2.839</v>
      </c>
      <c r="D2812">
        <v>5.28</v>
      </c>
      <c r="E2812">
        <v>0</v>
      </c>
      <c r="F2812">
        <v>1.8129999999999999</v>
      </c>
      <c r="G2812">
        <v>0</v>
      </c>
      <c r="H2812">
        <v>0.19600000000000001</v>
      </c>
      <c r="I2812">
        <v>5.2789999999999999</v>
      </c>
      <c r="K2812">
        <v>2810</v>
      </c>
      <c r="L2812">
        <v>44</v>
      </c>
      <c r="M2812" s="32">
        <v>2.839</v>
      </c>
      <c r="N2812" s="32">
        <v>5.28</v>
      </c>
      <c r="P2812" s="47">
        <v>1.8160000000000001</v>
      </c>
      <c r="R2812" s="47">
        <v>0.19900000000000001</v>
      </c>
      <c r="S2812" s="47">
        <v>5.1539999999999999</v>
      </c>
      <c r="T2812" s="31">
        <v>0</v>
      </c>
      <c r="V2812">
        <v>2810</v>
      </c>
      <c r="W2812">
        <v>41</v>
      </c>
      <c r="X2812">
        <v>2.851</v>
      </c>
      <c r="Y2812" s="32">
        <v>5.2949999999999999</v>
      </c>
      <c r="Z2812">
        <v>0</v>
      </c>
      <c r="AA2812" s="32">
        <v>1.6739999999999999</v>
      </c>
      <c r="AB2812">
        <v>0</v>
      </c>
      <c r="AC2812" s="34">
        <v>0.216</v>
      </c>
      <c r="AD2812" s="32">
        <v>4.7720000000000002</v>
      </c>
    </row>
    <row r="2813" spans="1:30">
      <c r="A2813">
        <v>2811</v>
      </c>
      <c r="B2813">
        <v>44</v>
      </c>
      <c r="C2813">
        <v>2.84</v>
      </c>
      <c r="D2813">
        <v>5.28</v>
      </c>
      <c r="E2813">
        <v>0</v>
      </c>
      <c r="F2813">
        <v>1.8160000000000001</v>
      </c>
      <c r="G2813">
        <v>0</v>
      </c>
      <c r="H2813">
        <v>0.19600000000000001</v>
      </c>
      <c r="I2813">
        <v>5.157</v>
      </c>
      <c r="K2813">
        <v>2811</v>
      </c>
      <c r="L2813">
        <v>44</v>
      </c>
      <c r="M2813" s="32">
        <v>2.84</v>
      </c>
      <c r="N2813" s="32">
        <v>5.28</v>
      </c>
      <c r="P2813" s="32">
        <v>1.8160000000000001</v>
      </c>
      <c r="R2813" s="47">
        <v>0.19900000000000001</v>
      </c>
      <c r="S2813" s="32">
        <v>5.157</v>
      </c>
      <c r="T2813" s="31">
        <v>0</v>
      </c>
      <c r="V2813">
        <v>2811</v>
      </c>
      <c r="W2813">
        <v>41</v>
      </c>
      <c r="X2813">
        <v>2.8519999999999999</v>
      </c>
      <c r="Y2813" s="32">
        <v>5.31</v>
      </c>
      <c r="Z2813">
        <v>0</v>
      </c>
      <c r="AA2813" s="32">
        <v>1.6739999999999999</v>
      </c>
      <c r="AB2813">
        <v>0</v>
      </c>
      <c r="AC2813" s="34">
        <v>0.216</v>
      </c>
      <c r="AD2813" s="32">
        <v>4.774</v>
      </c>
    </row>
    <row r="2814" spans="1:30">
      <c r="A2814">
        <v>2812</v>
      </c>
      <c r="B2814">
        <v>44</v>
      </c>
      <c r="C2814">
        <v>2.8410000000000002</v>
      </c>
      <c r="D2814">
        <v>5.28</v>
      </c>
      <c r="E2814">
        <v>0</v>
      </c>
      <c r="F2814">
        <v>1.8160000000000001</v>
      </c>
      <c r="G2814">
        <v>0</v>
      </c>
      <c r="H2814">
        <v>0.19600000000000001</v>
      </c>
      <c r="I2814">
        <v>5.31</v>
      </c>
      <c r="K2814">
        <v>2812</v>
      </c>
      <c r="L2814">
        <v>44</v>
      </c>
      <c r="M2814" s="32">
        <v>2.8410000000000002</v>
      </c>
      <c r="N2814" s="32">
        <v>5.28</v>
      </c>
      <c r="P2814" s="32">
        <v>1.8160000000000001</v>
      </c>
      <c r="R2814" s="47">
        <v>0.19900000000000001</v>
      </c>
      <c r="S2814" s="47">
        <v>5.16</v>
      </c>
      <c r="T2814" s="31">
        <v>0</v>
      </c>
      <c r="V2814">
        <v>2812</v>
      </c>
      <c r="W2814">
        <v>41</v>
      </c>
      <c r="X2814">
        <v>2.8530000000000002</v>
      </c>
      <c r="Y2814" s="32">
        <v>5.3250000000000002</v>
      </c>
      <c r="Z2814">
        <v>0</v>
      </c>
      <c r="AA2814" s="32">
        <v>1.6739999999999999</v>
      </c>
      <c r="AB2814">
        <v>0</v>
      </c>
      <c r="AC2814" s="34">
        <v>0.216</v>
      </c>
      <c r="AD2814" s="32">
        <v>4.7770000000000001</v>
      </c>
    </row>
    <row r="2815" spans="1:30">
      <c r="A2815">
        <v>2813</v>
      </c>
      <c r="B2815">
        <v>44</v>
      </c>
      <c r="C2815">
        <v>2.8420000000000001</v>
      </c>
      <c r="D2815">
        <v>5.28</v>
      </c>
      <c r="E2815">
        <v>0</v>
      </c>
      <c r="F2815">
        <v>1.8160000000000001</v>
      </c>
      <c r="G2815">
        <v>0</v>
      </c>
      <c r="H2815">
        <v>0.19600000000000001</v>
      </c>
      <c r="I2815">
        <v>5.3120000000000003</v>
      </c>
      <c r="K2815">
        <v>2813</v>
      </c>
      <c r="L2815">
        <v>44</v>
      </c>
      <c r="M2815" s="32">
        <v>2.8420000000000001</v>
      </c>
      <c r="N2815" s="32">
        <v>5.28</v>
      </c>
      <c r="P2815" s="32">
        <v>1.8160000000000001</v>
      </c>
      <c r="R2815" s="47">
        <v>0.19900000000000001</v>
      </c>
      <c r="S2815" s="47">
        <v>5.1619999999999999</v>
      </c>
      <c r="T2815" s="31">
        <v>0</v>
      </c>
      <c r="V2815">
        <v>2813</v>
      </c>
      <c r="W2815">
        <v>41</v>
      </c>
      <c r="X2815">
        <v>2.8540000000000001</v>
      </c>
      <c r="Y2815" s="32">
        <v>5.34</v>
      </c>
      <c r="Z2815">
        <v>0</v>
      </c>
      <c r="AA2815" s="32">
        <v>1.6739999999999999</v>
      </c>
      <c r="AB2815">
        <v>0</v>
      </c>
      <c r="AC2815" s="34">
        <v>0.216</v>
      </c>
      <c r="AD2815" s="32">
        <v>4.7789999999999999</v>
      </c>
    </row>
    <row r="2816" spans="1:30">
      <c r="A2816">
        <v>2814</v>
      </c>
      <c r="B2816">
        <v>44</v>
      </c>
      <c r="C2816">
        <v>2.843</v>
      </c>
      <c r="D2816">
        <v>5.28</v>
      </c>
      <c r="E2816">
        <v>0</v>
      </c>
      <c r="F2816">
        <v>1.8160000000000001</v>
      </c>
      <c r="G2816">
        <v>0</v>
      </c>
      <c r="H2816">
        <v>0.19600000000000001</v>
      </c>
      <c r="I2816">
        <v>5.3150000000000004</v>
      </c>
      <c r="K2816">
        <v>2814</v>
      </c>
      <c r="L2816">
        <v>44</v>
      </c>
      <c r="M2816" s="32">
        <v>2.843</v>
      </c>
      <c r="N2816" s="32">
        <v>5.28</v>
      </c>
      <c r="P2816" s="47">
        <v>1.8169999999999999</v>
      </c>
      <c r="R2816" s="47">
        <v>0.19900000000000001</v>
      </c>
      <c r="S2816" s="47">
        <v>5.165</v>
      </c>
      <c r="T2816" s="31">
        <v>0</v>
      </c>
      <c r="V2816">
        <v>2814</v>
      </c>
      <c r="W2816">
        <v>41</v>
      </c>
      <c r="X2816">
        <v>2.855</v>
      </c>
      <c r="Y2816" s="32">
        <v>5.3550000000000004</v>
      </c>
      <c r="Z2816">
        <v>0</v>
      </c>
      <c r="AA2816" s="32">
        <v>1.675</v>
      </c>
      <c r="AB2816">
        <v>0</v>
      </c>
      <c r="AC2816" s="34">
        <v>0.216</v>
      </c>
      <c r="AD2816" s="32">
        <v>4.7809999999999997</v>
      </c>
    </row>
    <row r="2817" spans="1:30">
      <c r="A2817">
        <v>2815</v>
      </c>
      <c r="B2817">
        <v>44</v>
      </c>
      <c r="C2817">
        <v>2.8439999999999999</v>
      </c>
      <c r="D2817">
        <v>5.28</v>
      </c>
      <c r="E2817">
        <v>0</v>
      </c>
      <c r="F2817">
        <v>1.8160000000000001</v>
      </c>
      <c r="G2817">
        <v>0</v>
      </c>
      <c r="H2817">
        <v>0.19600000000000001</v>
      </c>
      <c r="I2817">
        <v>5.3170000000000002</v>
      </c>
      <c r="K2817">
        <v>2815</v>
      </c>
      <c r="L2817">
        <v>44</v>
      </c>
      <c r="M2817" s="32">
        <v>2.8439999999999999</v>
      </c>
      <c r="N2817" s="32">
        <v>5.28</v>
      </c>
      <c r="P2817" s="47">
        <v>1.8169999999999999</v>
      </c>
      <c r="R2817" s="47">
        <v>0.19900000000000001</v>
      </c>
      <c r="S2817" s="47">
        <v>5.1669999999999998</v>
      </c>
      <c r="T2817" s="31">
        <v>0</v>
      </c>
      <c r="V2817">
        <v>2815</v>
      </c>
      <c r="W2817">
        <v>41</v>
      </c>
      <c r="X2817">
        <v>2.8559999999999999</v>
      </c>
      <c r="Y2817" s="32">
        <v>5.37</v>
      </c>
      <c r="Z2817">
        <v>0</v>
      </c>
      <c r="AA2817" s="32">
        <v>1.675</v>
      </c>
      <c r="AB2817">
        <v>0</v>
      </c>
      <c r="AC2817" s="34">
        <v>0.216</v>
      </c>
      <c r="AD2817" s="32">
        <v>4.7839999999999998</v>
      </c>
    </row>
    <row r="2818" spans="1:30">
      <c r="A2818">
        <v>2816</v>
      </c>
      <c r="B2818">
        <v>44</v>
      </c>
      <c r="C2818">
        <v>2.8450000000000002</v>
      </c>
      <c r="D2818">
        <v>5.28</v>
      </c>
      <c r="E2818">
        <v>0</v>
      </c>
      <c r="F2818">
        <v>1.8160000000000001</v>
      </c>
      <c r="G2818">
        <v>0</v>
      </c>
      <c r="H2818">
        <v>0.19600000000000001</v>
      </c>
      <c r="I2818">
        <v>5.32</v>
      </c>
      <c r="K2818">
        <v>2816</v>
      </c>
      <c r="L2818">
        <v>44</v>
      </c>
      <c r="M2818" s="32">
        <v>2.8450000000000002</v>
      </c>
      <c r="N2818" s="32">
        <v>5.28</v>
      </c>
      <c r="P2818" s="47">
        <v>1.8169999999999999</v>
      </c>
      <c r="R2818" s="47">
        <v>0.19900000000000001</v>
      </c>
      <c r="S2818" s="47">
        <v>5.17</v>
      </c>
      <c r="T2818" s="31">
        <v>0</v>
      </c>
      <c r="V2818">
        <v>2816</v>
      </c>
      <c r="W2818">
        <v>42</v>
      </c>
      <c r="X2818">
        <v>2.8570000000000002</v>
      </c>
      <c r="Y2818" s="32">
        <v>5.3849999999999998</v>
      </c>
      <c r="Z2818">
        <v>0</v>
      </c>
      <c r="AA2818" s="32">
        <v>1.675</v>
      </c>
      <c r="AB2818">
        <v>0</v>
      </c>
      <c r="AC2818" s="34">
        <v>0.216</v>
      </c>
      <c r="AD2818" s="32">
        <v>4.7859999999999996</v>
      </c>
    </row>
    <row r="2819" spans="1:30">
      <c r="A2819">
        <v>2817</v>
      </c>
      <c r="B2819">
        <v>44</v>
      </c>
      <c r="C2819">
        <v>2.8460000000000001</v>
      </c>
      <c r="D2819">
        <v>5.28</v>
      </c>
      <c r="E2819">
        <v>0</v>
      </c>
      <c r="F2819">
        <v>1.8160000000000001</v>
      </c>
      <c r="G2819">
        <v>0</v>
      </c>
      <c r="H2819">
        <v>0.19600000000000001</v>
      </c>
      <c r="I2819">
        <v>5.3220000000000001</v>
      </c>
      <c r="K2819">
        <v>2817</v>
      </c>
      <c r="L2819">
        <v>44</v>
      </c>
      <c r="M2819" s="32">
        <v>2.8460000000000001</v>
      </c>
      <c r="N2819" s="32">
        <v>5.28</v>
      </c>
      <c r="P2819" s="47">
        <v>1.8169999999999999</v>
      </c>
      <c r="R2819" s="47">
        <v>0.19900000000000001</v>
      </c>
      <c r="S2819" s="47">
        <v>5.1719999999999997</v>
      </c>
      <c r="T2819" s="31">
        <v>0</v>
      </c>
      <c r="V2819">
        <v>2817</v>
      </c>
      <c r="W2819">
        <v>42</v>
      </c>
      <c r="X2819">
        <v>2.8580000000000001</v>
      </c>
      <c r="Y2819" s="32">
        <v>5.4</v>
      </c>
      <c r="Z2819">
        <v>0</v>
      </c>
      <c r="AA2819" s="32">
        <v>1.675</v>
      </c>
      <c r="AB2819">
        <v>0</v>
      </c>
      <c r="AC2819" s="34">
        <v>0.216</v>
      </c>
      <c r="AD2819" s="32">
        <v>4.7880000000000003</v>
      </c>
    </row>
    <row r="2820" spans="1:30">
      <c r="A2820">
        <v>2818</v>
      </c>
      <c r="B2820">
        <v>44</v>
      </c>
      <c r="C2820">
        <v>2.847</v>
      </c>
      <c r="D2820">
        <v>5.28</v>
      </c>
      <c r="E2820">
        <v>0</v>
      </c>
      <c r="F2820">
        <v>1.8160000000000001</v>
      </c>
      <c r="G2820">
        <v>0</v>
      </c>
      <c r="H2820">
        <v>0.19600000000000001</v>
      </c>
      <c r="I2820">
        <v>5.3250000000000002</v>
      </c>
      <c r="K2820">
        <v>2818</v>
      </c>
      <c r="L2820">
        <v>44</v>
      </c>
      <c r="M2820" s="32">
        <v>2.847</v>
      </c>
      <c r="N2820" s="32">
        <v>5.28</v>
      </c>
      <c r="P2820" s="47">
        <v>1.8169999999999999</v>
      </c>
      <c r="R2820" s="47">
        <v>0.19900000000000001</v>
      </c>
      <c r="S2820" s="47">
        <v>5.1749999999999998</v>
      </c>
      <c r="T2820" s="31">
        <v>0</v>
      </c>
      <c r="V2820">
        <v>2818</v>
      </c>
      <c r="W2820">
        <v>42</v>
      </c>
      <c r="X2820">
        <v>2.859</v>
      </c>
      <c r="Y2820" s="32">
        <v>5.415</v>
      </c>
      <c r="Z2820">
        <v>0</v>
      </c>
      <c r="AA2820" s="32">
        <v>1.675</v>
      </c>
      <c r="AB2820">
        <v>0</v>
      </c>
      <c r="AC2820" s="34">
        <v>0.216</v>
      </c>
      <c r="AD2820" s="32">
        <v>4.7910000000000004</v>
      </c>
    </row>
    <row r="2821" spans="1:30">
      <c r="A2821">
        <v>2819</v>
      </c>
      <c r="B2821">
        <v>44</v>
      </c>
      <c r="C2821">
        <v>2.8479999999999999</v>
      </c>
      <c r="D2821">
        <v>5.28</v>
      </c>
      <c r="E2821">
        <v>0</v>
      </c>
      <c r="F2821">
        <v>1.8160000000000001</v>
      </c>
      <c r="G2821">
        <v>0</v>
      </c>
      <c r="H2821">
        <v>0.19600000000000001</v>
      </c>
      <c r="I2821">
        <v>5.327</v>
      </c>
      <c r="K2821">
        <v>2819</v>
      </c>
      <c r="L2821">
        <v>44</v>
      </c>
      <c r="M2821" s="32">
        <v>2.8479999999999999</v>
      </c>
      <c r="N2821" s="32">
        <v>5.28</v>
      </c>
      <c r="P2821" s="47">
        <v>1.8180000000000001</v>
      </c>
      <c r="R2821" s="47">
        <v>0.19900000000000001</v>
      </c>
      <c r="S2821" s="47">
        <v>5.1769999999999996</v>
      </c>
      <c r="T2821" s="31">
        <v>0</v>
      </c>
      <c r="V2821">
        <v>2819</v>
      </c>
      <c r="W2821">
        <v>42</v>
      </c>
      <c r="X2821">
        <v>2.86</v>
      </c>
      <c r="Y2821" s="32">
        <v>5.43</v>
      </c>
      <c r="Z2821">
        <v>0</v>
      </c>
      <c r="AA2821" s="32">
        <v>1.6759999999999999</v>
      </c>
      <c r="AB2821">
        <v>0</v>
      </c>
      <c r="AC2821" s="34">
        <v>0.216</v>
      </c>
      <c r="AD2821" s="32">
        <v>4.7930000000000001</v>
      </c>
    </row>
    <row r="2822" spans="1:30">
      <c r="A2822">
        <v>2820</v>
      </c>
      <c r="B2822">
        <v>44</v>
      </c>
      <c r="C2822">
        <v>2.8490000000000002</v>
      </c>
      <c r="D2822">
        <v>5.28</v>
      </c>
      <c r="E2822">
        <v>0</v>
      </c>
      <c r="F2822">
        <v>1.8160000000000001</v>
      </c>
      <c r="G2822">
        <v>0</v>
      </c>
      <c r="H2822">
        <v>0.19600000000000001</v>
      </c>
      <c r="I2822">
        <v>5.33</v>
      </c>
      <c r="K2822">
        <v>2820</v>
      </c>
      <c r="L2822">
        <v>44</v>
      </c>
      <c r="M2822" s="32">
        <v>2.8490000000000002</v>
      </c>
      <c r="N2822" s="32">
        <v>5.28</v>
      </c>
      <c r="P2822" s="47">
        <v>1.8180000000000001</v>
      </c>
      <c r="R2822" s="47">
        <v>0.19900000000000001</v>
      </c>
      <c r="S2822" s="47">
        <v>5.18</v>
      </c>
      <c r="T2822" s="31">
        <v>0</v>
      </c>
      <c r="V2822">
        <v>2820</v>
      </c>
      <c r="W2822">
        <v>42</v>
      </c>
      <c r="X2822">
        <v>2.8610000000000002</v>
      </c>
      <c r="Y2822" s="32">
        <v>5.43</v>
      </c>
      <c r="Z2822">
        <v>0</v>
      </c>
      <c r="AA2822" s="32">
        <v>1.6759999999999999</v>
      </c>
      <c r="AB2822">
        <v>0</v>
      </c>
      <c r="AC2822" s="34">
        <v>0.216</v>
      </c>
      <c r="AD2822" s="32">
        <v>4.7949999999999999</v>
      </c>
    </row>
    <row r="2823" spans="1:30">
      <c r="A2823">
        <v>2821</v>
      </c>
      <c r="B2823">
        <v>44</v>
      </c>
      <c r="C2823">
        <v>2.85</v>
      </c>
      <c r="D2823">
        <v>5.28</v>
      </c>
      <c r="E2823">
        <v>0</v>
      </c>
      <c r="F2823">
        <v>1.8180000000000001</v>
      </c>
      <c r="G2823">
        <v>0</v>
      </c>
      <c r="H2823">
        <v>0.19600000000000001</v>
      </c>
      <c r="I2823">
        <v>5.1820000000000004</v>
      </c>
      <c r="K2823">
        <v>2821</v>
      </c>
      <c r="L2823">
        <v>44</v>
      </c>
      <c r="M2823" s="32">
        <v>2.85</v>
      </c>
      <c r="N2823" s="32">
        <v>5.28</v>
      </c>
      <c r="P2823" s="32">
        <v>1.8180000000000001</v>
      </c>
      <c r="R2823" s="47">
        <v>0.2</v>
      </c>
      <c r="S2823" s="32">
        <v>5.1820000000000004</v>
      </c>
      <c r="T2823" s="31">
        <v>0</v>
      </c>
      <c r="V2823">
        <v>2821</v>
      </c>
      <c r="W2823">
        <v>42</v>
      </c>
      <c r="X2823">
        <v>2.8620000000000001</v>
      </c>
      <c r="Y2823" s="32">
        <v>5.43</v>
      </c>
      <c r="Z2823">
        <v>0</v>
      </c>
      <c r="AA2823" s="32">
        <v>1.6759999999999999</v>
      </c>
      <c r="AB2823">
        <v>0</v>
      </c>
      <c r="AC2823" s="34">
        <v>0.216</v>
      </c>
      <c r="AD2823" s="32">
        <v>4.798</v>
      </c>
    </row>
    <row r="2824" spans="1:30">
      <c r="A2824">
        <v>2822</v>
      </c>
      <c r="B2824">
        <v>44</v>
      </c>
      <c r="C2824">
        <v>2.851</v>
      </c>
      <c r="D2824">
        <v>5.28</v>
      </c>
      <c r="E2824">
        <v>0</v>
      </c>
      <c r="F2824">
        <v>1.8180000000000001</v>
      </c>
      <c r="G2824">
        <v>0</v>
      </c>
      <c r="H2824">
        <v>0.19600000000000001</v>
      </c>
      <c r="I2824">
        <v>5.36</v>
      </c>
      <c r="K2824">
        <v>2822</v>
      </c>
      <c r="L2824">
        <v>44</v>
      </c>
      <c r="M2824" s="32">
        <v>2.851</v>
      </c>
      <c r="N2824" s="47">
        <v>5.2949999999999999</v>
      </c>
      <c r="P2824" s="32">
        <v>1.8180000000000001</v>
      </c>
      <c r="R2824" s="47">
        <v>0.2</v>
      </c>
      <c r="S2824" s="47">
        <v>5.1849999999999996</v>
      </c>
      <c r="T2824" s="31">
        <v>0</v>
      </c>
      <c r="V2824">
        <v>2822</v>
      </c>
      <c r="W2824">
        <v>42</v>
      </c>
      <c r="X2824">
        <v>2.863</v>
      </c>
      <c r="Y2824" s="32">
        <v>5.43</v>
      </c>
      <c r="Z2824">
        <v>0</v>
      </c>
      <c r="AA2824" s="32">
        <v>1.6759999999999999</v>
      </c>
      <c r="AB2824">
        <v>0</v>
      </c>
      <c r="AC2824" s="34">
        <v>0.216</v>
      </c>
      <c r="AD2824" s="32">
        <v>4.8</v>
      </c>
    </row>
    <row r="2825" spans="1:30">
      <c r="A2825">
        <v>2823</v>
      </c>
      <c r="B2825">
        <v>44</v>
      </c>
      <c r="C2825">
        <v>2.8519999999999999</v>
      </c>
      <c r="D2825">
        <v>5.28</v>
      </c>
      <c r="E2825">
        <v>0</v>
      </c>
      <c r="F2825">
        <v>1.8180000000000001</v>
      </c>
      <c r="G2825">
        <v>0</v>
      </c>
      <c r="H2825">
        <v>0.19600000000000001</v>
      </c>
      <c r="I2825">
        <v>5.3620000000000001</v>
      </c>
      <c r="K2825">
        <v>2823</v>
      </c>
      <c r="L2825">
        <v>44</v>
      </c>
      <c r="M2825" s="32">
        <v>2.8519999999999999</v>
      </c>
      <c r="N2825" s="47">
        <v>5.31</v>
      </c>
      <c r="P2825" s="47">
        <v>1.819</v>
      </c>
      <c r="R2825" s="47">
        <v>0.2</v>
      </c>
      <c r="S2825" s="47">
        <v>5.1879999999999997</v>
      </c>
      <c r="T2825" s="31">
        <v>0</v>
      </c>
      <c r="V2825">
        <v>2823</v>
      </c>
      <c r="W2825">
        <v>42</v>
      </c>
      <c r="X2825">
        <v>2.8639999999999999</v>
      </c>
      <c r="Y2825" s="32">
        <v>5.43</v>
      </c>
      <c r="Z2825">
        <v>0</v>
      </c>
      <c r="AA2825" s="32">
        <v>1.677</v>
      </c>
      <c r="AB2825">
        <v>0</v>
      </c>
      <c r="AC2825" s="34">
        <v>0.216</v>
      </c>
      <c r="AD2825" s="32">
        <v>4.8029999999999999</v>
      </c>
    </row>
    <row r="2826" spans="1:30">
      <c r="A2826">
        <v>2824</v>
      </c>
      <c r="B2826">
        <v>44</v>
      </c>
      <c r="C2826">
        <v>2.8530000000000002</v>
      </c>
      <c r="D2826">
        <v>5.28</v>
      </c>
      <c r="E2826">
        <v>0</v>
      </c>
      <c r="F2826">
        <v>1.8180000000000001</v>
      </c>
      <c r="G2826">
        <v>0</v>
      </c>
      <c r="H2826">
        <v>0.19600000000000001</v>
      </c>
      <c r="I2826">
        <v>5.3650000000000002</v>
      </c>
      <c r="K2826">
        <v>2824</v>
      </c>
      <c r="L2826">
        <v>44</v>
      </c>
      <c r="M2826" s="32">
        <v>2.8530000000000002</v>
      </c>
      <c r="N2826" s="47">
        <v>5.3250000000000002</v>
      </c>
      <c r="P2826" s="47">
        <v>1.819</v>
      </c>
      <c r="R2826" s="47">
        <v>0.2</v>
      </c>
      <c r="S2826" s="47">
        <v>5.1909999999999998</v>
      </c>
      <c r="T2826" s="31">
        <v>0</v>
      </c>
      <c r="V2826">
        <v>2824</v>
      </c>
      <c r="W2826">
        <v>42</v>
      </c>
      <c r="X2826">
        <v>2.8650000000000002</v>
      </c>
      <c r="Y2826" s="32">
        <v>5.43</v>
      </c>
      <c r="Z2826">
        <v>0</v>
      </c>
      <c r="AA2826" s="32">
        <v>1.677</v>
      </c>
      <c r="AB2826">
        <v>0</v>
      </c>
      <c r="AC2826" s="34">
        <v>0.216</v>
      </c>
      <c r="AD2826" s="32">
        <v>4.8049999999999997</v>
      </c>
    </row>
    <row r="2827" spans="1:30">
      <c r="A2827">
        <v>2825</v>
      </c>
      <c r="B2827">
        <v>44</v>
      </c>
      <c r="C2827">
        <v>2.8540000000000001</v>
      </c>
      <c r="D2827">
        <v>5.28</v>
      </c>
      <c r="E2827">
        <v>0</v>
      </c>
      <c r="F2827">
        <v>1.8180000000000001</v>
      </c>
      <c r="G2827">
        <v>0</v>
      </c>
      <c r="H2827">
        <v>0.19600000000000001</v>
      </c>
      <c r="I2827">
        <v>5.367</v>
      </c>
      <c r="K2827">
        <v>2825</v>
      </c>
      <c r="L2827">
        <v>44</v>
      </c>
      <c r="M2827" s="32">
        <v>2.8540000000000001</v>
      </c>
      <c r="N2827" s="47">
        <v>5.34</v>
      </c>
      <c r="P2827" s="47">
        <v>1.819</v>
      </c>
      <c r="R2827" s="47">
        <v>0.2</v>
      </c>
      <c r="S2827" s="47">
        <v>5.194</v>
      </c>
      <c r="T2827" s="31">
        <v>0</v>
      </c>
      <c r="V2827">
        <v>2825</v>
      </c>
      <c r="W2827">
        <v>42</v>
      </c>
      <c r="X2827">
        <v>2.8660000000000001</v>
      </c>
      <c r="Y2827" s="32">
        <v>5.43</v>
      </c>
      <c r="Z2827">
        <v>0</v>
      </c>
      <c r="AA2827" s="32">
        <v>1.677</v>
      </c>
      <c r="AB2827">
        <v>0</v>
      </c>
      <c r="AC2827" s="34">
        <v>0.216</v>
      </c>
      <c r="AD2827" s="32">
        <v>4.8070000000000004</v>
      </c>
    </row>
    <row r="2828" spans="1:30">
      <c r="A2828">
        <v>2826</v>
      </c>
      <c r="B2828">
        <v>44</v>
      </c>
      <c r="C2828">
        <v>2.855</v>
      </c>
      <c r="D2828">
        <v>5.28</v>
      </c>
      <c r="E2828">
        <v>0</v>
      </c>
      <c r="F2828">
        <v>1.8180000000000001</v>
      </c>
      <c r="G2828">
        <v>0</v>
      </c>
      <c r="H2828">
        <v>0.19600000000000001</v>
      </c>
      <c r="I2828">
        <v>5.37</v>
      </c>
      <c r="K2828">
        <v>2826</v>
      </c>
      <c r="L2828">
        <v>44</v>
      </c>
      <c r="M2828" s="32">
        <v>2.855</v>
      </c>
      <c r="N2828" s="47">
        <v>5.3550000000000004</v>
      </c>
      <c r="P2828" s="47">
        <v>1.82</v>
      </c>
      <c r="R2828" s="47">
        <v>0.2</v>
      </c>
      <c r="S2828" s="47">
        <v>5.1970000000000001</v>
      </c>
      <c r="T2828" s="31">
        <v>0</v>
      </c>
      <c r="V2828">
        <v>2826</v>
      </c>
      <c r="W2828">
        <v>42</v>
      </c>
      <c r="X2828">
        <v>2.867</v>
      </c>
      <c r="Y2828" s="32">
        <v>5.43</v>
      </c>
      <c r="Z2828">
        <v>0</v>
      </c>
      <c r="AA2828" s="32">
        <v>1.677</v>
      </c>
      <c r="AB2828">
        <v>0</v>
      </c>
      <c r="AC2828" s="34">
        <v>0.216</v>
      </c>
      <c r="AD2828" s="32">
        <v>4.8099999999999996</v>
      </c>
    </row>
    <row r="2829" spans="1:30">
      <c r="A2829">
        <v>2827</v>
      </c>
      <c r="B2829">
        <v>44</v>
      </c>
      <c r="C2829">
        <v>2.8559999999999999</v>
      </c>
      <c r="D2829">
        <v>5.28</v>
      </c>
      <c r="E2829">
        <v>0</v>
      </c>
      <c r="F2829">
        <v>1.8180000000000001</v>
      </c>
      <c r="G2829">
        <v>0</v>
      </c>
      <c r="H2829">
        <v>0.19600000000000001</v>
      </c>
      <c r="I2829">
        <v>5.3719999999999999</v>
      </c>
      <c r="K2829">
        <v>2827</v>
      </c>
      <c r="L2829">
        <v>44</v>
      </c>
      <c r="M2829" s="32">
        <v>2.8559999999999999</v>
      </c>
      <c r="N2829" s="47">
        <v>5.37</v>
      </c>
      <c r="P2829" s="47">
        <v>1.82</v>
      </c>
      <c r="R2829" s="47">
        <v>0.2</v>
      </c>
      <c r="S2829" s="47">
        <v>5.1989999999999998</v>
      </c>
      <c r="T2829" s="31">
        <v>0</v>
      </c>
      <c r="V2829">
        <v>2827</v>
      </c>
      <c r="W2829">
        <v>42</v>
      </c>
      <c r="X2829">
        <v>2.8679999999999999</v>
      </c>
      <c r="Y2829" s="32">
        <v>5.43</v>
      </c>
      <c r="Z2829">
        <v>0</v>
      </c>
      <c r="AA2829" s="32">
        <v>1.6779999999999999</v>
      </c>
      <c r="AB2829">
        <v>0</v>
      </c>
      <c r="AC2829" s="34">
        <v>0.216</v>
      </c>
      <c r="AD2829" s="32">
        <v>4.8120000000000003</v>
      </c>
    </row>
    <row r="2830" spans="1:30">
      <c r="A2830">
        <v>2828</v>
      </c>
      <c r="B2830">
        <v>44</v>
      </c>
      <c r="C2830">
        <v>2.8570000000000002</v>
      </c>
      <c r="D2830">
        <v>5.28</v>
      </c>
      <c r="E2830">
        <v>0</v>
      </c>
      <c r="F2830">
        <v>1.8180000000000001</v>
      </c>
      <c r="G2830">
        <v>0</v>
      </c>
      <c r="H2830">
        <v>0.19600000000000001</v>
      </c>
      <c r="I2830">
        <v>5.375</v>
      </c>
      <c r="K2830">
        <v>2828</v>
      </c>
      <c r="L2830">
        <v>44</v>
      </c>
      <c r="M2830" s="32">
        <v>2.8570000000000002</v>
      </c>
      <c r="N2830" s="47">
        <v>5.3849999999999998</v>
      </c>
      <c r="P2830" s="47">
        <v>1.82</v>
      </c>
      <c r="R2830" s="47">
        <v>0.2</v>
      </c>
      <c r="S2830" s="47">
        <v>5.202</v>
      </c>
      <c r="T2830" s="31">
        <v>0</v>
      </c>
      <c r="V2830">
        <v>2828</v>
      </c>
      <c r="W2830">
        <v>42</v>
      </c>
      <c r="X2830">
        <v>2.8690000000000002</v>
      </c>
      <c r="Y2830" s="32">
        <v>5.43</v>
      </c>
      <c r="Z2830">
        <v>0</v>
      </c>
      <c r="AA2830" s="32">
        <v>1.6779999999999999</v>
      </c>
      <c r="AB2830">
        <v>0</v>
      </c>
      <c r="AC2830" s="34">
        <v>0.217</v>
      </c>
      <c r="AD2830" s="32">
        <v>4.8140000000000001</v>
      </c>
    </row>
    <row r="2831" spans="1:30">
      <c r="A2831">
        <v>2829</v>
      </c>
      <c r="B2831">
        <v>44</v>
      </c>
      <c r="C2831">
        <v>2.8580000000000001</v>
      </c>
      <c r="D2831">
        <v>5.28</v>
      </c>
      <c r="E2831">
        <v>0</v>
      </c>
      <c r="F2831">
        <v>1.8180000000000001</v>
      </c>
      <c r="G2831">
        <v>0</v>
      </c>
      <c r="H2831">
        <v>0.19600000000000001</v>
      </c>
      <c r="I2831">
        <v>5.3769999999999998</v>
      </c>
      <c r="K2831">
        <v>2829</v>
      </c>
      <c r="L2831">
        <v>44</v>
      </c>
      <c r="M2831" s="32">
        <v>2.8580000000000001</v>
      </c>
      <c r="N2831" s="47">
        <v>5.4</v>
      </c>
      <c r="P2831" s="47">
        <v>1.82</v>
      </c>
      <c r="R2831" s="47">
        <v>0.2</v>
      </c>
      <c r="S2831" s="47">
        <v>5.2050000000000001</v>
      </c>
      <c r="T2831" s="31">
        <v>0</v>
      </c>
      <c r="V2831">
        <v>2829</v>
      </c>
      <c r="W2831">
        <v>42</v>
      </c>
      <c r="X2831">
        <v>2.87</v>
      </c>
      <c r="Y2831" s="32">
        <v>5.43</v>
      </c>
      <c r="Z2831">
        <v>0</v>
      </c>
      <c r="AA2831" s="32">
        <v>1.6779999999999999</v>
      </c>
      <c r="AB2831">
        <v>0</v>
      </c>
      <c r="AC2831" s="34">
        <v>0.217</v>
      </c>
      <c r="AD2831" s="32">
        <v>4.8170000000000002</v>
      </c>
    </row>
    <row r="2832" spans="1:30">
      <c r="A2832">
        <v>2830</v>
      </c>
      <c r="B2832">
        <v>44</v>
      </c>
      <c r="C2832">
        <v>2.859</v>
      </c>
      <c r="D2832">
        <v>5.28</v>
      </c>
      <c r="E2832">
        <v>0</v>
      </c>
      <c r="F2832">
        <v>1.8180000000000001</v>
      </c>
      <c r="G2832">
        <v>0</v>
      </c>
      <c r="H2832">
        <v>0.19600000000000001</v>
      </c>
      <c r="I2832">
        <v>5.38</v>
      </c>
      <c r="K2832">
        <v>2830</v>
      </c>
      <c r="L2832">
        <v>44</v>
      </c>
      <c r="M2832" s="32">
        <v>2.859</v>
      </c>
      <c r="N2832" s="47">
        <v>5.415</v>
      </c>
      <c r="P2832" s="47">
        <v>1.821</v>
      </c>
      <c r="R2832" s="47">
        <v>0.2</v>
      </c>
      <c r="S2832" s="47">
        <v>5.2080000000000002</v>
      </c>
      <c r="T2832" s="31">
        <v>0</v>
      </c>
      <c r="V2832">
        <v>2830</v>
      </c>
      <c r="W2832">
        <v>42</v>
      </c>
      <c r="X2832">
        <v>2.871</v>
      </c>
      <c r="Y2832" s="32">
        <v>5.43</v>
      </c>
      <c r="Z2832">
        <v>0</v>
      </c>
      <c r="AA2832" s="32">
        <v>1.6779999999999999</v>
      </c>
      <c r="AB2832">
        <v>0</v>
      </c>
      <c r="AC2832" s="34">
        <v>0.217</v>
      </c>
      <c r="AD2832" s="32">
        <v>4.819</v>
      </c>
    </row>
    <row r="2833" spans="1:30">
      <c r="A2833">
        <v>2831</v>
      </c>
      <c r="B2833">
        <v>45</v>
      </c>
      <c r="C2833">
        <v>2.86</v>
      </c>
      <c r="D2833">
        <v>5.43</v>
      </c>
      <c r="E2833">
        <v>0</v>
      </c>
      <c r="F2833">
        <v>1.821</v>
      </c>
      <c r="G2833">
        <v>0</v>
      </c>
      <c r="H2833">
        <v>0.2</v>
      </c>
      <c r="I2833">
        <v>5.2110000000000003</v>
      </c>
      <c r="K2833">
        <v>2831</v>
      </c>
      <c r="L2833">
        <v>45</v>
      </c>
      <c r="M2833" s="32">
        <v>2.86</v>
      </c>
      <c r="N2833" s="32">
        <v>5.43</v>
      </c>
      <c r="P2833" s="32">
        <v>1.821</v>
      </c>
      <c r="R2833" s="32">
        <v>0.2</v>
      </c>
      <c r="S2833" s="32">
        <v>5.2110000000000003</v>
      </c>
      <c r="T2833" s="31">
        <v>0</v>
      </c>
      <c r="V2833">
        <v>2831</v>
      </c>
      <c r="W2833">
        <v>42</v>
      </c>
      <c r="X2833">
        <v>2.8719999999999999</v>
      </c>
      <c r="Y2833" s="32">
        <v>5.43</v>
      </c>
      <c r="Z2833">
        <v>0</v>
      </c>
      <c r="AA2833" s="32">
        <v>1.679</v>
      </c>
      <c r="AB2833">
        <v>0</v>
      </c>
      <c r="AC2833" s="34">
        <v>0.217</v>
      </c>
      <c r="AD2833" s="32">
        <v>4.8209999999999997</v>
      </c>
    </row>
    <row r="2834" spans="1:30">
      <c r="A2834">
        <v>2832</v>
      </c>
      <c r="B2834">
        <v>45</v>
      </c>
      <c r="C2834">
        <v>2.8610000000000002</v>
      </c>
      <c r="D2834">
        <v>5.43</v>
      </c>
      <c r="E2834">
        <v>0</v>
      </c>
      <c r="F2834">
        <v>1.821</v>
      </c>
      <c r="G2834">
        <v>0</v>
      </c>
      <c r="H2834">
        <v>0.2</v>
      </c>
      <c r="I2834">
        <v>5.2140000000000004</v>
      </c>
      <c r="K2834">
        <v>2832</v>
      </c>
      <c r="L2834">
        <v>45</v>
      </c>
      <c r="M2834" s="32">
        <v>2.8610000000000002</v>
      </c>
      <c r="N2834" s="32">
        <v>5.43</v>
      </c>
      <c r="P2834" s="32">
        <v>1.821</v>
      </c>
      <c r="R2834" s="32">
        <v>0.2</v>
      </c>
      <c r="S2834" s="47">
        <v>5.2130000000000001</v>
      </c>
      <c r="T2834" s="31">
        <v>0</v>
      </c>
      <c r="V2834">
        <v>2832</v>
      </c>
      <c r="W2834">
        <v>42</v>
      </c>
      <c r="X2834">
        <v>2.8730000000000002</v>
      </c>
      <c r="Y2834" s="32">
        <v>5.43</v>
      </c>
      <c r="Z2834">
        <v>0</v>
      </c>
      <c r="AA2834" s="32">
        <v>1.679</v>
      </c>
      <c r="AB2834">
        <v>0</v>
      </c>
      <c r="AC2834" s="34">
        <v>0.217</v>
      </c>
      <c r="AD2834" s="32">
        <v>4.8239999999999998</v>
      </c>
    </row>
    <row r="2835" spans="1:30">
      <c r="A2835">
        <v>2833</v>
      </c>
      <c r="B2835">
        <v>45</v>
      </c>
      <c r="C2835">
        <v>2.8620000000000001</v>
      </c>
      <c r="D2835">
        <v>5.44</v>
      </c>
      <c r="E2835">
        <v>0</v>
      </c>
      <c r="F2835">
        <v>1.8220000000000001</v>
      </c>
      <c r="G2835">
        <v>0</v>
      </c>
      <c r="H2835">
        <v>0.2</v>
      </c>
      <c r="I2835">
        <v>5.2160000000000002</v>
      </c>
      <c r="K2835">
        <v>2833</v>
      </c>
      <c r="L2835">
        <v>45</v>
      </c>
      <c r="M2835" s="32">
        <v>2.8620000000000001</v>
      </c>
      <c r="N2835" s="47">
        <v>5.43</v>
      </c>
      <c r="P2835" s="32">
        <v>1.8220000000000001</v>
      </c>
      <c r="R2835" s="32">
        <v>0.2</v>
      </c>
      <c r="S2835" s="47">
        <v>5.2149999999999999</v>
      </c>
      <c r="T2835" s="31">
        <v>0</v>
      </c>
      <c r="V2835">
        <v>2833</v>
      </c>
      <c r="W2835">
        <v>42</v>
      </c>
      <c r="X2835">
        <v>2.8740000000000001</v>
      </c>
      <c r="Y2835" s="32">
        <v>5.43</v>
      </c>
      <c r="Z2835">
        <v>0</v>
      </c>
      <c r="AA2835" s="32">
        <v>1.679</v>
      </c>
      <c r="AB2835">
        <v>0</v>
      </c>
      <c r="AC2835" s="34">
        <v>0.217</v>
      </c>
      <c r="AD2835" s="32">
        <v>4.8259999999999996</v>
      </c>
    </row>
    <row r="2836" spans="1:30">
      <c r="A2836">
        <v>2834</v>
      </c>
      <c r="B2836">
        <v>45</v>
      </c>
      <c r="C2836">
        <v>2.863</v>
      </c>
      <c r="D2836">
        <v>5.44</v>
      </c>
      <c r="E2836">
        <v>0</v>
      </c>
      <c r="F2836">
        <v>1.8220000000000001</v>
      </c>
      <c r="G2836">
        <v>0</v>
      </c>
      <c r="H2836">
        <v>0.2</v>
      </c>
      <c r="I2836">
        <v>5.2190000000000003</v>
      </c>
      <c r="K2836">
        <v>2834</v>
      </c>
      <c r="L2836">
        <v>45</v>
      </c>
      <c r="M2836" s="32">
        <v>2.863</v>
      </c>
      <c r="N2836" s="47">
        <v>5.43</v>
      </c>
      <c r="P2836" s="32">
        <v>1.8220000000000001</v>
      </c>
      <c r="R2836" s="32">
        <v>0.2</v>
      </c>
      <c r="S2836" s="47">
        <v>5.218</v>
      </c>
      <c r="T2836" s="31">
        <v>0</v>
      </c>
      <c r="V2836">
        <v>2834</v>
      </c>
      <c r="W2836">
        <v>42</v>
      </c>
      <c r="X2836">
        <v>2.875</v>
      </c>
      <c r="Y2836" s="32">
        <v>5.43</v>
      </c>
      <c r="Z2836">
        <v>0</v>
      </c>
      <c r="AA2836" s="32">
        <v>1.679</v>
      </c>
      <c r="AB2836">
        <v>0</v>
      </c>
      <c r="AC2836" s="34">
        <v>0.217</v>
      </c>
      <c r="AD2836" s="32">
        <v>4.8289999999999997</v>
      </c>
    </row>
    <row r="2837" spans="1:30">
      <c r="A2837">
        <v>2835</v>
      </c>
      <c r="B2837">
        <v>45</v>
      </c>
      <c r="C2837">
        <v>2.8639999999999999</v>
      </c>
      <c r="D2837">
        <v>5.44</v>
      </c>
      <c r="E2837">
        <v>0</v>
      </c>
      <c r="F2837">
        <v>1.8220000000000001</v>
      </c>
      <c r="G2837">
        <v>0</v>
      </c>
      <c r="H2837">
        <v>0.2</v>
      </c>
      <c r="I2837">
        <v>5.2210000000000001</v>
      </c>
      <c r="K2837">
        <v>2835</v>
      </c>
      <c r="L2837">
        <v>45</v>
      </c>
      <c r="M2837" s="32">
        <v>2.8639999999999999</v>
      </c>
      <c r="N2837" s="47">
        <v>5.43</v>
      </c>
      <c r="P2837" s="32">
        <v>1.8220000000000001</v>
      </c>
      <c r="R2837" s="32">
        <v>0.2</v>
      </c>
      <c r="S2837" s="47">
        <v>5.22</v>
      </c>
      <c r="T2837" s="31">
        <v>0</v>
      </c>
      <c r="V2837">
        <v>2835</v>
      </c>
      <c r="W2837">
        <v>42</v>
      </c>
      <c r="X2837">
        <v>2.8759999999999999</v>
      </c>
      <c r="Y2837" s="32">
        <v>5.43</v>
      </c>
      <c r="Z2837">
        <v>0</v>
      </c>
      <c r="AA2837" s="32">
        <v>1.679</v>
      </c>
      <c r="AB2837">
        <v>0</v>
      </c>
      <c r="AC2837" s="34">
        <v>0.217</v>
      </c>
      <c r="AD2837" s="32">
        <v>4.8310000000000004</v>
      </c>
    </row>
    <row r="2838" spans="1:30">
      <c r="A2838">
        <v>2836</v>
      </c>
      <c r="B2838">
        <v>45</v>
      </c>
      <c r="C2838">
        <v>2.8650000000000002</v>
      </c>
      <c r="D2838">
        <v>5.44</v>
      </c>
      <c r="E2838">
        <v>0</v>
      </c>
      <c r="F2838">
        <v>1.8220000000000001</v>
      </c>
      <c r="G2838">
        <v>0</v>
      </c>
      <c r="H2838">
        <v>0.2</v>
      </c>
      <c r="I2838">
        <v>5.2240000000000002</v>
      </c>
      <c r="K2838">
        <v>2836</v>
      </c>
      <c r="L2838">
        <v>45</v>
      </c>
      <c r="M2838" s="32">
        <v>2.8650000000000002</v>
      </c>
      <c r="N2838" s="47">
        <v>5.43</v>
      </c>
      <c r="P2838" s="47">
        <v>1.823</v>
      </c>
      <c r="R2838" s="32">
        <v>0.2</v>
      </c>
      <c r="S2838" s="47">
        <v>5.2220000000000004</v>
      </c>
      <c r="T2838" s="31">
        <v>0</v>
      </c>
      <c r="V2838">
        <v>2836</v>
      </c>
      <c r="W2838">
        <v>42</v>
      </c>
      <c r="X2838">
        <v>2.8769999999999998</v>
      </c>
      <c r="Y2838" s="32">
        <v>5.43</v>
      </c>
      <c r="Z2838">
        <v>0</v>
      </c>
      <c r="AA2838" s="32">
        <v>1.68</v>
      </c>
      <c r="AB2838">
        <v>0</v>
      </c>
      <c r="AC2838" s="34">
        <v>0.217</v>
      </c>
      <c r="AD2838" s="32">
        <v>4.8330000000000002</v>
      </c>
    </row>
    <row r="2839" spans="1:30">
      <c r="A2839">
        <v>2837</v>
      </c>
      <c r="B2839">
        <v>45</v>
      </c>
      <c r="C2839">
        <v>2.8660000000000001</v>
      </c>
      <c r="D2839">
        <v>5.45</v>
      </c>
      <c r="E2839">
        <v>0</v>
      </c>
      <c r="F2839">
        <v>1.823</v>
      </c>
      <c r="G2839">
        <v>0</v>
      </c>
      <c r="H2839">
        <v>0.2</v>
      </c>
      <c r="I2839">
        <v>5.226</v>
      </c>
      <c r="K2839">
        <v>2837</v>
      </c>
      <c r="L2839">
        <v>45</v>
      </c>
      <c r="M2839" s="32">
        <v>2.8660000000000001</v>
      </c>
      <c r="N2839" s="47">
        <v>5.43</v>
      </c>
      <c r="P2839" s="32">
        <v>1.823</v>
      </c>
      <c r="R2839" s="32">
        <v>0.2</v>
      </c>
      <c r="S2839" s="47">
        <v>5.2240000000000002</v>
      </c>
      <c r="T2839" s="31">
        <v>0</v>
      </c>
      <c r="V2839">
        <v>2837</v>
      </c>
      <c r="W2839">
        <v>42</v>
      </c>
      <c r="X2839">
        <v>2.8780000000000001</v>
      </c>
      <c r="Y2839" s="32">
        <v>5.43</v>
      </c>
      <c r="Z2839">
        <v>0</v>
      </c>
      <c r="AA2839" s="32">
        <v>1.68</v>
      </c>
      <c r="AB2839">
        <v>0</v>
      </c>
      <c r="AC2839" s="34">
        <v>0.217</v>
      </c>
      <c r="AD2839" s="32">
        <v>4.8360000000000003</v>
      </c>
    </row>
    <row r="2840" spans="1:30">
      <c r="A2840">
        <v>2838</v>
      </c>
      <c r="B2840">
        <v>45</v>
      </c>
      <c r="C2840">
        <v>2.867</v>
      </c>
      <c r="D2840">
        <v>5.45</v>
      </c>
      <c r="E2840">
        <v>0</v>
      </c>
      <c r="F2840">
        <v>1.823</v>
      </c>
      <c r="G2840">
        <v>0</v>
      </c>
      <c r="H2840">
        <v>0.2</v>
      </c>
      <c r="I2840">
        <v>5.2290000000000001</v>
      </c>
      <c r="K2840">
        <v>2838</v>
      </c>
      <c r="L2840">
        <v>45</v>
      </c>
      <c r="M2840" s="32">
        <v>2.867</v>
      </c>
      <c r="N2840" s="47">
        <v>5.43</v>
      </c>
      <c r="P2840" s="32">
        <v>1.823</v>
      </c>
      <c r="R2840" s="32">
        <v>0.2</v>
      </c>
      <c r="S2840" s="47">
        <v>5.226</v>
      </c>
      <c r="T2840" s="31">
        <v>0</v>
      </c>
      <c r="V2840">
        <v>2838</v>
      </c>
      <c r="W2840">
        <v>42</v>
      </c>
      <c r="X2840">
        <v>2.879</v>
      </c>
      <c r="Y2840" s="32">
        <v>5.43</v>
      </c>
      <c r="Z2840">
        <v>0</v>
      </c>
      <c r="AA2840" s="32">
        <v>1.68</v>
      </c>
      <c r="AB2840">
        <v>0</v>
      </c>
      <c r="AC2840" s="34">
        <v>0.217</v>
      </c>
      <c r="AD2840" s="32">
        <v>4.8380000000000001</v>
      </c>
    </row>
    <row r="2841" spans="1:30">
      <c r="A2841">
        <v>2839</v>
      </c>
      <c r="B2841">
        <v>45</v>
      </c>
      <c r="C2841">
        <v>2.8679999999999999</v>
      </c>
      <c r="D2841">
        <v>5.45</v>
      </c>
      <c r="E2841">
        <v>0</v>
      </c>
      <c r="F2841">
        <v>1.823</v>
      </c>
      <c r="G2841">
        <v>0</v>
      </c>
      <c r="H2841">
        <v>0.2</v>
      </c>
      <c r="I2841">
        <v>5.2309999999999999</v>
      </c>
      <c r="K2841">
        <v>2839</v>
      </c>
      <c r="L2841">
        <v>45</v>
      </c>
      <c r="M2841" s="32">
        <v>2.8679999999999999</v>
      </c>
      <c r="N2841" s="47">
        <v>5.43</v>
      </c>
      <c r="P2841" s="32">
        <v>1.823</v>
      </c>
      <c r="R2841" s="32">
        <v>0.2</v>
      </c>
      <c r="S2841" s="47">
        <v>5.2290000000000001</v>
      </c>
      <c r="T2841" s="31">
        <v>0</v>
      </c>
      <c r="V2841">
        <v>2839</v>
      </c>
      <c r="W2841">
        <v>42</v>
      </c>
      <c r="X2841">
        <v>2.88</v>
      </c>
      <c r="Y2841" s="32">
        <v>5.43</v>
      </c>
      <c r="Z2841">
        <v>0</v>
      </c>
      <c r="AA2841" s="32">
        <v>1.68</v>
      </c>
      <c r="AB2841">
        <v>0</v>
      </c>
      <c r="AC2841" s="34">
        <v>0.217</v>
      </c>
      <c r="AD2841" s="32">
        <v>4.84</v>
      </c>
    </row>
    <row r="2842" spans="1:30">
      <c r="A2842">
        <v>2840</v>
      </c>
      <c r="B2842">
        <v>45</v>
      </c>
      <c r="C2842">
        <v>2.8690000000000002</v>
      </c>
      <c r="D2842">
        <v>5.45</v>
      </c>
      <c r="E2842">
        <v>0</v>
      </c>
      <c r="F2842">
        <v>1.823</v>
      </c>
      <c r="G2842">
        <v>0</v>
      </c>
      <c r="H2842">
        <v>0.2</v>
      </c>
      <c r="I2842">
        <v>5.234</v>
      </c>
      <c r="K2842">
        <v>2840</v>
      </c>
      <c r="L2842">
        <v>45</v>
      </c>
      <c r="M2842" s="32">
        <v>2.8690000000000002</v>
      </c>
      <c r="N2842" s="47">
        <v>5.43</v>
      </c>
      <c r="P2842" s="47">
        <v>1.8240000000000001</v>
      </c>
      <c r="R2842" s="32">
        <v>0.2</v>
      </c>
      <c r="S2842" s="47">
        <v>5.2309999999999999</v>
      </c>
      <c r="T2842" s="31">
        <v>0</v>
      </c>
      <c r="V2842">
        <v>2840</v>
      </c>
      <c r="W2842">
        <v>42</v>
      </c>
      <c r="X2842">
        <v>2.8809999999999998</v>
      </c>
      <c r="Y2842" s="32">
        <v>5.43</v>
      </c>
      <c r="Z2842">
        <v>0</v>
      </c>
      <c r="AA2842" s="32">
        <v>1.681</v>
      </c>
      <c r="AB2842">
        <v>0</v>
      </c>
      <c r="AC2842" s="34">
        <v>0.217</v>
      </c>
      <c r="AD2842" s="32">
        <v>4.843</v>
      </c>
    </row>
    <row r="2843" spans="1:30">
      <c r="A2843">
        <v>2841</v>
      </c>
      <c r="B2843">
        <v>45</v>
      </c>
      <c r="C2843">
        <v>2.87</v>
      </c>
      <c r="D2843">
        <v>5.46</v>
      </c>
      <c r="E2843">
        <v>0</v>
      </c>
      <c r="F2843">
        <v>1.8240000000000001</v>
      </c>
      <c r="G2843">
        <v>0</v>
      </c>
      <c r="H2843">
        <v>0.2</v>
      </c>
      <c r="I2843">
        <v>5.2359999999999998</v>
      </c>
      <c r="K2843">
        <v>2841</v>
      </c>
      <c r="L2843">
        <v>45</v>
      </c>
      <c r="M2843" s="32">
        <v>2.87</v>
      </c>
      <c r="N2843" s="47">
        <v>5.43</v>
      </c>
      <c r="P2843" s="32">
        <v>1.8240000000000001</v>
      </c>
      <c r="R2843" s="32">
        <v>0.2</v>
      </c>
      <c r="S2843" s="47">
        <v>5.2329999999999997</v>
      </c>
      <c r="T2843" s="31">
        <v>0</v>
      </c>
      <c r="V2843">
        <v>2841</v>
      </c>
      <c r="W2843">
        <v>42</v>
      </c>
      <c r="X2843">
        <v>2.8820000000000001</v>
      </c>
      <c r="Y2843" s="32">
        <v>5.43</v>
      </c>
      <c r="Z2843">
        <v>0</v>
      </c>
      <c r="AA2843" s="32">
        <v>1.681</v>
      </c>
      <c r="AB2843">
        <v>0</v>
      </c>
      <c r="AC2843" s="34">
        <v>0.217</v>
      </c>
      <c r="AD2843" s="32">
        <v>4.8449999999999998</v>
      </c>
    </row>
    <row r="2844" spans="1:30">
      <c r="A2844">
        <v>2842</v>
      </c>
      <c r="B2844">
        <v>45</v>
      </c>
      <c r="C2844">
        <v>2.871</v>
      </c>
      <c r="D2844">
        <v>5.43</v>
      </c>
      <c r="E2844">
        <v>0</v>
      </c>
      <c r="F2844">
        <v>1.8240000000000001</v>
      </c>
      <c r="G2844">
        <v>0</v>
      </c>
      <c r="H2844">
        <v>0.2</v>
      </c>
      <c r="I2844">
        <v>5.2610000000000001</v>
      </c>
      <c r="K2844">
        <v>2842</v>
      </c>
      <c r="L2844">
        <v>45</v>
      </c>
      <c r="M2844" s="32">
        <v>2.871</v>
      </c>
      <c r="N2844" s="32">
        <v>5.43</v>
      </c>
      <c r="P2844" s="32">
        <v>1.8240000000000001</v>
      </c>
      <c r="R2844" s="32">
        <v>0.2</v>
      </c>
      <c r="S2844" s="47">
        <v>5.2359999999999998</v>
      </c>
      <c r="T2844" s="31">
        <v>0</v>
      </c>
      <c r="V2844">
        <v>2842</v>
      </c>
      <c r="W2844">
        <v>42</v>
      </c>
      <c r="X2844">
        <v>2.883</v>
      </c>
      <c r="Y2844" s="32">
        <v>5.43</v>
      </c>
      <c r="Z2844">
        <v>0</v>
      </c>
      <c r="AA2844" s="32">
        <v>1.681</v>
      </c>
      <c r="AB2844">
        <v>0</v>
      </c>
      <c r="AC2844" s="34">
        <v>0.217</v>
      </c>
      <c r="AD2844" s="32">
        <v>4.8479999999999999</v>
      </c>
    </row>
    <row r="2845" spans="1:30">
      <c r="A2845">
        <v>2843</v>
      </c>
      <c r="B2845">
        <v>45</v>
      </c>
      <c r="C2845">
        <v>2.8719999999999999</v>
      </c>
      <c r="D2845">
        <v>5.43</v>
      </c>
      <c r="E2845">
        <v>0</v>
      </c>
      <c r="F2845">
        <v>1.8240000000000001</v>
      </c>
      <c r="G2845">
        <v>0</v>
      </c>
      <c r="H2845">
        <v>0.2</v>
      </c>
      <c r="I2845">
        <v>5.2629999999999999</v>
      </c>
      <c r="K2845">
        <v>2843</v>
      </c>
      <c r="L2845">
        <v>45</v>
      </c>
      <c r="M2845" s="32">
        <v>2.8719999999999999</v>
      </c>
      <c r="N2845" s="32">
        <v>5.43</v>
      </c>
      <c r="P2845" s="32">
        <v>1.8240000000000001</v>
      </c>
      <c r="R2845" s="32">
        <v>0.2</v>
      </c>
      <c r="S2845" s="47">
        <v>5.2380000000000004</v>
      </c>
      <c r="T2845" s="31">
        <v>0</v>
      </c>
      <c r="V2845">
        <v>2843</v>
      </c>
      <c r="W2845">
        <v>42</v>
      </c>
      <c r="X2845">
        <v>2.8839999999999999</v>
      </c>
      <c r="Y2845" s="32">
        <v>5.43</v>
      </c>
      <c r="Z2845">
        <v>0</v>
      </c>
      <c r="AA2845" s="32">
        <v>1.681</v>
      </c>
      <c r="AB2845">
        <v>0</v>
      </c>
      <c r="AC2845" s="34">
        <v>0.217</v>
      </c>
      <c r="AD2845" s="32">
        <v>4.8499999999999996</v>
      </c>
    </row>
    <row r="2846" spans="1:30">
      <c r="A2846">
        <v>2844</v>
      </c>
      <c r="B2846">
        <v>45</v>
      </c>
      <c r="C2846">
        <v>2.8730000000000002</v>
      </c>
      <c r="D2846">
        <v>5.43</v>
      </c>
      <c r="E2846">
        <v>0</v>
      </c>
      <c r="F2846">
        <v>1.8240000000000001</v>
      </c>
      <c r="G2846">
        <v>0</v>
      </c>
      <c r="H2846">
        <v>0.2</v>
      </c>
      <c r="I2846">
        <v>5.266</v>
      </c>
      <c r="K2846">
        <v>2844</v>
      </c>
      <c r="L2846">
        <v>45</v>
      </c>
      <c r="M2846" s="32">
        <v>2.8730000000000002</v>
      </c>
      <c r="N2846" s="32">
        <v>5.43</v>
      </c>
      <c r="P2846" s="47">
        <v>1.825</v>
      </c>
      <c r="R2846" s="32">
        <v>0.2</v>
      </c>
      <c r="S2846" s="47">
        <v>5.2409999999999997</v>
      </c>
      <c r="T2846" s="31">
        <v>0</v>
      </c>
      <c r="V2846">
        <v>2844</v>
      </c>
      <c r="W2846">
        <v>42</v>
      </c>
      <c r="X2846">
        <v>2.8849999999999998</v>
      </c>
      <c r="Y2846" s="32">
        <v>5.43</v>
      </c>
      <c r="Z2846">
        <v>0</v>
      </c>
      <c r="AA2846" s="32">
        <v>1.6819999999999999</v>
      </c>
      <c r="AB2846">
        <v>0</v>
      </c>
      <c r="AC2846" s="34">
        <v>0.217</v>
      </c>
      <c r="AD2846" s="32">
        <v>4.8520000000000003</v>
      </c>
    </row>
    <row r="2847" spans="1:30">
      <c r="A2847">
        <v>2845</v>
      </c>
      <c r="B2847">
        <v>45</v>
      </c>
      <c r="C2847">
        <v>2.8740000000000001</v>
      </c>
      <c r="D2847">
        <v>5.43</v>
      </c>
      <c r="E2847">
        <v>0</v>
      </c>
      <c r="F2847">
        <v>1.8240000000000001</v>
      </c>
      <c r="G2847">
        <v>0</v>
      </c>
      <c r="H2847">
        <v>0.2</v>
      </c>
      <c r="I2847">
        <v>5.2679999999999998</v>
      </c>
      <c r="K2847">
        <v>2845</v>
      </c>
      <c r="L2847">
        <v>45</v>
      </c>
      <c r="M2847" s="32">
        <v>2.8740000000000001</v>
      </c>
      <c r="N2847" s="32">
        <v>5.43</v>
      </c>
      <c r="P2847" s="47">
        <v>1.825</v>
      </c>
      <c r="R2847" s="32">
        <v>0.2</v>
      </c>
      <c r="S2847" s="47">
        <v>5.2430000000000003</v>
      </c>
      <c r="T2847" s="31">
        <v>0</v>
      </c>
      <c r="V2847">
        <v>2845</v>
      </c>
      <c r="W2847">
        <v>42</v>
      </c>
      <c r="X2847">
        <v>2.8860000000000001</v>
      </c>
      <c r="Y2847" s="32">
        <v>5.43</v>
      </c>
      <c r="Z2847">
        <v>0</v>
      </c>
      <c r="AA2847" s="32">
        <v>1.6819999999999999</v>
      </c>
      <c r="AB2847">
        <v>0</v>
      </c>
      <c r="AC2847" s="34">
        <v>0.217</v>
      </c>
      <c r="AD2847" s="32">
        <v>4.8550000000000004</v>
      </c>
    </row>
    <row r="2848" spans="1:30">
      <c r="A2848">
        <v>2846</v>
      </c>
      <c r="B2848">
        <v>45</v>
      </c>
      <c r="C2848">
        <v>2.875</v>
      </c>
      <c r="D2848">
        <v>5.43</v>
      </c>
      <c r="E2848">
        <v>0</v>
      </c>
      <c r="F2848">
        <v>1.8240000000000001</v>
      </c>
      <c r="G2848">
        <v>0</v>
      </c>
      <c r="H2848">
        <v>0.2</v>
      </c>
      <c r="I2848">
        <v>5.2709999999999999</v>
      </c>
      <c r="K2848">
        <v>2846</v>
      </c>
      <c r="L2848">
        <v>45</v>
      </c>
      <c r="M2848" s="32">
        <v>2.875</v>
      </c>
      <c r="N2848" s="32">
        <v>5.43</v>
      </c>
      <c r="P2848" s="47">
        <v>1.825</v>
      </c>
      <c r="R2848" s="32">
        <v>0.2</v>
      </c>
      <c r="S2848" s="47">
        <v>5.2460000000000004</v>
      </c>
      <c r="T2848" s="31">
        <v>0</v>
      </c>
      <c r="V2848">
        <v>2846</v>
      </c>
      <c r="W2848">
        <v>42</v>
      </c>
      <c r="X2848">
        <v>2.887</v>
      </c>
      <c r="Y2848" s="32">
        <v>5.43</v>
      </c>
      <c r="Z2848">
        <v>0</v>
      </c>
      <c r="AA2848" s="32">
        <v>1.6819999999999999</v>
      </c>
      <c r="AB2848">
        <v>0</v>
      </c>
      <c r="AC2848" s="34">
        <v>0.217</v>
      </c>
      <c r="AD2848" s="32">
        <v>4.8570000000000002</v>
      </c>
    </row>
    <row r="2849" spans="1:30">
      <c r="A2849">
        <v>2847</v>
      </c>
      <c r="B2849">
        <v>45</v>
      </c>
      <c r="C2849">
        <v>2.8759999999999999</v>
      </c>
      <c r="D2849">
        <v>5.43</v>
      </c>
      <c r="E2849">
        <v>0</v>
      </c>
      <c r="F2849">
        <v>1.8240000000000001</v>
      </c>
      <c r="G2849">
        <v>0</v>
      </c>
      <c r="H2849">
        <v>0.2</v>
      </c>
      <c r="I2849">
        <v>5.2729999999999997</v>
      </c>
      <c r="K2849">
        <v>2847</v>
      </c>
      <c r="L2849">
        <v>45</v>
      </c>
      <c r="M2849" s="32">
        <v>2.8759999999999999</v>
      </c>
      <c r="N2849" s="32">
        <v>5.43</v>
      </c>
      <c r="P2849" s="47">
        <v>1.825</v>
      </c>
      <c r="R2849" s="32">
        <v>0.2</v>
      </c>
      <c r="S2849" s="47">
        <v>5.2489999999999997</v>
      </c>
      <c r="T2849" s="31">
        <v>0</v>
      </c>
      <c r="V2849">
        <v>2847</v>
      </c>
      <c r="W2849">
        <v>42</v>
      </c>
      <c r="X2849">
        <v>2.8879999999999999</v>
      </c>
      <c r="Y2849" s="32">
        <v>5.43</v>
      </c>
      <c r="Z2849">
        <v>0</v>
      </c>
      <c r="AA2849" s="32">
        <v>1.6819999999999999</v>
      </c>
      <c r="AB2849">
        <v>0</v>
      </c>
      <c r="AC2849" s="34">
        <v>0.217</v>
      </c>
      <c r="AD2849" s="32">
        <v>4.859</v>
      </c>
    </row>
    <row r="2850" spans="1:30">
      <c r="A2850">
        <v>2848</v>
      </c>
      <c r="B2850">
        <v>45</v>
      </c>
      <c r="C2850">
        <v>2.8769999999999998</v>
      </c>
      <c r="D2850">
        <v>5.43</v>
      </c>
      <c r="E2850">
        <v>0</v>
      </c>
      <c r="F2850">
        <v>1.8240000000000001</v>
      </c>
      <c r="G2850">
        <v>0</v>
      </c>
      <c r="H2850">
        <v>0.2</v>
      </c>
      <c r="I2850">
        <v>5.2759999999999998</v>
      </c>
      <c r="K2850">
        <v>2848</v>
      </c>
      <c r="L2850">
        <v>45</v>
      </c>
      <c r="M2850" s="32">
        <v>2.8769999999999998</v>
      </c>
      <c r="N2850" s="32">
        <v>5.43</v>
      </c>
      <c r="P2850" s="47">
        <v>1.825</v>
      </c>
      <c r="R2850" s="32">
        <v>0.2</v>
      </c>
      <c r="S2850" s="47">
        <v>5.2510000000000003</v>
      </c>
      <c r="T2850" s="31">
        <v>0</v>
      </c>
      <c r="V2850">
        <v>2848</v>
      </c>
      <c r="W2850">
        <v>42</v>
      </c>
      <c r="X2850">
        <v>2.8889999999999998</v>
      </c>
      <c r="Y2850" s="32">
        <v>5.43</v>
      </c>
      <c r="Z2850">
        <v>0</v>
      </c>
      <c r="AA2850" s="32">
        <v>1.6830000000000001</v>
      </c>
      <c r="AB2850">
        <v>0</v>
      </c>
      <c r="AC2850" s="34">
        <v>0.217</v>
      </c>
      <c r="AD2850" s="32">
        <v>4.8620000000000001</v>
      </c>
    </row>
    <row r="2851" spans="1:30">
      <c r="A2851">
        <v>2849</v>
      </c>
      <c r="B2851">
        <v>45</v>
      </c>
      <c r="C2851">
        <v>2.8780000000000001</v>
      </c>
      <c r="D2851">
        <v>5.43</v>
      </c>
      <c r="E2851">
        <v>0</v>
      </c>
      <c r="F2851">
        <v>1.8240000000000001</v>
      </c>
      <c r="G2851">
        <v>0</v>
      </c>
      <c r="H2851">
        <v>0.2</v>
      </c>
      <c r="I2851">
        <v>5.2779999999999996</v>
      </c>
      <c r="K2851">
        <v>2849</v>
      </c>
      <c r="L2851">
        <v>45</v>
      </c>
      <c r="M2851" s="32">
        <v>2.8780000000000001</v>
      </c>
      <c r="N2851" s="32">
        <v>5.43</v>
      </c>
      <c r="P2851" s="47">
        <v>1.8260000000000001</v>
      </c>
      <c r="R2851" s="32">
        <v>0.2</v>
      </c>
      <c r="S2851" s="47">
        <v>5.2539999999999996</v>
      </c>
      <c r="T2851" s="31">
        <v>0</v>
      </c>
      <c r="V2851">
        <v>2849</v>
      </c>
      <c r="W2851">
        <v>42</v>
      </c>
      <c r="X2851">
        <v>2.89</v>
      </c>
      <c r="Y2851" s="32">
        <v>5.43</v>
      </c>
      <c r="Z2851">
        <v>0</v>
      </c>
      <c r="AA2851" s="32">
        <v>1.6830000000000001</v>
      </c>
      <c r="AB2851">
        <v>0</v>
      </c>
      <c r="AC2851" s="34">
        <v>0.217</v>
      </c>
      <c r="AD2851" s="32">
        <v>4.8639999999999999</v>
      </c>
    </row>
    <row r="2852" spans="1:30">
      <c r="A2852">
        <v>2850</v>
      </c>
      <c r="B2852">
        <v>45</v>
      </c>
      <c r="C2852">
        <v>2.879</v>
      </c>
      <c r="D2852">
        <v>5.43</v>
      </c>
      <c r="E2852">
        <v>0</v>
      </c>
      <c r="F2852">
        <v>1.8240000000000001</v>
      </c>
      <c r="G2852">
        <v>0</v>
      </c>
      <c r="H2852">
        <v>0.2</v>
      </c>
      <c r="I2852">
        <v>5.2809999999999997</v>
      </c>
      <c r="K2852">
        <v>2850</v>
      </c>
      <c r="L2852">
        <v>45</v>
      </c>
      <c r="M2852" s="32">
        <v>2.879</v>
      </c>
      <c r="N2852" s="32">
        <v>5.43</v>
      </c>
      <c r="P2852" s="47">
        <v>1.8260000000000001</v>
      </c>
      <c r="R2852" s="32">
        <v>0.2</v>
      </c>
      <c r="S2852" s="47">
        <v>5.2560000000000002</v>
      </c>
      <c r="T2852" s="31">
        <v>0</v>
      </c>
      <c r="V2852">
        <v>2850</v>
      </c>
      <c r="W2852">
        <v>42</v>
      </c>
      <c r="X2852">
        <v>2.891</v>
      </c>
      <c r="Y2852" s="32">
        <v>5.43</v>
      </c>
      <c r="Z2852">
        <v>0</v>
      </c>
      <c r="AA2852" s="32">
        <v>1.6830000000000001</v>
      </c>
      <c r="AB2852">
        <v>0</v>
      </c>
      <c r="AC2852" s="34">
        <v>0.217</v>
      </c>
      <c r="AD2852" s="32">
        <v>4.8659999999999997</v>
      </c>
    </row>
    <row r="2853" spans="1:30">
      <c r="A2853">
        <v>2851</v>
      </c>
      <c r="B2853">
        <v>45</v>
      </c>
      <c r="C2853">
        <v>2.88</v>
      </c>
      <c r="D2853">
        <v>5.43</v>
      </c>
      <c r="E2853">
        <v>0</v>
      </c>
      <c r="F2853">
        <v>1.8260000000000001</v>
      </c>
      <c r="G2853">
        <v>0</v>
      </c>
      <c r="H2853">
        <v>0.2</v>
      </c>
      <c r="I2853">
        <v>5.2590000000000003</v>
      </c>
      <c r="K2853">
        <v>2851</v>
      </c>
      <c r="L2853">
        <v>45</v>
      </c>
      <c r="M2853" s="32">
        <v>2.88</v>
      </c>
      <c r="N2853" s="32">
        <v>5.43</v>
      </c>
      <c r="P2853" s="32">
        <v>1.8260000000000001</v>
      </c>
      <c r="R2853" s="47">
        <v>0.20100000000000001</v>
      </c>
      <c r="S2853" s="32">
        <v>5.2590000000000003</v>
      </c>
      <c r="T2853" s="31">
        <v>0</v>
      </c>
      <c r="V2853">
        <v>2851</v>
      </c>
      <c r="W2853">
        <v>42</v>
      </c>
      <c r="X2853">
        <v>2.8919999999999999</v>
      </c>
      <c r="Y2853" s="32">
        <v>5.43</v>
      </c>
      <c r="Z2853">
        <v>0</v>
      </c>
      <c r="AA2853" s="32">
        <v>1.6830000000000001</v>
      </c>
      <c r="AB2853">
        <v>0</v>
      </c>
      <c r="AC2853" s="34">
        <v>0.218</v>
      </c>
      <c r="AD2853" s="32">
        <v>4.8689999999999998</v>
      </c>
    </row>
    <row r="2854" spans="1:30">
      <c r="A2854">
        <v>2852</v>
      </c>
      <c r="B2854">
        <v>45</v>
      </c>
      <c r="C2854">
        <v>2.8809999999999998</v>
      </c>
      <c r="D2854">
        <v>5.43</v>
      </c>
      <c r="E2854">
        <v>0</v>
      </c>
      <c r="F2854">
        <v>1.8260000000000001</v>
      </c>
      <c r="G2854">
        <v>0</v>
      </c>
      <c r="H2854">
        <v>0.2</v>
      </c>
      <c r="I2854">
        <v>5.3120000000000003</v>
      </c>
      <c r="K2854">
        <v>2852</v>
      </c>
      <c r="L2854">
        <v>45</v>
      </c>
      <c r="M2854" s="32">
        <v>2.8809999999999998</v>
      </c>
      <c r="N2854" s="32">
        <v>5.43</v>
      </c>
      <c r="P2854" s="32">
        <v>1.8260000000000001</v>
      </c>
      <c r="R2854" s="47">
        <v>0.20100000000000001</v>
      </c>
      <c r="S2854" s="47">
        <v>5.2619999999999996</v>
      </c>
      <c r="T2854" s="31">
        <v>0</v>
      </c>
      <c r="V2854">
        <v>2852</v>
      </c>
      <c r="W2854">
        <v>42</v>
      </c>
      <c r="X2854">
        <v>2.8929999999999998</v>
      </c>
      <c r="Y2854" s="32">
        <v>5.43</v>
      </c>
      <c r="Z2854">
        <v>0</v>
      </c>
      <c r="AA2854" s="32">
        <v>1.6839999999999999</v>
      </c>
      <c r="AB2854">
        <v>0</v>
      </c>
      <c r="AC2854" s="34">
        <v>0.218</v>
      </c>
      <c r="AD2854" s="32">
        <v>4.8710000000000004</v>
      </c>
    </row>
    <row r="2855" spans="1:30">
      <c r="A2855">
        <v>2853</v>
      </c>
      <c r="B2855">
        <v>45</v>
      </c>
      <c r="C2855">
        <v>2.8820000000000001</v>
      </c>
      <c r="D2855">
        <v>5.43</v>
      </c>
      <c r="E2855">
        <v>0</v>
      </c>
      <c r="F2855">
        <v>1.8260000000000001</v>
      </c>
      <c r="G2855">
        <v>0</v>
      </c>
      <c r="H2855">
        <v>0.2</v>
      </c>
      <c r="I2855">
        <v>5.3150000000000004</v>
      </c>
      <c r="K2855">
        <v>2853</v>
      </c>
      <c r="L2855">
        <v>45</v>
      </c>
      <c r="M2855" s="32">
        <v>2.8820000000000001</v>
      </c>
      <c r="N2855" s="32">
        <v>5.43</v>
      </c>
      <c r="P2855" s="47">
        <v>1.827</v>
      </c>
      <c r="R2855" s="47">
        <v>0.20100000000000001</v>
      </c>
      <c r="S2855" s="47">
        <v>5.2640000000000002</v>
      </c>
      <c r="T2855" s="31">
        <v>0</v>
      </c>
      <c r="V2855">
        <v>2853</v>
      </c>
      <c r="W2855">
        <v>42</v>
      </c>
      <c r="X2855">
        <v>2.8940000000000001</v>
      </c>
      <c r="Y2855" s="32">
        <v>5.43</v>
      </c>
      <c r="Z2855">
        <v>0</v>
      </c>
      <c r="AA2855" s="32">
        <v>1.6839999999999999</v>
      </c>
      <c r="AB2855">
        <v>0</v>
      </c>
      <c r="AC2855" s="34">
        <v>0.218</v>
      </c>
      <c r="AD2855" s="32">
        <v>4.8739999999999997</v>
      </c>
    </row>
    <row r="2856" spans="1:30">
      <c r="A2856">
        <v>2854</v>
      </c>
      <c r="B2856">
        <v>45</v>
      </c>
      <c r="C2856">
        <v>2.883</v>
      </c>
      <c r="D2856">
        <v>5.43</v>
      </c>
      <c r="E2856">
        <v>0</v>
      </c>
      <c r="F2856">
        <v>1.8260000000000001</v>
      </c>
      <c r="G2856">
        <v>0</v>
      </c>
      <c r="H2856">
        <v>0.2</v>
      </c>
      <c r="I2856">
        <v>5.3170000000000002</v>
      </c>
      <c r="K2856">
        <v>2854</v>
      </c>
      <c r="L2856">
        <v>45</v>
      </c>
      <c r="M2856" s="32">
        <v>2.883</v>
      </c>
      <c r="N2856" s="32">
        <v>5.43</v>
      </c>
      <c r="P2856" s="47">
        <v>1.827</v>
      </c>
      <c r="R2856" s="47">
        <v>0.20100000000000001</v>
      </c>
      <c r="S2856" s="47">
        <v>5.2670000000000003</v>
      </c>
      <c r="T2856" s="31">
        <v>0</v>
      </c>
      <c r="V2856">
        <v>2854</v>
      </c>
      <c r="W2856">
        <v>42</v>
      </c>
      <c r="X2856">
        <v>2.895</v>
      </c>
      <c r="Y2856" s="32">
        <v>5.43</v>
      </c>
      <c r="Z2856">
        <v>0</v>
      </c>
      <c r="AA2856" s="32">
        <v>1.6839999999999999</v>
      </c>
      <c r="AB2856">
        <v>0</v>
      </c>
      <c r="AC2856" s="34">
        <v>0.218</v>
      </c>
      <c r="AD2856" s="32">
        <v>4.8760000000000003</v>
      </c>
    </row>
    <row r="2857" spans="1:30">
      <c r="A2857">
        <v>2855</v>
      </c>
      <c r="B2857">
        <v>45</v>
      </c>
      <c r="C2857">
        <v>2.8839999999999999</v>
      </c>
      <c r="D2857">
        <v>5.43</v>
      </c>
      <c r="E2857">
        <v>0</v>
      </c>
      <c r="F2857">
        <v>1.8260000000000001</v>
      </c>
      <c r="G2857">
        <v>0</v>
      </c>
      <c r="H2857">
        <v>0.2</v>
      </c>
      <c r="I2857">
        <v>5.32</v>
      </c>
      <c r="K2857">
        <v>2855</v>
      </c>
      <c r="L2857">
        <v>45</v>
      </c>
      <c r="M2857" s="32">
        <v>2.8839999999999999</v>
      </c>
      <c r="N2857" s="32">
        <v>5.43</v>
      </c>
      <c r="P2857" s="47">
        <v>1.827</v>
      </c>
      <c r="R2857" s="47">
        <v>0.20100000000000001</v>
      </c>
      <c r="S2857" s="47">
        <v>5.2690000000000001</v>
      </c>
      <c r="T2857" s="31">
        <v>0</v>
      </c>
      <c r="V2857">
        <v>2855</v>
      </c>
      <c r="W2857">
        <v>42</v>
      </c>
      <c r="X2857">
        <v>2.8959999999999999</v>
      </c>
      <c r="Y2857" s="32">
        <v>5.43</v>
      </c>
      <c r="Z2857">
        <v>0</v>
      </c>
      <c r="AA2857" s="32">
        <v>1.6839999999999999</v>
      </c>
      <c r="AB2857">
        <v>0</v>
      </c>
      <c r="AC2857" s="34">
        <v>0.218</v>
      </c>
      <c r="AD2857" s="32">
        <v>4.8780000000000001</v>
      </c>
    </row>
    <row r="2858" spans="1:30">
      <c r="A2858">
        <v>2856</v>
      </c>
      <c r="B2858">
        <v>45</v>
      </c>
      <c r="C2858">
        <v>2.8849999999999998</v>
      </c>
      <c r="D2858">
        <v>5.43</v>
      </c>
      <c r="E2858">
        <v>0</v>
      </c>
      <c r="F2858">
        <v>1.8260000000000001</v>
      </c>
      <c r="G2858">
        <v>0</v>
      </c>
      <c r="H2858">
        <v>0.2</v>
      </c>
      <c r="I2858">
        <v>5.3220000000000001</v>
      </c>
      <c r="K2858">
        <v>2856</v>
      </c>
      <c r="L2858">
        <v>45</v>
      </c>
      <c r="M2858" s="32">
        <v>2.8849999999999998</v>
      </c>
      <c r="N2858" s="32">
        <v>5.43</v>
      </c>
      <c r="P2858" s="47">
        <v>1.8280000000000001</v>
      </c>
      <c r="R2858" s="47">
        <v>0.20100000000000001</v>
      </c>
      <c r="S2858" s="47">
        <v>5.2720000000000002</v>
      </c>
      <c r="T2858" s="31">
        <v>0</v>
      </c>
      <c r="V2858">
        <v>2856</v>
      </c>
      <c r="W2858">
        <v>42</v>
      </c>
      <c r="X2858">
        <v>2.8969999999999998</v>
      </c>
      <c r="Y2858" s="32">
        <v>5.43</v>
      </c>
      <c r="Z2858">
        <v>0</v>
      </c>
      <c r="AA2858" s="32">
        <v>1.6839999999999999</v>
      </c>
      <c r="AB2858">
        <v>0</v>
      </c>
      <c r="AC2858" s="34">
        <v>0.218</v>
      </c>
      <c r="AD2858" s="32">
        <v>4.8810000000000002</v>
      </c>
    </row>
    <row r="2859" spans="1:30">
      <c r="A2859">
        <v>2857</v>
      </c>
      <c r="B2859">
        <v>45</v>
      </c>
      <c r="C2859">
        <v>2.8860000000000001</v>
      </c>
      <c r="D2859">
        <v>5.43</v>
      </c>
      <c r="E2859">
        <v>0</v>
      </c>
      <c r="F2859">
        <v>1.8260000000000001</v>
      </c>
      <c r="G2859">
        <v>0</v>
      </c>
      <c r="H2859">
        <v>0.2</v>
      </c>
      <c r="I2859">
        <v>5.3250000000000002</v>
      </c>
      <c r="K2859">
        <v>2857</v>
      </c>
      <c r="L2859">
        <v>45</v>
      </c>
      <c r="M2859" s="32">
        <v>2.8860000000000001</v>
      </c>
      <c r="N2859" s="32">
        <v>5.43</v>
      </c>
      <c r="P2859" s="47">
        <v>1.8280000000000001</v>
      </c>
      <c r="R2859" s="47">
        <v>0.20100000000000001</v>
      </c>
      <c r="S2859" s="47">
        <v>5.274</v>
      </c>
      <c r="T2859" s="31">
        <v>0</v>
      </c>
      <c r="V2859">
        <v>2857</v>
      </c>
      <c r="W2859">
        <v>42</v>
      </c>
      <c r="X2859">
        <v>2.8980000000000001</v>
      </c>
      <c r="Y2859" s="32">
        <v>5.43</v>
      </c>
      <c r="Z2859">
        <v>0</v>
      </c>
      <c r="AA2859" s="32">
        <v>1.6850000000000001</v>
      </c>
      <c r="AB2859">
        <v>0</v>
      </c>
      <c r="AC2859" s="34">
        <v>0.218</v>
      </c>
      <c r="AD2859" s="32">
        <v>4.883</v>
      </c>
    </row>
    <row r="2860" spans="1:30">
      <c r="A2860">
        <v>2858</v>
      </c>
      <c r="B2860">
        <v>45</v>
      </c>
      <c r="C2860">
        <v>2.887</v>
      </c>
      <c r="D2860">
        <v>5.43</v>
      </c>
      <c r="E2860">
        <v>0</v>
      </c>
      <c r="F2860">
        <v>1.8260000000000001</v>
      </c>
      <c r="G2860">
        <v>0</v>
      </c>
      <c r="H2860">
        <v>0.2</v>
      </c>
      <c r="I2860">
        <v>5.327</v>
      </c>
      <c r="K2860">
        <v>2858</v>
      </c>
      <c r="L2860">
        <v>45</v>
      </c>
      <c r="M2860" s="32">
        <v>2.887</v>
      </c>
      <c r="N2860" s="32">
        <v>5.43</v>
      </c>
      <c r="P2860" s="47">
        <v>1.8280000000000001</v>
      </c>
      <c r="R2860" s="47">
        <v>0.20100000000000001</v>
      </c>
      <c r="S2860" s="47">
        <v>5.2770000000000001</v>
      </c>
      <c r="T2860" s="31">
        <v>0</v>
      </c>
      <c r="V2860">
        <v>2858</v>
      </c>
      <c r="W2860">
        <v>42</v>
      </c>
      <c r="X2860">
        <v>2.899</v>
      </c>
      <c r="Y2860" s="32">
        <v>5.43</v>
      </c>
      <c r="Z2860">
        <v>0</v>
      </c>
      <c r="AA2860" s="32">
        <v>1.6850000000000001</v>
      </c>
      <c r="AB2860">
        <v>0</v>
      </c>
      <c r="AC2860" s="34">
        <v>0.218</v>
      </c>
      <c r="AD2860" s="32">
        <v>4.8849999999999998</v>
      </c>
    </row>
    <row r="2861" spans="1:30">
      <c r="A2861">
        <v>2859</v>
      </c>
      <c r="B2861">
        <v>45</v>
      </c>
      <c r="C2861">
        <v>2.8879999999999999</v>
      </c>
      <c r="D2861">
        <v>5.43</v>
      </c>
      <c r="E2861">
        <v>0</v>
      </c>
      <c r="F2861">
        <v>1.8260000000000001</v>
      </c>
      <c r="G2861">
        <v>0</v>
      </c>
      <c r="H2861">
        <v>0.2</v>
      </c>
      <c r="I2861">
        <v>5.33</v>
      </c>
      <c r="K2861">
        <v>2859</v>
      </c>
      <c r="L2861">
        <v>45</v>
      </c>
      <c r="M2861" s="32">
        <v>2.8879999999999999</v>
      </c>
      <c r="N2861" s="32">
        <v>5.43</v>
      </c>
      <c r="P2861" s="47">
        <v>1.8280000000000001</v>
      </c>
      <c r="R2861" s="47">
        <v>0.20100000000000001</v>
      </c>
      <c r="S2861" s="47">
        <v>5.2789999999999999</v>
      </c>
      <c r="T2861" s="31">
        <v>0</v>
      </c>
      <c r="V2861">
        <v>2859</v>
      </c>
      <c r="W2861">
        <v>42</v>
      </c>
      <c r="X2861">
        <v>2.9</v>
      </c>
      <c r="Y2861" s="32">
        <v>5.43</v>
      </c>
      <c r="Z2861">
        <v>0</v>
      </c>
      <c r="AA2861" s="32">
        <v>1.6850000000000001</v>
      </c>
      <c r="AB2861">
        <v>0</v>
      </c>
      <c r="AC2861" s="34">
        <v>0.218</v>
      </c>
      <c r="AD2861" s="32">
        <v>4.8879999999999999</v>
      </c>
    </row>
    <row r="2862" spans="1:30">
      <c r="A2862">
        <v>2860</v>
      </c>
      <c r="B2862">
        <v>45</v>
      </c>
      <c r="C2862">
        <v>2.8889999999999998</v>
      </c>
      <c r="D2862">
        <v>5.43</v>
      </c>
      <c r="E2862">
        <v>0</v>
      </c>
      <c r="F2862">
        <v>1.8260000000000001</v>
      </c>
      <c r="G2862">
        <v>0</v>
      </c>
      <c r="H2862">
        <v>0.2</v>
      </c>
      <c r="I2862">
        <v>5.3319999999999999</v>
      </c>
      <c r="K2862">
        <v>2860</v>
      </c>
      <c r="L2862">
        <v>45</v>
      </c>
      <c r="M2862" s="32">
        <v>2.8889999999999998</v>
      </c>
      <c r="N2862" s="32">
        <v>5.43</v>
      </c>
      <c r="P2862" s="47">
        <v>1.829</v>
      </c>
      <c r="R2862" s="47">
        <v>0.20100000000000001</v>
      </c>
      <c r="S2862" s="47">
        <v>5.282</v>
      </c>
      <c r="T2862" s="31">
        <v>0</v>
      </c>
      <c r="V2862">
        <v>2860</v>
      </c>
      <c r="W2862">
        <v>42</v>
      </c>
      <c r="X2862">
        <v>2.9009999999999998</v>
      </c>
      <c r="Y2862" s="32">
        <v>5.43</v>
      </c>
      <c r="Z2862">
        <v>0</v>
      </c>
      <c r="AA2862" s="32">
        <v>1.6850000000000001</v>
      </c>
      <c r="AB2862">
        <v>0</v>
      </c>
      <c r="AC2862" s="34">
        <v>0.218</v>
      </c>
      <c r="AD2862" s="32">
        <v>4.8899999999999997</v>
      </c>
    </row>
    <row r="2863" spans="1:30">
      <c r="A2863">
        <v>2861</v>
      </c>
      <c r="B2863">
        <v>45</v>
      </c>
      <c r="C2863">
        <v>2.89</v>
      </c>
      <c r="D2863">
        <v>5.43</v>
      </c>
      <c r="E2863">
        <v>0</v>
      </c>
      <c r="F2863">
        <v>1.8260000000000001</v>
      </c>
      <c r="G2863">
        <v>0</v>
      </c>
      <c r="H2863">
        <v>0.2</v>
      </c>
      <c r="I2863">
        <v>5.335</v>
      </c>
      <c r="K2863">
        <v>2861</v>
      </c>
      <c r="L2863">
        <v>45</v>
      </c>
      <c r="M2863" s="32">
        <v>2.89</v>
      </c>
      <c r="N2863" s="32">
        <v>5.43</v>
      </c>
      <c r="P2863" s="47">
        <v>1.829</v>
      </c>
      <c r="R2863" s="47">
        <v>0.20100000000000001</v>
      </c>
      <c r="S2863" s="47">
        <v>5.2839999999999998</v>
      </c>
      <c r="T2863" s="31">
        <v>0</v>
      </c>
      <c r="V2863">
        <v>2861</v>
      </c>
      <c r="W2863">
        <v>42</v>
      </c>
      <c r="X2863">
        <v>2.9020000000000001</v>
      </c>
      <c r="Y2863" s="32">
        <v>5.43</v>
      </c>
      <c r="Z2863">
        <v>0</v>
      </c>
      <c r="AA2863" s="32">
        <v>1.6859999999999999</v>
      </c>
      <c r="AB2863">
        <v>0</v>
      </c>
      <c r="AC2863" s="34">
        <v>0.218</v>
      </c>
      <c r="AD2863" s="32">
        <v>4.8920000000000003</v>
      </c>
    </row>
    <row r="2864" spans="1:30">
      <c r="A2864">
        <v>2862</v>
      </c>
      <c r="B2864">
        <v>45</v>
      </c>
      <c r="C2864">
        <v>2.891</v>
      </c>
      <c r="D2864">
        <v>5.43</v>
      </c>
      <c r="E2864">
        <v>0</v>
      </c>
      <c r="F2864">
        <v>1.829</v>
      </c>
      <c r="G2864">
        <v>0</v>
      </c>
      <c r="H2864">
        <v>0.2</v>
      </c>
      <c r="I2864">
        <v>5.3620000000000001</v>
      </c>
      <c r="K2864">
        <v>2862</v>
      </c>
      <c r="L2864">
        <v>45</v>
      </c>
      <c r="M2864" s="32">
        <v>2.891</v>
      </c>
      <c r="N2864" s="32">
        <v>5.43</v>
      </c>
      <c r="P2864" s="32">
        <v>1.829</v>
      </c>
      <c r="R2864" s="47">
        <v>0.20100000000000001</v>
      </c>
      <c r="S2864" s="47">
        <v>5.2869999999999999</v>
      </c>
      <c r="T2864" s="31">
        <v>0</v>
      </c>
      <c r="V2864">
        <v>2862</v>
      </c>
      <c r="W2864">
        <v>42</v>
      </c>
      <c r="X2864">
        <v>2.903</v>
      </c>
      <c r="Y2864" s="32">
        <v>5.43</v>
      </c>
      <c r="Z2864">
        <v>0</v>
      </c>
      <c r="AA2864" s="32">
        <v>1.6859999999999999</v>
      </c>
      <c r="AB2864">
        <v>0</v>
      </c>
      <c r="AC2864" s="34">
        <v>0.218</v>
      </c>
      <c r="AD2864" s="32">
        <v>4.8949999999999996</v>
      </c>
    </row>
    <row r="2865" spans="1:30">
      <c r="A2865">
        <v>2863</v>
      </c>
      <c r="B2865">
        <v>45</v>
      </c>
      <c r="C2865">
        <v>2.8919999999999999</v>
      </c>
      <c r="D2865">
        <v>5.43</v>
      </c>
      <c r="E2865">
        <v>0</v>
      </c>
      <c r="F2865">
        <v>1.829</v>
      </c>
      <c r="G2865">
        <v>0</v>
      </c>
      <c r="H2865">
        <v>0.2</v>
      </c>
      <c r="I2865">
        <v>5.3650000000000002</v>
      </c>
      <c r="K2865">
        <v>2863</v>
      </c>
      <c r="L2865">
        <v>45</v>
      </c>
      <c r="M2865" s="32">
        <v>2.8919999999999999</v>
      </c>
      <c r="N2865" s="32">
        <v>5.43</v>
      </c>
      <c r="P2865" s="32">
        <v>1.829</v>
      </c>
      <c r="R2865" s="47">
        <v>0.20100000000000001</v>
      </c>
      <c r="S2865" s="47">
        <v>5.2889999999999997</v>
      </c>
      <c r="T2865" s="31">
        <v>0</v>
      </c>
      <c r="V2865">
        <v>2863</v>
      </c>
      <c r="W2865">
        <v>42</v>
      </c>
      <c r="X2865">
        <v>2.9039999999999999</v>
      </c>
      <c r="Y2865" s="32">
        <v>5.43</v>
      </c>
      <c r="Z2865">
        <v>0</v>
      </c>
      <c r="AA2865" s="32">
        <v>1.6859999999999999</v>
      </c>
      <c r="AB2865">
        <v>0</v>
      </c>
      <c r="AC2865" s="34">
        <v>0.218</v>
      </c>
      <c r="AD2865" s="32">
        <v>4.8970000000000002</v>
      </c>
    </row>
    <row r="2866" spans="1:30">
      <c r="A2866">
        <v>2864</v>
      </c>
      <c r="B2866">
        <v>45</v>
      </c>
      <c r="C2866">
        <v>2.8929999999999998</v>
      </c>
      <c r="D2866">
        <v>5.43</v>
      </c>
      <c r="E2866">
        <v>0</v>
      </c>
      <c r="F2866">
        <v>1.829</v>
      </c>
      <c r="G2866">
        <v>0</v>
      </c>
      <c r="H2866">
        <v>0.2</v>
      </c>
      <c r="I2866">
        <v>5.367</v>
      </c>
      <c r="K2866">
        <v>2864</v>
      </c>
      <c r="L2866">
        <v>45</v>
      </c>
      <c r="M2866" s="32">
        <v>2.8929999999999998</v>
      </c>
      <c r="N2866" s="32">
        <v>5.43</v>
      </c>
      <c r="P2866" s="47">
        <v>1.83</v>
      </c>
      <c r="R2866" s="47">
        <v>0.20100000000000001</v>
      </c>
      <c r="S2866" s="47">
        <v>5.2919999999999998</v>
      </c>
      <c r="T2866" s="31">
        <v>0</v>
      </c>
      <c r="V2866">
        <v>2864</v>
      </c>
      <c r="W2866">
        <v>42</v>
      </c>
      <c r="X2866">
        <v>2.9049999999999998</v>
      </c>
      <c r="Y2866" s="32">
        <v>5.43</v>
      </c>
      <c r="Z2866">
        <v>0</v>
      </c>
      <c r="AA2866" s="32">
        <v>1.6859999999999999</v>
      </c>
      <c r="AB2866">
        <v>0</v>
      </c>
      <c r="AC2866" s="34">
        <v>0.218</v>
      </c>
      <c r="AD2866" s="32">
        <v>4.9000000000000004</v>
      </c>
    </row>
    <row r="2867" spans="1:30">
      <c r="A2867">
        <v>2865</v>
      </c>
      <c r="B2867">
        <v>45</v>
      </c>
      <c r="C2867">
        <v>2.8940000000000001</v>
      </c>
      <c r="D2867">
        <v>5.43</v>
      </c>
      <c r="E2867">
        <v>0</v>
      </c>
      <c r="F2867">
        <v>1.829</v>
      </c>
      <c r="G2867">
        <v>0</v>
      </c>
      <c r="H2867">
        <v>0.2</v>
      </c>
      <c r="I2867">
        <v>5.37</v>
      </c>
      <c r="K2867">
        <v>2865</v>
      </c>
      <c r="L2867">
        <v>45</v>
      </c>
      <c r="M2867" s="32">
        <v>2.8940000000000001</v>
      </c>
      <c r="N2867" s="32">
        <v>5.43</v>
      </c>
      <c r="P2867" s="47">
        <v>1.83</v>
      </c>
      <c r="R2867" s="47">
        <v>0.20100000000000001</v>
      </c>
      <c r="S2867" s="47">
        <v>5.2939999999999996</v>
      </c>
      <c r="T2867" s="31">
        <v>0</v>
      </c>
      <c r="V2867">
        <v>2865</v>
      </c>
      <c r="W2867">
        <v>42</v>
      </c>
      <c r="X2867">
        <v>2.9060000000000001</v>
      </c>
      <c r="Y2867" s="32">
        <v>5.43</v>
      </c>
      <c r="Z2867">
        <v>0</v>
      </c>
      <c r="AA2867" s="32">
        <v>1.6870000000000001</v>
      </c>
      <c r="AB2867">
        <v>0</v>
      </c>
      <c r="AC2867" s="34">
        <v>0.218</v>
      </c>
      <c r="AD2867" s="32">
        <v>4.9020000000000001</v>
      </c>
    </row>
    <row r="2868" spans="1:30">
      <c r="A2868">
        <v>2866</v>
      </c>
      <c r="B2868">
        <v>45</v>
      </c>
      <c r="C2868">
        <v>2.895</v>
      </c>
      <c r="D2868">
        <v>5.43</v>
      </c>
      <c r="E2868">
        <v>0</v>
      </c>
      <c r="F2868">
        <v>1.829</v>
      </c>
      <c r="G2868">
        <v>0</v>
      </c>
      <c r="H2868">
        <v>0.2</v>
      </c>
      <c r="I2868">
        <v>5.3719999999999999</v>
      </c>
      <c r="K2868">
        <v>2866</v>
      </c>
      <c r="L2868">
        <v>45</v>
      </c>
      <c r="M2868" s="32">
        <v>2.895</v>
      </c>
      <c r="N2868" s="32">
        <v>5.43</v>
      </c>
      <c r="P2868" s="47">
        <v>1.83</v>
      </c>
      <c r="R2868" s="47">
        <v>0.20100000000000001</v>
      </c>
      <c r="S2868" s="47">
        <v>5.2969999999999997</v>
      </c>
      <c r="T2868" s="31">
        <v>0</v>
      </c>
      <c r="V2868">
        <v>2866</v>
      </c>
      <c r="W2868">
        <v>42</v>
      </c>
      <c r="X2868">
        <v>2.907</v>
      </c>
      <c r="Y2868" s="32">
        <v>5.43</v>
      </c>
      <c r="Z2868">
        <v>0</v>
      </c>
      <c r="AA2868" s="32">
        <v>1.6870000000000001</v>
      </c>
      <c r="AB2868">
        <v>0</v>
      </c>
      <c r="AC2868" s="34">
        <v>0.218</v>
      </c>
      <c r="AD2868" s="32">
        <v>4.9039999999999999</v>
      </c>
    </row>
    <row r="2869" spans="1:30">
      <c r="A2869">
        <v>2867</v>
      </c>
      <c r="B2869">
        <v>45</v>
      </c>
      <c r="C2869">
        <v>2.8959999999999999</v>
      </c>
      <c r="D2869">
        <v>5.43</v>
      </c>
      <c r="E2869">
        <v>0</v>
      </c>
      <c r="F2869">
        <v>1.829</v>
      </c>
      <c r="G2869">
        <v>0</v>
      </c>
      <c r="H2869">
        <v>0.2</v>
      </c>
      <c r="I2869">
        <v>5.375</v>
      </c>
      <c r="K2869">
        <v>2867</v>
      </c>
      <c r="L2869">
        <v>45</v>
      </c>
      <c r="M2869" s="32">
        <v>2.8959999999999999</v>
      </c>
      <c r="N2869" s="32">
        <v>5.43</v>
      </c>
      <c r="P2869" s="47">
        <v>1.83</v>
      </c>
      <c r="R2869" s="47">
        <v>0.20100000000000001</v>
      </c>
      <c r="S2869" s="47">
        <v>5.3</v>
      </c>
      <c r="T2869" s="31">
        <v>0</v>
      </c>
      <c r="V2869">
        <v>2867</v>
      </c>
      <c r="W2869">
        <v>42</v>
      </c>
      <c r="X2869">
        <v>2.9079999999999999</v>
      </c>
      <c r="Y2869" s="32">
        <v>5.43</v>
      </c>
      <c r="Z2869">
        <v>0</v>
      </c>
      <c r="AA2869" s="32">
        <v>1.6870000000000001</v>
      </c>
      <c r="AB2869">
        <v>0</v>
      </c>
      <c r="AC2869" s="34">
        <v>0.218</v>
      </c>
      <c r="AD2869" s="32">
        <v>4.907</v>
      </c>
    </row>
    <row r="2870" spans="1:30">
      <c r="A2870">
        <v>2868</v>
      </c>
      <c r="B2870">
        <v>45</v>
      </c>
      <c r="C2870">
        <v>2.8969999999999998</v>
      </c>
      <c r="D2870">
        <v>5.43</v>
      </c>
      <c r="E2870">
        <v>0</v>
      </c>
      <c r="F2870">
        <v>1.829</v>
      </c>
      <c r="G2870">
        <v>0</v>
      </c>
      <c r="H2870">
        <v>0.2</v>
      </c>
      <c r="I2870">
        <v>5.3769999999999998</v>
      </c>
      <c r="K2870">
        <v>2868</v>
      </c>
      <c r="L2870">
        <v>45</v>
      </c>
      <c r="M2870" s="32">
        <v>2.8969999999999998</v>
      </c>
      <c r="N2870" s="32">
        <v>5.43</v>
      </c>
      <c r="P2870" s="47">
        <v>1.83</v>
      </c>
      <c r="R2870" s="47">
        <v>0.20100000000000001</v>
      </c>
      <c r="S2870" s="47">
        <v>5.3019999999999996</v>
      </c>
      <c r="T2870" s="31">
        <v>0</v>
      </c>
      <c r="V2870">
        <v>2868</v>
      </c>
      <c r="W2870">
        <v>42</v>
      </c>
      <c r="X2870">
        <v>2.9089999999999998</v>
      </c>
      <c r="Y2870" s="32">
        <v>5.43</v>
      </c>
      <c r="Z2870">
        <v>0</v>
      </c>
      <c r="AA2870" s="32">
        <v>1.6870000000000001</v>
      </c>
      <c r="AB2870">
        <v>0</v>
      </c>
      <c r="AC2870" s="34">
        <v>0.218</v>
      </c>
      <c r="AD2870" s="32">
        <v>4.9089999999999998</v>
      </c>
    </row>
    <row r="2871" spans="1:30">
      <c r="A2871">
        <v>2869</v>
      </c>
      <c r="B2871">
        <v>45</v>
      </c>
      <c r="C2871">
        <v>2.8980000000000001</v>
      </c>
      <c r="D2871">
        <v>5.43</v>
      </c>
      <c r="E2871">
        <v>0</v>
      </c>
      <c r="F2871">
        <v>1.829</v>
      </c>
      <c r="G2871">
        <v>0</v>
      </c>
      <c r="H2871">
        <v>0.2</v>
      </c>
      <c r="I2871">
        <v>5.38</v>
      </c>
      <c r="K2871">
        <v>2869</v>
      </c>
      <c r="L2871">
        <v>45</v>
      </c>
      <c r="M2871" s="32">
        <v>2.8980000000000001</v>
      </c>
      <c r="N2871" s="32">
        <v>5.43</v>
      </c>
      <c r="P2871" s="47">
        <v>1.831</v>
      </c>
      <c r="R2871" s="47">
        <v>0.20100000000000001</v>
      </c>
      <c r="S2871" s="47">
        <v>5.3049999999999997</v>
      </c>
      <c r="T2871" s="31">
        <v>0</v>
      </c>
      <c r="V2871">
        <v>2869</v>
      </c>
      <c r="W2871">
        <v>42</v>
      </c>
      <c r="X2871">
        <v>2.91</v>
      </c>
      <c r="Y2871" s="32">
        <v>5.43</v>
      </c>
      <c r="Z2871">
        <v>0</v>
      </c>
      <c r="AA2871" s="32">
        <v>1.6879999999999999</v>
      </c>
      <c r="AB2871">
        <v>0</v>
      </c>
      <c r="AC2871" s="34">
        <v>0.218</v>
      </c>
      <c r="AD2871" s="32">
        <v>4.9109999999999996</v>
      </c>
    </row>
    <row r="2872" spans="1:30">
      <c r="A2872">
        <v>2870</v>
      </c>
      <c r="B2872">
        <v>45</v>
      </c>
      <c r="C2872">
        <v>2.899</v>
      </c>
      <c r="D2872">
        <v>5.43</v>
      </c>
      <c r="E2872">
        <v>0</v>
      </c>
      <c r="F2872">
        <v>1.829</v>
      </c>
      <c r="G2872">
        <v>0</v>
      </c>
      <c r="H2872">
        <v>0.2</v>
      </c>
      <c r="I2872">
        <v>5.3819999999999997</v>
      </c>
      <c r="K2872">
        <v>2870</v>
      </c>
      <c r="L2872">
        <v>45</v>
      </c>
      <c r="M2872" s="32">
        <v>2.899</v>
      </c>
      <c r="N2872" s="32">
        <v>5.43</v>
      </c>
      <c r="P2872" s="47">
        <v>1.831</v>
      </c>
      <c r="R2872" s="47">
        <v>0.20100000000000001</v>
      </c>
      <c r="S2872" s="47">
        <v>5.3070000000000004</v>
      </c>
      <c r="T2872" s="31">
        <v>0</v>
      </c>
      <c r="V2872">
        <v>2870</v>
      </c>
      <c r="W2872">
        <v>42</v>
      </c>
      <c r="X2872">
        <v>2.911</v>
      </c>
      <c r="Y2872" s="32">
        <v>5.43</v>
      </c>
      <c r="Z2872">
        <v>0</v>
      </c>
      <c r="AA2872" s="32">
        <v>1.6879999999999999</v>
      </c>
      <c r="AB2872">
        <v>0</v>
      </c>
      <c r="AC2872" s="34">
        <v>0.218</v>
      </c>
      <c r="AD2872" s="32">
        <v>4.9139999999999997</v>
      </c>
    </row>
    <row r="2873" spans="1:30">
      <c r="A2873">
        <v>2871</v>
      </c>
      <c r="B2873">
        <v>45</v>
      </c>
      <c r="C2873">
        <v>2.9</v>
      </c>
      <c r="D2873">
        <v>5.43</v>
      </c>
      <c r="E2873">
        <v>0</v>
      </c>
      <c r="F2873">
        <v>1.831</v>
      </c>
      <c r="G2873">
        <v>0</v>
      </c>
      <c r="H2873">
        <v>0.2</v>
      </c>
      <c r="I2873">
        <v>5.31</v>
      </c>
      <c r="K2873">
        <v>2871</v>
      </c>
      <c r="L2873">
        <v>45</v>
      </c>
      <c r="M2873" s="32">
        <v>2.9</v>
      </c>
      <c r="N2873" s="32">
        <v>5.43</v>
      </c>
      <c r="P2873" s="32">
        <v>1.831</v>
      </c>
      <c r="R2873" s="47">
        <v>0.20100000000000001</v>
      </c>
      <c r="S2873" s="32">
        <v>5.31</v>
      </c>
      <c r="T2873" s="31">
        <v>0</v>
      </c>
      <c r="V2873">
        <v>2871</v>
      </c>
      <c r="W2873">
        <v>42</v>
      </c>
      <c r="X2873">
        <v>2.9119999999999999</v>
      </c>
      <c r="Y2873" s="32">
        <v>5.43</v>
      </c>
      <c r="Z2873">
        <v>0</v>
      </c>
      <c r="AA2873" s="32">
        <v>1.6879999999999999</v>
      </c>
      <c r="AB2873">
        <v>0</v>
      </c>
      <c r="AC2873" s="34">
        <v>0.218</v>
      </c>
      <c r="AD2873" s="32">
        <v>4.9160000000000004</v>
      </c>
    </row>
    <row r="2874" spans="1:30">
      <c r="A2874">
        <v>2872</v>
      </c>
      <c r="B2874">
        <v>45</v>
      </c>
      <c r="C2874">
        <v>2.9009999999999998</v>
      </c>
      <c r="D2874">
        <v>5.43</v>
      </c>
      <c r="E2874">
        <v>0</v>
      </c>
      <c r="F2874">
        <v>1.831</v>
      </c>
      <c r="G2874">
        <v>0</v>
      </c>
      <c r="H2874">
        <v>0.2</v>
      </c>
      <c r="I2874">
        <v>5.4139999999999997</v>
      </c>
      <c r="K2874">
        <v>2872</v>
      </c>
      <c r="L2874">
        <v>45</v>
      </c>
      <c r="M2874" s="32">
        <v>2.9009999999999998</v>
      </c>
      <c r="N2874" s="32">
        <v>5.43</v>
      </c>
      <c r="P2874" s="32">
        <v>1.831</v>
      </c>
      <c r="R2874" s="47">
        <v>0.20100000000000001</v>
      </c>
      <c r="S2874" s="47">
        <v>5.3129999999999997</v>
      </c>
      <c r="T2874" s="31">
        <v>0</v>
      </c>
      <c r="V2874">
        <v>2872</v>
      </c>
      <c r="W2874">
        <v>42</v>
      </c>
      <c r="X2874">
        <v>2.9129999999999998</v>
      </c>
      <c r="Y2874" s="32">
        <v>5.43</v>
      </c>
      <c r="Z2874">
        <v>0</v>
      </c>
      <c r="AA2874" s="32">
        <v>1.6879999999999999</v>
      </c>
      <c r="AB2874">
        <v>0</v>
      </c>
      <c r="AC2874" s="34">
        <v>0.218</v>
      </c>
      <c r="AD2874" s="32">
        <v>4.9180000000000001</v>
      </c>
    </row>
    <row r="2875" spans="1:30">
      <c r="A2875">
        <v>2873</v>
      </c>
      <c r="B2875">
        <v>45</v>
      </c>
      <c r="C2875">
        <v>2.9020000000000001</v>
      </c>
      <c r="D2875">
        <v>5.43</v>
      </c>
      <c r="E2875">
        <v>0</v>
      </c>
      <c r="F2875">
        <v>1.831</v>
      </c>
      <c r="G2875">
        <v>0</v>
      </c>
      <c r="H2875">
        <v>0.2</v>
      </c>
      <c r="I2875">
        <v>5.4160000000000004</v>
      </c>
      <c r="K2875">
        <v>2873</v>
      </c>
      <c r="L2875">
        <v>45</v>
      </c>
      <c r="M2875" s="32">
        <v>2.9020000000000001</v>
      </c>
      <c r="N2875" s="32">
        <v>5.43</v>
      </c>
      <c r="P2875" s="47">
        <v>1.8320000000000001</v>
      </c>
      <c r="R2875" s="47">
        <v>0.20100000000000001</v>
      </c>
      <c r="S2875" s="47">
        <v>5.3150000000000004</v>
      </c>
      <c r="T2875" s="31">
        <v>0</v>
      </c>
      <c r="V2875">
        <v>2873</v>
      </c>
      <c r="W2875">
        <v>42</v>
      </c>
      <c r="X2875">
        <v>2.9140000000000001</v>
      </c>
      <c r="Y2875" s="32">
        <v>5.43</v>
      </c>
      <c r="Z2875">
        <v>0</v>
      </c>
      <c r="AA2875" s="32">
        <v>1.6879999999999999</v>
      </c>
      <c r="AB2875">
        <v>0</v>
      </c>
      <c r="AC2875" s="34">
        <v>0.218</v>
      </c>
      <c r="AD2875" s="32">
        <v>4.9210000000000003</v>
      </c>
    </row>
    <row r="2876" spans="1:30">
      <c r="A2876">
        <v>2874</v>
      </c>
      <c r="B2876">
        <v>45</v>
      </c>
      <c r="C2876">
        <v>2.903</v>
      </c>
      <c r="D2876">
        <v>5.43</v>
      </c>
      <c r="E2876">
        <v>0</v>
      </c>
      <c r="F2876">
        <v>1.831</v>
      </c>
      <c r="G2876">
        <v>0</v>
      </c>
      <c r="H2876">
        <v>0.2</v>
      </c>
      <c r="I2876">
        <v>5.4189999999999996</v>
      </c>
      <c r="K2876">
        <v>2874</v>
      </c>
      <c r="L2876">
        <v>45</v>
      </c>
      <c r="M2876" s="32">
        <v>2.903</v>
      </c>
      <c r="N2876" s="32">
        <v>5.43</v>
      </c>
      <c r="P2876" s="47">
        <v>1.8320000000000001</v>
      </c>
      <c r="R2876" s="47">
        <v>0.20100000000000001</v>
      </c>
      <c r="S2876" s="47">
        <v>5.3179999999999996</v>
      </c>
      <c r="T2876" s="31">
        <v>0</v>
      </c>
      <c r="V2876">
        <v>2874</v>
      </c>
      <c r="W2876">
        <v>42</v>
      </c>
      <c r="X2876">
        <v>2.915</v>
      </c>
      <c r="Y2876" s="32">
        <v>5.43</v>
      </c>
      <c r="Z2876">
        <v>0</v>
      </c>
      <c r="AA2876" s="32">
        <v>1.6890000000000001</v>
      </c>
      <c r="AB2876">
        <v>0</v>
      </c>
      <c r="AC2876" s="34">
        <v>0.218</v>
      </c>
      <c r="AD2876" s="32">
        <v>4.923</v>
      </c>
    </row>
    <row r="2877" spans="1:30">
      <c r="A2877">
        <v>2875</v>
      </c>
      <c r="B2877">
        <v>45</v>
      </c>
      <c r="C2877">
        <v>2.9039999999999999</v>
      </c>
      <c r="D2877">
        <v>5.43</v>
      </c>
      <c r="E2877">
        <v>0</v>
      </c>
      <c r="F2877">
        <v>1.831</v>
      </c>
      <c r="G2877">
        <v>0</v>
      </c>
      <c r="H2877">
        <v>0.2</v>
      </c>
      <c r="I2877">
        <v>5.4210000000000003</v>
      </c>
      <c r="K2877">
        <v>2875</v>
      </c>
      <c r="L2877">
        <v>45</v>
      </c>
      <c r="M2877" s="32">
        <v>2.9039999999999999</v>
      </c>
      <c r="N2877" s="32">
        <v>5.43</v>
      </c>
      <c r="P2877" s="47">
        <v>1.8320000000000001</v>
      </c>
      <c r="R2877" s="47">
        <v>0.20100000000000001</v>
      </c>
      <c r="S2877" s="47">
        <v>5.32</v>
      </c>
      <c r="T2877" s="31">
        <v>0</v>
      </c>
      <c r="V2877">
        <v>2875</v>
      </c>
      <c r="W2877">
        <v>42</v>
      </c>
      <c r="X2877">
        <v>2.9159999999999999</v>
      </c>
      <c r="Y2877" s="32">
        <v>5.43</v>
      </c>
      <c r="Z2877">
        <v>0</v>
      </c>
      <c r="AA2877" s="32">
        <v>1.6890000000000001</v>
      </c>
      <c r="AB2877">
        <v>0</v>
      </c>
      <c r="AC2877" s="34">
        <v>0.219</v>
      </c>
      <c r="AD2877" s="32">
        <v>4.9260000000000002</v>
      </c>
    </row>
    <row r="2878" spans="1:30">
      <c r="A2878">
        <v>2876</v>
      </c>
      <c r="B2878">
        <v>45</v>
      </c>
      <c r="C2878">
        <v>2.9049999999999998</v>
      </c>
      <c r="D2878">
        <v>5.43</v>
      </c>
      <c r="E2878">
        <v>0</v>
      </c>
      <c r="F2878">
        <v>1.831</v>
      </c>
      <c r="G2878">
        <v>0</v>
      </c>
      <c r="H2878">
        <v>0.2</v>
      </c>
      <c r="I2878">
        <v>5.4240000000000004</v>
      </c>
      <c r="K2878">
        <v>2876</v>
      </c>
      <c r="L2878">
        <v>45</v>
      </c>
      <c r="M2878" s="32">
        <v>2.9049999999999998</v>
      </c>
      <c r="N2878" s="32">
        <v>5.43</v>
      </c>
      <c r="P2878" s="47">
        <v>1.833</v>
      </c>
      <c r="R2878" s="47">
        <v>0.20100000000000001</v>
      </c>
      <c r="S2878" s="47">
        <v>5.3230000000000004</v>
      </c>
      <c r="T2878" s="31">
        <v>0</v>
      </c>
      <c r="V2878">
        <v>2876</v>
      </c>
      <c r="W2878">
        <v>42</v>
      </c>
      <c r="X2878">
        <v>2.9169999999999998</v>
      </c>
      <c r="Y2878" s="32">
        <v>5.43</v>
      </c>
      <c r="Z2878">
        <v>0</v>
      </c>
      <c r="AA2878" s="32">
        <v>1.6890000000000001</v>
      </c>
      <c r="AB2878">
        <v>0</v>
      </c>
      <c r="AC2878" s="34">
        <v>0.219</v>
      </c>
      <c r="AD2878" s="32">
        <v>4.9279999999999999</v>
      </c>
    </row>
    <row r="2879" spans="1:30">
      <c r="A2879">
        <v>2877</v>
      </c>
      <c r="B2879">
        <v>45</v>
      </c>
      <c r="C2879">
        <v>2.9060000000000001</v>
      </c>
      <c r="D2879">
        <v>5.43</v>
      </c>
      <c r="E2879">
        <v>0</v>
      </c>
      <c r="F2879">
        <v>1.831</v>
      </c>
      <c r="G2879">
        <v>0</v>
      </c>
      <c r="H2879">
        <v>0.2</v>
      </c>
      <c r="I2879">
        <v>5.4260000000000002</v>
      </c>
      <c r="K2879">
        <v>2877</v>
      </c>
      <c r="L2879">
        <v>45</v>
      </c>
      <c r="M2879" s="32">
        <v>2.9060000000000001</v>
      </c>
      <c r="N2879" s="32">
        <v>5.43</v>
      </c>
      <c r="P2879" s="47">
        <v>1.833</v>
      </c>
      <c r="R2879" s="47">
        <v>0.20100000000000001</v>
      </c>
      <c r="S2879" s="47">
        <v>5.3250000000000002</v>
      </c>
      <c r="T2879" s="31">
        <v>0</v>
      </c>
      <c r="V2879">
        <v>2877</v>
      </c>
      <c r="W2879">
        <v>42</v>
      </c>
      <c r="X2879">
        <v>2.9180000000000001</v>
      </c>
      <c r="Y2879" s="32">
        <v>5.43</v>
      </c>
      <c r="Z2879">
        <v>0</v>
      </c>
      <c r="AA2879" s="32">
        <v>1.6890000000000001</v>
      </c>
      <c r="AB2879">
        <v>0</v>
      </c>
      <c r="AC2879" s="34">
        <v>0.219</v>
      </c>
      <c r="AD2879" s="32">
        <v>4.93</v>
      </c>
    </row>
    <row r="2880" spans="1:30">
      <c r="A2880">
        <v>2878</v>
      </c>
      <c r="B2880">
        <v>45</v>
      </c>
      <c r="C2880">
        <v>2.907</v>
      </c>
      <c r="D2880">
        <v>5.43</v>
      </c>
      <c r="E2880">
        <v>0</v>
      </c>
      <c r="F2880">
        <v>1.831</v>
      </c>
      <c r="G2880">
        <v>0</v>
      </c>
      <c r="H2880">
        <v>0.2</v>
      </c>
      <c r="I2880">
        <v>5.4290000000000003</v>
      </c>
      <c r="K2880">
        <v>2878</v>
      </c>
      <c r="L2880">
        <v>45</v>
      </c>
      <c r="M2880" s="32">
        <v>2.907</v>
      </c>
      <c r="N2880" s="32">
        <v>5.43</v>
      </c>
      <c r="P2880" s="47">
        <v>1.833</v>
      </c>
      <c r="R2880" s="47">
        <v>0.20100000000000001</v>
      </c>
      <c r="S2880" s="47">
        <v>5.3280000000000003</v>
      </c>
      <c r="T2880" s="31">
        <v>0</v>
      </c>
      <c r="V2880">
        <v>2878</v>
      </c>
      <c r="W2880">
        <v>42</v>
      </c>
      <c r="X2880">
        <v>2.919</v>
      </c>
      <c r="Y2880" s="32">
        <v>5.43</v>
      </c>
      <c r="Z2880">
        <v>0</v>
      </c>
      <c r="AA2880" s="32">
        <v>1.69</v>
      </c>
      <c r="AB2880">
        <v>0</v>
      </c>
      <c r="AC2880" s="34">
        <v>0.219</v>
      </c>
      <c r="AD2880" s="32">
        <v>4.9329999999999998</v>
      </c>
    </row>
    <row r="2881" spans="1:30">
      <c r="A2881">
        <v>2879</v>
      </c>
      <c r="B2881">
        <v>45</v>
      </c>
      <c r="C2881">
        <v>2.9079999999999999</v>
      </c>
      <c r="D2881">
        <v>5.43</v>
      </c>
      <c r="E2881">
        <v>0</v>
      </c>
      <c r="F2881">
        <v>1.831</v>
      </c>
      <c r="G2881">
        <v>0</v>
      </c>
      <c r="H2881">
        <v>0.2</v>
      </c>
      <c r="I2881">
        <v>5.431</v>
      </c>
      <c r="K2881">
        <v>2879</v>
      </c>
      <c r="L2881">
        <v>45</v>
      </c>
      <c r="M2881" s="32">
        <v>2.9079999999999999</v>
      </c>
      <c r="N2881" s="32">
        <v>5.43</v>
      </c>
      <c r="P2881" s="47">
        <v>1.833</v>
      </c>
      <c r="R2881" s="47">
        <v>0.20100000000000001</v>
      </c>
      <c r="S2881" s="47">
        <v>5.33</v>
      </c>
      <c r="T2881" s="31">
        <v>0</v>
      </c>
      <c r="V2881">
        <v>2879</v>
      </c>
      <c r="W2881">
        <v>42</v>
      </c>
      <c r="X2881">
        <v>2.92</v>
      </c>
      <c r="Y2881" s="32">
        <v>5.43</v>
      </c>
      <c r="Z2881">
        <v>0</v>
      </c>
      <c r="AA2881" s="32">
        <v>1.69</v>
      </c>
      <c r="AB2881">
        <v>0</v>
      </c>
      <c r="AC2881" s="34">
        <v>0.219</v>
      </c>
      <c r="AD2881" s="32">
        <v>4.9349999999999996</v>
      </c>
    </row>
    <row r="2882" spans="1:30">
      <c r="A2882">
        <v>2880</v>
      </c>
      <c r="B2882">
        <v>45</v>
      </c>
      <c r="C2882">
        <v>2.9089999999999998</v>
      </c>
      <c r="D2882">
        <v>5.43</v>
      </c>
      <c r="E2882">
        <v>0</v>
      </c>
      <c r="F2882">
        <v>1.831</v>
      </c>
      <c r="G2882">
        <v>0</v>
      </c>
      <c r="H2882">
        <v>0.2</v>
      </c>
      <c r="I2882">
        <v>5.4340000000000002</v>
      </c>
      <c r="K2882">
        <v>2880</v>
      </c>
      <c r="L2882">
        <v>45</v>
      </c>
      <c r="M2882" s="32">
        <v>2.9089999999999998</v>
      </c>
      <c r="N2882" s="32">
        <v>5.43</v>
      </c>
      <c r="P2882" s="47">
        <v>1.8340000000000001</v>
      </c>
      <c r="R2882" s="47">
        <v>0.20100000000000001</v>
      </c>
      <c r="S2882" s="47">
        <v>5.3330000000000002</v>
      </c>
      <c r="T2882" s="31">
        <v>0</v>
      </c>
      <c r="V2882">
        <v>2880</v>
      </c>
      <c r="W2882">
        <v>42</v>
      </c>
      <c r="X2882">
        <v>2.9209999999999998</v>
      </c>
      <c r="Y2882" s="32">
        <v>5.43</v>
      </c>
      <c r="Z2882">
        <v>0</v>
      </c>
      <c r="AA2882" s="32">
        <v>1.69</v>
      </c>
      <c r="AB2882">
        <v>0</v>
      </c>
      <c r="AC2882" s="34">
        <v>0.219</v>
      </c>
      <c r="AD2882" s="32">
        <v>4.9370000000000003</v>
      </c>
    </row>
    <row r="2883" spans="1:30">
      <c r="A2883">
        <v>2881</v>
      </c>
      <c r="B2883">
        <v>45</v>
      </c>
      <c r="C2883">
        <v>2.91</v>
      </c>
      <c r="D2883">
        <v>5.43</v>
      </c>
      <c r="E2883">
        <v>0</v>
      </c>
      <c r="F2883">
        <v>1.831</v>
      </c>
      <c r="G2883">
        <v>0</v>
      </c>
      <c r="H2883">
        <v>0.2</v>
      </c>
      <c r="I2883">
        <v>5.4359999999999999</v>
      </c>
      <c r="K2883">
        <v>2881</v>
      </c>
      <c r="L2883">
        <v>45</v>
      </c>
      <c r="M2883" s="32">
        <v>2.91</v>
      </c>
      <c r="N2883" s="32">
        <v>5.43</v>
      </c>
      <c r="P2883" s="47">
        <v>1.8340000000000001</v>
      </c>
      <c r="R2883" s="47">
        <v>0.20100000000000001</v>
      </c>
      <c r="S2883" s="47">
        <v>5.335</v>
      </c>
      <c r="T2883" s="31">
        <v>0</v>
      </c>
      <c r="V2883">
        <v>2881</v>
      </c>
      <c r="W2883">
        <v>42</v>
      </c>
      <c r="X2883">
        <v>2.9220000000000002</v>
      </c>
      <c r="Y2883" s="32">
        <v>5.43</v>
      </c>
      <c r="Z2883">
        <v>0</v>
      </c>
      <c r="AA2883" s="32">
        <v>1.69</v>
      </c>
      <c r="AB2883">
        <v>0</v>
      </c>
      <c r="AC2883" s="34">
        <v>0.219</v>
      </c>
      <c r="AD2883" s="32">
        <v>4.9400000000000004</v>
      </c>
    </row>
    <row r="2884" spans="1:30">
      <c r="A2884">
        <v>2882</v>
      </c>
      <c r="B2884">
        <v>45</v>
      </c>
      <c r="C2884">
        <v>2.911</v>
      </c>
      <c r="D2884">
        <v>5.43</v>
      </c>
      <c r="E2884">
        <v>0</v>
      </c>
      <c r="F2884">
        <v>1.8340000000000001</v>
      </c>
      <c r="G2884">
        <v>0</v>
      </c>
      <c r="H2884">
        <v>0.2</v>
      </c>
      <c r="I2884">
        <v>5.4640000000000004</v>
      </c>
      <c r="K2884">
        <v>2882</v>
      </c>
      <c r="L2884">
        <v>45</v>
      </c>
      <c r="M2884" s="32">
        <v>2.911</v>
      </c>
      <c r="N2884" s="32">
        <v>5.43</v>
      </c>
      <c r="P2884" s="32">
        <v>1.8340000000000001</v>
      </c>
      <c r="R2884" s="47">
        <v>0.20100000000000001</v>
      </c>
      <c r="S2884" s="47">
        <v>5.3380000000000001</v>
      </c>
      <c r="T2884" s="31">
        <v>0</v>
      </c>
      <c r="V2884">
        <v>2882</v>
      </c>
      <c r="W2884">
        <v>42</v>
      </c>
      <c r="X2884">
        <v>2.923</v>
      </c>
      <c r="Y2884" s="32">
        <v>5.43</v>
      </c>
      <c r="Z2884">
        <v>0</v>
      </c>
      <c r="AA2884" s="32">
        <v>1.6910000000000001</v>
      </c>
      <c r="AB2884">
        <v>0</v>
      </c>
      <c r="AC2884" s="34">
        <v>0.219</v>
      </c>
      <c r="AD2884" s="32">
        <v>4.9420000000000002</v>
      </c>
    </row>
    <row r="2885" spans="1:30">
      <c r="A2885">
        <v>2883</v>
      </c>
      <c r="B2885">
        <v>45</v>
      </c>
      <c r="C2885">
        <v>2.9119999999999999</v>
      </c>
      <c r="D2885">
        <v>5.43</v>
      </c>
      <c r="E2885">
        <v>0</v>
      </c>
      <c r="F2885">
        <v>1.8340000000000001</v>
      </c>
      <c r="G2885">
        <v>0</v>
      </c>
      <c r="H2885">
        <v>0.2</v>
      </c>
      <c r="I2885">
        <v>5.4660000000000002</v>
      </c>
      <c r="K2885">
        <v>2883</v>
      </c>
      <c r="L2885">
        <v>45</v>
      </c>
      <c r="M2885" s="32">
        <v>2.9119999999999999</v>
      </c>
      <c r="N2885" s="32">
        <v>5.43</v>
      </c>
      <c r="P2885" s="32">
        <v>1.8340000000000001</v>
      </c>
      <c r="R2885" s="47">
        <v>0.20100000000000001</v>
      </c>
      <c r="S2885" s="47">
        <v>5.34</v>
      </c>
      <c r="T2885" s="31">
        <v>0</v>
      </c>
      <c r="V2885">
        <v>2883</v>
      </c>
      <c r="W2885">
        <v>42</v>
      </c>
      <c r="X2885">
        <v>2.9239999999999999</v>
      </c>
      <c r="Y2885" s="32">
        <v>5.43</v>
      </c>
      <c r="Z2885">
        <v>0</v>
      </c>
      <c r="AA2885" s="32">
        <v>1.6910000000000001</v>
      </c>
      <c r="AB2885">
        <v>0</v>
      </c>
      <c r="AC2885" s="34">
        <v>0.219</v>
      </c>
      <c r="AD2885" s="32">
        <v>4.944</v>
      </c>
    </row>
    <row r="2886" spans="1:30">
      <c r="A2886">
        <v>2884</v>
      </c>
      <c r="B2886">
        <v>45</v>
      </c>
      <c r="C2886">
        <v>2.9129999999999998</v>
      </c>
      <c r="D2886">
        <v>5.43</v>
      </c>
      <c r="E2886">
        <v>0</v>
      </c>
      <c r="F2886">
        <v>1.8340000000000001</v>
      </c>
      <c r="G2886">
        <v>0</v>
      </c>
      <c r="H2886">
        <v>0.2</v>
      </c>
      <c r="I2886">
        <v>5.4690000000000003</v>
      </c>
      <c r="K2886">
        <v>2884</v>
      </c>
      <c r="L2886">
        <v>45</v>
      </c>
      <c r="M2886" s="32">
        <v>2.9129999999999998</v>
      </c>
      <c r="N2886" s="32">
        <v>5.43</v>
      </c>
      <c r="P2886" s="47">
        <v>1.835</v>
      </c>
      <c r="R2886" s="47">
        <v>0.20100000000000001</v>
      </c>
      <c r="S2886" s="47">
        <v>5.343</v>
      </c>
      <c r="T2886" s="31">
        <v>0</v>
      </c>
      <c r="V2886">
        <v>2884</v>
      </c>
      <c r="W2886">
        <v>42</v>
      </c>
      <c r="X2886">
        <v>2.9249999999999998</v>
      </c>
      <c r="Y2886" s="32">
        <v>5.43</v>
      </c>
      <c r="Z2886">
        <v>0</v>
      </c>
      <c r="AA2886" s="32">
        <v>1.6910000000000001</v>
      </c>
      <c r="AB2886">
        <v>0</v>
      </c>
      <c r="AC2886" s="34">
        <v>0.219</v>
      </c>
      <c r="AD2886" s="32">
        <v>4.9470000000000001</v>
      </c>
    </row>
    <row r="2887" spans="1:30">
      <c r="A2887">
        <v>2885</v>
      </c>
      <c r="B2887">
        <v>45</v>
      </c>
      <c r="C2887">
        <v>2.9140000000000001</v>
      </c>
      <c r="D2887">
        <v>5.43</v>
      </c>
      <c r="E2887">
        <v>0</v>
      </c>
      <c r="F2887">
        <v>1.8340000000000001</v>
      </c>
      <c r="G2887">
        <v>0</v>
      </c>
      <c r="H2887">
        <v>0.2</v>
      </c>
      <c r="I2887">
        <v>5.4710000000000001</v>
      </c>
      <c r="K2887">
        <v>2885</v>
      </c>
      <c r="L2887">
        <v>45</v>
      </c>
      <c r="M2887" s="32">
        <v>2.9140000000000001</v>
      </c>
      <c r="N2887" s="32">
        <v>5.43</v>
      </c>
      <c r="P2887" s="47">
        <v>1.835</v>
      </c>
      <c r="R2887" s="47">
        <v>0.20100000000000001</v>
      </c>
      <c r="S2887" s="47">
        <v>5.3449999999999998</v>
      </c>
      <c r="T2887" s="31">
        <v>0</v>
      </c>
      <c r="V2887">
        <v>2885</v>
      </c>
      <c r="W2887">
        <v>42</v>
      </c>
      <c r="X2887">
        <v>2.9260000000000002</v>
      </c>
      <c r="Y2887" s="32">
        <v>5.43</v>
      </c>
      <c r="Z2887">
        <v>0</v>
      </c>
      <c r="AA2887" s="32">
        <v>1.6910000000000001</v>
      </c>
      <c r="AB2887">
        <v>0</v>
      </c>
      <c r="AC2887" s="34">
        <v>0.219</v>
      </c>
      <c r="AD2887" s="32">
        <v>4.9489999999999998</v>
      </c>
    </row>
    <row r="2888" spans="1:30">
      <c r="A2888">
        <v>2886</v>
      </c>
      <c r="B2888">
        <v>45</v>
      </c>
      <c r="C2888">
        <v>2.915</v>
      </c>
      <c r="D2888">
        <v>5.43</v>
      </c>
      <c r="E2888">
        <v>0</v>
      </c>
      <c r="F2888">
        <v>1.8340000000000001</v>
      </c>
      <c r="G2888">
        <v>0</v>
      </c>
      <c r="H2888">
        <v>0.2</v>
      </c>
      <c r="I2888">
        <v>5.4740000000000002</v>
      </c>
      <c r="K2888">
        <v>2886</v>
      </c>
      <c r="L2888">
        <v>45</v>
      </c>
      <c r="M2888" s="32">
        <v>2.915</v>
      </c>
      <c r="N2888" s="32">
        <v>5.43</v>
      </c>
      <c r="P2888" s="47">
        <v>1.835</v>
      </c>
      <c r="R2888" s="47">
        <v>0.20100000000000001</v>
      </c>
      <c r="S2888" s="47">
        <v>5.3479999999999999</v>
      </c>
      <c r="T2888" s="31">
        <v>0</v>
      </c>
      <c r="V2888">
        <v>2886</v>
      </c>
      <c r="W2888">
        <v>42</v>
      </c>
      <c r="X2888">
        <v>2.927</v>
      </c>
      <c r="Y2888" s="32">
        <v>5.43</v>
      </c>
      <c r="Z2888">
        <v>0</v>
      </c>
      <c r="AA2888" s="32">
        <v>1.6919999999999999</v>
      </c>
      <c r="AB2888">
        <v>0</v>
      </c>
      <c r="AC2888" s="34">
        <v>0.219</v>
      </c>
      <c r="AD2888" s="32">
        <v>4.952</v>
      </c>
    </row>
    <row r="2889" spans="1:30">
      <c r="A2889">
        <v>2887</v>
      </c>
      <c r="B2889">
        <v>45</v>
      </c>
      <c r="C2889">
        <v>2.9159999999999999</v>
      </c>
      <c r="D2889">
        <v>5.43</v>
      </c>
      <c r="E2889">
        <v>0</v>
      </c>
      <c r="F2889">
        <v>1.8340000000000001</v>
      </c>
      <c r="G2889">
        <v>0</v>
      </c>
      <c r="H2889">
        <v>0.2</v>
      </c>
      <c r="I2889">
        <v>5.476</v>
      </c>
      <c r="K2889">
        <v>2887</v>
      </c>
      <c r="L2889">
        <v>45</v>
      </c>
      <c r="M2889" s="32">
        <v>2.9159999999999999</v>
      </c>
      <c r="N2889" s="32">
        <v>5.43</v>
      </c>
      <c r="P2889" s="47">
        <v>1.835</v>
      </c>
      <c r="R2889" s="47">
        <v>0.20100000000000001</v>
      </c>
      <c r="S2889" s="47">
        <v>5.351</v>
      </c>
      <c r="T2889" s="31">
        <v>0</v>
      </c>
      <c r="V2889">
        <v>2887</v>
      </c>
      <c r="W2889">
        <v>42</v>
      </c>
      <c r="X2889">
        <v>2.9279999999999999</v>
      </c>
      <c r="Y2889" s="32">
        <v>5.43</v>
      </c>
      <c r="Z2889">
        <v>0</v>
      </c>
      <c r="AA2889" s="32">
        <v>1.6919999999999999</v>
      </c>
      <c r="AB2889">
        <v>0</v>
      </c>
      <c r="AC2889" s="34">
        <v>0.219</v>
      </c>
      <c r="AD2889" s="32">
        <v>4.9539999999999997</v>
      </c>
    </row>
    <row r="2890" spans="1:30">
      <c r="A2890">
        <v>2888</v>
      </c>
      <c r="B2890">
        <v>45</v>
      </c>
      <c r="C2890">
        <v>2.9169999999999998</v>
      </c>
      <c r="D2890">
        <v>5.43</v>
      </c>
      <c r="E2890">
        <v>0</v>
      </c>
      <c r="F2890">
        <v>1.8340000000000001</v>
      </c>
      <c r="G2890">
        <v>0</v>
      </c>
      <c r="H2890">
        <v>0.2</v>
      </c>
      <c r="I2890">
        <v>5.4790000000000001</v>
      </c>
      <c r="K2890">
        <v>2888</v>
      </c>
      <c r="L2890">
        <v>45</v>
      </c>
      <c r="M2890" s="32">
        <v>2.9169999999999998</v>
      </c>
      <c r="N2890" s="32">
        <v>5.43</v>
      </c>
      <c r="P2890" s="47">
        <v>1.835</v>
      </c>
      <c r="R2890" s="47">
        <v>0.20100000000000001</v>
      </c>
      <c r="S2890" s="47">
        <v>5.3529999999999998</v>
      </c>
      <c r="T2890" s="31">
        <v>0</v>
      </c>
      <c r="V2890">
        <v>2888</v>
      </c>
      <c r="W2890">
        <v>42</v>
      </c>
      <c r="X2890">
        <v>2.9289999999999998</v>
      </c>
      <c r="Y2890" s="32">
        <v>5.43</v>
      </c>
      <c r="Z2890">
        <v>0</v>
      </c>
      <c r="AA2890" s="32">
        <v>1.6919999999999999</v>
      </c>
      <c r="AB2890">
        <v>0</v>
      </c>
      <c r="AC2890" s="34">
        <v>0.219</v>
      </c>
      <c r="AD2890" s="32">
        <v>4.9560000000000004</v>
      </c>
    </row>
    <row r="2891" spans="1:30">
      <c r="A2891">
        <v>2889</v>
      </c>
      <c r="B2891">
        <v>45</v>
      </c>
      <c r="C2891">
        <v>2.9180000000000001</v>
      </c>
      <c r="D2891">
        <v>5.43</v>
      </c>
      <c r="E2891">
        <v>0</v>
      </c>
      <c r="F2891">
        <v>1.8340000000000001</v>
      </c>
      <c r="G2891">
        <v>0</v>
      </c>
      <c r="H2891">
        <v>0.2</v>
      </c>
      <c r="I2891">
        <v>5.4809999999999999</v>
      </c>
      <c r="K2891">
        <v>2889</v>
      </c>
      <c r="L2891">
        <v>45</v>
      </c>
      <c r="M2891" s="32">
        <v>2.9180000000000001</v>
      </c>
      <c r="N2891" s="32">
        <v>5.43</v>
      </c>
      <c r="P2891" s="47">
        <v>1.8360000000000001</v>
      </c>
      <c r="R2891" s="47">
        <v>0.20100000000000001</v>
      </c>
      <c r="S2891" s="47">
        <v>5.3559999999999999</v>
      </c>
      <c r="T2891" s="31">
        <v>0</v>
      </c>
      <c r="V2891">
        <v>2889</v>
      </c>
      <c r="W2891">
        <v>42</v>
      </c>
      <c r="X2891">
        <v>2.93</v>
      </c>
      <c r="Y2891" s="32">
        <v>5.43</v>
      </c>
      <c r="Z2891">
        <v>0</v>
      </c>
      <c r="AA2891" s="32">
        <v>1.6919999999999999</v>
      </c>
      <c r="AB2891">
        <v>0</v>
      </c>
      <c r="AC2891" s="34">
        <v>0.219</v>
      </c>
      <c r="AD2891" s="32">
        <v>4.9589999999999996</v>
      </c>
    </row>
    <row r="2892" spans="1:30">
      <c r="A2892">
        <v>2890</v>
      </c>
      <c r="B2892">
        <v>45</v>
      </c>
      <c r="C2892">
        <v>2.919</v>
      </c>
      <c r="D2892">
        <v>5.43</v>
      </c>
      <c r="E2892">
        <v>0</v>
      </c>
      <c r="F2892">
        <v>1.8340000000000001</v>
      </c>
      <c r="G2892">
        <v>0</v>
      </c>
      <c r="H2892">
        <v>0.2</v>
      </c>
      <c r="I2892">
        <v>5.484</v>
      </c>
      <c r="K2892">
        <v>2890</v>
      </c>
      <c r="L2892">
        <v>45</v>
      </c>
      <c r="M2892" s="32">
        <v>2.919</v>
      </c>
      <c r="N2892" s="32">
        <v>5.43</v>
      </c>
      <c r="P2892" s="47">
        <v>1.8360000000000001</v>
      </c>
      <c r="R2892" s="47">
        <v>0.20100000000000001</v>
      </c>
      <c r="S2892" s="47">
        <v>5.3579999999999997</v>
      </c>
      <c r="T2892" s="31">
        <v>0</v>
      </c>
      <c r="V2892">
        <v>2890</v>
      </c>
      <c r="W2892">
        <v>42</v>
      </c>
      <c r="X2892">
        <v>2.931</v>
      </c>
      <c r="Y2892" s="32">
        <v>5.444</v>
      </c>
      <c r="Z2892">
        <v>0</v>
      </c>
      <c r="AA2892" s="32">
        <v>1.6930000000000001</v>
      </c>
      <c r="AB2892">
        <v>0</v>
      </c>
      <c r="AC2892" s="34">
        <v>0.219</v>
      </c>
      <c r="AD2892" s="32">
        <v>4.9610000000000003</v>
      </c>
    </row>
    <row r="2893" spans="1:30">
      <c r="A2893">
        <v>2891</v>
      </c>
      <c r="B2893">
        <v>45</v>
      </c>
      <c r="C2893">
        <v>2.92</v>
      </c>
      <c r="D2893">
        <v>5.43</v>
      </c>
      <c r="E2893">
        <v>0</v>
      </c>
      <c r="F2893">
        <v>1.8360000000000001</v>
      </c>
      <c r="G2893">
        <v>0</v>
      </c>
      <c r="H2893">
        <v>0.2</v>
      </c>
      <c r="I2893">
        <v>5.3609999999999998</v>
      </c>
      <c r="K2893">
        <v>2891</v>
      </c>
      <c r="L2893">
        <v>45</v>
      </c>
      <c r="M2893" s="32">
        <v>2.92</v>
      </c>
      <c r="N2893" s="32">
        <v>5.43</v>
      </c>
      <c r="P2893" s="32">
        <v>1.8360000000000001</v>
      </c>
      <c r="R2893" s="47">
        <v>0.20200000000000001</v>
      </c>
      <c r="S2893" s="32">
        <v>5.3609999999999998</v>
      </c>
      <c r="T2893" s="31">
        <v>0</v>
      </c>
      <c r="V2893">
        <v>2891</v>
      </c>
      <c r="W2893">
        <v>42</v>
      </c>
      <c r="X2893">
        <v>2.9319999999999999</v>
      </c>
      <c r="Y2893" s="32">
        <v>5.4580000000000002</v>
      </c>
      <c r="Z2893">
        <v>0</v>
      </c>
      <c r="AA2893" s="32">
        <v>1.6930000000000001</v>
      </c>
      <c r="AB2893">
        <v>0</v>
      </c>
      <c r="AC2893" s="34">
        <v>0.219</v>
      </c>
      <c r="AD2893" s="32">
        <v>4.9630000000000001</v>
      </c>
    </row>
    <row r="2894" spans="1:30">
      <c r="A2894">
        <v>2892</v>
      </c>
      <c r="B2894">
        <v>45</v>
      </c>
      <c r="C2894">
        <v>2.9209999999999998</v>
      </c>
      <c r="D2894">
        <v>5.43</v>
      </c>
      <c r="E2894">
        <v>0</v>
      </c>
      <c r="F2894">
        <v>1.8360000000000001</v>
      </c>
      <c r="G2894">
        <v>0</v>
      </c>
      <c r="H2894">
        <v>0.2</v>
      </c>
      <c r="I2894">
        <v>5.5149999999999997</v>
      </c>
      <c r="K2894">
        <v>2892</v>
      </c>
      <c r="L2894">
        <v>45</v>
      </c>
      <c r="M2894" s="32">
        <v>2.9209999999999998</v>
      </c>
      <c r="N2894" s="32">
        <v>5.43</v>
      </c>
      <c r="P2894" s="32">
        <v>1.8360000000000001</v>
      </c>
      <c r="R2894" s="47">
        <v>0.20200000000000001</v>
      </c>
      <c r="S2894" s="47">
        <v>5.3639999999999999</v>
      </c>
      <c r="T2894" s="31">
        <v>0</v>
      </c>
      <c r="V2894">
        <v>2892</v>
      </c>
      <c r="W2894">
        <v>42</v>
      </c>
      <c r="X2894">
        <v>2.9329999999999998</v>
      </c>
      <c r="Y2894" s="32">
        <v>5.4720000000000004</v>
      </c>
      <c r="Z2894">
        <v>0</v>
      </c>
      <c r="AA2894" s="32">
        <v>1.6930000000000001</v>
      </c>
      <c r="AB2894">
        <v>0</v>
      </c>
      <c r="AC2894" s="34">
        <v>0.219</v>
      </c>
      <c r="AD2894" s="32">
        <v>4.9660000000000002</v>
      </c>
    </row>
    <row r="2895" spans="1:30">
      <c r="A2895">
        <v>2893</v>
      </c>
      <c r="B2895">
        <v>45</v>
      </c>
      <c r="C2895">
        <v>2.9220000000000002</v>
      </c>
      <c r="D2895">
        <v>5.43</v>
      </c>
      <c r="E2895">
        <v>0</v>
      </c>
      <c r="F2895">
        <v>1.8360000000000001</v>
      </c>
      <c r="G2895">
        <v>0</v>
      </c>
      <c r="H2895">
        <v>0.2</v>
      </c>
      <c r="I2895">
        <v>5.5179999999999998</v>
      </c>
      <c r="K2895">
        <v>2893</v>
      </c>
      <c r="L2895">
        <v>45</v>
      </c>
      <c r="M2895" s="32">
        <v>2.9220000000000002</v>
      </c>
      <c r="N2895" s="32">
        <v>5.43</v>
      </c>
      <c r="P2895" s="47">
        <v>1.837</v>
      </c>
      <c r="R2895" s="47">
        <v>0.20200000000000001</v>
      </c>
      <c r="S2895" s="47">
        <v>5.3659999999999997</v>
      </c>
      <c r="T2895" s="31">
        <v>0</v>
      </c>
      <c r="V2895">
        <v>2893</v>
      </c>
      <c r="W2895">
        <v>42</v>
      </c>
      <c r="X2895">
        <v>2.9340000000000002</v>
      </c>
      <c r="Y2895" s="32">
        <v>5.4859999999999998</v>
      </c>
      <c r="Z2895">
        <v>0</v>
      </c>
      <c r="AA2895" s="32">
        <v>1.6930000000000001</v>
      </c>
      <c r="AB2895">
        <v>0</v>
      </c>
      <c r="AC2895" s="34">
        <v>0.219</v>
      </c>
      <c r="AD2895" s="32">
        <v>4.968</v>
      </c>
    </row>
    <row r="2896" spans="1:30">
      <c r="A2896">
        <v>2894</v>
      </c>
      <c r="B2896">
        <v>45</v>
      </c>
      <c r="C2896">
        <v>2.923</v>
      </c>
      <c r="D2896">
        <v>5.43</v>
      </c>
      <c r="E2896">
        <v>0</v>
      </c>
      <c r="F2896">
        <v>1.8360000000000001</v>
      </c>
      <c r="G2896">
        <v>0</v>
      </c>
      <c r="H2896">
        <v>0.2</v>
      </c>
      <c r="I2896">
        <v>5.52</v>
      </c>
      <c r="K2896">
        <v>2894</v>
      </c>
      <c r="L2896">
        <v>45</v>
      </c>
      <c r="M2896" s="32">
        <v>2.923</v>
      </c>
      <c r="N2896" s="32">
        <v>5.43</v>
      </c>
      <c r="P2896" s="47">
        <v>1.837</v>
      </c>
      <c r="R2896" s="47">
        <v>0.20200000000000001</v>
      </c>
      <c r="S2896" s="47">
        <v>5.3689999999999998</v>
      </c>
      <c r="T2896" s="31">
        <v>0</v>
      </c>
      <c r="V2896">
        <v>2894</v>
      </c>
      <c r="W2896">
        <v>42</v>
      </c>
      <c r="X2896">
        <v>2.9350000000000001</v>
      </c>
      <c r="Y2896" s="32">
        <v>5.5</v>
      </c>
      <c r="Z2896">
        <v>0</v>
      </c>
      <c r="AA2896" s="32">
        <v>1.6930000000000001</v>
      </c>
      <c r="AB2896">
        <v>0</v>
      </c>
      <c r="AC2896" s="34">
        <v>0.219</v>
      </c>
      <c r="AD2896" s="32">
        <v>4.9710000000000001</v>
      </c>
    </row>
    <row r="2897" spans="1:30">
      <c r="A2897">
        <v>2895</v>
      </c>
      <c r="B2897">
        <v>45</v>
      </c>
      <c r="C2897">
        <v>2.9239999999999999</v>
      </c>
      <c r="D2897">
        <v>5.43</v>
      </c>
      <c r="E2897">
        <v>0</v>
      </c>
      <c r="F2897">
        <v>1.8360000000000001</v>
      </c>
      <c r="G2897">
        <v>0</v>
      </c>
      <c r="H2897">
        <v>0.2</v>
      </c>
      <c r="I2897">
        <v>5.5229999999999997</v>
      </c>
      <c r="K2897">
        <v>2895</v>
      </c>
      <c r="L2897">
        <v>45</v>
      </c>
      <c r="M2897" s="32">
        <v>2.9239999999999999</v>
      </c>
      <c r="N2897" s="32">
        <v>5.43</v>
      </c>
      <c r="P2897" s="47">
        <v>1.837</v>
      </c>
      <c r="R2897" s="47">
        <v>0.20200000000000001</v>
      </c>
      <c r="S2897" s="47">
        <v>5.3710000000000004</v>
      </c>
      <c r="T2897" s="31">
        <v>0</v>
      </c>
      <c r="V2897">
        <v>2895</v>
      </c>
      <c r="W2897">
        <v>42</v>
      </c>
      <c r="X2897">
        <v>2.9359999999999999</v>
      </c>
      <c r="Y2897" s="32">
        <v>5.5140000000000002</v>
      </c>
      <c r="Z2897">
        <v>0</v>
      </c>
      <c r="AA2897" s="32">
        <v>1.694</v>
      </c>
      <c r="AB2897">
        <v>0</v>
      </c>
      <c r="AC2897" s="34">
        <v>0.219</v>
      </c>
      <c r="AD2897" s="32">
        <v>4.9729999999999999</v>
      </c>
    </row>
    <row r="2898" spans="1:30">
      <c r="A2898">
        <v>2896</v>
      </c>
      <c r="B2898">
        <v>45</v>
      </c>
      <c r="C2898">
        <v>2.9249999999999998</v>
      </c>
      <c r="D2898">
        <v>5.43</v>
      </c>
      <c r="E2898">
        <v>0</v>
      </c>
      <c r="F2898">
        <v>1.8360000000000001</v>
      </c>
      <c r="G2898">
        <v>0</v>
      </c>
      <c r="H2898">
        <v>0.2</v>
      </c>
      <c r="I2898">
        <v>5.5250000000000004</v>
      </c>
      <c r="K2898">
        <v>2896</v>
      </c>
      <c r="L2898">
        <v>45</v>
      </c>
      <c r="M2898" s="32">
        <v>2.9249999999999998</v>
      </c>
      <c r="N2898" s="32">
        <v>5.43</v>
      </c>
      <c r="P2898" s="47">
        <v>1.8380000000000001</v>
      </c>
      <c r="R2898" s="47">
        <v>0.20200000000000001</v>
      </c>
      <c r="S2898" s="47">
        <v>5.3739999999999997</v>
      </c>
      <c r="T2898" s="31">
        <v>0</v>
      </c>
      <c r="V2898">
        <v>2896</v>
      </c>
      <c r="W2898">
        <v>42</v>
      </c>
      <c r="X2898">
        <v>2.9369999999999998</v>
      </c>
      <c r="Y2898" s="32">
        <v>5.5279999999999996</v>
      </c>
      <c r="Z2898">
        <v>0</v>
      </c>
      <c r="AA2898" s="32">
        <v>1.694</v>
      </c>
      <c r="AB2898">
        <v>0</v>
      </c>
      <c r="AC2898" s="34">
        <v>0.219</v>
      </c>
      <c r="AD2898" s="32">
        <v>4.9749999999999996</v>
      </c>
    </row>
    <row r="2899" spans="1:30">
      <c r="A2899">
        <v>2897</v>
      </c>
      <c r="B2899">
        <v>45</v>
      </c>
      <c r="C2899">
        <v>2.9260000000000002</v>
      </c>
      <c r="D2899">
        <v>5.43</v>
      </c>
      <c r="E2899">
        <v>0</v>
      </c>
      <c r="F2899">
        <v>1.8360000000000001</v>
      </c>
      <c r="G2899">
        <v>0</v>
      </c>
      <c r="H2899">
        <v>0.2</v>
      </c>
      <c r="I2899">
        <v>5.5279999999999996</v>
      </c>
      <c r="K2899">
        <v>2897</v>
      </c>
      <c r="L2899">
        <v>45</v>
      </c>
      <c r="M2899" s="32">
        <v>2.9260000000000002</v>
      </c>
      <c r="N2899" s="32">
        <v>5.43</v>
      </c>
      <c r="P2899" s="47">
        <v>1.8380000000000001</v>
      </c>
      <c r="R2899" s="47">
        <v>0.20200000000000001</v>
      </c>
      <c r="S2899" s="47">
        <v>5.3769999999999998</v>
      </c>
      <c r="T2899" s="31">
        <v>0</v>
      </c>
      <c r="V2899">
        <v>2897</v>
      </c>
      <c r="W2899">
        <v>42</v>
      </c>
      <c r="X2899">
        <v>2.9380000000000002</v>
      </c>
      <c r="Y2899" s="32">
        <v>5.5419999999999998</v>
      </c>
      <c r="Z2899">
        <v>0</v>
      </c>
      <c r="AA2899" s="32">
        <v>1.694</v>
      </c>
      <c r="AB2899">
        <v>0</v>
      </c>
      <c r="AC2899" s="34">
        <v>0.219</v>
      </c>
      <c r="AD2899" s="32">
        <v>4.9779999999999998</v>
      </c>
    </row>
    <row r="2900" spans="1:30">
      <c r="A2900">
        <v>2898</v>
      </c>
      <c r="B2900">
        <v>45</v>
      </c>
      <c r="C2900">
        <v>2.927</v>
      </c>
      <c r="D2900">
        <v>5.43</v>
      </c>
      <c r="E2900">
        <v>0</v>
      </c>
      <c r="F2900">
        <v>1.8360000000000001</v>
      </c>
      <c r="G2900">
        <v>0</v>
      </c>
      <c r="H2900">
        <v>0.2</v>
      </c>
      <c r="I2900">
        <v>5.53</v>
      </c>
      <c r="K2900">
        <v>2898</v>
      </c>
      <c r="L2900">
        <v>45</v>
      </c>
      <c r="M2900" s="32">
        <v>2.927</v>
      </c>
      <c r="N2900" s="32">
        <v>5.43</v>
      </c>
      <c r="P2900" s="47">
        <v>1.8380000000000001</v>
      </c>
      <c r="R2900" s="47">
        <v>0.20200000000000001</v>
      </c>
      <c r="S2900" s="47">
        <v>5.3789999999999996</v>
      </c>
      <c r="T2900" s="31">
        <v>0</v>
      </c>
      <c r="V2900">
        <v>2898</v>
      </c>
      <c r="W2900">
        <v>42</v>
      </c>
      <c r="X2900">
        <v>2.9390000000000001</v>
      </c>
      <c r="Y2900" s="32">
        <v>5.556</v>
      </c>
      <c r="Z2900">
        <v>0</v>
      </c>
      <c r="AA2900" s="32">
        <v>1.694</v>
      </c>
      <c r="AB2900">
        <v>0</v>
      </c>
      <c r="AC2900" s="34">
        <v>0.22</v>
      </c>
      <c r="AD2900" s="32">
        <v>4.9800000000000004</v>
      </c>
    </row>
    <row r="2901" spans="1:30">
      <c r="A2901">
        <v>2899</v>
      </c>
      <c r="B2901">
        <v>45</v>
      </c>
      <c r="C2901">
        <v>2.9279999999999999</v>
      </c>
      <c r="D2901">
        <v>5.43</v>
      </c>
      <c r="E2901">
        <v>0</v>
      </c>
      <c r="F2901">
        <v>1.8360000000000001</v>
      </c>
      <c r="G2901">
        <v>0</v>
      </c>
      <c r="H2901">
        <v>0.2</v>
      </c>
      <c r="I2901">
        <v>5.5330000000000004</v>
      </c>
      <c r="K2901">
        <v>2899</v>
      </c>
      <c r="L2901">
        <v>45</v>
      </c>
      <c r="M2901" s="32">
        <v>2.9279999999999999</v>
      </c>
      <c r="N2901" s="32">
        <v>5.43</v>
      </c>
      <c r="P2901" s="47">
        <v>1.8380000000000001</v>
      </c>
      <c r="R2901" s="47">
        <v>0.20200000000000001</v>
      </c>
      <c r="S2901" s="47">
        <v>5.3819999999999997</v>
      </c>
      <c r="T2901" s="31">
        <v>0</v>
      </c>
      <c r="V2901">
        <v>2899</v>
      </c>
      <c r="W2901">
        <v>42</v>
      </c>
      <c r="X2901">
        <v>2.94</v>
      </c>
      <c r="Y2901" s="32">
        <v>5.57</v>
      </c>
      <c r="Z2901">
        <v>0</v>
      </c>
      <c r="AA2901" s="32">
        <v>1.6950000000000001</v>
      </c>
      <c r="AB2901">
        <v>0</v>
      </c>
      <c r="AC2901" s="34">
        <v>0.22</v>
      </c>
      <c r="AD2901" s="32">
        <v>4.9820000000000002</v>
      </c>
    </row>
    <row r="2902" spans="1:30">
      <c r="A2902">
        <v>2900</v>
      </c>
      <c r="B2902">
        <v>45</v>
      </c>
      <c r="C2902">
        <v>2.9289999999999998</v>
      </c>
      <c r="D2902">
        <v>5.43</v>
      </c>
      <c r="E2902">
        <v>0</v>
      </c>
      <c r="F2902">
        <v>1.8360000000000001</v>
      </c>
      <c r="G2902">
        <v>0</v>
      </c>
      <c r="H2902">
        <v>0.2</v>
      </c>
      <c r="I2902">
        <v>5.5350000000000001</v>
      </c>
      <c r="K2902">
        <v>2900</v>
      </c>
      <c r="L2902">
        <v>45</v>
      </c>
      <c r="M2902" s="32">
        <v>2.9289999999999998</v>
      </c>
      <c r="N2902" s="32">
        <v>5.43</v>
      </c>
      <c r="P2902" s="47">
        <v>1.839</v>
      </c>
      <c r="R2902" s="47">
        <v>0.20200000000000001</v>
      </c>
      <c r="S2902" s="47">
        <v>5.3840000000000003</v>
      </c>
      <c r="T2902" s="31">
        <v>0</v>
      </c>
      <c r="V2902">
        <v>2900</v>
      </c>
      <c r="W2902">
        <v>42</v>
      </c>
      <c r="X2902">
        <v>2.9409999999999998</v>
      </c>
      <c r="Y2902" s="32">
        <v>5.57</v>
      </c>
      <c r="Z2902">
        <v>0</v>
      </c>
      <c r="AA2902" s="32">
        <v>1.6950000000000001</v>
      </c>
      <c r="AB2902">
        <v>0</v>
      </c>
      <c r="AC2902" s="34">
        <v>0.22</v>
      </c>
      <c r="AD2902" s="32">
        <v>4.9850000000000003</v>
      </c>
    </row>
    <row r="2903" spans="1:30">
      <c r="A2903">
        <v>2901</v>
      </c>
      <c r="B2903">
        <v>45</v>
      </c>
      <c r="C2903">
        <v>2.93</v>
      </c>
      <c r="D2903">
        <v>5.43</v>
      </c>
      <c r="E2903">
        <v>0</v>
      </c>
      <c r="F2903">
        <v>1.8360000000000001</v>
      </c>
      <c r="G2903">
        <v>0</v>
      </c>
      <c r="H2903">
        <v>0.2</v>
      </c>
      <c r="I2903">
        <v>5.5380000000000003</v>
      </c>
      <c r="K2903">
        <v>2901</v>
      </c>
      <c r="L2903">
        <v>45</v>
      </c>
      <c r="M2903" s="32">
        <v>2.93</v>
      </c>
      <c r="N2903" s="32">
        <v>5.43</v>
      </c>
      <c r="P2903" s="47">
        <v>1.839</v>
      </c>
      <c r="R2903" s="47">
        <v>0.20200000000000001</v>
      </c>
      <c r="S2903" s="47">
        <v>5.3869999999999996</v>
      </c>
      <c r="T2903" s="31">
        <v>0</v>
      </c>
      <c r="V2903">
        <v>2901</v>
      </c>
      <c r="W2903">
        <v>42</v>
      </c>
      <c r="X2903">
        <v>2.9420000000000002</v>
      </c>
      <c r="Y2903" s="32">
        <v>5.57</v>
      </c>
      <c r="Z2903">
        <v>0</v>
      </c>
      <c r="AA2903" s="32">
        <v>1.6950000000000001</v>
      </c>
      <c r="AB2903">
        <v>0</v>
      </c>
      <c r="AC2903" s="34">
        <v>0.22</v>
      </c>
      <c r="AD2903" s="32">
        <v>4.9870000000000001</v>
      </c>
    </row>
    <row r="2904" spans="1:30">
      <c r="A2904">
        <v>2902</v>
      </c>
      <c r="B2904">
        <v>45</v>
      </c>
      <c r="C2904">
        <v>2.931</v>
      </c>
      <c r="D2904">
        <v>5.43</v>
      </c>
      <c r="E2904">
        <v>0</v>
      </c>
      <c r="F2904">
        <v>1.839</v>
      </c>
      <c r="G2904">
        <v>0</v>
      </c>
      <c r="H2904">
        <v>0.2</v>
      </c>
      <c r="I2904">
        <v>5.5659999999999998</v>
      </c>
      <c r="K2904">
        <v>2902</v>
      </c>
      <c r="L2904">
        <v>45</v>
      </c>
      <c r="M2904" s="32">
        <v>2.931</v>
      </c>
      <c r="N2904" s="47">
        <v>5.444</v>
      </c>
      <c r="P2904" s="32">
        <v>1.839</v>
      </c>
      <c r="R2904" s="47">
        <v>0.20200000000000001</v>
      </c>
      <c r="S2904" s="47">
        <v>5.39</v>
      </c>
      <c r="T2904" s="31">
        <v>0</v>
      </c>
      <c r="V2904">
        <v>2902</v>
      </c>
      <c r="W2904">
        <v>42</v>
      </c>
      <c r="X2904">
        <v>2.9430000000000001</v>
      </c>
      <c r="Y2904" s="32">
        <v>5.57</v>
      </c>
      <c r="Z2904">
        <v>0</v>
      </c>
      <c r="AA2904" s="32">
        <v>1.6950000000000001</v>
      </c>
      <c r="AB2904">
        <v>0</v>
      </c>
      <c r="AC2904" s="34">
        <v>0.22</v>
      </c>
      <c r="AD2904" s="32">
        <v>4.9889999999999999</v>
      </c>
    </row>
    <row r="2905" spans="1:30">
      <c r="A2905">
        <v>2903</v>
      </c>
      <c r="B2905">
        <v>45</v>
      </c>
      <c r="C2905">
        <v>2.9319999999999999</v>
      </c>
      <c r="D2905">
        <v>5.43</v>
      </c>
      <c r="E2905">
        <v>0</v>
      </c>
      <c r="F2905">
        <v>1.839</v>
      </c>
      <c r="G2905">
        <v>0</v>
      </c>
      <c r="H2905">
        <v>0.2</v>
      </c>
      <c r="I2905">
        <v>5.569</v>
      </c>
      <c r="K2905">
        <v>2903</v>
      </c>
      <c r="L2905">
        <v>45</v>
      </c>
      <c r="M2905" s="32">
        <v>2.9319999999999999</v>
      </c>
      <c r="N2905" s="47">
        <v>5.4580000000000002</v>
      </c>
      <c r="P2905" s="32">
        <v>1.839</v>
      </c>
      <c r="R2905" s="47">
        <v>0.20200000000000001</v>
      </c>
      <c r="S2905" s="47">
        <v>5.3920000000000003</v>
      </c>
      <c r="T2905" s="31">
        <v>0</v>
      </c>
      <c r="V2905">
        <v>2903</v>
      </c>
      <c r="W2905">
        <v>42</v>
      </c>
      <c r="X2905">
        <v>2.944</v>
      </c>
      <c r="Y2905" s="32">
        <v>5.57</v>
      </c>
      <c r="Z2905">
        <v>0</v>
      </c>
      <c r="AA2905" s="32">
        <v>1.696</v>
      </c>
      <c r="AB2905">
        <v>0</v>
      </c>
      <c r="AC2905" s="34">
        <v>0.22</v>
      </c>
      <c r="AD2905" s="32">
        <v>4.992</v>
      </c>
    </row>
    <row r="2906" spans="1:30">
      <c r="A2906">
        <v>2904</v>
      </c>
      <c r="B2906">
        <v>45</v>
      </c>
      <c r="C2906">
        <v>2.9329999999999998</v>
      </c>
      <c r="D2906">
        <v>5.43</v>
      </c>
      <c r="E2906">
        <v>0</v>
      </c>
      <c r="F2906">
        <v>1.839</v>
      </c>
      <c r="G2906">
        <v>0</v>
      </c>
      <c r="H2906">
        <v>0.2</v>
      </c>
      <c r="I2906">
        <v>5.5709999999999997</v>
      </c>
      <c r="K2906">
        <v>2904</v>
      </c>
      <c r="L2906">
        <v>45</v>
      </c>
      <c r="M2906" s="32">
        <v>2.9329999999999998</v>
      </c>
      <c r="N2906" s="47">
        <v>5.4720000000000004</v>
      </c>
      <c r="P2906" s="47">
        <v>1.84</v>
      </c>
      <c r="R2906" s="47">
        <v>0.20200000000000001</v>
      </c>
      <c r="S2906" s="47">
        <v>5.3949999999999996</v>
      </c>
      <c r="T2906" s="31">
        <v>0</v>
      </c>
      <c r="V2906">
        <v>2904</v>
      </c>
      <c r="W2906">
        <v>42</v>
      </c>
      <c r="X2906">
        <v>2.9449999999999998</v>
      </c>
      <c r="Y2906" s="32">
        <v>5.57</v>
      </c>
      <c r="Z2906">
        <v>0</v>
      </c>
      <c r="AA2906" s="32">
        <v>1.696</v>
      </c>
      <c r="AB2906">
        <v>0</v>
      </c>
      <c r="AC2906" s="34">
        <v>0.22</v>
      </c>
      <c r="AD2906" s="32">
        <v>4.9939999999999998</v>
      </c>
    </row>
    <row r="2907" spans="1:30">
      <c r="A2907">
        <v>2905</v>
      </c>
      <c r="B2907">
        <v>45</v>
      </c>
      <c r="C2907">
        <v>2.9340000000000002</v>
      </c>
      <c r="D2907">
        <v>5.43</v>
      </c>
      <c r="E2907">
        <v>0</v>
      </c>
      <c r="F2907">
        <v>1.839</v>
      </c>
      <c r="G2907">
        <v>0</v>
      </c>
      <c r="H2907">
        <v>0.2</v>
      </c>
      <c r="I2907">
        <v>5.5739999999999998</v>
      </c>
      <c r="K2907">
        <v>2905</v>
      </c>
      <c r="L2907">
        <v>45</v>
      </c>
      <c r="M2907" s="32">
        <v>2.9340000000000002</v>
      </c>
      <c r="N2907" s="47">
        <v>5.4859999999999998</v>
      </c>
      <c r="P2907" s="47">
        <v>1.84</v>
      </c>
      <c r="R2907" s="47">
        <v>0.20200000000000001</v>
      </c>
      <c r="S2907" s="47">
        <v>5.3970000000000002</v>
      </c>
      <c r="T2907" s="31">
        <v>0</v>
      </c>
      <c r="V2907">
        <v>2905</v>
      </c>
      <c r="W2907">
        <v>42</v>
      </c>
      <c r="X2907">
        <v>2.9460000000000002</v>
      </c>
      <c r="Y2907" s="32">
        <v>5.57</v>
      </c>
      <c r="Z2907">
        <v>0</v>
      </c>
      <c r="AA2907" s="32">
        <v>1.696</v>
      </c>
      <c r="AB2907">
        <v>0</v>
      </c>
      <c r="AC2907" s="34">
        <v>0.22</v>
      </c>
      <c r="AD2907" s="32">
        <v>4.9969999999999999</v>
      </c>
    </row>
    <row r="2908" spans="1:30">
      <c r="A2908">
        <v>2906</v>
      </c>
      <c r="B2908">
        <v>45</v>
      </c>
      <c r="C2908">
        <v>2.9350000000000001</v>
      </c>
      <c r="D2908">
        <v>5.43</v>
      </c>
      <c r="E2908">
        <v>0</v>
      </c>
      <c r="F2908">
        <v>1.839</v>
      </c>
      <c r="G2908">
        <v>0</v>
      </c>
      <c r="H2908">
        <v>0.2</v>
      </c>
      <c r="I2908">
        <v>5.5759999999999996</v>
      </c>
      <c r="K2908">
        <v>2906</v>
      </c>
      <c r="L2908">
        <v>45</v>
      </c>
      <c r="M2908" s="32">
        <v>2.9350000000000001</v>
      </c>
      <c r="N2908" s="47">
        <v>5.5</v>
      </c>
      <c r="P2908" s="47">
        <v>1.84</v>
      </c>
      <c r="R2908" s="47">
        <v>0.20200000000000001</v>
      </c>
      <c r="S2908" s="47">
        <v>5.4</v>
      </c>
      <c r="T2908" s="31">
        <v>0</v>
      </c>
      <c r="V2908">
        <v>2906</v>
      </c>
      <c r="W2908">
        <v>42</v>
      </c>
      <c r="X2908">
        <v>2.9470000000000001</v>
      </c>
      <c r="Y2908" s="32">
        <v>5.57</v>
      </c>
      <c r="Z2908">
        <v>0</v>
      </c>
      <c r="AA2908" s="32">
        <v>1.696</v>
      </c>
      <c r="AB2908">
        <v>0</v>
      </c>
      <c r="AC2908" s="34">
        <v>0.22</v>
      </c>
      <c r="AD2908" s="32">
        <v>4.9989999999999997</v>
      </c>
    </row>
    <row r="2909" spans="1:30">
      <c r="A2909">
        <v>2907</v>
      </c>
      <c r="B2909">
        <v>45</v>
      </c>
      <c r="C2909">
        <v>2.9359999999999999</v>
      </c>
      <c r="D2909">
        <v>5.43</v>
      </c>
      <c r="E2909">
        <v>0</v>
      </c>
      <c r="F2909">
        <v>1.839</v>
      </c>
      <c r="G2909">
        <v>0</v>
      </c>
      <c r="H2909">
        <v>0.2</v>
      </c>
      <c r="I2909">
        <v>5.5789999999999997</v>
      </c>
      <c r="K2909">
        <v>2907</v>
      </c>
      <c r="L2909">
        <v>45</v>
      </c>
      <c r="M2909" s="32">
        <v>2.9359999999999999</v>
      </c>
      <c r="N2909" s="47">
        <v>5.5140000000000002</v>
      </c>
      <c r="P2909" s="47">
        <v>1.84</v>
      </c>
      <c r="R2909" s="47">
        <v>0.20200000000000001</v>
      </c>
      <c r="S2909" s="47">
        <v>5.4029999999999996</v>
      </c>
      <c r="T2909" s="31">
        <v>0</v>
      </c>
      <c r="V2909">
        <v>2907</v>
      </c>
      <c r="W2909">
        <v>42</v>
      </c>
      <c r="X2909">
        <v>2.948</v>
      </c>
      <c r="Y2909" s="32">
        <v>5.57</v>
      </c>
      <c r="Z2909">
        <v>0</v>
      </c>
      <c r="AA2909" s="32">
        <v>1.6970000000000001</v>
      </c>
      <c r="AB2909">
        <v>0</v>
      </c>
      <c r="AC2909" s="34">
        <v>0.22</v>
      </c>
      <c r="AD2909" s="32">
        <v>5.0010000000000003</v>
      </c>
    </row>
    <row r="2910" spans="1:30">
      <c r="A2910">
        <v>2908</v>
      </c>
      <c r="B2910">
        <v>45</v>
      </c>
      <c r="C2910">
        <v>2.9369999999999998</v>
      </c>
      <c r="D2910">
        <v>5.43</v>
      </c>
      <c r="E2910">
        <v>0</v>
      </c>
      <c r="F2910">
        <v>1.839</v>
      </c>
      <c r="G2910">
        <v>0</v>
      </c>
      <c r="H2910">
        <v>0.2</v>
      </c>
      <c r="I2910">
        <v>5.5810000000000004</v>
      </c>
      <c r="K2910">
        <v>2908</v>
      </c>
      <c r="L2910">
        <v>45</v>
      </c>
      <c r="M2910" s="32">
        <v>2.9369999999999998</v>
      </c>
      <c r="N2910" s="47">
        <v>5.5279999999999996</v>
      </c>
      <c r="P2910" s="47">
        <v>1.84</v>
      </c>
      <c r="R2910" s="47">
        <v>0.20200000000000001</v>
      </c>
      <c r="S2910" s="47">
        <v>5.4050000000000002</v>
      </c>
      <c r="T2910" s="31">
        <v>0</v>
      </c>
      <c r="V2910">
        <v>2908</v>
      </c>
      <c r="W2910">
        <v>42</v>
      </c>
      <c r="X2910">
        <v>2.9489999999999998</v>
      </c>
      <c r="Y2910" s="32">
        <v>5.57</v>
      </c>
      <c r="Z2910">
        <v>0</v>
      </c>
      <c r="AA2910" s="32">
        <v>1.6970000000000001</v>
      </c>
      <c r="AB2910">
        <v>0</v>
      </c>
      <c r="AC2910" s="34">
        <v>0.22</v>
      </c>
      <c r="AD2910" s="32">
        <v>5.0039999999999996</v>
      </c>
    </row>
    <row r="2911" spans="1:30">
      <c r="A2911">
        <v>2909</v>
      </c>
      <c r="B2911">
        <v>45</v>
      </c>
      <c r="C2911">
        <v>2.9380000000000002</v>
      </c>
      <c r="D2911">
        <v>5.43</v>
      </c>
      <c r="E2911">
        <v>0</v>
      </c>
      <c r="F2911">
        <v>1.839</v>
      </c>
      <c r="G2911">
        <v>0</v>
      </c>
      <c r="H2911">
        <v>0.2</v>
      </c>
      <c r="I2911">
        <v>5.5839999999999996</v>
      </c>
      <c r="K2911">
        <v>2909</v>
      </c>
      <c r="L2911">
        <v>45</v>
      </c>
      <c r="M2911" s="32">
        <v>2.9380000000000002</v>
      </c>
      <c r="N2911" s="47">
        <v>5.5419999999999998</v>
      </c>
      <c r="P2911" s="47">
        <v>1.841</v>
      </c>
      <c r="R2911" s="47">
        <v>0.20200000000000001</v>
      </c>
      <c r="S2911" s="47">
        <v>5.4080000000000004</v>
      </c>
      <c r="T2911" s="31">
        <v>0</v>
      </c>
      <c r="V2911">
        <v>2909</v>
      </c>
      <c r="W2911">
        <v>43</v>
      </c>
      <c r="X2911">
        <v>2.95</v>
      </c>
      <c r="Y2911" s="32">
        <v>5.57</v>
      </c>
      <c r="Z2911">
        <v>0</v>
      </c>
      <c r="AA2911" s="32">
        <v>1.6970000000000001</v>
      </c>
      <c r="AB2911">
        <v>0</v>
      </c>
      <c r="AC2911" s="34">
        <v>0.22</v>
      </c>
      <c r="AD2911" s="32">
        <v>5.0060000000000002</v>
      </c>
    </row>
    <row r="2912" spans="1:30">
      <c r="A2912">
        <v>2910</v>
      </c>
      <c r="B2912">
        <v>45</v>
      </c>
      <c r="C2912">
        <v>2.9390000000000001</v>
      </c>
      <c r="D2912">
        <v>5.43</v>
      </c>
      <c r="E2912">
        <v>0</v>
      </c>
      <c r="F2912">
        <v>1.839</v>
      </c>
      <c r="G2912">
        <v>0</v>
      </c>
      <c r="H2912">
        <v>0.2</v>
      </c>
      <c r="I2912">
        <v>5.5860000000000003</v>
      </c>
      <c r="K2912">
        <v>2910</v>
      </c>
      <c r="L2912">
        <v>45</v>
      </c>
      <c r="M2912" s="32">
        <v>2.9390000000000001</v>
      </c>
      <c r="N2912" s="47">
        <v>5.556</v>
      </c>
      <c r="P2912" s="47">
        <v>1.841</v>
      </c>
      <c r="R2912" s="47">
        <v>0.20200000000000001</v>
      </c>
      <c r="S2912" s="47">
        <v>5.41</v>
      </c>
      <c r="T2912" s="31">
        <v>0</v>
      </c>
      <c r="V2912">
        <v>2910</v>
      </c>
      <c r="W2912">
        <v>43</v>
      </c>
      <c r="X2912">
        <v>2.9510000000000001</v>
      </c>
      <c r="Y2912" s="32">
        <v>5.57</v>
      </c>
      <c r="Z2912">
        <v>0</v>
      </c>
      <c r="AA2912" s="32">
        <v>1.6970000000000001</v>
      </c>
      <c r="AB2912">
        <v>0</v>
      </c>
      <c r="AC2912" s="34">
        <v>0.22</v>
      </c>
      <c r="AD2912" s="32">
        <v>5.008</v>
      </c>
    </row>
    <row r="2913" spans="1:30">
      <c r="A2913">
        <v>2911</v>
      </c>
      <c r="B2913">
        <v>46</v>
      </c>
      <c r="C2913">
        <v>2.94</v>
      </c>
      <c r="D2913">
        <v>5.57</v>
      </c>
      <c r="E2913">
        <v>0</v>
      </c>
      <c r="F2913">
        <v>1.841</v>
      </c>
      <c r="G2913">
        <v>0</v>
      </c>
      <c r="H2913">
        <v>0.20200000000000001</v>
      </c>
      <c r="I2913">
        <v>5.4130000000000003</v>
      </c>
      <c r="K2913">
        <v>2911</v>
      </c>
      <c r="L2913">
        <v>46</v>
      </c>
      <c r="M2913" s="32">
        <v>2.94</v>
      </c>
      <c r="N2913" s="32">
        <v>5.57</v>
      </c>
      <c r="P2913" s="32">
        <v>1.841</v>
      </c>
      <c r="R2913" s="32">
        <v>0.20200000000000001</v>
      </c>
      <c r="S2913" s="32">
        <v>5.4130000000000003</v>
      </c>
      <c r="T2913" s="31">
        <v>0</v>
      </c>
      <c r="V2913">
        <v>2911</v>
      </c>
      <c r="W2913">
        <v>43</v>
      </c>
      <c r="X2913">
        <v>2.952</v>
      </c>
      <c r="Y2913" s="32">
        <v>5.57</v>
      </c>
      <c r="Z2913">
        <v>0</v>
      </c>
      <c r="AA2913" s="32">
        <v>1.6970000000000001</v>
      </c>
      <c r="AB2913">
        <v>0</v>
      </c>
      <c r="AC2913" s="34">
        <v>0.22</v>
      </c>
      <c r="AD2913" s="32">
        <v>5.0110000000000001</v>
      </c>
    </row>
    <row r="2914" spans="1:30">
      <c r="A2914">
        <v>2912</v>
      </c>
      <c r="B2914">
        <v>46</v>
      </c>
      <c r="C2914">
        <v>2.9409999999999998</v>
      </c>
      <c r="D2914">
        <v>5.57</v>
      </c>
      <c r="E2914">
        <v>0</v>
      </c>
      <c r="F2914">
        <v>1.841</v>
      </c>
      <c r="G2914">
        <v>0</v>
      </c>
      <c r="H2914">
        <v>0.20200000000000001</v>
      </c>
      <c r="I2914">
        <v>5.4160000000000004</v>
      </c>
      <c r="K2914">
        <v>2912</v>
      </c>
      <c r="L2914">
        <v>46</v>
      </c>
      <c r="M2914" s="32">
        <v>2.9409999999999998</v>
      </c>
      <c r="N2914" s="32">
        <v>5.57</v>
      </c>
      <c r="P2914" s="32">
        <v>1.841</v>
      </c>
      <c r="R2914" s="32">
        <v>0.20200000000000001</v>
      </c>
      <c r="S2914" s="32">
        <v>5.4160000000000004</v>
      </c>
      <c r="T2914" s="31">
        <v>0</v>
      </c>
      <c r="V2914">
        <v>2912</v>
      </c>
      <c r="W2914">
        <v>43</v>
      </c>
      <c r="X2914">
        <v>2.9529999999999998</v>
      </c>
      <c r="Y2914" s="32">
        <v>5.57</v>
      </c>
      <c r="Z2914">
        <v>0</v>
      </c>
      <c r="AA2914" s="32">
        <v>1.698</v>
      </c>
      <c r="AB2914">
        <v>0</v>
      </c>
      <c r="AC2914" s="34">
        <v>0.22</v>
      </c>
      <c r="AD2914" s="32">
        <v>5.0129999999999999</v>
      </c>
    </row>
    <row r="2915" spans="1:30">
      <c r="A2915">
        <v>2913</v>
      </c>
      <c r="B2915">
        <v>46</v>
      </c>
      <c r="C2915">
        <v>2.9420000000000002</v>
      </c>
      <c r="D2915">
        <v>5.58</v>
      </c>
      <c r="E2915">
        <v>0</v>
      </c>
      <c r="F2915">
        <v>1.8420000000000001</v>
      </c>
      <c r="G2915">
        <v>0</v>
      </c>
      <c r="H2915">
        <v>0.20200000000000001</v>
      </c>
      <c r="I2915">
        <v>5.4180000000000001</v>
      </c>
      <c r="K2915">
        <v>2913</v>
      </c>
      <c r="L2915">
        <v>46</v>
      </c>
      <c r="M2915" s="32">
        <v>2.9420000000000002</v>
      </c>
      <c r="N2915" s="47">
        <v>5.57</v>
      </c>
      <c r="P2915" s="32">
        <v>1.8420000000000001</v>
      </c>
      <c r="R2915" s="32">
        <v>0.20200000000000001</v>
      </c>
      <c r="S2915" s="32">
        <v>5.4180000000000001</v>
      </c>
      <c r="T2915" s="31">
        <v>0</v>
      </c>
      <c r="V2915">
        <v>2913</v>
      </c>
      <c r="W2915">
        <v>43</v>
      </c>
      <c r="X2915">
        <v>2.9540000000000002</v>
      </c>
      <c r="Y2915" s="32">
        <v>5.57</v>
      </c>
      <c r="Z2915">
        <v>0</v>
      </c>
      <c r="AA2915" s="32">
        <v>1.698</v>
      </c>
      <c r="AB2915">
        <v>0</v>
      </c>
      <c r="AC2915" s="34">
        <v>0.22</v>
      </c>
      <c r="AD2915" s="32">
        <v>5.016</v>
      </c>
    </row>
    <row r="2916" spans="1:30">
      <c r="A2916">
        <v>2914</v>
      </c>
      <c r="B2916">
        <v>46</v>
      </c>
      <c r="C2916">
        <v>2.9430000000000001</v>
      </c>
      <c r="D2916">
        <v>5.58</v>
      </c>
      <c r="E2916">
        <v>0</v>
      </c>
      <c r="F2916">
        <v>1.8420000000000001</v>
      </c>
      <c r="G2916">
        <v>0</v>
      </c>
      <c r="H2916">
        <v>0.20200000000000001</v>
      </c>
      <c r="I2916">
        <v>5.4210000000000003</v>
      </c>
      <c r="K2916">
        <v>2914</v>
      </c>
      <c r="L2916">
        <v>46</v>
      </c>
      <c r="M2916" s="32">
        <v>2.9430000000000001</v>
      </c>
      <c r="N2916" s="47">
        <v>5.57</v>
      </c>
      <c r="P2916" s="32">
        <v>1.8420000000000001</v>
      </c>
      <c r="R2916" s="32">
        <v>0.20200000000000001</v>
      </c>
      <c r="S2916" s="32">
        <v>5.4210000000000003</v>
      </c>
      <c r="T2916" s="31">
        <v>0</v>
      </c>
      <c r="V2916">
        <v>2914</v>
      </c>
      <c r="W2916">
        <v>43</v>
      </c>
      <c r="X2916">
        <v>2.9550000000000001</v>
      </c>
      <c r="Y2916" s="32">
        <v>5.57</v>
      </c>
      <c r="Z2916">
        <v>0</v>
      </c>
      <c r="AA2916" s="32">
        <v>1.698</v>
      </c>
      <c r="AB2916">
        <v>0</v>
      </c>
      <c r="AC2916" s="34">
        <v>0.22</v>
      </c>
      <c r="AD2916" s="32">
        <v>5.0179999999999998</v>
      </c>
    </row>
    <row r="2917" spans="1:30">
      <c r="A2917">
        <v>2915</v>
      </c>
      <c r="B2917">
        <v>46</v>
      </c>
      <c r="C2917">
        <v>2.944</v>
      </c>
      <c r="D2917">
        <v>5.58</v>
      </c>
      <c r="E2917">
        <v>0</v>
      </c>
      <c r="F2917">
        <v>1.8420000000000001</v>
      </c>
      <c r="G2917">
        <v>0</v>
      </c>
      <c r="H2917">
        <v>0.20200000000000001</v>
      </c>
      <c r="I2917">
        <v>5.423</v>
      </c>
      <c r="K2917">
        <v>2915</v>
      </c>
      <c r="L2917">
        <v>46</v>
      </c>
      <c r="M2917" s="32">
        <v>2.944</v>
      </c>
      <c r="N2917" s="47">
        <v>5.57</v>
      </c>
      <c r="P2917" s="32">
        <v>1.8420000000000001</v>
      </c>
      <c r="R2917" s="32">
        <v>0.20200000000000001</v>
      </c>
      <c r="S2917" s="32">
        <v>5.423</v>
      </c>
      <c r="T2917" s="31">
        <v>0</v>
      </c>
      <c r="V2917">
        <v>2915</v>
      </c>
      <c r="W2917">
        <v>43</v>
      </c>
      <c r="X2917">
        <v>2.956</v>
      </c>
      <c r="Y2917" s="32">
        <v>5.57</v>
      </c>
      <c r="Z2917">
        <v>0</v>
      </c>
      <c r="AA2917" s="32">
        <v>1.698</v>
      </c>
      <c r="AB2917">
        <v>0</v>
      </c>
      <c r="AC2917" s="34">
        <v>0.22</v>
      </c>
      <c r="AD2917" s="32">
        <v>5.0199999999999996</v>
      </c>
    </row>
    <row r="2918" spans="1:30">
      <c r="A2918">
        <v>2916</v>
      </c>
      <c r="B2918">
        <v>46</v>
      </c>
      <c r="C2918">
        <v>2.9449999999999998</v>
      </c>
      <c r="D2918">
        <v>5.58</v>
      </c>
      <c r="E2918">
        <v>0</v>
      </c>
      <c r="F2918">
        <v>1.8420000000000001</v>
      </c>
      <c r="G2918">
        <v>0</v>
      </c>
      <c r="H2918">
        <v>0.20200000000000001</v>
      </c>
      <c r="I2918">
        <v>5.4260000000000002</v>
      </c>
      <c r="K2918">
        <v>2916</v>
      </c>
      <c r="L2918">
        <v>46</v>
      </c>
      <c r="M2918" s="32">
        <v>2.9449999999999998</v>
      </c>
      <c r="N2918" s="47">
        <v>5.57</v>
      </c>
      <c r="P2918" s="47">
        <v>1.843</v>
      </c>
      <c r="R2918" s="32">
        <v>0.20200000000000001</v>
      </c>
      <c r="S2918" s="32">
        <v>5.4260000000000002</v>
      </c>
      <c r="T2918" s="31">
        <v>0</v>
      </c>
      <c r="V2918">
        <v>2916</v>
      </c>
      <c r="W2918">
        <v>43</v>
      </c>
      <c r="X2918">
        <v>2.9569999999999999</v>
      </c>
      <c r="Y2918" s="32">
        <v>5.57</v>
      </c>
      <c r="Z2918">
        <v>0</v>
      </c>
      <c r="AA2918" s="32">
        <v>1.6990000000000001</v>
      </c>
      <c r="AB2918">
        <v>0</v>
      </c>
      <c r="AC2918" s="34">
        <v>0.22</v>
      </c>
      <c r="AD2918" s="32">
        <v>5.0229999999999997</v>
      </c>
    </row>
    <row r="2919" spans="1:30">
      <c r="A2919">
        <v>2917</v>
      </c>
      <c r="B2919">
        <v>46</v>
      </c>
      <c r="C2919">
        <v>2.9460000000000002</v>
      </c>
      <c r="D2919">
        <v>5.59</v>
      </c>
      <c r="E2919">
        <v>0</v>
      </c>
      <c r="F2919">
        <v>1.843</v>
      </c>
      <c r="G2919">
        <v>0</v>
      </c>
      <c r="H2919">
        <v>0.20200000000000001</v>
      </c>
      <c r="I2919">
        <v>5.4279999999999999</v>
      </c>
      <c r="K2919">
        <v>2917</v>
      </c>
      <c r="L2919">
        <v>46</v>
      </c>
      <c r="M2919" s="32">
        <v>2.9460000000000002</v>
      </c>
      <c r="N2919" s="47">
        <v>5.57</v>
      </c>
      <c r="P2919" s="32">
        <v>1.843</v>
      </c>
      <c r="R2919" s="32">
        <v>0.20200000000000001</v>
      </c>
      <c r="S2919" s="32">
        <v>5.4279999999999999</v>
      </c>
      <c r="T2919" s="31">
        <v>0</v>
      </c>
      <c r="V2919">
        <v>2917</v>
      </c>
      <c r="W2919">
        <v>43</v>
      </c>
      <c r="X2919">
        <v>2.9580000000000002</v>
      </c>
      <c r="Y2919" s="32">
        <v>5.57</v>
      </c>
      <c r="Z2919">
        <v>0</v>
      </c>
      <c r="AA2919" s="32">
        <v>1.6990000000000001</v>
      </c>
      <c r="AB2919">
        <v>0</v>
      </c>
      <c r="AC2919" s="34">
        <v>0.22</v>
      </c>
      <c r="AD2919" s="32">
        <v>5.0250000000000004</v>
      </c>
    </row>
    <row r="2920" spans="1:30">
      <c r="A2920">
        <v>2918</v>
      </c>
      <c r="B2920">
        <v>46</v>
      </c>
      <c r="C2920">
        <v>2.9470000000000001</v>
      </c>
      <c r="D2920">
        <v>5.59</v>
      </c>
      <c r="E2920">
        <v>0</v>
      </c>
      <c r="F2920">
        <v>1.843</v>
      </c>
      <c r="G2920">
        <v>0</v>
      </c>
      <c r="H2920">
        <v>0.20200000000000001</v>
      </c>
      <c r="I2920">
        <v>5.431</v>
      </c>
      <c r="K2920">
        <v>2918</v>
      </c>
      <c r="L2920">
        <v>46</v>
      </c>
      <c r="M2920" s="32">
        <v>2.9470000000000001</v>
      </c>
      <c r="N2920" s="47">
        <v>5.57</v>
      </c>
      <c r="P2920" s="32">
        <v>1.843</v>
      </c>
      <c r="R2920" s="32">
        <v>0.20200000000000001</v>
      </c>
      <c r="S2920" s="32">
        <v>5.431</v>
      </c>
      <c r="T2920" s="31">
        <v>0</v>
      </c>
      <c r="V2920">
        <v>2918</v>
      </c>
      <c r="W2920">
        <v>43</v>
      </c>
      <c r="X2920">
        <v>2.9590000000000001</v>
      </c>
      <c r="Y2920" s="32">
        <v>5.57</v>
      </c>
      <c r="Z2920">
        <v>0</v>
      </c>
      <c r="AA2920" s="32">
        <v>1.6990000000000001</v>
      </c>
      <c r="AB2920">
        <v>0</v>
      </c>
      <c r="AC2920" s="34">
        <v>0.22</v>
      </c>
      <c r="AD2920" s="32">
        <v>5.0270000000000001</v>
      </c>
    </row>
    <row r="2921" spans="1:30">
      <c r="A2921">
        <v>2919</v>
      </c>
      <c r="B2921">
        <v>46</v>
      </c>
      <c r="C2921">
        <v>2.948</v>
      </c>
      <c r="D2921">
        <v>5.59</v>
      </c>
      <c r="E2921">
        <v>0</v>
      </c>
      <c r="F2921">
        <v>1.843</v>
      </c>
      <c r="G2921">
        <v>0</v>
      </c>
      <c r="H2921">
        <v>0.20200000000000001</v>
      </c>
      <c r="I2921">
        <v>5.4340000000000002</v>
      </c>
      <c r="K2921">
        <v>2919</v>
      </c>
      <c r="L2921">
        <v>46</v>
      </c>
      <c r="M2921" s="32">
        <v>2.948</v>
      </c>
      <c r="N2921" s="47">
        <v>5.57</v>
      </c>
      <c r="P2921" s="32">
        <v>1.843</v>
      </c>
      <c r="R2921" s="32">
        <v>0.20200000000000001</v>
      </c>
      <c r="S2921" s="47">
        <v>5.4329999999999998</v>
      </c>
      <c r="T2921" s="31">
        <v>0</v>
      </c>
      <c r="V2921">
        <v>2919</v>
      </c>
      <c r="W2921">
        <v>43</v>
      </c>
      <c r="X2921">
        <v>2.96</v>
      </c>
      <c r="Y2921" s="32">
        <v>5.57</v>
      </c>
      <c r="Z2921">
        <v>0</v>
      </c>
      <c r="AA2921" s="32">
        <v>1.6990000000000001</v>
      </c>
      <c r="AB2921">
        <v>0</v>
      </c>
      <c r="AC2921" s="34">
        <v>0.22</v>
      </c>
      <c r="AD2921" s="32">
        <v>5.03</v>
      </c>
    </row>
    <row r="2922" spans="1:30">
      <c r="A2922">
        <v>2920</v>
      </c>
      <c r="B2922">
        <v>46</v>
      </c>
      <c r="C2922">
        <v>2.9489999999999998</v>
      </c>
      <c r="D2922">
        <v>5.59</v>
      </c>
      <c r="E2922">
        <v>0</v>
      </c>
      <c r="F2922">
        <v>1.843</v>
      </c>
      <c r="G2922">
        <v>0</v>
      </c>
      <c r="H2922">
        <v>0.20200000000000001</v>
      </c>
      <c r="I2922">
        <v>5.4359999999999999</v>
      </c>
      <c r="K2922">
        <v>2920</v>
      </c>
      <c r="L2922">
        <v>46</v>
      </c>
      <c r="M2922" s="32">
        <v>2.9489999999999998</v>
      </c>
      <c r="N2922" s="47">
        <v>5.57</v>
      </c>
      <c r="P2922" s="47">
        <v>1.8440000000000001</v>
      </c>
      <c r="R2922" s="32">
        <v>0.20200000000000001</v>
      </c>
      <c r="S2922" s="32">
        <v>5.4359999999999999</v>
      </c>
      <c r="T2922" s="31">
        <v>0</v>
      </c>
      <c r="V2922">
        <v>2920</v>
      </c>
      <c r="W2922">
        <v>43</v>
      </c>
      <c r="X2922">
        <v>2.9609999999999999</v>
      </c>
      <c r="Y2922" s="32">
        <v>5.57</v>
      </c>
      <c r="Z2922">
        <v>0</v>
      </c>
      <c r="AA2922" s="32">
        <v>1.6990000000000001</v>
      </c>
      <c r="AB2922">
        <v>0</v>
      </c>
      <c r="AC2922" s="34">
        <v>0.22</v>
      </c>
      <c r="AD2922" s="32">
        <v>5.032</v>
      </c>
    </row>
    <row r="2923" spans="1:30">
      <c r="A2923">
        <v>2921</v>
      </c>
      <c r="B2923">
        <v>46</v>
      </c>
      <c r="C2923">
        <v>2.95</v>
      </c>
      <c r="D2923">
        <v>5.6</v>
      </c>
      <c r="E2923">
        <v>0</v>
      </c>
      <c r="F2923">
        <v>1.8440000000000001</v>
      </c>
      <c r="G2923">
        <v>0</v>
      </c>
      <c r="H2923">
        <v>0.20200000000000001</v>
      </c>
      <c r="I2923">
        <v>5.4390000000000001</v>
      </c>
      <c r="K2923">
        <v>2921</v>
      </c>
      <c r="L2923">
        <v>46</v>
      </c>
      <c r="M2923" s="32">
        <v>2.95</v>
      </c>
      <c r="N2923" s="47">
        <v>5.57</v>
      </c>
      <c r="P2923" s="32">
        <v>1.8440000000000001</v>
      </c>
      <c r="R2923" s="47">
        <v>0.20300000000000001</v>
      </c>
      <c r="S2923" s="47">
        <v>5.4379999999999997</v>
      </c>
      <c r="T2923" s="31">
        <v>0</v>
      </c>
      <c r="V2923">
        <v>2921</v>
      </c>
      <c r="W2923">
        <v>43</v>
      </c>
      <c r="X2923">
        <v>2.9620000000000002</v>
      </c>
      <c r="Y2923" s="32">
        <v>5.57</v>
      </c>
      <c r="Z2923">
        <v>0</v>
      </c>
      <c r="AA2923" s="32">
        <v>1.7</v>
      </c>
      <c r="AB2923">
        <v>0</v>
      </c>
      <c r="AC2923" s="34">
        <v>0.22</v>
      </c>
      <c r="AD2923" s="32">
        <v>5.0350000000000001</v>
      </c>
    </row>
    <row r="2924" spans="1:30">
      <c r="A2924">
        <v>2922</v>
      </c>
      <c r="B2924">
        <v>46</v>
      </c>
      <c r="C2924">
        <v>2.9510000000000001</v>
      </c>
      <c r="D2924">
        <v>5.57</v>
      </c>
      <c r="E2924">
        <v>0</v>
      </c>
      <c r="F2924">
        <v>1.8440000000000001</v>
      </c>
      <c r="G2924">
        <v>0</v>
      </c>
      <c r="H2924">
        <v>0.20200000000000001</v>
      </c>
      <c r="I2924">
        <v>5.4660000000000002</v>
      </c>
      <c r="K2924">
        <v>2922</v>
      </c>
      <c r="L2924">
        <v>46</v>
      </c>
      <c r="M2924" s="32">
        <v>2.9510000000000001</v>
      </c>
      <c r="N2924" s="32">
        <v>5.57</v>
      </c>
      <c r="P2924" s="32">
        <v>1.8440000000000001</v>
      </c>
      <c r="R2924" s="47">
        <v>0.20300000000000001</v>
      </c>
      <c r="S2924" s="47">
        <v>5.4409999999999998</v>
      </c>
      <c r="T2924" s="31">
        <v>0</v>
      </c>
      <c r="V2924">
        <v>2922</v>
      </c>
      <c r="W2924">
        <v>43</v>
      </c>
      <c r="X2924">
        <v>2.9630000000000001</v>
      </c>
      <c r="Y2924" s="32">
        <v>5.57</v>
      </c>
      <c r="Z2924">
        <v>0</v>
      </c>
      <c r="AA2924" s="32">
        <v>1.7</v>
      </c>
      <c r="AB2924">
        <v>0</v>
      </c>
      <c r="AC2924" s="34">
        <v>0.22</v>
      </c>
      <c r="AD2924" s="32">
        <v>5.0369999999999999</v>
      </c>
    </row>
    <row r="2925" spans="1:30">
      <c r="A2925">
        <v>2923</v>
      </c>
      <c r="B2925">
        <v>46</v>
      </c>
      <c r="C2925">
        <v>2.952</v>
      </c>
      <c r="D2925">
        <v>5.57</v>
      </c>
      <c r="E2925">
        <v>0</v>
      </c>
      <c r="F2925">
        <v>1.8440000000000001</v>
      </c>
      <c r="G2925">
        <v>0</v>
      </c>
      <c r="H2925">
        <v>0.20200000000000001</v>
      </c>
      <c r="I2925">
        <v>5.4690000000000003</v>
      </c>
      <c r="K2925">
        <v>2923</v>
      </c>
      <c r="L2925">
        <v>46</v>
      </c>
      <c r="M2925" s="32">
        <v>2.952</v>
      </c>
      <c r="N2925" s="32">
        <v>5.57</v>
      </c>
      <c r="P2925" s="32">
        <v>1.8440000000000001</v>
      </c>
      <c r="R2925" s="47">
        <v>0.20300000000000001</v>
      </c>
      <c r="S2925" s="47">
        <v>5.4429999999999996</v>
      </c>
      <c r="T2925" s="31">
        <v>0</v>
      </c>
      <c r="V2925">
        <v>2923</v>
      </c>
      <c r="W2925">
        <v>43</v>
      </c>
      <c r="X2925">
        <v>2.964</v>
      </c>
      <c r="Y2925" s="32">
        <v>5.57</v>
      </c>
      <c r="Z2925">
        <v>0</v>
      </c>
      <c r="AA2925" s="32">
        <v>1.7</v>
      </c>
      <c r="AB2925">
        <v>0</v>
      </c>
      <c r="AC2925" s="34">
        <v>0.22</v>
      </c>
      <c r="AD2925" s="32">
        <v>5.0389999999999997</v>
      </c>
    </row>
    <row r="2926" spans="1:30">
      <c r="A2926">
        <v>2924</v>
      </c>
      <c r="B2926">
        <v>46</v>
      </c>
      <c r="C2926">
        <v>2.9529999999999998</v>
      </c>
      <c r="D2926">
        <v>5.57</v>
      </c>
      <c r="E2926">
        <v>0</v>
      </c>
      <c r="F2926">
        <v>1.8440000000000001</v>
      </c>
      <c r="G2926">
        <v>0</v>
      </c>
      <c r="H2926">
        <v>0.20200000000000001</v>
      </c>
      <c r="I2926">
        <v>5.4710000000000001</v>
      </c>
      <c r="K2926">
        <v>2924</v>
      </c>
      <c r="L2926">
        <v>46</v>
      </c>
      <c r="M2926" s="32">
        <v>2.9529999999999998</v>
      </c>
      <c r="N2926" s="32">
        <v>5.57</v>
      </c>
      <c r="P2926" s="47">
        <v>1.845</v>
      </c>
      <c r="R2926" s="47">
        <v>0.20300000000000001</v>
      </c>
      <c r="S2926" s="47">
        <v>5.4459999999999997</v>
      </c>
      <c r="T2926" s="31">
        <v>0</v>
      </c>
      <c r="V2926">
        <v>2924</v>
      </c>
      <c r="W2926">
        <v>43</v>
      </c>
      <c r="X2926">
        <v>2.9649999999999999</v>
      </c>
      <c r="Y2926" s="32">
        <v>5.57</v>
      </c>
      <c r="Z2926">
        <v>0</v>
      </c>
      <c r="AA2926" s="32">
        <v>1.7</v>
      </c>
      <c r="AB2926">
        <v>0</v>
      </c>
      <c r="AC2926" s="34">
        <v>0.22</v>
      </c>
      <c r="AD2926" s="32">
        <v>5.0419999999999998</v>
      </c>
    </row>
    <row r="2927" spans="1:30">
      <c r="A2927">
        <v>2925</v>
      </c>
      <c r="B2927">
        <v>46</v>
      </c>
      <c r="C2927">
        <v>2.9540000000000002</v>
      </c>
      <c r="D2927">
        <v>5.57</v>
      </c>
      <c r="E2927">
        <v>0</v>
      </c>
      <c r="F2927">
        <v>1.8440000000000001</v>
      </c>
      <c r="G2927">
        <v>0</v>
      </c>
      <c r="H2927">
        <v>0.20200000000000001</v>
      </c>
      <c r="I2927">
        <v>5.4740000000000002</v>
      </c>
      <c r="K2927">
        <v>2925</v>
      </c>
      <c r="L2927">
        <v>46</v>
      </c>
      <c r="M2927" s="32">
        <v>2.9540000000000002</v>
      </c>
      <c r="N2927" s="32">
        <v>5.57</v>
      </c>
      <c r="P2927" s="47">
        <v>1.845</v>
      </c>
      <c r="R2927" s="47">
        <v>0.20300000000000001</v>
      </c>
      <c r="S2927" s="47">
        <v>5.4480000000000004</v>
      </c>
      <c r="T2927" s="31">
        <v>0</v>
      </c>
      <c r="V2927">
        <v>2925</v>
      </c>
      <c r="W2927">
        <v>43</v>
      </c>
      <c r="X2927">
        <v>2.9660000000000002</v>
      </c>
      <c r="Y2927" s="32">
        <v>5.57</v>
      </c>
      <c r="Z2927">
        <v>0</v>
      </c>
      <c r="AA2927" s="32">
        <v>1.7010000000000001</v>
      </c>
      <c r="AB2927">
        <v>0</v>
      </c>
      <c r="AC2927" s="34">
        <v>0.22</v>
      </c>
      <c r="AD2927" s="32">
        <v>5.0439999999999996</v>
      </c>
    </row>
    <row r="2928" spans="1:30">
      <c r="A2928">
        <v>2926</v>
      </c>
      <c r="B2928">
        <v>46</v>
      </c>
      <c r="C2928">
        <v>2.9550000000000001</v>
      </c>
      <c r="D2928">
        <v>5.57</v>
      </c>
      <c r="E2928">
        <v>0</v>
      </c>
      <c r="F2928">
        <v>1.8440000000000001</v>
      </c>
      <c r="G2928">
        <v>0</v>
      </c>
      <c r="H2928">
        <v>0.20200000000000001</v>
      </c>
      <c r="I2928">
        <v>5.4770000000000003</v>
      </c>
      <c r="K2928">
        <v>2926</v>
      </c>
      <c r="L2928">
        <v>46</v>
      </c>
      <c r="M2928" s="32">
        <v>2.9550000000000001</v>
      </c>
      <c r="N2928" s="32">
        <v>5.57</v>
      </c>
      <c r="P2928" s="47">
        <v>1.845</v>
      </c>
      <c r="R2928" s="47">
        <v>0.20300000000000001</v>
      </c>
      <c r="S2928" s="47">
        <v>5.4509999999999996</v>
      </c>
      <c r="T2928" s="31">
        <v>0</v>
      </c>
      <c r="V2928">
        <v>2926</v>
      </c>
      <c r="W2928">
        <v>43</v>
      </c>
      <c r="X2928">
        <v>2.9670000000000001</v>
      </c>
      <c r="Y2928" s="32">
        <v>5.57</v>
      </c>
      <c r="Z2928">
        <v>0</v>
      </c>
      <c r="AA2928" s="32">
        <v>1.7010000000000001</v>
      </c>
      <c r="AB2928">
        <v>0</v>
      </c>
      <c r="AC2928" s="34">
        <v>0.22</v>
      </c>
      <c r="AD2928" s="32">
        <v>5.0469999999999997</v>
      </c>
    </row>
    <row r="2929" spans="1:30">
      <c r="A2929">
        <v>2927</v>
      </c>
      <c r="B2929">
        <v>46</v>
      </c>
      <c r="C2929">
        <v>2.956</v>
      </c>
      <c r="D2929">
        <v>5.57</v>
      </c>
      <c r="E2929">
        <v>0</v>
      </c>
      <c r="F2929">
        <v>1.8440000000000001</v>
      </c>
      <c r="G2929">
        <v>0</v>
      </c>
      <c r="H2929">
        <v>0.20200000000000001</v>
      </c>
      <c r="I2929">
        <v>5.4790000000000001</v>
      </c>
      <c r="K2929">
        <v>2927</v>
      </c>
      <c r="L2929">
        <v>46</v>
      </c>
      <c r="M2929" s="32">
        <v>2.956</v>
      </c>
      <c r="N2929" s="32">
        <v>5.57</v>
      </c>
      <c r="P2929" s="47">
        <v>1.845</v>
      </c>
      <c r="R2929" s="47">
        <v>0.20300000000000001</v>
      </c>
      <c r="S2929" s="47">
        <v>5.4539999999999997</v>
      </c>
      <c r="T2929" s="31">
        <v>0</v>
      </c>
      <c r="V2929">
        <v>2927</v>
      </c>
      <c r="W2929">
        <v>43</v>
      </c>
      <c r="X2929">
        <v>2.968</v>
      </c>
      <c r="Y2929" s="32">
        <v>5.57</v>
      </c>
      <c r="Z2929">
        <v>0</v>
      </c>
      <c r="AA2929" s="32">
        <v>1.7010000000000001</v>
      </c>
      <c r="AB2929">
        <v>0</v>
      </c>
      <c r="AC2929" s="34">
        <v>0.22</v>
      </c>
      <c r="AD2929" s="32">
        <v>5.0490000000000004</v>
      </c>
    </row>
    <row r="2930" spans="1:30">
      <c r="A2930">
        <v>2928</v>
      </c>
      <c r="B2930">
        <v>46</v>
      </c>
      <c r="C2930">
        <v>2.9569999999999999</v>
      </c>
      <c r="D2930">
        <v>5.57</v>
      </c>
      <c r="E2930">
        <v>0</v>
      </c>
      <c r="F2930">
        <v>1.8440000000000001</v>
      </c>
      <c r="G2930">
        <v>0</v>
      </c>
      <c r="H2930">
        <v>0.20200000000000001</v>
      </c>
      <c r="I2930">
        <v>5.4820000000000002</v>
      </c>
      <c r="K2930">
        <v>2928</v>
      </c>
      <c r="L2930">
        <v>46</v>
      </c>
      <c r="M2930" s="32">
        <v>2.9569999999999999</v>
      </c>
      <c r="N2930" s="32">
        <v>5.57</v>
      </c>
      <c r="P2930" s="47">
        <v>1.845</v>
      </c>
      <c r="R2930" s="47">
        <v>0.20300000000000001</v>
      </c>
      <c r="S2930" s="47">
        <v>5.4560000000000004</v>
      </c>
      <c r="T2930" s="31">
        <v>0</v>
      </c>
      <c r="V2930">
        <v>2928</v>
      </c>
      <c r="W2930">
        <v>43</v>
      </c>
      <c r="X2930">
        <v>2.9689999999999999</v>
      </c>
      <c r="Y2930" s="32">
        <v>5.57</v>
      </c>
      <c r="Z2930">
        <v>0</v>
      </c>
      <c r="AA2930" s="32">
        <v>1.7010000000000001</v>
      </c>
      <c r="AB2930">
        <v>0</v>
      </c>
      <c r="AC2930" s="34">
        <v>0.22</v>
      </c>
      <c r="AD2930" s="32">
        <v>5.0510000000000002</v>
      </c>
    </row>
    <row r="2931" spans="1:30">
      <c r="A2931">
        <v>2929</v>
      </c>
      <c r="B2931">
        <v>46</v>
      </c>
      <c r="C2931">
        <v>2.9580000000000002</v>
      </c>
      <c r="D2931">
        <v>5.57</v>
      </c>
      <c r="E2931">
        <v>0</v>
      </c>
      <c r="F2931">
        <v>1.8440000000000001</v>
      </c>
      <c r="G2931">
        <v>0</v>
      </c>
      <c r="H2931">
        <v>0.20200000000000001</v>
      </c>
      <c r="I2931">
        <v>5.484</v>
      </c>
      <c r="K2931">
        <v>2929</v>
      </c>
      <c r="L2931">
        <v>46</v>
      </c>
      <c r="M2931" s="32">
        <v>2.9580000000000002</v>
      </c>
      <c r="N2931" s="32">
        <v>5.57</v>
      </c>
      <c r="P2931" s="47">
        <v>1.8460000000000001</v>
      </c>
      <c r="R2931" s="47">
        <v>0.20300000000000001</v>
      </c>
      <c r="S2931" s="47">
        <v>5.4589999999999996</v>
      </c>
      <c r="T2931" s="31">
        <v>0</v>
      </c>
      <c r="V2931">
        <v>2929</v>
      </c>
      <c r="W2931">
        <v>43</v>
      </c>
      <c r="X2931">
        <v>2.97</v>
      </c>
      <c r="Y2931" s="32">
        <v>5.57</v>
      </c>
      <c r="Z2931">
        <v>0</v>
      </c>
      <c r="AA2931" s="32">
        <v>1.702</v>
      </c>
      <c r="AB2931">
        <v>0</v>
      </c>
      <c r="AC2931" s="34">
        <v>0.22</v>
      </c>
      <c r="AD2931" s="32">
        <v>5.0540000000000003</v>
      </c>
    </row>
    <row r="2932" spans="1:30">
      <c r="A2932">
        <v>2930</v>
      </c>
      <c r="B2932">
        <v>46</v>
      </c>
      <c r="C2932">
        <v>2.9590000000000001</v>
      </c>
      <c r="D2932">
        <v>5.57</v>
      </c>
      <c r="E2932">
        <v>0</v>
      </c>
      <c r="F2932">
        <v>1.8440000000000001</v>
      </c>
      <c r="G2932">
        <v>0</v>
      </c>
      <c r="H2932">
        <v>0.20200000000000001</v>
      </c>
      <c r="I2932">
        <v>5.4870000000000001</v>
      </c>
      <c r="K2932">
        <v>2930</v>
      </c>
      <c r="L2932">
        <v>46</v>
      </c>
      <c r="M2932" s="32">
        <v>2.9590000000000001</v>
      </c>
      <c r="N2932" s="32">
        <v>5.57</v>
      </c>
      <c r="P2932" s="47">
        <v>1.8460000000000001</v>
      </c>
      <c r="R2932" s="47">
        <v>0.20300000000000001</v>
      </c>
      <c r="S2932" s="47">
        <v>5.4610000000000003</v>
      </c>
      <c r="T2932" s="31">
        <v>0</v>
      </c>
      <c r="V2932">
        <v>2930</v>
      </c>
      <c r="W2932">
        <v>43</v>
      </c>
      <c r="X2932">
        <v>2.9710000000000001</v>
      </c>
      <c r="Y2932" s="32">
        <v>5.57</v>
      </c>
      <c r="Z2932">
        <v>0</v>
      </c>
      <c r="AA2932" s="32">
        <v>1.702</v>
      </c>
      <c r="AB2932">
        <v>0</v>
      </c>
      <c r="AC2932" s="34">
        <v>0.22</v>
      </c>
      <c r="AD2932" s="32">
        <v>5.056</v>
      </c>
    </row>
    <row r="2933" spans="1:30">
      <c r="A2933">
        <v>2931</v>
      </c>
      <c r="B2933">
        <v>46</v>
      </c>
      <c r="C2933">
        <v>2.96</v>
      </c>
      <c r="D2933">
        <v>5.57</v>
      </c>
      <c r="E2933">
        <v>0</v>
      </c>
      <c r="F2933">
        <v>1.8460000000000001</v>
      </c>
      <c r="G2933">
        <v>0</v>
      </c>
      <c r="H2933">
        <v>0.20200000000000001</v>
      </c>
      <c r="I2933">
        <v>5.4640000000000004</v>
      </c>
      <c r="K2933">
        <v>2931</v>
      </c>
      <c r="L2933">
        <v>46</v>
      </c>
      <c r="M2933" s="32">
        <v>2.96</v>
      </c>
      <c r="N2933" s="32">
        <v>5.57</v>
      </c>
      <c r="P2933" s="32">
        <v>1.8460000000000001</v>
      </c>
      <c r="R2933" s="47">
        <v>0.20300000000000001</v>
      </c>
      <c r="S2933" s="32">
        <v>5.4640000000000004</v>
      </c>
      <c r="T2933" s="31">
        <v>0</v>
      </c>
      <c r="V2933">
        <v>2931</v>
      </c>
      <c r="W2933">
        <v>43</v>
      </c>
      <c r="X2933">
        <v>2.972</v>
      </c>
      <c r="Y2933" s="32">
        <v>5.57</v>
      </c>
      <c r="Z2933">
        <v>0</v>
      </c>
      <c r="AA2933" s="32">
        <v>1.702</v>
      </c>
      <c r="AB2933">
        <v>0</v>
      </c>
      <c r="AC2933" s="34">
        <v>0.22</v>
      </c>
      <c r="AD2933" s="32">
        <v>5.0590000000000002</v>
      </c>
    </row>
    <row r="2934" spans="1:30">
      <c r="A2934">
        <v>2932</v>
      </c>
      <c r="B2934">
        <v>46</v>
      </c>
      <c r="C2934">
        <v>2.9609999999999999</v>
      </c>
      <c r="D2934">
        <v>5.57</v>
      </c>
      <c r="E2934">
        <v>0</v>
      </c>
      <c r="F2934">
        <v>1.8460000000000001</v>
      </c>
      <c r="G2934">
        <v>0</v>
      </c>
      <c r="H2934">
        <v>0.20200000000000001</v>
      </c>
      <c r="I2934">
        <v>5.5179999999999998</v>
      </c>
      <c r="K2934">
        <v>2932</v>
      </c>
      <c r="L2934">
        <v>46</v>
      </c>
      <c r="M2934" s="32">
        <v>2.9609999999999999</v>
      </c>
      <c r="N2934" s="32">
        <v>5.57</v>
      </c>
      <c r="P2934" s="32">
        <v>1.8460000000000001</v>
      </c>
      <c r="R2934" s="47">
        <v>0.20300000000000001</v>
      </c>
      <c r="S2934" s="47">
        <v>5.4669999999999996</v>
      </c>
      <c r="T2934" s="31">
        <v>0</v>
      </c>
      <c r="V2934">
        <v>2932</v>
      </c>
      <c r="W2934">
        <v>43</v>
      </c>
      <c r="X2934">
        <v>2.9729999999999999</v>
      </c>
      <c r="Y2934" s="32">
        <v>5.57</v>
      </c>
      <c r="Z2934">
        <v>0</v>
      </c>
      <c r="AA2934" s="32">
        <v>1.702</v>
      </c>
      <c r="AB2934">
        <v>0</v>
      </c>
      <c r="AC2934" s="34">
        <v>0.22</v>
      </c>
      <c r="AD2934" s="32">
        <v>5.0609999999999999</v>
      </c>
    </row>
    <row r="2935" spans="1:30">
      <c r="A2935">
        <v>2933</v>
      </c>
      <c r="B2935">
        <v>46</v>
      </c>
      <c r="C2935">
        <v>2.9620000000000002</v>
      </c>
      <c r="D2935">
        <v>5.57</v>
      </c>
      <c r="E2935">
        <v>0</v>
      </c>
      <c r="F2935">
        <v>1.8460000000000001</v>
      </c>
      <c r="G2935">
        <v>0</v>
      </c>
      <c r="H2935">
        <v>0.20200000000000001</v>
      </c>
      <c r="I2935">
        <v>5.5209999999999999</v>
      </c>
      <c r="K2935">
        <v>2933</v>
      </c>
      <c r="L2935">
        <v>46</v>
      </c>
      <c r="M2935" s="32">
        <v>2.9620000000000002</v>
      </c>
      <c r="N2935" s="32">
        <v>5.57</v>
      </c>
      <c r="P2935" s="47">
        <v>1.847</v>
      </c>
      <c r="R2935" s="47">
        <v>0.20300000000000001</v>
      </c>
      <c r="S2935" s="47">
        <v>5.4690000000000003</v>
      </c>
      <c r="T2935" s="31">
        <v>0</v>
      </c>
      <c r="V2935">
        <v>2933</v>
      </c>
      <c r="W2935">
        <v>43</v>
      </c>
      <c r="X2935">
        <v>2.9740000000000002</v>
      </c>
      <c r="Y2935" s="32">
        <v>5.57</v>
      </c>
      <c r="Z2935">
        <v>0</v>
      </c>
      <c r="AA2935" s="32">
        <v>1.702</v>
      </c>
      <c r="AB2935">
        <v>0</v>
      </c>
      <c r="AC2935" s="34">
        <v>0.221</v>
      </c>
      <c r="AD2935" s="32">
        <v>5.0629999999999997</v>
      </c>
    </row>
    <row r="2936" spans="1:30">
      <c r="A2936">
        <v>2934</v>
      </c>
      <c r="B2936">
        <v>46</v>
      </c>
      <c r="C2936">
        <v>2.9630000000000001</v>
      </c>
      <c r="D2936">
        <v>5.57</v>
      </c>
      <c r="E2936">
        <v>0</v>
      </c>
      <c r="F2936">
        <v>1.8460000000000001</v>
      </c>
      <c r="G2936">
        <v>0</v>
      </c>
      <c r="H2936">
        <v>0.20200000000000001</v>
      </c>
      <c r="I2936">
        <v>5.5229999999999997</v>
      </c>
      <c r="K2936">
        <v>2934</v>
      </c>
      <c r="L2936">
        <v>46</v>
      </c>
      <c r="M2936" s="32">
        <v>2.9630000000000001</v>
      </c>
      <c r="N2936" s="32">
        <v>5.57</v>
      </c>
      <c r="P2936" s="47">
        <v>1.847</v>
      </c>
      <c r="R2936" s="47">
        <v>0.20300000000000001</v>
      </c>
      <c r="S2936" s="47">
        <v>5.4720000000000004</v>
      </c>
      <c r="T2936" s="31">
        <v>0</v>
      </c>
      <c r="V2936">
        <v>2934</v>
      </c>
      <c r="W2936">
        <v>43</v>
      </c>
      <c r="X2936">
        <v>2.9750000000000001</v>
      </c>
      <c r="Y2936" s="32">
        <v>5.57</v>
      </c>
      <c r="Z2936">
        <v>0</v>
      </c>
      <c r="AA2936" s="32">
        <v>1.7030000000000001</v>
      </c>
      <c r="AB2936">
        <v>0</v>
      </c>
      <c r="AC2936" s="34">
        <v>0.221</v>
      </c>
      <c r="AD2936" s="32">
        <v>5.0659999999999998</v>
      </c>
    </row>
    <row r="2937" spans="1:30">
      <c r="A2937">
        <v>2935</v>
      </c>
      <c r="B2937">
        <v>46</v>
      </c>
      <c r="C2937">
        <v>2.964</v>
      </c>
      <c r="D2937">
        <v>5.57</v>
      </c>
      <c r="E2937">
        <v>0</v>
      </c>
      <c r="F2937">
        <v>1.8460000000000001</v>
      </c>
      <c r="G2937">
        <v>0</v>
      </c>
      <c r="H2937">
        <v>0.20200000000000001</v>
      </c>
      <c r="I2937">
        <v>5.5259999999999998</v>
      </c>
      <c r="K2937">
        <v>2935</v>
      </c>
      <c r="L2937">
        <v>46</v>
      </c>
      <c r="M2937" s="32">
        <v>2.964</v>
      </c>
      <c r="N2937" s="32">
        <v>5.57</v>
      </c>
      <c r="P2937" s="47">
        <v>1.847</v>
      </c>
      <c r="R2937" s="47">
        <v>0.20300000000000001</v>
      </c>
      <c r="S2937" s="47">
        <v>5.4740000000000002</v>
      </c>
      <c r="T2937" s="31">
        <v>0</v>
      </c>
      <c r="V2937">
        <v>2935</v>
      </c>
      <c r="W2937">
        <v>43</v>
      </c>
      <c r="X2937">
        <v>2.976</v>
      </c>
      <c r="Y2937" s="32">
        <v>5.57</v>
      </c>
      <c r="Z2937">
        <v>0</v>
      </c>
      <c r="AA2937" s="32">
        <v>1.7030000000000001</v>
      </c>
      <c r="AB2937">
        <v>0</v>
      </c>
      <c r="AC2937" s="34">
        <v>0.221</v>
      </c>
      <c r="AD2937" s="32">
        <v>5.0679999999999996</v>
      </c>
    </row>
    <row r="2938" spans="1:30">
      <c r="A2938">
        <v>2936</v>
      </c>
      <c r="B2938">
        <v>46</v>
      </c>
      <c r="C2938">
        <v>2.9649999999999999</v>
      </c>
      <c r="D2938">
        <v>5.57</v>
      </c>
      <c r="E2938">
        <v>0</v>
      </c>
      <c r="F2938">
        <v>1.8460000000000001</v>
      </c>
      <c r="G2938">
        <v>0</v>
      </c>
      <c r="H2938">
        <v>0.20200000000000001</v>
      </c>
      <c r="I2938">
        <v>5.5279999999999996</v>
      </c>
      <c r="K2938">
        <v>2936</v>
      </c>
      <c r="L2938">
        <v>46</v>
      </c>
      <c r="M2938" s="32">
        <v>2.9649999999999999</v>
      </c>
      <c r="N2938" s="32">
        <v>5.57</v>
      </c>
      <c r="P2938" s="47">
        <v>1.8480000000000001</v>
      </c>
      <c r="R2938" s="47">
        <v>0.20300000000000001</v>
      </c>
      <c r="S2938" s="47">
        <v>5.4770000000000003</v>
      </c>
      <c r="T2938" s="31">
        <v>0</v>
      </c>
      <c r="V2938">
        <v>2936</v>
      </c>
      <c r="W2938">
        <v>43</v>
      </c>
      <c r="X2938">
        <v>2.9769999999999999</v>
      </c>
      <c r="Y2938" s="32">
        <v>5.57</v>
      </c>
      <c r="Z2938">
        <v>0</v>
      </c>
      <c r="AA2938" s="32">
        <v>1.7030000000000001</v>
      </c>
      <c r="AB2938">
        <v>0</v>
      </c>
      <c r="AC2938" s="34">
        <v>0.221</v>
      </c>
      <c r="AD2938" s="32">
        <v>5.07</v>
      </c>
    </row>
    <row r="2939" spans="1:30">
      <c r="A2939">
        <v>2937</v>
      </c>
      <c r="B2939">
        <v>46</v>
      </c>
      <c r="C2939">
        <v>2.9660000000000002</v>
      </c>
      <c r="D2939">
        <v>5.57</v>
      </c>
      <c r="E2939">
        <v>0</v>
      </c>
      <c r="F2939">
        <v>1.8460000000000001</v>
      </c>
      <c r="G2939">
        <v>0</v>
      </c>
      <c r="H2939">
        <v>0.20200000000000001</v>
      </c>
      <c r="I2939">
        <v>5.5309999999999997</v>
      </c>
      <c r="K2939">
        <v>2937</v>
      </c>
      <c r="L2939">
        <v>46</v>
      </c>
      <c r="M2939" s="32">
        <v>2.9660000000000002</v>
      </c>
      <c r="N2939" s="32">
        <v>5.57</v>
      </c>
      <c r="P2939" s="47">
        <v>1.8480000000000001</v>
      </c>
      <c r="R2939" s="47">
        <v>0.20300000000000001</v>
      </c>
      <c r="S2939" s="47">
        <v>5.48</v>
      </c>
      <c r="T2939" s="31">
        <v>0</v>
      </c>
      <c r="V2939">
        <v>2937</v>
      </c>
      <c r="W2939">
        <v>43</v>
      </c>
      <c r="X2939">
        <v>2.9780000000000002</v>
      </c>
      <c r="Y2939" s="32">
        <v>5.57</v>
      </c>
      <c r="Z2939">
        <v>0</v>
      </c>
      <c r="AA2939" s="32">
        <v>1.7030000000000001</v>
      </c>
      <c r="AB2939">
        <v>0</v>
      </c>
      <c r="AC2939" s="34">
        <v>0.221</v>
      </c>
      <c r="AD2939" s="32">
        <v>5.0730000000000004</v>
      </c>
    </row>
    <row r="2940" spans="1:30">
      <c r="A2940">
        <v>2938</v>
      </c>
      <c r="B2940">
        <v>46</v>
      </c>
      <c r="C2940">
        <v>2.9670000000000001</v>
      </c>
      <c r="D2940">
        <v>5.57</v>
      </c>
      <c r="E2940">
        <v>0</v>
      </c>
      <c r="F2940">
        <v>1.8460000000000001</v>
      </c>
      <c r="G2940">
        <v>0</v>
      </c>
      <c r="H2940">
        <v>0.20200000000000001</v>
      </c>
      <c r="I2940">
        <v>5.5339999999999998</v>
      </c>
      <c r="K2940">
        <v>2938</v>
      </c>
      <c r="L2940">
        <v>46</v>
      </c>
      <c r="M2940" s="32">
        <v>2.9670000000000001</v>
      </c>
      <c r="N2940" s="32">
        <v>5.57</v>
      </c>
      <c r="P2940" s="47">
        <v>1.8480000000000001</v>
      </c>
      <c r="R2940" s="47">
        <v>0.20300000000000001</v>
      </c>
      <c r="S2940" s="47">
        <v>5.4820000000000002</v>
      </c>
      <c r="T2940" s="31">
        <v>0</v>
      </c>
      <c r="V2940">
        <v>2938</v>
      </c>
      <c r="W2940">
        <v>43</v>
      </c>
      <c r="X2940">
        <v>2.9790000000000001</v>
      </c>
      <c r="Y2940" s="32">
        <v>5.57</v>
      </c>
      <c r="Z2940">
        <v>0</v>
      </c>
      <c r="AA2940" s="32">
        <v>1.704</v>
      </c>
      <c r="AB2940">
        <v>0</v>
      </c>
      <c r="AC2940" s="34">
        <v>0.221</v>
      </c>
      <c r="AD2940" s="32">
        <v>5.0750000000000002</v>
      </c>
    </row>
    <row r="2941" spans="1:30">
      <c r="A2941">
        <v>2939</v>
      </c>
      <c r="B2941">
        <v>46</v>
      </c>
      <c r="C2941">
        <v>2.968</v>
      </c>
      <c r="D2941">
        <v>5.57</v>
      </c>
      <c r="E2941">
        <v>0</v>
      </c>
      <c r="F2941">
        <v>1.8460000000000001</v>
      </c>
      <c r="G2941">
        <v>0</v>
      </c>
      <c r="H2941">
        <v>0.20200000000000001</v>
      </c>
      <c r="I2941">
        <v>5.5359999999999996</v>
      </c>
      <c r="K2941">
        <v>2939</v>
      </c>
      <c r="L2941">
        <v>46</v>
      </c>
      <c r="M2941" s="32">
        <v>2.968</v>
      </c>
      <c r="N2941" s="32">
        <v>5.57</v>
      </c>
      <c r="P2941" s="47">
        <v>1.8480000000000001</v>
      </c>
      <c r="R2941" s="47">
        <v>0.20300000000000001</v>
      </c>
      <c r="S2941" s="47">
        <v>5.4850000000000003</v>
      </c>
      <c r="T2941" s="31">
        <v>0</v>
      </c>
      <c r="V2941">
        <v>2939</v>
      </c>
      <c r="W2941">
        <v>43</v>
      </c>
      <c r="X2941">
        <v>2.98</v>
      </c>
      <c r="Y2941" s="32">
        <v>5.57</v>
      </c>
      <c r="Z2941">
        <v>0</v>
      </c>
      <c r="AA2941" s="32">
        <v>1.704</v>
      </c>
      <c r="AB2941">
        <v>0</v>
      </c>
      <c r="AC2941" s="34">
        <v>0.221</v>
      </c>
      <c r="AD2941" s="32">
        <v>5.0780000000000003</v>
      </c>
    </row>
    <row r="2942" spans="1:30">
      <c r="A2942">
        <v>2940</v>
      </c>
      <c r="B2942">
        <v>46</v>
      </c>
      <c r="C2942">
        <v>2.9689999999999999</v>
      </c>
      <c r="D2942">
        <v>5.57</v>
      </c>
      <c r="E2942">
        <v>0</v>
      </c>
      <c r="F2942">
        <v>1.8460000000000001</v>
      </c>
      <c r="G2942">
        <v>0</v>
      </c>
      <c r="H2942">
        <v>0.20200000000000001</v>
      </c>
      <c r="I2942">
        <v>5.5389999999999997</v>
      </c>
      <c r="K2942">
        <v>2940</v>
      </c>
      <c r="L2942">
        <v>46</v>
      </c>
      <c r="M2942" s="32">
        <v>2.9689999999999999</v>
      </c>
      <c r="N2942" s="32">
        <v>5.57</v>
      </c>
      <c r="P2942" s="47">
        <v>1.849</v>
      </c>
      <c r="R2942" s="47">
        <v>0.20300000000000001</v>
      </c>
      <c r="S2942" s="47">
        <v>5.4870000000000001</v>
      </c>
      <c r="T2942" s="31">
        <v>0</v>
      </c>
      <c r="V2942">
        <v>2940</v>
      </c>
      <c r="W2942">
        <v>43</v>
      </c>
      <c r="X2942">
        <v>2.9809999999999999</v>
      </c>
      <c r="Y2942" s="32">
        <v>5.57</v>
      </c>
      <c r="Z2942">
        <v>0</v>
      </c>
      <c r="AA2942" s="32">
        <v>1.704</v>
      </c>
      <c r="AB2942">
        <v>0</v>
      </c>
      <c r="AC2942" s="34">
        <v>0.221</v>
      </c>
      <c r="AD2942" s="32">
        <v>5.08</v>
      </c>
    </row>
    <row r="2943" spans="1:30">
      <c r="A2943">
        <v>2941</v>
      </c>
      <c r="B2943">
        <v>46</v>
      </c>
      <c r="C2943">
        <v>2.97</v>
      </c>
      <c r="D2943">
        <v>5.57</v>
      </c>
      <c r="E2943">
        <v>0</v>
      </c>
      <c r="F2943">
        <v>1.8460000000000001</v>
      </c>
      <c r="G2943">
        <v>0</v>
      </c>
      <c r="H2943">
        <v>0.20200000000000001</v>
      </c>
      <c r="I2943">
        <v>5.5410000000000004</v>
      </c>
      <c r="K2943">
        <v>2941</v>
      </c>
      <c r="L2943">
        <v>46</v>
      </c>
      <c r="M2943" s="32">
        <v>2.97</v>
      </c>
      <c r="N2943" s="32">
        <v>5.57</v>
      </c>
      <c r="P2943" s="47">
        <v>1.849</v>
      </c>
      <c r="R2943" s="47">
        <v>0.20399999999999999</v>
      </c>
      <c r="S2943" s="47">
        <v>5.49</v>
      </c>
      <c r="T2943" s="31">
        <v>0</v>
      </c>
      <c r="V2943">
        <v>2941</v>
      </c>
      <c r="W2943">
        <v>43</v>
      </c>
      <c r="X2943">
        <v>2.9820000000000002</v>
      </c>
      <c r="Y2943" s="32">
        <v>5.57</v>
      </c>
      <c r="Z2943">
        <v>0</v>
      </c>
      <c r="AA2943" s="32">
        <v>1.704</v>
      </c>
      <c r="AB2943">
        <v>0</v>
      </c>
      <c r="AC2943" s="34">
        <v>0.221</v>
      </c>
      <c r="AD2943" s="32">
        <v>5.0819999999999999</v>
      </c>
    </row>
    <row r="2944" spans="1:30">
      <c r="A2944">
        <v>2942</v>
      </c>
      <c r="B2944">
        <v>46</v>
      </c>
      <c r="C2944">
        <v>2.9710000000000001</v>
      </c>
      <c r="D2944">
        <v>5.57</v>
      </c>
      <c r="E2944">
        <v>0</v>
      </c>
      <c r="F2944">
        <v>1.849</v>
      </c>
      <c r="G2944">
        <v>0</v>
      </c>
      <c r="H2944">
        <v>0.20200000000000001</v>
      </c>
      <c r="I2944">
        <v>5.57</v>
      </c>
      <c r="K2944">
        <v>2942</v>
      </c>
      <c r="L2944">
        <v>46</v>
      </c>
      <c r="M2944" s="32">
        <v>2.9710000000000001</v>
      </c>
      <c r="N2944" s="32">
        <v>5.57</v>
      </c>
      <c r="P2944" s="32">
        <v>1.849</v>
      </c>
      <c r="R2944" s="47">
        <v>0.20399999999999999</v>
      </c>
      <c r="S2944" s="47">
        <v>5.4930000000000003</v>
      </c>
      <c r="T2944" s="31">
        <v>0</v>
      </c>
      <c r="V2944">
        <v>2942</v>
      </c>
      <c r="W2944">
        <v>43</v>
      </c>
      <c r="X2944">
        <v>2.9830000000000001</v>
      </c>
      <c r="Y2944" s="32">
        <v>5.57</v>
      </c>
      <c r="Z2944">
        <v>0</v>
      </c>
      <c r="AA2944" s="32">
        <v>1.704</v>
      </c>
      <c r="AB2944">
        <v>0</v>
      </c>
      <c r="AC2944" s="34">
        <v>0.221</v>
      </c>
      <c r="AD2944" s="32">
        <v>5.085</v>
      </c>
    </row>
    <row r="2945" spans="1:30">
      <c r="A2945">
        <v>2943</v>
      </c>
      <c r="B2945">
        <v>46</v>
      </c>
      <c r="C2945">
        <v>2.972</v>
      </c>
      <c r="D2945">
        <v>5.57</v>
      </c>
      <c r="E2945">
        <v>0</v>
      </c>
      <c r="F2945">
        <v>1.849</v>
      </c>
      <c r="G2945">
        <v>0</v>
      </c>
      <c r="H2945">
        <v>0.20200000000000001</v>
      </c>
      <c r="I2945">
        <v>5.5720000000000001</v>
      </c>
      <c r="K2945">
        <v>2943</v>
      </c>
      <c r="L2945">
        <v>46</v>
      </c>
      <c r="M2945" s="32">
        <v>2.972</v>
      </c>
      <c r="N2945" s="32">
        <v>5.57</v>
      </c>
      <c r="P2945" s="32">
        <v>1.849</v>
      </c>
      <c r="R2945" s="47">
        <v>0.20399999999999999</v>
      </c>
      <c r="S2945" s="47">
        <v>5.4950000000000001</v>
      </c>
      <c r="T2945" s="31">
        <v>0</v>
      </c>
      <c r="V2945">
        <v>2943</v>
      </c>
      <c r="W2945">
        <v>43</v>
      </c>
      <c r="X2945">
        <v>2.984</v>
      </c>
      <c r="Y2945" s="32">
        <v>5.57</v>
      </c>
      <c r="Z2945">
        <v>0</v>
      </c>
      <c r="AA2945" s="32">
        <v>1.7050000000000001</v>
      </c>
      <c r="AB2945">
        <v>0</v>
      </c>
      <c r="AC2945" s="34">
        <v>0.221</v>
      </c>
      <c r="AD2945" s="32">
        <v>5.0869999999999997</v>
      </c>
    </row>
    <row r="2946" spans="1:30">
      <c r="A2946">
        <v>2944</v>
      </c>
      <c r="B2946">
        <v>46</v>
      </c>
      <c r="C2946">
        <v>2.9729999999999999</v>
      </c>
      <c r="D2946">
        <v>5.57</v>
      </c>
      <c r="E2946">
        <v>0</v>
      </c>
      <c r="F2946">
        <v>1.849</v>
      </c>
      <c r="G2946">
        <v>0</v>
      </c>
      <c r="H2946">
        <v>0.20200000000000001</v>
      </c>
      <c r="I2946">
        <v>5.5750000000000002</v>
      </c>
      <c r="K2946">
        <v>2944</v>
      </c>
      <c r="L2946">
        <v>46</v>
      </c>
      <c r="M2946" s="32">
        <v>2.9729999999999999</v>
      </c>
      <c r="N2946" s="32">
        <v>5.57</v>
      </c>
      <c r="P2946" s="47">
        <v>1.85</v>
      </c>
      <c r="R2946" s="47">
        <v>0.20399999999999999</v>
      </c>
      <c r="S2946" s="47">
        <v>5.4980000000000002</v>
      </c>
      <c r="T2946" s="31">
        <v>0</v>
      </c>
      <c r="V2946">
        <v>2944</v>
      </c>
      <c r="W2946">
        <v>43</v>
      </c>
      <c r="X2946">
        <v>2.9849999999999999</v>
      </c>
      <c r="Y2946" s="32">
        <v>5.57</v>
      </c>
      <c r="Z2946">
        <v>0</v>
      </c>
      <c r="AA2946" s="32">
        <v>1.7050000000000001</v>
      </c>
      <c r="AB2946">
        <v>0</v>
      </c>
      <c r="AC2946" s="34">
        <v>0.221</v>
      </c>
      <c r="AD2946" s="32">
        <v>5.09</v>
      </c>
    </row>
    <row r="2947" spans="1:30">
      <c r="A2947">
        <v>2945</v>
      </c>
      <c r="B2947">
        <v>46</v>
      </c>
      <c r="C2947">
        <v>2.9740000000000002</v>
      </c>
      <c r="D2947">
        <v>5.57</v>
      </c>
      <c r="E2947">
        <v>0</v>
      </c>
      <c r="F2947">
        <v>1.849</v>
      </c>
      <c r="G2947">
        <v>0</v>
      </c>
      <c r="H2947">
        <v>0.20200000000000001</v>
      </c>
      <c r="I2947">
        <v>5.5780000000000003</v>
      </c>
      <c r="K2947">
        <v>2945</v>
      </c>
      <c r="L2947">
        <v>46</v>
      </c>
      <c r="M2947" s="32">
        <v>2.9740000000000002</v>
      </c>
      <c r="N2947" s="32">
        <v>5.57</v>
      </c>
      <c r="P2947" s="47">
        <v>1.85</v>
      </c>
      <c r="R2947" s="47">
        <v>0.20399999999999999</v>
      </c>
      <c r="S2947" s="47">
        <v>5.5</v>
      </c>
      <c r="T2947" s="31">
        <v>0</v>
      </c>
      <c r="V2947">
        <v>2945</v>
      </c>
      <c r="W2947">
        <v>43</v>
      </c>
      <c r="X2947">
        <v>2.9860000000000002</v>
      </c>
      <c r="Y2947" s="32">
        <v>5.57</v>
      </c>
      <c r="Z2947">
        <v>0</v>
      </c>
      <c r="AA2947" s="32">
        <v>1.7050000000000001</v>
      </c>
      <c r="AB2947">
        <v>0</v>
      </c>
      <c r="AC2947" s="34">
        <v>0.221</v>
      </c>
      <c r="AD2947" s="32">
        <v>5.0919999999999996</v>
      </c>
    </row>
    <row r="2948" spans="1:30">
      <c r="A2948">
        <v>2946</v>
      </c>
      <c r="B2948">
        <v>46</v>
      </c>
      <c r="C2948">
        <v>2.9750000000000001</v>
      </c>
      <c r="D2948">
        <v>5.57</v>
      </c>
      <c r="E2948">
        <v>0</v>
      </c>
      <c r="F2948">
        <v>1.849</v>
      </c>
      <c r="G2948">
        <v>0</v>
      </c>
      <c r="H2948">
        <v>0.20200000000000001</v>
      </c>
      <c r="I2948">
        <v>5.58</v>
      </c>
      <c r="K2948">
        <v>2946</v>
      </c>
      <c r="L2948">
        <v>46</v>
      </c>
      <c r="M2948" s="32">
        <v>2.9750000000000001</v>
      </c>
      <c r="N2948" s="32">
        <v>5.57</v>
      </c>
      <c r="P2948" s="47">
        <v>1.85</v>
      </c>
      <c r="R2948" s="47">
        <v>0.20399999999999999</v>
      </c>
      <c r="S2948" s="47">
        <v>5.5030000000000001</v>
      </c>
      <c r="T2948" s="31">
        <v>0</v>
      </c>
      <c r="V2948">
        <v>2946</v>
      </c>
      <c r="W2948">
        <v>43</v>
      </c>
      <c r="X2948">
        <v>2.9870000000000001</v>
      </c>
      <c r="Y2948" s="32">
        <v>5.57</v>
      </c>
      <c r="Z2948">
        <v>0</v>
      </c>
      <c r="AA2948" s="32">
        <v>1.7050000000000001</v>
      </c>
      <c r="AB2948">
        <v>0</v>
      </c>
      <c r="AC2948" s="34">
        <v>0.221</v>
      </c>
      <c r="AD2948" s="32">
        <v>5.0940000000000003</v>
      </c>
    </row>
    <row r="2949" spans="1:30">
      <c r="A2949">
        <v>2947</v>
      </c>
      <c r="B2949">
        <v>46</v>
      </c>
      <c r="C2949">
        <v>2.976</v>
      </c>
      <c r="D2949">
        <v>5.57</v>
      </c>
      <c r="E2949">
        <v>0</v>
      </c>
      <c r="F2949">
        <v>1.849</v>
      </c>
      <c r="G2949">
        <v>0</v>
      </c>
      <c r="H2949">
        <v>0.20200000000000001</v>
      </c>
      <c r="I2949">
        <v>5.5830000000000002</v>
      </c>
      <c r="K2949">
        <v>2947</v>
      </c>
      <c r="L2949">
        <v>46</v>
      </c>
      <c r="M2949" s="32">
        <v>2.976</v>
      </c>
      <c r="N2949" s="32">
        <v>5.57</v>
      </c>
      <c r="P2949" s="47">
        <v>1.85</v>
      </c>
      <c r="R2949" s="47">
        <v>0.20399999999999999</v>
      </c>
      <c r="S2949" s="47">
        <v>5.5060000000000002</v>
      </c>
      <c r="T2949" s="31">
        <v>0</v>
      </c>
      <c r="V2949">
        <v>2947</v>
      </c>
      <c r="W2949">
        <v>43</v>
      </c>
      <c r="X2949">
        <v>2.988</v>
      </c>
      <c r="Y2949" s="32">
        <v>5.57</v>
      </c>
      <c r="Z2949">
        <v>0</v>
      </c>
      <c r="AA2949" s="32">
        <v>1.706</v>
      </c>
      <c r="AB2949">
        <v>0</v>
      </c>
      <c r="AC2949" s="34">
        <v>0.221</v>
      </c>
      <c r="AD2949" s="32">
        <v>5.0970000000000004</v>
      </c>
    </row>
    <row r="2950" spans="1:30">
      <c r="A2950">
        <v>2948</v>
      </c>
      <c r="B2950">
        <v>46</v>
      </c>
      <c r="C2950">
        <v>2.9769999999999999</v>
      </c>
      <c r="D2950">
        <v>5.57</v>
      </c>
      <c r="E2950">
        <v>0</v>
      </c>
      <c r="F2950">
        <v>1.849</v>
      </c>
      <c r="G2950">
        <v>0</v>
      </c>
      <c r="H2950">
        <v>0.20200000000000001</v>
      </c>
      <c r="I2950">
        <v>5.585</v>
      </c>
      <c r="K2950">
        <v>2948</v>
      </c>
      <c r="L2950">
        <v>46</v>
      </c>
      <c r="M2950" s="32">
        <v>2.9769999999999999</v>
      </c>
      <c r="N2950" s="32">
        <v>5.57</v>
      </c>
      <c r="P2950" s="47">
        <v>1.85</v>
      </c>
      <c r="R2950" s="47">
        <v>0.20399999999999999</v>
      </c>
      <c r="S2950" s="47">
        <v>5.508</v>
      </c>
      <c r="T2950" s="31">
        <v>0</v>
      </c>
      <c r="V2950">
        <v>2948</v>
      </c>
      <c r="W2950">
        <v>43</v>
      </c>
      <c r="X2950">
        <v>2.9889999999999999</v>
      </c>
      <c r="Y2950" s="32">
        <v>5.57</v>
      </c>
      <c r="Z2950">
        <v>0</v>
      </c>
      <c r="AA2950" s="32">
        <v>1.706</v>
      </c>
      <c r="AB2950">
        <v>0</v>
      </c>
      <c r="AC2950" s="34">
        <v>0.221</v>
      </c>
      <c r="AD2950" s="32">
        <v>5.0990000000000002</v>
      </c>
    </row>
    <row r="2951" spans="1:30">
      <c r="A2951">
        <v>2949</v>
      </c>
      <c r="B2951">
        <v>46</v>
      </c>
      <c r="C2951">
        <v>2.9780000000000002</v>
      </c>
      <c r="D2951">
        <v>5.57</v>
      </c>
      <c r="E2951">
        <v>0</v>
      </c>
      <c r="F2951">
        <v>1.849</v>
      </c>
      <c r="G2951">
        <v>0</v>
      </c>
      <c r="H2951">
        <v>0.20200000000000001</v>
      </c>
      <c r="I2951">
        <v>5.5880000000000001</v>
      </c>
      <c r="K2951">
        <v>2949</v>
      </c>
      <c r="L2951">
        <v>46</v>
      </c>
      <c r="M2951" s="32">
        <v>2.9780000000000002</v>
      </c>
      <c r="N2951" s="32">
        <v>5.57</v>
      </c>
      <c r="P2951" s="47">
        <v>1.851</v>
      </c>
      <c r="R2951" s="47">
        <v>0.20399999999999999</v>
      </c>
      <c r="S2951" s="47">
        <v>5.5110000000000001</v>
      </c>
      <c r="T2951" s="31">
        <v>0</v>
      </c>
      <c r="V2951">
        <v>2949</v>
      </c>
      <c r="W2951">
        <v>43</v>
      </c>
      <c r="X2951">
        <v>2.99</v>
      </c>
      <c r="Y2951" s="32">
        <v>5.57</v>
      </c>
      <c r="Z2951">
        <v>0</v>
      </c>
      <c r="AA2951" s="32">
        <v>1.706</v>
      </c>
      <c r="AB2951">
        <v>0</v>
      </c>
      <c r="AC2951" s="34">
        <v>0.221</v>
      </c>
      <c r="AD2951" s="32">
        <v>5.101</v>
      </c>
    </row>
    <row r="2952" spans="1:30">
      <c r="A2952">
        <v>2950</v>
      </c>
      <c r="B2952">
        <v>46</v>
      </c>
      <c r="C2952">
        <v>2.9790000000000001</v>
      </c>
      <c r="D2952">
        <v>5.57</v>
      </c>
      <c r="E2952">
        <v>0</v>
      </c>
      <c r="F2952">
        <v>1.849</v>
      </c>
      <c r="G2952">
        <v>0</v>
      </c>
      <c r="H2952">
        <v>0.20200000000000001</v>
      </c>
      <c r="I2952">
        <v>5.59</v>
      </c>
      <c r="K2952">
        <v>2950</v>
      </c>
      <c r="L2952">
        <v>46</v>
      </c>
      <c r="M2952" s="32">
        <v>2.9790000000000001</v>
      </c>
      <c r="N2952" s="32">
        <v>5.57</v>
      </c>
      <c r="P2952" s="47">
        <v>1.851</v>
      </c>
      <c r="R2952" s="47">
        <v>0.20399999999999999</v>
      </c>
      <c r="S2952" s="47">
        <v>5.5129999999999999</v>
      </c>
      <c r="T2952" s="31">
        <v>0</v>
      </c>
      <c r="V2952">
        <v>2950</v>
      </c>
      <c r="W2952">
        <v>43</v>
      </c>
      <c r="X2952">
        <v>2.9910000000000001</v>
      </c>
      <c r="Y2952" s="32">
        <v>5.57</v>
      </c>
      <c r="Z2952">
        <v>0</v>
      </c>
      <c r="AA2952" s="32">
        <v>1.706</v>
      </c>
      <c r="AB2952">
        <v>0</v>
      </c>
      <c r="AC2952" s="34">
        <v>0.221</v>
      </c>
      <c r="AD2952" s="32">
        <v>5.1040000000000001</v>
      </c>
    </row>
    <row r="2953" spans="1:30">
      <c r="A2953">
        <v>2951</v>
      </c>
      <c r="B2953">
        <v>46</v>
      </c>
      <c r="C2953">
        <v>2.98</v>
      </c>
      <c r="D2953">
        <v>5.57</v>
      </c>
      <c r="E2953">
        <v>0</v>
      </c>
      <c r="F2953">
        <v>1.851</v>
      </c>
      <c r="G2953">
        <v>0</v>
      </c>
      <c r="H2953">
        <v>0.20200000000000001</v>
      </c>
      <c r="I2953">
        <v>5.516</v>
      </c>
      <c r="K2953">
        <v>2951</v>
      </c>
      <c r="L2953">
        <v>46</v>
      </c>
      <c r="M2953" s="32">
        <v>2.98</v>
      </c>
      <c r="N2953" s="32">
        <v>5.57</v>
      </c>
      <c r="P2953" s="32">
        <v>1.851</v>
      </c>
      <c r="R2953" s="47">
        <v>0.20399999999999999</v>
      </c>
      <c r="S2953" s="32">
        <v>5.516</v>
      </c>
      <c r="T2953" s="31">
        <v>0</v>
      </c>
      <c r="V2953">
        <v>2951</v>
      </c>
      <c r="W2953">
        <v>43</v>
      </c>
      <c r="X2953">
        <v>2.992</v>
      </c>
      <c r="Y2953" s="32">
        <v>5.57</v>
      </c>
      <c r="Z2953">
        <v>0</v>
      </c>
      <c r="AA2953" s="32">
        <v>1.706</v>
      </c>
      <c r="AB2953">
        <v>0</v>
      </c>
      <c r="AC2953" s="34">
        <v>0.221</v>
      </c>
      <c r="AD2953" s="32">
        <v>5.1059999999999999</v>
      </c>
    </row>
    <row r="2954" spans="1:30">
      <c r="A2954">
        <v>2952</v>
      </c>
      <c r="B2954">
        <v>46</v>
      </c>
      <c r="C2954">
        <v>2.9809999999999999</v>
      </c>
      <c r="D2954">
        <v>5.57</v>
      </c>
      <c r="E2954">
        <v>0</v>
      </c>
      <c r="F2954">
        <v>1.851</v>
      </c>
      <c r="G2954">
        <v>0</v>
      </c>
      <c r="H2954">
        <v>0.20200000000000001</v>
      </c>
      <c r="I2954">
        <v>5.6219999999999999</v>
      </c>
      <c r="K2954">
        <v>2952</v>
      </c>
      <c r="L2954">
        <v>46</v>
      </c>
      <c r="M2954" s="32">
        <v>2.9809999999999999</v>
      </c>
      <c r="N2954" s="32">
        <v>5.57</v>
      </c>
      <c r="P2954" s="32">
        <v>1.851</v>
      </c>
      <c r="R2954" s="47">
        <v>0.20399999999999999</v>
      </c>
      <c r="S2954" s="47">
        <v>5.5190000000000001</v>
      </c>
      <c r="T2954" s="31">
        <v>0</v>
      </c>
      <c r="V2954">
        <v>2952</v>
      </c>
      <c r="W2954">
        <v>43</v>
      </c>
      <c r="X2954">
        <v>2.9929999999999999</v>
      </c>
      <c r="Y2954" s="32">
        <v>5.57</v>
      </c>
      <c r="Z2954">
        <v>0</v>
      </c>
      <c r="AA2954" s="32">
        <v>1.7070000000000001</v>
      </c>
      <c r="AB2954">
        <v>0</v>
      </c>
      <c r="AC2954" s="34">
        <v>0.221</v>
      </c>
      <c r="AD2954" s="32">
        <v>5.109</v>
      </c>
    </row>
    <row r="2955" spans="1:30">
      <c r="A2955">
        <v>2953</v>
      </c>
      <c r="B2955">
        <v>46</v>
      </c>
      <c r="C2955">
        <v>2.9820000000000002</v>
      </c>
      <c r="D2955">
        <v>5.57</v>
      </c>
      <c r="E2955">
        <v>0</v>
      </c>
      <c r="F2955">
        <v>1.851</v>
      </c>
      <c r="G2955">
        <v>0</v>
      </c>
      <c r="H2955">
        <v>0.20200000000000001</v>
      </c>
      <c r="I2955">
        <v>5.6239999999999997</v>
      </c>
      <c r="K2955">
        <v>2953</v>
      </c>
      <c r="L2955">
        <v>46</v>
      </c>
      <c r="M2955" s="32">
        <v>2.9820000000000002</v>
      </c>
      <c r="N2955" s="32">
        <v>5.57</v>
      </c>
      <c r="P2955" s="47">
        <v>1.8520000000000001</v>
      </c>
      <c r="R2955" s="47">
        <v>0.20399999999999999</v>
      </c>
      <c r="S2955" s="47">
        <v>5.5209999999999999</v>
      </c>
      <c r="T2955" s="31">
        <v>0</v>
      </c>
      <c r="V2955">
        <v>2953</v>
      </c>
      <c r="W2955">
        <v>43</v>
      </c>
      <c r="X2955">
        <v>2.9940000000000002</v>
      </c>
      <c r="Y2955" s="32">
        <v>5.57</v>
      </c>
      <c r="Z2955">
        <v>0</v>
      </c>
      <c r="AA2955" s="32">
        <v>1.7070000000000001</v>
      </c>
      <c r="AB2955">
        <v>0</v>
      </c>
      <c r="AC2955" s="34">
        <v>0.221</v>
      </c>
      <c r="AD2955" s="32">
        <v>5.1109999999999998</v>
      </c>
    </row>
    <row r="2956" spans="1:30">
      <c r="A2956">
        <v>2954</v>
      </c>
      <c r="B2956">
        <v>46</v>
      </c>
      <c r="C2956">
        <v>2.9830000000000001</v>
      </c>
      <c r="D2956">
        <v>5.57</v>
      </c>
      <c r="E2956">
        <v>0</v>
      </c>
      <c r="F2956">
        <v>1.851</v>
      </c>
      <c r="G2956">
        <v>0</v>
      </c>
      <c r="H2956">
        <v>0.20200000000000001</v>
      </c>
      <c r="I2956">
        <v>5.6269999999999998</v>
      </c>
      <c r="K2956">
        <v>2954</v>
      </c>
      <c r="L2956">
        <v>46</v>
      </c>
      <c r="M2956" s="32">
        <v>2.9830000000000001</v>
      </c>
      <c r="N2956" s="32">
        <v>5.57</v>
      </c>
      <c r="P2956" s="47">
        <v>1.8520000000000001</v>
      </c>
      <c r="R2956" s="47">
        <v>0.20399999999999999</v>
      </c>
      <c r="S2956" s="47">
        <v>5.524</v>
      </c>
      <c r="T2956" s="31">
        <v>0</v>
      </c>
      <c r="V2956">
        <v>2954</v>
      </c>
      <c r="W2956">
        <v>43</v>
      </c>
      <c r="X2956">
        <v>2.9950000000000001</v>
      </c>
      <c r="Y2956" s="32">
        <v>5.57</v>
      </c>
      <c r="Z2956">
        <v>0</v>
      </c>
      <c r="AA2956" s="32">
        <v>1.7070000000000001</v>
      </c>
      <c r="AB2956">
        <v>0</v>
      </c>
      <c r="AC2956" s="34">
        <v>0.221</v>
      </c>
      <c r="AD2956" s="32">
        <v>5.1130000000000004</v>
      </c>
    </row>
    <row r="2957" spans="1:30">
      <c r="A2957">
        <v>2955</v>
      </c>
      <c r="B2957">
        <v>46</v>
      </c>
      <c r="C2957">
        <v>2.984</v>
      </c>
      <c r="D2957">
        <v>5.57</v>
      </c>
      <c r="E2957">
        <v>0</v>
      </c>
      <c r="F2957">
        <v>1.851</v>
      </c>
      <c r="G2957">
        <v>0</v>
      </c>
      <c r="H2957">
        <v>0.20200000000000001</v>
      </c>
      <c r="I2957">
        <v>5.6289999999999996</v>
      </c>
      <c r="K2957">
        <v>2955</v>
      </c>
      <c r="L2957">
        <v>46</v>
      </c>
      <c r="M2957" s="32">
        <v>2.984</v>
      </c>
      <c r="N2957" s="32">
        <v>5.57</v>
      </c>
      <c r="P2957" s="47">
        <v>1.8520000000000001</v>
      </c>
      <c r="R2957" s="47">
        <v>0.20399999999999999</v>
      </c>
      <c r="S2957" s="47">
        <v>5.5259999999999998</v>
      </c>
      <c r="T2957" s="31">
        <v>0</v>
      </c>
      <c r="V2957">
        <v>2955</v>
      </c>
      <c r="W2957">
        <v>43</v>
      </c>
      <c r="X2957">
        <v>2.996</v>
      </c>
      <c r="Y2957" s="32">
        <v>5.57</v>
      </c>
      <c r="Z2957">
        <v>0</v>
      </c>
      <c r="AA2957" s="32">
        <v>1.7070000000000001</v>
      </c>
      <c r="AB2957">
        <v>0</v>
      </c>
      <c r="AC2957" s="34">
        <v>0.221</v>
      </c>
      <c r="AD2957" s="32">
        <v>5.1159999999999997</v>
      </c>
    </row>
    <row r="2958" spans="1:30">
      <c r="A2958">
        <v>2956</v>
      </c>
      <c r="B2958">
        <v>46</v>
      </c>
      <c r="C2958">
        <v>2.9849999999999999</v>
      </c>
      <c r="D2958">
        <v>5.57</v>
      </c>
      <c r="E2958">
        <v>0</v>
      </c>
      <c r="F2958">
        <v>1.851</v>
      </c>
      <c r="G2958">
        <v>0</v>
      </c>
      <c r="H2958">
        <v>0.20200000000000001</v>
      </c>
      <c r="I2958">
        <v>5.6319999999999997</v>
      </c>
      <c r="K2958">
        <v>2956</v>
      </c>
      <c r="L2958">
        <v>46</v>
      </c>
      <c r="M2958" s="32">
        <v>2.9849999999999999</v>
      </c>
      <c r="N2958" s="32">
        <v>5.57</v>
      </c>
      <c r="P2958" s="47">
        <v>1.853</v>
      </c>
      <c r="R2958" s="47">
        <v>0.20399999999999999</v>
      </c>
      <c r="S2958" s="47">
        <v>5.5289999999999999</v>
      </c>
      <c r="T2958" s="31">
        <v>0</v>
      </c>
      <c r="V2958">
        <v>2956</v>
      </c>
      <c r="W2958">
        <v>43</v>
      </c>
      <c r="X2958">
        <v>2.9969999999999999</v>
      </c>
      <c r="Y2958" s="32">
        <v>5.57</v>
      </c>
      <c r="Z2958">
        <v>0</v>
      </c>
      <c r="AA2958" s="32">
        <v>1.708</v>
      </c>
      <c r="AB2958">
        <v>0</v>
      </c>
      <c r="AC2958" s="34">
        <v>0.221</v>
      </c>
      <c r="AD2958" s="32">
        <v>5.1180000000000003</v>
      </c>
    </row>
    <row r="2959" spans="1:30">
      <c r="A2959">
        <v>2957</v>
      </c>
      <c r="B2959">
        <v>46</v>
      </c>
      <c r="C2959">
        <v>2.9860000000000002</v>
      </c>
      <c r="D2959">
        <v>5.57</v>
      </c>
      <c r="E2959">
        <v>0</v>
      </c>
      <c r="F2959">
        <v>1.851</v>
      </c>
      <c r="G2959">
        <v>0</v>
      </c>
      <c r="H2959">
        <v>0.20200000000000001</v>
      </c>
      <c r="I2959">
        <v>5.6340000000000003</v>
      </c>
      <c r="K2959">
        <v>2957</v>
      </c>
      <c r="L2959">
        <v>46</v>
      </c>
      <c r="M2959" s="32">
        <v>2.9860000000000002</v>
      </c>
      <c r="N2959" s="32">
        <v>5.57</v>
      </c>
      <c r="P2959" s="47">
        <v>1.853</v>
      </c>
      <c r="R2959" s="47">
        <v>0.20399999999999999</v>
      </c>
      <c r="S2959" s="47">
        <v>5.532</v>
      </c>
      <c r="T2959" s="31">
        <v>0</v>
      </c>
      <c r="V2959">
        <v>2957</v>
      </c>
      <c r="W2959">
        <v>43</v>
      </c>
      <c r="X2959">
        <v>2.9980000000000002</v>
      </c>
      <c r="Y2959" s="32">
        <v>5.57</v>
      </c>
      <c r="Z2959">
        <v>0</v>
      </c>
      <c r="AA2959" s="32">
        <v>1.708</v>
      </c>
      <c r="AB2959">
        <v>0</v>
      </c>
      <c r="AC2959" s="34">
        <v>0.221</v>
      </c>
      <c r="AD2959" s="32">
        <v>5.1210000000000004</v>
      </c>
    </row>
    <row r="2960" spans="1:30">
      <c r="A2960">
        <v>2958</v>
      </c>
      <c r="B2960">
        <v>46</v>
      </c>
      <c r="C2960">
        <v>2.9870000000000001</v>
      </c>
      <c r="D2960">
        <v>5.57</v>
      </c>
      <c r="E2960">
        <v>0</v>
      </c>
      <c r="F2960">
        <v>1.851</v>
      </c>
      <c r="G2960">
        <v>0</v>
      </c>
      <c r="H2960">
        <v>0.20200000000000001</v>
      </c>
      <c r="I2960">
        <v>5.6369999999999996</v>
      </c>
      <c r="K2960">
        <v>2958</v>
      </c>
      <c r="L2960">
        <v>46</v>
      </c>
      <c r="M2960" s="32">
        <v>2.9870000000000001</v>
      </c>
      <c r="N2960" s="32">
        <v>5.57</v>
      </c>
      <c r="P2960" s="47">
        <v>1.853</v>
      </c>
      <c r="R2960" s="47">
        <v>0.20399999999999999</v>
      </c>
      <c r="S2960" s="47">
        <v>5.5339999999999998</v>
      </c>
      <c r="T2960" s="31">
        <v>0</v>
      </c>
      <c r="V2960">
        <v>2958</v>
      </c>
      <c r="W2960">
        <v>43</v>
      </c>
      <c r="X2960">
        <v>2.9990000000000001</v>
      </c>
      <c r="Y2960" s="32">
        <v>5.57</v>
      </c>
      <c r="Z2960">
        <v>0</v>
      </c>
      <c r="AA2960" s="32">
        <v>1.708</v>
      </c>
      <c r="AB2960">
        <v>0</v>
      </c>
      <c r="AC2960" s="34">
        <v>0.221</v>
      </c>
      <c r="AD2960" s="32">
        <v>5.1230000000000002</v>
      </c>
    </row>
    <row r="2961" spans="1:30">
      <c r="A2961">
        <v>2959</v>
      </c>
      <c r="B2961">
        <v>46</v>
      </c>
      <c r="C2961">
        <v>2.988</v>
      </c>
      <c r="D2961">
        <v>5.57</v>
      </c>
      <c r="E2961">
        <v>0</v>
      </c>
      <c r="F2961">
        <v>1.851</v>
      </c>
      <c r="G2961">
        <v>0</v>
      </c>
      <c r="H2961">
        <v>0.20200000000000001</v>
      </c>
      <c r="I2961">
        <v>5.64</v>
      </c>
      <c r="K2961">
        <v>2959</v>
      </c>
      <c r="L2961">
        <v>46</v>
      </c>
      <c r="M2961" s="32">
        <v>2.988</v>
      </c>
      <c r="N2961" s="32">
        <v>5.57</v>
      </c>
      <c r="P2961" s="47">
        <v>1.853</v>
      </c>
      <c r="R2961" s="47">
        <v>0.20399999999999999</v>
      </c>
      <c r="S2961" s="47">
        <v>5.5369999999999999</v>
      </c>
      <c r="T2961" s="31">
        <v>0</v>
      </c>
      <c r="V2961">
        <v>2959</v>
      </c>
      <c r="W2961">
        <v>43</v>
      </c>
      <c r="X2961">
        <v>3</v>
      </c>
      <c r="Y2961" s="32">
        <v>5.57</v>
      </c>
      <c r="Z2961">
        <v>0</v>
      </c>
      <c r="AA2961" s="32">
        <v>1.708</v>
      </c>
      <c r="AB2961">
        <v>0</v>
      </c>
      <c r="AC2961" s="34">
        <v>0.221</v>
      </c>
      <c r="AD2961" s="32">
        <v>5.125</v>
      </c>
    </row>
    <row r="2962" spans="1:30">
      <c r="A2962">
        <v>2960</v>
      </c>
      <c r="B2962">
        <v>46</v>
      </c>
      <c r="C2962">
        <v>2.9889999999999999</v>
      </c>
      <c r="D2962">
        <v>5.57</v>
      </c>
      <c r="E2962">
        <v>0</v>
      </c>
      <c r="F2962">
        <v>1.851</v>
      </c>
      <c r="G2962">
        <v>0</v>
      </c>
      <c r="H2962">
        <v>0.20200000000000001</v>
      </c>
      <c r="I2962">
        <v>5.6420000000000003</v>
      </c>
      <c r="K2962">
        <v>2960</v>
      </c>
      <c r="L2962">
        <v>46</v>
      </c>
      <c r="M2962" s="32">
        <v>2.9889999999999999</v>
      </c>
      <c r="N2962" s="32">
        <v>5.57</v>
      </c>
      <c r="P2962" s="47">
        <v>1.8540000000000001</v>
      </c>
      <c r="R2962" s="47">
        <v>0.20399999999999999</v>
      </c>
      <c r="S2962" s="47">
        <v>5.5389999999999997</v>
      </c>
      <c r="T2962" s="31">
        <v>0</v>
      </c>
      <c r="V2962">
        <v>2960</v>
      </c>
      <c r="W2962">
        <v>43</v>
      </c>
      <c r="X2962">
        <v>3.0009999999999999</v>
      </c>
      <c r="Y2962" s="32">
        <v>5.57</v>
      </c>
      <c r="Z2962">
        <v>0</v>
      </c>
      <c r="AA2962" s="32">
        <v>1.7090000000000001</v>
      </c>
      <c r="AB2962">
        <v>0</v>
      </c>
      <c r="AC2962" s="34">
        <v>0.221</v>
      </c>
      <c r="AD2962" s="32">
        <v>5.1280000000000001</v>
      </c>
    </row>
    <row r="2963" spans="1:30">
      <c r="A2963">
        <v>2961</v>
      </c>
      <c r="B2963">
        <v>46</v>
      </c>
      <c r="C2963">
        <v>2.99</v>
      </c>
      <c r="D2963">
        <v>5.57</v>
      </c>
      <c r="E2963">
        <v>0</v>
      </c>
      <c r="F2963">
        <v>1.851</v>
      </c>
      <c r="G2963">
        <v>0</v>
      </c>
      <c r="H2963">
        <v>0.20200000000000001</v>
      </c>
      <c r="I2963">
        <v>5.6449999999999996</v>
      </c>
      <c r="K2963">
        <v>2961</v>
      </c>
      <c r="L2963">
        <v>46</v>
      </c>
      <c r="M2963" s="32">
        <v>2.99</v>
      </c>
      <c r="N2963" s="32">
        <v>5.57</v>
      </c>
      <c r="P2963" s="47">
        <v>1.8540000000000001</v>
      </c>
      <c r="R2963" s="47">
        <v>0.20499999999999999</v>
      </c>
      <c r="S2963" s="47">
        <v>5.5419999999999998</v>
      </c>
      <c r="T2963" s="31">
        <v>0</v>
      </c>
      <c r="V2963">
        <v>2961</v>
      </c>
      <c r="W2963">
        <v>43</v>
      </c>
      <c r="X2963">
        <v>3.0019999999999998</v>
      </c>
      <c r="Y2963" s="32">
        <v>5.57</v>
      </c>
      <c r="Z2963">
        <v>0</v>
      </c>
      <c r="AA2963" s="32">
        <v>1.7090000000000001</v>
      </c>
      <c r="AB2963">
        <v>0</v>
      </c>
      <c r="AC2963" s="34">
        <v>0.221</v>
      </c>
      <c r="AD2963" s="32">
        <v>5.13</v>
      </c>
    </row>
    <row r="2964" spans="1:30">
      <c r="A2964">
        <v>2962</v>
      </c>
      <c r="B2964">
        <v>46</v>
      </c>
      <c r="C2964">
        <v>2.9910000000000001</v>
      </c>
      <c r="D2964">
        <v>5.57</v>
      </c>
      <c r="E2964">
        <v>0</v>
      </c>
      <c r="F2964">
        <v>1.8540000000000001</v>
      </c>
      <c r="G2964">
        <v>0</v>
      </c>
      <c r="H2964">
        <v>0.20200000000000001</v>
      </c>
      <c r="I2964">
        <v>5.673</v>
      </c>
      <c r="K2964">
        <v>2962</v>
      </c>
      <c r="L2964">
        <v>46</v>
      </c>
      <c r="M2964" s="32">
        <v>2.9910000000000001</v>
      </c>
      <c r="N2964" s="32">
        <v>5.57</v>
      </c>
      <c r="P2964" s="32">
        <v>1.8540000000000001</v>
      </c>
      <c r="R2964" s="47">
        <v>0.20499999999999999</v>
      </c>
      <c r="S2964" s="47">
        <v>5.5449999999999999</v>
      </c>
      <c r="T2964" s="31">
        <v>0</v>
      </c>
      <c r="V2964">
        <v>2962</v>
      </c>
      <c r="W2964">
        <v>43</v>
      </c>
      <c r="X2964">
        <v>3.0030000000000001</v>
      </c>
      <c r="Y2964" s="32">
        <v>5.57</v>
      </c>
      <c r="Z2964">
        <v>0</v>
      </c>
      <c r="AA2964" s="32">
        <v>1.7090000000000001</v>
      </c>
      <c r="AB2964">
        <v>0</v>
      </c>
      <c r="AC2964" s="34">
        <v>0.221</v>
      </c>
      <c r="AD2964" s="32">
        <v>5.133</v>
      </c>
    </row>
    <row r="2965" spans="1:30">
      <c r="A2965">
        <v>2963</v>
      </c>
      <c r="B2965">
        <v>46</v>
      </c>
      <c r="C2965">
        <v>2.992</v>
      </c>
      <c r="D2965">
        <v>5.57</v>
      </c>
      <c r="E2965">
        <v>0</v>
      </c>
      <c r="F2965">
        <v>1.8540000000000001</v>
      </c>
      <c r="G2965">
        <v>0</v>
      </c>
      <c r="H2965">
        <v>0.20200000000000001</v>
      </c>
      <c r="I2965">
        <v>5.6760000000000002</v>
      </c>
      <c r="K2965">
        <v>2963</v>
      </c>
      <c r="L2965">
        <v>46</v>
      </c>
      <c r="M2965" s="32">
        <v>2.992</v>
      </c>
      <c r="N2965" s="32">
        <v>5.57</v>
      </c>
      <c r="P2965" s="32">
        <v>1.8540000000000001</v>
      </c>
      <c r="R2965" s="47">
        <v>0.20499999999999999</v>
      </c>
      <c r="S2965" s="47">
        <v>5.5469999999999997</v>
      </c>
      <c r="T2965" s="31">
        <v>0</v>
      </c>
      <c r="V2965">
        <v>2963</v>
      </c>
      <c r="W2965">
        <v>43</v>
      </c>
      <c r="X2965">
        <v>3.004</v>
      </c>
      <c r="Y2965" s="32">
        <v>5.57</v>
      </c>
      <c r="Z2965">
        <v>0</v>
      </c>
      <c r="AA2965" s="32">
        <v>1.7090000000000001</v>
      </c>
      <c r="AB2965">
        <v>0</v>
      </c>
      <c r="AC2965" s="34">
        <v>0.221</v>
      </c>
      <c r="AD2965" s="32">
        <v>5.1349999999999998</v>
      </c>
    </row>
    <row r="2966" spans="1:30">
      <c r="A2966">
        <v>2964</v>
      </c>
      <c r="B2966">
        <v>46</v>
      </c>
      <c r="C2966">
        <v>2.9929999999999999</v>
      </c>
      <c r="D2966">
        <v>5.57</v>
      </c>
      <c r="E2966">
        <v>0</v>
      </c>
      <c r="F2966">
        <v>1.8540000000000001</v>
      </c>
      <c r="G2966">
        <v>0</v>
      </c>
      <c r="H2966">
        <v>0.20200000000000001</v>
      </c>
      <c r="I2966">
        <v>5.6779999999999999</v>
      </c>
      <c r="K2966">
        <v>2964</v>
      </c>
      <c r="L2966">
        <v>46</v>
      </c>
      <c r="M2966" s="32">
        <v>2.9929999999999999</v>
      </c>
      <c r="N2966" s="32">
        <v>5.57</v>
      </c>
      <c r="P2966" s="47">
        <v>1.855</v>
      </c>
      <c r="R2966" s="47">
        <v>0.20499999999999999</v>
      </c>
      <c r="S2966" s="47">
        <v>5.55</v>
      </c>
      <c r="T2966" s="31">
        <v>0</v>
      </c>
      <c r="V2966">
        <v>2964</v>
      </c>
      <c r="W2966">
        <v>43</v>
      </c>
      <c r="X2966">
        <v>3.0049999999999999</v>
      </c>
      <c r="Y2966" s="32">
        <v>5.57</v>
      </c>
      <c r="Z2966">
        <v>0</v>
      </c>
      <c r="AA2966" s="32">
        <v>1.7090000000000001</v>
      </c>
      <c r="AB2966">
        <v>0</v>
      </c>
      <c r="AC2966" s="34">
        <v>0.221</v>
      </c>
      <c r="AD2966" s="32">
        <v>5.1369999999999996</v>
      </c>
    </row>
    <row r="2967" spans="1:30">
      <c r="A2967">
        <v>2965</v>
      </c>
      <c r="B2967">
        <v>46</v>
      </c>
      <c r="C2967">
        <v>2.9940000000000002</v>
      </c>
      <c r="D2967">
        <v>5.57</v>
      </c>
      <c r="E2967">
        <v>0</v>
      </c>
      <c r="F2967">
        <v>1.8540000000000001</v>
      </c>
      <c r="G2967">
        <v>0</v>
      </c>
      <c r="H2967">
        <v>0.20200000000000001</v>
      </c>
      <c r="I2967">
        <v>5.681</v>
      </c>
      <c r="K2967">
        <v>2965</v>
      </c>
      <c r="L2967">
        <v>46</v>
      </c>
      <c r="M2967" s="32">
        <v>2.9940000000000002</v>
      </c>
      <c r="N2967" s="32">
        <v>5.57</v>
      </c>
      <c r="P2967" s="47">
        <v>1.855</v>
      </c>
      <c r="R2967" s="47">
        <v>0.20499999999999999</v>
      </c>
      <c r="S2967" s="47">
        <v>5.5519999999999996</v>
      </c>
      <c r="T2967" s="31">
        <v>0</v>
      </c>
      <c r="V2967">
        <v>2965</v>
      </c>
      <c r="W2967">
        <v>43</v>
      </c>
      <c r="X2967">
        <v>3.0059999999999998</v>
      </c>
      <c r="Y2967" s="32">
        <v>5.57</v>
      </c>
      <c r="Z2967">
        <v>0</v>
      </c>
      <c r="AA2967" s="32">
        <v>1.71</v>
      </c>
      <c r="AB2967">
        <v>0</v>
      </c>
      <c r="AC2967" s="34">
        <v>0.221</v>
      </c>
      <c r="AD2967" s="32">
        <v>5.14</v>
      </c>
    </row>
    <row r="2968" spans="1:30">
      <c r="A2968">
        <v>2966</v>
      </c>
      <c r="B2968">
        <v>46</v>
      </c>
      <c r="C2968">
        <v>2.9950000000000001</v>
      </c>
      <c r="D2968">
        <v>5.57</v>
      </c>
      <c r="E2968">
        <v>0</v>
      </c>
      <c r="F2968">
        <v>1.8540000000000001</v>
      </c>
      <c r="G2968">
        <v>0</v>
      </c>
      <c r="H2968">
        <v>0.20200000000000001</v>
      </c>
      <c r="I2968">
        <v>5.6840000000000002</v>
      </c>
      <c r="K2968">
        <v>2966</v>
      </c>
      <c r="L2968">
        <v>46</v>
      </c>
      <c r="M2968" s="32">
        <v>2.9950000000000001</v>
      </c>
      <c r="N2968" s="32">
        <v>5.57</v>
      </c>
      <c r="P2968" s="47">
        <v>1.855</v>
      </c>
      <c r="R2968" s="47">
        <v>0.20499999999999999</v>
      </c>
      <c r="S2968" s="47">
        <v>5.5549999999999997</v>
      </c>
      <c r="T2968" s="31">
        <v>0</v>
      </c>
      <c r="V2968">
        <v>2966</v>
      </c>
      <c r="W2968">
        <v>43</v>
      </c>
      <c r="X2968">
        <v>3.0070000000000001</v>
      </c>
      <c r="Y2968" s="32">
        <v>5.57</v>
      </c>
      <c r="Z2968">
        <v>0</v>
      </c>
      <c r="AA2968" s="32">
        <v>1.71</v>
      </c>
      <c r="AB2968">
        <v>0</v>
      </c>
      <c r="AC2968" s="34">
        <v>0.221</v>
      </c>
      <c r="AD2968" s="32">
        <v>5.1420000000000003</v>
      </c>
    </row>
    <row r="2969" spans="1:30">
      <c r="A2969">
        <v>2967</v>
      </c>
      <c r="B2969">
        <v>46</v>
      </c>
      <c r="C2969">
        <v>2.996</v>
      </c>
      <c r="D2969">
        <v>5.57</v>
      </c>
      <c r="E2969">
        <v>0</v>
      </c>
      <c r="F2969">
        <v>1.8540000000000001</v>
      </c>
      <c r="G2969">
        <v>0</v>
      </c>
      <c r="H2969">
        <v>0.20200000000000001</v>
      </c>
      <c r="I2969">
        <v>5.6859999999999999</v>
      </c>
      <c r="K2969">
        <v>2967</v>
      </c>
      <c r="L2969">
        <v>46</v>
      </c>
      <c r="M2969" s="32">
        <v>2.996</v>
      </c>
      <c r="N2969" s="32">
        <v>5.57</v>
      </c>
      <c r="P2969" s="47">
        <v>1.855</v>
      </c>
      <c r="R2969" s="47">
        <v>0.20499999999999999</v>
      </c>
      <c r="S2969" s="47">
        <v>5.5579999999999998</v>
      </c>
      <c r="T2969" s="31">
        <v>0</v>
      </c>
      <c r="V2969">
        <v>2967</v>
      </c>
      <c r="W2969">
        <v>43</v>
      </c>
      <c r="X2969">
        <v>3.008</v>
      </c>
      <c r="Y2969" s="32">
        <v>5.57</v>
      </c>
      <c r="Z2969">
        <v>0</v>
      </c>
      <c r="AA2969" s="32">
        <v>1.71</v>
      </c>
      <c r="AB2969">
        <v>0</v>
      </c>
      <c r="AC2969" s="34">
        <v>0.221</v>
      </c>
      <c r="AD2969" s="32">
        <v>5.1440000000000001</v>
      </c>
    </row>
    <row r="2970" spans="1:30">
      <c r="A2970">
        <v>2968</v>
      </c>
      <c r="B2970">
        <v>46</v>
      </c>
      <c r="C2970">
        <v>2.9969999999999999</v>
      </c>
      <c r="D2970">
        <v>5.57</v>
      </c>
      <c r="E2970">
        <v>0</v>
      </c>
      <c r="F2970">
        <v>1.8540000000000001</v>
      </c>
      <c r="G2970">
        <v>0</v>
      </c>
      <c r="H2970">
        <v>0.20200000000000001</v>
      </c>
      <c r="I2970">
        <v>5.6890000000000001</v>
      </c>
      <c r="K2970">
        <v>2968</v>
      </c>
      <c r="L2970">
        <v>46</v>
      </c>
      <c r="M2970" s="32">
        <v>2.9969999999999999</v>
      </c>
      <c r="N2970" s="32">
        <v>5.57</v>
      </c>
      <c r="P2970" s="47">
        <v>1.855</v>
      </c>
      <c r="R2970" s="47">
        <v>0.20499999999999999</v>
      </c>
      <c r="S2970" s="47">
        <v>5.56</v>
      </c>
      <c r="T2970" s="31">
        <v>0</v>
      </c>
      <c r="V2970">
        <v>2968</v>
      </c>
      <c r="W2970">
        <v>43</v>
      </c>
      <c r="X2970">
        <v>3.0089999999999999</v>
      </c>
      <c r="Y2970" s="32">
        <v>5.57</v>
      </c>
      <c r="Z2970">
        <v>0</v>
      </c>
      <c r="AA2970" s="32">
        <v>1.71</v>
      </c>
      <c r="AB2970">
        <v>0</v>
      </c>
      <c r="AC2970" s="34">
        <v>0.221</v>
      </c>
      <c r="AD2970" s="32">
        <v>5.1470000000000002</v>
      </c>
    </row>
    <row r="2971" spans="1:30">
      <c r="A2971">
        <v>2969</v>
      </c>
      <c r="B2971">
        <v>46</v>
      </c>
      <c r="C2971">
        <v>2.9980000000000002</v>
      </c>
      <c r="D2971">
        <v>5.57</v>
      </c>
      <c r="E2971">
        <v>0</v>
      </c>
      <c r="F2971">
        <v>1.8540000000000001</v>
      </c>
      <c r="G2971">
        <v>0</v>
      </c>
      <c r="H2971">
        <v>0.20200000000000001</v>
      </c>
      <c r="I2971">
        <v>5.6909999999999998</v>
      </c>
      <c r="K2971">
        <v>2969</v>
      </c>
      <c r="L2971">
        <v>46</v>
      </c>
      <c r="M2971" s="32">
        <v>2.9980000000000002</v>
      </c>
      <c r="N2971" s="32">
        <v>5.57</v>
      </c>
      <c r="P2971" s="47">
        <v>1.8560000000000001</v>
      </c>
      <c r="R2971" s="47">
        <v>0.20499999999999999</v>
      </c>
      <c r="S2971" s="47">
        <v>5.5629999999999997</v>
      </c>
      <c r="T2971" s="31">
        <v>0</v>
      </c>
      <c r="V2971">
        <v>2969</v>
      </c>
      <c r="W2971">
        <v>43</v>
      </c>
      <c r="X2971">
        <v>3.01</v>
      </c>
      <c r="Y2971" s="32">
        <v>5.57</v>
      </c>
      <c r="Z2971">
        <v>0</v>
      </c>
      <c r="AA2971" s="32">
        <v>1.7110000000000001</v>
      </c>
      <c r="AB2971">
        <v>0</v>
      </c>
      <c r="AC2971" s="34">
        <v>0.221</v>
      </c>
      <c r="AD2971" s="32">
        <v>5.149</v>
      </c>
    </row>
    <row r="2972" spans="1:30">
      <c r="A2972">
        <v>2970</v>
      </c>
      <c r="B2972">
        <v>46</v>
      </c>
      <c r="C2972">
        <v>2.9990000000000001</v>
      </c>
      <c r="D2972">
        <v>5.57</v>
      </c>
      <c r="E2972">
        <v>0</v>
      </c>
      <c r="F2972">
        <v>1.8540000000000001</v>
      </c>
      <c r="G2972">
        <v>0</v>
      </c>
      <c r="H2972">
        <v>0.20200000000000001</v>
      </c>
      <c r="I2972">
        <v>5.694</v>
      </c>
      <c r="K2972">
        <v>2970</v>
      </c>
      <c r="L2972">
        <v>46</v>
      </c>
      <c r="M2972" s="32">
        <v>2.9990000000000001</v>
      </c>
      <c r="N2972" s="32">
        <v>5.57</v>
      </c>
      <c r="P2972" s="47">
        <v>1.8560000000000001</v>
      </c>
      <c r="R2972" s="47">
        <v>0.20499999999999999</v>
      </c>
      <c r="S2972" s="47">
        <v>5.5650000000000004</v>
      </c>
      <c r="T2972" s="31">
        <v>0</v>
      </c>
      <c r="V2972">
        <v>2970</v>
      </c>
      <c r="W2972">
        <v>43</v>
      </c>
      <c r="X2972">
        <v>3.0110000000000001</v>
      </c>
      <c r="Y2972" s="32">
        <v>5.5839999999999996</v>
      </c>
      <c r="Z2972">
        <v>0</v>
      </c>
      <c r="AA2972" s="32">
        <v>1.7110000000000001</v>
      </c>
      <c r="AB2972">
        <v>0</v>
      </c>
      <c r="AC2972" s="34">
        <v>0.221</v>
      </c>
      <c r="AD2972" s="32">
        <v>5.1520000000000001</v>
      </c>
    </row>
    <row r="2973" spans="1:30">
      <c r="A2973">
        <v>2971</v>
      </c>
      <c r="B2973">
        <v>46</v>
      </c>
      <c r="C2973">
        <v>3</v>
      </c>
      <c r="D2973">
        <v>5.57</v>
      </c>
      <c r="E2973">
        <v>0</v>
      </c>
      <c r="F2973">
        <v>1.8560000000000001</v>
      </c>
      <c r="G2973">
        <v>0</v>
      </c>
      <c r="H2973">
        <v>0.20200000000000001</v>
      </c>
      <c r="I2973">
        <v>5.5679999999999996</v>
      </c>
      <c r="K2973">
        <v>2971</v>
      </c>
      <c r="L2973">
        <v>46</v>
      </c>
      <c r="M2973" s="32">
        <v>3</v>
      </c>
      <c r="N2973" s="32">
        <v>5.57</v>
      </c>
      <c r="P2973" s="32">
        <v>1.8560000000000001</v>
      </c>
      <c r="R2973" s="47">
        <v>0.20499999999999999</v>
      </c>
      <c r="S2973" s="32">
        <v>5.5679999999999996</v>
      </c>
      <c r="T2973" s="31">
        <v>0</v>
      </c>
      <c r="V2973">
        <v>2971</v>
      </c>
      <c r="W2973">
        <v>43</v>
      </c>
      <c r="X2973">
        <v>3.012</v>
      </c>
      <c r="Y2973" s="32">
        <v>5.5979999999999999</v>
      </c>
      <c r="Z2973">
        <v>0</v>
      </c>
      <c r="AA2973" s="32">
        <v>1.7110000000000001</v>
      </c>
      <c r="AB2973">
        <v>0</v>
      </c>
      <c r="AC2973" s="34">
        <v>0.221</v>
      </c>
      <c r="AD2973" s="32">
        <v>5.1539999999999999</v>
      </c>
    </row>
    <row r="2974" spans="1:30">
      <c r="A2974">
        <v>2972</v>
      </c>
      <c r="B2974">
        <v>46</v>
      </c>
      <c r="C2974">
        <v>3.0009999999999999</v>
      </c>
      <c r="D2974">
        <v>5.57</v>
      </c>
      <c r="E2974">
        <v>0</v>
      </c>
      <c r="F2974">
        <v>1.8560000000000001</v>
      </c>
      <c r="G2974">
        <v>0</v>
      </c>
      <c r="H2974">
        <v>0.20200000000000001</v>
      </c>
      <c r="I2974">
        <v>5.7249999999999996</v>
      </c>
      <c r="K2974">
        <v>2972</v>
      </c>
      <c r="L2974">
        <v>46</v>
      </c>
      <c r="M2974" s="32">
        <v>3.0009999999999999</v>
      </c>
      <c r="N2974" s="32">
        <v>5.57</v>
      </c>
      <c r="P2974" s="32">
        <v>1.8560000000000001</v>
      </c>
      <c r="R2974" s="47">
        <v>0.20499999999999999</v>
      </c>
      <c r="S2974" s="47">
        <v>5.5709999999999997</v>
      </c>
      <c r="T2974" s="31">
        <v>0</v>
      </c>
      <c r="V2974">
        <v>2972</v>
      </c>
      <c r="W2974">
        <v>43</v>
      </c>
      <c r="X2974">
        <v>3.0129999999999999</v>
      </c>
      <c r="Y2974" s="32">
        <v>5.6120000000000001</v>
      </c>
      <c r="Z2974">
        <v>0</v>
      </c>
      <c r="AA2974" s="32">
        <v>1.7110000000000001</v>
      </c>
      <c r="AB2974">
        <v>0</v>
      </c>
      <c r="AC2974" s="34">
        <v>0.221</v>
      </c>
      <c r="AD2974" s="32">
        <v>5.1559999999999997</v>
      </c>
    </row>
    <row r="2975" spans="1:30">
      <c r="A2975">
        <v>2973</v>
      </c>
      <c r="B2975">
        <v>46</v>
      </c>
      <c r="C2975">
        <v>3.0019999999999998</v>
      </c>
      <c r="D2975">
        <v>5.57</v>
      </c>
      <c r="E2975">
        <v>0</v>
      </c>
      <c r="F2975">
        <v>1.8560000000000001</v>
      </c>
      <c r="G2975">
        <v>0</v>
      </c>
      <c r="H2975">
        <v>0.20200000000000001</v>
      </c>
      <c r="I2975">
        <v>5.7279999999999998</v>
      </c>
      <c r="K2975">
        <v>2973</v>
      </c>
      <c r="L2975">
        <v>46</v>
      </c>
      <c r="M2975" s="32">
        <v>3.0019999999999998</v>
      </c>
      <c r="N2975" s="32">
        <v>5.57</v>
      </c>
      <c r="P2975" s="47">
        <v>1.857</v>
      </c>
      <c r="R2975" s="47">
        <v>0.20499999999999999</v>
      </c>
      <c r="S2975" s="47">
        <v>5.5730000000000004</v>
      </c>
      <c r="T2975" s="31">
        <v>0</v>
      </c>
      <c r="V2975">
        <v>2973</v>
      </c>
      <c r="W2975">
        <v>43</v>
      </c>
      <c r="X2975">
        <v>3.0139999999999998</v>
      </c>
      <c r="Y2975" s="32">
        <v>5.6260000000000003</v>
      </c>
      <c r="Z2975">
        <v>0</v>
      </c>
      <c r="AA2975" s="32">
        <v>1.7110000000000001</v>
      </c>
      <c r="AB2975">
        <v>0</v>
      </c>
      <c r="AC2975" s="34">
        <v>0.221</v>
      </c>
      <c r="AD2975" s="32">
        <v>5.1589999999999998</v>
      </c>
    </row>
    <row r="2976" spans="1:30">
      <c r="A2976">
        <v>2974</v>
      </c>
      <c r="B2976">
        <v>46</v>
      </c>
      <c r="C2976">
        <v>3.0030000000000001</v>
      </c>
      <c r="D2976">
        <v>5.57</v>
      </c>
      <c r="E2976">
        <v>0</v>
      </c>
      <c r="F2976">
        <v>1.8560000000000001</v>
      </c>
      <c r="G2976">
        <v>0</v>
      </c>
      <c r="H2976">
        <v>0.20200000000000001</v>
      </c>
      <c r="I2976">
        <v>5.73</v>
      </c>
      <c r="K2976">
        <v>2974</v>
      </c>
      <c r="L2976">
        <v>46</v>
      </c>
      <c r="M2976" s="32">
        <v>3.0030000000000001</v>
      </c>
      <c r="N2976" s="32">
        <v>5.57</v>
      </c>
      <c r="P2976" s="47">
        <v>1.857</v>
      </c>
      <c r="R2976" s="47">
        <v>0.20499999999999999</v>
      </c>
      <c r="S2976" s="47">
        <v>5.5759999999999996</v>
      </c>
      <c r="T2976" s="31">
        <v>0</v>
      </c>
      <c r="V2976">
        <v>2974</v>
      </c>
      <c r="W2976">
        <v>43</v>
      </c>
      <c r="X2976">
        <v>3.0150000000000001</v>
      </c>
      <c r="Y2976" s="32">
        <v>5.64</v>
      </c>
      <c r="Z2976">
        <v>0</v>
      </c>
      <c r="AA2976" s="32">
        <v>1.712</v>
      </c>
      <c r="AB2976">
        <v>0</v>
      </c>
      <c r="AC2976" s="34">
        <v>0.221</v>
      </c>
      <c r="AD2976" s="32">
        <v>5.1609999999999996</v>
      </c>
    </row>
    <row r="2977" spans="1:30">
      <c r="A2977">
        <v>2975</v>
      </c>
      <c r="B2977">
        <v>46</v>
      </c>
      <c r="C2977">
        <v>3.004</v>
      </c>
      <c r="D2977">
        <v>5.57</v>
      </c>
      <c r="E2977">
        <v>0</v>
      </c>
      <c r="F2977">
        <v>1.8560000000000001</v>
      </c>
      <c r="G2977">
        <v>0</v>
      </c>
      <c r="H2977">
        <v>0.20200000000000001</v>
      </c>
      <c r="I2977">
        <v>5.7329999999999997</v>
      </c>
      <c r="K2977">
        <v>2975</v>
      </c>
      <c r="L2977">
        <v>46</v>
      </c>
      <c r="M2977" s="32">
        <v>3.004</v>
      </c>
      <c r="N2977" s="32">
        <v>5.57</v>
      </c>
      <c r="P2977" s="47">
        <v>1.857</v>
      </c>
      <c r="R2977" s="47">
        <v>0.20499999999999999</v>
      </c>
      <c r="S2977" s="47">
        <v>5.5780000000000003</v>
      </c>
      <c r="T2977" s="31">
        <v>0</v>
      </c>
      <c r="V2977">
        <v>2975</v>
      </c>
      <c r="W2977">
        <v>43</v>
      </c>
      <c r="X2977">
        <v>3.016</v>
      </c>
      <c r="Y2977" s="32">
        <v>5.6539999999999999</v>
      </c>
      <c r="Z2977">
        <v>0</v>
      </c>
      <c r="AA2977" s="32">
        <v>1.712</v>
      </c>
      <c r="AB2977">
        <v>0</v>
      </c>
      <c r="AC2977" s="34">
        <v>0.221</v>
      </c>
      <c r="AD2977" s="32">
        <v>5.1639999999999997</v>
      </c>
    </row>
    <row r="2978" spans="1:30">
      <c r="A2978">
        <v>2976</v>
      </c>
      <c r="B2978">
        <v>46</v>
      </c>
      <c r="C2978">
        <v>3.0049999999999999</v>
      </c>
      <c r="D2978">
        <v>5.57</v>
      </c>
      <c r="E2978">
        <v>0</v>
      </c>
      <c r="F2978">
        <v>1.8560000000000001</v>
      </c>
      <c r="G2978">
        <v>0</v>
      </c>
      <c r="H2978">
        <v>0.20200000000000001</v>
      </c>
      <c r="I2978">
        <v>5.7350000000000003</v>
      </c>
      <c r="K2978">
        <v>2976</v>
      </c>
      <c r="L2978">
        <v>46</v>
      </c>
      <c r="M2978" s="32">
        <v>3.0049999999999999</v>
      </c>
      <c r="N2978" s="32">
        <v>5.57</v>
      </c>
      <c r="P2978" s="47">
        <v>1.8580000000000001</v>
      </c>
      <c r="R2978" s="47">
        <v>0.20499999999999999</v>
      </c>
      <c r="S2978" s="47">
        <v>5.5810000000000004</v>
      </c>
      <c r="T2978" s="31">
        <v>0</v>
      </c>
      <c r="V2978">
        <v>2976</v>
      </c>
      <c r="W2978">
        <v>43</v>
      </c>
      <c r="X2978">
        <v>3.0169999999999999</v>
      </c>
      <c r="Y2978" s="32">
        <v>5.6680000000000001</v>
      </c>
      <c r="Z2978">
        <v>0</v>
      </c>
      <c r="AA2978" s="32">
        <v>1.712</v>
      </c>
      <c r="AB2978">
        <v>0</v>
      </c>
      <c r="AC2978" s="34">
        <v>0.221</v>
      </c>
      <c r="AD2978" s="32">
        <v>5.1660000000000004</v>
      </c>
    </row>
    <row r="2979" spans="1:30">
      <c r="A2979">
        <v>2977</v>
      </c>
      <c r="B2979">
        <v>46</v>
      </c>
      <c r="C2979">
        <v>3.0059999999999998</v>
      </c>
      <c r="D2979">
        <v>5.57</v>
      </c>
      <c r="E2979">
        <v>0</v>
      </c>
      <c r="F2979">
        <v>1.8560000000000001</v>
      </c>
      <c r="G2979">
        <v>0</v>
      </c>
      <c r="H2979">
        <v>0.20200000000000001</v>
      </c>
      <c r="I2979">
        <v>5.7380000000000004</v>
      </c>
      <c r="K2979">
        <v>2977</v>
      </c>
      <c r="L2979">
        <v>46</v>
      </c>
      <c r="M2979" s="32">
        <v>3.0059999999999998</v>
      </c>
      <c r="N2979" s="32">
        <v>5.57</v>
      </c>
      <c r="P2979" s="47">
        <v>1.8580000000000001</v>
      </c>
      <c r="R2979" s="47">
        <v>0.20499999999999999</v>
      </c>
      <c r="S2979" s="47">
        <v>5.5839999999999996</v>
      </c>
      <c r="T2979" s="31">
        <v>0</v>
      </c>
      <c r="V2979">
        <v>2977</v>
      </c>
      <c r="W2979">
        <v>43</v>
      </c>
      <c r="X2979">
        <v>3.0179999999999998</v>
      </c>
      <c r="Y2979" s="32">
        <v>5.6820000000000004</v>
      </c>
      <c r="Z2979">
        <v>0</v>
      </c>
      <c r="AA2979" s="32">
        <v>1.712</v>
      </c>
      <c r="AB2979">
        <v>0</v>
      </c>
      <c r="AC2979" s="34">
        <v>0.221</v>
      </c>
      <c r="AD2979" s="32">
        <v>5.1680000000000001</v>
      </c>
    </row>
    <row r="2980" spans="1:30">
      <c r="A2980">
        <v>2978</v>
      </c>
      <c r="B2980">
        <v>46</v>
      </c>
      <c r="C2980">
        <v>3.0070000000000001</v>
      </c>
      <c r="D2980">
        <v>5.57</v>
      </c>
      <c r="E2980">
        <v>0</v>
      </c>
      <c r="F2980">
        <v>1.8560000000000001</v>
      </c>
      <c r="G2980">
        <v>0</v>
      </c>
      <c r="H2980">
        <v>0.20200000000000001</v>
      </c>
      <c r="I2980">
        <v>5.7409999999999997</v>
      </c>
      <c r="K2980">
        <v>2978</v>
      </c>
      <c r="L2980">
        <v>46</v>
      </c>
      <c r="M2980" s="32">
        <v>3.0070000000000001</v>
      </c>
      <c r="N2980" s="32">
        <v>5.57</v>
      </c>
      <c r="P2980" s="47">
        <v>1.8580000000000001</v>
      </c>
      <c r="R2980" s="47">
        <v>0.20499999999999999</v>
      </c>
      <c r="S2980" s="47">
        <v>5.5860000000000003</v>
      </c>
      <c r="T2980" s="31">
        <v>0</v>
      </c>
      <c r="V2980">
        <v>2978</v>
      </c>
      <c r="W2980">
        <v>43</v>
      </c>
      <c r="X2980">
        <v>3.0190000000000001</v>
      </c>
      <c r="Y2980" s="32">
        <v>5.6959999999999997</v>
      </c>
      <c r="Z2980">
        <v>0</v>
      </c>
      <c r="AA2980" s="32">
        <v>1.7130000000000001</v>
      </c>
      <c r="AB2980">
        <v>0</v>
      </c>
      <c r="AC2980" s="34">
        <v>0.221</v>
      </c>
      <c r="AD2980" s="32">
        <v>5.1710000000000003</v>
      </c>
    </row>
    <row r="2981" spans="1:30">
      <c r="A2981">
        <v>2979</v>
      </c>
      <c r="B2981">
        <v>46</v>
      </c>
      <c r="C2981">
        <v>3.008</v>
      </c>
      <c r="D2981">
        <v>5.57</v>
      </c>
      <c r="E2981">
        <v>0</v>
      </c>
      <c r="F2981">
        <v>1.8560000000000001</v>
      </c>
      <c r="G2981">
        <v>0</v>
      </c>
      <c r="H2981">
        <v>0.20200000000000001</v>
      </c>
      <c r="I2981">
        <v>5.7430000000000003</v>
      </c>
      <c r="K2981">
        <v>2979</v>
      </c>
      <c r="L2981">
        <v>46</v>
      </c>
      <c r="M2981" s="32">
        <v>3.008</v>
      </c>
      <c r="N2981" s="32">
        <v>5.57</v>
      </c>
      <c r="P2981" s="47">
        <v>1.8580000000000001</v>
      </c>
      <c r="R2981" s="47">
        <v>0.20499999999999999</v>
      </c>
      <c r="S2981" s="47">
        <v>5.5890000000000004</v>
      </c>
      <c r="T2981" s="31">
        <v>0</v>
      </c>
      <c r="V2981">
        <v>2979</v>
      </c>
      <c r="W2981">
        <v>43</v>
      </c>
      <c r="X2981">
        <v>3.02</v>
      </c>
      <c r="Y2981" s="32">
        <v>5.71</v>
      </c>
      <c r="Z2981">
        <v>0</v>
      </c>
      <c r="AA2981" s="32">
        <v>1.7130000000000001</v>
      </c>
      <c r="AB2981">
        <v>0</v>
      </c>
      <c r="AC2981" s="34">
        <v>0.222</v>
      </c>
      <c r="AD2981" s="32">
        <v>5.173</v>
      </c>
    </row>
    <row r="2982" spans="1:30">
      <c r="A2982">
        <v>2980</v>
      </c>
      <c r="B2982">
        <v>46</v>
      </c>
      <c r="C2982">
        <v>3.0089999999999999</v>
      </c>
      <c r="D2982">
        <v>5.57</v>
      </c>
      <c r="E2982">
        <v>0</v>
      </c>
      <c r="F2982">
        <v>1.8560000000000001</v>
      </c>
      <c r="G2982">
        <v>0</v>
      </c>
      <c r="H2982">
        <v>0.20200000000000001</v>
      </c>
      <c r="I2982">
        <v>5.7460000000000004</v>
      </c>
      <c r="K2982">
        <v>2980</v>
      </c>
      <c r="L2982">
        <v>46</v>
      </c>
      <c r="M2982" s="32">
        <v>3.0089999999999999</v>
      </c>
      <c r="N2982" s="32">
        <v>5.57</v>
      </c>
      <c r="P2982" s="47">
        <v>1.859</v>
      </c>
      <c r="R2982" s="47">
        <v>0.20499999999999999</v>
      </c>
      <c r="S2982" s="47">
        <v>5.5910000000000002</v>
      </c>
      <c r="T2982" s="31">
        <v>0</v>
      </c>
      <c r="V2982">
        <v>2980</v>
      </c>
      <c r="W2982">
        <v>43</v>
      </c>
      <c r="X2982">
        <v>3.0209999999999999</v>
      </c>
      <c r="Y2982" s="32">
        <v>5.71</v>
      </c>
      <c r="Z2982">
        <v>0</v>
      </c>
      <c r="AA2982" s="32">
        <v>1.7130000000000001</v>
      </c>
      <c r="AB2982">
        <v>0</v>
      </c>
      <c r="AC2982" s="34">
        <v>0.222</v>
      </c>
      <c r="AD2982" s="32">
        <v>5.1749999999999998</v>
      </c>
    </row>
    <row r="2983" spans="1:30">
      <c r="A2983">
        <v>2981</v>
      </c>
      <c r="B2983">
        <v>46</v>
      </c>
      <c r="C2983">
        <v>3.01</v>
      </c>
      <c r="D2983">
        <v>5.57</v>
      </c>
      <c r="E2983">
        <v>0</v>
      </c>
      <c r="F2983">
        <v>1.859</v>
      </c>
      <c r="G2983">
        <v>0</v>
      </c>
      <c r="H2983">
        <v>0.20200000000000001</v>
      </c>
      <c r="I2983">
        <v>5.5940000000000003</v>
      </c>
      <c r="K2983">
        <v>2981</v>
      </c>
      <c r="L2983">
        <v>46</v>
      </c>
      <c r="M2983" s="32">
        <v>3.01</v>
      </c>
      <c r="N2983" s="32">
        <v>5.57</v>
      </c>
      <c r="P2983" s="32">
        <v>1.859</v>
      </c>
      <c r="R2983" s="47">
        <v>0.20599999999999999</v>
      </c>
      <c r="S2983" s="32">
        <v>5.5940000000000003</v>
      </c>
      <c r="T2983" s="31">
        <v>0</v>
      </c>
      <c r="V2983">
        <v>2981</v>
      </c>
      <c r="W2983">
        <v>43</v>
      </c>
      <c r="X2983">
        <v>3.0219999999999998</v>
      </c>
      <c r="Y2983" s="32">
        <v>5.71</v>
      </c>
      <c r="Z2983">
        <v>0</v>
      </c>
      <c r="AA2983" s="32">
        <v>1.7130000000000001</v>
      </c>
      <c r="AB2983">
        <v>0</v>
      </c>
      <c r="AC2983" s="34">
        <v>0.222</v>
      </c>
      <c r="AD2983" s="32">
        <v>5.1779999999999999</v>
      </c>
    </row>
    <row r="2984" spans="1:30">
      <c r="A2984">
        <v>2982</v>
      </c>
      <c r="B2984">
        <v>46</v>
      </c>
      <c r="C2984">
        <v>3.0110000000000001</v>
      </c>
      <c r="D2984">
        <v>5.57</v>
      </c>
      <c r="E2984">
        <v>0</v>
      </c>
      <c r="F2984">
        <v>1.859</v>
      </c>
      <c r="G2984">
        <v>0</v>
      </c>
      <c r="H2984">
        <v>0.20200000000000001</v>
      </c>
      <c r="I2984">
        <v>5.7770000000000001</v>
      </c>
      <c r="K2984">
        <v>2982</v>
      </c>
      <c r="L2984">
        <v>46</v>
      </c>
      <c r="M2984" s="32">
        <v>3.0110000000000001</v>
      </c>
      <c r="N2984" s="47">
        <v>5.5839999999999996</v>
      </c>
      <c r="P2984" s="32">
        <v>1.859</v>
      </c>
      <c r="R2984" s="47">
        <v>0.20599999999999999</v>
      </c>
      <c r="S2984" s="47">
        <v>5.5970000000000004</v>
      </c>
      <c r="T2984" s="31">
        <v>0</v>
      </c>
      <c r="V2984">
        <v>2982</v>
      </c>
      <c r="W2984">
        <v>43</v>
      </c>
      <c r="X2984">
        <v>3.0230000000000001</v>
      </c>
      <c r="Y2984" s="32">
        <v>5.71</v>
      </c>
      <c r="Z2984">
        <v>0</v>
      </c>
      <c r="AA2984" s="32">
        <v>1.7130000000000001</v>
      </c>
      <c r="AB2984">
        <v>0</v>
      </c>
      <c r="AC2984" s="34">
        <v>0.222</v>
      </c>
      <c r="AD2984" s="32">
        <v>5.18</v>
      </c>
    </row>
    <row r="2985" spans="1:30">
      <c r="A2985">
        <v>2983</v>
      </c>
      <c r="B2985">
        <v>46</v>
      </c>
      <c r="C2985">
        <v>3.012</v>
      </c>
      <c r="D2985">
        <v>5.57</v>
      </c>
      <c r="E2985">
        <v>0</v>
      </c>
      <c r="F2985">
        <v>1.859</v>
      </c>
      <c r="G2985">
        <v>0</v>
      </c>
      <c r="H2985">
        <v>0.20200000000000001</v>
      </c>
      <c r="I2985">
        <v>5.7789999999999999</v>
      </c>
      <c r="K2985">
        <v>2983</v>
      </c>
      <c r="L2985">
        <v>46</v>
      </c>
      <c r="M2985" s="32">
        <v>3.012</v>
      </c>
      <c r="N2985" s="47">
        <v>5.5979999999999999</v>
      </c>
      <c r="P2985" s="32">
        <v>1.859</v>
      </c>
      <c r="R2985" s="47">
        <v>0.20599999999999999</v>
      </c>
      <c r="S2985" s="47">
        <v>5.5990000000000002</v>
      </c>
      <c r="T2985" s="31">
        <v>0</v>
      </c>
      <c r="V2985">
        <v>2983</v>
      </c>
      <c r="W2985">
        <v>43</v>
      </c>
      <c r="X2985">
        <v>3.024</v>
      </c>
      <c r="Y2985" s="32">
        <v>5.71</v>
      </c>
      <c r="Z2985">
        <v>0</v>
      </c>
      <c r="AA2985" s="32">
        <v>1.714</v>
      </c>
      <c r="AB2985">
        <v>0</v>
      </c>
      <c r="AC2985" s="34">
        <v>0.222</v>
      </c>
      <c r="AD2985" s="32">
        <v>5.1829999999999998</v>
      </c>
    </row>
    <row r="2986" spans="1:30">
      <c r="A2986">
        <v>2984</v>
      </c>
      <c r="B2986">
        <v>46</v>
      </c>
      <c r="C2986">
        <v>3.0129999999999999</v>
      </c>
      <c r="D2986">
        <v>5.57</v>
      </c>
      <c r="E2986">
        <v>0</v>
      </c>
      <c r="F2986">
        <v>1.859</v>
      </c>
      <c r="G2986">
        <v>0</v>
      </c>
      <c r="H2986">
        <v>0.20200000000000001</v>
      </c>
      <c r="I2986">
        <v>5.782</v>
      </c>
      <c r="K2986">
        <v>2984</v>
      </c>
      <c r="L2986">
        <v>46</v>
      </c>
      <c r="M2986" s="32">
        <v>3.0129999999999999</v>
      </c>
      <c r="N2986" s="47">
        <v>5.6120000000000001</v>
      </c>
      <c r="P2986" s="47">
        <v>1.86</v>
      </c>
      <c r="R2986" s="47">
        <v>0.20599999999999999</v>
      </c>
      <c r="S2986" s="47">
        <v>5.6020000000000003</v>
      </c>
      <c r="T2986" s="31">
        <v>0</v>
      </c>
      <c r="V2986">
        <v>2984</v>
      </c>
      <c r="W2986">
        <v>43</v>
      </c>
      <c r="X2986">
        <v>3.0249999999999999</v>
      </c>
      <c r="Y2986" s="32">
        <v>5.71</v>
      </c>
      <c r="Z2986">
        <v>0</v>
      </c>
      <c r="AA2986" s="32">
        <v>1.714</v>
      </c>
      <c r="AB2986">
        <v>0</v>
      </c>
      <c r="AC2986" s="34">
        <v>0.222</v>
      </c>
      <c r="AD2986" s="32">
        <v>5.1849999999999996</v>
      </c>
    </row>
    <row r="2987" spans="1:30">
      <c r="A2987">
        <v>2985</v>
      </c>
      <c r="B2987">
        <v>46</v>
      </c>
      <c r="C2987">
        <v>3.0139999999999998</v>
      </c>
      <c r="D2987">
        <v>5.57</v>
      </c>
      <c r="E2987">
        <v>0</v>
      </c>
      <c r="F2987">
        <v>1.859</v>
      </c>
      <c r="G2987">
        <v>0</v>
      </c>
      <c r="H2987">
        <v>0.20200000000000001</v>
      </c>
      <c r="I2987">
        <v>5.7850000000000001</v>
      </c>
      <c r="K2987">
        <v>2985</v>
      </c>
      <c r="L2987">
        <v>46</v>
      </c>
      <c r="M2987" s="32">
        <v>3.0139999999999998</v>
      </c>
      <c r="N2987" s="47">
        <v>5.6260000000000003</v>
      </c>
      <c r="P2987" s="47">
        <v>1.86</v>
      </c>
      <c r="R2987" s="47">
        <v>0.20599999999999999</v>
      </c>
      <c r="S2987" s="47">
        <v>5.6040000000000001</v>
      </c>
      <c r="T2987" s="31">
        <v>0</v>
      </c>
      <c r="V2987">
        <v>2985</v>
      </c>
      <c r="W2987">
        <v>43</v>
      </c>
      <c r="X2987">
        <v>3.0259999999999998</v>
      </c>
      <c r="Y2987" s="32">
        <v>5.71</v>
      </c>
      <c r="Z2987">
        <v>0</v>
      </c>
      <c r="AA2987" s="32">
        <v>1.714</v>
      </c>
      <c r="AB2987">
        <v>0</v>
      </c>
      <c r="AC2987" s="34">
        <v>0.222</v>
      </c>
      <c r="AD2987" s="32">
        <v>5.1870000000000003</v>
      </c>
    </row>
    <row r="2988" spans="1:30">
      <c r="A2988">
        <v>2986</v>
      </c>
      <c r="B2988">
        <v>46</v>
      </c>
      <c r="C2988">
        <v>3.0150000000000001</v>
      </c>
      <c r="D2988">
        <v>5.57</v>
      </c>
      <c r="E2988">
        <v>0</v>
      </c>
      <c r="F2988">
        <v>1.859</v>
      </c>
      <c r="G2988">
        <v>0</v>
      </c>
      <c r="H2988">
        <v>0.20200000000000001</v>
      </c>
      <c r="I2988">
        <v>5.7869999999999999</v>
      </c>
      <c r="K2988">
        <v>2986</v>
      </c>
      <c r="L2988">
        <v>46</v>
      </c>
      <c r="M2988" s="32">
        <v>3.0150000000000001</v>
      </c>
      <c r="N2988" s="47">
        <v>5.64</v>
      </c>
      <c r="P2988" s="47">
        <v>1.86</v>
      </c>
      <c r="R2988" s="47">
        <v>0.20599999999999999</v>
      </c>
      <c r="S2988" s="47">
        <v>5.6070000000000002</v>
      </c>
      <c r="T2988" s="31">
        <v>0</v>
      </c>
      <c r="V2988">
        <v>2986</v>
      </c>
      <c r="W2988">
        <v>43</v>
      </c>
      <c r="X2988">
        <v>3.0270000000000001</v>
      </c>
      <c r="Y2988" s="32">
        <v>5.71</v>
      </c>
      <c r="Z2988">
        <v>0</v>
      </c>
      <c r="AA2988" s="32">
        <v>1.714</v>
      </c>
      <c r="AB2988">
        <v>0</v>
      </c>
      <c r="AC2988" s="34">
        <v>0.222</v>
      </c>
      <c r="AD2988" s="32">
        <v>5.19</v>
      </c>
    </row>
    <row r="2989" spans="1:30">
      <c r="A2989">
        <v>2987</v>
      </c>
      <c r="B2989">
        <v>46</v>
      </c>
      <c r="C2989">
        <v>3.016</v>
      </c>
      <c r="D2989">
        <v>5.57</v>
      </c>
      <c r="E2989">
        <v>0</v>
      </c>
      <c r="F2989">
        <v>1.859</v>
      </c>
      <c r="G2989">
        <v>0</v>
      </c>
      <c r="H2989">
        <v>0.20200000000000001</v>
      </c>
      <c r="I2989">
        <v>5.79</v>
      </c>
      <c r="K2989">
        <v>2987</v>
      </c>
      <c r="L2989">
        <v>46</v>
      </c>
      <c r="M2989" s="32">
        <v>3.016</v>
      </c>
      <c r="N2989" s="47">
        <v>5.6539999999999999</v>
      </c>
      <c r="P2989" s="47">
        <v>1.86</v>
      </c>
      <c r="R2989" s="47">
        <v>0.20599999999999999</v>
      </c>
      <c r="S2989" s="47">
        <v>5.609</v>
      </c>
      <c r="T2989" s="31">
        <v>0</v>
      </c>
      <c r="V2989">
        <v>2987</v>
      </c>
      <c r="W2989">
        <v>43</v>
      </c>
      <c r="X2989">
        <v>3.028</v>
      </c>
      <c r="Y2989" s="32">
        <v>5.71</v>
      </c>
      <c r="Z2989">
        <v>0</v>
      </c>
      <c r="AA2989" s="32">
        <v>1.7150000000000001</v>
      </c>
      <c r="AB2989">
        <v>0</v>
      </c>
      <c r="AC2989" s="34">
        <v>0.222</v>
      </c>
      <c r="AD2989" s="32">
        <v>5.1920000000000002</v>
      </c>
    </row>
    <row r="2990" spans="1:30">
      <c r="A2990">
        <v>2988</v>
      </c>
      <c r="B2990">
        <v>46</v>
      </c>
      <c r="C2990">
        <v>3.0169999999999999</v>
      </c>
      <c r="D2990">
        <v>5.57</v>
      </c>
      <c r="E2990">
        <v>0</v>
      </c>
      <c r="F2990">
        <v>1.859</v>
      </c>
      <c r="G2990">
        <v>0</v>
      </c>
      <c r="H2990">
        <v>0.20200000000000001</v>
      </c>
      <c r="I2990">
        <v>5.7919999999999998</v>
      </c>
      <c r="K2990">
        <v>2988</v>
      </c>
      <c r="L2990">
        <v>46</v>
      </c>
      <c r="M2990" s="32">
        <v>3.0169999999999999</v>
      </c>
      <c r="N2990" s="47">
        <v>5.6680000000000001</v>
      </c>
      <c r="P2990" s="47">
        <v>1.86</v>
      </c>
      <c r="R2990" s="47">
        <v>0.20599999999999999</v>
      </c>
      <c r="S2990" s="47">
        <v>5.6120000000000001</v>
      </c>
      <c r="T2990" s="31">
        <v>0</v>
      </c>
      <c r="V2990">
        <v>2988</v>
      </c>
      <c r="W2990">
        <v>43</v>
      </c>
      <c r="X2990">
        <v>3.0289999999999999</v>
      </c>
      <c r="Y2990" s="32">
        <v>5.71</v>
      </c>
      <c r="Z2990">
        <v>0</v>
      </c>
      <c r="AA2990" s="32">
        <v>1.7150000000000001</v>
      </c>
      <c r="AB2990">
        <v>0</v>
      </c>
      <c r="AC2990" s="34">
        <v>0.222</v>
      </c>
      <c r="AD2990" s="32">
        <v>5.1950000000000003</v>
      </c>
    </row>
    <row r="2991" spans="1:30">
      <c r="A2991">
        <v>2989</v>
      </c>
      <c r="B2991">
        <v>46</v>
      </c>
      <c r="C2991">
        <v>3.0179999999999998</v>
      </c>
      <c r="D2991">
        <v>5.57</v>
      </c>
      <c r="E2991">
        <v>0</v>
      </c>
      <c r="F2991">
        <v>1.859</v>
      </c>
      <c r="G2991">
        <v>0</v>
      </c>
      <c r="H2991">
        <v>0.20200000000000001</v>
      </c>
      <c r="I2991">
        <v>5.7949999999999999</v>
      </c>
      <c r="K2991">
        <v>2989</v>
      </c>
      <c r="L2991">
        <v>46</v>
      </c>
      <c r="M2991" s="32">
        <v>3.0179999999999998</v>
      </c>
      <c r="N2991" s="47">
        <v>5.6820000000000004</v>
      </c>
      <c r="P2991" s="47">
        <v>1.861</v>
      </c>
      <c r="R2991" s="47">
        <v>0.20599999999999999</v>
      </c>
      <c r="S2991" s="47">
        <v>5.6139999999999999</v>
      </c>
      <c r="T2991" s="31">
        <v>0</v>
      </c>
      <c r="V2991">
        <v>2989</v>
      </c>
      <c r="W2991">
        <v>43</v>
      </c>
      <c r="X2991">
        <v>3.03</v>
      </c>
      <c r="Y2991" s="32">
        <v>5.71</v>
      </c>
      <c r="Z2991">
        <v>0</v>
      </c>
      <c r="AA2991" s="32">
        <v>1.7150000000000001</v>
      </c>
      <c r="AB2991">
        <v>0</v>
      </c>
      <c r="AC2991" s="34">
        <v>0.222</v>
      </c>
      <c r="AD2991" s="32">
        <v>5.1970000000000001</v>
      </c>
    </row>
    <row r="2992" spans="1:30">
      <c r="A2992">
        <v>2990</v>
      </c>
      <c r="B2992">
        <v>46</v>
      </c>
      <c r="C2992">
        <v>3.0190000000000001</v>
      </c>
      <c r="D2992">
        <v>5.57</v>
      </c>
      <c r="E2992">
        <v>0</v>
      </c>
      <c r="F2992">
        <v>1.859</v>
      </c>
      <c r="G2992">
        <v>0</v>
      </c>
      <c r="H2992">
        <v>0.20200000000000001</v>
      </c>
      <c r="I2992">
        <v>5.7969999999999997</v>
      </c>
      <c r="K2992">
        <v>2990</v>
      </c>
      <c r="L2992">
        <v>46</v>
      </c>
      <c r="M2992" s="32">
        <v>3.0190000000000001</v>
      </c>
      <c r="N2992" s="47">
        <v>5.6959999999999997</v>
      </c>
      <c r="P2992" s="47">
        <v>1.861</v>
      </c>
      <c r="R2992" s="47">
        <v>0.20599999999999999</v>
      </c>
      <c r="S2992" s="47">
        <v>5.617</v>
      </c>
      <c r="T2992" s="31">
        <v>0</v>
      </c>
      <c r="V2992">
        <v>2990</v>
      </c>
      <c r="W2992">
        <v>43</v>
      </c>
      <c r="X2992">
        <v>3.0310000000000001</v>
      </c>
      <c r="Y2992" s="32">
        <v>5.71</v>
      </c>
      <c r="Z2992">
        <v>0</v>
      </c>
      <c r="AA2992" s="32">
        <v>1.7150000000000001</v>
      </c>
      <c r="AB2992">
        <v>0</v>
      </c>
      <c r="AC2992" s="34">
        <v>0.222</v>
      </c>
      <c r="AD2992" s="32">
        <v>5.1989999999999998</v>
      </c>
    </row>
    <row r="2993" spans="1:30">
      <c r="A2993">
        <v>2991</v>
      </c>
      <c r="B2993">
        <v>47</v>
      </c>
      <c r="C2993">
        <v>3.02</v>
      </c>
      <c r="D2993">
        <v>5.71</v>
      </c>
      <c r="E2993">
        <v>0</v>
      </c>
      <c r="F2993">
        <v>1.861</v>
      </c>
      <c r="G2993">
        <v>0</v>
      </c>
      <c r="H2993">
        <v>0.20599999999999999</v>
      </c>
      <c r="I2993">
        <v>5.6189999999999998</v>
      </c>
      <c r="K2993">
        <v>2991</v>
      </c>
      <c r="L2993">
        <v>47</v>
      </c>
      <c r="M2993" s="32">
        <v>3.02</v>
      </c>
      <c r="N2993" s="32">
        <v>5.71</v>
      </c>
      <c r="P2993" s="32">
        <v>1.861</v>
      </c>
      <c r="R2993" s="32">
        <v>0.20599999999999999</v>
      </c>
      <c r="S2993" s="32">
        <v>5.6189999999999998</v>
      </c>
      <c r="T2993" s="31">
        <v>0</v>
      </c>
      <c r="V2993">
        <v>2991</v>
      </c>
      <c r="W2993">
        <v>43</v>
      </c>
      <c r="X2993">
        <v>3.032</v>
      </c>
      <c r="Y2993" s="32">
        <v>5.71</v>
      </c>
      <c r="Z2993">
        <v>0</v>
      </c>
      <c r="AA2993" s="32">
        <v>1.716</v>
      </c>
      <c r="AB2993">
        <v>0</v>
      </c>
      <c r="AC2993" s="34">
        <v>0.222</v>
      </c>
      <c r="AD2993" s="32">
        <v>5.202</v>
      </c>
    </row>
    <row r="2994" spans="1:30">
      <c r="A2994">
        <v>2992</v>
      </c>
      <c r="B2994">
        <v>47</v>
      </c>
      <c r="C2994">
        <v>3.0209999999999999</v>
      </c>
      <c r="D2994">
        <v>5.71</v>
      </c>
      <c r="E2994">
        <v>0</v>
      </c>
      <c r="F2994">
        <v>1.861</v>
      </c>
      <c r="G2994">
        <v>0</v>
      </c>
      <c r="H2994">
        <v>0.20599999999999999</v>
      </c>
      <c r="I2994">
        <v>5.6219999999999999</v>
      </c>
      <c r="K2994">
        <v>2992</v>
      </c>
      <c r="L2994">
        <v>47</v>
      </c>
      <c r="M2994" s="32">
        <v>3.0209999999999999</v>
      </c>
      <c r="N2994" s="32">
        <v>5.71</v>
      </c>
      <c r="P2994" s="32">
        <v>1.861</v>
      </c>
      <c r="R2994" s="32">
        <v>0.20599999999999999</v>
      </c>
      <c r="S2994" s="32">
        <v>5.6219999999999999</v>
      </c>
      <c r="T2994" s="31">
        <v>0</v>
      </c>
      <c r="V2994">
        <v>2992</v>
      </c>
      <c r="W2994">
        <v>43</v>
      </c>
      <c r="X2994">
        <v>3.0329999999999999</v>
      </c>
      <c r="Y2994" s="32">
        <v>5.71</v>
      </c>
      <c r="Z2994">
        <v>0</v>
      </c>
      <c r="AA2994" s="32">
        <v>1.716</v>
      </c>
      <c r="AB2994">
        <v>0</v>
      </c>
      <c r="AC2994" s="34">
        <v>0.222</v>
      </c>
      <c r="AD2994" s="32">
        <v>5.2039999999999997</v>
      </c>
    </row>
    <row r="2995" spans="1:30">
      <c r="A2995">
        <v>2993</v>
      </c>
      <c r="B2995">
        <v>47</v>
      </c>
      <c r="C2995">
        <v>3.0219999999999998</v>
      </c>
      <c r="D2995">
        <v>5.72</v>
      </c>
      <c r="E2995">
        <v>0</v>
      </c>
      <c r="F2995">
        <v>1.8620000000000001</v>
      </c>
      <c r="G2995">
        <v>0</v>
      </c>
      <c r="H2995">
        <v>0.20599999999999999</v>
      </c>
      <c r="I2995">
        <v>5.6239999999999997</v>
      </c>
      <c r="K2995">
        <v>2993</v>
      </c>
      <c r="L2995">
        <v>47</v>
      </c>
      <c r="M2995" s="32">
        <v>3.0219999999999998</v>
      </c>
      <c r="N2995" s="47">
        <v>5.71</v>
      </c>
      <c r="P2995" s="32">
        <v>1.8620000000000001</v>
      </c>
      <c r="R2995" s="32">
        <v>0.20599999999999999</v>
      </c>
      <c r="S2995" s="32">
        <v>5.6239999999999997</v>
      </c>
      <c r="T2995" s="31">
        <v>0</v>
      </c>
      <c r="V2995">
        <v>2993</v>
      </c>
      <c r="W2995">
        <v>43</v>
      </c>
      <c r="X2995">
        <v>3.0339999999999998</v>
      </c>
      <c r="Y2995" s="32">
        <v>5.71</v>
      </c>
      <c r="Z2995">
        <v>0</v>
      </c>
      <c r="AA2995" s="32">
        <v>1.716</v>
      </c>
      <c r="AB2995">
        <v>0</v>
      </c>
      <c r="AC2995" s="34">
        <v>0.222</v>
      </c>
      <c r="AD2995" s="32">
        <v>5.2069999999999999</v>
      </c>
    </row>
    <row r="2996" spans="1:30">
      <c r="A2996">
        <v>2994</v>
      </c>
      <c r="B2996">
        <v>47</v>
      </c>
      <c r="C2996">
        <v>3.0230000000000001</v>
      </c>
      <c r="D2996">
        <v>5.72</v>
      </c>
      <c r="E2996">
        <v>0</v>
      </c>
      <c r="F2996">
        <v>1.8620000000000001</v>
      </c>
      <c r="G2996">
        <v>0</v>
      </c>
      <c r="H2996">
        <v>0.20599999999999999</v>
      </c>
      <c r="I2996">
        <v>5.6269999999999998</v>
      </c>
      <c r="K2996">
        <v>2994</v>
      </c>
      <c r="L2996">
        <v>47</v>
      </c>
      <c r="M2996" s="32">
        <v>3.0230000000000001</v>
      </c>
      <c r="N2996" s="47">
        <v>5.71</v>
      </c>
      <c r="P2996" s="32">
        <v>1.8620000000000001</v>
      </c>
      <c r="R2996" s="32">
        <v>0.20599999999999999</v>
      </c>
      <c r="S2996" s="32">
        <v>5.6269999999999998</v>
      </c>
      <c r="T2996" s="31">
        <v>0</v>
      </c>
      <c r="V2996">
        <v>2994</v>
      </c>
      <c r="W2996">
        <v>43</v>
      </c>
      <c r="X2996">
        <v>3.0350000000000001</v>
      </c>
      <c r="Y2996" s="32">
        <v>5.71</v>
      </c>
      <c r="Z2996">
        <v>0</v>
      </c>
      <c r="AA2996" s="32">
        <v>1.716</v>
      </c>
      <c r="AB2996">
        <v>0</v>
      </c>
      <c r="AC2996" s="34">
        <v>0.222</v>
      </c>
      <c r="AD2996" s="32">
        <v>5.2089999999999996</v>
      </c>
    </row>
    <row r="2997" spans="1:30">
      <c r="A2997">
        <v>2995</v>
      </c>
      <c r="B2997">
        <v>47</v>
      </c>
      <c r="C2997">
        <v>3.024</v>
      </c>
      <c r="D2997">
        <v>5.72</v>
      </c>
      <c r="E2997">
        <v>0</v>
      </c>
      <c r="F2997">
        <v>1.8620000000000001</v>
      </c>
      <c r="G2997">
        <v>0</v>
      </c>
      <c r="H2997">
        <v>0.20599999999999999</v>
      </c>
      <c r="I2997">
        <v>5.6289999999999996</v>
      </c>
      <c r="K2997">
        <v>2995</v>
      </c>
      <c r="L2997">
        <v>47</v>
      </c>
      <c r="M2997" s="32">
        <v>3.024</v>
      </c>
      <c r="N2997" s="47">
        <v>5.71</v>
      </c>
      <c r="P2997" s="32">
        <v>1.8620000000000001</v>
      </c>
      <c r="R2997" s="32">
        <v>0.20599999999999999</v>
      </c>
      <c r="S2997" s="47">
        <v>5.63</v>
      </c>
      <c r="T2997" s="31">
        <v>0</v>
      </c>
      <c r="V2997">
        <v>2995</v>
      </c>
      <c r="W2997">
        <v>43</v>
      </c>
      <c r="X2997">
        <v>3.036</v>
      </c>
      <c r="Y2997" s="32">
        <v>5.71</v>
      </c>
      <c r="Z2997">
        <v>0</v>
      </c>
      <c r="AA2997" s="32">
        <v>1.716</v>
      </c>
      <c r="AB2997">
        <v>0</v>
      </c>
      <c r="AC2997" s="34">
        <v>0.222</v>
      </c>
      <c r="AD2997" s="32">
        <v>5.2110000000000003</v>
      </c>
    </row>
    <row r="2998" spans="1:30">
      <c r="A2998">
        <v>2996</v>
      </c>
      <c r="B2998">
        <v>47</v>
      </c>
      <c r="C2998">
        <v>3.0249999999999999</v>
      </c>
      <c r="D2998">
        <v>5.72</v>
      </c>
      <c r="E2998">
        <v>0</v>
      </c>
      <c r="F2998">
        <v>1.8620000000000001</v>
      </c>
      <c r="G2998">
        <v>0</v>
      </c>
      <c r="H2998">
        <v>0.20599999999999999</v>
      </c>
      <c r="I2998">
        <v>5.6319999999999997</v>
      </c>
      <c r="K2998">
        <v>2996</v>
      </c>
      <c r="L2998">
        <v>47</v>
      </c>
      <c r="M2998" s="32">
        <v>3.0249999999999999</v>
      </c>
      <c r="N2998" s="47">
        <v>5.71</v>
      </c>
      <c r="P2998" s="47">
        <v>1.863</v>
      </c>
      <c r="R2998" s="32">
        <v>0.20599999999999999</v>
      </c>
      <c r="S2998" s="47">
        <v>5.633</v>
      </c>
      <c r="T2998" s="31">
        <v>0</v>
      </c>
      <c r="V2998">
        <v>2996</v>
      </c>
      <c r="W2998">
        <v>43</v>
      </c>
      <c r="X2998">
        <v>3.0369999999999999</v>
      </c>
      <c r="Y2998" s="32">
        <v>5.71</v>
      </c>
      <c r="Z2998">
        <v>0</v>
      </c>
      <c r="AA2998" s="32">
        <v>1.7170000000000001</v>
      </c>
      <c r="AB2998">
        <v>0</v>
      </c>
      <c r="AC2998" s="34">
        <v>0.222</v>
      </c>
      <c r="AD2998" s="32">
        <v>5.2140000000000004</v>
      </c>
    </row>
    <row r="2999" spans="1:30">
      <c r="A2999">
        <v>2997</v>
      </c>
      <c r="B2999">
        <v>47</v>
      </c>
      <c r="C2999">
        <v>3.0259999999999998</v>
      </c>
      <c r="D2999">
        <v>5.73</v>
      </c>
      <c r="E2999">
        <v>0</v>
      </c>
      <c r="F2999">
        <v>1.863</v>
      </c>
      <c r="G2999">
        <v>0</v>
      </c>
      <c r="H2999">
        <v>0.20599999999999999</v>
      </c>
      <c r="I2999">
        <v>5.6349999999999998</v>
      </c>
      <c r="K2999">
        <v>2997</v>
      </c>
      <c r="L2999">
        <v>47</v>
      </c>
      <c r="M2999" s="32">
        <v>3.0259999999999998</v>
      </c>
      <c r="N2999" s="47">
        <v>5.71</v>
      </c>
      <c r="P2999" s="32">
        <v>1.863</v>
      </c>
      <c r="R2999" s="32">
        <v>0.20599999999999999</v>
      </c>
      <c r="S2999" s="32">
        <v>5.6349999999999998</v>
      </c>
      <c r="T2999" s="31">
        <v>0</v>
      </c>
      <c r="V2999">
        <v>2997</v>
      </c>
      <c r="W2999">
        <v>43</v>
      </c>
      <c r="X2999">
        <v>3.0379999999999998</v>
      </c>
      <c r="Y2999" s="32">
        <v>5.71</v>
      </c>
      <c r="Z2999">
        <v>0</v>
      </c>
      <c r="AA2999" s="32">
        <v>1.7170000000000001</v>
      </c>
      <c r="AB2999">
        <v>0</v>
      </c>
      <c r="AC2999" s="34">
        <v>0.222</v>
      </c>
      <c r="AD2999" s="32">
        <v>5.2160000000000002</v>
      </c>
    </row>
    <row r="3000" spans="1:30">
      <c r="A3000">
        <v>2998</v>
      </c>
      <c r="B3000">
        <v>47</v>
      </c>
      <c r="C3000">
        <v>3.0270000000000001</v>
      </c>
      <c r="D3000">
        <v>5.73</v>
      </c>
      <c r="E3000">
        <v>0</v>
      </c>
      <c r="F3000">
        <v>1.863</v>
      </c>
      <c r="G3000">
        <v>0</v>
      </c>
      <c r="H3000">
        <v>0.20599999999999999</v>
      </c>
      <c r="I3000">
        <v>5.6369999999999996</v>
      </c>
      <c r="K3000">
        <v>2998</v>
      </c>
      <c r="L3000">
        <v>47</v>
      </c>
      <c r="M3000" s="32">
        <v>3.0270000000000001</v>
      </c>
      <c r="N3000" s="47">
        <v>5.71</v>
      </c>
      <c r="P3000" s="32">
        <v>1.863</v>
      </c>
      <c r="R3000" s="32">
        <v>0.20599999999999999</v>
      </c>
      <c r="S3000" s="47">
        <v>5.6379999999999999</v>
      </c>
      <c r="T3000" s="31">
        <v>0</v>
      </c>
      <c r="V3000">
        <v>2998</v>
      </c>
      <c r="W3000">
        <v>43</v>
      </c>
      <c r="X3000">
        <v>3.0390000000000001</v>
      </c>
      <c r="Y3000" s="32">
        <v>5.71</v>
      </c>
      <c r="Z3000">
        <v>0</v>
      </c>
      <c r="AA3000" s="32">
        <v>1.7170000000000001</v>
      </c>
      <c r="AB3000">
        <v>0</v>
      </c>
      <c r="AC3000" s="34">
        <v>0.222</v>
      </c>
      <c r="AD3000" s="32">
        <v>5.218</v>
      </c>
    </row>
    <row r="3001" spans="1:30">
      <c r="A3001">
        <v>2999</v>
      </c>
      <c r="B3001">
        <v>47</v>
      </c>
      <c r="C3001">
        <v>3.028</v>
      </c>
      <c r="D3001">
        <v>5.73</v>
      </c>
      <c r="E3001">
        <v>0</v>
      </c>
      <c r="F3001">
        <v>1.863</v>
      </c>
      <c r="G3001">
        <v>0</v>
      </c>
      <c r="H3001">
        <v>0.20599999999999999</v>
      </c>
      <c r="I3001">
        <v>5.64</v>
      </c>
      <c r="K3001">
        <v>2999</v>
      </c>
      <c r="L3001">
        <v>47</v>
      </c>
      <c r="M3001" s="32">
        <v>3.028</v>
      </c>
      <c r="N3001" s="47">
        <v>5.71</v>
      </c>
      <c r="P3001" s="32">
        <v>1.863</v>
      </c>
      <c r="R3001" s="32">
        <v>0.20599999999999999</v>
      </c>
      <c r="S3001" s="47">
        <v>5.641</v>
      </c>
      <c r="T3001" s="31">
        <v>0</v>
      </c>
      <c r="V3001">
        <v>2999</v>
      </c>
      <c r="W3001">
        <v>43</v>
      </c>
      <c r="X3001">
        <v>3.04</v>
      </c>
      <c r="Y3001" s="32">
        <v>5.71</v>
      </c>
      <c r="Z3001">
        <v>0</v>
      </c>
      <c r="AA3001" s="32">
        <v>1.7170000000000001</v>
      </c>
      <c r="AB3001">
        <v>0</v>
      </c>
      <c r="AC3001" s="34">
        <v>0.222</v>
      </c>
      <c r="AD3001" s="32">
        <v>5.2210000000000001</v>
      </c>
    </row>
    <row r="3002" spans="1:30">
      <c r="A3002">
        <v>3000</v>
      </c>
      <c r="B3002">
        <v>47</v>
      </c>
      <c r="C3002">
        <v>3.0289999999999999</v>
      </c>
      <c r="D3002">
        <v>5.73</v>
      </c>
      <c r="E3002">
        <v>0</v>
      </c>
      <c r="F3002">
        <v>1.863</v>
      </c>
      <c r="G3002">
        <v>0</v>
      </c>
      <c r="H3002">
        <v>0.20599999999999999</v>
      </c>
      <c r="I3002">
        <v>5.6429999999999998</v>
      </c>
      <c r="K3002">
        <v>3000</v>
      </c>
      <c r="L3002">
        <v>47</v>
      </c>
      <c r="M3002" s="32">
        <v>3.0289999999999999</v>
      </c>
      <c r="N3002" s="47">
        <v>5.71</v>
      </c>
      <c r="P3002" s="47">
        <v>1.8640000000000001</v>
      </c>
      <c r="R3002" s="32">
        <v>0.20599999999999999</v>
      </c>
      <c r="S3002" s="32">
        <v>5.6429999999999998</v>
      </c>
      <c r="T3002" s="31">
        <v>0</v>
      </c>
      <c r="V3002">
        <v>3000</v>
      </c>
      <c r="W3002">
        <v>43</v>
      </c>
      <c r="X3002">
        <v>3.0409999999999999</v>
      </c>
      <c r="Y3002" s="32">
        <v>5.71</v>
      </c>
      <c r="Z3002">
        <v>0</v>
      </c>
      <c r="AA3002" s="32">
        <v>1.718</v>
      </c>
      <c r="AB3002">
        <v>0</v>
      </c>
      <c r="AC3002" s="34">
        <v>0.222</v>
      </c>
      <c r="AD3002" s="32">
        <v>5.2229999999999999</v>
      </c>
    </row>
    <row r="3003" spans="1:30">
      <c r="A3003">
        <v>3001</v>
      </c>
      <c r="B3003">
        <v>47</v>
      </c>
      <c r="C3003">
        <v>3.03</v>
      </c>
      <c r="D3003">
        <v>5.71</v>
      </c>
      <c r="E3003">
        <v>0</v>
      </c>
      <c r="F3003">
        <v>1.8640000000000001</v>
      </c>
      <c r="G3003">
        <v>0</v>
      </c>
      <c r="H3003">
        <v>0.20599999999999999</v>
      </c>
      <c r="I3003">
        <v>5.6459999999999999</v>
      </c>
      <c r="K3003">
        <v>3001</v>
      </c>
      <c r="L3003">
        <v>47</v>
      </c>
      <c r="M3003" s="32">
        <v>3.03</v>
      </c>
      <c r="N3003" s="32">
        <v>5.71</v>
      </c>
      <c r="P3003" s="32">
        <v>1.8640000000000001</v>
      </c>
      <c r="R3003" s="32">
        <v>0.20599999999999999</v>
      </c>
      <c r="S3003" s="32">
        <v>5.6459999999999999</v>
      </c>
      <c r="T3003" s="31">
        <v>0</v>
      </c>
      <c r="V3003">
        <v>3001</v>
      </c>
      <c r="W3003">
        <v>43</v>
      </c>
      <c r="X3003">
        <v>3.0419999999999998</v>
      </c>
      <c r="Y3003" s="32">
        <v>5.71</v>
      </c>
      <c r="Z3003">
        <v>0</v>
      </c>
      <c r="AA3003" s="32">
        <v>1.718</v>
      </c>
      <c r="AB3003">
        <v>0</v>
      </c>
      <c r="AC3003" s="34">
        <v>0.222</v>
      </c>
      <c r="AD3003" s="32">
        <v>5.226</v>
      </c>
    </row>
    <row r="3004" spans="1:30">
      <c r="A3004">
        <v>3002</v>
      </c>
      <c r="B3004">
        <v>47</v>
      </c>
      <c r="C3004">
        <v>3.0310000000000001</v>
      </c>
      <c r="D3004">
        <v>5.71</v>
      </c>
      <c r="E3004">
        <v>0</v>
      </c>
      <c r="F3004">
        <v>1.8640000000000001</v>
      </c>
      <c r="G3004">
        <v>0</v>
      </c>
      <c r="H3004">
        <v>0.20599999999999999</v>
      </c>
      <c r="I3004">
        <v>5.6749999999999998</v>
      </c>
      <c r="K3004">
        <v>3002</v>
      </c>
      <c r="L3004">
        <v>47</v>
      </c>
      <c r="M3004" s="32">
        <v>3.0310000000000001</v>
      </c>
      <c r="N3004" s="32">
        <v>5.71</v>
      </c>
      <c r="P3004" s="32">
        <v>1.8640000000000001</v>
      </c>
      <c r="R3004" s="32">
        <v>0.20599999999999999</v>
      </c>
      <c r="S3004" s="47">
        <v>5.649</v>
      </c>
      <c r="T3004" s="31">
        <v>0</v>
      </c>
      <c r="V3004">
        <v>3002</v>
      </c>
      <c r="W3004">
        <v>44</v>
      </c>
      <c r="X3004">
        <v>3.0430000000000001</v>
      </c>
      <c r="Y3004" s="32">
        <v>5.71</v>
      </c>
      <c r="Z3004">
        <v>0</v>
      </c>
      <c r="AA3004" s="32">
        <v>1.718</v>
      </c>
      <c r="AB3004">
        <v>0</v>
      </c>
      <c r="AC3004" s="34">
        <v>0.222</v>
      </c>
      <c r="AD3004" s="32">
        <v>5.2279999999999998</v>
      </c>
    </row>
    <row r="3005" spans="1:30">
      <c r="A3005">
        <v>3003</v>
      </c>
      <c r="B3005">
        <v>47</v>
      </c>
      <c r="C3005">
        <v>3.032</v>
      </c>
      <c r="D3005">
        <v>5.71</v>
      </c>
      <c r="E3005">
        <v>0</v>
      </c>
      <c r="F3005">
        <v>1.8640000000000001</v>
      </c>
      <c r="G3005">
        <v>0</v>
      </c>
      <c r="H3005">
        <v>0.20599999999999999</v>
      </c>
      <c r="I3005">
        <v>5.6769999999999996</v>
      </c>
      <c r="K3005">
        <v>3003</v>
      </c>
      <c r="L3005">
        <v>47</v>
      </c>
      <c r="M3005" s="32">
        <v>3.032</v>
      </c>
      <c r="N3005" s="32">
        <v>5.71</v>
      </c>
      <c r="P3005" s="32">
        <v>1.8640000000000001</v>
      </c>
      <c r="R3005" s="32">
        <v>0.20599999999999999</v>
      </c>
      <c r="S3005" s="47">
        <v>5.6509999999999998</v>
      </c>
      <c r="T3005" s="31">
        <v>0</v>
      </c>
      <c r="V3005">
        <v>3003</v>
      </c>
      <c r="W3005">
        <v>44</v>
      </c>
      <c r="X3005">
        <v>3.044</v>
      </c>
      <c r="Y3005" s="32">
        <v>5.71</v>
      </c>
      <c r="Z3005">
        <v>0</v>
      </c>
      <c r="AA3005" s="32">
        <v>1.718</v>
      </c>
      <c r="AB3005">
        <v>0</v>
      </c>
      <c r="AC3005" s="34">
        <v>0.222</v>
      </c>
      <c r="AD3005" s="32">
        <v>5.23</v>
      </c>
    </row>
    <row r="3006" spans="1:30">
      <c r="A3006">
        <v>3004</v>
      </c>
      <c r="B3006">
        <v>47</v>
      </c>
      <c r="C3006">
        <v>3.0329999999999999</v>
      </c>
      <c r="D3006">
        <v>5.71</v>
      </c>
      <c r="E3006">
        <v>0</v>
      </c>
      <c r="F3006">
        <v>1.8640000000000001</v>
      </c>
      <c r="G3006">
        <v>0</v>
      </c>
      <c r="H3006">
        <v>0.20599999999999999</v>
      </c>
      <c r="I3006">
        <v>5.68</v>
      </c>
      <c r="K3006">
        <v>3004</v>
      </c>
      <c r="L3006">
        <v>47</v>
      </c>
      <c r="M3006" s="32">
        <v>3.0329999999999999</v>
      </c>
      <c r="N3006" s="32">
        <v>5.71</v>
      </c>
      <c r="P3006" s="47">
        <v>1.865</v>
      </c>
      <c r="R3006" s="32">
        <v>0.20599999999999999</v>
      </c>
      <c r="S3006" s="47">
        <v>5.6539999999999999</v>
      </c>
      <c r="T3006" s="31">
        <v>0</v>
      </c>
      <c r="V3006">
        <v>3004</v>
      </c>
      <c r="W3006">
        <v>44</v>
      </c>
      <c r="X3006">
        <v>3.0449999999999999</v>
      </c>
      <c r="Y3006" s="32">
        <v>5.71</v>
      </c>
      <c r="Z3006">
        <v>0</v>
      </c>
      <c r="AA3006" s="32">
        <v>1.718</v>
      </c>
      <c r="AB3006">
        <v>0</v>
      </c>
      <c r="AC3006" s="34">
        <v>0.222</v>
      </c>
      <c r="AD3006" s="32">
        <v>5.2329999999999997</v>
      </c>
    </row>
    <row r="3007" spans="1:30">
      <c r="A3007">
        <v>3005</v>
      </c>
      <c r="B3007">
        <v>47</v>
      </c>
      <c r="C3007">
        <v>3.0339999999999998</v>
      </c>
      <c r="D3007">
        <v>5.71</v>
      </c>
      <c r="E3007">
        <v>0</v>
      </c>
      <c r="F3007">
        <v>1.8640000000000001</v>
      </c>
      <c r="G3007">
        <v>0</v>
      </c>
      <c r="H3007">
        <v>0.20599999999999999</v>
      </c>
      <c r="I3007">
        <v>5.6829999999999998</v>
      </c>
      <c r="K3007">
        <v>3005</v>
      </c>
      <c r="L3007">
        <v>47</v>
      </c>
      <c r="M3007" s="32">
        <v>3.0339999999999998</v>
      </c>
      <c r="N3007" s="32">
        <v>5.71</v>
      </c>
      <c r="P3007" s="47">
        <v>1.865</v>
      </c>
      <c r="R3007" s="47">
        <v>0.20699999999999999</v>
      </c>
      <c r="S3007" s="47">
        <v>5.657</v>
      </c>
      <c r="T3007" s="31">
        <v>0</v>
      </c>
      <c r="V3007">
        <v>3005</v>
      </c>
      <c r="W3007">
        <v>44</v>
      </c>
      <c r="X3007">
        <v>3.0459999999999998</v>
      </c>
      <c r="Y3007" s="32">
        <v>5.71</v>
      </c>
      <c r="Z3007">
        <v>0</v>
      </c>
      <c r="AA3007" s="32">
        <v>1.7190000000000001</v>
      </c>
      <c r="AB3007">
        <v>0</v>
      </c>
      <c r="AC3007" s="34">
        <v>0.222</v>
      </c>
      <c r="AD3007" s="32">
        <v>5.2350000000000003</v>
      </c>
    </row>
    <row r="3008" spans="1:30">
      <c r="A3008">
        <v>3006</v>
      </c>
      <c r="B3008">
        <v>47</v>
      </c>
      <c r="C3008">
        <v>3.0350000000000001</v>
      </c>
      <c r="D3008">
        <v>5.71</v>
      </c>
      <c r="E3008">
        <v>0</v>
      </c>
      <c r="F3008">
        <v>1.8640000000000001</v>
      </c>
      <c r="G3008">
        <v>0</v>
      </c>
      <c r="H3008">
        <v>0.20599999999999999</v>
      </c>
      <c r="I3008">
        <v>5.6849999999999996</v>
      </c>
      <c r="K3008">
        <v>3006</v>
      </c>
      <c r="L3008">
        <v>47</v>
      </c>
      <c r="M3008" s="32">
        <v>3.0350000000000001</v>
      </c>
      <c r="N3008" s="32">
        <v>5.71</v>
      </c>
      <c r="P3008" s="47">
        <v>1.865</v>
      </c>
      <c r="R3008" s="47">
        <v>0.20699999999999999</v>
      </c>
      <c r="S3008" s="47">
        <v>5.66</v>
      </c>
      <c r="T3008" s="31">
        <v>0</v>
      </c>
      <c r="V3008">
        <v>3006</v>
      </c>
      <c r="W3008">
        <v>44</v>
      </c>
      <c r="X3008">
        <v>3.0470000000000002</v>
      </c>
      <c r="Y3008" s="32">
        <v>5.71</v>
      </c>
      <c r="Z3008">
        <v>0</v>
      </c>
      <c r="AA3008" s="32">
        <v>1.7190000000000001</v>
      </c>
      <c r="AB3008">
        <v>0</v>
      </c>
      <c r="AC3008" s="34">
        <v>0.222</v>
      </c>
      <c r="AD3008" s="32">
        <v>5.2380000000000004</v>
      </c>
    </row>
    <row r="3009" spans="1:30">
      <c r="A3009">
        <v>3007</v>
      </c>
      <c r="B3009">
        <v>47</v>
      </c>
      <c r="C3009">
        <v>3.036</v>
      </c>
      <c r="D3009">
        <v>5.71</v>
      </c>
      <c r="E3009">
        <v>0</v>
      </c>
      <c r="F3009">
        <v>1.8640000000000001</v>
      </c>
      <c r="G3009">
        <v>0</v>
      </c>
      <c r="H3009">
        <v>0.20599999999999999</v>
      </c>
      <c r="I3009">
        <v>5.6879999999999997</v>
      </c>
      <c r="K3009">
        <v>3007</v>
      </c>
      <c r="L3009">
        <v>47</v>
      </c>
      <c r="M3009" s="32">
        <v>3.036</v>
      </c>
      <c r="N3009" s="32">
        <v>5.71</v>
      </c>
      <c r="P3009" s="47">
        <v>1.865</v>
      </c>
      <c r="R3009" s="47">
        <v>0.20699999999999999</v>
      </c>
      <c r="S3009" s="47">
        <v>5.6619999999999999</v>
      </c>
      <c r="T3009" s="31">
        <v>0</v>
      </c>
      <c r="V3009">
        <v>3007</v>
      </c>
      <c r="W3009">
        <v>44</v>
      </c>
      <c r="X3009">
        <v>3.048</v>
      </c>
      <c r="Y3009" s="32">
        <v>5.71</v>
      </c>
      <c r="Z3009">
        <v>0</v>
      </c>
      <c r="AA3009" s="32">
        <v>1.7190000000000001</v>
      </c>
      <c r="AB3009">
        <v>0</v>
      </c>
      <c r="AC3009" s="34">
        <v>0.222</v>
      </c>
      <c r="AD3009" s="32">
        <v>5.24</v>
      </c>
    </row>
    <row r="3010" spans="1:30">
      <c r="A3010">
        <v>3008</v>
      </c>
      <c r="B3010">
        <v>47</v>
      </c>
      <c r="C3010">
        <v>3.0369999999999999</v>
      </c>
      <c r="D3010">
        <v>5.71</v>
      </c>
      <c r="E3010">
        <v>0</v>
      </c>
      <c r="F3010">
        <v>1.8640000000000001</v>
      </c>
      <c r="G3010">
        <v>0</v>
      </c>
      <c r="H3010">
        <v>0.20599999999999999</v>
      </c>
      <c r="I3010">
        <v>5.69</v>
      </c>
      <c r="K3010">
        <v>3008</v>
      </c>
      <c r="L3010">
        <v>47</v>
      </c>
      <c r="M3010" s="32">
        <v>3.0369999999999999</v>
      </c>
      <c r="N3010" s="32">
        <v>5.71</v>
      </c>
      <c r="P3010" s="47">
        <v>1.865</v>
      </c>
      <c r="R3010" s="47">
        <v>0.20699999999999999</v>
      </c>
      <c r="S3010" s="47">
        <v>5.665</v>
      </c>
      <c r="T3010" s="31">
        <v>0</v>
      </c>
      <c r="V3010">
        <v>3008</v>
      </c>
      <c r="W3010">
        <v>44</v>
      </c>
      <c r="X3010">
        <v>3.0489999999999999</v>
      </c>
      <c r="Y3010" s="32">
        <v>5.71</v>
      </c>
      <c r="Z3010">
        <v>0</v>
      </c>
      <c r="AA3010" s="32">
        <v>1.7190000000000001</v>
      </c>
      <c r="AB3010">
        <v>0</v>
      </c>
      <c r="AC3010" s="34">
        <v>0.222</v>
      </c>
      <c r="AD3010" s="32">
        <v>5.2430000000000003</v>
      </c>
    </row>
    <row r="3011" spans="1:30">
      <c r="A3011">
        <v>3009</v>
      </c>
      <c r="B3011">
        <v>47</v>
      </c>
      <c r="C3011">
        <v>3.0379999999999998</v>
      </c>
      <c r="D3011">
        <v>5.71</v>
      </c>
      <c r="E3011">
        <v>0</v>
      </c>
      <c r="F3011">
        <v>1.8640000000000001</v>
      </c>
      <c r="G3011">
        <v>0</v>
      </c>
      <c r="H3011">
        <v>0.20599999999999999</v>
      </c>
      <c r="I3011">
        <v>5.6929999999999996</v>
      </c>
      <c r="K3011">
        <v>3009</v>
      </c>
      <c r="L3011">
        <v>47</v>
      </c>
      <c r="M3011" s="32">
        <v>3.0379999999999998</v>
      </c>
      <c r="N3011" s="32">
        <v>5.71</v>
      </c>
      <c r="P3011" s="47">
        <v>1.8660000000000001</v>
      </c>
      <c r="R3011" s="47">
        <v>0.20699999999999999</v>
      </c>
      <c r="S3011" s="47">
        <v>5.6680000000000001</v>
      </c>
      <c r="T3011" s="31">
        <v>0</v>
      </c>
      <c r="V3011">
        <v>3009</v>
      </c>
      <c r="W3011">
        <v>44</v>
      </c>
      <c r="X3011">
        <v>3.05</v>
      </c>
      <c r="Y3011" s="32">
        <v>5.71</v>
      </c>
      <c r="Z3011">
        <v>0</v>
      </c>
      <c r="AA3011" s="32">
        <v>1.72</v>
      </c>
      <c r="AB3011">
        <v>0</v>
      </c>
      <c r="AC3011" s="34">
        <v>0.222</v>
      </c>
      <c r="AD3011" s="32">
        <v>5.2450000000000001</v>
      </c>
    </row>
    <row r="3012" spans="1:30">
      <c r="A3012">
        <v>3010</v>
      </c>
      <c r="B3012">
        <v>47</v>
      </c>
      <c r="C3012">
        <v>3.0390000000000001</v>
      </c>
      <c r="D3012">
        <v>5.71</v>
      </c>
      <c r="E3012">
        <v>0</v>
      </c>
      <c r="F3012">
        <v>1.8640000000000001</v>
      </c>
      <c r="G3012">
        <v>0</v>
      </c>
      <c r="H3012">
        <v>0.20599999999999999</v>
      </c>
      <c r="I3012">
        <v>5.6959999999999997</v>
      </c>
      <c r="K3012">
        <v>3010</v>
      </c>
      <c r="L3012">
        <v>47</v>
      </c>
      <c r="M3012" s="32">
        <v>3.0390000000000001</v>
      </c>
      <c r="N3012" s="32">
        <v>5.71</v>
      </c>
      <c r="P3012" s="47">
        <v>1.8660000000000001</v>
      </c>
      <c r="R3012" s="47">
        <v>0.20699999999999999</v>
      </c>
      <c r="S3012" s="47">
        <v>5.67</v>
      </c>
      <c r="T3012" s="31">
        <v>0</v>
      </c>
      <c r="V3012">
        <v>3010</v>
      </c>
      <c r="W3012">
        <v>44</v>
      </c>
      <c r="X3012">
        <v>3.0510000000000002</v>
      </c>
      <c r="Y3012" s="32">
        <v>5.71</v>
      </c>
      <c r="Z3012">
        <v>0</v>
      </c>
      <c r="AA3012" s="32">
        <v>1.72</v>
      </c>
      <c r="AB3012">
        <v>0</v>
      </c>
      <c r="AC3012" s="34">
        <v>0.222</v>
      </c>
      <c r="AD3012" s="32">
        <v>5.2469999999999999</v>
      </c>
    </row>
    <row r="3013" spans="1:30">
      <c r="A3013">
        <v>3011</v>
      </c>
      <c r="B3013">
        <v>47</v>
      </c>
      <c r="C3013">
        <v>3.04</v>
      </c>
      <c r="D3013">
        <v>5.71</v>
      </c>
      <c r="E3013">
        <v>0</v>
      </c>
      <c r="F3013">
        <v>1.8660000000000001</v>
      </c>
      <c r="G3013">
        <v>0</v>
      </c>
      <c r="H3013">
        <v>0.20599999999999999</v>
      </c>
      <c r="I3013">
        <v>5.673</v>
      </c>
      <c r="K3013">
        <v>3011</v>
      </c>
      <c r="L3013">
        <v>47</v>
      </c>
      <c r="M3013" s="32">
        <v>3.04</v>
      </c>
      <c r="N3013" s="32">
        <v>5.71</v>
      </c>
      <c r="P3013" s="32">
        <v>1.8660000000000001</v>
      </c>
      <c r="R3013" s="47">
        <v>0.20699999999999999</v>
      </c>
      <c r="S3013" s="32">
        <v>5.673</v>
      </c>
      <c r="T3013" s="31">
        <v>0</v>
      </c>
      <c r="V3013">
        <v>3011</v>
      </c>
      <c r="W3013">
        <v>44</v>
      </c>
      <c r="X3013">
        <v>3.052</v>
      </c>
      <c r="Y3013" s="32">
        <v>5.71</v>
      </c>
      <c r="Z3013">
        <v>0</v>
      </c>
      <c r="AA3013" s="32">
        <v>1.72</v>
      </c>
      <c r="AB3013">
        <v>0</v>
      </c>
      <c r="AC3013" s="34">
        <v>0.222</v>
      </c>
      <c r="AD3013" s="32">
        <v>5.25</v>
      </c>
    </row>
    <row r="3014" spans="1:30">
      <c r="A3014">
        <v>3012</v>
      </c>
      <c r="B3014">
        <v>47</v>
      </c>
      <c r="C3014">
        <v>3.0409999999999999</v>
      </c>
      <c r="D3014">
        <v>5.71</v>
      </c>
      <c r="E3014">
        <v>0</v>
      </c>
      <c r="F3014">
        <v>1.8660000000000001</v>
      </c>
      <c r="G3014">
        <v>0</v>
      </c>
      <c r="H3014">
        <v>0.20599999999999999</v>
      </c>
      <c r="I3014">
        <v>5.7279999999999998</v>
      </c>
      <c r="K3014">
        <v>3012</v>
      </c>
      <c r="L3014">
        <v>47</v>
      </c>
      <c r="M3014" s="32">
        <v>3.0409999999999999</v>
      </c>
      <c r="N3014" s="32">
        <v>5.71</v>
      </c>
      <c r="P3014" s="32">
        <v>1.8660000000000001</v>
      </c>
      <c r="R3014" s="47">
        <v>0.20699999999999999</v>
      </c>
      <c r="S3014" s="47">
        <v>5.6760000000000002</v>
      </c>
      <c r="T3014" s="31">
        <v>0</v>
      </c>
      <c r="V3014">
        <v>3012</v>
      </c>
      <c r="W3014">
        <v>44</v>
      </c>
      <c r="X3014">
        <v>3.0529999999999999</v>
      </c>
      <c r="Y3014" s="32">
        <v>5.71</v>
      </c>
      <c r="Z3014">
        <v>0</v>
      </c>
      <c r="AA3014" s="32">
        <v>1.72</v>
      </c>
      <c r="AB3014">
        <v>0</v>
      </c>
      <c r="AC3014" s="34">
        <v>0.222</v>
      </c>
      <c r="AD3014" s="32">
        <v>5.2519999999999998</v>
      </c>
    </row>
    <row r="3015" spans="1:30">
      <c r="A3015">
        <v>3013</v>
      </c>
      <c r="B3015">
        <v>47</v>
      </c>
      <c r="C3015">
        <v>3.0419999999999998</v>
      </c>
      <c r="D3015">
        <v>5.71</v>
      </c>
      <c r="E3015">
        <v>0</v>
      </c>
      <c r="F3015">
        <v>1.8660000000000001</v>
      </c>
      <c r="G3015">
        <v>0</v>
      </c>
      <c r="H3015">
        <v>0.20599999999999999</v>
      </c>
      <c r="I3015">
        <v>5.73</v>
      </c>
      <c r="K3015">
        <v>3013</v>
      </c>
      <c r="L3015">
        <v>47</v>
      </c>
      <c r="M3015" s="32">
        <v>3.0419999999999998</v>
      </c>
      <c r="N3015" s="32">
        <v>5.71</v>
      </c>
      <c r="P3015" s="47">
        <v>1.867</v>
      </c>
      <c r="R3015" s="47">
        <v>0.20699999999999999</v>
      </c>
      <c r="S3015" s="47">
        <v>5.6779999999999999</v>
      </c>
      <c r="T3015" s="31">
        <v>0</v>
      </c>
      <c r="V3015">
        <v>3013</v>
      </c>
      <c r="W3015">
        <v>44</v>
      </c>
      <c r="X3015">
        <v>3.0539999999999998</v>
      </c>
      <c r="Y3015" s="32">
        <v>5.71</v>
      </c>
      <c r="Z3015">
        <v>0</v>
      </c>
      <c r="AA3015" s="32">
        <v>1.72</v>
      </c>
      <c r="AB3015">
        <v>0</v>
      </c>
      <c r="AC3015" s="34">
        <v>0.222</v>
      </c>
      <c r="AD3015" s="32">
        <v>5.2549999999999999</v>
      </c>
    </row>
    <row r="3016" spans="1:30">
      <c r="A3016">
        <v>3014</v>
      </c>
      <c r="B3016">
        <v>47</v>
      </c>
      <c r="C3016">
        <v>3.0430000000000001</v>
      </c>
      <c r="D3016">
        <v>5.71</v>
      </c>
      <c r="E3016">
        <v>0</v>
      </c>
      <c r="F3016">
        <v>1.8660000000000001</v>
      </c>
      <c r="G3016">
        <v>0</v>
      </c>
      <c r="H3016">
        <v>0.20599999999999999</v>
      </c>
      <c r="I3016">
        <v>5.7329999999999997</v>
      </c>
      <c r="K3016">
        <v>3014</v>
      </c>
      <c r="L3016">
        <v>47</v>
      </c>
      <c r="M3016" s="32">
        <v>3.0430000000000001</v>
      </c>
      <c r="N3016" s="32">
        <v>5.71</v>
      </c>
      <c r="P3016" s="47">
        <v>1.867</v>
      </c>
      <c r="R3016" s="47">
        <v>0.20699999999999999</v>
      </c>
      <c r="S3016" s="47">
        <v>5.681</v>
      </c>
      <c r="T3016" s="31">
        <v>0</v>
      </c>
      <c r="V3016">
        <v>3014</v>
      </c>
      <c r="W3016">
        <v>44</v>
      </c>
      <c r="X3016">
        <v>3.0550000000000002</v>
      </c>
      <c r="Y3016" s="32">
        <v>5.71</v>
      </c>
      <c r="Z3016">
        <v>0</v>
      </c>
      <c r="AA3016" s="32">
        <v>1.7210000000000001</v>
      </c>
      <c r="AB3016">
        <v>0</v>
      </c>
      <c r="AC3016" s="34">
        <v>0.222</v>
      </c>
      <c r="AD3016" s="32">
        <v>5.2569999999999997</v>
      </c>
    </row>
    <row r="3017" spans="1:30">
      <c r="A3017">
        <v>3015</v>
      </c>
      <c r="B3017">
        <v>47</v>
      </c>
      <c r="C3017">
        <v>3.044</v>
      </c>
      <c r="D3017">
        <v>5.71</v>
      </c>
      <c r="E3017">
        <v>0</v>
      </c>
      <c r="F3017">
        <v>1.8660000000000001</v>
      </c>
      <c r="G3017">
        <v>0</v>
      </c>
      <c r="H3017">
        <v>0.20599999999999999</v>
      </c>
      <c r="I3017">
        <v>5.7359999999999998</v>
      </c>
      <c r="K3017">
        <v>3015</v>
      </c>
      <c r="L3017">
        <v>47</v>
      </c>
      <c r="M3017" s="32">
        <v>3.044</v>
      </c>
      <c r="N3017" s="32">
        <v>5.71</v>
      </c>
      <c r="P3017" s="47">
        <v>1.867</v>
      </c>
      <c r="R3017" s="47">
        <v>0.20699999999999999</v>
      </c>
      <c r="S3017" s="47">
        <v>5.6829999999999998</v>
      </c>
      <c r="T3017" s="31">
        <v>0</v>
      </c>
      <c r="V3017">
        <v>3015</v>
      </c>
      <c r="W3017">
        <v>44</v>
      </c>
      <c r="X3017">
        <v>3.056</v>
      </c>
      <c r="Y3017" s="32">
        <v>5.71</v>
      </c>
      <c r="Z3017">
        <v>0</v>
      </c>
      <c r="AA3017" s="32">
        <v>1.7210000000000001</v>
      </c>
      <c r="AB3017">
        <v>0</v>
      </c>
      <c r="AC3017" s="34">
        <v>0.222</v>
      </c>
      <c r="AD3017" s="32">
        <v>5.2590000000000003</v>
      </c>
    </row>
    <row r="3018" spans="1:30">
      <c r="A3018">
        <v>3016</v>
      </c>
      <c r="B3018">
        <v>47</v>
      </c>
      <c r="C3018">
        <v>3.0449999999999999</v>
      </c>
      <c r="D3018">
        <v>5.71</v>
      </c>
      <c r="E3018">
        <v>0</v>
      </c>
      <c r="F3018">
        <v>1.8660000000000001</v>
      </c>
      <c r="G3018">
        <v>0</v>
      </c>
      <c r="H3018">
        <v>0.20599999999999999</v>
      </c>
      <c r="I3018">
        <v>5.7380000000000004</v>
      </c>
      <c r="K3018">
        <v>3016</v>
      </c>
      <c r="L3018">
        <v>47</v>
      </c>
      <c r="M3018" s="32">
        <v>3.0449999999999999</v>
      </c>
      <c r="N3018" s="32">
        <v>5.71</v>
      </c>
      <c r="P3018" s="47">
        <v>1.8680000000000001</v>
      </c>
      <c r="R3018" s="47">
        <v>0.20699999999999999</v>
      </c>
      <c r="S3018" s="47">
        <v>5.6859999999999999</v>
      </c>
      <c r="T3018" s="31">
        <v>0</v>
      </c>
      <c r="V3018">
        <v>3016</v>
      </c>
      <c r="W3018">
        <v>44</v>
      </c>
      <c r="X3018">
        <v>3.0569999999999999</v>
      </c>
      <c r="Y3018" s="32">
        <v>5.71</v>
      </c>
      <c r="Z3018">
        <v>0</v>
      </c>
      <c r="AA3018" s="32">
        <v>1.7210000000000001</v>
      </c>
      <c r="AB3018">
        <v>0</v>
      </c>
      <c r="AC3018" s="34">
        <v>0.222</v>
      </c>
      <c r="AD3018" s="32">
        <v>5.2619999999999996</v>
      </c>
    </row>
    <row r="3019" spans="1:30">
      <c r="A3019">
        <v>3017</v>
      </c>
      <c r="B3019">
        <v>47</v>
      </c>
      <c r="C3019">
        <v>3.0459999999999998</v>
      </c>
      <c r="D3019">
        <v>5.71</v>
      </c>
      <c r="E3019">
        <v>0</v>
      </c>
      <c r="F3019">
        <v>1.8660000000000001</v>
      </c>
      <c r="G3019">
        <v>0</v>
      </c>
      <c r="H3019">
        <v>0.20599999999999999</v>
      </c>
      <c r="I3019">
        <v>5.7409999999999997</v>
      </c>
      <c r="K3019">
        <v>3017</v>
      </c>
      <c r="L3019">
        <v>47</v>
      </c>
      <c r="M3019" s="32">
        <v>3.0459999999999998</v>
      </c>
      <c r="N3019" s="32">
        <v>5.71</v>
      </c>
      <c r="P3019" s="47">
        <v>1.8680000000000001</v>
      </c>
      <c r="R3019" s="47">
        <v>0.20699999999999999</v>
      </c>
      <c r="S3019" s="47">
        <v>5.6890000000000001</v>
      </c>
      <c r="T3019" s="31">
        <v>0</v>
      </c>
      <c r="V3019">
        <v>3017</v>
      </c>
      <c r="W3019">
        <v>44</v>
      </c>
      <c r="X3019">
        <v>3.0579999999999998</v>
      </c>
      <c r="Y3019" s="32">
        <v>5.71</v>
      </c>
      <c r="Z3019">
        <v>0</v>
      </c>
      <c r="AA3019" s="32">
        <v>1.7210000000000001</v>
      </c>
      <c r="AB3019">
        <v>0</v>
      </c>
      <c r="AC3019" s="34">
        <v>0.222</v>
      </c>
      <c r="AD3019" s="32">
        <v>5.2640000000000002</v>
      </c>
    </row>
    <row r="3020" spans="1:30">
      <c r="A3020">
        <v>3018</v>
      </c>
      <c r="B3020">
        <v>47</v>
      </c>
      <c r="C3020">
        <v>3.0470000000000002</v>
      </c>
      <c r="D3020">
        <v>5.71</v>
      </c>
      <c r="E3020">
        <v>0</v>
      </c>
      <c r="F3020">
        <v>1.8660000000000001</v>
      </c>
      <c r="G3020">
        <v>0</v>
      </c>
      <c r="H3020">
        <v>0.20599999999999999</v>
      </c>
      <c r="I3020">
        <v>5.7439999999999998</v>
      </c>
      <c r="K3020">
        <v>3018</v>
      </c>
      <c r="L3020">
        <v>47</v>
      </c>
      <c r="M3020" s="32">
        <v>3.0470000000000002</v>
      </c>
      <c r="N3020" s="32">
        <v>5.71</v>
      </c>
      <c r="P3020" s="47">
        <v>1.8680000000000001</v>
      </c>
      <c r="R3020" s="47">
        <v>0.20699999999999999</v>
      </c>
      <c r="S3020" s="47">
        <v>5.6909999999999998</v>
      </c>
      <c r="T3020" s="31">
        <v>0</v>
      </c>
      <c r="V3020">
        <v>3018</v>
      </c>
      <c r="W3020">
        <v>44</v>
      </c>
      <c r="X3020">
        <v>3.0590000000000002</v>
      </c>
      <c r="Y3020" s="32">
        <v>5.71</v>
      </c>
      <c r="Z3020">
        <v>0</v>
      </c>
      <c r="AA3020" s="32">
        <v>1.722</v>
      </c>
      <c r="AB3020">
        <v>0</v>
      </c>
      <c r="AC3020" s="34">
        <v>0.223</v>
      </c>
      <c r="AD3020" s="32">
        <v>5.2670000000000003</v>
      </c>
    </row>
    <row r="3021" spans="1:30">
      <c r="A3021">
        <v>3019</v>
      </c>
      <c r="B3021">
        <v>47</v>
      </c>
      <c r="C3021">
        <v>3.048</v>
      </c>
      <c r="D3021">
        <v>5.71</v>
      </c>
      <c r="E3021">
        <v>0</v>
      </c>
      <c r="F3021">
        <v>1.8660000000000001</v>
      </c>
      <c r="G3021">
        <v>0</v>
      </c>
      <c r="H3021">
        <v>0.20599999999999999</v>
      </c>
      <c r="I3021">
        <v>5.7460000000000004</v>
      </c>
      <c r="K3021">
        <v>3019</v>
      </c>
      <c r="L3021">
        <v>47</v>
      </c>
      <c r="M3021" s="32">
        <v>3.048</v>
      </c>
      <c r="N3021" s="32">
        <v>5.71</v>
      </c>
      <c r="P3021" s="47">
        <v>1.8680000000000001</v>
      </c>
      <c r="R3021" s="47">
        <v>0.20699999999999999</v>
      </c>
      <c r="S3021" s="47">
        <v>5.694</v>
      </c>
      <c r="T3021" s="31">
        <v>0</v>
      </c>
      <c r="V3021">
        <v>3019</v>
      </c>
      <c r="W3021">
        <v>44</v>
      </c>
      <c r="X3021">
        <v>3.06</v>
      </c>
      <c r="Y3021" s="32">
        <v>5.71</v>
      </c>
      <c r="Z3021">
        <v>0</v>
      </c>
      <c r="AA3021" s="32">
        <v>1.722</v>
      </c>
      <c r="AB3021">
        <v>0</v>
      </c>
      <c r="AC3021" s="34">
        <v>0.223</v>
      </c>
      <c r="AD3021" s="32">
        <v>5.2690000000000001</v>
      </c>
    </row>
    <row r="3022" spans="1:30">
      <c r="A3022">
        <v>3020</v>
      </c>
      <c r="B3022">
        <v>47</v>
      </c>
      <c r="C3022">
        <v>3.0489999999999999</v>
      </c>
      <c r="D3022">
        <v>5.71</v>
      </c>
      <c r="E3022">
        <v>0</v>
      </c>
      <c r="F3022">
        <v>1.8660000000000001</v>
      </c>
      <c r="G3022">
        <v>0</v>
      </c>
      <c r="H3022">
        <v>0.20599999999999999</v>
      </c>
      <c r="I3022">
        <v>5.7489999999999997</v>
      </c>
      <c r="K3022">
        <v>3020</v>
      </c>
      <c r="L3022">
        <v>47</v>
      </c>
      <c r="M3022" s="32">
        <v>3.0489999999999999</v>
      </c>
      <c r="N3022" s="32">
        <v>5.71</v>
      </c>
      <c r="P3022" s="47">
        <v>1.869</v>
      </c>
      <c r="R3022" s="47">
        <v>0.20699999999999999</v>
      </c>
      <c r="S3022" s="47">
        <v>5.6959999999999997</v>
      </c>
      <c r="T3022" s="31">
        <v>0</v>
      </c>
      <c r="V3022">
        <v>3020</v>
      </c>
      <c r="W3022">
        <v>44</v>
      </c>
      <c r="X3022">
        <v>3.0609999999999999</v>
      </c>
      <c r="Y3022" s="32">
        <v>5.71</v>
      </c>
      <c r="Z3022">
        <v>0</v>
      </c>
      <c r="AA3022" s="32">
        <v>1.722</v>
      </c>
      <c r="AB3022">
        <v>0</v>
      </c>
      <c r="AC3022" s="34">
        <v>0.223</v>
      </c>
      <c r="AD3022" s="32">
        <v>5.2720000000000002</v>
      </c>
    </row>
    <row r="3023" spans="1:30">
      <c r="A3023">
        <v>3021</v>
      </c>
      <c r="B3023">
        <v>47</v>
      </c>
      <c r="C3023">
        <v>3.05</v>
      </c>
      <c r="D3023">
        <v>5.71</v>
      </c>
      <c r="E3023">
        <v>0</v>
      </c>
      <c r="F3023">
        <v>1.869</v>
      </c>
      <c r="G3023">
        <v>0</v>
      </c>
      <c r="H3023">
        <v>0.20599999999999999</v>
      </c>
      <c r="I3023">
        <v>5.6989999999999998</v>
      </c>
      <c r="K3023">
        <v>3021</v>
      </c>
      <c r="L3023">
        <v>47</v>
      </c>
      <c r="M3023" s="32">
        <v>3.05</v>
      </c>
      <c r="N3023" s="32">
        <v>5.71</v>
      </c>
      <c r="P3023" s="32">
        <v>1.869</v>
      </c>
      <c r="R3023" s="47">
        <v>0.20699999999999999</v>
      </c>
      <c r="S3023" s="32">
        <v>5.6989999999999998</v>
      </c>
      <c r="T3023" s="31">
        <v>0</v>
      </c>
      <c r="V3023">
        <v>3021</v>
      </c>
      <c r="W3023">
        <v>44</v>
      </c>
      <c r="X3023">
        <v>3.0619999999999998</v>
      </c>
      <c r="Y3023" s="32">
        <v>5.71</v>
      </c>
      <c r="Z3023">
        <v>0</v>
      </c>
      <c r="AA3023" s="32">
        <v>1.722</v>
      </c>
      <c r="AB3023">
        <v>0</v>
      </c>
      <c r="AC3023" s="34">
        <v>0.223</v>
      </c>
      <c r="AD3023" s="32">
        <v>5.274</v>
      </c>
    </row>
    <row r="3024" spans="1:30">
      <c r="A3024">
        <v>3022</v>
      </c>
      <c r="B3024">
        <v>47</v>
      </c>
      <c r="C3024">
        <v>3.0510000000000002</v>
      </c>
      <c r="D3024">
        <v>5.71</v>
      </c>
      <c r="E3024">
        <v>0</v>
      </c>
      <c r="F3024">
        <v>1.869</v>
      </c>
      <c r="G3024">
        <v>0</v>
      </c>
      <c r="H3024">
        <v>0.20599999999999999</v>
      </c>
      <c r="I3024">
        <v>5.78</v>
      </c>
      <c r="K3024">
        <v>3022</v>
      </c>
      <c r="L3024">
        <v>47</v>
      </c>
      <c r="M3024" s="32">
        <v>3.0510000000000002</v>
      </c>
      <c r="N3024" s="32">
        <v>5.71</v>
      </c>
      <c r="P3024" s="32">
        <v>1.869</v>
      </c>
      <c r="R3024" s="47">
        <v>0.20699999999999999</v>
      </c>
      <c r="S3024" s="47">
        <v>5.702</v>
      </c>
      <c r="T3024" s="31">
        <v>0</v>
      </c>
      <c r="V3024">
        <v>3022</v>
      </c>
      <c r="W3024">
        <v>44</v>
      </c>
      <c r="X3024">
        <v>3.0630000000000002</v>
      </c>
      <c r="Y3024" s="32">
        <v>5.71</v>
      </c>
      <c r="Z3024">
        <v>0</v>
      </c>
      <c r="AA3024" s="32">
        <v>1.7230000000000001</v>
      </c>
      <c r="AB3024">
        <v>0</v>
      </c>
      <c r="AC3024" s="34">
        <v>0.223</v>
      </c>
      <c r="AD3024" s="32">
        <v>5.2759999999999998</v>
      </c>
    </row>
    <row r="3025" spans="1:30">
      <c r="A3025">
        <v>3023</v>
      </c>
      <c r="B3025">
        <v>47</v>
      </c>
      <c r="C3025">
        <v>3.052</v>
      </c>
      <c r="D3025">
        <v>5.71</v>
      </c>
      <c r="E3025">
        <v>0</v>
      </c>
      <c r="F3025">
        <v>1.869</v>
      </c>
      <c r="G3025">
        <v>0</v>
      </c>
      <c r="H3025">
        <v>0.20599999999999999</v>
      </c>
      <c r="I3025">
        <v>5.7830000000000004</v>
      </c>
      <c r="K3025">
        <v>3023</v>
      </c>
      <c r="L3025">
        <v>47</v>
      </c>
      <c r="M3025" s="32">
        <v>3.052</v>
      </c>
      <c r="N3025" s="32">
        <v>5.71</v>
      </c>
      <c r="P3025" s="32">
        <v>1.869</v>
      </c>
      <c r="R3025" s="47">
        <v>0.20699999999999999</v>
      </c>
      <c r="S3025" s="47">
        <v>5.7039999999999997</v>
      </c>
      <c r="T3025" s="31">
        <v>0</v>
      </c>
      <c r="V3025">
        <v>3023</v>
      </c>
      <c r="W3025">
        <v>44</v>
      </c>
      <c r="X3025">
        <v>3.0640000000000001</v>
      </c>
      <c r="Y3025" s="32">
        <v>5.71</v>
      </c>
      <c r="Z3025">
        <v>0</v>
      </c>
      <c r="AA3025" s="32">
        <v>1.7230000000000001</v>
      </c>
      <c r="AB3025">
        <v>0</v>
      </c>
      <c r="AC3025" s="34">
        <v>0.223</v>
      </c>
      <c r="AD3025" s="32">
        <v>5.2789999999999999</v>
      </c>
    </row>
    <row r="3026" spans="1:30">
      <c r="A3026">
        <v>3024</v>
      </c>
      <c r="B3026">
        <v>47</v>
      </c>
      <c r="C3026">
        <v>3.0529999999999999</v>
      </c>
      <c r="D3026">
        <v>5.71</v>
      </c>
      <c r="E3026">
        <v>0</v>
      </c>
      <c r="F3026">
        <v>1.869</v>
      </c>
      <c r="G3026">
        <v>0</v>
      </c>
      <c r="H3026">
        <v>0.20599999999999999</v>
      </c>
      <c r="I3026">
        <v>5.7850000000000001</v>
      </c>
      <c r="K3026">
        <v>3024</v>
      </c>
      <c r="L3026">
        <v>47</v>
      </c>
      <c r="M3026" s="32">
        <v>3.0529999999999999</v>
      </c>
      <c r="N3026" s="32">
        <v>5.71</v>
      </c>
      <c r="P3026" s="47">
        <v>1.87</v>
      </c>
      <c r="R3026" s="47">
        <v>0.20699999999999999</v>
      </c>
      <c r="S3026" s="47">
        <v>5.7069999999999999</v>
      </c>
      <c r="T3026" s="31">
        <v>0</v>
      </c>
      <c r="V3026">
        <v>3024</v>
      </c>
      <c r="W3026">
        <v>44</v>
      </c>
      <c r="X3026">
        <v>3.0649999999999999</v>
      </c>
      <c r="Y3026" s="32">
        <v>5.71</v>
      </c>
      <c r="Z3026">
        <v>0</v>
      </c>
      <c r="AA3026" s="32">
        <v>1.7230000000000001</v>
      </c>
      <c r="AB3026">
        <v>0</v>
      </c>
      <c r="AC3026" s="34">
        <v>0.223</v>
      </c>
      <c r="AD3026" s="32">
        <v>5.2809999999999997</v>
      </c>
    </row>
    <row r="3027" spans="1:30">
      <c r="A3027">
        <v>3025</v>
      </c>
      <c r="B3027">
        <v>47</v>
      </c>
      <c r="C3027">
        <v>3.0539999999999998</v>
      </c>
      <c r="D3027">
        <v>5.71</v>
      </c>
      <c r="E3027">
        <v>0</v>
      </c>
      <c r="F3027">
        <v>1.869</v>
      </c>
      <c r="G3027">
        <v>0</v>
      </c>
      <c r="H3027">
        <v>0.20599999999999999</v>
      </c>
      <c r="I3027">
        <v>5.7880000000000003</v>
      </c>
      <c r="K3027">
        <v>3025</v>
      </c>
      <c r="L3027">
        <v>47</v>
      </c>
      <c r="M3027" s="32">
        <v>3.0539999999999998</v>
      </c>
      <c r="N3027" s="32">
        <v>5.71</v>
      </c>
      <c r="P3027" s="47">
        <v>1.87</v>
      </c>
      <c r="R3027" s="47">
        <v>0.20699999999999999</v>
      </c>
      <c r="S3027" s="47">
        <v>5.7089999999999996</v>
      </c>
      <c r="T3027" s="31">
        <v>0</v>
      </c>
      <c r="V3027">
        <v>3025</v>
      </c>
      <c r="W3027">
        <v>44</v>
      </c>
      <c r="X3027">
        <v>3.0659999999999998</v>
      </c>
      <c r="Y3027" s="32">
        <v>5.71</v>
      </c>
      <c r="Z3027">
        <v>0</v>
      </c>
      <c r="AA3027" s="32">
        <v>1.7230000000000001</v>
      </c>
      <c r="AB3027">
        <v>0</v>
      </c>
      <c r="AC3027" s="34">
        <v>0.223</v>
      </c>
      <c r="AD3027" s="32">
        <v>5.2839999999999998</v>
      </c>
    </row>
    <row r="3028" spans="1:30">
      <c r="A3028">
        <v>3026</v>
      </c>
      <c r="B3028">
        <v>47</v>
      </c>
      <c r="C3028">
        <v>3.0550000000000002</v>
      </c>
      <c r="D3028">
        <v>5.71</v>
      </c>
      <c r="E3028">
        <v>0</v>
      </c>
      <c r="F3028">
        <v>1.869</v>
      </c>
      <c r="G3028">
        <v>0</v>
      </c>
      <c r="H3028">
        <v>0.20599999999999999</v>
      </c>
      <c r="I3028">
        <v>5.79</v>
      </c>
      <c r="K3028">
        <v>3026</v>
      </c>
      <c r="L3028">
        <v>47</v>
      </c>
      <c r="M3028" s="32">
        <v>3.0550000000000002</v>
      </c>
      <c r="N3028" s="32">
        <v>5.71</v>
      </c>
      <c r="P3028" s="47">
        <v>1.87</v>
      </c>
      <c r="R3028" s="47">
        <v>0.20699999999999999</v>
      </c>
      <c r="S3028" s="47">
        <v>5.7119999999999997</v>
      </c>
      <c r="T3028" s="31">
        <v>0</v>
      </c>
      <c r="V3028">
        <v>3026</v>
      </c>
      <c r="W3028">
        <v>44</v>
      </c>
      <c r="X3028">
        <v>3.0670000000000002</v>
      </c>
      <c r="Y3028" s="32">
        <v>5.71</v>
      </c>
      <c r="Z3028">
        <v>0</v>
      </c>
      <c r="AA3028" s="32">
        <v>1.7230000000000001</v>
      </c>
      <c r="AB3028">
        <v>0</v>
      </c>
      <c r="AC3028" s="34">
        <v>0.223</v>
      </c>
      <c r="AD3028" s="32">
        <v>5.2859999999999996</v>
      </c>
    </row>
    <row r="3029" spans="1:30">
      <c r="A3029">
        <v>3027</v>
      </c>
      <c r="B3029">
        <v>47</v>
      </c>
      <c r="C3029">
        <v>3.056</v>
      </c>
      <c r="D3029">
        <v>5.71</v>
      </c>
      <c r="E3029">
        <v>0</v>
      </c>
      <c r="F3029">
        <v>1.869</v>
      </c>
      <c r="G3029">
        <v>0</v>
      </c>
      <c r="H3029">
        <v>0.20599999999999999</v>
      </c>
      <c r="I3029">
        <v>5.7930000000000001</v>
      </c>
      <c r="K3029">
        <v>3027</v>
      </c>
      <c r="L3029">
        <v>47</v>
      </c>
      <c r="M3029" s="32">
        <v>3.056</v>
      </c>
      <c r="N3029" s="32">
        <v>5.71</v>
      </c>
      <c r="P3029" s="47">
        <v>1.87</v>
      </c>
      <c r="R3029" s="47">
        <v>0.20699999999999999</v>
      </c>
      <c r="S3029" s="47">
        <v>5.7149999999999999</v>
      </c>
      <c r="T3029" s="31">
        <v>0</v>
      </c>
      <c r="V3029">
        <v>3027</v>
      </c>
      <c r="W3029">
        <v>44</v>
      </c>
      <c r="X3029">
        <v>3.0680000000000001</v>
      </c>
      <c r="Y3029" s="32">
        <v>5.71</v>
      </c>
      <c r="Z3029">
        <v>0</v>
      </c>
      <c r="AA3029" s="32">
        <v>1.724</v>
      </c>
      <c r="AB3029">
        <v>0</v>
      </c>
      <c r="AC3029" s="34">
        <v>0.223</v>
      </c>
      <c r="AD3029" s="32">
        <v>5.2880000000000003</v>
      </c>
    </row>
    <row r="3030" spans="1:30">
      <c r="A3030">
        <v>3028</v>
      </c>
      <c r="B3030">
        <v>47</v>
      </c>
      <c r="C3030">
        <v>3.0569999999999999</v>
      </c>
      <c r="D3030">
        <v>5.71</v>
      </c>
      <c r="E3030">
        <v>0</v>
      </c>
      <c r="F3030">
        <v>1.869</v>
      </c>
      <c r="G3030">
        <v>0</v>
      </c>
      <c r="H3030">
        <v>0.20599999999999999</v>
      </c>
      <c r="I3030">
        <v>5.7960000000000003</v>
      </c>
      <c r="K3030">
        <v>3028</v>
      </c>
      <c r="L3030">
        <v>47</v>
      </c>
      <c r="M3030" s="32">
        <v>3.0569999999999999</v>
      </c>
      <c r="N3030" s="32">
        <v>5.71</v>
      </c>
      <c r="P3030" s="47">
        <v>1.87</v>
      </c>
      <c r="R3030" s="47">
        <v>0.20699999999999999</v>
      </c>
      <c r="S3030" s="47">
        <v>5.7169999999999996</v>
      </c>
      <c r="T3030" s="31">
        <v>0</v>
      </c>
      <c r="V3030">
        <v>3028</v>
      </c>
      <c r="W3030">
        <v>44</v>
      </c>
      <c r="X3030">
        <v>3.069</v>
      </c>
      <c r="Y3030" s="32">
        <v>5.71</v>
      </c>
      <c r="Z3030">
        <v>0</v>
      </c>
      <c r="AA3030" s="32">
        <v>1.724</v>
      </c>
      <c r="AB3030">
        <v>0</v>
      </c>
      <c r="AC3030" s="34">
        <v>0.223</v>
      </c>
      <c r="AD3030" s="32">
        <v>5.2910000000000004</v>
      </c>
    </row>
    <row r="3031" spans="1:30">
      <c r="A3031">
        <v>3029</v>
      </c>
      <c r="B3031">
        <v>47</v>
      </c>
      <c r="C3031">
        <v>3.0579999999999998</v>
      </c>
      <c r="D3031">
        <v>5.71</v>
      </c>
      <c r="E3031">
        <v>0</v>
      </c>
      <c r="F3031">
        <v>1.869</v>
      </c>
      <c r="G3031">
        <v>0</v>
      </c>
      <c r="H3031">
        <v>0.20599999999999999</v>
      </c>
      <c r="I3031">
        <v>5.798</v>
      </c>
      <c r="K3031">
        <v>3029</v>
      </c>
      <c r="L3031">
        <v>47</v>
      </c>
      <c r="M3031" s="32">
        <v>3.0579999999999998</v>
      </c>
      <c r="N3031" s="32">
        <v>5.71</v>
      </c>
      <c r="P3031" s="47">
        <v>1.871</v>
      </c>
      <c r="R3031" s="47">
        <v>0.20699999999999999</v>
      </c>
      <c r="S3031" s="47">
        <v>5.72</v>
      </c>
      <c r="T3031" s="31">
        <v>0</v>
      </c>
      <c r="V3031">
        <v>3029</v>
      </c>
      <c r="W3031">
        <v>44</v>
      </c>
      <c r="X3031">
        <v>3.07</v>
      </c>
      <c r="Y3031" s="32">
        <v>5.71</v>
      </c>
      <c r="Z3031">
        <v>0</v>
      </c>
      <c r="AA3031" s="32">
        <v>1.724</v>
      </c>
      <c r="AB3031">
        <v>0</v>
      </c>
      <c r="AC3031" s="34">
        <v>0.223</v>
      </c>
      <c r="AD3031" s="32">
        <v>5.2930000000000001</v>
      </c>
    </row>
    <row r="3032" spans="1:30">
      <c r="A3032">
        <v>3030</v>
      </c>
      <c r="B3032">
        <v>47</v>
      </c>
      <c r="C3032">
        <v>3.0590000000000002</v>
      </c>
      <c r="D3032">
        <v>5.71</v>
      </c>
      <c r="E3032">
        <v>0</v>
      </c>
      <c r="F3032">
        <v>1.869</v>
      </c>
      <c r="G3032">
        <v>0</v>
      </c>
      <c r="H3032">
        <v>0.20599999999999999</v>
      </c>
      <c r="I3032">
        <v>5.8010000000000002</v>
      </c>
      <c r="K3032">
        <v>3030</v>
      </c>
      <c r="L3032">
        <v>47</v>
      </c>
      <c r="M3032" s="32">
        <v>3.0590000000000002</v>
      </c>
      <c r="N3032" s="32">
        <v>5.71</v>
      </c>
      <c r="P3032" s="47">
        <v>1.871</v>
      </c>
      <c r="R3032" s="47">
        <v>0.20699999999999999</v>
      </c>
      <c r="S3032" s="47">
        <v>5.7220000000000004</v>
      </c>
      <c r="T3032" s="31">
        <v>0</v>
      </c>
      <c r="V3032">
        <v>3030</v>
      </c>
      <c r="W3032">
        <v>44</v>
      </c>
      <c r="X3032">
        <v>3.0710000000000002</v>
      </c>
      <c r="Y3032" s="32">
        <v>5.71</v>
      </c>
      <c r="Z3032">
        <v>0</v>
      </c>
      <c r="AA3032" s="32">
        <v>1.724</v>
      </c>
      <c r="AB3032">
        <v>0</v>
      </c>
      <c r="AC3032" s="34">
        <v>0.223</v>
      </c>
      <c r="AD3032" s="32">
        <v>5.2960000000000003</v>
      </c>
    </row>
    <row r="3033" spans="1:30">
      <c r="A3033">
        <v>3031</v>
      </c>
      <c r="B3033">
        <v>47</v>
      </c>
      <c r="C3033">
        <v>3.06</v>
      </c>
      <c r="D3033">
        <v>5.71</v>
      </c>
      <c r="E3033">
        <v>0</v>
      </c>
      <c r="F3033">
        <v>1.871</v>
      </c>
      <c r="G3033">
        <v>0</v>
      </c>
      <c r="H3033">
        <v>0.20599999999999999</v>
      </c>
      <c r="I3033">
        <v>5.7249999999999996</v>
      </c>
      <c r="K3033">
        <v>3031</v>
      </c>
      <c r="L3033">
        <v>47</v>
      </c>
      <c r="M3033" s="32">
        <v>3.06</v>
      </c>
      <c r="N3033" s="32">
        <v>5.71</v>
      </c>
      <c r="P3033" s="32">
        <v>1.871</v>
      </c>
      <c r="R3033" s="47">
        <v>0.20799999999999999</v>
      </c>
      <c r="S3033" s="32">
        <v>5.7249999999999996</v>
      </c>
      <c r="T3033" s="31">
        <v>0</v>
      </c>
      <c r="V3033">
        <v>3031</v>
      </c>
      <c r="W3033">
        <v>44</v>
      </c>
      <c r="X3033">
        <v>3.0720000000000001</v>
      </c>
      <c r="Y3033" s="32">
        <v>5.71</v>
      </c>
      <c r="Z3033">
        <v>0</v>
      </c>
      <c r="AA3033" s="32">
        <v>1.7250000000000001</v>
      </c>
      <c r="AB3033">
        <v>0</v>
      </c>
      <c r="AC3033" s="34">
        <v>0.223</v>
      </c>
      <c r="AD3033" s="32">
        <v>5.298</v>
      </c>
    </row>
    <row r="3034" spans="1:30">
      <c r="A3034">
        <v>3032</v>
      </c>
      <c r="B3034">
        <v>47</v>
      </c>
      <c r="C3034">
        <v>3.0609999999999999</v>
      </c>
      <c r="D3034">
        <v>5.71</v>
      </c>
      <c r="E3034">
        <v>0</v>
      </c>
      <c r="F3034">
        <v>1.871</v>
      </c>
      <c r="G3034">
        <v>0</v>
      </c>
      <c r="H3034">
        <v>0.20599999999999999</v>
      </c>
      <c r="I3034">
        <v>5.8319999999999999</v>
      </c>
      <c r="K3034">
        <v>3032</v>
      </c>
      <c r="L3034">
        <v>47</v>
      </c>
      <c r="M3034" s="32">
        <v>3.0609999999999999</v>
      </c>
      <c r="N3034" s="32">
        <v>5.71</v>
      </c>
      <c r="P3034" s="32">
        <v>1.871</v>
      </c>
      <c r="R3034" s="47">
        <v>0.20799999999999999</v>
      </c>
      <c r="S3034" s="47">
        <v>5.7279999999999998</v>
      </c>
      <c r="T3034" s="31">
        <v>0</v>
      </c>
      <c r="V3034">
        <v>3032</v>
      </c>
      <c r="W3034">
        <v>44</v>
      </c>
      <c r="X3034">
        <v>3.073</v>
      </c>
      <c r="Y3034" s="32">
        <v>5.71</v>
      </c>
      <c r="Z3034">
        <v>0</v>
      </c>
      <c r="AA3034" s="32">
        <v>1.7250000000000001</v>
      </c>
      <c r="AB3034">
        <v>0</v>
      </c>
      <c r="AC3034" s="34">
        <v>0.223</v>
      </c>
      <c r="AD3034" s="32">
        <v>5.3010000000000002</v>
      </c>
    </row>
    <row r="3035" spans="1:30">
      <c r="A3035">
        <v>3033</v>
      </c>
      <c r="B3035">
        <v>47</v>
      </c>
      <c r="C3035">
        <v>3.0619999999999998</v>
      </c>
      <c r="D3035">
        <v>5.71</v>
      </c>
      <c r="E3035">
        <v>0</v>
      </c>
      <c r="F3035">
        <v>1.871</v>
      </c>
      <c r="G3035">
        <v>0</v>
      </c>
      <c r="H3035">
        <v>0.20599999999999999</v>
      </c>
      <c r="I3035">
        <v>5.835</v>
      </c>
      <c r="K3035">
        <v>3033</v>
      </c>
      <c r="L3035">
        <v>47</v>
      </c>
      <c r="M3035" s="32">
        <v>3.0619999999999998</v>
      </c>
      <c r="N3035" s="32">
        <v>5.71</v>
      </c>
      <c r="P3035" s="47">
        <v>1.8720000000000001</v>
      </c>
      <c r="R3035" s="47">
        <v>0.20799999999999999</v>
      </c>
      <c r="S3035" s="47">
        <v>5.73</v>
      </c>
      <c r="T3035" s="31">
        <v>0</v>
      </c>
      <c r="V3035">
        <v>3033</v>
      </c>
      <c r="W3035">
        <v>44</v>
      </c>
      <c r="X3035">
        <v>3.0739999999999998</v>
      </c>
      <c r="Y3035" s="32">
        <v>5.71</v>
      </c>
      <c r="Z3035">
        <v>0</v>
      </c>
      <c r="AA3035" s="32">
        <v>1.7250000000000001</v>
      </c>
      <c r="AB3035">
        <v>0</v>
      </c>
      <c r="AC3035" s="34">
        <v>0.223</v>
      </c>
      <c r="AD3035" s="32">
        <v>5.3029999999999999</v>
      </c>
    </row>
    <row r="3036" spans="1:30">
      <c r="A3036">
        <v>3034</v>
      </c>
      <c r="B3036">
        <v>47</v>
      </c>
      <c r="C3036">
        <v>3.0630000000000002</v>
      </c>
      <c r="D3036">
        <v>5.71</v>
      </c>
      <c r="E3036">
        <v>0</v>
      </c>
      <c r="F3036">
        <v>1.871</v>
      </c>
      <c r="G3036">
        <v>0</v>
      </c>
      <c r="H3036">
        <v>0.20599999999999999</v>
      </c>
      <c r="I3036">
        <v>5.8369999999999997</v>
      </c>
      <c r="K3036">
        <v>3034</v>
      </c>
      <c r="L3036">
        <v>47</v>
      </c>
      <c r="M3036" s="32">
        <v>3.0630000000000002</v>
      </c>
      <c r="N3036" s="32">
        <v>5.71</v>
      </c>
      <c r="P3036" s="47">
        <v>1.8720000000000001</v>
      </c>
      <c r="R3036" s="47">
        <v>0.20799999999999999</v>
      </c>
      <c r="S3036" s="47">
        <v>5.7329999999999997</v>
      </c>
      <c r="T3036" s="31">
        <v>0</v>
      </c>
      <c r="V3036">
        <v>3034</v>
      </c>
      <c r="W3036">
        <v>44</v>
      </c>
      <c r="X3036">
        <v>3.0750000000000002</v>
      </c>
      <c r="Y3036" s="32">
        <v>5.71</v>
      </c>
      <c r="Z3036">
        <v>0</v>
      </c>
      <c r="AA3036" s="32">
        <v>1.7250000000000001</v>
      </c>
      <c r="AB3036">
        <v>0</v>
      </c>
      <c r="AC3036" s="34">
        <v>0.223</v>
      </c>
      <c r="AD3036" s="32">
        <v>5.3049999999999997</v>
      </c>
    </row>
    <row r="3037" spans="1:30">
      <c r="A3037">
        <v>3035</v>
      </c>
      <c r="B3037">
        <v>47</v>
      </c>
      <c r="C3037">
        <v>3.0640000000000001</v>
      </c>
      <c r="D3037">
        <v>5.71</v>
      </c>
      <c r="E3037">
        <v>0</v>
      </c>
      <c r="F3037">
        <v>1.871</v>
      </c>
      <c r="G3037">
        <v>0</v>
      </c>
      <c r="H3037">
        <v>0.20599999999999999</v>
      </c>
      <c r="I3037">
        <v>5.84</v>
      </c>
      <c r="K3037">
        <v>3035</v>
      </c>
      <c r="L3037">
        <v>47</v>
      </c>
      <c r="M3037" s="32">
        <v>3.0640000000000001</v>
      </c>
      <c r="N3037" s="32">
        <v>5.71</v>
      </c>
      <c r="P3037" s="47">
        <v>1.8720000000000001</v>
      </c>
      <c r="R3037" s="47">
        <v>0.20799999999999999</v>
      </c>
      <c r="S3037" s="47">
        <v>5.7359999999999998</v>
      </c>
      <c r="T3037" s="31">
        <v>0</v>
      </c>
      <c r="V3037">
        <v>3035</v>
      </c>
      <c r="W3037">
        <v>44</v>
      </c>
      <c r="X3037">
        <v>3.0760000000000001</v>
      </c>
      <c r="Y3037" s="32">
        <v>5.71</v>
      </c>
      <c r="Z3037">
        <v>0</v>
      </c>
      <c r="AA3037" s="32">
        <v>1.7250000000000001</v>
      </c>
      <c r="AB3037">
        <v>0</v>
      </c>
      <c r="AC3037" s="34">
        <v>0.223</v>
      </c>
      <c r="AD3037" s="32">
        <v>5.3079999999999998</v>
      </c>
    </row>
    <row r="3038" spans="1:30">
      <c r="A3038">
        <v>3036</v>
      </c>
      <c r="B3038">
        <v>47</v>
      </c>
      <c r="C3038">
        <v>3.0649999999999999</v>
      </c>
      <c r="D3038">
        <v>5.71</v>
      </c>
      <c r="E3038">
        <v>0</v>
      </c>
      <c r="F3038">
        <v>1.871</v>
      </c>
      <c r="G3038">
        <v>0</v>
      </c>
      <c r="H3038">
        <v>0.20599999999999999</v>
      </c>
      <c r="I3038">
        <v>5.843</v>
      </c>
      <c r="K3038">
        <v>3036</v>
      </c>
      <c r="L3038">
        <v>47</v>
      </c>
      <c r="M3038" s="32">
        <v>3.0649999999999999</v>
      </c>
      <c r="N3038" s="32">
        <v>5.71</v>
      </c>
      <c r="P3038" s="47">
        <v>1.873</v>
      </c>
      <c r="R3038" s="47">
        <v>0.20799999999999999</v>
      </c>
      <c r="S3038" s="47">
        <v>5.7389999999999999</v>
      </c>
      <c r="T3038" s="31">
        <v>0</v>
      </c>
      <c r="V3038">
        <v>3036</v>
      </c>
      <c r="W3038">
        <v>44</v>
      </c>
      <c r="X3038">
        <v>3.077</v>
      </c>
      <c r="Y3038" s="32">
        <v>5.71</v>
      </c>
      <c r="Z3038">
        <v>0</v>
      </c>
      <c r="AA3038" s="32">
        <v>1.726</v>
      </c>
      <c r="AB3038">
        <v>0</v>
      </c>
      <c r="AC3038" s="34">
        <v>0.223</v>
      </c>
      <c r="AD3038" s="32">
        <v>5.31</v>
      </c>
    </row>
    <row r="3039" spans="1:30">
      <c r="A3039">
        <v>3037</v>
      </c>
      <c r="B3039">
        <v>47</v>
      </c>
      <c r="C3039">
        <v>3.0659999999999998</v>
      </c>
      <c r="D3039">
        <v>5.71</v>
      </c>
      <c r="E3039">
        <v>0</v>
      </c>
      <c r="F3039">
        <v>1.871</v>
      </c>
      <c r="G3039">
        <v>0</v>
      </c>
      <c r="H3039">
        <v>0.20599999999999999</v>
      </c>
      <c r="I3039">
        <v>5.8449999999999998</v>
      </c>
      <c r="K3039">
        <v>3037</v>
      </c>
      <c r="L3039">
        <v>47</v>
      </c>
      <c r="M3039" s="32">
        <v>3.0659999999999998</v>
      </c>
      <c r="N3039" s="32">
        <v>5.71</v>
      </c>
      <c r="P3039" s="47">
        <v>1.873</v>
      </c>
      <c r="R3039" s="47">
        <v>0.20799999999999999</v>
      </c>
      <c r="S3039" s="47">
        <v>5.7409999999999997</v>
      </c>
      <c r="T3039" s="31">
        <v>0</v>
      </c>
      <c r="V3039">
        <v>3037</v>
      </c>
      <c r="W3039">
        <v>44</v>
      </c>
      <c r="X3039">
        <v>3.0779999999999998</v>
      </c>
      <c r="Y3039" s="32">
        <v>5.71</v>
      </c>
      <c r="Z3039">
        <v>0</v>
      </c>
      <c r="AA3039" s="32">
        <v>1.726</v>
      </c>
      <c r="AB3039">
        <v>0</v>
      </c>
      <c r="AC3039" s="34">
        <v>0.223</v>
      </c>
      <c r="AD3039" s="32">
        <v>5.3129999999999997</v>
      </c>
    </row>
    <row r="3040" spans="1:30">
      <c r="A3040">
        <v>3038</v>
      </c>
      <c r="B3040">
        <v>47</v>
      </c>
      <c r="C3040">
        <v>3.0670000000000002</v>
      </c>
      <c r="D3040">
        <v>5.71</v>
      </c>
      <c r="E3040">
        <v>0</v>
      </c>
      <c r="F3040">
        <v>1.871</v>
      </c>
      <c r="G3040">
        <v>0</v>
      </c>
      <c r="H3040">
        <v>0.20599999999999999</v>
      </c>
      <c r="I3040">
        <v>5.8479999999999999</v>
      </c>
      <c r="K3040">
        <v>3038</v>
      </c>
      <c r="L3040">
        <v>47</v>
      </c>
      <c r="M3040" s="32">
        <v>3.0670000000000002</v>
      </c>
      <c r="N3040" s="32">
        <v>5.71</v>
      </c>
      <c r="P3040" s="47">
        <v>1.873</v>
      </c>
      <c r="R3040" s="47">
        <v>0.20799999999999999</v>
      </c>
      <c r="S3040" s="47">
        <v>5.7439999999999998</v>
      </c>
      <c r="T3040" s="31">
        <v>0</v>
      </c>
      <c r="V3040">
        <v>3038</v>
      </c>
      <c r="W3040">
        <v>44</v>
      </c>
      <c r="X3040">
        <v>3.0790000000000002</v>
      </c>
      <c r="Y3040" s="32">
        <v>5.71</v>
      </c>
      <c r="Z3040">
        <v>0</v>
      </c>
      <c r="AA3040" s="32">
        <v>1.726</v>
      </c>
      <c r="AB3040">
        <v>0</v>
      </c>
      <c r="AC3040" s="34">
        <v>0.223</v>
      </c>
      <c r="AD3040" s="32">
        <v>5.3150000000000004</v>
      </c>
    </row>
    <row r="3041" spans="1:30">
      <c r="A3041">
        <v>3039</v>
      </c>
      <c r="B3041">
        <v>47</v>
      </c>
      <c r="C3041">
        <v>3.0680000000000001</v>
      </c>
      <c r="D3041">
        <v>5.71</v>
      </c>
      <c r="E3041">
        <v>0</v>
      </c>
      <c r="F3041">
        <v>1.871</v>
      </c>
      <c r="G3041">
        <v>0</v>
      </c>
      <c r="H3041">
        <v>0.20599999999999999</v>
      </c>
      <c r="I3041">
        <v>5.85</v>
      </c>
      <c r="K3041">
        <v>3039</v>
      </c>
      <c r="L3041">
        <v>47</v>
      </c>
      <c r="M3041" s="32">
        <v>3.0680000000000001</v>
      </c>
      <c r="N3041" s="32">
        <v>5.71</v>
      </c>
      <c r="P3041" s="47">
        <v>1.873</v>
      </c>
      <c r="R3041" s="47">
        <v>0.20799999999999999</v>
      </c>
      <c r="S3041" s="47">
        <v>5.7469999999999999</v>
      </c>
      <c r="T3041" s="31">
        <v>0</v>
      </c>
      <c r="V3041">
        <v>3039</v>
      </c>
      <c r="W3041">
        <v>44</v>
      </c>
      <c r="X3041">
        <v>3.08</v>
      </c>
      <c r="Y3041" s="32">
        <v>5.71</v>
      </c>
      <c r="Z3041">
        <v>0</v>
      </c>
      <c r="AA3041" s="32">
        <v>1.726</v>
      </c>
      <c r="AB3041">
        <v>0</v>
      </c>
      <c r="AC3041" s="34">
        <v>0.223</v>
      </c>
      <c r="AD3041" s="32">
        <v>5.3179999999999996</v>
      </c>
    </row>
    <row r="3042" spans="1:30">
      <c r="A3042">
        <v>3040</v>
      </c>
      <c r="B3042">
        <v>47</v>
      </c>
      <c r="C3042">
        <v>3.069</v>
      </c>
      <c r="D3042">
        <v>5.71</v>
      </c>
      <c r="E3042">
        <v>0</v>
      </c>
      <c r="F3042">
        <v>1.871</v>
      </c>
      <c r="G3042">
        <v>0</v>
      </c>
      <c r="H3042">
        <v>0.20599999999999999</v>
      </c>
      <c r="I3042">
        <v>5.8529999999999998</v>
      </c>
      <c r="K3042">
        <v>3040</v>
      </c>
      <c r="L3042">
        <v>47</v>
      </c>
      <c r="M3042" s="32">
        <v>3.069</v>
      </c>
      <c r="N3042" s="32">
        <v>5.71</v>
      </c>
      <c r="P3042" s="47">
        <v>1.8740000000000001</v>
      </c>
      <c r="R3042" s="47">
        <v>0.20799999999999999</v>
      </c>
      <c r="S3042" s="47">
        <v>5.7489999999999997</v>
      </c>
      <c r="T3042" s="31">
        <v>0</v>
      </c>
      <c r="V3042">
        <v>3040</v>
      </c>
      <c r="W3042">
        <v>44</v>
      </c>
      <c r="X3042">
        <v>3.081</v>
      </c>
      <c r="Y3042" s="32">
        <v>5.71</v>
      </c>
      <c r="Z3042">
        <v>0</v>
      </c>
      <c r="AA3042" s="32">
        <v>1.7270000000000001</v>
      </c>
      <c r="AB3042">
        <v>0</v>
      </c>
      <c r="AC3042" s="34">
        <v>0.223</v>
      </c>
      <c r="AD3042" s="32">
        <v>5.32</v>
      </c>
    </row>
    <row r="3043" spans="1:30">
      <c r="A3043">
        <v>3041</v>
      </c>
      <c r="B3043">
        <v>47</v>
      </c>
      <c r="C3043">
        <v>3.07</v>
      </c>
      <c r="D3043">
        <v>5.71</v>
      </c>
      <c r="E3043">
        <v>0</v>
      </c>
      <c r="F3043">
        <v>1.8740000000000001</v>
      </c>
      <c r="G3043">
        <v>0</v>
      </c>
      <c r="H3043">
        <v>0.20599999999999999</v>
      </c>
      <c r="I3043">
        <v>5.7519999999999998</v>
      </c>
      <c r="K3043">
        <v>3041</v>
      </c>
      <c r="L3043">
        <v>47</v>
      </c>
      <c r="M3043" s="32">
        <v>3.07</v>
      </c>
      <c r="N3043" s="32">
        <v>5.71</v>
      </c>
      <c r="P3043" s="32">
        <v>1.8740000000000001</v>
      </c>
      <c r="R3043" s="47">
        <v>0.20799999999999999</v>
      </c>
      <c r="S3043" s="32">
        <v>5.7519999999999998</v>
      </c>
      <c r="T3043" s="31">
        <v>0</v>
      </c>
      <c r="V3043">
        <v>3041</v>
      </c>
      <c r="W3043">
        <v>44</v>
      </c>
      <c r="X3043">
        <v>3.0819999999999999</v>
      </c>
      <c r="Y3043" s="32">
        <v>5.71</v>
      </c>
      <c r="Z3043">
        <v>0</v>
      </c>
      <c r="AA3043" s="32">
        <v>1.7270000000000001</v>
      </c>
      <c r="AB3043">
        <v>0</v>
      </c>
      <c r="AC3043" s="34">
        <v>0.223</v>
      </c>
      <c r="AD3043" s="32">
        <v>5.3220000000000001</v>
      </c>
    </row>
    <row r="3044" spans="1:30">
      <c r="A3044">
        <v>3042</v>
      </c>
      <c r="B3044">
        <v>47</v>
      </c>
      <c r="C3044">
        <v>3.0710000000000002</v>
      </c>
      <c r="D3044">
        <v>5.71</v>
      </c>
      <c r="E3044">
        <v>0</v>
      </c>
      <c r="F3044">
        <v>1.8740000000000001</v>
      </c>
      <c r="G3044">
        <v>0</v>
      </c>
      <c r="H3044">
        <v>0.20599999999999999</v>
      </c>
      <c r="I3044">
        <v>5.8849999999999998</v>
      </c>
      <c r="K3044">
        <v>3042</v>
      </c>
      <c r="L3044">
        <v>47</v>
      </c>
      <c r="M3044" s="32">
        <v>3.0710000000000002</v>
      </c>
      <c r="N3044" s="32">
        <v>5.71</v>
      </c>
      <c r="P3044" s="32">
        <v>1.8740000000000001</v>
      </c>
      <c r="R3044" s="47">
        <v>0.20799999999999999</v>
      </c>
      <c r="S3044" s="47">
        <v>5.7549999999999999</v>
      </c>
      <c r="T3044" s="31">
        <v>0</v>
      </c>
      <c r="V3044">
        <v>3042</v>
      </c>
      <c r="W3044">
        <v>44</v>
      </c>
      <c r="X3044">
        <v>3.0830000000000002</v>
      </c>
      <c r="Y3044" s="32">
        <v>5.71</v>
      </c>
      <c r="Z3044">
        <v>0</v>
      </c>
      <c r="AA3044" s="32">
        <v>1.7270000000000001</v>
      </c>
      <c r="AB3044">
        <v>0</v>
      </c>
      <c r="AC3044" s="34">
        <v>0.223</v>
      </c>
      <c r="AD3044" s="32">
        <v>5.3250000000000002</v>
      </c>
    </row>
    <row r="3045" spans="1:30">
      <c r="A3045">
        <v>3043</v>
      </c>
      <c r="B3045">
        <v>47</v>
      </c>
      <c r="C3045">
        <v>3.0720000000000001</v>
      </c>
      <c r="D3045">
        <v>5.71</v>
      </c>
      <c r="E3045">
        <v>0</v>
      </c>
      <c r="F3045">
        <v>1.8740000000000001</v>
      </c>
      <c r="G3045">
        <v>0</v>
      </c>
      <c r="H3045">
        <v>0.20599999999999999</v>
      </c>
      <c r="I3045">
        <v>5.8879999999999999</v>
      </c>
      <c r="K3045">
        <v>3043</v>
      </c>
      <c r="L3045">
        <v>47</v>
      </c>
      <c r="M3045" s="32">
        <v>3.0720000000000001</v>
      </c>
      <c r="N3045" s="32">
        <v>5.71</v>
      </c>
      <c r="P3045" s="32">
        <v>1.8740000000000001</v>
      </c>
      <c r="R3045" s="47">
        <v>0.20799999999999999</v>
      </c>
      <c r="S3045" s="47">
        <v>5.7569999999999997</v>
      </c>
      <c r="T3045" s="31">
        <v>0</v>
      </c>
      <c r="V3045">
        <v>3043</v>
      </c>
      <c r="W3045">
        <v>44</v>
      </c>
      <c r="X3045">
        <v>3.0840000000000001</v>
      </c>
      <c r="Y3045" s="32">
        <v>5.71</v>
      </c>
      <c r="Z3045">
        <v>0</v>
      </c>
      <c r="AA3045" s="32">
        <v>1.7270000000000001</v>
      </c>
      <c r="AB3045">
        <v>0</v>
      </c>
      <c r="AC3045" s="34">
        <v>0.223</v>
      </c>
      <c r="AD3045" s="32">
        <v>5.327</v>
      </c>
    </row>
    <row r="3046" spans="1:30">
      <c r="A3046">
        <v>3044</v>
      </c>
      <c r="B3046">
        <v>47</v>
      </c>
      <c r="C3046">
        <v>3.073</v>
      </c>
      <c r="D3046">
        <v>5.71</v>
      </c>
      <c r="E3046">
        <v>0</v>
      </c>
      <c r="F3046">
        <v>1.8740000000000001</v>
      </c>
      <c r="G3046">
        <v>0</v>
      </c>
      <c r="H3046">
        <v>0.20599999999999999</v>
      </c>
      <c r="I3046">
        <v>5.89</v>
      </c>
      <c r="K3046">
        <v>3044</v>
      </c>
      <c r="L3046">
        <v>47</v>
      </c>
      <c r="M3046" s="32">
        <v>3.073</v>
      </c>
      <c r="N3046" s="32">
        <v>5.71</v>
      </c>
      <c r="P3046" s="47">
        <v>1.875</v>
      </c>
      <c r="R3046" s="47">
        <v>0.20799999999999999</v>
      </c>
      <c r="S3046" s="47">
        <v>5.76</v>
      </c>
      <c r="T3046" s="31">
        <v>0</v>
      </c>
      <c r="V3046">
        <v>3044</v>
      </c>
      <c r="W3046">
        <v>44</v>
      </c>
      <c r="X3046">
        <v>3.085</v>
      </c>
      <c r="Y3046" s="32">
        <v>5.71</v>
      </c>
      <c r="Z3046">
        <v>0</v>
      </c>
      <c r="AA3046" s="32">
        <v>1.7270000000000001</v>
      </c>
      <c r="AB3046">
        <v>0</v>
      </c>
      <c r="AC3046" s="34">
        <v>0.223</v>
      </c>
      <c r="AD3046" s="32">
        <v>5.33</v>
      </c>
    </row>
    <row r="3047" spans="1:30">
      <c r="A3047">
        <v>3045</v>
      </c>
      <c r="B3047">
        <v>47</v>
      </c>
      <c r="C3047">
        <v>3.0739999999999998</v>
      </c>
      <c r="D3047">
        <v>5.71</v>
      </c>
      <c r="E3047">
        <v>0</v>
      </c>
      <c r="F3047">
        <v>1.8740000000000001</v>
      </c>
      <c r="G3047">
        <v>0</v>
      </c>
      <c r="H3047">
        <v>0.20599999999999999</v>
      </c>
      <c r="I3047">
        <v>5.8929999999999998</v>
      </c>
      <c r="K3047">
        <v>3045</v>
      </c>
      <c r="L3047">
        <v>47</v>
      </c>
      <c r="M3047" s="32">
        <v>3.0739999999999998</v>
      </c>
      <c r="N3047" s="32">
        <v>5.71</v>
      </c>
      <c r="P3047" s="47">
        <v>1.875</v>
      </c>
      <c r="R3047" s="47">
        <v>0.20799999999999999</v>
      </c>
      <c r="S3047" s="47">
        <v>5.7619999999999996</v>
      </c>
      <c r="T3047" s="31">
        <v>0</v>
      </c>
      <c r="V3047">
        <v>3045</v>
      </c>
      <c r="W3047">
        <v>44</v>
      </c>
      <c r="X3047">
        <v>3.0859999999999999</v>
      </c>
      <c r="Y3047" s="32">
        <v>5.71</v>
      </c>
      <c r="Z3047">
        <v>0</v>
      </c>
      <c r="AA3047" s="32">
        <v>1.728</v>
      </c>
      <c r="AB3047">
        <v>0</v>
      </c>
      <c r="AC3047" s="34">
        <v>0.223</v>
      </c>
      <c r="AD3047" s="32">
        <v>5.3319999999999999</v>
      </c>
    </row>
    <row r="3048" spans="1:30">
      <c r="A3048">
        <v>3046</v>
      </c>
      <c r="B3048">
        <v>47</v>
      </c>
      <c r="C3048">
        <v>3.0750000000000002</v>
      </c>
      <c r="D3048">
        <v>5.71</v>
      </c>
      <c r="E3048">
        <v>0</v>
      </c>
      <c r="F3048">
        <v>1.8740000000000001</v>
      </c>
      <c r="G3048">
        <v>0</v>
      </c>
      <c r="H3048">
        <v>0.20599999999999999</v>
      </c>
      <c r="I3048">
        <v>5.8959999999999999</v>
      </c>
      <c r="K3048">
        <v>3046</v>
      </c>
      <c r="L3048">
        <v>47</v>
      </c>
      <c r="M3048" s="32">
        <v>3.0750000000000002</v>
      </c>
      <c r="N3048" s="32">
        <v>5.71</v>
      </c>
      <c r="P3048" s="47">
        <v>1.875</v>
      </c>
      <c r="R3048" s="47">
        <v>0.20799999999999999</v>
      </c>
      <c r="S3048" s="47">
        <v>5.7649999999999997</v>
      </c>
      <c r="T3048" s="31">
        <v>0</v>
      </c>
      <c r="V3048">
        <v>3046</v>
      </c>
      <c r="W3048">
        <v>44</v>
      </c>
      <c r="X3048">
        <v>3.0870000000000002</v>
      </c>
      <c r="Y3048" s="32">
        <v>5.71</v>
      </c>
      <c r="Z3048">
        <v>0</v>
      </c>
      <c r="AA3048" s="32">
        <v>1.728</v>
      </c>
      <c r="AB3048">
        <v>0</v>
      </c>
      <c r="AC3048" s="34">
        <v>0.223</v>
      </c>
      <c r="AD3048" s="32">
        <v>5.3339999999999996</v>
      </c>
    </row>
    <row r="3049" spans="1:30">
      <c r="A3049">
        <v>3047</v>
      </c>
      <c r="B3049">
        <v>47</v>
      </c>
      <c r="C3049">
        <v>3.0760000000000001</v>
      </c>
      <c r="D3049">
        <v>5.71</v>
      </c>
      <c r="E3049">
        <v>0</v>
      </c>
      <c r="F3049">
        <v>1.8740000000000001</v>
      </c>
      <c r="G3049">
        <v>0</v>
      </c>
      <c r="H3049">
        <v>0.20599999999999999</v>
      </c>
      <c r="I3049">
        <v>5.8979999999999997</v>
      </c>
      <c r="K3049">
        <v>3047</v>
      </c>
      <c r="L3049">
        <v>47</v>
      </c>
      <c r="M3049" s="32">
        <v>3.0760000000000001</v>
      </c>
      <c r="N3049" s="32">
        <v>5.71</v>
      </c>
      <c r="P3049" s="47">
        <v>1.875</v>
      </c>
      <c r="R3049" s="47">
        <v>0.20799999999999999</v>
      </c>
      <c r="S3049" s="47">
        <v>5.7679999999999998</v>
      </c>
      <c r="T3049" s="31">
        <v>0</v>
      </c>
      <c r="V3049">
        <v>3047</v>
      </c>
      <c r="W3049">
        <v>44</v>
      </c>
      <c r="X3049">
        <v>3.0880000000000001</v>
      </c>
      <c r="Y3049" s="32">
        <v>5.71</v>
      </c>
      <c r="Z3049">
        <v>0</v>
      </c>
      <c r="AA3049" s="32">
        <v>1.728</v>
      </c>
      <c r="AB3049">
        <v>0</v>
      </c>
      <c r="AC3049" s="34">
        <v>0.223</v>
      </c>
      <c r="AD3049" s="32">
        <v>5.3369999999999997</v>
      </c>
    </row>
    <row r="3050" spans="1:30">
      <c r="A3050">
        <v>3048</v>
      </c>
      <c r="B3050">
        <v>47</v>
      </c>
      <c r="C3050">
        <v>3.077</v>
      </c>
      <c r="D3050">
        <v>5.71</v>
      </c>
      <c r="E3050">
        <v>0</v>
      </c>
      <c r="F3050">
        <v>1.8740000000000001</v>
      </c>
      <c r="G3050">
        <v>0</v>
      </c>
      <c r="H3050">
        <v>0.20599999999999999</v>
      </c>
      <c r="I3050">
        <v>5.9009999999999998</v>
      </c>
      <c r="K3050">
        <v>3048</v>
      </c>
      <c r="L3050">
        <v>47</v>
      </c>
      <c r="M3050" s="32">
        <v>3.077</v>
      </c>
      <c r="N3050" s="32">
        <v>5.71</v>
      </c>
      <c r="P3050" s="47">
        <v>1.875</v>
      </c>
      <c r="R3050" s="47">
        <v>0.20799999999999999</v>
      </c>
      <c r="S3050" s="47">
        <v>5.77</v>
      </c>
      <c r="T3050" s="31">
        <v>0</v>
      </c>
      <c r="V3050">
        <v>3048</v>
      </c>
      <c r="W3050">
        <v>44</v>
      </c>
      <c r="X3050">
        <v>3.089</v>
      </c>
      <c r="Y3050" s="32">
        <v>5.71</v>
      </c>
      <c r="Z3050">
        <v>0</v>
      </c>
      <c r="AA3050" s="32">
        <v>1.728</v>
      </c>
      <c r="AB3050">
        <v>0</v>
      </c>
      <c r="AC3050" s="34">
        <v>0.223</v>
      </c>
      <c r="AD3050" s="32">
        <v>5.3390000000000004</v>
      </c>
    </row>
    <row r="3051" spans="1:30">
      <c r="A3051">
        <v>3049</v>
      </c>
      <c r="B3051">
        <v>47</v>
      </c>
      <c r="C3051">
        <v>3.0779999999999998</v>
      </c>
      <c r="D3051">
        <v>5.71</v>
      </c>
      <c r="E3051">
        <v>0</v>
      </c>
      <c r="F3051">
        <v>1.8740000000000001</v>
      </c>
      <c r="G3051">
        <v>0</v>
      </c>
      <c r="H3051">
        <v>0.20599999999999999</v>
      </c>
      <c r="I3051">
        <v>5.9039999999999999</v>
      </c>
      <c r="K3051">
        <v>3049</v>
      </c>
      <c r="L3051">
        <v>47</v>
      </c>
      <c r="M3051" s="32">
        <v>3.0779999999999998</v>
      </c>
      <c r="N3051" s="32">
        <v>5.71</v>
      </c>
      <c r="P3051" s="47">
        <v>1.8759999999999999</v>
      </c>
      <c r="R3051" s="47">
        <v>0.20799999999999999</v>
      </c>
      <c r="S3051" s="47">
        <v>5.7729999999999997</v>
      </c>
      <c r="T3051" s="31">
        <v>0</v>
      </c>
      <c r="V3051">
        <v>3049</v>
      </c>
      <c r="W3051">
        <v>44</v>
      </c>
      <c r="X3051">
        <v>3.09</v>
      </c>
      <c r="Y3051" s="32">
        <v>5.71</v>
      </c>
      <c r="Z3051">
        <v>0</v>
      </c>
      <c r="AA3051" s="32">
        <v>1.7290000000000001</v>
      </c>
      <c r="AB3051">
        <v>0</v>
      </c>
      <c r="AC3051" s="34">
        <v>0.224</v>
      </c>
      <c r="AD3051" s="32">
        <v>5.3419999999999996</v>
      </c>
    </row>
    <row r="3052" spans="1:30">
      <c r="A3052">
        <v>3050</v>
      </c>
      <c r="B3052">
        <v>47</v>
      </c>
      <c r="C3052">
        <v>3.0790000000000002</v>
      </c>
      <c r="D3052">
        <v>5.71</v>
      </c>
      <c r="E3052">
        <v>0</v>
      </c>
      <c r="F3052">
        <v>1.8740000000000001</v>
      </c>
      <c r="G3052">
        <v>0</v>
      </c>
      <c r="H3052">
        <v>0.20599999999999999</v>
      </c>
      <c r="I3052">
        <v>5.9059999999999997</v>
      </c>
      <c r="K3052">
        <v>3050</v>
      </c>
      <c r="L3052">
        <v>47</v>
      </c>
      <c r="M3052" s="32">
        <v>3.0790000000000002</v>
      </c>
      <c r="N3052" s="32">
        <v>5.71</v>
      </c>
      <c r="P3052" s="47">
        <v>1.8759999999999999</v>
      </c>
      <c r="R3052" s="47">
        <v>0.20799999999999999</v>
      </c>
      <c r="S3052" s="47">
        <v>5.7750000000000004</v>
      </c>
      <c r="T3052" s="31">
        <v>0</v>
      </c>
      <c r="V3052">
        <v>3050</v>
      </c>
      <c r="W3052">
        <v>44</v>
      </c>
      <c r="X3052">
        <v>3.0910000000000002</v>
      </c>
      <c r="Y3052" s="32">
        <v>5.7240000000000002</v>
      </c>
      <c r="Z3052">
        <v>0</v>
      </c>
      <c r="AA3052" s="32">
        <v>1.7290000000000001</v>
      </c>
      <c r="AB3052">
        <v>0</v>
      </c>
      <c r="AC3052" s="34">
        <v>0.224</v>
      </c>
      <c r="AD3052" s="32">
        <v>5.3440000000000003</v>
      </c>
    </row>
    <row r="3053" spans="1:30">
      <c r="A3053">
        <v>3051</v>
      </c>
      <c r="B3053">
        <v>47</v>
      </c>
      <c r="C3053">
        <v>3.08</v>
      </c>
      <c r="D3053">
        <v>5.71</v>
      </c>
      <c r="E3053">
        <v>0</v>
      </c>
      <c r="F3053">
        <v>1.8759999999999999</v>
      </c>
      <c r="G3053">
        <v>0</v>
      </c>
      <c r="H3053">
        <v>0.20599999999999999</v>
      </c>
      <c r="I3053">
        <v>5.7779999999999996</v>
      </c>
      <c r="K3053">
        <v>3051</v>
      </c>
      <c r="L3053">
        <v>47</v>
      </c>
      <c r="M3053" s="32">
        <v>3.08</v>
      </c>
      <c r="N3053" s="32">
        <v>5.71</v>
      </c>
      <c r="P3053" s="32">
        <v>1.8759999999999999</v>
      </c>
      <c r="R3053" s="47">
        <v>0.20799999999999999</v>
      </c>
      <c r="S3053" s="32">
        <v>5.7779999999999996</v>
      </c>
      <c r="T3053" s="31">
        <v>0</v>
      </c>
      <c r="V3053">
        <v>3051</v>
      </c>
      <c r="W3053">
        <v>44</v>
      </c>
      <c r="X3053">
        <v>3.0920000000000001</v>
      </c>
      <c r="Y3053" s="32">
        <v>5.7380000000000004</v>
      </c>
      <c r="Z3053">
        <v>0</v>
      </c>
      <c r="AA3053" s="32">
        <v>1.7290000000000001</v>
      </c>
      <c r="AB3053">
        <v>0</v>
      </c>
      <c r="AC3053" s="34">
        <v>0.224</v>
      </c>
      <c r="AD3053" s="32">
        <v>5.3470000000000004</v>
      </c>
    </row>
    <row r="3054" spans="1:30">
      <c r="A3054">
        <v>3052</v>
      </c>
      <c r="B3054">
        <v>47</v>
      </c>
      <c r="C3054">
        <v>3.081</v>
      </c>
      <c r="D3054">
        <v>5.71</v>
      </c>
      <c r="E3054">
        <v>0</v>
      </c>
      <c r="F3054">
        <v>1.8759999999999999</v>
      </c>
      <c r="G3054">
        <v>0</v>
      </c>
      <c r="H3054">
        <v>0.20599999999999999</v>
      </c>
      <c r="I3054">
        <v>5.9370000000000003</v>
      </c>
      <c r="K3054">
        <v>3052</v>
      </c>
      <c r="L3054">
        <v>47</v>
      </c>
      <c r="M3054" s="32">
        <v>3.081</v>
      </c>
      <c r="N3054" s="32">
        <v>5.71</v>
      </c>
      <c r="P3054" s="32">
        <v>1.8759999999999999</v>
      </c>
      <c r="R3054" s="47">
        <v>0.20799999999999999</v>
      </c>
      <c r="S3054" s="47">
        <v>5.7809999999999997</v>
      </c>
      <c r="T3054" s="31">
        <v>0</v>
      </c>
      <c r="V3054">
        <v>3052</v>
      </c>
      <c r="W3054">
        <v>44</v>
      </c>
      <c r="X3054">
        <v>3.093</v>
      </c>
      <c r="Y3054" s="32">
        <v>5.7519999999999998</v>
      </c>
      <c r="Z3054">
        <v>0</v>
      </c>
      <c r="AA3054" s="32">
        <v>1.7290000000000001</v>
      </c>
      <c r="AB3054">
        <v>0</v>
      </c>
      <c r="AC3054" s="34">
        <v>0.224</v>
      </c>
      <c r="AD3054" s="32">
        <v>5.3490000000000002</v>
      </c>
    </row>
    <row r="3055" spans="1:30">
      <c r="A3055">
        <v>3053</v>
      </c>
      <c r="B3055">
        <v>47</v>
      </c>
      <c r="C3055">
        <v>3.0819999999999999</v>
      </c>
      <c r="D3055">
        <v>5.71</v>
      </c>
      <c r="E3055">
        <v>0</v>
      </c>
      <c r="F3055">
        <v>1.8759999999999999</v>
      </c>
      <c r="G3055">
        <v>0</v>
      </c>
      <c r="H3055">
        <v>0.20599999999999999</v>
      </c>
      <c r="I3055">
        <v>5.94</v>
      </c>
      <c r="K3055">
        <v>3053</v>
      </c>
      <c r="L3055">
        <v>47</v>
      </c>
      <c r="M3055" s="32">
        <v>3.0819999999999999</v>
      </c>
      <c r="N3055" s="32">
        <v>5.71</v>
      </c>
      <c r="P3055" s="47">
        <v>1.877</v>
      </c>
      <c r="R3055" s="47">
        <v>0.20799999999999999</v>
      </c>
      <c r="S3055" s="47">
        <v>5.7830000000000004</v>
      </c>
      <c r="T3055" s="31">
        <v>0</v>
      </c>
      <c r="V3055">
        <v>3053</v>
      </c>
      <c r="W3055">
        <v>44</v>
      </c>
      <c r="X3055">
        <v>3.0939999999999999</v>
      </c>
      <c r="Y3055" s="32">
        <v>5.766</v>
      </c>
      <c r="Z3055">
        <v>0</v>
      </c>
      <c r="AA3055" s="32">
        <v>1.73</v>
      </c>
      <c r="AB3055">
        <v>0</v>
      </c>
      <c r="AC3055" s="34">
        <v>0.224</v>
      </c>
      <c r="AD3055" s="32">
        <v>5.351</v>
      </c>
    </row>
    <row r="3056" spans="1:30">
      <c r="A3056">
        <v>3054</v>
      </c>
      <c r="B3056">
        <v>47</v>
      </c>
      <c r="C3056">
        <v>3.0830000000000002</v>
      </c>
      <c r="D3056">
        <v>5.71</v>
      </c>
      <c r="E3056">
        <v>0</v>
      </c>
      <c r="F3056">
        <v>1.8759999999999999</v>
      </c>
      <c r="G3056">
        <v>0</v>
      </c>
      <c r="H3056">
        <v>0.20599999999999999</v>
      </c>
      <c r="I3056">
        <v>5.9429999999999996</v>
      </c>
      <c r="K3056">
        <v>3054</v>
      </c>
      <c r="L3056">
        <v>47</v>
      </c>
      <c r="M3056" s="32">
        <v>3.0830000000000002</v>
      </c>
      <c r="N3056" s="32">
        <v>5.71</v>
      </c>
      <c r="P3056" s="47">
        <v>1.877</v>
      </c>
      <c r="R3056" s="47">
        <v>0.20799999999999999</v>
      </c>
      <c r="S3056" s="47">
        <v>5.7859999999999996</v>
      </c>
      <c r="T3056" s="31">
        <v>0</v>
      </c>
      <c r="V3056">
        <v>3054</v>
      </c>
      <c r="W3056">
        <v>44</v>
      </c>
      <c r="X3056">
        <v>3.0950000000000002</v>
      </c>
      <c r="Y3056" s="32">
        <v>5.78</v>
      </c>
      <c r="Z3056">
        <v>0</v>
      </c>
      <c r="AA3056" s="32">
        <v>1.73</v>
      </c>
      <c r="AB3056">
        <v>0</v>
      </c>
      <c r="AC3056" s="34">
        <v>0.224</v>
      </c>
      <c r="AD3056" s="32">
        <v>5.3540000000000001</v>
      </c>
    </row>
    <row r="3057" spans="1:30">
      <c r="A3057">
        <v>3055</v>
      </c>
      <c r="B3057">
        <v>47</v>
      </c>
      <c r="C3057">
        <v>3.0840000000000001</v>
      </c>
      <c r="D3057">
        <v>5.71</v>
      </c>
      <c r="E3057">
        <v>0</v>
      </c>
      <c r="F3057">
        <v>1.8759999999999999</v>
      </c>
      <c r="G3057">
        <v>0</v>
      </c>
      <c r="H3057">
        <v>0.20599999999999999</v>
      </c>
      <c r="I3057">
        <v>5.9450000000000003</v>
      </c>
      <c r="K3057">
        <v>3055</v>
      </c>
      <c r="L3057">
        <v>47</v>
      </c>
      <c r="M3057" s="32">
        <v>3.0840000000000001</v>
      </c>
      <c r="N3057" s="32">
        <v>5.71</v>
      </c>
      <c r="P3057" s="47">
        <v>1.877</v>
      </c>
      <c r="R3057" s="47">
        <v>0.20799999999999999</v>
      </c>
      <c r="S3057" s="47">
        <v>5.7889999999999997</v>
      </c>
      <c r="T3057" s="31">
        <v>0</v>
      </c>
      <c r="V3057">
        <v>3055</v>
      </c>
      <c r="W3057">
        <v>44</v>
      </c>
      <c r="X3057">
        <v>3.0960000000000001</v>
      </c>
      <c r="Y3057" s="32">
        <v>5.7939999999999996</v>
      </c>
      <c r="Z3057">
        <v>0</v>
      </c>
      <c r="AA3057" s="32">
        <v>1.73</v>
      </c>
      <c r="AB3057">
        <v>0</v>
      </c>
      <c r="AC3057" s="34">
        <v>0.224</v>
      </c>
      <c r="AD3057" s="32">
        <v>5.3559999999999999</v>
      </c>
    </row>
    <row r="3058" spans="1:30">
      <c r="A3058">
        <v>3056</v>
      </c>
      <c r="B3058">
        <v>47</v>
      </c>
      <c r="C3058">
        <v>3.085</v>
      </c>
      <c r="D3058">
        <v>5.71</v>
      </c>
      <c r="E3058">
        <v>0</v>
      </c>
      <c r="F3058">
        <v>1.8759999999999999</v>
      </c>
      <c r="G3058">
        <v>0</v>
      </c>
      <c r="H3058">
        <v>0.20599999999999999</v>
      </c>
      <c r="I3058">
        <v>5.9480000000000004</v>
      </c>
      <c r="K3058">
        <v>3056</v>
      </c>
      <c r="L3058">
        <v>47</v>
      </c>
      <c r="M3058" s="32">
        <v>3.085</v>
      </c>
      <c r="N3058" s="32">
        <v>5.71</v>
      </c>
      <c r="P3058" s="47">
        <v>1.8779999999999999</v>
      </c>
      <c r="R3058" s="47">
        <v>0.20799999999999999</v>
      </c>
      <c r="S3058" s="47">
        <v>5.7919999999999998</v>
      </c>
      <c r="T3058" s="31">
        <v>0</v>
      </c>
      <c r="V3058">
        <v>3056</v>
      </c>
      <c r="W3058">
        <v>44</v>
      </c>
      <c r="X3058">
        <v>3.097</v>
      </c>
      <c r="Y3058" s="32">
        <v>5.8079999999999998</v>
      </c>
      <c r="Z3058">
        <v>0</v>
      </c>
      <c r="AA3058" s="32">
        <v>1.73</v>
      </c>
      <c r="AB3058">
        <v>0</v>
      </c>
      <c r="AC3058" s="34">
        <v>0.224</v>
      </c>
      <c r="AD3058" s="32">
        <v>5.359</v>
      </c>
    </row>
    <row r="3059" spans="1:30">
      <c r="A3059">
        <v>3057</v>
      </c>
      <c r="B3059">
        <v>47</v>
      </c>
      <c r="C3059">
        <v>3.0859999999999999</v>
      </c>
      <c r="D3059">
        <v>5.71</v>
      </c>
      <c r="E3059">
        <v>0</v>
      </c>
      <c r="F3059">
        <v>1.8759999999999999</v>
      </c>
      <c r="G3059">
        <v>0</v>
      </c>
      <c r="H3059">
        <v>0.20599999999999999</v>
      </c>
      <c r="I3059">
        <v>5.95</v>
      </c>
      <c r="K3059">
        <v>3057</v>
      </c>
      <c r="L3059">
        <v>47</v>
      </c>
      <c r="M3059" s="32">
        <v>3.0859999999999999</v>
      </c>
      <c r="N3059" s="32">
        <v>5.71</v>
      </c>
      <c r="P3059" s="47">
        <v>1.8779999999999999</v>
      </c>
      <c r="R3059" s="47">
        <v>0.20799999999999999</v>
      </c>
      <c r="S3059" s="47">
        <v>5.7939999999999996</v>
      </c>
      <c r="T3059" s="31">
        <v>0</v>
      </c>
      <c r="V3059">
        <v>3057</v>
      </c>
      <c r="W3059">
        <v>44</v>
      </c>
      <c r="X3059">
        <v>3.0979999999999999</v>
      </c>
      <c r="Y3059" s="32">
        <v>5.8220000000000001</v>
      </c>
      <c r="Z3059">
        <v>0</v>
      </c>
      <c r="AA3059" s="32">
        <v>1.73</v>
      </c>
      <c r="AB3059">
        <v>0</v>
      </c>
      <c r="AC3059" s="34">
        <v>0.224</v>
      </c>
      <c r="AD3059" s="32">
        <v>5.3609999999999998</v>
      </c>
    </row>
    <row r="3060" spans="1:30">
      <c r="A3060">
        <v>3058</v>
      </c>
      <c r="B3060">
        <v>47</v>
      </c>
      <c r="C3060">
        <v>3.0870000000000002</v>
      </c>
      <c r="D3060">
        <v>5.71</v>
      </c>
      <c r="E3060">
        <v>0</v>
      </c>
      <c r="F3060">
        <v>1.8759999999999999</v>
      </c>
      <c r="G3060">
        <v>0</v>
      </c>
      <c r="H3060">
        <v>0.20599999999999999</v>
      </c>
      <c r="I3060">
        <v>5.9530000000000003</v>
      </c>
      <c r="K3060">
        <v>3058</v>
      </c>
      <c r="L3060">
        <v>47</v>
      </c>
      <c r="M3060" s="32">
        <v>3.0870000000000002</v>
      </c>
      <c r="N3060" s="32">
        <v>5.71</v>
      </c>
      <c r="P3060" s="47">
        <v>1.8779999999999999</v>
      </c>
      <c r="R3060" s="47">
        <v>0.20899999999999999</v>
      </c>
      <c r="S3060" s="47">
        <v>5.7969999999999997</v>
      </c>
      <c r="T3060" s="31">
        <v>0</v>
      </c>
      <c r="V3060">
        <v>3058</v>
      </c>
      <c r="W3060">
        <v>44</v>
      </c>
      <c r="X3060">
        <v>3.0990000000000002</v>
      </c>
      <c r="Y3060" s="32">
        <v>5.8360000000000003</v>
      </c>
      <c r="Z3060">
        <v>0</v>
      </c>
      <c r="AA3060" s="32">
        <v>1.7310000000000001</v>
      </c>
      <c r="AB3060">
        <v>0</v>
      </c>
      <c r="AC3060" s="34">
        <v>0.224</v>
      </c>
      <c r="AD3060" s="32">
        <v>5.3630000000000004</v>
      </c>
    </row>
    <row r="3061" spans="1:30">
      <c r="A3061">
        <v>3059</v>
      </c>
      <c r="B3061">
        <v>47</v>
      </c>
      <c r="C3061">
        <v>3.0880000000000001</v>
      </c>
      <c r="D3061">
        <v>5.71</v>
      </c>
      <c r="E3061">
        <v>0</v>
      </c>
      <c r="F3061">
        <v>1.8759999999999999</v>
      </c>
      <c r="G3061">
        <v>0</v>
      </c>
      <c r="H3061">
        <v>0.20599999999999999</v>
      </c>
      <c r="I3061">
        <v>5.9560000000000004</v>
      </c>
      <c r="K3061">
        <v>3059</v>
      </c>
      <c r="L3061">
        <v>47</v>
      </c>
      <c r="M3061" s="32">
        <v>3.0880000000000001</v>
      </c>
      <c r="N3061" s="32">
        <v>5.71</v>
      </c>
      <c r="P3061" s="47">
        <v>1.8779999999999999</v>
      </c>
      <c r="R3061" s="47">
        <v>0.20899999999999999</v>
      </c>
      <c r="S3061" s="47">
        <v>5.8</v>
      </c>
      <c r="T3061" s="31">
        <v>0</v>
      </c>
      <c r="V3061">
        <v>3059</v>
      </c>
      <c r="W3061">
        <v>44</v>
      </c>
      <c r="X3061">
        <v>3.1</v>
      </c>
      <c r="Y3061" s="32">
        <v>5.85</v>
      </c>
      <c r="Z3061">
        <v>0</v>
      </c>
      <c r="AA3061" s="32">
        <v>1.7310000000000001</v>
      </c>
      <c r="AB3061">
        <v>0</v>
      </c>
      <c r="AC3061" s="34">
        <v>0.224</v>
      </c>
      <c r="AD3061" s="32">
        <v>5.3659999999999997</v>
      </c>
    </row>
    <row r="3062" spans="1:30">
      <c r="A3062">
        <v>3060</v>
      </c>
      <c r="B3062">
        <v>47</v>
      </c>
      <c r="C3062">
        <v>3.089</v>
      </c>
      <c r="D3062">
        <v>5.71</v>
      </c>
      <c r="E3062">
        <v>0</v>
      </c>
      <c r="F3062">
        <v>1.8759999999999999</v>
      </c>
      <c r="G3062">
        <v>0</v>
      </c>
      <c r="H3062">
        <v>0.20599999999999999</v>
      </c>
      <c r="I3062">
        <v>5.9580000000000002</v>
      </c>
      <c r="K3062">
        <v>3060</v>
      </c>
      <c r="L3062">
        <v>47</v>
      </c>
      <c r="M3062" s="32">
        <v>3.089</v>
      </c>
      <c r="N3062" s="32">
        <v>5.71</v>
      </c>
      <c r="P3062" s="47">
        <v>1.879</v>
      </c>
      <c r="R3062" s="47">
        <v>0.20899999999999999</v>
      </c>
      <c r="S3062" s="47">
        <v>5.8019999999999996</v>
      </c>
      <c r="T3062" s="31">
        <v>0</v>
      </c>
      <c r="V3062">
        <v>3060</v>
      </c>
      <c r="W3062">
        <v>44</v>
      </c>
      <c r="X3062">
        <v>3.101</v>
      </c>
      <c r="Y3062" s="32">
        <v>5.85</v>
      </c>
      <c r="Z3062">
        <v>0</v>
      </c>
      <c r="AA3062" s="32">
        <v>1.7310000000000001</v>
      </c>
      <c r="AB3062">
        <v>0</v>
      </c>
      <c r="AC3062" s="34">
        <v>0.224</v>
      </c>
      <c r="AD3062" s="32">
        <v>5.3680000000000003</v>
      </c>
    </row>
    <row r="3063" spans="1:30">
      <c r="A3063">
        <v>3061</v>
      </c>
      <c r="B3063">
        <v>47</v>
      </c>
      <c r="C3063">
        <v>3.09</v>
      </c>
      <c r="D3063">
        <v>5.71</v>
      </c>
      <c r="E3063">
        <v>0</v>
      </c>
      <c r="F3063">
        <v>1.879</v>
      </c>
      <c r="G3063">
        <v>0</v>
      </c>
      <c r="H3063">
        <v>0.20599999999999999</v>
      </c>
      <c r="I3063">
        <v>5.8049999999999997</v>
      </c>
      <c r="K3063">
        <v>3061</v>
      </c>
      <c r="L3063">
        <v>47</v>
      </c>
      <c r="M3063" s="32">
        <v>3.09</v>
      </c>
      <c r="N3063" s="32">
        <v>5.71</v>
      </c>
      <c r="P3063" s="32">
        <v>1.879</v>
      </c>
      <c r="R3063" s="47">
        <v>0.20899999999999999</v>
      </c>
      <c r="S3063" s="32">
        <v>5.8049999999999997</v>
      </c>
      <c r="T3063" s="31">
        <v>0</v>
      </c>
      <c r="V3063">
        <v>3061</v>
      </c>
      <c r="W3063">
        <v>44</v>
      </c>
      <c r="X3063">
        <v>3.1019999999999999</v>
      </c>
      <c r="Y3063" s="32">
        <v>5.85</v>
      </c>
      <c r="Z3063">
        <v>0</v>
      </c>
      <c r="AA3063" s="32">
        <v>1.7310000000000001</v>
      </c>
      <c r="AB3063">
        <v>0</v>
      </c>
      <c r="AC3063" s="34">
        <v>0.224</v>
      </c>
      <c r="AD3063" s="32">
        <v>5.3710000000000004</v>
      </c>
    </row>
    <row r="3064" spans="1:30">
      <c r="A3064">
        <v>3062</v>
      </c>
      <c r="B3064">
        <v>47</v>
      </c>
      <c r="C3064">
        <v>3.0910000000000002</v>
      </c>
      <c r="D3064">
        <v>5.71</v>
      </c>
      <c r="E3064">
        <v>0</v>
      </c>
      <c r="F3064">
        <v>1.879</v>
      </c>
      <c r="G3064">
        <v>0</v>
      </c>
      <c r="H3064">
        <v>0.20599999999999999</v>
      </c>
      <c r="I3064">
        <v>5.99</v>
      </c>
      <c r="K3064">
        <v>3062</v>
      </c>
      <c r="L3064">
        <v>47</v>
      </c>
      <c r="M3064" s="32">
        <v>3.0910000000000002</v>
      </c>
      <c r="N3064" s="47">
        <v>5.7240000000000002</v>
      </c>
      <c r="P3064" s="32">
        <v>1.879</v>
      </c>
      <c r="R3064" s="47">
        <v>0.20899999999999999</v>
      </c>
      <c r="S3064" s="47">
        <v>5.8070000000000004</v>
      </c>
      <c r="T3064" s="31">
        <v>0</v>
      </c>
      <c r="V3064">
        <v>3062</v>
      </c>
      <c r="W3064">
        <v>44</v>
      </c>
      <c r="X3064">
        <v>3.1030000000000002</v>
      </c>
      <c r="Y3064" s="32">
        <v>5.85</v>
      </c>
      <c r="Z3064">
        <v>0</v>
      </c>
      <c r="AA3064" s="32">
        <v>1.732</v>
      </c>
      <c r="AB3064">
        <v>0</v>
      </c>
      <c r="AC3064" s="34">
        <v>0.224</v>
      </c>
      <c r="AD3064" s="32">
        <v>5.3730000000000002</v>
      </c>
    </row>
    <row r="3065" spans="1:30">
      <c r="A3065">
        <v>3063</v>
      </c>
      <c r="B3065">
        <v>47</v>
      </c>
      <c r="C3065">
        <v>3.0920000000000001</v>
      </c>
      <c r="D3065">
        <v>5.71</v>
      </c>
      <c r="E3065">
        <v>0</v>
      </c>
      <c r="F3065">
        <v>1.879</v>
      </c>
      <c r="G3065">
        <v>0</v>
      </c>
      <c r="H3065">
        <v>0.20599999999999999</v>
      </c>
      <c r="I3065">
        <v>5.9930000000000003</v>
      </c>
      <c r="K3065">
        <v>3063</v>
      </c>
      <c r="L3065">
        <v>47</v>
      </c>
      <c r="M3065" s="32">
        <v>3.0920000000000001</v>
      </c>
      <c r="N3065" s="47">
        <v>5.7380000000000004</v>
      </c>
      <c r="P3065" s="32">
        <v>1.879</v>
      </c>
      <c r="R3065" s="47">
        <v>0.20899999999999999</v>
      </c>
      <c r="S3065" s="47">
        <v>5.81</v>
      </c>
      <c r="T3065" s="31">
        <v>0</v>
      </c>
      <c r="V3065">
        <v>3063</v>
      </c>
      <c r="W3065">
        <v>44</v>
      </c>
      <c r="X3065">
        <v>3.1040000000000001</v>
      </c>
      <c r="Y3065" s="32">
        <v>5.85</v>
      </c>
      <c r="Z3065">
        <v>0</v>
      </c>
      <c r="AA3065" s="32">
        <v>1.732</v>
      </c>
      <c r="AB3065">
        <v>0</v>
      </c>
      <c r="AC3065" s="34">
        <v>0.224</v>
      </c>
      <c r="AD3065" s="32">
        <v>5.3760000000000003</v>
      </c>
    </row>
    <row r="3066" spans="1:30">
      <c r="A3066">
        <v>3064</v>
      </c>
      <c r="B3066">
        <v>47</v>
      </c>
      <c r="C3066">
        <v>3.093</v>
      </c>
      <c r="D3066">
        <v>5.71</v>
      </c>
      <c r="E3066">
        <v>0</v>
      </c>
      <c r="F3066">
        <v>1.879</v>
      </c>
      <c r="G3066">
        <v>0</v>
      </c>
      <c r="H3066">
        <v>0.20599999999999999</v>
      </c>
      <c r="I3066">
        <v>5.9960000000000004</v>
      </c>
      <c r="K3066">
        <v>3064</v>
      </c>
      <c r="L3066">
        <v>47</v>
      </c>
      <c r="M3066" s="32">
        <v>3.093</v>
      </c>
      <c r="N3066" s="47">
        <v>5.7519999999999998</v>
      </c>
      <c r="P3066" s="47">
        <v>1.88</v>
      </c>
      <c r="R3066" s="47">
        <v>0.20899999999999999</v>
      </c>
      <c r="S3066" s="47">
        <v>5.8120000000000003</v>
      </c>
      <c r="T3066" s="31">
        <v>0</v>
      </c>
      <c r="V3066">
        <v>3064</v>
      </c>
      <c r="W3066">
        <v>44</v>
      </c>
      <c r="X3066">
        <v>3.105</v>
      </c>
      <c r="Y3066" s="32">
        <v>5.85</v>
      </c>
      <c r="Z3066">
        <v>0</v>
      </c>
      <c r="AA3066" s="32">
        <v>1.732</v>
      </c>
      <c r="AB3066">
        <v>0</v>
      </c>
      <c r="AC3066" s="34">
        <v>0.224</v>
      </c>
      <c r="AD3066" s="32">
        <v>5.3780000000000001</v>
      </c>
    </row>
    <row r="3067" spans="1:30">
      <c r="A3067">
        <v>3065</v>
      </c>
      <c r="B3067">
        <v>47</v>
      </c>
      <c r="C3067">
        <v>3.0939999999999999</v>
      </c>
      <c r="D3067">
        <v>5.71</v>
      </c>
      <c r="E3067">
        <v>0</v>
      </c>
      <c r="F3067">
        <v>1.879</v>
      </c>
      <c r="G3067">
        <v>0</v>
      </c>
      <c r="H3067">
        <v>0.20599999999999999</v>
      </c>
      <c r="I3067">
        <v>5.9980000000000002</v>
      </c>
      <c r="K3067">
        <v>3065</v>
      </c>
      <c r="L3067">
        <v>47</v>
      </c>
      <c r="M3067" s="32">
        <v>3.0939999999999999</v>
      </c>
      <c r="N3067" s="47">
        <v>5.766</v>
      </c>
      <c r="P3067" s="47">
        <v>1.88</v>
      </c>
      <c r="R3067" s="47">
        <v>0.20899999999999999</v>
      </c>
      <c r="S3067" s="47">
        <v>5.8140000000000001</v>
      </c>
      <c r="T3067" s="31">
        <v>0</v>
      </c>
      <c r="V3067">
        <v>3065</v>
      </c>
      <c r="W3067">
        <v>44</v>
      </c>
      <c r="X3067">
        <v>3.1059999999999999</v>
      </c>
      <c r="Y3067" s="32">
        <v>5.85</v>
      </c>
      <c r="Z3067">
        <v>0</v>
      </c>
      <c r="AA3067" s="32">
        <v>1.732</v>
      </c>
      <c r="AB3067">
        <v>0</v>
      </c>
      <c r="AC3067" s="34">
        <v>0.224</v>
      </c>
      <c r="AD3067" s="32">
        <v>5.38</v>
      </c>
    </row>
    <row r="3068" spans="1:30">
      <c r="A3068">
        <v>3066</v>
      </c>
      <c r="B3068">
        <v>47</v>
      </c>
      <c r="C3068">
        <v>3.0950000000000002</v>
      </c>
      <c r="D3068">
        <v>5.71</v>
      </c>
      <c r="E3068">
        <v>0</v>
      </c>
      <c r="F3068">
        <v>1.879</v>
      </c>
      <c r="G3068">
        <v>0</v>
      </c>
      <c r="H3068">
        <v>0.20599999999999999</v>
      </c>
      <c r="I3068">
        <v>6.0010000000000003</v>
      </c>
      <c r="K3068">
        <v>3066</v>
      </c>
      <c r="L3068">
        <v>47</v>
      </c>
      <c r="M3068" s="32">
        <v>3.0950000000000002</v>
      </c>
      <c r="N3068" s="47">
        <v>5.78</v>
      </c>
      <c r="P3068" s="47">
        <v>1.88</v>
      </c>
      <c r="R3068" s="47">
        <v>0.20899999999999999</v>
      </c>
      <c r="S3068" s="47">
        <v>5.8170000000000002</v>
      </c>
      <c r="T3068" s="31">
        <v>0</v>
      </c>
      <c r="V3068">
        <v>3066</v>
      </c>
      <c r="W3068">
        <v>44</v>
      </c>
      <c r="X3068">
        <v>3.1070000000000002</v>
      </c>
      <c r="Y3068" s="32">
        <v>5.85</v>
      </c>
      <c r="Z3068">
        <v>0</v>
      </c>
      <c r="AA3068" s="32">
        <v>1.732</v>
      </c>
      <c r="AB3068">
        <v>0</v>
      </c>
      <c r="AC3068" s="34">
        <v>0.224</v>
      </c>
      <c r="AD3068" s="32">
        <v>5.383</v>
      </c>
    </row>
    <row r="3069" spans="1:30">
      <c r="A3069">
        <v>3067</v>
      </c>
      <c r="B3069">
        <v>47</v>
      </c>
      <c r="C3069">
        <v>3.0960000000000001</v>
      </c>
      <c r="D3069">
        <v>5.71</v>
      </c>
      <c r="E3069">
        <v>0</v>
      </c>
      <c r="F3069">
        <v>1.879</v>
      </c>
      <c r="G3069">
        <v>0</v>
      </c>
      <c r="H3069">
        <v>0.20599999999999999</v>
      </c>
      <c r="I3069">
        <v>6.0039999999999996</v>
      </c>
      <c r="K3069">
        <v>3067</v>
      </c>
      <c r="L3069">
        <v>47</v>
      </c>
      <c r="M3069" s="32">
        <v>3.0960000000000001</v>
      </c>
      <c r="N3069" s="47">
        <v>5.7939999999999996</v>
      </c>
      <c r="P3069" s="47">
        <v>1.88</v>
      </c>
      <c r="R3069" s="47">
        <v>0.20899999999999999</v>
      </c>
      <c r="S3069" s="47">
        <v>5.819</v>
      </c>
      <c r="T3069" s="31">
        <v>0</v>
      </c>
      <c r="V3069">
        <v>3067</v>
      </c>
      <c r="W3069">
        <v>44</v>
      </c>
      <c r="X3069">
        <v>3.1080000000000001</v>
      </c>
      <c r="Y3069" s="32">
        <v>5.85</v>
      </c>
      <c r="Z3069">
        <v>0</v>
      </c>
      <c r="AA3069" s="32">
        <v>1.7330000000000001</v>
      </c>
      <c r="AB3069">
        <v>0</v>
      </c>
      <c r="AC3069" s="34">
        <v>0.224</v>
      </c>
      <c r="AD3069" s="32">
        <v>5.3849999999999998</v>
      </c>
    </row>
    <row r="3070" spans="1:30">
      <c r="A3070">
        <v>3068</v>
      </c>
      <c r="B3070">
        <v>47</v>
      </c>
      <c r="C3070">
        <v>3.097</v>
      </c>
      <c r="D3070">
        <v>5.71</v>
      </c>
      <c r="E3070">
        <v>0</v>
      </c>
      <c r="F3070">
        <v>1.879</v>
      </c>
      <c r="G3070">
        <v>0</v>
      </c>
      <c r="H3070">
        <v>0.20599999999999999</v>
      </c>
      <c r="I3070">
        <v>6.0060000000000002</v>
      </c>
      <c r="K3070">
        <v>3068</v>
      </c>
      <c r="L3070">
        <v>47</v>
      </c>
      <c r="M3070" s="32">
        <v>3.097</v>
      </c>
      <c r="N3070" s="47">
        <v>5.8079999999999998</v>
      </c>
      <c r="P3070" s="47">
        <v>1.88</v>
      </c>
      <c r="R3070" s="47">
        <v>0.20899999999999999</v>
      </c>
      <c r="S3070" s="47">
        <v>5.8209999999999997</v>
      </c>
      <c r="T3070" s="31">
        <v>0</v>
      </c>
      <c r="V3070">
        <v>3068</v>
      </c>
      <c r="W3070">
        <v>44</v>
      </c>
      <c r="X3070">
        <v>3.109</v>
      </c>
      <c r="Y3070" s="32">
        <v>5.85</v>
      </c>
      <c r="Z3070">
        <v>0</v>
      </c>
      <c r="AA3070" s="32">
        <v>1.7330000000000001</v>
      </c>
      <c r="AB3070">
        <v>0</v>
      </c>
      <c r="AC3070" s="34">
        <v>0.224</v>
      </c>
      <c r="AD3070" s="32">
        <v>5.3879999999999999</v>
      </c>
    </row>
    <row r="3071" spans="1:30">
      <c r="A3071">
        <v>3069</v>
      </c>
      <c r="B3071">
        <v>47</v>
      </c>
      <c r="C3071">
        <v>3.0979999999999999</v>
      </c>
      <c r="D3071">
        <v>5.71</v>
      </c>
      <c r="E3071">
        <v>0</v>
      </c>
      <c r="F3071">
        <v>1.879</v>
      </c>
      <c r="G3071">
        <v>0</v>
      </c>
      <c r="H3071">
        <v>0.20599999999999999</v>
      </c>
      <c r="I3071">
        <v>6.0090000000000003</v>
      </c>
      <c r="K3071">
        <v>3069</v>
      </c>
      <c r="L3071">
        <v>47</v>
      </c>
      <c r="M3071" s="32">
        <v>3.0979999999999999</v>
      </c>
      <c r="N3071" s="47">
        <v>5.8220000000000001</v>
      </c>
      <c r="P3071" s="47">
        <v>1.881</v>
      </c>
      <c r="R3071" s="47">
        <v>0.20899999999999999</v>
      </c>
      <c r="S3071" s="47">
        <v>5.8230000000000004</v>
      </c>
      <c r="T3071" s="31">
        <v>0</v>
      </c>
      <c r="V3071">
        <v>3069</v>
      </c>
      <c r="W3071">
        <v>44</v>
      </c>
      <c r="X3071">
        <v>3.11</v>
      </c>
      <c r="Y3071" s="32">
        <v>5.85</v>
      </c>
      <c r="Z3071">
        <v>0</v>
      </c>
      <c r="AA3071" s="32">
        <v>1.7330000000000001</v>
      </c>
      <c r="AB3071">
        <v>0</v>
      </c>
      <c r="AC3071" s="34">
        <v>0.224</v>
      </c>
      <c r="AD3071" s="32">
        <v>5.39</v>
      </c>
    </row>
    <row r="3072" spans="1:30">
      <c r="A3072">
        <v>3070</v>
      </c>
      <c r="B3072">
        <v>47</v>
      </c>
      <c r="C3072">
        <v>3.0990000000000002</v>
      </c>
      <c r="D3072">
        <v>5.71</v>
      </c>
      <c r="E3072">
        <v>0</v>
      </c>
      <c r="F3072">
        <v>1.879</v>
      </c>
      <c r="G3072">
        <v>0</v>
      </c>
      <c r="H3072">
        <v>0.20599999999999999</v>
      </c>
      <c r="I3072">
        <v>6.0110000000000001</v>
      </c>
      <c r="K3072">
        <v>3070</v>
      </c>
      <c r="L3072">
        <v>47</v>
      </c>
      <c r="M3072" s="32">
        <v>3.0990000000000002</v>
      </c>
      <c r="N3072" s="47">
        <v>5.8360000000000003</v>
      </c>
      <c r="P3072" s="47">
        <v>1.881</v>
      </c>
      <c r="R3072" s="47">
        <v>0.20899999999999999</v>
      </c>
      <c r="S3072" s="47">
        <v>5.8259999999999996</v>
      </c>
      <c r="T3072" s="31">
        <v>0</v>
      </c>
      <c r="V3072">
        <v>3070</v>
      </c>
      <c r="W3072">
        <v>44</v>
      </c>
      <c r="X3072">
        <v>3.1110000000000002</v>
      </c>
      <c r="Y3072" s="32">
        <v>5.85</v>
      </c>
      <c r="Z3072">
        <v>0</v>
      </c>
      <c r="AA3072" s="32">
        <v>1.7330000000000001</v>
      </c>
      <c r="AB3072">
        <v>0</v>
      </c>
      <c r="AC3072" s="34">
        <v>0.224</v>
      </c>
      <c r="AD3072" s="32">
        <v>5.3929999999999998</v>
      </c>
    </row>
    <row r="3073" spans="1:30">
      <c r="A3073">
        <v>3071</v>
      </c>
      <c r="B3073">
        <v>48</v>
      </c>
      <c r="C3073">
        <v>3.1</v>
      </c>
      <c r="D3073">
        <v>5.85</v>
      </c>
      <c r="E3073">
        <v>0</v>
      </c>
      <c r="F3073">
        <v>1.881</v>
      </c>
      <c r="G3073">
        <v>0</v>
      </c>
      <c r="H3073">
        <v>0.20899999999999999</v>
      </c>
      <c r="I3073">
        <v>5.8280000000000003</v>
      </c>
      <c r="K3073">
        <v>3071</v>
      </c>
      <c r="L3073">
        <v>48</v>
      </c>
      <c r="M3073" s="32">
        <v>3.1</v>
      </c>
      <c r="N3073" s="32">
        <v>5.85</v>
      </c>
      <c r="P3073" s="32">
        <v>1.881</v>
      </c>
      <c r="R3073" s="32">
        <v>0.20899999999999999</v>
      </c>
      <c r="S3073" s="32">
        <v>5.8280000000000003</v>
      </c>
      <c r="T3073" s="31">
        <v>0</v>
      </c>
      <c r="V3073">
        <v>3071</v>
      </c>
      <c r="W3073">
        <v>44</v>
      </c>
      <c r="X3073">
        <v>3.1120000000000001</v>
      </c>
      <c r="Y3073" s="32">
        <v>5.85</v>
      </c>
      <c r="Z3073">
        <v>0</v>
      </c>
      <c r="AA3073" s="32">
        <v>1.734</v>
      </c>
      <c r="AB3073">
        <v>0</v>
      </c>
      <c r="AC3073" s="34">
        <v>0.224</v>
      </c>
      <c r="AD3073" s="32">
        <v>5.3949999999999996</v>
      </c>
    </row>
    <row r="3074" spans="1:30">
      <c r="A3074">
        <v>3072</v>
      </c>
      <c r="B3074">
        <v>48</v>
      </c>
      <c r="C3074">
        <v>3.101</v>
      </c>
      <c r="D3074">
        <v>5.85</v>
      </c>
      <c r="E3074">
        <v>0</v>
      </c>
      <c r="F3074">
        <v>1.881</v>
      </c>
      <c r="G3074">
        <v>0</v>
      </c>
      <c r="H3074">
        <v>0.20899999999999999</v>
      </c>
      <c r="I3074">
        <v>5.8310000000000004</v>
      </c>
      <c r="K3074">
        <v>3072</v>
      </c>
      <c r="L3074">
        <v>48</v>
      </c>
      <c r="M3074" s="32">
        <v>3.101</v>
      </c>
      <c r="N3074" s="32">
        <v>5.85</v>
      </c>
      <c r="P3074" s="32">
        <v>1.881</v>
      </c>
      <c r="R3074" s="32">
        <v>0.20899999999999999</v>
      </c>
      <c r="S3074" s="32">
        <v>5.8310000000000004</v>
      </c>
      <c r="T3074" s="31">
        <v>0</v>
      </c>
      <c r="V3074">
        <v>3072</v>
      </c>
      <c r="W3074">
        <v>44</v>
      </c>
      <c r="X3074">
        <v>3.113</v>
      </c>
      <c r="Y3074" s="32">
        <v>5.85</v>
      </c>
      <c r="Z3074">
        <v>0</v>
      </c>
      <c r="AA3074" s="32">
        <v>1.734</v>
      </c>
      <c r="AB3074">
        <v>0</v>
      </c>
      <c r="AC3074" s="34">
        <v>0.224</v>
      </c>
      <c r="AD3074" s="32">
        <v>5.3970000000000002</v>
      </c>
    </row>
    <row r="3075" spans="1:30">
      <c r="A3075">
        <v>3073</v>
      </c>
      <c r="B3075">
        <v>48</v>
      </c>
      <c r="C3075">
        <v>3.1019999999999999</v>
      </c>
      <c r="D3075">
        <v>5.86</v>
      </c>
      <c r="E3075">
        <v>0</v>
      </c>
      <c r="F3075">
        <v>1.8819999999999999</v>
      </c>
      <c r="G3075">
        <v>0</v>
      </c>
      <c r="H3075">
        <v>0.20899999999999999</v>
      </c>
      <c r="I3075">
        <v>5.8330000000000002</v>
      </c>
      <c r="K3075">
        <v>3073</v>
      </c>
      <c r="L3075">
        <v>48</v>
      </c>
      <c r="M3075" s="32">
        <v>3.1019999999999999</v>
      </c>
      <c r="N3075" s="47">
        <v>5.85</v>
      </c>
      <c r="P3075" s="32">
        <v>1.8819999999999999</v>
      </c>
      <c r="R3075" s="32">
        <v>0.20899999999999999</v>
      </c>
      <c r="S3075" s="47">
        <v>5.8339999999999996</v>
      </c>
      <c r="T3075" s="31">
        <v>0</v>
      </c>
      <c r="V3075">
        <v>3073</v>
      </c>
      <c r="W3075">
        <v>44</v>
      </c>
      <c r="X3075">
        <v>3.1139999999999999</v>
      </c>
      <c r="Y3075" s="32">
        <v>5.85</v>
      </c>
      <c r="Z3075">
        <v>0</v>
      </c>
      <c r="AA3075" s="32">
        <v>1.734</v>
      </c>
      <c r="AB3075">
        <v>0</v>
      </c>
      <c r="AC3075" s="34">
        <v>0.224</v>
      </c>
      <c r="AD3075" s="32">
        <v>5.4</v>
      </c>
    </row>
    <row r="3076" spans="1:30">
      <c r="A3076">
        <v>3074</v>
      </c>
      <c r="B3076">
        <v>48</v>
      </c>
      <c r="C3076">
        <v>3.1030000000000002</v>
      </c>
      <c r="D3076">
        <v>5.86</v>
      </c>
      <c r="E3076">
        <v>0</v>
      </c>
      <c r="F3076">
        <v>1.8819999999999999</v>
      </c>
      <c r="G3076">
        <v>0</v>
      </c>
      <c r="H3076">
        <v>0.20899999999999999</v>
      </c>
      <c r="I3076">
        <v>5.8360000000000003</v>
      </c>
      <c r="K3076">
        <v>3074</v>
      </c>
      <c r="L3076">
        <v>48</v>
      </c>
      <c r="M3076" s="32">
        <v>3.1030000000000002</v>
      </c>
      <c r="N3076" s="47">
        <v>5.85</v>
      </c>
      <c r="P3076" s="32">
        <v>1.8819999999999999</v>
      </c>
      <c r="R3076" s="32">
        <v>0.20899999999999999</v>
      </c>
      <c r="S3076" s="47">
        <v>5.8369999999999997</v>
      </c>
      <c r="T3076" s="31">
        <v>0</v>
      </c>
      <c r="V3076">
        <v>3074</v>
      </c>
      <c r="W3076">
        <v>44</v>
      </c>
      <c r="X3076">
        <v>3.1150000000000002</v>
      </c>
      <c r="Y3076" s="32">
        <v>5.85</v>
      </c>
      <c r="Z3076">
        <v>0</v>
      </c>
      <c r="AA3076" s="32">
        <v>1.734</v>
      </c>
      <c r="AB3076">
        <v>0</v>
      </c>
      <c r="AC3076" s="34">
        <v>0.224</v>
      </c>
      <c r="AD3076" s="32">
        <v>5.4020000000000001</v>
      </c>
    </row>
    <row r="3077" spans="1:30">
      <c r="A3077">
        <v>3075</v>
      </c>
      <c r="B3077">
        <v>48</v>
      </c>
      <c r="C3077">
        <v>3.1040000000000001</v>
      </c>
      <c r="D3077">
        <v>5.86</v>
      </c>
      <c r="E3077">
        <v>0</v>
      </c>
      <c r="F3077">
        <v>1.8819999999999999</v>
      </c>
      <c r="G3077">
        <v>0</v>
      </c>
      <c r="H3077">
        <v>0.20899999999999999</v>
      </c>
      <c r="I3077">
        <v>5.8390000000000004</v>
      </c>
      <c r="K3077">
        <v>3075</v>
      </c>
      <c r="L3077">
        <v>48</v>
      </c>
      <c r="M3077" s="32">
        <v>3.1040000000000001</v>
      </c>
      <c r="N3077" s="47">
        <v>5.85</v>
      </c>
      <c r="P3077" s="32">
        <v>1.8819999999999999</v>
      </c>
      <c r="R3077" s="32">
        <v>0.20899999999999999</v>
      </c>
      <c r="S3077" s="47">
        <v>5.84</v>
      </c>
      <c r="T3077" s="31">
        <v>0</v>
      </c>
      <c r="V3077">
        <v>3075</v>
      </c>
      <c r="W3077">
        <v>44</v>
      </c>
      <c r="X3077">
        <v>3.1160000000000001</v>
      </c>
      <c r="Y3077" s="32">
        <v>5.85</v>
      </c>
      <c r="Z3077">
        <v>0</v>
      </c>
      <c r="AA3077" s="32">
        <v>1.734</v>
      </c>
      <c r="AB3077">
        <v>0</v>
      </c>
      <c r="AC3077" s="34">
        <v>0.224</v>
      </c>
      <c r="AD3077" s="32">
        <v>5.4050000000000002</v>
      </c>
    </row>
    <row r="3078" spans="1:30">
      <c r="A3078">
        <v>3076</v>
      </c>
      <c r="B3078">
        <v>48</v>
      </c>
      <c r="C3078">
        <v>3.105</v>
      </c>
      <c r="D3078">
        <v>5.86</v>
      </c>
      <c r="E3078">
        <v>0</v>
      </c>
      <c r="F3078">
        <v>1.8819999999999999</v>
      </c>
      <c r="G3078">
        <v>0</v>
      </c>
      <c r="H3078">
        <v>0.20899999999999999</v>
      </c>
      <c r="I3078">
        <v>5.8410000000000002</v>
      </c>
      <c r="K3078">
        <v>3076</v>
      </c>
      <c r="L3078">
        <v>48</v>
      </c>
      <c r="M3078" s="32">
        <v>3.105</v>
      </c>
      <c r="N3078" s="47">
        <v>5.85</v>
      </c>
      <c r="P3078" s="47">
        <v>1.883</v>
      </c>
      <c r="R3078" s="32">
        <v>0.20899999999999999</v>
      </c>
      <c r="S3078" s="47">
        <v>5.843</v>
      </c>
      <c r="T3078" s="31">
        <v>0</v>
      </c>
      <c r="V3078">
        <v>3076</v>
      </c>
      <c r="W3078">
        <v>44</v>
      </c>
      <c r="X3078">
        <v>3.117</v>
      </c>
      <c r="Y3078" s="32">
        <v>5.85</v>
      </c>
      <c r="Z3078">
        <v>0</v>
      </c>
      <c r="AA3078" s="32">
        <v>1.7350000000000001</v>
      </c>
      <c r="AB3078">
        <v>0</v>
      </c>
      <c r="AC3078" s="34">
        <v>0.224</v>
      </c>
      <c r="AD3078" s="32">
        <v>5.407</v>
      </c>
    </row>
    <row r="3079" spans="1:30">
      <c r="A3079">
        <v>3077</v>
      </c>
      <c r="B3079">
        <v>48</v>
      </c>
      <c r="C3079">
        <v>3.1059999999999999</v>
      </c>
      <c r="D3079">
        <v>5.87</v>
      </c>
      <c r="E3079">
        <v>0</v>
      </c>
      <c r="F3079">
        <v>1.883</v>
      </c>
      <c r="G3079">
        <v>0</v>
      </c>
      <c r="H3079">
        <v>0.20899999999999999</v>
      </c>
      <c r="I3079">
        <v>5.8440000000000003</v>
      </c>
      <c r="K3079">
        <v>3077</v>
      </c>
      <c r="L3079">
        <v>48</v>
      </c>
      <c r="M3079" s="32">
        <v>3.1059999999999999</v>
      </c>
      <c r="N3079" s="47">
        <v>5.85</v>
      </c>
      <c r="P3079" s="32">
        <v>1.883</v>
      </c>
      <c r="R3079" s="32">
        <v>0.20899999999999999</v>
      </c>
      <c r="S3079" s="47">
        <v>5.8460000000000001</v>
      </c>
      <c r="T3079" s="31">
        <v>0</v>
      </c>
      <c r="V3079">
        <v>3077</v>
      </c>
      <c r="W3079">
        <v>44</v>
      </c>
      <c r="X3079">
        <v>3.1179999999999999</v>
      </c>
      <c r="Y3079" s="32">
        <v>5.85</v>
      </c>
      <c r="Z3079">
        <v>0</v>
      </c>
      <c r="AA3079" s="32">
        <v>1.7350000000000001</v>
      </c>
      <c r="AB3079">
        <v>0</v>
      </c>
      <c r="AC3079" s="34">
        <v>0.224</v>
      </c>
      <c r="AD3079" s="32">
        <v>5.4089999999999998</v>
      </c>
    </row>
    <row r="3080" spans="1:30">
      <c r="A3080">
        <v>3078</v>
      </c>
      <c r="B3080">
        <v>48</v>
      </c>
      <c r="C3080">
        <v>3.1070000000000002</v>
      </c>
      <c r="D3080">
        <v>5.87</v>
      </c>
      <c r="E3080">
        <v>0</v>
      </c>
      <c r="F3080">
        <v>1.883</v>
      </c>
      <c r="G3080">
        <v>0</v>
      </c>
      <c r="H3080">
        <v>0.20899999999999999</v>
      </c>
      <c r="I3080">
        <v>5.8470000000000004</v>
      </c>
      <c r="K3080">
        <v>3078</v>
      </c>
      <c r="L3080">
        <v>48</v>
      </c>
      <c r="M3080" s="32">
        <v>3.1070000000000002</v>
      </c>
      <c r="N3080" s="47">
        <v>5.85</v>
      </c>
      <c r="P3080" s="32">
        <v>1.883</v>
      </c>
      <c r="R3080" s="47">
        <v>0.21</v>
      </c>
      <c r="S3080" s="47">
        <v>5.8490000000000002</v>
      </c>
      <c r="T3080" s="31">
        <v>0</v>
      </c>
      <c r="V3080">
        <v>3078</v>
      </c>
      <c r="W3080">
        <v>44</v>
      </c>
      <c r="X3080">
        <v>3.1190000000000002</v>
      </c>
      <c r="Y3080" s="32">
        <v>5.85</v>
      </c>
      <c r="Z3080">
        <v>0</v>
      </c>
      <c r="AA3080" s="32">
        <v>1.7350000000000001</v>
      </c>
      <c r="AB3080">
        <v>0</v>
      </c>
      <c r="AC3080" s="34">
        <v>0.224</v>
      </c>
      <c r="AD3080" s="32">
        <v>5.4119999999999999</v>
      </c>
    </row>
    <row r="3081" spans="1:30">
      <c r="A3081">
        <v>3079</v>
      </c>
      <c r="B3081">
        <v>48</v>
      </c>
      <c r="C3081">
        <v>3.1080000000000001</v>
      </c>
      <c r="D3081">
        <v>5.87</v>
      </c>
      <c r="E3081">
        <v>0</v>
      </c>
      <c r="F3081">
        <v>1.883</v>
      </c>
      <c r="G3081">
        <v>0</v>
      </c>
      <c r="H3081">
        <v>0.20899999999999999</v>
      </c>
      <c r="I3081">
        <v>5.85</v>
      </c>
      <c r="K3081">
        <v>3079</v>
      </c>
      <c r="L3081">
        <v>48</v>
      </c>
      <c r="M3081" s="32">
        <v>3.1080000000000001</v>
      </c>
      <c r="N3081" s="47">
        <v>5.85</v>
      </c>
      <c r="P3081" s="32">
        <v>1.883</v>
      </c>
      <c r="R3081" s="47">
        <v>0.21</v>
      </c>
      <c r="S3081" s="47">
        <v>5.8520000000000003</v>
      </c>
      <c r="T3081" s="31">
        <v>0</v>
      </c>
      <c r="V3081">
        <v>3079</v>
      </c>
      <c r="W3081">
        <v>44</v>
      </c>
      <c r="X3081">
        <v>3.12</v>
      </c>
      <c r="Y3081" s="32">
        <v>5.85</v>
      </c>
      <c r="Z3081">
        <v>0</v>
      </c>
      <c r="AA3081" s="32">
        <v>1.7350000000000001</v>
      </c>
      <c r="AB3081">
        <v>0</v>
      </c>
      <c r="AC3081" s="34">
        <v>0.224</v>
      </c>
      <c r="AD3081" s="32">
        <v>5.4139999999999997</v>
      </c>
    </row>
    <row r="3082" spans="1:30">
      <c r="A3082">
        <v>3080</v>
      </c>
      <c r="B3082">
        <v>48</v>
      </c>
      <c r="C3082">
        <v>3.109</v>
      </c>
      <c r="D3082">
        <v>5.87</v>
      </c>
      <c r="E3082">
        <v>0</v>
      </c>
      <c r="F3082">
        <v>1.883</v>
      </c>
      <c r="G3082">
        <v>0</v>
      </c>
      <c r="H3082">
        <v>0.20899999999999999</v>
      </c>
      <c r="I3082">
        <v>5.8520000000000003</v>
      </c>
      <c r="K3082">
        <v>3080</v>
      </c>
      <c r="L3082">
        <v>48</v>
      </c>
      <c r="M3082" s="32">
        <v>3.109</v>
      </c>
      <c r="N3082" s="47">
        <v>5.85</v>
      </c>
      <c r="P3082" s="47">
        <v>1.8839999999999999</v>
      </c>
      <c r="R3082" s="47">
        <v>0.21</v>
      </c>
      <c r="S3082" s="47">
        <v>5.8550000000000004</v>
      </c>
      <c r="T3082" s="31">
        <v>0</v>
      </c>
      <c r="V3082">
        <v>3080</v>
      </c>
      <c r="W3082">
        <v>44</v>
      </c>
      <c r="X3082">
        <v>3.121</v>
      </c>
      <c r="Y3082" s="32">
        <v>5.85</v>
      </c>
      <c r="Z3082">
        <v>0</v>
      </c>
      <c r="AA3082" s="32">
        <v>1.736</v>
      </c>
      <c r="AB3082">
        <v>0</v>
      </c>
      <c r="AC3082" s="34">
        <v>0.22500000000000001</v>
      </c>
      <c r="AD3082" s="32">
        <v>5.4169999999999998</v>
      </c>
    </row>
    <row r="3083" spans="1:30">
      <c r="A3083">
        <v>3081</v>
      </c>
      <c r="B3083">
        <v>48</v>
      </c>
      <c r="C3083">
        <v>3.11</v>
      </c>
      <c r="D3083">
        <v>5.85</v>
      </c>
      <c r="E3083">
        <v>0</v>
      </c>
      <c r="F3083">
        <v>1.8839999999999999</v>
      </c>
      <c r="G3083">
        <v>0</v>
      </c>
      <c r="H3083">
        <v>0.20899999999999999</v>
      </c>
      <c r="I3083">
        <v>5.8579999999999997</v>
      </c>
      <c r="K3083">
        <v>3081</v>
      </c>
      <c r="L3083">
        <v>48</v>
      </c>
      <c r="M3083" s="32">
        <v>3.11</v>
      </c>
      <c r="N3083" s="32">
        <v>5.85</v>
      </c>
      <c r="P3083" s="32">
        <v>1.8839999999999999</v>
      </c>
      <c r="R3083" s="47">
        <v>0.21</v>
      </c>
      <c r="S3083" s="32">
        <v>5.8579999999999997</v>
      </c>
      <c r="T3083" s="31">
        <v>0</v>
      </c>
      <c r="V3083">
        <v>3081</v>
      </c>
      <c r="W3083">
        <v>44</v>
      </c>
      <c r="X3083">
        <v>3.1219999999999999</v>
      </c>
      <c r="Y3083" s="32">
        <v>5.85</v>
      </c>
      <c r="Z3083">
        <v>0</v>
      </c>
      <c r="AA3083" s="32">
        <v>1.736</v>
      </c>
      <c r="AB3083">
        <v>0</v>
      </c>
      <c r="AC3083" s="34">
        <v>0.22500000000000001</v>
      </c>
      <c r="AD3083" s="32">
        <v>5.4189999999999996</v>
      </c>
    </row>
    <row r="3084" spans="1:30">
      <c r="A3084">
        <v>3082</v>
      </c>
      <c r="B3084">
        <v>48</v>
      </c>
      <c r="C3084">
        <v>3.1110000000000002</v>
      </c>
      <c r="D3084">
        <v>5.85</v>
      </c>
      <c r="E3084">
        <v>0</v>
      </c>
      <c r="F3084">
        <v>1.8839999999999999</v>
      </c>
      <c r="G3084">
        <v>0</v>
      </c>
      <c r="H3084">
        <v>0.20899999999999999</v>
      </c>
      <c r="I3084">
        <v>5.8879999999999999</v>
      </c>
      <c r="K3084">
        <v>3082</v>
      </c>
      <c r="L3084">
        <v>48</v>
      </c>
      <c r="M3084" s="32">
        <v>3.1110000000000002</v>
      </c>
      <c r="N3084" s="32">
        <v>5.85</v>
      </c>
      <c r="P3084" s="32">
        <v>1.8839999999999999</v>
      </c>
      <c r="R3084" s="47">
        <v>0.21</v>
      </c>
      <c r="S3084" s="47">
        <v>5.8609999999999998</v>
      </c>
      <c r="T3084" s="31">
        <v>0</v>
      </c>
      <c r="V3084">
        <v>3082</v>
      </c>
      <c r="W3084">
        <v>44</v>
      </c>
      <c r="X3084">
        <v>3.1230000000000002</v>
      </c>
      <c r="Y3084" s="32">
        <v>5.85</v>
      </c>
      <c r="Z3084">
        <v>0</v>
      </c>
      <c r="AA3084" s="32">
        <v>1.736</v>
      </c>
      <c r="AB3084">
        <v>0</v>
      </c>
      <c r="AC3084" s="34">
        <v>0.22500000000000001</v>
      </c>
      <c r="AD3084" s="32">
        <v>5.4219999999999997</v>
      </c>
    </row>
    <row r="3085" spans="1:30">
      <c r="A3085">
        <v>3083</v>
      </c>
      <c r="B3085">
        <v>48</v>
      </c>
      <c r="C3085">
        <v>3.1120000000000001</v>
      </c>
      <c r="D3085">
        <v>5.85</v>
      </c>
      <c r="E3085">
        <v>0</v>
      </c>
      <c r="F3085">
        <v>1.8839999999999999</v>
      </c>
      <c r="G3085">
        <v>0</v>
      </c>
      <c r="H3085">
        <v>0.20899999999999999</v>
      </c>
      <c r="I3085">
        <v>5.89</v>
      </c>
      <c r="K3085">
        <v>3083</v>
      </c>
      <c r="L3085">
        <v>48</v>
      </c>
      <c r="M3085" s="32">
        <v>3.1120000000000001</v>
      </c>
      <c r="N3085" s="32">
        <v>5.85</v>
      </c>
      <c r="P3085" s="32">
        <v>1.8839999999999999</v>
      </c>
      <c r="R3085" s="47">
        <v>0.21</v>
      </c>
      <c r="S3085" s="47">
        <v>5.8630000000000004</v>
      </c>
      <c r="T3085" s="31">
        <v>0</v>
      </c>
      <c r="V3085">
        <v>3083</v>
      </c>
      <c r="W3085">
        <v>44</v>
      </c>
      <c r="X3085">
        <v>3.1240000000000001</v>
      </c>
      <c r="Y3085" s="32">
        <v>5.85</v>
      </c>
      <c r="Z3085">
        <v>0</v>
      </c>
      <c r="AA3085" s="32">
        <v>1.736</v>
      </c>
      <c r="AB3085">
        <v>0</v>
      </c>
      <c r="AC3085" s="34">
        <v>0.22500000000000001</v>
      </c>
      <c r="AD3085" s="32">
        <v>5.4240000000000004</v>
      </c>
    </row>
    <row r="3086" spans="1:30">
      <c r="A3086">
        <v>3084</v>
      </c>
      <c r="B3086">
        <v>48</v>
      </c>
      <c r="C3086">
        <v>3.113</v>
      </c>
      <c r="D3086">
        <v>5.85</v>
      </c>
      <c r="E3086">
        <v>0</v>
      </c>
      <c r="F3086">
        <v>1.8839999999999999</v>
      </c>
      <c r="G3086">
        <v>0</v>
      </c>
      <c r="H3086">
        <v>0.20899999999999999</v>
      </c>
      <c r="I3086">
        <v>5.8929999999999998</v>
      </c>
      <c r="K3086">
        <v>3084</v>
      </c>
      <c r="L3086">
        <v>48</v>
      </c>
      <c r="M3086" s="32">
        <v>3.113</v>
      </c>
      <c r="N3086" s="32">
        <v>5.85</v>
      </c>
      <c r="P3086" s="47">
        <v>1.885</v>
      </c>
      <c r="R3086" s="47">
        <v>0.21</v>
      </c>
      <c r="S3086" s="47">
        <v>5.8659999999999997</v>
      </c>
      <c r="T3086" s="31">
        <v>0</v>
      </c>
      <c r="V3086">
        <v>3084</v>
      </c>
      <c r="W3086">
        <v>44</v>
      </c>
      <c r="X3086">
        <v>3.125</v>
      </c>
      <c r="Y3086" s="32">
        <v>5.85</v>
      </c>
      <c r="Z3086">
        <v>0</v>
      </c>
      <c r="AA3086" s="32">
        <v>1.7370000000000001</v>
      </c>
      <c r="AB3086">
        <v>0</v>
      </c>
      <c r="AC3086" s="34">
        <v>0.22500000000000001</v>
      </c>
      <c r="AD3086" s="32">
        <v>5.4260000000000002</v>
      </c>
    </row>
    <row r="3087" spans="1:30">
      <c r="A3087">
        <v>3085</v>
      </c>
      <c r="B3087">
        <v>48</v>
      </c>
      <c r="C3087">
        <v>3.1139999999999999</v>
      </c>
      <c r="D3087">
        <v>5.85</v>
      </c>
      <c r="E3087">
        <v>0</v>
      </c>
      <c r="F3087">
        <v>1.8839999999999999</v>
      </c>
      <c r="G3087">
        <v>0</v>
      </c>
      <c r="H3087">
        <v>0.20899999999999999</v>
      </c>
      <c r="I3087">
        <v>5.8959999999999999</v>
      </c>
      <c r="K3087">
        <v>3085</v>
      </c>
      <c r="L3087">
        <v>48</v>
      </c>
      <c r="M3087" s="32">
        <v>3.1139999999999999</v>
      </c>
      <c r="N3087" s="32">
        <v>5.85</v>
      </c>
      <c r="P3087" s="47">
        <v>1.885</v>
      </c>
      <c r="R3087" s="47">
        <v>0.21</v>
      </c>
      <c r="S3087" s="47">
        <v>5.8689999999999998</v>
      </c>
      <c r="T3087" s="31">
        <v>0</v>
      </c>
      <c r="V3087">
        <v>3085</v>
      </c>
      <c r="W3087">
        <v>44</v>
      </c>
      <c r="X3087">
        <v>3.1259999999999999</v>
      </c>
      <c r="Y3087" s="32">
        <v>5.85</v>
      </c>
      <c r="Z3087">
        <v>0</v>
      </c>
      <c r="AA3087" s="32">
        <v>1.7370000000000001</v>
      </c>
      <c r="AB3087">
        <v>0</v>
      </c>
      <c r="AC3087" s="34">
        <v>0.22500000000000001</v>
      </c>
      <c r="AD3087" s="32">
        <v>5.4290000000000003</v>
      </c>
    </row>
    <row r="3088" spans="1:30">
      <c r="A3088">
        <v>3086</v>
      </c>
      <c r="B3088">
        <v>48</v>
      </c>
      <c r="C3088">
        <v>3.1150000000000002</v>
      </c>
      <c r="D3088">
        <v>5.85</v>
      </c>
      <c r="E3088">
        <v>0</v>
      </c>
      <c r="F3088">
        <v>1.8839999999999999</v>
      </c>
      <c r="G3088">
        <v>0</v>
      </c>
      <c r="H3088">
        <v>0.20899999999999999</v>
      </c>
      <c r="I3088">
        <v>5.8979999999999997</v>
      </c>
      <c r="K3088">
        <v>3086</v>
      </c>
      <c r="L3088">
        <v>48</v>
      </c>
      <c r="M3088" s="32">
        <v>3.1150000000000002</v>
      </c>
      <c r="N3088" s="32">
        <v>5.85</v>
      </c>
      <c r="P3088" s="47">
        <v>1.885</v>
      </c>
      <c r="R3088" s="47">
        <v>0.21</v>
      </c>
      <c r="S3088" s="47">
        <v>5.8719999999999999</v>
      </c>
      <c r="T3088" s="31">
        <v>0</v>
      </c>
      <c r="V3088">
        <v>3086</v>
      </c>
      <c r="W3088">
        <v>44</v>
      </c>
      <c r="X3088">
        <v>3.1269999999999998</v>
      </c>
      <c r="Y3088" s="32">
        <v>5.85</v>
      </c>
      <c r="Z3088">
        <v>0</v>
      </c>
      <c r="AA3088" s="32">
        <v>1.7370000000000001</v>
      </c>
      <c r="AB3088">
        <v>0</v>
      </c>
      <c r="AC3088" s="34">
        <v>0.22500000000000001</v>
      </c>
      <c r="AD3088" s="32">
        <v>5.431</v>
      </c>
    </row>
    <row r="3089" spans="1:30">
      <c r="A3089">
        <v>3087</v>
      </c>
      <c r="B3089">
        <v>48</v>
      </c>
      <c r="C3089">
        <v>3.1160000000000001</v>
      </c>
      <c r="D3089">
        <v>5.85</v>
      </c>
      <c r="E3089">
        <v>0</v>
      </c>
      <c r="F3089">
        <v>1.8839999999999999</v>
      </c>
      <c r="G3089">
        <v>0</v>
      </c>
      <c r="H3089">
        <v>0.20899999999999999</v>
      </c>
      <c r="I3089">
        <v>5.9009999999999998</v>
      </c>
      <c r="K3089">
        <v>3087</v>
      </c>
      <c r="L3089">
        <v>48</v>
      </c>
      <c r="M3089" s="32">
        <v>3.1160000000000001</v>
      </c>
      <c r="N3089" s="32">
        <v>5.85</v>
      </c>
      <c r="P3089" s="47">
        <v>1.885</v>
      </c>
      <c r="R3089" s="47">
        <v>0.21</v>
      </c>
      <c r="S3089" s="47">
        <v>5.8739999999999997</v>
      </c>
      <c r="T3089" s="31">
        <v>0</v>
      </c>
      <c r="V3089">
        <v>3087</v>
      </c>
      <c r="W3089">
        <v>44</v>
      </c>
      <c r="X3089">
        <v>3.1280000000000001</v>
      </c>
      <c r="Y3089" s="32">
        <v>5.85</v>
      </c>
      <c r="Z3089">
        <v>0</v>
      </c>
      <c r="AA3089" s="32">
        <v>1.7370000000000001</v>
      </c>
      <c r="AB3089">
        <v>0</v>
      </c>
      <c r="AC3089" s="34">
        <v>0.22500000000000001</v>
      </c>
      <c r="AD3089" s="32">
        <v>5.4340000000000002</v>
      </c>
    </row>
    <row r="3090" spans="1:30">
      <c r="A3090">
        <v>3088</v>
      </c>
      <c r="B3090">
        <v>48</v>
      </c>
      <c r="C3090">
        <v>3.117</v>
      </c>
      <c r="D3090">
        <v>5.85</v>
      </c>
      <c r="E3090">
        <v>0</v>
      </c>
      <c r="F3090">
        <v>1.8839999999999999</v>
      </c>
      <c r="G3090">
        <v>0</v>
      </c>
      <c r="H3090">
        <v>0.20899999999999999</v>
      </c>
      <c r="I3090">
        <v>5.9039999999999999</v>
      </c>
      <c r="K3090">
        <v>3088</v>
      </c>
      <c r="L3090">
        <v>48</v>
      </c>
      <c r="M3090" s="32">
        <v>3.117</v>
      </c>
      <c r="N3090" s="32">
        <v>5.85</v>
      </c>
      <c r="P3090" s="47">
        <v>1.885</v>
      </c>
      <c r="R3090" s="47">
        <v>0.21</v>
      </c>
      <c r="S3090" s="47">
        <v>5.8769999999999998</v>
      </c>
      <c r="T3090" s="31">
        <v>0</v>
      </c>
      <c r="V3090">
        <v>3088</v>
      </c>
      <c r="W3090">
        <v>44</v>
      </c>
      <c r="X3090">
        <v>3.129</v>
      </c>
      <c r="Y3090" s="32">
        <v>5.85</v>
      </c>
      <c r="Z3090">
        <v>0</v>
      </c>
      <c r="AA3090" s="32">
        <v>1.7370000000000001</v>
      </c>
      <c r="AB3090">
        <v>0</v>
      </c>
      <c r="AC3090" s="34">
        <v>0.22500000000000001</v>
      </c>
      <c r="AD3090" s="32">
        <v>5.4359999999999999</v>
      </c>
    </row>
    <row r="3091" spans="1:30">
      <c r="A3091">
        <v>3089</v>
      </c>
      <c r="B3091">
        <v>48</v>
      </c>
      <c r="C3091">
        <v>3.1179999999999999</v>
      </c>
      <c r="D3091">
        <v>5.85</v>
      </c>
      <c r="E3091">
        <v>0</v>
      </c>
      <c r="F3091">
        <v>1.8839999999999999</v>
      </c>
      <c r="G3091">
        <v>0</v>
      </c>
      <c r="H3091">
        <v>0.20899999999999999</v>
      </c>
      <c r="I3091">
        <v>5.9059999999999997</v>
      </c>
      <c r="K3091">
        <v>3089</v>
      </c>
      <c r="L3091">
        <v>48</v>
      </c>
      <c r="M3091" s="32">
        <v>3.1179999999999999</v>
      </c>
      <c r="N3091" s="32">
        <v>5.85</v>
      </c>
      <c r="P3091" s="47">
        <v>1.8859999999999999</v>
      </c>
      <c r="R3091" s="47">
        <v>0.21</v>
      </c>
      <c r="S3091" s="47">
        <v>5.88</v>
      </c>
      <c r="T3091" s="31">
        <v>0</v>
      </c>
      <c r="V3091">
        <v>3089</v>
      </c>
      <c r="W3091">
        <v>44</v>
      </c>
      <c r="X3091">
        <v>3.13</v>
      </c>
      <c r="Y3091" s="32">
        <v>5.85</v>
      </c>
      <c r="Z3091">
        <v>0</v>
      </c>
      <c r="AA3091" s="32">
        <v>1.738</v>
      </c>
      <c r="AB3091">
        <v>0</v>
      </c>
      <c r="AC3091" s="34">
        <v>0.22500000000000001</v>
      </c>
      <c r="AD3091" s="32">
        <v>5.4379999999999997</v>
      </c>
    </row>
    <row r="3092" spans="1:30">
      <c r="A3092">
        <v>3090</v>
      </c>
      <c r="B3092">
        <v>48</v>
      </c>
      <c r="C3092">
        <v>3.1190000000000002</v>
      </c>
      <c r="D3092">
        <v>5.85</v>
      </c>
      <c r="E3092">
        <v>0</v>
      </c>
      <c r="F3092">
        <v>1.8839999999999999</v>
      </c>
      <c r="G3092">
        <v>0</v>
      </c>
      <c r="H3092">
        <v>0.20899999999999999</v>
      </c>
      <c r="I3092">
        <v>5.9089999999999998</v>
      </c>
      <c r="K3092">
        <v>3090</v>
      </c>
      <c r="L3092">
        <v>48</v>
      </c>
      <c r="M3092" s="32">
        <v>3.1190000000000002</v>
      </c>
      <c r="N3092" s="32">
        <v>5.85</v>
      </c>
      <c r="P3092" s="47">
        <v>1.8859999999999999</v>
      </c>
      <c r="R3092" s="47">
        <v>0.21</v>
      </c>
      <c r="S3092" s="47">
        <v>5.8819999999999997</v>
      </c>
      <c r="T3092" s="31">
        <v>0</v>
      </c>
      <c r="V3092">
        <v>3090</v>
      </c>
      <c r="W3092">
        <v>44</v>
      </c>
      <c r="X3092">
        <v>3.1309999999999998</v>
      </c>
      <c r="Y3092" s="32">
        <v>5.85</v>
      </c>
      <c r="Z3092">
        <v>0</v>
      </c>
      <c r="AA3092" s="32">
        <v>1.738</v>
      </c>
      <c r="AB3092">
        <v>0</v>
      </c>
      <c r="AC3092" s="34">
        <v>0.22500000000000001</v>
      </c>
      <c r="AD3092" s="32">
        <v>5.4409999999999998</v>
      </c>
    </row>
    <row r="3093" spans="1:30">
      <c r="A3093">
        <v>3091</v>
      </c>
      <c r="B3093">
        <v>48</v>
      </c>
      <c r="C3093">
        <v>3.12</v>
      </c>
      <c r="D3093">
        <v>5.85</v>
      </c>
      <c r="E3093">
        <v>0</v>
      </c>
      <c r="F3093">
        <v>1.8839999999999999</v>
      </c>
      <c r="G3093">
        <v>0</v>
      </c>
      <c r="H3093">
        <v>0.20899999999999999</v>
      </c>
      <c r="I3093">
        <v>5.9119999999999999</v>
      </c>
      <c r="K3093">
        <v>3091</v>
      </c>
      <c r="L3093">
        <v>48</v>
      </c>
      <c r="M3093" s="32">
        <v>3.12</v>
      </c>
      <c r="N3093" s="32">
        <v>5.85</v>
      </c>
      <c r="P3093" s="47">
        <v>1.8859999999999999</v>
      </c>
      <c r="R3093" s="47">
        <v>0.21099999999999999</v>
      </c>
      <c r="S3093" s="47">
        <v>5.8849999999999998</v>
      </c>
      <c r="T3093" s="31">
        <v>0</v>
      </c>
      <c r="V3093">
        <v>3091</v>
      </c>
      <c r="W3093">
        <v>44</v>
      </c>
      <c r="X3093">
        <v>3.1320000000000001</v>
      </c>
      <c r="Y3093" s="32">
        <v>5.85</v>
      </c>
      <c r="Z3093">
        <v>0</v>
      </c>
      <c r="AA3093" s="32">
        <v>1.738</v>
      </c>
      <c r="AB3093">
        <v>0</v>
      </c>
      <c r="AC3093" s="34">
        <v>0.22500000000000001</v>
      </c>
      <c r="AD3093" s="32">
        <v>5.4429999999999996</v>
      </c>
    </row>
    <row r="3094" spans="1:30">
      <c r="A3094">
        <v>3092</v>
      </c>
      <c r="B3094">
        <v>48</v>
      </c>
      <c r="C3094">
        <v>3.121</v>
      </c>
      <c r="D3094">
        <v>5.85</v>
      </c>
      <c r="E3094">
        <v>0</v>
      </c>
      <c r="F3094">
        <v>1.8859999999999999</v>
      </c>
      <c r="G3094">
        <v>0</v>
      </c>
      <c r="H3094">
        <v>0.20899999999999999</v>
      </c>
      <c r="I3094">
        <v>5.9409999999999998</v>
      </c>
      <c r="K3094">
        <v>3092</v>
      </c>
      <c r="L3094">
        <v>48</v>
      </c>
      <c r="M3094" s="32">
        <v>3.121</v>
      </c>
      <c r="N3094" s="32">
        <v>5.85</v>
      </c>
      <c r="P3094" s="32">
        <v>1.8859999999999999</v>
      </c>
      <c r="R3094" s="47">
        <v>0.21099999999999999</v>
      </c>
      <c r="S3094" s="47">
        <v>5.8879999999999999</v>
      </c>
      <c r="T3094" s="31">
        <v>0</v>
      </c>
      <c r="V3094">
        <v>3092</v>
      </c>
      <c r="W3094">
        <v>44</v>
      </c>
      <c r="X3094">
        <v>3.133</v>
      </c>
      <c r="Y3094" s="32">
        <v>5.85</v>
      </c>
      <c r="Z3094">
        <v>0</v>
      </c>
      <c r="AA3094" s="32">
        <v>1.738</v>
      </c>
      <c r="AB3094">
        <v>0</v>
      </c>
      <c r="AC3094" s="34">
        <v>0.22500000000000001</v>
      </c>
      <c r="AD3094" s="32">
        <v>5.4459999999999997</v>
      </c>
    </row>
    <row r="3095" spans="1:30">
      <c r="A3095">
        <v>3093</v>
      </c>
      <c r="B3095">
        <v>48</v>
      </c>
      <c r="C3095">
        <v>3.1219999999999999</v>
      </c>
      <c r="D3095">
        <v>5.85</v>
      </c>
      <c r="E3095">
        <v>0</v>
      </c>
      <c r="F3095">
        <v>1.8859999999999999</v>
      </c>
      <c r="G3095">
        <v>0</v>
      </c>
      <c r="H3095">
        <v>0.20899999999999999</v>
      </c>
      <c r="I3095">
        <v>5.944</v>
      </c>
      <c r="K3095">
        <v>3093</v>
      </c>
      <c r="L3095">
        <v>48</v>
      </c>
      <c r="M3095" s="32">
        <v>3.1219999999999999</v>
      </c>
      <c r="N3095" s="32">
        <v>5.85</v>
      </c>
      <c r="P3095" s="47">
        <v>1.887</v>
      </c>
      <c r="R3095" s="47">
        <v>0.21099999999999999</v>
      </c>
      <c r="S3095" s="47">
        <v>5.89</v>
      </c>
      <c r="T3095" s="31">
        <v>0</v>
      </c>
      <c r="V3095">
        <v>3093</v>
      </c>
      <c r="W3095">
        <v>44</v>
      </c>
      <c r="X3095">
        <v>3.1339999999999999</v>
      </c>
      <c r="Y3095" s="32">
        <v>5.85</v>
      </c>
      <c r="Z3095">
        <v>0</v>
      </c>
      <c r="AA3095" s="32">
        <v>1.7390000000000001</v>
      </c>
      <c r="AB3095">
        <v>0</v>
      </c>
      <c r="AC3095" s="34">
        <v>0.22500000000000001</v>
      </c>
      <c r="AD3095" s="32">
        <v>5.4480000000000004</v>
      </c>
    </row>
    <row r="3096" spans="1:30">
      <c r="A3096">
        <v>3094</v>
      </c>
      <c r="B3096">
        <v>48</v>
      </c>
      <c r="C3096">
        <v>3.1230000000000002</v>
      </c>
      <c r="D3096">
        <v>5.85</v>
      </c>
      <c r="E3096">
        <v>0</v>
      </c>
      <c r="F3096">
        <v>1.8859999999999999</v>
      </c>
      <c r="G3096">
        <v>0</v>
      </c>
      <c r="H3096">
        <v>0.20899999999999999</v>
      </c>
      <c r="I3096">
        <v>5.9470000000000001</v>
      </c>
      <c r="K3096">
        <v>3094</v>
      </c>
      <c r="L3096">
        <v>48</v>
      </c>
      <c r="M3096" s="32">
        <v>3.1230000000000002</v>
      </c>
      <c r="N3096" s="32">
        <v>5.85</v>
      </c>
      <c r="P3096" s="47">
        <v>1.887</v>
      </c>
      <c r="R3096" s="47">
        <v>0.21099999999999999</v>
      </c>
      <c r="S3096" s="47">
        <v>5.8929999999999998</v>
      </c>
      <c r="T3096" s="31">
        <v>0</v>
      </c>
      <c r="V3096">
        <v>3094</v>
      </c>
      <c r="W3096">
        <v>44</v>
      </c>
      <c r="X3096">
        <v>3.1349999999999998</v>
      </c>
      <c r="Y3096" s="32">
        <v>5.85</v>
      </c>
      <c r="Z3096">
        <v>0</v>
      </c>
      <c r="AA3096" s="32">
        <v>1.7390000000000001</v>
      </c>
      <c r="AB3096">
        <v>0</v>
      </c>
      <c r="AC3096" s="34">
        <v>0.22500000000000001</v>
      </c>
      <c r="AD3096" s="32">
        <v>5.4509999999999996</v>
      </c>
    </row>
    <row r="3097" spans="1:30">
      <c r="A3097">
        <v>3095</v>
      </c>
      <c r="B3097">
        <v>48</v>
      </c>
      <c r="C3097">
        <v>3.1240000000000001</v>
      </c>
      <c r="D3097">
        <v>5.85</v>
      </c>
      <c r="E3097">
        <v>0</v>
      </c>
      <c r="F3097">
        <v>1.8859999999999999</v>
      </c>
      <c r="G3097">
        <v>0</v>
      </c>
      <c r="H3097">
        <v>0.20899999999999999</v>
      </c>
      <c r="I3097">
        <v>5.95</v>
      </c>
      <c r="K3097">
        <v>3095</v>
      </c>
      <c r="L3097">
        <v>48</v>
      </c>
      <c r="M3097" s="32">
        <v>3.1240000000000001</v>
      </c>
      <c r="N3097" s="32">
        <v>5.85</v>
      </c>
      <c r="P3097" s="47">
        <v>1.887</v>
      </c>
      <c r="R3097" s="47">
        <v>0.21099999999999999</v>
      </c>
      <c r="S3097" s="47">
        <v>5.8959999999999999</v>
      </c>
      <c r="T3097" s="31">
        <v>0</v>
      </c>
      <c r="V3097">
        <v>3095</v>
      </c>
      <c r="W3097">
        <v>45</v>
      </c>
      <c r="X3097">
        <v>3.1360000000000001</v>
      </c>
      <c r="Y3097" s="32">
        <v>5.85</v>
      </c>
      <c r="Z3097">
        <v>0</v>
      </c>
      <c r="AA3097" s="32">
        <v>1.7390000000000001</v>
      </c>
      <c r="AB3097">
        <v>0</v>
      </c>
      <c r="AC3097" s="34">
        <v>0.22500000000000001</v>
      </c>
      <c r="AD3097" s="32">
        <v>5.4530000000000003</v>
      </c>
    </row>
    <row r="3098" spans="1:30">
      <c r="A3098">
        <v>3096</v>
      </c>
      <c r="B3098">
        <v>48</v>
      </c>
      <c r="C3098">
        <v>3.125</v>
      </c>
      <c r="D3098">
        <v>5.85</v>
      </c>
      <c r="E3098">
        <v>0</v>
      </c>
      <c r="F3098">
        <v>1.8859999999999999</v>
      </c>
      <c r="G3098">
        <v>0</v>
      </c>
      <c r="H3098">
        <v>0.20899999999999999</v>
      </c>
      <c r="I3098">
        <v>5.952</v>
      </c>
      <c r="K3098">
        <v>3096</v>
      </c>
      <c r="L3098">
        <v>48</v>
      </c>
      <c r="M3098" s="32">
        <v>3.125</v>
      </c>
      <c r="N3098" s="32">
        <v>5.85</v>
      </c>
      <c r="P3098" s="47">
        <v>1.8879999999999999</v>
      </c>
      <c r="R3098" s="47">
        <v>0.21099999999999999</v>
      </c>
      <c r="S3098" s="47">
        <v>5.899</v>
      </c>
      <c r="T3098" s="31">
        <v>0</v>
      </c>
      <c r="V3098">
        <v>3096</v>
      </c>
      <c r="W3098">
        <v>45</v>
      </c>
      <c r="X3098">
        <v>3.137</v>
      </c>
      <c r="Y3098" s="32">
        <v>5.85</v>
      </c>
      <c r="Z3098">
        <v>0</v>
      </c>
      <c r="AA3098" s="32">
        <v>1.7390000000000001</v>
      </c>
      <c r="AB3098">
        <v>0</v>
      </c>
      <c r="AC3098" s="34">
        <v>0.22500000000000001</v>
      </c>
      <c r="AD3098" s="32">
        <v>5.4550000000000001</v>
      </c>
    </row>
    <row r="3099" spans="1:30">
      <c r="A3099">
        <v>3097</v>
      </c>
      <c r="B3099">
        <v>48</v>
      </c>
      <c r="C3099">
        <v>3.1259999999999999</v>
      </c>
      <c r="D3099">
        <v>5.85</v>
      </c>
      <c r="E3099">
        <v>0</v>
      </c>
      <c r="F3099">
        <v>1.8859999999999999</v>
      </c>
      <c r="G3099">
        <v>0</v>
      </c>
      <c r="H3099">
        <v>0.20899999999999999</v>
      </c>
      <c r="I3099">
        <v>5.9550000000000001</v>
      </c>
      <c r="K3099">
        <v>3097</v>
      </c>
      <c r="L3099">
        <v>48</v>
      </c>
      <c r="M3099" s="32">
        <v>3.1259999999999999</v>
      </c>
      <c r="N3099" s="32">
        <v>5.85</v>
      </c>
      <c r="P3099" s="47">
        <v>1.8879999999999999</v>
      </c>
      <c r="R3099" s="47">
        <v>0.21099999999999999</v>
      </c>
      <c r="S3099" s="47">
        <v>5.9009999999999998</v>
      </c>
      <c r="T3099" s="31">
        <v>0</v>
      </c>
      <c r="V3099">
        <v>3097</v>
      </c>
      <c r="W3099">
        <v>45</v>
      </c>
      <c r="X3099">
        <v>3.1379999999999999</v>
      </c>
      <c r="Y3099" s="32">
        <v>5.85</v>
      </c>
      <c r="Z3099">
        <v>0</v>
      </c>
      <c r="AA3099" s="32">
        <v>1.7390000000000001</v>
      </c>
      <c r="AB3099">
        <v>0</v>
      </c>
      <c r="AC3099" s="34">
        <v>0.22500000000000001</v>
      </c>
      <c r="AD3099" s="32">
        <v>5.4580000000000002</v>
      </c>
    </row>
    <row r="3100" spans="1:30">
      <c r="A3100">
        <v>3098</v>
      </c>
      <c r="B3100">
        <v>48</v>
      </c>
      <c r="C3100">
        <v>3.1269999999999998</v>
      </c>
      <c r="D3100">
        <v>5.85</v>
      </c>
      <c r="E3100">
        <v>0</v>
      </c>
      <c r="F3100">
        <v>1.8859999999999999</v>
      </c>
      <c r="G3100">
        <v>0</v>
      </c>
      <c r="H3100">
        <v>0.20899999999999999</v>
      </c>
      <c r="I3100">
        <v>5.9580000000000002</v>
      </c>
      <c r="K3100">
        <v>3098</v>
      </c>
      <c r="L3100">
        <v>48</v>
      </c>
      <c r="M3100" s="32">
        <v>3.1269999999999998</v>
      </c>
      <c r="N3100" s="32">
        <v>5.85</v>
      </c>
      <c r="P3100" s="47">
        <v>1.8879999999999999</v>
      </c>
      <c r="R3100" s="47">
        <v>0.21099999999999999</v>
      </c>
      <c r="S3100" s="47">
        <v>5.9039999999999999</v>
      </c>
      <c r="T3100" s="31">
        <v>0</v>
      </c>
      <c r="V3100">
        <v>3098</v>
      </c>
      <c r="W3100">
        <v>45</v>
      </c>
      <c r="X3100">
        <v>3.1389999999999998</v>
      </c>
      <c r="Y3100" s="32">
        <v>5.85</v>
      </c>
      <c r="Z3100">
        <v>0</v>
      </c>
      <c r="AA3100" s="32">
        <v>1.74</v>
      </c>
      <c r="AB3100">
        <v>0</v>
      </c>
      <c r="AC3100" s="34">
        <v>0.22500000000000001</v>
      </c>
      <c r="AD3100" s="32">
        <v>5.46</v>
      </c>
    </row>
    <row r="3101" spans="1:30">
      <c r="A3101">
        <v>3099</v>
      </c>
      <c r="B3101">
        <v>48</v>
      </c>
      <c r="C3101">
        <v>3.1280000000000001</v>
      </c>
      <c r="D3101">
        <v>5.85</v>
      </c>
      <c r="E3101">
        <v>0</v>
      </c>
      <c r="F3101">
        <v>1.8859999999999999</v>
      </c>
      <c r="G3101">
        <v>0</v>
      </c>
      <c r="H3101">
        <v>0.20899999999999999</v>
      </c>
      <c r="I3101">
        <v>5.96</v>
      </c>
      <c r="K3101">
        <v>3099</v>
      </c>
      <c r="L3101">
        <v>48</v>
      </c>
      <c r="M3101" s="32">
        <v>3.1280000000000001</v>
      </c>
      <c r="N3101" s="32">
        <v>5.85</v>
      </c>
      <c r="P3101" s="47">
        <v>1.8879999999999999</v>
      </c>
      <c r="R3101" s="47">
        <v>0.21099999999999999</v>
      </c>
      <c r="S3101" s="47">
        <v>5.907</v>
      </c>
      <c r="T3101" s="31">
        <v>0</v>
      </c>
      <c r="V3101">
        <v>3099</v>
      </c>
      <c r="W3101">
        <v>45</v>
      </c>
      <c r="X3101">
        <v>3.14</v>
      </c>
      <c r="Y3101" s="32">
        <v>5.85</v>
      </c>
      <c r="Z3101">
        <v>0</v>
      </c>
      <c r="AA3101" s="32">
        <v>1.74</v>
      </c>
      <c r="AB3101">
        <v>0</v>
      </c>
      <c r="AC3101" s="34">
        <v>0.22500000000000001</v>
      </c>
      <c r="AD3101" s="32">
        <v>5.4630000000000001</v>
      </c>
    </row>
    <row r="3102" spans="1:30">
      <c r="A3102">
        <v>3100</v>
      </c>
      <c r="B3102">
        <v>48</v>
      </c>
      <c r="C3102">
        <v>3.129</v>
      </c>
      <c r="D3102">
        <v>5.85</v>
      </c>
      <c r="E3102">
        <v>0</v>
      </c>
      <c r="F3102">
        <v>1.8859999999999999</v>
      </c>
      <c r="G3102">
        <v>0</v>
      </c>
      <c r="H3102">
        <v>0.20899999999999999</v>
      </c>
      <c r="I3102">
        <v>5.9630000000000001</v>
      </c>
      <c r="K3102">
        <v>3100</v>
      </c>
      <c r="L3102">
        <v>48</v>
      </c>
      <c r="M3102" s="32">
        <v>3.129</v>
      </c>
      <c r="N3102" s="32">
        <v>5.85</v>
      </c>
      <c r="P3102" s="47">
        <v>1.889</v>
      </c>
      <c r="R3102" s="47">
        <v>0.21099999999999999</v>
      </c>
      <c r="S3102" s="47">
        <v>5.9089999999999998</v>
      </c>
      <c r="T3102" s="31">
        <v>0</v>
      </c>
      <c r="V3102">
        <v>3100</v>
      </c>
      <c r="W3102">
        <v>45</v>
      </c>
      <c r="X3102">
        <v>3.141</v>
      </c>
      <c r="Y3102" s="32">
        <v>5.85</v>
      </c>
      <c r="Z3102">
        <v>0</v>
      </c>
      <c r="AA3102" s="32">
        <v>1.74</v>
      </c>
      <c r="AB3102">
        <v>0</v>
      </c>
      <c r="AC3102" s="34">
        <v>0.22500000000000001</v>
      </c>
      <c r="AD3102" s="32">
        <v>5.4649999999999999</v>
      </c>
    </row>
    <row r="3103" spans="1:30">
      <c r="A3103">
        <v>3101</v>
      </c>
      <c r="B3103">
        <v>48</v>
      </c>
      <c r="C3103">
        <v>3.13</v>
      </c>
      <c r="D3103">
        <v>5.85</v>
      </c>
      <c r="E3103">
        <v>0</v>
      </c>
      <c r="F3103">
        <v>1.889</v>
      </c>
      <c r="G3103">
        <v>0</v>
      </c>
      <c r="H3103">
        <v>0.20899999999999999</v>
      </c>
      <c r="I3103">
        <v>5.9119999999999999</v>
      </c>
      <c r="K3103">
        <v>3101</v>
      </c>
      <c r="L3103">
        <v>48</v>
      </c>
      <c r="M3103" s="32">
        <v>3.13</v>
      </c>
      <c r="N3103" s="32">
        <v>5.85</v>
      </c>
      <c r="P3103" s="32">
        <v>1.889</v>
      </c>
      <c r="R3103" s="47">
        <v>0.21099999999999999</v>
      </c>
      <c r="S3103" s="32">
        <v>5.9119999999999999</v>
      </c>
      <c r="T3103" s="31">
        <v>0</v>
      </c>
      <c r="V3103">
        <v>3101</v>
      </c>
      <c r="W3103">
        <v>45</v>
      </c>
      <c r="X3103">
        <v>3.1419999999999999</v>
      </c>
      <c r="Y3103" s="32">
        <v>5.85</v>
      </c>
      <c r="Z3103">
        <v>0</v>
      </c>
      <c r="AA3103" s="32">
        <v>1.74</v>
      </c>
      <c r="AB3103">
        <v>0</v>
      </c>
      <c r="AC3103" s="34">
        <v>0.22500000000000001</v>
      </c>
      <c r="AD3103" s="32">
        <v>5.468</v>
      </c>
    </row>
    <row r="3104" spans="1:30">
      <c r="A3104">
        <v>3102</v>
      </c>
      <c r="B3104">
        <v>48</v>
      </c>
      <c r="C3104">
        <v>3.1309999999999998</v>
      </c>
      <c r="D3104">
        <v>5.85</v>
      </c>
      <c r="E3104">
        <v>0</v>
      </c>
      <c r="F3104">
        <v>1.889</v>
      </c>
      <c r="G3104">
        <v>0</v>
      </c>
      <c r="H3104">
        <v>0.20899999999999999</v>
      </c>
      <c r="I3104">
        <v>5.9950000000000001</v>
      </c>
      <c r="K3104">
        <v>3102</v>
      </c>
      <c r="L3104">
        <v>48</v>
      </c>
      <c r="M3104" s="32">
        <v>3.1309999999999998</v>
      </c>
      <c r="N3104" s="32">
        <v>5.85</v>
      </c>
      <c r="P3104" s="32">
        <v>1.889</v>
      </c>
      <c r="R3104" s="47">
        <v>0.21099999999999999</v>
      </c>
      <c r="S3104" s="47">
        <v>5.915</v>
      </c>
      <c r="T3104" s="31">
        <v>0</v>
      </c>
      <c r="V3104">
        <v>3102</v>
      </c>
      <c r="W3104">
        <v>45</v>
      </c>
      <c r="X3104">
        <v>3.1429999999999998</v>
      </c>
      <c r="Y3104" s="32">
        <v>5.85</v>
      </c>
      <c r="Z3104">
        <v>0</v>
      </c>
      <c r="AA3104" s="32">
        <v>1.7410000000000001</v>
      </c>
      <c r="AB3104">
        <v>0</v>
      </c>
      <c r="AC3104" s="34">
        <v>0.22500000000000001</v>
      </c>
      <c r="AD3104" s="32">
        <v>5.47</v>
      </c>
    </row>
    <row r="3105" spans="1:30">
      <c r="A3105">
        <v>3103</v>
      </c>
      <c r="B3105">
        <v>48</v>
      </c>
      <c r="C3105">
        <v>3.1320000000000001</v>
      </c>
      <c r="D3105">
        <v>5.85</v>
      </c>
      <c r="E3105">
        <v>0</v>
      </c>
      <c r="F3105">
        <v>1.889</v>
      </c>
      <c r="G3105">
        <v>0</v>
      </c>
      <c r="H3105">
        <v>0.20899999999999999</v>
      </c>
      <c r="I3105">
        <v>5.9980000000000002</v>
      </c>
      <c r="K3105">
        <v>3103</v>
      </c>
      <c r="L3105">
        <v>48</v>
      </c>
      <c r="M3105" s="32">
        <v>3.1320000000000001</v>
      </c>
      <c r="N3105" s="32">
        <v>5.85</v>
      </c>
      <c r="P3105" s="47">
        <v>1.89</v>
      </c>
      <c r="R3105" s="47">
        <v>0.21099999999999999</v>
      </c>
      <c r="S3105" s="47">
        <v>5.9169999999999998</v>
      </c>
      <c r="T3105" s="31">
        <v>0</v>
      </c>
      <c r="V3105">
        <v>3103</v>
      </c>
      <c r="W3105">
        <v>45</v>
      </c>
      <c r="X3105">
        <v>3.1440000000000001</v>
      </c>
      <c r="Y3105" s="32">
        <v>5.85</v>
      </c>
      <c r="Z3105">
        <v>0</v>
      </c>
      <c r="AA3105" s="32">
        <v>1.7410000000000001</v>
      </c>
      <c r="AB3105">
        <v>0</v>
      </c>
      <c r="AC3105" s="34">
        <v>0.22500000000000001</v>
      </c>
      <c r="AD3105" s="32">
        <v>5.4729999999999999</v>
      </c>
    </row>
    <row r="3106" spans="1:30">
      <c r="A3106">
        <v>3104</v>
      </c>
      <c r="B3106">
        <v>48</v>
      </c>
      <c r="C3106">
        <v>3.133</v>
      </c>
      <c r="D3106">
        <v>5.85</v>
      </c>
      <c r="E3106">
        <v>0</v>
      </c>
      <c r="F3106">
        <v>1.889</v>
      </c>
      <c r="G3106">
        <v>0</v>
      </c>
      <c r="H3106">
        <v>0.20899999999999999</v>
      </c>
      <c r="I3106">
        <v>6.0010000000000003</v>
      </c>
      <c r="K3106">
        <v>3104</v>
      </c>
      <c r="L3106">
        <v>48</v>
      </c>
      <c r="M3106" s="32">
        <v>3.133</v>
      </c>
      <c r="N3106" s="32">
        <v>5.85</v>
      </c>
      <c r="P3106" s="47">
        <v>1.89</v>
      </c>
      <c r="R3106" s="47">
        <v>0.21099999999999999</v>
      </c>
      <c r="S3106" s="47">
        <v>5.92</v>
      </c>
      <c r="T3106" s="31">
        <v>0</v>
      </c>
      <c r="V3106">
        <v>3104</v>
      </c>
      <c r="W3106">
        <v>45</v>
      </c>
      <c r="X3106">
        <v>3.145</v>
      </c>
      <c r="Y3106" s="32">
        <v>5.85</v>
      </c>
      <c r="Z3106">
        <v>0</v>
      </c>
      <c r="AA3106" s="32">
        <v>1.7410000000000001</v>
      </c>
      <c r="AB3106">
        <v>0</v>
      </c>
      <c r="AC3106" s="34">
        <v>0.22500000000000001</v>
      </c>
      <c r="AD3106" s="32">
        <v>5.4749999999999996</v>
      </c>
    </row>
    <row r="3107" spans="1:30">
      <c r="A3107">
        <v>3105</v>
      </c>
      <c r="B3107">
        <v>48</v>
      </c>
      <c r="C3107">
        <v>3.1339999999999999</v>
      </c>
      <c r="D3107">
        <v>5.85</v>
      </c>
      <c r="E3107">
        <v>0</v>
      </c>
      <c r="F3107">
        <v>1.889</v>
      </c>
      <c r="G3107">
        <v>0</v>
      </c>
      <c r="H3107">
        <v>0.20899999999999999</v>
      </c>
      <c r="I3107">
        <v>6.0030000000000001</v>
      </c>
      <c r="K3107">
        <v>3105</v>
      </c>
      <c r="L3107">
        <v>48</v>
      </c>
      <c r="M3107" s="32">
        <v>3.1339999999999999</v>
      </c>
      <c r="N3107" s="32">
        <v>5.85</v>
      </c>
      <c r="P3107" s="47">
        <v>1.89</v>
      </c>
      <c r="R3107" s="47">
        <v>0.21199999999999999</v>
      </c>
      <c r="S3107" s="47">
        <v>5.923</v>
      </c>
      <c r="T3107" s="31">
        <v>0</v>
      </c>
      <c r="V3107">
        <v>3105</v>
      </c>
      <c r="W3107">
        <v>45</v>
      </c>
      <c r="X3107">
        <v>3.1459999999999999</v>
      </c>
      <c r="Y3107" s="32">
        <v>5.85</v>
      </c>
      <c r="Z3107">
        <v>0</v>
      </c>
      <c r="AA3107" s="32">
        <v>1.7410000000000001</v>
      </c>
      <c r="AB3107">
        <v>0</v>
      </c>
      <c r="AC3107" s="34">
        <v>0.22500000000000001</v>
      </c>
      <c r="AD3107" s="32">
        <v>5.4770000000000003</v>
      </c>
    </row>
    <row r="3108" spans="1:30">
      <c r="A3108">
        <v>3106</v>
      </c>
      <c r="B3108">
        <v>48</v>
      </c>
      <c r="C3108">
        <v>3.1349999999999998</v>
      </c>
      <c r="D3108">
        <v>5.85</v>
      </c>
      <c r="E3108">
        <v>0</v>
      </c>
      <c r="F3108">
        <v>1.889</v>
      </c>
      <c r="G3108">
        <v>0</v>
      </c>
      <c r="H3108">
        <v>0.20899999999999999</v>
      </c>
      <c r="I3108">
        <v>6.0060000000000002</v>
      </c>
      <c r="K3108">
        <v>3106</v>
      </c>
      <c r="L3108">
        <v>48</v>
      </c>
      <c r="M3108" s="32">
        <v>3.1349999999999998</v>
      </c>
      <c r="N3108" s="32">
        <v>5.85</v>
      </c>
      <c r="P3108" s="47">
        <v>1.891</v>
      </c>
      <c r="R3108" s="47">
        <v>0.21199999999999999</v>
      </c>
      <c r="S3108" s="47">
        <v>5.9260000000000002</v>
      </c>
      <c r="T3108" s="31">
        <v>0</v>
      </c>
      <c r="V3108">
        <v>3106</v>
      </c>
      <c r="W3108">
        <v>45</v>
      </c>
      <c r="X3108">
        <v>3.1469999999999998</v>
      </c>
      <c r="Y3108" s="32">
        <v>5.85</v>
      </c>
      <c r="Z3108">
        <v>0</v>
      </c>
      <c r="AA3108" s="32">
        <v>1.7410000000000001</v>
      </c>
      <c r="AB3108">
        <v>0</v>
      </c>
      <c r="AC3108" s="34">
        <v>0.22500000000000001</v>
      </c>
      <c r="AD3108" s="32">
        <v>5.48</v>
      </c>
    </row>
    <row r="3109" spans="1:30">
      <c r="A3109">
        <v>3107</v>
      </c>
      <c r="B3109">
        <v>48</v>
      </c>
      <c r="C3109">
        <v>3.1360000000000001</v>
      </c>
      <c r="D3109">
        <v>5.85</v>
      </c>
      <c r="E3109">
        <v>0</v>
      </c>
      <c r="F3109">
        <v>1.889</v>
      </c>
      <c r="G3109">
        <v>0</v>
      </c>
      <c r="H3109">
        <v>0.20899999999999999</v>
      </c>
      <c r="I3109">
        <v>6.0090000000000003</v>
      </c>
      <c r="K3109">
        <v>3107</v>
      </c>
      <c r="L3109">
        <v>48</v>
      </c>
      <c r="M3109" s="32">
        <v>3.1360000000000001</v>
      </c>
      <c r="N3109" s="32">
        <v>5.85</v>
      </c>
      <c r="P3109" s="47">
        <v>1.891</v>
      </c>
      <c r="R3109" s="47">
        <v>0.21199999999999999</v>
      </c>
      <c r="S3109" s="47">
        <v>5.9279999999999999</v>
      </c>
      <c r="T3109" s="31">
        <v>0</v>
      </c>
      <c r="V3109">
        <v>3107</v>
      </c>
      <c r="W3109">
        <v>45</v>
      </c>
      <c r="X3109">
        <v>3.1480000000000001</v>
      </c>
      <c r="Y3109" s="32">
        <v>5.85</v>
      </c>
      <c r="Z3109">
        <v>0</v>
      </c>
      <c r="AA3109" s="32">
        <v>1.742</v>
      </c>
      <c r="AB3109">
        <v>0</v>
      </c>
      <c r="AC3109" s="34">
        <v>0.22500000000000001</v>
      </c>
      <c r="AD3109" s="32">
        <v>5.4820000000000002</v>
      </c>
    </row>
    <row r="3110" spans="1:30">
      <c r="A3110">
        <v>3108</v>
      </c>
      <c r="B3110">
        <v>48</v>
      </c>
      <c r="C3110">
        <v>3.137</v>
      </c>
      <c r="D3110">
        <v>5.85</v>
      </c>
      <c r="E3110">
        <v>0</v>
      </c>
      <c r="F3110">
        <v>1.889</v>
      </c>
      <c r="G3110">
        <v>0</v>
      </c>
      <c r="H3110">
        <v>0.20899999999999999</v>
      </c>
      <c r="I3110">
        <v>6.0110000000000001</v>
      </c>
      <c r="K3110">
        <v>3108</v>
      </c>
      <c r="L3110">
        <v>48</v>
      </c>
      <c r="M3110" s="32">
        <v>3.137</v>
      </c>
      <c r="N3110" s="32">
        <v>5.85</v>
      </c>
      <c r="P3110" s="47">
        <v>1.891</v>
      </c>
      <c r="R3110" s="47">
        <v>0.21199999999999999</v>
      </c>
      <c r="S3110" s="47">
        <v>5.931</v>
      </c>
      <c r="T3110" s="31">
        <v>0</v>
      </c>
      <c r="V3110">
        <v>3108</v>
      </c>
      <c r="W3110">
        <v>45</v>
      </c>
      <c r="X3110">
        <v>3.149</v>
      </c>
      <c r="Y3110" s="32">
        <v>5.85</v>
      </c>
      <c r="Z3110">
        <v>0</v>
      </c>
      <c r="AA3110" s="32">
        <v>1.742</v>
      </c>
      <c r="AB3110">
        <v>0</v>
      </c>
      <c r="AC3110" s="34">
        <v>0.22500000000000001</v>
      </c>
      <c r="AD3110" s="32">
        <v>5.4850000000000003</v>
      </c>
    </row>
    <row r="3111" spans="1:30">
      <c r="A3111">
        <v>3109</v>
      </c>
      <c r="B3111">
        <v>48</v>
      </c>
      <c r="C3111">
        <v>3.1379999999999999</v>
      </c>
      <c r="D3111">
        <v>5.85</v>
      </c>
      <c r="E3111">
        <v>0</v>
      </c>
      <c r="F3111">
        <v>1.889</v>
      </c>
      <c r="G3111">
        <v>0</v>
      </c>
      <c r="H3111">
        <v>0.20899999999999999</v>
      </c>
      <c r="I3111">
        <v>6.0140000000000002</v>
      </c>
      <c r="K3111">
        <v>3109</v>
      </c>
      <c r="L3111">
        <v>48</v>
      </c>
      <c r="M3111" s="32">
        <v>3.1379999999999999</v>
      </c>
      <c r="N3111" s="32">
        <v>5.85</v>
      </c>
      <c r="P3111" s="47">
        <v>1.891</v>
      </c>
      <c r="R3111" s="47">
        <v>0.21199999999999999</v>
      </c>
      <c r="S3111" s="47">
        <v>5.9340000000000002</v>
      </c>
      <c r="T3111" s="31">
        <v>0</v>
      </c>
      <c r="V3111">
        <v>3109</v>
      </c>
      <c r="W3111">
        <v>45</v>
      </c>
      <c r="X3111">
        <v>3.15</v>
      </c>
      <c r="Y3111" s="32">
        <v>5.85</v>
      </c>
      <c r="Z3111">
        <v>0</v>
      </c>
      <c r="AA3111" s="32">
        <v>1.742</v>
      </c>
      <c r="AB3111">
        <v>0</v>
      </c>
      <c r="AC3111" s="34">
        <v>0.22500000000000001</v>
      </c>
      <c r="AD3111" s="32">
        <v>5.4870000000000001</v>
      </c>
    </row>
    <row r="3112" spans="1:30">
      <c r="A3112">
        <v>3110</v>
      </c>
      <c r="B3112">
        <v>48</v>
      </c>
      <c r="C3112">
        <v>3.1389999999999998</v>
      </c>
      <c r="D3112">
        <v>5.85</v>
      </c>
      <c r="E3112">
        <v>0</v>
      </c>
      <c r="F3112">
        <v>1.889</v>
      </c>
      <c r="G3112">
        <v>0</v>
      </c>
      <c r="H3112">
        <v>0.20899999999999999</v>
      </c>
      <c r="I3112">
        <v>6.0170000000000003</v>
      </c>
      <c r="K3112">
        <v>3110</v>
      </c>
      <c r="L3112">
        <v>48</v>
      </c>
      <c r="M3112" s="32">
        <v>3.1389999999999998</v>
      </c>
      <c r="N3112" s="32">
        <v>5.85</v>
      </c>
      <c r="P3112" s="47">
        <v>1.8919999999999999</v>
      </c>
      <c r="R3112" s="47">
        <v>0.21199999999999999</v>
      </c>
      <c r="S3112" s="47">
        <v>5.9359999999999999</v>
      </c>
      <c r="T3112" s="31">
        <v>0</v>
      </c>
      <c r="V3112">
        <v>3110</v>
      </c>
      <c r="W3112">
        <v>45</v>
      </c>
      <c r="X3112">
        <v>3.1509999999999998</v>
      </c>
      <c r="Y3112" s="32">
        <v>5.85</v>
      </c>
      <c r="Z3112">
        <v>0</v>
      </c>
      <c r="AA3112" s="32">
        <v>1.742</v>
      </c>
      <c r="AB3112">
        <v>0</v>
      </c>
      <c r="AC3112" s="34">
        <v>0.22500000000000001</v>
      </c>
      <c r="AD3112" s="32">
        <v>5.49</v>
      </c>
    </row>
    <row r="3113" spans="1:30">
      <c r="A3113">
        <v>3111</v>
      </c>
      <c r="B3113">
        <v>48</v>
      </c>
      <c r="C3113">
        <v>3.14</v>
      </c>
      <c r="D3113">
        <v>5.85</v>
      </c>
      <c r="E3113">
        <v>0</v>
      </c>
      <c r="F3113">
        <v>1.889</v>
      </c>
      <c r="G3113">
        <v>0</v>
      </c>
      <c r="H3113">
        <v>0.20899999999999999</v>
      </c>
      <c r="I3113">
        <v>6.02</v>
      </c>
      <c r="K3113">
        <v>3111</v>
      </c>
      <c r="L3113">
        <v>48</v>
      </c>
      <c r="M3113" s="32">
        <v>3.14</v>
      </c>
      <c r="N3113" s="32">
        <v>5.85</v>
      </c>
      <c r="P3113" s="47">
        <v>1.8919999999999999</v>
      </c>
      <c r="R3113" s="47">
        <v>0.21199999999999999</v>
      </c>
      <c r="S3113" s="47">
        <v>5.9390000000000001</v>
      </c>
      <c r="T3113" s="31">
        <v>0</v>
      </c>
      <c r="V3113">
        <v>3111</v>
      </c>
      <c r="W3113">
        <v>45</v>
      </c>
      <c r="X3113">
        <v>3.1520000000000001</v>
      </c>
      <c r="Y3113" s="32">
        <v>5.85</v>
      </c>
      <c r="Z3113">
        <v>0</v>
      </c>
      <c r="AA3113" s="32">
        <v>1.742</v>
      </c>
      <c r="AB3113">
        <v>0</v>
      </c>
      <c r="AC3113" s="34">
        <v>0.22500000000000001</v>
      </c>
      <c r="AD3113" s="32">
        <v>5.492</v>
      </c>
    </row>
    <row r="3114" spans="1:30">
      <c r="A3114">
        <v>3112</v>
      </c>
      <c r="B3114">
        <v>48</v>
      </c>
      <c r="C3114">
        <v>3.141</v>
      </c>
      <c r="D3114">
        <v>5.85</v>
      </c>
      <c r="E3114">
        <v>0</v>
      </c>
      <c r="F3114">
        <v>1.8919999999999999</v>
      </c>
      <c r="G3114">
        <v>0</v>
      </c>
      <c r="H3114">
        <v>0.20899999999999999</v>
      </c>
      <c r="I3114">
        <v>6.0490000000000004</v>
      </c>
      <c r="K3114">
        <v>3112</v>
      </c>
      <c r="L3114">
        <v>48</v>
      </c>
      <c r="M3114" s="32">
        <v>3.141</v>
      </c>
      <c r="N3114" s="32">
        <v>5.85</v>
      </c>
      <c r="P3114" s="32">
        <v>1.8919999999999999</v>
      </c>
      <c r="R3114" s="47">
        <v>0.21199999999999999</v>
      </c>
      <c r="S3114" s="47">
        <v>5.9420000000000002</v>
      </c>
      <c r="T3114" s="31">
        <v>0</v>
      </c>
      <c r="V3114">
        <v>3112</v>
      </c>
      <c r="W3114">
        <v>45</v>
      </c>
      <c r="X3114">
        <v>3.153</v>
      </c>
      <c r="Y3114" s="32">
        <v>5.85</v>
      </c>
      <c r="Z3114">
        <v>0</v>
      </c>
      <c r="AA3114" s="32">
        <v>1.7430000000000001</v>
      </c>
      <c r="AB3114">
        <v>0</v>
      </c>
      <c r="AC3114" s="34">
        <v>0.22500000000000001</v>
      </c>
      <c r="AD3114" s="32">
        <v>5.4939999999999998</v>
      </c>
    </row>
    <row r="3115" spans="1:30">
      <c r="A3115">
        <v>3113</v>
      </c>
      <c r="B3115">
        <v>48</v>
      </c>
      <c r="C3115">
        <v>3.1419999999999999</v>
      </c>
      <c r="D3115">
        <v>5.85</v>
      </c>
      <c r="E3115">
        <v>0</v>
      </c>
      <c r="F3115">
        <v>1.8919999999999999</v>
      </c>
      <c r="G3115">
        <v>0</v>
      </c>
      <c r="H3115">
        <v>0.20899999999999999</v>
      </c>
      <c r="I3115">
        <v>6.0519999999999996</v>
      </c>
      <c r="K3115">
        <v>3113</v>
      </c>
      <c r="L3115">
        <v>48</v>
      </c>
      <c r="M3115" s="32">
        <v>3.1419999999999999</v>
      </c>
      <c r="N3115" s="32">
        <v>5.85</v>
      </c>
      <c r="P3115" s="32">
        <v>1.8919999999999999</v>
      </c>
      <c r="R3115" s="47">
        <v>0.21199999999999999</v>
      </c>
      <c r="S3115" s="47">
        <v>5.944</v>
      </c>
      <c r="T3115" s="31">
        <v>0</v>
      </c>
      <c r="V3115">
        <v>3113</v>
      </c>
      <c r="W3115">
        <v>45</v>
      </c>
      <c r="X3115">
        <v>3.1539999999999999</v>
      </c>
      <c r="Y3115" s="32">
        <v>5.85</v>
      </c>
      <c r="Z3115">
        <v>0</v>
      </c>
      <c r="AA3115" s="32">
        <v>1.7430000000000001</v>
      </c>
      <c r="AB3115">
        <v>0</v>
      </c>
      <c r="AC3115" s="34">
        <v>0.22500000000000001</v>
      </c>
      <c r="AD3115" s="32">
        <v>5.4969999999999999</v>
      </c>
    </row>
    <row r="3116" spans="1:30">
      <c r="A3116">
        <v>3114</v>
      </c>
      <c r="B3116">
        <v>48</v>
      </c>
      <c r="C3116">
        <v>3.1429999999999998</v>
      </c>
      <c r="D3116">
        <v>5.85</v>
      </c>
      <c r="E3116">
        <v>0</v>
      </c>
      <c r="F3116">
        <v>1.8919999999999999</v>
      </c>
      <c r="G3116">
        <v>0</v>
      </c>
      <c r="H3116">
        <v>0.20899999999999999</v>
      </c>
      <c r="I3116">
        <v>6.0549999999999997</v>
      </c>
      <c r="K3116">
        <v>3114</v>
      </c>
      <c r="L3116">
        <v>48</v>
      </c>
      <c r="M3116" s="32">
        <v>3.1429999999999998</v>
      </c>
      <c r="N3116" s="32">
        <v>5.85</v>
      </c>
      <c r="P3116" s="47">
        <v>1.893</v>
      </c>
      <c r="R3116" s="47">
        <v>0.21199999999999999</v>
      </c>
      <c r="S3116" s="47">
        <v>5.9470000000000001</v>
      </c>
      <c r="T3116" s="31">
        <v>0</v>
      </c>
      <c r="V3116">
        <v>3114</v>
      </c>
      <c r="W3116">
        <v>45</v>
      </c>
      <c r="X3116">
        <v>3.1549999999999998</v>
      </c>
      <c r="Y3116" s="32">
        <v>5.85</v>
      </c>
      <c r="Z3116">
        <v>0</v>
      </c>
      <c r="AA3116" s="32">
        <v>1.7430000000000001</v>
      </c>
      <c r="AB3116">
        <v>0</v>
      </c>
      <c r="AC3116" s="34">
        <v>0.22500000000000001</v>
      </c>
      <c r="AD3116" s="32">
        <v>5.4989999999999997</v>
      </c>
    </row>
    <row r="3117" spans="1:30">
      <c r="A3117">
        <v>3115</v>
      </c>
      <c r="B3117">
        <v>48</v>
      </c>
      <c r="C3117">
        <v>3.1440000000000001</v>
      </c>
      <c r="D3117">
        <v>5.85</v>
      </c>
      <c r="E3117">
        <v>0</v>
      </c>
      <c r="F3117">
        <v>1.8919999999999999</v>
      </c>
      <c r="G3117">
        <v>0</v>
      </c>
      <c r="H3117">
        <v>0.20899999999999999</v>
      </c>
      <c r="I3117">
        <v>6.0570000000000004</v>
      </c>
      <c r="K3117">
        <v>3115</v>
      </c>
      <c r="L3117">
        <v>48</v>
      </c>
      <c r="M3117" s="32">
        <v>3.1440000000000001</v>
      </c>
      <c r="N3117" s="32">
        <v>5.85</v>
      </c>
      <c r="P3117" s="47">
        <v>1.893</v>
      </c>
      <c r="R3117" s="47">
        <v>0.21199999999999999</v>
      </c>
      <c r="S3117" s="47">
        <v>5.95</v>
      </c>
      <c r="T3117" s="31">
        <v>0</v>
      </c>
      <c r="V3117">
        <v>3115</v>
      </c>
      <c r="W3117">
        <v>45</v>
      </c>
      <c r="X3117">
        <v>3.1560000000000001</v>
      </c>
      <c r="Y3117" s="32">
        <v>5.85</v>
      </c>
      <c r="Z3117">
        <v>0</v>
      </c>
      <c r="AA3117" s="32">
        <v>1.7430000000000001</v>
      </c>
      <c r="AB3117">
        <v>0</v>
      </c>
      <c r="AC3117" s="34">
        <v>0.22500000000000001</v>
      </c>
      <c r="AD3117" s="32">
        <v>5.5019999999999998</v>
      </c>
    </row>
    <row r="3118" spans="1:30">
      <c r="A3118">
        <v>3116</v>
      </c>
      <c r="B3118">
        <v>48</v>
      </c>
      <c r="C3118">
        <v>3.145</v>
      </c>
      <c r="D3118">
        <v>5.85</v>
      </c>
      <c r="E3118">
        <v>0</v>
      </c>
      <c r="F3118">
        <v>1.8919999999999999</v>
      </c>
      <c r="G3118">
        <v>0</v>
      </c>
      <c r="H3118">
        <v>0.20899999999999999</v>
      </c>
      <c r="I3118">
        <v>6.06</v>
      </c>
      <c r="K3118">
        <v>3116</v>
      </c>
      <c r="L3118">
        <v>48</v>
      </c>
      <c r="M3118" s="32">
        <v>3.145</v>
      </c>
      <c r="N3118" s="32">
        <v>5.85</v>
      </c>
      <c r="P3118" s="47">
        <v>1.893</v>
      </c>
      <c r="R3118" s="47">
        <v>0.21199999999999999</v>
      </c>
      <c r="S3118" s="47">
        <v>5.9530000000000003</v>
      </c>
      <c r="T3118" s="31">
        <v>0</v>
      </c>
      <c r="V3118">
        <v>3116</v>
      </c>
      <c r="W3118">
        <v>45</v>
      </c>
      <c r="X3118">
        <v>3.157</v>
      </c>
      <c r="Y3118" s="32">
        <v>5.85</v>
      </c>
      <c r="Z3118">
        <v>0</v>
      </c>
      <c r="AA3118" s="32">
        <v>1.744</v>
      </c>
      <c r="AB3118">
        <v>0</v>
      </c>
      <c r="AC3118" s="34">
        <v>0.22500000000000001</v>
      </c>
      <c r="AD3118" s="32">
        <v>5.5039999999999996</v>
      </c>
    </row>
    <row r="3119" spans="1:30">
      <c r="A3119">
        <v>3117</v>
      </c>
      <c r="B3119">
        <v>48</v>
      </c>
      <c r="C3119">
        <v>3.1459999999999999</v>
      </c>
      <c r="D3119">
        <v>5.85</v>
      </c>
      <c r="E3119">
        <v>0</v>
      </c>
      <c r="F3119">
        <v>1.8919999999999999</v>
      </c>
      <c r="G3119">
        <v>0</v>
      </c>
      <c r="H3119">
        <v>0.20899999999999999</v>
      </c>
      <c r="I3119">
        <v>6.0629999999999997</v>
      </c>
      <c r="K3119">
        <v>3117</v>
      </c>
      <c r="L3119">
        <v>48</v>
      </c>
      <c r="M3119" s="32">
        <v>3.1459999999999999</v>
      </c>
      <c r="N3119" s="32">
        <v>5.85</v>
      </c>
      <c r="P3119" s="47">
        <v>1.893</v>
      </c>
      <c r="R3119" s="47">
        <v>0.21199999999999999</v>
      </c>
      <c r="S3119" s="47">
        <v>5.9550000000000001</v>
      </c>
      <c r="T3119" s="31">
        <v>0</v>
      </c>
      <c r="V3119">
        <v>3117</v>
      </c>
      <c r="W3119">
        <v>45</v>
      </c>
      <c r="X3119">
        <v>3.1579999999999999</v>
      </c>
      <c r="Y3119" s="32">
        <v>5.85</v>
      </c>
      <c r="Z3119">
        <v>0</v>
      </c>
      <c r="AA3119" s="32">
        <v>1.744</v>
      </c>
      <c r="AB3119">
        <v>0</v>
      </c>
      <c r="AC3119" s="34">
        <v>0.22500000000000001</v>
      </c>
      <c r="AD3119" s="32">
        <v>5.5069999999999997</v>
      </c>
    </row>
    <row r="3120" spans="1:30">
      <c r="A3120">
        <v>3118</v>
      </c>
      <c r="B3120">
        <v>48</v>
      </c>
      <c r="C3120">
        <v>3.1469999999999998</v>
      </c>
      <c r="D3120">
        <v>5.85</v>
      </c>
      <c r="E3120">
        <v>0</v>
      </c>
      <c r="F3120">
        <v>1.8919999999999999</v>
      </c>
      <c r="G3120">
        <v>0</v>
      </c>
      <c r="H3120">
        <v>0.20899999999999999</v>
      </c>
      <c r="I3120">
        <v>6.0650000000000004</v>
      </c>
      <c r="K3120">
        <v>3118</v>
      </c>
      <c r="L3120">
        <v>48</v>
      </c>
      <c r="M3120" s="32">
        <v>3.1469999999999998</v>
      </c>
      <c r="N3120" s="32">
        <v>5.85</v>
      </c>
      <c r="P3120" s="47">
        <v>1.893</v>
      </c>
      <c r="R3120" s="47">
        <v>0.21299999999999999</v>
      </c>
      <c r="S3120" s="47">
        <v>5.9580000000000002</v>
      </c>
      <c r="T3120" s="31">
        <v>0</v>
      </c>
      <c r="V3120">
        <v>3118</v>
      </c>
      <c r="W3120">
        <v>45</v>
      </c>
      <c r="X3120">
        <v>3.1589999999999998</v>
      </c>
      <c r="Y3120" s="32">
        <v>5.85</v>
      </c>
      <c r="Z3120">
        <v>0</v>
      </c>
      <c r="AA3120" s="32">
        <v>1.744</v>
      </c>
      <c r="AB3120">
        <v>0</v>
      </c>
      <c r="AC3120" s="34">
        <v>0.22500000000000001</v>
      </c>
      <c r="AD3120" s="32">
        <v>5.5090000000000003</v>
      </c>
    </row>
    <row r="3121" spans="1:30">
      <c r="A3121">
        <v>3119</v>
      </c>
      <c r="B3121">
        <v>48</v>
      </c>
      <c r="C3121">
        <v>3.1480000000000001</v>
      </c>
      <c r="D3121">
        <v>5.85</v>
      </c>
      <c r="E3121">
        <v>0</v>
      </c>
      <c r="F3121">
        <v>1.8919999999999999</v>
      </c>
      <c r="G3121">
        <v>0</v>
      </c>
      <c r="H3121">
        <v>0.20899999999999999</v>
      </c>
      <c r="I3121">
        <v>6.0679999999999996</v>
      </c>
      <c r="K3121">
        <v>3119</v>
      </c>
      <c r="L3121">
        <v>48</v>
      </c>
      <c r="M3121" s="32">
        <v>3.1480000000000001</v>
      </c>
      <c r="N3121" s="32">
        <v>5.85</v>
      </c>
      <c r="P3121" s="47">
        <v>1.8939999999999999</v>
      </c>
      <c r="R3121" s="47">
        <v>0.21299999999999999</v>
      </c>
      <c r="S3121" s="47">
        <v>5.9610000000000003</v>
      </c>
      <c r="T3121" s="31">
        <v>0</v>
      </c>
      <c r="V3121">
        <v>3119</v>
      </c>
      <c r="W3121">
        <v>45</v>
      </c>
      <c r="X3121">
        <v>3.16</v>
      </c>
      <c r="Y3121" s="32">
        <v>5.85</v>
      </c>
      <c r="Z3121">
        <v>0</v>
      </c>
      <c r="AA3121" s="32">
        <v>1.744</v>
      </c>
      <c r="AB3121">
        <v>0</v>
      </c>
      <c r="AC3121" s="34">
        <v>0.22600000000000001</v>
      </c>
      <c r="AD3121" s="32">
        <v>5.5119999999999996</v>
      </c>
    </row>
    <row r="3122" spans="1:30">
      <c r="A3122">
        <v>3120</v>
      </c>
      <c r="B3122">
        <v>48</v>
      </c>
      <c r="C3122">
        <v>3.149</v>
      </c>
      <c r="D3122">
        <v>5.85</v>
      </c>
      <c r="E3122">
        <v>0</v>
      </c>
      <c r="F3122">
        <v>1.8919999999999999</v>
      </c>
      <c r="G3122">
        <v>0</v>
      </c>
      <c r="H3122">
        <v>0.20899999999999999</v>
      </c>
      <c r="I3122">
        <v>6.0709999999999997</v>
      </c>
      <c r="K3122">
        <v>3120</v>
      </c>
      <c r="L3122">
        <v>48</v>
      </c>
      <c r="M3122" s="32">
        <v>3.149</v>
      </c>
      <c r="N3122" s="32">
        <v>5.85</v>
      </c>
      <c r="P3122" s="47">
        <v>1.8939999999999999</v>
      </c>
      <c r="R3122" s="47">
        <v>0.21299999999999999</v>
      </c>
      <c r="S3122" s="47">
        <v>5.9630000000000001</v>
      </c>
      <c r="T3122" s="31">
        <v>0</v>
      </c>
      <c r="V3122">
        <v>3120</v>
      </c>
      <c r="W3122">
        <v>45</v>
      </c>
      <c r="X3122">
        <v>3.161</v>
      </c>
      <c r="Y3122" s="32">
        <v>5.85</v>
      </c>
      <c r="Z3122">
        <v>0</v>
      </c>
      <c r="AA3122" s="32">
        <v>1.744</v>
      </c>
      <c r="AB3122">
        <v>0</v>
      </c>
      <c r="AC3122" s="34">
        <v>0.22600000000000001</v>
      </c>
      <c r="AD3122" s="32">
        <v>5.5140000000000002</v>
      </c>
    </row>
    <row r="3123" spans="1:30">
      <c r="A3123">
        <v>3121</v>
      </c>
      <c r="B3123">
        <v>48</v>
      </c>
      <c r="C3123">
        <v>3.15</v>
      </c>
      <c r="D3123">
        <v>5.85</v>
      </c>
      <c r="E3123">
        <v>0</v>
      </c>
      <c r="F3123">
        <v>1.8939999999999999</v>
      </c>
      <c r="G3123">
        <v>0</v>
      </c>
      <c r="H3123">
        <v>0.20899999999999999</v>
      </c>
      <c r="I3123">
        <v>5.9660000000000002</v>
      </c>
      <c r="K3123">
        <v>3121</v>
      </c>
      <c r="L3123">
        <v>48</v>
      </c>
      <c r="M3123" s="32">
        <v>3.15</v>
      </c>
      <c r="N3123" s="32">
        <v>5.85</v>
      </c>
      <c r="P3123" s="32">
        <v>1.8939999999999999</v>
      </c>
      <c r="R3123" s="47">
        <v>0.21299999999999999</v>
      </c>
      <c r="S3123" s="32">
        <v>5.9660000000000002</v>
      </c>
      <c r="T3123" s="31">
        <v>0</v>
      </c>
      <c r="V3123">
        <v>3121</v>
      </c>
      <c r="W3123">
        <v>45</v>
      </c>
      <c r="X3123">
        <v>3.1619999999999999</v>
      </c>
      <c r="Y3123" s="32">
        <v>5.85</v>
      </c>
      <c r="Z3123">
        <v>0</v>
      </c>
      <c r="AA3123" s="32">
        <v>1.7450000000000001</v>
      </c>
      <c r="AB3123">
        <v>0</v>
      </c>
      <c r="AC3123" s="34">
        <v>0.22600000000000001</v>
      </c>
      <c r="AD3123" s="32">
        <v>5.516</v>
      </c>
    </row>
    <row r="3124" spans="1:30">
      <c r="A3124">
        <v>3122</v>
      </c>
      <c r="B3124">
        <v>48</v>
      </c>
      <c r="C3124">
        <v>3.1509999999999998</v>
      </c>
      <c r="D3124">
        <v>5.85</v>
      </c>
      <c r="E3124">
        <v>0</v>
      </c>
      <c r="F3124">
        <v>1.8939999999999999</v>
      </c>
      <c r="G3124">
        <v>0</v>
      </c>
      <c r="H3124">
        <v>0.20899999999999999</v>
      </c>
      <c r="I3124">
        <v>6.1029999999999998</v>
      </c>
      <c r="K3124">
        <v>3122</v>
      </c>
      <c r="L3124">
        <v>48</v>
      </c>
      <c r="M3124" s="32">
        <v>3.1509999999999998</v>
      </c>
      <c r="N3124" s="32">
        <v>5.85</v>
      </c>
      <c r="P3124" s="32">
        <v>1.8939999999999999</v>
      </c>
      <c r="R3124" s="47">
        <v>0.21299999999999999</v>
      </c>
      <c r="S3124" s="47">
        <v>5.9690000000000003</v>
      </c>
      <c r="T3124" s="31">
        <v>0</v>
      </c>
      <c r="V3124">
        <v>3122</v>
      </c>
      <c r="W3124">
        <v>45</v>
      </c>
      <c r="X3124">
        <v>3.1629999999999998</v>
      </c>
      <c r="Y3124" s="32">
        <v>5.85</v>
      </c>
      <c r="Z3124">
        <v>0</v>
      </c>
      <c r="AA3124" s="32">
        <v>1.7450000000000001</v>
      </c>
      <c r="AB3124">
        <v>0</v>
      </c>
      <c r="AC3124" s="34">
        <v>0.22600000000000001</v>
      </c>
      <c r="AD3124" s="32">
        <v>5.5190000000000001</v>
      </c>
    </row>
    <row r="3125" spans="1:30">
      <c r="A3125">
        <v>3123</v>
      </c>
      <c r="B3125">
        <v>48</v>
      </c>
      <c r="C3125">
        <v>3.1520000000000001</v>
      </c>
      <c r="D3125">
        <v>5.85</v>
      </c>
      <c r="E3125">
        <v>0</v>
      </c>
      <c r="F3125">
        <v>1.8939999999999999</v>
      </c>
      <c r="G3125">
        <v>0</v>
      </c>
      <c r="H3125">
        <v>0.20899999999999999</v>
      </c>
      <c r="I3125">
        <v>6.1059999999999999</v>
      </c>
      <c r="K3125">
        <v>3123</v>
      </c>
      <c r="L3125">
        <v>48</v>
      </c>
      <c r="M3125" s="32">
        <v>3.1520000000000001</v>
      </c>
      <c r="N3125" s="32">
        <v>5.85</v>
      </c>
      <c r="P3125" s="47">
        <v>1.895</v>
      </c>
      <c r="R3125" s="47">
        <v>0.21299999999999999</v>
      </c>
      <c r="S3125" s="47">
        <v>5.9720000000000004</v>
      </c>
      <c r="T3125" s="31">
        <v>0</v>
      </c>
      <c r="V3125">
        <v>3123</v>
      </c>
      <c r="W3125">
        <v>45</v>
      </c>
      <c r="X3125">
        <v>3.1640000000000001</v>
      </c>
      <c r="Y3125" s="32">
        <v>5.85</v>
      </c>
      <c r="Z3125">
        <v>0</v>
      </c>
      <c r="AA3125" s="32">
        <v>1.7450000000000001</v>
      </c>
      <c r="AB3125">
        <v>0</v>
      </c>
      <c r="AC3125" s="34">
        <v>0.22600000000000001</v>
      </c>
      <c r="AD3125" s="32">
        <v>5.5209999999999999</v>
      </c>
    </row>
    <row r="3126" spans="1:30">
      <c r="A3126">
        <v>3124</v>
      </c>
      <c r="B3126">
        <v>48</v>
      </c>
      <c r="C3126">
        <v>3.153</v>
      </c>
      <c r="D3126">
        <v>5.85</v>
      </c>
      <c r="E3126">
        <v>0</v>
      </c>
      <c r="F3126">
        <v>1.8939999999999999</v>
      </c>
      <c r="G3126">
        <v>0</v>
      </c>
      <c r="H3126">
        <v>0.20899999999999999</v>
      </c>
      <c r="I3126">
        <v>6.1079999999999997</v>
      </c>
      <c r="K3126">
        <v>3124</v>
      </c>
      <c r="L3126">
        <v>48</v>
      </c>
      <c r="M3126" s="32">
        <v>3.153</v>
      </c>
      <c r="N3126" s="32">
        <v>5.85</v>
      </c>
      <c r="P3126" s="47">
        <v>1.895</v>
      </c>
      <c r="R3126" s="47">
        <v>0.21299999999999999</v>
      </c>
      <c r="S3126" s="47">
        <v>5.9740000000000002</v>
      </c>
      <c r="T3126" s="31">
        <v>0</v>
      </c>
      <c r="V3126">
        <v>3124</v>
      </c>
      <c r="W3126">
        <v>45</v>
      </c>
      <c r="X3126">
        <v>3.165</v>
      </c>
      <c r="Y3126" s="32">
        <v>5.85</v>
      </c>
      <c r="Z3126">
        <v>0</v>
      </c>
      <c r="AA3126" s="32">
        <v>1.7450000000000001</v>
      </c>
      <c r="AB3126">
        <v>0</v>
      </c>
      <c r="AC3126" s="34">
        <v>0.22600000000000001</v>
      </c>
      <c r="AD3126" s="32">
        <v>5.524</v>
      </c>
    </row>
    <row r="3127" spans="1:30">
      <c r="A3127">
        <v>3125</v>
      </c>
      <c r="B3127">
        <v>48</v>
      </c>
      <c r="C3127">
        <v>3.1539999999999999</v>
      </c>
      <c r="D3127">
        <v>5.85</v>
      </c>
      <c r="E3127">
        <v>0</v>
      </c>
      <c r="F3127">
        <v>1.8939999999999999</v>
      </c>
      <c r="G3127">
        <v>0</v>
      </c>
      <c r="H3127">
        <v>0.20899999999999999</v>
      </c>
      <c r="I3127">
        <v>6.1109999999999998</v>
      </c>
      <c r="K3127">
        <v>3125</v>
      </c>
      <c r="L3127">
        <v>48</v>
      </c>
      <c r="M3127" s="32">
        <v>3.1539999999999999</v>
      </c>
      <c r="N3127" s="32">
        <v>5.85</v>
      </c>
      <c r="P3127" s="47">
        <v>1.895</v>
      </c>
      <c r="R3127" s="47">
        <v>0.21299999999999999</v>
      </c>
      <c r="S3127" s="47">
        <v>5.9770000000000003</v>
      </c>
      <c r="T3127" s="31">
        <v>0</v>
      </c>
      <c r="V3127">
        <v>3125</v>
      </c>
      <c r="W3127">
        <v>45</v>
      </c>
      <c r="X3127">
        <v>3.1659999999999999</v>
      </c>
      <c r="Y3127" s="32">
        <v>5.85</v>
      </c>
      <c r="Z3127">
        <v>0</v>
      </c>
      <c r="AA3127" s="32">
        <v>1.7450000000000001</v>
      </c>
      <c r="AB3127">
        <v>0</v>
      </c>
      <c r="AC3127" s="34">
        <v>0.22600000000000001</v>
      </c>
      <c r="AD3127" s="32">
        <v>5.5259999999999998</v>
      </c>
    </row>
    <row r="3128" spans="1:30">
      <c r="A3128">
        <v>3126</v>
      </c>
      <c r="B3128">
        <v>48</v>
      </c>
      <c r="C3128">
        <v>3.1549999999999998</v>
      </c>
      <c r="D3128">
        <v>5.85</v>
      </c>
      <c r="E3128">
        <v>0</v>
      </c>
      <c r="F3128">
        <v>1.8939999999999999</v>
      </c>
      <c r="G3128">
        <v>0</v>
      </c>
      <c r="H3128">
        <v>0.20899999999999999</v>
      </c>
      <c r="I3128">
        <v>6.1139999999999999</v>
      </c>
      <c r="K3128">
        <v>3126</v>
      </c>
      <c r="L3128">
        <v>48</v>
      </c>
      <c r="M3128" s="32">
        <v>3.1549999999999998</v>
      </c>
      <c r="N3128" s="32">
        <v>5.85</v>
      </c>
      <c r="P3128" s="47">
        <v>1.8959999999999999</v>
      </c>
      <c r="R3128" s="47">
        <v>0.21299999999999999</v>
      </c>
      <c r="S3128" s="47">
        <v>5.98</v>
      </c>
      <c r="T3128" s="31">
        <v>0</v>
      </c>
      <c r="V3128">
        <v>3126</v>
      </c>
      <c r="W3128">
        <v>45</v>
      </c>
      <c r="X3128">
        <v>3.1669999999999998</v>
      </c>
      <c r="Y3128" s="32">
        <v>5.85</v>
      </c>
      <c r="Z3128">
        <v>0</v>
      </c>
      <c r="AA3128" s="32">
        <v>1.746</v>
      </c>
      <c r="AB3128">
        <v>0</v>
      </c>
      <c r="AC3128" s="34">
        <v>0.22600000000000001</v>
      </c>
      <c r="AD3128" s="32">
        <v>5.5289999999999999</v>
      </c>
    </row>
    <row r="3129" spans="1:30">
      <c r="A3129">
        <v>3127</v>
      </c>
      <c r="B3129">
        <v>48</v>
      </c>
      <c r="C3129">
        <v>3.1560000000000001</v>
      </c>
      <c r="D3129">
        <v>5.85</v>
      </c>
      <c r="E3129">
        <v>0</v>
      </c>
      <c r="F3129">
        <v>1.8939999999999999</v>
      </c>
      <c r="G3129">
        <v>0</v>
      </c>
      <c r="H3129">
        <v>0.20899999999999999</v>
      </c>
      <c r="I3129">
        <v>6.117</v>
      </c>
      <c r="K3129">
        <v>3127</v>
      </c>
      <c r="L3129">
        <v>48</v>
      </c>
      <c r="M3129" s="32">
        <v>3.1560000000000001</v>
      </c>
      <c r="N3129" s="32">
        <v>5.85</v>
      </c>
      <c r="P3129" s="47">
        <v>1.8959999999999999</v>
      </c>
      <c r="R3129" s="47">
        <v>0.21299999999999999</v>
      </c>
      <c r="S3129" s="47">
        <v>5.9829999999999997</v>
      </c>
      <c r="T3129" s="31">
        <v>0</v>
      </c>
      <c r="V3129">
        <v>3127</v>
      </c>
      <c r="W3129">
        <v>45</v>
      </c>
      <c r="X3129">
        <v>3.1680000000000001</v>
      </c>
      <c r="Y3129" s="32">
        <v>5.85</v>
      </c>
      <c r="Z3129">
        <v>0</v>
      </c>
      <c r="AA3129" s="32">
        <v>1.746</v>
      </c>
      <c r="AB3129">
        <v>0</v>
      </c>
      <c r="AC3129" s="34">
        <v>0.22600000000000001</v>
      </c>
      <c r="AD3129" s="32">
        <v>5.5309999999999997</v>
      </c>
    </row>
    <row r="3130" spans="1:30">
      <c r="A3130">
        <v>3128</v>
      </c>
      <c r="B3130">
        <v>48</v>
      </c>
      <c r="C3130">
        <v>3.157</v>
      </c>
      <c r="D3130">
        <v>5.85</v>
      </c>
      <c r="E3130">
        <v>0</v>
      </c>
      <c r="F3130">
        <v>1.8939999999999999</v>
      </c>
      <c r="G3130">
        <v>0</v>
      </c>
      <c r="H3130">
        <v>0.20899999999999999</v>
      </c>
      <c r="I3130">
        <v>6.1189999999999998</v>
      </c>
      <c r="K3130">
        <v>3128</v>
      </c>
      <c r="L3130">
        <v>48</v>
      </c>
      <c r="M3130" s="32">
        <v>3.157</v>
      </c>
      <c r="N3130" s="32">
        <v>5.85</v>
      </c>
      <c r="P3130" s="47">
        <v>1.8959999999999999</v>
      </c>
      <c r="R3130" s="47">
        <v>0.21299999999999999</v>
      </c>
      <c r="S3130" s="47">
        <v>5.9859999999999998</v>
      </c>
      <c r="T3130" s="31">
        <v>0</v>
      </c>
      <c r="V3130">
        <v>3128</v>
      </c>
      <c r="W3130">
        <v>45</v>
      </c>
      <c r="X3130">
        <v>3.169</v>
      </c>
      <c r="Y3130" s="32">
        <v>5.85</v>
      </c>
      <c r="Z3130">
        <v>0</v>
      </c>
      <c r="AA3130" s="32">
        <v>1.746</v>
      </c>
      <c r="AB3130">
        <v>0</v>
      </c>
      <c r="AC3130" s="34">
        <v>0.22600000000000001</v>
      </c>
      <c r="AD3130" s="32">
        <v>5.5339999999999998</v>
      </c>
    </row>
    <row r="3131" spans="1:30">
      <c r="A3131">
        <v>3129</v>
      </c>
      <c r="B3131">
        <v>48</v>
      </c>
      <c r="C3131">
        <v>3.1579999999999999</v>
      </c>
      <c r="D3131">
        <v>5.85</v>
      </c>
      <c r="E3131">
        <v>0</v>
      </c>
      <c r="F3131">
        <v>1.8939999999999999</v>
      </c>
      <c r="G3131">
        <v>0</v>
      </c>
      <c r="H3131">
        <v>0.20899999999999999</v>
      </c>
      <c r="I3131">
        <v>6.1219999999999999</v>
      </c>
      <c r="K3131">
        <v>3129</v>
      </c>
      <c r="L3131">
        <v>48</v>
      </c>
      <c r="M3131" s="32">
        <v>3.1579999999999999</v>
      </c>
      <c r="N3131" s="32">
        <v>5.85</v>
      </c>
      <c r="P3131" s="47">
        <v>1.8959999999999999</v>
      </c>
      <c r="R3131" s="47">
        <v>0.21299999999999999</v>
      </c>
      <c r="S3131" s="47">
        <v>5.9880000000000004</v>
      </c>
      <c r="T3131" s="31">
        <v>0</v>
      </c>
      <c r="V3131">
        <v>3129</v>
      </c>
      <c r="W3131">
        <v>45</v>
      </c>
      <c r="X3131">
        <v>3.17</v>
      </c>
      <c r="Y3131" s="32">
        <v>5.85</v>
      </c>
      <c r="Z3131">
        <v>0</v>
      </c>
      <c r="AA3131" s="32">
        <v>1.746</v>
      </c>
      <c r="AB3131">
        <v>0</v>
      </c>
      <c r="AC3131" s="34">
        <v>0.22600000000000001</v>
      </c>
      <c r="AD3131" s="32">
        <v>5.5359999999999996</v>
      </c>
    </row>
    <row r="3132" spans="1:30">
      <c r="A3132">
        <v>3130</v>
      </c>
      <c r="B3132">
        <v>48</v>
      </c>
      <c r="C3132">
        <v>3.1589999999999998</v>
      </c>
      <c r="D3132">
        <v>5.85</v>
      </c>
      <c r="E3132">
        <v>0</v>
      </c>
      <c r="F3132">
        <v>1.8939999999999999</v>
      </c>
      <c r="G3132">
        <v>0</v>
      </c>
      <c r="H3132">
        <v>0.20899999999999999</v>
      </c>
      <c r="I3132">
        <v>6.125</v>
      </c>
      <c r="K3132">
        <v>3130</v>
      </c>
      <c r="L3132">
        <v>48</v>
      </c>
      <c r="M3132" s="32">
        <v>3.1589999999999998</v>
      </c>
      <c r="N3132" s="32">
        <v>5.85</v>
      </c>
      <c r="P3132" s="47">
        <v>1.897</v>
      </c>
      <c r="R3132" s="47">
        <v>0.21299999999999999</v>
      </c>
      <c r="S3132" s="47">
        <v>5.9909999999999997</v>
      </c>
      <c r="T3132" s="31">
        <v>0</v>
      </c>
      <c r="V3132">
        <v>3130</v>
      </c>
      <c r="W3132">
        <v>45</v>
      </c>
      <c r="X3132">
        <v>3.1709999999999998</v>
      </c>
      <c r="Y3132" s="32">
        <v>5.8650000000000002</v>
      </c>
      <c r="Z3132">
        <v>0</v>
      </c>
      <c r="AA3132" s="32">
        <v>1.7470000000000001</v>
      </c>
      <c r="AB3132">
        <v>0</v>
      </c>
      <c r="AC3132" s="34">
        <v>0.22600000000000001</v>
      </c>
      <c r="AD3132" s="32">
        <v>5.5380000000000003</v>
      </c>
    </row>
    <row r="3133" spans="1:30">
      <c r="A3133">
        <v>3131</v>
      </c>
      <c r="B3133">
        <v>48</v>
      </c>
      <c r="C3133">
        <v>3.16</v>
      </c>
      <c r="D3133">
        <v>5.85</v>
      </c>
      <c r="E3133">
        <v>0</v>
      </c>
      <c r="F3133">
        <v>1.8939999999999999</v>
      </c>
      <c r="G3133">
        <v>0</v>
      </c>
      <c r="H3133">
        <v>0.20899999999999999</v>
      </c>
      <c r="I3133">
        <v>6.1269999999999998</v>
      </c>
      <c r="K3133">
        <v>3131</v>
      </c>
      <c r="L3133">
        <v>48</v>
      </c>
      <c r="M3133" s="32">
        <v>3.16</v>
      </c>
      <c r="N3133" s="32">
        <v>5.85</v>
      </c>
      <c r="P3133" s="47">
        <v>1.897</v>
      </c>
      <c r="R3133" s="47">
        <v>0.214</v>
      </c>
      <c r="S3133" s="47">
        <v>5.9939999999999998</v>
      </c>
      <c r="T3133" s="31">
        <v>0</v>
      </c>
      <c r="V3133">
        <v>3131</v>
      </c>
      <c r="W3133">
        <v>45</v>
      </c>
      <c r="X3133">
        <v>3.1720000000000002</v>
      </c>
      <c r="Y3133" s="32">
        <v>5.88</v>
      </c>
      <c r="Z3133">
        <v>0</v>
      </c>
      <c r="AA3133" s="32">
        <v>1.7470000000000001</v>
      </c>
      <c r="AB3133">
        <v>0</v>
      </c>
      <c r="AC3133" s="34">
        <v>0.22600000000000001</v>
      </c>
      <c r="AD3133" s="32">
        <v>5.5410000000000004</v>
      </c>
    </row>
    <row r="3134" spans="1:30">
      <c r="A3134">
        <v>3132</v>
      </c>
      <c r="B3134">
        <v>48</v>
      </c>
      <c r="C3134">
        <v>3.161</v>
      </c>
      <c r="D3134">
        <v>5.85</v>
      </c>
      <c r="E3134">
        <v>0</v>
      </c>
      <c r="F3134">
        <v>1.897</v>
      </c>
      <c r="G3134">
        <v>0</v>
      </c>
      <c r="H3134">
        <v>0.20899999999999999</v>
      </c>
      <c r="I3134">
        <v>6.1580000000000004</v>
      </c>
      <c r="K3134">
        <v>3132</v>
      </c>
      <c r="L3134">
        <v>48</v>
      </c>
      <c r="M3134" s="32">
        <v>3.161</v>
      </c>
      <c r="N3134" s="32">
        <v>5.85</v>
      </c>
      <c r="P3134" s="32">
        <v>1.897</v>
      </c>
      <c r="R3134" s="47">
        <v>0.214</v>
      </c>
      <c r="S3134" s="47">
        <v>5.9969999999999999</v>
      </c>
      <c r="T3134" s="31">
        <v>0</v>
      </c>
      <c r="V3134">
        <v>3132</v>
      </c>
      <c r="W3134">
        <v>45</v>
      </c>
      <c r="X3134">
        <v>3.173</v>
      </c>
      <c r="Y3134" s="32">
        <v>5.8949999999999996</v>
      </c>
      <c r="Z3134">
        <v>0</v>
      </c>
      <c r="AA3134" s="32">
        <v>1.7470000000000001</v>
      </c>
      <c r="AB3134">
        <v>0</v>
      </c>
      <c r="AC3134" s="34">
        <v>0.22600000000000001</v>
      </c>
      <c r="AD3134" s="32">
        <v>5.5430000000000001</v>
      </c>
    </row>
    <row r="3135" spans="1:30">
      <c r="A3135">
        <v>3133</v>
      </c>
      <c r="B3135">
        <v>48</v>
      </c>
      <c r="C3135">
        <v>3.1619999999999999</v>
      </c>
      <c r="D3135">
        <v>5.85</v>
      </c>
      <c r="E3135">
        <v>0</v>
      </c>
      <c r="F3135">
        <v>1.897</v>
      </c>
      <c r="G3135">
        <v>0</v>
      </c>
      <c r="H3135">
        <v>0.20899999999999999</v>
      </c>
      <c r="I3135">
        <v>6.1609999999999996</v>
      </c>
      <c r="K3135">
        <v>3133</v>
      </c>
      <c r="L3135">
        <v>48</v>
      </c>
      <c r="M3135" s="32">
        <v>3.1619999999999999</v>
      </c>
      <c r="N3135" s="32">
        <v>5.85</v>
      </c>
      <c r="P3135" s="32">
        <v>1.897</v>
      </c>
      <c r="R3135" s="47">
        <v>0.214</v>
      </c>
      <c r="S3135" s="47">
        <v>5.9989999999999997</v>
      </c>
      <c r="T3135" s="31">
        <v>0</v>
      </c>
      <c r="V3135">
        <v>3133</v>
      </c>
      <c r="W3135">
        <v>45</v>
      </c>
      <c r="X3135">
        <v>3.1739999999999999</v>
      </c>
      <c r="Y3135" s="32">
        <v>5.91</v>
      </c>
      <c r="Z3135">
        <v>0</v>
      </c>
      <c r="AA3135" s="32">
        <v>1.7470000000000001</v>
      </c>
      <c r="AB3135">
        <v>0</v>
      </c>
      <c r="AC3135" s="34">
        <v>0.22600000000000001</v>
      </c>
      <c r="AD3135" s="32">
        <v>5.5460000000000003</v>
      </c>
    </row>
    <row r="3136" spans="1:30">
      <c r="A3136">
        <v>3134</v>
      </c>
      <c r="B3136">
        <v>48</v>
      </c>
      <c r="C3136">
        <v>3.1629999999999998</v>
      </c>
      <c r="D3136">
        <v>5.85</v>
      </c>
      <c r="E3136">
        <v>0</v>
      </c>
      <c r="F3136">
        <v>1.897</v>
      </c>
      <c r="G3136">
        <v>0</v>
      </c>
      <c r="H3136">
        <v>0.20899999999999999</v>
      </c>
      <c r="I3136">
        <v>6.1630000000000003</v>
      </c>
      <c r="K3136">
        <v>3134</v>
      </c>
      <c r="L3136">
        <v>48</v>
      </c>
      <c r="M3136" s="32">
        <v>3.1629999999999998</v>
      </c>
      <c r="N3136" s="32">
        <v>5.85</v>
      </c>
      <c r="P3136" s="47">
        <v>1.8979999999999999</v>
      </c>
      <c r="R3136" s="47">
        <v>0.214</v>
      </c>
      <c r="S3136" s="47">
        <v>6.0019999999999998</v>
      </c>
      <c r="T3136" s="31">
        <v>0</v>
      </c>
      <c r="V3136">
        <v>3134</v>
      </c>
      <c r="W3136">
        <v>45</v>
      </c>
      <c r="X3136">
        <v>3.1749999999999998</v>
      </c>
      <c r="Y3136" s="32">
        <v>5.9249999999999998</v>
      </c>
      <c r="Z3136">
        <v>0</v>
      </c>
      <c r="AA3136" s="32">
        <v>1.7470000000000001</v>
      </c>
      <c r="AB3136">
        <v>0</v>
      </c>
      <c r="AC3136" s="34">
        <v>0.22600000000000001</v>
      </c>
      <c r="AD3136" s="32">
        <v>5.548</v>
      </c>
    </row>
    <row r="3137" spans="1:30">
      <c r="A3137">
        <v>3135</v>
      </c>
      <c r="B3137">
        <v>48</v>
      </c>
      <c r="C3137">
        <v>3.1640000000000001</v>
      </c>
      <c r="D3137">
        <v>5.85</v>
      </c>
      <c r="E3137">
        <v>0</v>
      </c>
      <c r="F3137">
        <v>1.897</v>
      </c>
      <c r="G3137">
        <v>0</v>
      </c>
      <c r="H3137">
        <v>0.20899999999999999</v>
      </c>
      <c r="I3137">
        <v>6.1660000000000004</v>
      </c>
      <c r="K3137">
        <v>3135</v>
      </c>
      <c r="L3137">
        <v>48</v>
      </c>
      <c r="M3137" s="32">
        <v>3.1640000000000001</v>
      </c>
      <c r="N3137" s="32">
        <v>5.85</v>
      </c>
      <c r="P3137" s="47">
        <v>1.8979999999999999</v>
      </c>
      <c r="R3137" s="47">
        <v>0.214</v>
      </c>
      <c r="S3137" s="47">
        <v>6.0049999999999999</v>
      </c>
      <c r="T3137" s="31">
        <v>0</v>
      </c>
      <c r="V3137">
        <v>3135</v>
      </c>
      <c r="W3137">
        <v>45</v>
      </c>
      <c r="X3137">
        <v>3.1760000000000002</v>
      </c>
      <c r="Y3137" s="32">
        <v>5.94</v>
      </c>
      <c r="Z3137">
        <v>0</v>
      </c>
      <c r="AA3137" s="32">
        <v>1.748</v>
      </c>
      <c r="AB3137">
        <v>0</v>
      </c>
      <c r="AC3137" s="34">
        <v>0.22600000000000001</v>
      </c>
      <c r="AD3137" s="32">
        <v>5.5510000000000002</v>
      </c>
    </row>
    <row r="3138" spans="1:30">
      <c r="A3138">
        <v>3136</v>
      </c>
      <c r="B3138">
        <v>48</v>
      </c>
      <c r="C3138">
        <v>3.165</v>
      </c>
      <c r="D3138">
        <v>5.85</v>
      </c>
      <c r="E3138">
        <v>0</v>
      </c>
      <c r="F3138">
        <v>1.897</v>
      </c>
      <c r="G3138">
        <v>0</v>
      </c>
      <c r="H3138">
        <v>0.20899999999999999</v>
      </c>
      <c r="I3138">
        <v>6.1689999999999996</v>
      </c>
      <c r="K3138">
        <v>3136</v>
      </c>
      <c r="L3138">
        <v>48</v>
      </c>
      <c r="M3138" s="32">
        <v>3.165</v>
      </c>
      <c r="N3138" s="32">
        <v>5.85</v>
      </c>
      <c r="P3138" s="47">
        <v>1.8979999999999999</v>
      </c>
      <c r="R3138" s="47">
        <v>0.214</v>
      </c>
      <c r="S3138" s="47">
        <v>6.008</v>
      </c>
      <c r="T3138" s="31">
        <v>0</v>
      </c>
      <c r="V3138">
        <v>3136</v>
      </c>
      <c r="W3138">
        <v>45</v>
      </c>
      <c r="X3138">
        <v>3.177</v>
      </c>
      <c r="Y3138" s="32">
        <v>5.9550000000000001</v>
      </c>
      <c r="Z3138">
        <v>0</v>
      </c>
      <c r="AA3138" s="32">
        <v>1.748</v>
      </c>
      <c r="AB3138">
        <v>0</v>
      </c>
      <c r="AC3138" s="34">
        <v>0.22600000000000001</v>
      </c>
      <c r="AD3138" s="32">
        <v>5.5529999999999999</v>
      </c>
    </row>
    <row r="3139" spans="1:30">
      <c r="A3139">
        <v>3137</v>
      </c>
      <c r="B3139">
        <v>48</v>
      </c>
      <c r="C3139">
        <v>3.1659999999999999</v>
      </c>
      <c r="D3139">
        <v>5.85</v>
      </c>
      <c r="E3139">
        <v>0</v>
      </c>
      <c r="F3139">
        <v>1.897</v>
      </c>
      <c r="G3139">
        <v>0</v>
      </c>
      <c r="H3139">
        <v>0.20899999999999999</v>
      </c>
      <c r="I3139">
        <v>6.1710000000000003</v>
      </c>
      <c r="K3139">
        <v>3137</v>
      </c>
      <c r="L3139">
        <v>48</v>
      </c>
      <c r="M3139" s="32">
        <v>3.1659999999999999</v>
      </c>
      <c r="N3139" s="32">
        <v>5.85</v>
      </c>
      <c r="P3139" s="47">
        <v>1.8979999999999999</v>
      </c>
      <c r="R3139" s="47">
        <v>0.214</v>
      </c>
      <c r="S3139" s="47">
        <v>6.01</v>
      </c>
      <c r="T3139" s="31">
        <v>0</v>
      </c>
      <c r="V3139">
        <v>3137</v>
      </c>
      <c r="W3139">
        <v>45</v>
      </c>
      <c r="X3139">
        <v>3.1779999999999999</v>
      </c>
      <c r="Y3139" s="32">
        <v>5.97</v>
      </c>
      <c r="Z3139">
        <v>0</v>
      </c>
      <c r="AA3139" s="32">
        <v>1.748</v>
      </c>
      <c r="AB3139">
        <v>0</v>
      </c>
      <c r="AC3139" s="34">
        <v>0.22600000000000001</v>
      </c>
      <c r="AD3139" s="32">
        <v>5.556</v>
      </c>
    </row>
    <row r="3140" spans="1:30">
      <c r="A3140">
        <v>3138</v>
      </c>
      <c r="B3140">
        <v>48</v>
      </c>
      <c r="C3140">
        <v>3.1669999999999998</v>
      </c>
      <c r="D3140">
        <v>5.85</v>
      </c>
      <c r="E3140">
        <v>0</v>
      </c>
      <c r="F3140">
        <v>1.897</v>
      </c>
      <c r="G3140">
        <v>0</v>
      </c>
      <c r="H3140">
        <v>0.20899999999999999</v>
      </c>
      <c r="I3140">
        <v>6.1740000000000004</v>
      </c>
      <c r="K3140">
        <v>3138</v>
      </c>
      <c r="L3140">
        <v>48</v>
      </c>
      <c r="M3140" s="32">
        <v>3.1669999999999998</v>
      </c>
      <c r="N3140" s="32">
        <v>5.85</v>
      </c>
      <c r="P3140" s="47">
        <v>1.8979999999999999</v>
      </c>
      <c r="R3140" s="47">
        <v>0.214</v>
      </c>
      <c r="S3140" s="47">
        <v>6.0129999999999999</v>
      </c>
      <c r="T3140" s="31">
        <v>0</v>
      </c>
      <c r="V3140">
        <v>3138</v>
      </c>
      <c r="W3140">
        <v>45</v>
      </c>
      <c r="X3140">
        <v>3.1789999999999998</v>
      </c>
      <c r="Y3140" s="32">
        <v>5.9850000000000003</v>
      </c>
      <c r="Z3140">
        <v>0</v>
      </c>
      <c r="AA3140" s="32">
        <v>1.748</v>
      </c>
      <c r="AB3140">
        <v>0</v>
      </c>
      <c r="AC3140" s="34">
        <v>0.22600000000000001</v>
      </c>
      <c r="AD3140" s="32">
        <v>5.5579999999999998</v>
      </c>
    </row>
    <row r="3141" spans="1:30">
      <c r="A3141">
        <v>3139</v>
      </c>
      <c r="B3141">
        <v>48</v>
      </c>
      <c r="C3141">
        <v>3.1680000000000001</v>
      </c>
      <c r="D3141">
        <v>5.85</v>
      </c>
      <c r="E3141">
        <v>0</v>
      </c>
      <c r="F3141">
        <v>1.897</v>
      </c>
      <c r="G3141">
        <v>0</v>
      </c>
      <c r="H3141">
        <v>0.20899999999999999</v>
      </c>
      <c r="I3141">
        <v>6.1769999999999996</v>
      </c>
      <c r="K3141">
        <v>3139</v>
      </c>
      <c r="L3141">
        <v>48</v>
      </c>
      <c r="M3141" s="32">
        <v>3.1680000000000001</v>
      </c>
      <c r="N3141" s="32">
        <v>5.85</v>
      </c>
      <c r="P3141" s="47">
        <v>1.899</v>
      </c>
      <c r="R3141" s="47">
        <v>0.214</v>
      </c>
      <c r="S3141" s="47">
        <v>6.016</v>
      </c>
      <c r="T3141" s="31">
        <v>0</v>
      </c>
      <c r="V3141">
        <v>3139</v>
      </c>
      <c r="W3141">
        <v>45</v>
      </c>
      <c r="X3141">
        <v>3.18</v>
      </c>
      <c r="Y3141" s="32">
        <v>6</v>
      </c>
      <c r="Z3141">
        <v>0</v>
      </c>
      <c r="AA3141" s="32">
        <v>1.748</v>
      </c>
      <c r="AB3141">
        <v>0</v>
      </c>
      <c r="AC3141" s="34">
        <v>0.22600000000000001</v>
      </c>
      <c r="AD3141" s="32">
        <v>5.56</v>
      </c>
    </row>
    <row r="3142" spans="1:30">
      <c r="A3142">
        <v>3140</v>
      </c>
      <c r="B3142">
        <v>48</v>
      </c>
      <c r="C3142">
        <v>3.169</v>
      </c>
      <c r="D3142">
        <v>5.85</v>
      </c>
      <c r="E3142">
        <v>0</v>
      </c>
      <c r="F3142">
        <v>1.897</v>
      </c>
      <c r="G3142">
        <v>0</v>
      </c>
      <c r="H3142">
        <v>0.20899999999999999</v>
      </c>
      <c r="I3142">
        <v>6.1790000000000003</v>
      </c>
      <c r="K3142">
        <v>3140</v>
      </c>
      <c r="L3142">
        <v>48</v>
      </c>
      <c r="M3142" s="32">
        <v>3.169</v>
      </c>
      <c r="N3142" s="32">
        <v>5.85</v>
      </c>
      <c r="P3142" s="47">
        <v>1.899</v>
      </c>
      <c r="R3142" s="47">
        <v>0.214</v>
      </c>
      <c r="S3142" s="47">
        <v>6.0179999999999998</v>
      </c>
      <c r="T3142" s="31">
        <v>0</v>
      </c>
      <c r="V3142">
        <v>3140</v>
      </c>
      <c r="W3142">
        <v>45</v>
      </c>
      <c r="X3142">
        <v>3.181</v>
      </c>
      <c r="Y3142" s="32">
        <v>6</v>
      </c>
      <c r="Z3142">
        <v>0</v>
      </c>
      <c r="AA3142" s="32">
        <v>1.7490000000000001</v>
      </c>
      <c r="AB3142">
        <v>0</v>
      </c>
      <c r="AC3142" s="34">
        <v>0.22600000000000001</v>
      </c>
      <c r="AD3142" s="32">
        <v>5.5629999999999997</v>
      </c>
    </row>
    <row r="3143" spans="1:30">
      <c r="A3143">
        <v>3141</v>
      </c>
      <c r="B3143">
        <v>48</v>
      </c>
      <c r="C3143">
        <v>3.17</v>
      </c>
      <c r="D3143">
        <v>5.85</v>
      </c>
      <c r="E3143">
        <v>0</v>
      </c>
      <c r="F3143">
        <v>1.899</v>
      </c>
      <c r="G3143">
        <v>0</v>
      </c>
      <c r="H3143">
        <v>0.20899999999999999</v>
      </c>
      <c r="I3143">
        <v>6.0209999999999999</v>
      </c>
      <c r="K3143">
        <v>3141</v>
      </c>
      <c r="L3143">
        <v>48</v>
      </c>
      <c r="M3143" s="32">
        <v>3.17</v>
      </c>
      <c r="N3143" s="32">
        <v>5.85</v>
      </c>
      <c r="P3143" s="32">
        <v>1.899</v>
      </c>
      <c r="R3143" s="47">
        <v>0.214</v>
      </c>
      <c r="S3143" s="32">
        <v>6.0209999999999999</v>
      </c>
      <c r="T3143" s="31">
        <v>0</v>
      </c>
      <c r="V3143">
        <v>3141</v>
      </c>
      <c r="W3143">
        <v>45</v>
      </c>
      <c r="X3143">
        <v>3.1819999999999999</v>
      </c>
      <c r="Y3143" s="32">
        <v>6</v>
      </c>
      <c r="Z3143">
        <v>0</v>
      </c>
      <c r="AA3143" s="32">
        <v>1.7490000000000001</v>
      </c>
      <c r="AB3143">
        <v>0</v>
      </c>
      <c r="AC3143" s="34">
        <v>0.22600000000000001</v>
      </c>
      <c r="AD3143" s="32">
        <v>5.5650000000000004</v>
      </c>
    </row>
    <row r="3144" spans="1:30">
      <c r="A3144">
        <v>3142</v>
      </c>
      <c r="B3144">
        <v>48</v>
      </c>
      <c r="C3144">
        <v>3.1709999999999998</v>
      </c>
      <c r="D3144">
        <v>5.85</v>
      </c>
      <c r="E3144">
        <v>0</v>
      </c>
      <c r="F3144">
        <v>1.899</v>
      </c>
      <c r="G3144">
        <v>0</v>
      </c>
      <c r="H3144">
        <v>0.20899999999999999</v>
      </c>
      <c r="I3144">
        <v>6.2119999999999997</v>
      </c>
      <c r="K3144">
        <v>3142</v>
      </c>
      <c r="L3144">
        <v>48</v>
      </c>
      <c r="M3144" s="32">
        <v>3.1709999999999998</v>
      </c>
      <c r="N3144" s="47">
        <v>5.8650000000000002</v>
      </c>
      <c r="P3144" s="32">
        <v>1.899</v>
      </c>
      <c r="R3144" s="47">
        <v>0.214</v>
      </c>
      <c r="S3144" s="47">
        <v>6.0229999999999997</v>
      </c>
      <c r="T3144" s="31">
        <v>0</v>
      </c>
      <c r="V3144">
        <v>3142</v>
      </c>
      <c r="W3144">
        <v>45</v>
      </c>
      <c r="X3144">
        <v>3.1829999999999998</v>
      </c>
      <c r="Y3144" s="32">
        <v>6</v>
      </c>
      <c r="Z3144">
        <v>0</v>
      </c>
      <c r="AA3144" s="32">
        <v>1.7490000000000001</v>
      </c>
      <c r="AB3144">
        <v>0</v>
      </c>
      <c r="AC3144" s="34">
        <v>0.22600000000000001</v>
      </c>
      <c r="AD3144" s="32">
        <v>5.5679999999999996</v>
      </c>
    </row>
    <row r="3145" spans="1:30">
      <c r="A3145">
        <v>3143</v>
      </c>
      <c r="B3145">
        <v>48</v>
      </c>
      <c r="C3145">
        <v>3.1720000000000002</v>
      </c>
      <c r="D3145">
        <v>5.85</v>
      </c>
      <c r="E3145">
        <v>0</v>
      </c>
      <c r="F3145">
        <v>1.899</v>
      </c>
      <c r="G3145">
        <v>0</v>
      </c>
      <c r="H3145">
        <v>0.20899999999999999</v>
      </c>
      <c r="I3145">
        <v>6.2149999999999999</v>
      </c>
      <c r="K3145">
        <v>3143</v>
      </c>
      <c r="L3145">
        <v>48</v>
      </c>
      <c r="M3145" s="32">
        <v>3.1720000000000002</v>
      </c>
      <c r="N3145" s="47">
        <v>5.88</v>
      </c>
      <c r="P3145" s="47">
        <v>1.9</v>
      </c>
      <c r="R3145" s="47">
        <v>0.214</v>
      </c>
      <c r="S3145" s="47">
        <v>6.0250000000000004</v>
      </c>
      <c r="T3145" s="31">
        <v>0</v>
      </c>
      <c r="V3145">
        <v>3143</v>
      </c>
      <c r="W3145">
        <v>45</v>
      </c>
      <c r="X3145">
        <v>3.1840000000000002</v>
      </c>
      <c r="Y3145" s="32">
        <v>6</v>
      </c>
      <c r="Z3145">
        <v>0</v>
      </c>
      <c r="AA3145" s="32">
        <v>1.7490000000000001</v>
      </c>
      <c r="AB3145">
        <v>0</v>
      </c>
      <c r="AC3145" s="34">
        <v>0.22600000000000001</v>
      </c>
      <c r="AD3145" s="32">
        <v>5.57</v>
      </c>
    </row>
    <row r="3146" spans="1:30">
      <c r="A3146">
        <v>3144</v>
      </c>
      <c r="B3146">
        <v>48</v>
      </c>
      <c r="C3146">
        <v>3.173</v>
      </c>
      <c r="D3146">
        <v>5.85</v>
      </c>
      <c r="E3146">
        <v>0</v>
      </c>
      <c r="F3146">
        <v>1.899</v>
      </c>
      <c r="G3146">
        <v>0</v>
      </c>
      <c r="H3146">
        <v>0.20899999999999999</v>
      </c>
      <c r="I3146">
        <v>6.2169999999999996</v>
      </c>
      <c r="K3146">
        <v>3144</v>
      </c>
      <c r="L3146">
        <v>48</v>
      </c>
      <c r="M3146" s="32">
        <v>3.173</v>
      </c>
      <c r="N3146" s="47">
        <v>5.8949999999999996</v>
      </c>
      <c r="P3146" s="47">
        <v>1.9</v>
      </c>
      <c r="R3146" s="47">
        <v>0.214</v>
      </c>
      <c r="S3146" s="47">
        <v>6.0279999999999996</v>
      </c>
      <c r="T3146" s="31">
        <v>0</v>
      </c>
      <c r="V3146">
        <v>3144</v>
      </c>
      <c r="W3146">
        <v>45</v>
      </c>
      <c r="X3146">
        <v>3.1850000000000001</v>
      </c>
      <c r="Y3146" s="32">
        <v>6</v>
      </c>
      <c r="Z3146">
        <v>0</v>
      </c>
      <c r="AA3146" s="32">
        <v>1.75</v>
      </c>
      <c r="AB3146">
        <v>0</v>
      </c>
      <c r="AC3146" s="34">
        <v>0.22600000000000001</v>
      </c>
      <c r="AD3146" s="32">
        <v>5.5730000000000004</v>
      </c>
    </row>
    <row r="3147" spans="1:30">
      <c r="A3147">
        <v>3145</v>
      </c>
      <c r="B3147">
        <v>48</v>
      </c>
      <c r="C3147">
        <v>3.1739999999999999</v>
      </c>
      <c r="D3147">
        <v>5.85</v>
      </c>
      <c r="E3147">
        <v>0</v>
      </c>
      <c r="F3147">
        <v>1.899</v>
      </c>
      <c r="G3147">
        <v>0</v>
      </c>
      <c r="H3147">
        <v>0.20899999999999999</v>
      </c>
      <c r="I3147">
        <v>6.22</v>
      </c>
      <c r="K3147">
        <v>3145</v>
      </c>
      <c r="L3147">
        <v>48</v>
      </c>
      <c r="M3147" s="32">
        <v>3.1739999999999999</v>
      </c>
      <c r="N3147" s="47">
        <v>5.91</v>
      </c>
      <c r="P3147" s="47">
        <v>1.9</v>
      </c>
      <c r="R3147" s="47">
        <v>0.215</v>
      </c>
      <c r="S3147" s="47">
        <v>6.03</v>
      </c>
      <c r="T3147" s="31">
        <v>0</v>
      </c>
      <c r="V3147">
        <v>3145</v>
      </c>
      <c r="W3147">
        <v>45</v>
      </c>
      <c r="X3147">
        <v>3.1859999999999999</v>
      </c>
      <c r="Y3147" s="32">
        <v>6</v>
      </c>
      <c r="Z3147">
        <v>0</v>
      </c>
      <c r="AA3147" s="32">
        <v>1.75</v>
      </c>
      <c r="AB3147">
        <v>0</v>
      </c>
      <c r="AC3147" s="34">
        <v>0.22600000000000001</v>
      </c>
      <c r="AD3147" s="32">
        <v>5.5750000000000002</v>
      </c>
    </row>
    <row r="3148" spans="1:30">
      <c r="A3148">
        <v>3146</v>
      </c>
      <c r="B3148">
        <v>48</v>
      </c>
      <c r="C3148">
        <v>3.1749999999999998</v>
      </c>
      <c r="D3148">
        <v>5.85</v>
      </c>
      <c r="E3148">
        <v>0</v>
      </c>
      <c r="F3148">
        <v>1.899</v>
      </c>
      <c r="G3148">
        <v>0</v>
      </c>
      <c r="H3148">
        <v>0.20899999999999999</v>
      </c>
      <c r="I3148">
        <v>6.2229999999999999</v>
      </c>
      <c r="K3148">
        <v>3146</v>
      </c>
      <c r="L3148">
        <v>48</v>
      </c>
      <c r="M3148" s="32">
        <v>3.1749999999999998</v>
      </c>
      <c r="N3148" s="47">
        <v>5.9249999999999998</v>
      </c>
      <c r="P3148" s="47">
        <v>1.901</v>
      </c>
      <c r="R3148" s="47">
        <v>0.215</v>
      </c>
      <c r="S3148" s="47">
        <v>6.032</v>
      </c>
      <c r="T3148" s="31">
        <v>0</v>
      </c>
      <c r="V3148">
        <v>3146</v>
      </c>
      <c r="W3148">
        <v>45</v>
      </c>
      <c r="X3148">
        <v>3.1869999999999998</v>
      </c>
      <c r="Y3148" s="32">
        <v>6</v>
      </c>
      <c r="Z3148">
        <v>0</v>
      </c>
      <c r="AA3148" s="32">
        <v>1.75</v>
      </c>
      <c r="AB3148">
        <v>0</v>
      </c>
      <c r="AC3148" s="34">
        <v>0.22600000000000001</v>
      </c>
      <c r="AD3148" s="32">
        <v>5.577</v>
      </c>
    </row>
    <row r="3149" spans="1:30">
      <c r="A3149">
        <v>3147</v>
      </c>
      <c r="B3149">
        <v>48</v>
      </c>
      <c r="C3149">
        <v>3.1760000000000002</v>
      </c>
      <c r="D3149">
        <v>5.85</v>
      </c>
      <c r="E3149">
        <v>0</v>
      </c>
      <c r="F3149">
        <v>1.899</v>
      </c>
      <c r="G3149">
        <v>0</v>
      </c>
      <c r="H3149">
        <v>0.20899999999999999</v>
      </c>
      <c r="I3149">
        <v>6.2249999999999996</v>
      </c>
      <c r="K3149">
        <v>3147</v>
      </c>
      <c r="L3149">
        <v>48</v>
      </c>
      <c r="M3149" s="32">
        <v>3.1760000000000002</v>
      </c>
      <c r="N3149" s="47">
        <v>5.94</v>
      </c>
      <c r="P3149" s="47">
        <v>1.901</v>
      </c>
      <c r="R3149" s="47">
        <v>0.215</v>
      </c>
      <c r="S3149" s="47">
        <v>6.0339999999999998</v>
      </c>
      <c r="T3149" s="31">
        <v>0</v>
      </c>
      <c r="V3149">
        <v>3147</v>
      </c>
      <c r="W3149">
        <v>45</v>
      </c>
      <c r="X3149">
        <v>3.1880000000000002</v>
      </c>
      <c r="Y3149" s="32">
        <v>6</v>
      </c>
      <c r="Z3149">
        <v>0</v>
      </c>
      <c r="AA3149" s="32">
        <v>1.75</v>
      </c>
      <c r="AB3149">
        <v>0</v>
      </c>
      <c r="AC3149" s="34">
        <v>0.22600000000000001</v>
      </c>
      <c r="AD3149" s="32">
        <v>5.58</v>
      </c>
    </row>
    <row r="3150" spans="1:30">
      <c r="A3150">
        <v>3148</v>
      </c>
      <c r="B3150">
        <v>48</v>
      </c>
      <c r="C3150">
        <v>3.177</v>
      </c>
      <c r="D3150">
        <v>5.85</v>
      </c>
      <c r="E3150">
        <v>0</v>
      </c>
      <c r="F3150">
        <v>1.899</v>
      </c>
      <c r="G3150">
        <v>0</v>
      </c>
      <c r="H3150">
        <v>0.20899999999999999</v>
      </c>
      <c r="I3150">
        <v>6.2279999999999998</v>
      </c>
      <c r="K3150">
        <v>3148</v>
      </c>
      <c r="L3150">
        <v>48</v>
      </c>
      <c r="M3150" s="32">
        <v>3.177</v>
      </c>
      <c r="N3150" s="47">
        <v>5.9550000000000001</v>
      </c>
      <c r="P3150" s="47">
        <v>1.901</v>
      </c>
      <c r="R3150" s="47">
        <v>0.215</v>
      </c>
      <c r="S3150" s="47">
        <v>6.0359999999999996</v>
      </c>
      <c r="T3150" s="31">
        <v>0</v>
      </c>
      <c r="V3150">
        <v>3148</v>
      </c>
      <c r="W3150">
        <v>45</v>
      </c>
      <c r="X3150">
        <v>3.1890000000000001</v>
      </c>
      <c r="Y3150" s="32">
        <v>6</v>
      </c>
      <c r="Z3150">
        <v>0</v>
      </c>
      <c r="AA3150" s="32">
        <v>1.75</v>
      </c>
      <c r="AB3150">
        <v>0</v>
      </c>
      <c r="AC3150" s="34">
        <v>0.22600000000000001</v>
      </c>
      <c r="AD3150" s="32">
        <v>5.5819999999999999</v>
      </c>
    </row>
    <row r="3151" spans="1:30">
      <c r="A3151">
        <v>3149</v>
      </c>
      <c r="B3151">
        <v>48</v>
      </c>
      <c r="C3151">
        <v>3.1779999999999999</v>
      </c>
      <c r="D3151">
        <v>5.85</v>
      </c>
      <c r="E3151">
        <v>0</v>
      </c>
      <c r="F3151">
        <v>1.899</v>
      </c>
      <c r="G3151">
        <v>0</v>
      </c>
      <c r="H3151">
        <v>0.20899999999999999</v>
      </c>
      <c r="I3151">
        <v>6.2309999999999999</v>
      </c>
      <c r="K3151">
        <v>3149</v>
      </c>
      <c r="L3151">
        <v>48</v>
      </c>
      <c r="M3151" s="32">
        <v>3.1779999999999999</v>
      </c>
      <c r="N3151" s="47">
        <v>5.97</v>
      </c>
      <c r="P3151" s="47">
        <v>1.901</v>
      </c>
      <c r="R3151" s="47">
        <v>0.215</v>
      </c>
      <c r="S3151" s="47">
        <v>6.0389999999999997</v>
      </c>
      <c r="T3151" s="31">
        <v>0</v>
      </c>
      <c r="V3151">
        <v>3149</v>
      </c>
      <c r="W3151">
        <v>45</v>
      </c>
      <c r="X3151">
        <v>3.19</v>
      </c>
      <c r="Y3151" s="32">
        <v>6</v>
      </c>
      <c r="Z3151">
        <v>0</v>
      </c>
      <c r="AA3151" s="32">
        <v>1.7509999999999999</v>
      </c>
      <c r="AB3151">
        <v>0</v>
      </c>
      <c r="AC3151" s="34">
        <v>0.22600000000000001</v>
      </c>
      <c r="AD3151" s="32">
        <v>5.585</v>
      </c>
    </row>
    <row r="3152" spans="1:30">
      <c r="A3152">
        <v>3150</v>
      </c>
      <c r="B3152">
        <v>48</v>
      </c>
      <c r="C3152">
        <v>3.1789999999999998</v>
      </c>
      <c r="D3152">
        <v>5.85</v>
      </c>
      <c r="E3152">
        <v>0</v>
      </c>
      <c r="F3152">
        <v>1.899</v>
      </c>
      <c r="G3152">
        <v>0</v>
      </c>
      <c r="H3152">
        <v>0.20899999999999999</v>
      </c>
      <c r="I3152">
        <v>6.2329999999999997</v>
      </c>
      <c r="K3152">
        <v>3150</v>
      </c>
      <c r="L3152">
        <v>48</v>
      </c>
      <c r="M3152" s="32">
        <v>3.1789999999999998</v>
      </c>
      <c r="N3152" s="47">
        <v>5.9850000000000003</v>
      </c>
      <c r="P3152" s="47">
        <v>1.9019999999999999</v>
      </c>
      <c r="R3152" s="47">
        <v>0.215</v>
      </c>
      <c r="S3152" s="47">
        <v>6.0410000000000004</v>
      </c>
      <c r="T3152" s="31">
        <v>0</v>
      </c>
      <c r="V3152">
        <v>3150</v>
      </c>
      <c r="W3152">
        <v>45</v>
      </c>
      <c r="X3152">
        <v>3.1909999999999998</v>
      </c>
      <c r="Y3152" s="32">
        <v>6</v>
      </c>
      <c r="Z3152">
        <v>0</v>
      </c>
      <c r="AA3152" s="32">
        <v>1.7509999999999999</v>
      </c>
      <c r="AB3152">
        <v>0</v>
      </c>
      <c r="AC3152" s="34">
        <v>0.22600000000000001</v>
      </c>
      <c r="AD3152" s="32">
        <v>5.5869999999999997</v>
      </c>
    </row>
    <row r="3153" spans="1:30">
      <c r="A3153">
        <v>3151</v>
      </c>
      <c r="B3153">
        <v>49</v>
      </c>
      <c r="C3153">
        <v>3.18</v>
      </c>
      <c r="D3153">
        <v>6</v>
      </c>
      <c r="E3153">
        <v>0</v>
      </c>
      <c r="F3153">
        <v>1.9019999999999999</v>
      </c>
      <c r="G3153">
        <v>0</v>
      </c>
      <c r="H3153">
        <v>0.215</v>
      </c>
      <c r="I3153">
        <v>6.0430000000000001</v>
      </c>
      <c r="K3153">
        <v>3151</v>
      </c>
      <c r="L3153">
        <v>49</v>
      </c>
      <c r="M3153" s="32">
        <v>3.18</v>
      </c>
      <c r="N3153" s="32">
        <v>6</v>
      </c>
      <c r="P3153" s="32">
        <v>1.9019999999999999</v>
      </c>
      <c r="R3153" s="32">
        <v>0.215</v>
      </c>
      <c r="S3153" s="32">
        <v>6.0430000000000001</v>
      </c>
      <c r="T3153" s="31">
        <v>0</v>
      </c>
      <c r="V3153">
        <v>3151</v>
      </c>
      <c r="W3153">
        <v>45</v>
      </c>
      <c r="X3153">
        <v>3.1920000000000002</v>
      </c>
      <c r="Y3153" s="32">
        <v>6</v>
      </c>
      <c r="Z3153">
        <v>0</v>
      </c>
      <c r="AA3153" s="32">
        <v>1.7509999999999999</v>
      </c>
      <c r="AB3153">
        <v>0</v>
      </c>
      <c r="AC3153" s="34">
        <v>0.22600000000000001</v>
      </c>
      <c r="AD3153" s="32">
        <v>5.59</v>
      </c>
    </row>
    <row r="3154" spans="1:30">
      <c r="A3154">
        <v>3152</v>
      </c>
      <c r="B3154">
        <v>49</v>
      </c>
      <c r="C3154">
        <v>3.181</v>
      </c>
      <c r="D3154">
        <v>6</v>
      </c>
      <c r="E3154">
        <v>0</v>
      </c>
      <c r="F3154">
        <v>1.9019999999999999</v>
      </c>
      <c r="G3154">
        <v>0</v>
      </c>
      <c r="H3154">
        <v>0.215</v>
      </c>
      <c r="I3154">
        <v>6.0460000000000003</v>
      </c>
      <c r="K3154">
        <v>3152</v>
      </c>
      <c r="L3154">
        <v>49</v>
      </c>
      <c r="M3154" s="32">
        <v>3.181</v>
      </c>
      <c r="N3154" s="32">
        <v>6</v>
      </c>
      <c r="P3154" s="32">
        <v>1.9019999999999999</v>
      </c>
      <c r="R3154" s="32">
        <v>0.215</v>
      </c>
      <c r="S3154" s="47">
        <v>6.0469999999999997</v>
      </c>
      <c r="T3154" s="31">
        <v>0</v>
      </c>
      <c r="V3154">
        <v>3152</v>
      </c>
      <c r="W3154">
        <v>45</v>
      </c>
      <c r="X3154">
        <v>3.1930000000000001</v>
      </c>
      <c r="Y3154" s="32">
        <v>6</v>
      </c>
      <c r="Z3154">
        <v>0</v>
      </c>
      <c r="AA3154" s="32">
        <v>1.7509999999999999</v>
      </c>
      <c r="AB3154">
        <v>0</v>
      </c>
      <c r="AC3154" s="34">
        <v>0.22600000000000001</v>
      </c>
      <c r="AD3154" s="32">
        <v>5.5919999999999996</v>
      </c>
    </row>
    <row r="3155" spans="1:30">
      <c r="A3155">
        <v>3153</v>
      </c>
      <c r="B3155">
        <v>49</v>
      </c>
      <c r="C3155">
        <v>3.1819999999999999</v>
      </c>
      <c r="D3155">
        <v>6.01</v>
      </c>
      <c r="E3155">
        <v>0</v>
      </c>
      <c r="F3155">
        <v>1.903</v>
      </c>
      <c r="G3155">
        <v>0</v>
      </c>
      <c r="H3155">
        <v>0.215</v>
      </c>
      <c r="I3155">
        <v>6.0490000000000004</v>
      </c>
      <c r="K3155">
        <v>3153</v>
      </c>
      <c r="L3155">
        <v>49</v>
      </c>
      <c r="M3155" s="32">
        <v>3.1819999999999999</v>
      </c>
      <c r="N3155" s="47">
        <v>6</v>
      </c>
      <c r="P3155" s="32">
        <v>1.903</v>
      </c>
      <c r="R3155" s="47">
        <v>0.214</v>
      </c>
      <c r="S3155" s="47">
        <v>6.05</v>
      </c>
      <c r="T3155" s="31">
        <v>0</v>
      </c>
      <c r="V3155">
        <v>3153</v>
      </c>
      <c r="W3155">
        <v>45</v>
      </c>
      <c r="X3155">
        <v>3.194</v>
      </c>
      <c r="Y3155" s="32">
        <v>6</v>
      </c>
      <c r="Z3155">
        <v>0</v>
      </c>
      <c r="AA3155" s="32">
        <v>1.7509999999999999</v>
      </c>
      <c r="AB3155">
        <v>0</v>
      </c>
      <c r="AC3155" s="34">
        <v>0.22600000000000001</v>
      </c>
      <c r="AD3155" s="32">
        <v>5.5949999999999998</v>
      </c>
    </row>
    <row r="3156" spans="1:30">
      <c r="A3156">
        <v>3154</v>
      </c>
      <c r="B3156">
        <v>49</v>
      </c>
      <c r="C3156">
        <v>3.1829999999999998</v>
      </c>
      <c r="D3156">
        <v>6.01</v>
      </c>
      <c r="E3156">
        <v>0</v>
      </c>
      <c r="F3156">
        <v>1.903</v>
      </c>
      <c r="G3156">
        <v>0</v>
      </c>
      <c r="H3156">
        <v>0.215</v>
      </c>
      <c r="I3156">
        <v>6.0529999999999999</v>
      </c>
      <c r="K3156">
        <v>3154</v>
      </c>
      <c r="L3156">
        <v>49</v>
      </c>
      <c r="M3156" s="32">
        <v>3.1829999999999998</v>
      </c>
      <c r="N3156" s="47">
        <v>6</v>
      </c>
      <c r="P3156" s="32">
        <v>1.903</v>
      </c>
      <c r="R3156" s="47">
        <v>0.214</v>
      </c>
      <c r="S3156" s="47">
        <v>6.0540000000000003</v>
      </c>
      <c r="T3156" s="31">
        <v>0</v>
      </c>
      <c r="V3156">
        <v>3154</v>
      </c>
      <c r="W3156">
        <v>45</v>
      </c>
      <c r="X3156">
        <v>3.1949999999999998</v>
      </c>
      <c r="Y3156" s="32">
        <v>6</v>
      </c>
      <c r="Z3156">
        <v>0</v>
      </c>
      <c r="AA3156" s="32">
        <v>1.752</v>
      </c>
      <c r="AB3156">
        <v>0</v>
      </c>
      <c r="AC3156" s="34">
        <v>0.22600000000000001</v>
      </c>
      <c r="AD3156" s="32">
        <v>5.5970000000000004</v>
      </c>
    </row>
    <row r="3157" spans="1:30">
      <c r="A3157">
        <v>3155</v>
      </c>
      <c r="B3157">
        <v>49</v>
      </c>
      <c r="C3157">
        <v>3.1840000000000002</v>
      </c>
      <c r="D3157">
        <v>6.01</v>
      </c>
      <c r="E3157">
        <v>0</v>
      </c>
      <c r="F3157">
        <v>1.903</v>
      </c>
      <c r="G3157">
        <v>0</v>
      </c>
      <c r="H3157">
        <v>0.215</v>
      </c>
      <c r="I3157">
        <v>6.056</v>
      </c>
      <c r="K3157">
        <v>3155</v>
      </c>
      <c r="L3157">
        <v>49</v>
      </c>
      <c r="M3157" s="32">
        <v>3.1840000000000002</v>
      </c>
      <c r="N3157" s="47">
        <v>6</v>
      </c>
      <c r="P3157" s="32">
        <v>1.903</v>
      </c>
      <c r="R3157" s="47">
        <v>0.214</v>
      </c>
      <c r="S3157" s="47">
        <v>6.0570000000000004</v>
      </c>
      <c r="T3157" s="31">
        <v>0</v>
      </c>
      <c r="V3157">
        <v>3155</v>
      </c>
      <c r="W3157">
        <v>45</v>
      </c>
      <c r="X3157">
        <v>3.1960000000000002</v>
      </c>
      <c r="Y3157" s="32">
        <v>6</v>
      </c>
      <c r="Z3157">
        <v>0</v>
      </c>
      <c r="AA3157" s="32">
        <v>1.752</v>
      </c>
      <c r="AB3157">
        <v>0</v>
      </c>
      <c r="AC3157" s="34">
        <v>0.22600000000000001</v>
      </c>
      <c r="AD3157" s="32">
        <v>5.5990000000000002</v>
      </c>
    </row>
    <row r="3158" spans="1:30">
      <c r="A3158">
        <v>3156</v>
      </c>
      <c r="B3158">
        <v>49</v>
      </c>
      <c r="C3158">
        <v>3.1850000000000001</v>
      </c>
      <c r="D3158">
        <v>6.02</v>
      </c>
      <c r="E3158">
        <v>0</v>
      </c>
      <c r="F3158">
        <v>1.9039999999999999</v>
      </c>
      <c r="G3158">
        <v>0</v>
      </c>
      <c r="H3158">
        <v>0.215</v>
      </c>
      <c r="I3158">
        <v>6.0590000000000002</v>
      </c>
      <c r="K3158">
        <v>3156</v>
      </c>
      <c r="L3158">
        <v>49</v>
      </c>
      <c r="M3158" s="32">
        <v>3.1850000000000001</v>
      </c>
      <c r="N3158" s="47">
        <v>6</v>
      </c>
      <c r="P3158" s="32">
        <v>1.9039999999999999</v>
      </c>
      <c r="R3158" s="47">
        <v>0.21299999999999999</v>
      </c>
      <c r="S3158" s="47">
        <v>6.0609999999999999</v>
      </c>
      <c r="T3158" s="31">
        <v>0</v>
      </c>
      <c r="V3158">
        <v>3156</v>
      </c>
      <c r="W3158">
        <v>45</v>
      </c>
      <c r="X3158">
        <v>3.1970000000000001</v>
      </c>
      <c r="Y3158" s="32">
        <v>6</v>
      </c>
      <c r="Z3158">
        <v>0</v>
      </c>
      <c r="AA3158" s="32">
        <v>1.752</v>
      </c>
      <c r="AB3158">
        <v>0</v>
      </c>
      <c r="AC3158" s="34">
        <v>0.22600000000000001</v>
      </c>
      <c r="AD3158" s="32">
        <v>5.6020000000000003</v>
      </c>
    </row>
    <row r="3159" spans="1:30">
      <c r="A3159">
        <v>3157</v>
      </c>
      <c r="B3159">
        <v>49</v>
      </c>
      <c r="C3159">
        <v>3.1859999999999999</v>
      </c>
      <c r="D3159">
        <v>6.02</v>
      </c>
      <c r="E3159">
        <v>0</v>
      </c>
      <c r="F3159">
        <v>1.9039999999999999</v>
      </c>
      <c r="G3159">
        <v>0</v>
      </c>
      <c r="H3159">
        <v>0.215</v>
      </c>
      <c r="I3159">
        <v>6.0620000000000003</v>
      </c>
      <c r="K3159">
        <v>3157</v>
      </c>
      <c r="L3159">
        <v>49</v>
      </c>
      <c r="M3159" s="32">
        <v>3.1859999999999999</v>
      </c>
      <c r="N3159" s="47">
        <v>6</v>
      </c>
      <c r="P3159" s="32">
        <v>1.9039999999999999</v>
      </c>
      <c r="R3159" s="47">
        <v>0.21299999999999999</v>
      </c>
      <c r="S3159" s="47">
        <v>6.0640000000000001</v>
      </c>
      <c r="T3159" s="31">
        <v>0</v>
      </c>
      <c r="V3159">
        <v>3157</v>
      </c>
      <c r="W3159">
        <v>45</v>
      </c>
      <c r="X3159">
        <v>3.198</v>
      </c>
      <c r="Y3159" s="32">
        <v>6</v>
      </c>
      <c r="Z3159">
        <v>0</v>
      </c>
      <c r="AA3159" s="32">
        <v>1.752</v>
      </c>
      <c r="AB3159">
        <v>0</v>
      </c>
      <c r="AC3159" s="34">
        <v>0.22600000000000001</v>
      </c>
      <c r="AD3159" s="32">
        <v>5.6040000000000001</v>
      </c>
    </row>
    <row r="3160" spans="1:30">
      <c r="A3160">
        <v>3158</v>
      </c>
      <c r="B3160">
        <v>49</v>
      </c>
      <c r="C3160">
        <v>3.1869999999999998</v>
      </c>
      <c r="D3160">
        <v>6.02</v>
      </c>
      <c r="E3160">
        <v>0</v>
      </c>
      <c r="F3160">
        <v>1.9039999999999999</v>
      </c>
      <c r="G3160">
        <v>0</v>
      </c>
      <c r="H3160">
        <v>0.215</v>
      </c>
      <c r="I3160">
        <v>6.0659999999999998</v>
      </c>
      <c r="K3160">
        <v>3158</v>
      </c>
      <c r="L3160">
        <v>49</v>
      </c>
      <c r="M3160" s="32">
        <v>3.1869999999999998</v>
      </c>
      <c r="N3160" s="47">
        <v>6</v>
      </c>
      <c r="P3160" s="32">
        <v>1.9039999999999999</v>
      </c>
      <c r="R3160" s="47">
        <v>0.21199999999999999</v>
      </c>
      <c r="S3160" s="47">
        <v>6.0679999999999996</v>
      </c>
      <c r="T3160" s="31">
        <v>0</v>
      </c>
      <c r="V3160">
        <v>3158</v>
      </c>
      <c r="W3160">
        <v>45</v>
      </c>
      <c r="X3160">
        <v>3.1989999999999998</v>
      </c>
      <c r="Y3160" s="32">
        <v>6</v>
      </c>
      <c r="Z3160">
        <v>0</v>
      </c>
      <c r="AA3160" s="32">
        <v>1.7529999999999999</v>
      </c>
      <c r="AB3160">
        <v>0</v>
      </c>
      <c r="AC3160" s="34">
        <v>0.22600000000000001</v>
      </c>
      <c r="AD3160" s="32">
        <v>5.6070000000000002</v>
      </c>
    </row>
    <row r="3161" spans="1:30">
      <c r="A3161">
        <v>3159</v>
      </c>
      <c r="B3161">
        <v>49</v>
      </c>
      <c r="C3161">
        <v>3.1880000000000002</v>
      </c>
      <c r="D3161">
        <v>6.03</v>
      </c>
      <c r="E3161">
        <v>0</v>
      </c>
      <c r="F3161">
        <v>1.905</v>
      </c>
      <c r="G3161">
        <v>0</v>
      </c>
      <c r="H3161">
        <v>0.215</v>
      </c>
      <c r="I3161">
        <v>6.069</v>
      </c>
      <c r="K3161">
        <v>3159</v>
      </c>
      <c r="L3161">
        <v>49</v>
      </c>
      <c r="M3161" s="32">
        <v>3.1880000000000002</v>
      </c>
      <c r="N3161" s="47">
        <v>6</v>
      </c>
      <c r="P3161" s="47">
        <v>1.9039999999999999</v>
      </c>
      <c r="R3161" s="47">
        <v>0.21199999999999999</v>
      </c>
      <c r="S3161" s="47">
        <v>6.0709999999999997</v>
      </c>
      <c r="T3161" s="31">
        <v>0</v>
      </c>
      <c r="V3161">
        <v>3159</v>
      </c>
      <c r="W3161">
        <v>45</v>
      </c>
      <c r="X3161">
        <v>3.2</v>
      </c>
      <c r="Y3161" s="32">
        <v>6</v>
      </c>
      <c r="Z3161">
        <v>0</v>
      </c>
      <c r="AA3161" s="32">
        <v>1.7529999999999999</v>
      </c>
      <c r="AB3161">
        <v>0</v>
      </c>
      <c r="AC3161" s="34">
        <v>0.22600000000000001</v>
      </c>
      <c r="AD3161" s="32">
        <v>5.609</v>
      </c>
    </row>
    <row r="3162" spans="1:30">
      <c r="A3162">
        <v>3160</v>
      </c>
      <c r="B3162">
        <v>49</v>
      </c>
      <c r="C3162">
        <v>3.1890000000000001</v>
      </c>
      <c r="D3162">
        <v>6.03</v>
      </c>
      <c r="E3162">
        <v>0</v>
      </c>
      <c r="F3162">
        <v>1.905</v>
      </c>
      <c r="G3162">
        <v>0</v>
      </c>
      <c r="H3162">
        <v>0.215</v>
      </c>
      <c r="I3162">
        <v>6.0720000000000001</v>
      </c>
      <c r="K3162">
        <v>3160</v>
      </c>
      <c r="L3162">
        <v>49</v>
      </c>
      <c r="M3162" s="32">
        <v>3.1890000000000001</v>
      </c>
      <c r="N3162" s="47">
        <v>6</v>
      </c>
      <c r="P3162" s="32">
        <v>1.905</v>
      </c>
      <c r="R3162" s="47">
        <v>0.21199999999999999</v>
      </c>
      <c r="S3162" s="47">
        <v>6.0750000000000002</v>
      </c>
      <c r="T3162" s="31">
        <v>0</v>
      </c>
      <c r="V3162">
        <v>3160</v>
      </c>
      <c r="W3162">
        <v>45</v>
      </c>
      <c r="X3162">
        <v>3.2010000000000001</v>
      </c>
      <c r="Y3162" s="32">
        <v>6</v>
      </c>
      <c r="Z3162">
        <v>0</v>
      </c>
      <c r="AA3162" s="32">
        <v>1.7529999999999999</v>
      </c>
      <c r="AB3162">
        <v>0</v>
      </c>
      <c r="AC3162" s="34">
        <v>0.22600000000000001</v>
      </c>
      <c r="AD3162" s="32">
        <v>5.6120000000000001</v>
      </c>
    </row>
    <row r="3163" spans="1:30">
      <c r="A3163">
        <v>3161</v>
      </c>
      <c r="B3163">
        <v>49</v>
      </c>
      <c r="C3163">
        <v>3.19</v>
      </c>
      <c r="D3163">
        <v>6</v>
      </c>
      <c r="E3163">
        <v>0</v>
      </c>
      <c r="F3163">
        <v>1.905</v>
      </c>
      <c r="G3163">
        <v>0</v>
      </c>
      <c r="H3163">
        <v>0.215</v>
      </c>
      <c r="I3163">
        <v>6.0780000000000003</v>
      </c>
      <c r="K3163">
        <v>3161</v>
      </c>
      <c r="L3163">
        <v>49</v>
      </c>
      <c r="M3163" s="32">
        <v>3.19</v>
      </c>
      <c r="N3163" s="32">
        <v>6</v>
      </c>
      <c r="P3163" s="32">
        <v>1.905</v>
      </c>
      <c r="R3163" s="47">
        <v>0.21099999999999999</v>
      </c>
      <c r="S3163" s="32">
        <v>6.0780000000000003</v>
      </c>
      <c r="T3163" s="31">
        <v>0</v>
      </c>
      <c r="V3163">
        <v>3161</v>
      </c>
      <c r="W3163">
        <v>45</v>
      </c>
      <c r="X3163">
        <v>3.202</v>
      </c>
      <c r="Y3163" s="32">
        <v>6</v>
      </c>
      <c r="Z3163">
        <v>0</v>
      </c>
      <c r="AA3163" s="32">
        <v>1.7529999999999999</v>
      </c>
      <c r="AB3163">
        <v>0</v>
      </c>
      <c r="AC3163" s="34">
        <v>0.22600000000000001</v>
      </c>
      <c r="AD3163" s="32">
        <v>5.6139999999999999</v>
      </c>
    </row>
    <row r="3164" spans="1:30">
      <c r="A3164">
        <v>3162</v>
      </c>
      <c r="B3164">
        <v>49</v>
      </c>
      <c r="C3164">
        <v>3.1909999999999998</v>
      </c>
      <c r="D3164">
        <v>6</v>
      </c>
      <c r="E3164">
        <v>0</v>
      </c>
      <c r="F3164">
        <v>1.905</v>
      </c>
      <c r="G3164">
        <v>0</v>
      </c>
      <c r="H3164">
        <v>0.215</v>
      </c>
      <c r="I3164">
        <v>6.1130000000000004</v>
      </c>
      <c r="K3164">
        <v>3162</v>
      </c>
      <c r="L3164">
        <v>49</v>
      </c>
      <c r="M3164" s="32">
        <v>3.1909999999999998</v>
      </c>
      <c r="N3164" s="32">
        <v>6</v>
      </c>
      <c r="P3164" s="32">
        <v>1.905</v>
      </c>
      <c r="R3164" s="47">
        <v>0.21099999999999999</v>
      </c>
      <c r="S3164" s="47">
        <v>6.0810000000000004</v>
      </c>
      <c r="T3164" s="31">
        <v>0</v>
      </c>
      <c r="V3164">
        <v>3162</v>
      </c>
      <c r="W3164">
        <v>45</v>
      </c>
      <c r="X3164">
        <v>3.2029999999999998</v>
      </c>
      <c r="Y3164" s="32">
        <v>6</v>
      </c>
      <c r="Z3164">
        <v>0</v>
      </c>
      <c r="AA3164" s="32">
        <v>1.7529999999999999</v>
      </c>
      <c r="AB3164">
        <v>0</v>
      </c>
      <c r="AC3164" s="34">
        <v>0.22600000000000001</v>
      </c>
      <c r="AD3164" s="32">
        <v>5.617</v>
      </c>
    </row>
    <row r="3165" spans="1:30">
      <c r="A3165">
        <v>3163</v>
      </c>
      <c r="B3165">
        <v>49</v>
      </c>
      <c r="C3165">
        <v>3.1920000000000002</v>
      </c>
      <c r="D3165">
        <v>6</v>
      </c>
      <c r="E3165">
        <v>0</v>
      </c>
      <c r="F3165">
        <v>1.905</v>
      </c>
      <c r="G3165">
        <v>0</v>
      </c>
      <c r="H3165">
        <v>0.215</v>
      </c>
      <c r="I3165">
        <v>6.117</v>
      </c>
      <c r="K3165">
        <v>3163</v>
      </c>
      <c r="L3165">
        <v>49</v>
      </c>
      <c r="M3165" s="32">
        <v>3.1920000000000002</v>
      </c>
      <c r="N3165" s="32">
        <v>6</v>
      </c>
      <c r="P3165" s="47">
        <v>1.9059999999999999</v>
      </c>
      <c r="R3165" s="47">
        <v>0.21099999999999999</v>
      </c>
      <c r="S3165" s="47">
        <v>6.0839999999999996</v>
      </c>
      <c r="T3165" s="31">
        <v>0</v>
      </c>
      <c r="V3165">
        <v>3163</v>
      </c>
      <c r="W3165">
        <v>45</v>
      </c>
      <c r="X3165">
        <v>3.2040000000000002</v>
      </c>
      <c r="Y3165" s="32">
        <v>6</v>
      </c>
      <c r="Z3165">
        <v>0</v>
      </c>
      <c r="AA3165" s="32">
        <v>1.754</v>
      </c>
      <c r="AB3165">
        <v>0</v>
      </c>
      <c r="AC3165" s="34">
        <v>0.22600000000000001</v>
      </c>
      <c r="AD3165" s="32">
        <v>5.6189999999999998</v>
      </c>
    </row>
    <row r="3166" spans="1:30">
      <c r="A3166">
        <v>3164</v>
      </c>
      <c r="B3166">
        <v>49</v>
      </c>
      <c r="C3166">
        <v>3.1930000000000001</v>
      </c>
      <c r="D3166">
        <v>6</v>
      </c>
      <c r="E3166">
        <v>0</v>
      </c>
      <c r="F3166">
        <v>1.905</v>
      </c>
      <c r="G3166">
        <v>0</v>
      </c>
      <c r="H3166">
        <v>0.215</v>
      </c>
      <c r="I3166">
        <v>6.12</v>
      </c>
      <c r="K3166">
        <v>3164</v>
      </c>
      <c r="L3166">
        <v>49</v>
      </c>
      <c r="M3166" s="32">
        <v>3.1930000000000001</v>
      </c>
      <c r="N3166" s="32">
        <v>6</v>
      </c>
      <c r="P3166" s="47">
        <v>1.9059999999999999</v>
      </c>
      <c r="R3166" s="47">
        <v>0.21</v>
      </c>
      <c r="S3166" s="47">
        <v>6.0869999999999997</v>
      </c>
      <c r="T3166" s="31">
        <v>0</v>
      </c>
      <c r="V3166">
        <v>3164</v>
      </c>
      <c r="W3166">
        <v>45</v>
      </c>
      <c r="X3166">
        <v>3.2050000000000001</v>
      </c>
      <c r="Y3166" s="32">
        <v>6</v>
      </c>
      <c r="Z3166">
        <v>0</v>
      </c>
      <c r="AA3166" s="32">
        <v>1.754</v>
      </c>
      <c r="AB3166">
        <v>0</v>
      </c>
      <c r="AC3166" s="34">
        <v>0.22600000000000001</v>
      </c>
      <c r="AD3166" s="32">
        <v>5.6210000000000004</v>
      </c>
    </row>
    <row r="3167" spans="1:30">
      <c r="A3167">
        <v>3165</v>
      </c>
      <c r="B3167">
        <v>49</v>
      </c>
      <c r="C3167">
        <v>3.194</v>
      </c>
      <c r="D3167">
        <v>6</v>
      </c>
      <c r="E3167">
        <v>0</v>
      </c>
      <c r="F3167">
        <v>1.905</v>
      </c>
      <c r="G3167">
        <v>0</v>
      </c>
      <c r="H3167">
        <v>0.215</v>
      </c>
      <c r="I3167">
        <v>6.1230000000000002</v>
      </c>
      <c r="K3167">
        <v>3165</v>
      </c>
      <c r="L3167">
        <v>49</v>
      </c>
      <c r="M3167" s="32">
        <v>3.194</v>
      </c>
      <c r="N3167" s="32">
        <v>6</v>
      </c>
      <c r="P3167" s="47">
        <v>1.907</v>
      </c>
      <c r="R3167" s="47">
        <v>0.21</v>
      </c>
      <c r="S3167" s="47">
        <v>6.09</v>
      </c>
      <c r="T3167" s="31">
        <v>0</v>
      </c>
      <c r="V3167">
        <v>3165</v>
      </c>
      <c r="W3167">
        <v>45</v>
      </c>
      <c r="X3167">
        <v>3.206</v>
      </c>
      <c r="Y3167" s="32">
        <v>6</v>
      </c>
      <c r="Z3167">
        <v>0</v>
      </c>
      <c r="AA3167" s="32">
        <v>1.754</v>
      </c>
      <c r="AB3167">
        <v>0</v>
      </c>
      <c r="AC3167" s="34">
        <v>0.22700000000000001</v>
      </c>
      <c r="AD3167" s="32">
        <v>5.6239999999999997</v>
      </c>
    </row>
    <row r="3168" spans="1:30">
      <c r="A3168">
        <v>3166</v>
      </c>
      <c r="B3168">
        <v>49</v>
      </c>
      <c r="C3168">
        <v>3.1949999999999998</v>
      </c>
      <c r="D3168">
        <v>6</v>
      </c>
      <c r="E3168">
        <v>0</v>
      </c>
      <c r="F3168">
        <v>1.905</v>
      </c>
      <c r="G3168">
        <v>0</v>
      </c>
      <c r="H3168">
        <v>0.215</v>
      </c>
      <c r="I3168">
        <v>6.1260000000000003</v>
      </c>
      <c r="K3168">
        <v>3166</v>
      </c>
      <c r="L3168">
        <v>49</v>
      </c>
      <c r="M3168" s="32">
        <v>3.1949999999999998</v>
      </c>
      <c r="N3168" s="32">
        <v>6</v>
      </c>
      <c r="P3168" s="47">
        <v>1.907</v>
      </c>
      <c r="R3168" s="47">
        <v>0.21</v>
      </c>
      <c r="S3168" s="47">
        <v>6.093</v>
      </c>
      <c r="T3168" s="31">
        <v>0</v>
      </c>
      <c r="V3168">
        <v>3166</v>
      </c>
      <c r="W3168">
        <v>45</v>
      </c>
      <c r="X3168">
        <v>3.2069999999999999</v>
      </c>
      <c r="Y3168" s="32">
        <v>6</v>
      </c>
      <c r="Z3168">
        <v>0</v>
      </c>
      <c r="AA3168" s="32">
        <v>1.754</v>
      </c>
      <c r="AB3168">
        <v>0</v>
      </c>
      <c r="AC3168" s="34">
        <v>0.22700000000000001</v>
      </c>
      <c r="AD3168" s="32">
        <v>5.6260000000000003</v>
      </c>
    </row>
    <row r="3169" spans="1:30">
      <c r="A3169">
        <v>3167</v>
      </c>
      <c r="B3169">
        <v>49</v>
      </c>
      <c r="C3169">
        <v>3.1960000000000002</v>
      </c>
      <c r="D3169">
        <v>6</v>
      </c>
      <c r="E3169">
        <v>0</v>
      </c>
      <c r="F3169">
        <v>1.905</v>
      </c>
      <c r="G3169">
        <v>0</v>
      </c>
      <c r="H3169">
        <v>0.215</v>
      </c>
      <c r="I3169">
        <v>6.1289999999999996</v>
      </c>
      <c r="K3169">
        <v>3167</v>
      </c>
      <c r="L3169">
        <v>49</v>
      </c>
      <c r="M3169" s="32">
        <v>3.1960000000000002</v>
      </c>
      <c r="N3169" s="32">
        <v>6</v>
      </c>
      <c r="P3169" s="47">
        <v>1.907</v>
      </c>
      <c r="R3169" s="47">
        <v>0.20899999999999999</v>
      </c>
      <c r="S3169" s="47">
        <v>6.0960000000000001</v>
      </c>
      <c r="T3169" s="31">
        <v>0</v>
      </c>
      <c r="V3169">
        <v>3167</v>
      </c>
      <c r="W3169">
        <v>45</v>
      </c>
      <c r="X3169">
        <v>3.2080000000000002</v>
      </c>
      <c r="Y3169" s="32">
        <v>6</v>
      </c>
      <c r="Z3169">
        <v>0</v>
      </c>
      <c r="AA3169" s="32">
        <v>1.754</v>
      </c>
      <c r="AB3169">
        <v>0</v>
      </c>
      <c r="AC3169" s="34">
        <v>0.22700000000000001</v>
      </c>
      <c r="AD3169" s="32">
        <v>5.6289999999999996</v>
      </c>
    </row>
    <row r="3170" spans="1:30">
      <c r="A3170">
        <v>3168</v>
      </c>
      <c r="B3170">
        <v>49</v>
      </c>
      <c r="C3170">
        <v>3.1970000000000001</v>
      </c>
      <c r="D3170">
        <v>6</v>
      </c>
      <c r="E3170">
        <v>0</v>
      </c>
      <c r="F3170">
        <v>1.905</v>
      </c>
      <c r="G3170">
        <v>0</v>
      </c>
      <c r="H3170">
        <v>0.215</v>
      </c>
      <c r="I3170">
        <v>6.133</v>
      </c>
      <c r="K3170">
        <v>3168</v>
      </c>
      <c r="L3170">
        <v>49</v>
      </c>
      <c r="M3170" s="32">
        <v>3.1970000000000001</v>
      </c>
      <c r="N3170" s="32">
        <v>6</v>
      </c>
      <c r="P3170" s="47">
        <v>1.9079999999999999</v>
      </c>
      <c r="R3170" s="47">
        <v>0.20899999999999999</v>
      </c>
      <c r="S3170" s="47">
        <v>6.0990000000000002</v>
      </c>
      <c r="T3170" s="31">
        <v>0</v>
      </c>
      <c r="V3170">
        <v>3168</v>
      </c>
      <c r="W3170">
        <v>45</v>
      </c>
      <c r="X3170">
        <v>3.2090000000000001</v>
      </c>
      <c r="Y3170" s="32">
        <v>6</v>
      </c>
      <c r="Z3170">
        <v>0</v>
      </c>
      <c r="AA3170" s="32">
        <v>1.7549999999999999</v>
      </c>
      <c r="AB3170">
        <v>0</v>
      </c>
      <c r="AC3170" s="34">
        <v>0.22700000000000001</v>
      </c>
      <c r="AD3170" s="32">
        <v>5.6310000000000002</v>
      </c>
    </row>
    <row r="3171" spans="1:30">
      <c r="A3171">
        <v>3169</v>
      </c>
      <c r="B3171">
        <v>49</v>
      </c>
      <c r="C3171">
        <v>3.198</v>
      </c>
      <c r="D3171">
        <v>6</v>
      </c>
      <c r="E3171">
        <v>0</v>
      </c>
      <c r="F3171">
        <v>1.905</v>
      </c>
      <c r="G3171">
        <v>0</v>
      </c>
      <c r="H3171">
        <v>0.215</v>
      </c>
      <c r="I3171">
        <v>6.1360000000000001</v>
      </c>
      <c r="K3171">
        <v>3169</v>
      </c>
      <c r="L3171">
        <v>49</v>
      </c>
      <c r="M3171" s="32">
        <v>3.198</v>
      </c>
      <c r="N3171" s="32">
        <v>6</v>
      </c>
      <c r="P3171" s="47">
        <v>1.9079999999999999</v>
      </c>
      <c r="R3171" s="47">
        <v>0.20799999999999999</v>
      </c>
      <c r="S3171" s="47">
        <v>6.1020000000000003</v>
      </c>
      <c r="T3171" s="31">
        <v>0</v>
      </c>
      <c r="V3171">
        <v>3169</v>
      </c>
      <c r="W3171">
        <v>45</v>
      </c>
      <c r="X3171">
        <v>3.21</v>
      </c>
      <c r="Y3171" s="32">
        <v>6</v>
      </c>
      <c r="Z3171">
        <v>0</v>
      </c>
      <c r="AA3171" s="32">
        <v>1.7549999999999999</v>
      </c>
      <c r="AB3171">
        <v>0</v>
      </c>
      <c r="AC3171" s="34">
        <v>0.22700000000000001</v>
      </c>
      <c r="AD3171" s="32">
        <v>5.6340000000000003</v>
      </c>
    </row>
    <row r="3172" spans="1:30">
      <c r="A3172">
        <v>3170</v>
      </c>
      <c r="B3172">
        <v>49</v>
      </c>
      <c r="C3172">
        <v>3.1989999999999998</v>
      </c>
      <c r="D3172">
        <v>6</v>
      </c>
      <c r="E3172">
        <v>0</v>
      </c>
      <c r="F3172">
        <v>1.905</v>
      </c>
      <c r="G3172">
        <v>0</v>
      </c>
      <c r="H3172">
        <v>0.215</v>
      </c>
      <c r="I3172">
        <v>6.1390000000000002</v>
      </c>
      <c r="K3172">
        <v>3170</v>
      </c>
      <c r="L3172">
        <v>49</v>
      </c>
      <c r="M3172" s="32">
        <v>3.1989999999999998</v>
      </c>
      <c r="N3172" s="32">
        <v>6</v>
      </c>
      <c r="P3172" s="47">
        <v>1.909</v>
      </c>
      <c r="R3172" s="47">
        <v>0.20799999999999999</v>
      </c>
      <c r="S3172" s="47">
        <v>6.1050000000000004</v>
      </c>
      <c r="T3172" s="31">
        <v>0</v>
      </c>
      <c r="V3172">
        <v>3170</v>
      </c>
      <c r="W3172">
        <v>45</v>
      </c>
      <c r="X3172">
        <v>3.2109999999999999</v>
      </c>
      <c r="Y3172" s="32">
        <v>6</v>
      </c>
      <c r="Z3172">
        <v>0</v>
      </c>
      <c r="AA3172" s="32">
        <v>1.7549999999999999</v>
      </c>
      <c r="AB3172">
        <v>0</v>
      </c>
      <c r="AC3172" s="34">
        <v>0.22700000000000001</v>
      </c>
      <c r="AD3172" s="32">
        <v>5.6360000000000001</v>
      </c>
    </row>
    <row r="3173" spans="1:30">
      <c r="A3173">
        <v>3171</v>
      </c>
      <c r="B3173">
        <v>49</v>
      </c>
      <c r="C3173">
        <v>3.2</v>
      </c>
      <c r="D3173">
        <v>6</v>
      </c>
      <c r="E3173">
        <v>0</v>
      </c>
      <c r="F3173">
        <v>1.905</v>
      </c>
      <c r="G3173">
        <v>0</v>
      </c>
      <c r="H3173">
        <v>0.215</v>
      </c>
      <c r="I3173">
        <v>6.1420000000000003</v>
      </c>
      <c r="K3173">
        <v>3171</v>
      </c>
      <c r="L3173">
        <v>49</v>
      </c>
      <c r="M3173" s="32">
        <v>3.2</v>
      </c>
      <c r="N3173" s="32">
        <v>6</v>
      </c>
      <c r="P3173" s="47">
        <v>1.909</v>
      </c>
      <c r="R3173" s="47">
        <v>0.20799999999999999</v>
      </c>
      <c r="S3173" s="47">
        <v>6.1079999999999997</v>
      </c>
      <c r="T3173" s="31">
        <v>0</v>
      </c>
      <c r="V3173">
        <v>3171</v>
      </c>
      <c r="W3173">
        <v>45</v>
      </c>
      <c r="X3173">
        <v>3.2120000000000002</v>
      </c>
      <c r="Y3173" s="32">
        <v>6</v>
      </c>
      <c r="Z3173">
        <v>0</v>
      </c>
      <c r="AA3173" s="32">
        <v>1.7549999999999999</v>
      </c>
      <c r="AB3173">
        <v>0</v>
      </c>
      <c r="AC3173" s="34">
        <v>0.22700000000000001</v>
      </c>
      <c r="AD3173" s="32">
        <v>5.6390000000000002</v>
      </c>
    </row>
    <row r="3174" spans="1:30">
      <c r="A3174">
        <v>3172</v>
      </c>
      <c r="B3174">
        <v>49</v>
      </c>
      <c r="C3174">
        <v>3.2010000000000001</v>
      </c>
      <c r="D3174">
        <v>6</v>
      </c>
      <c r="E3174">
        <v>0</v>
      </c>
      <c r="F3174">
        <v>1.909</v>
      </c>
      <c r="G3174">
        <v>0</v>
      </c>
      <c r="H3174">
        <v>0.215</v>
      </c>
      <c r="I3174">
        <v>6.1760000000000002</v>
      </c>
      <c r="K3174">
        <v>3172</v>
      </c>
      <c r="L3174">
        <v>49</v>
      </c>
      <c r="M3174" s="32">
        <v>3.2010000000000001</v>
      </c>
      <c r="N3174" s="32">
        <v>6</v>
      </c>
      <c r="P3174" s="32">
        <v>1.909</v>
      </c>
      <c r="R3174" s="47">
        <v>0.20699999999999999</v>
      </c>
      <c r="S3174" s="47">
        <v>6.1109999999999998</v>
      </c>
      <c r="T3174" s="31">
        <v>0</v>
      </c>
      <c r="V3174">
        <v>3172</v>
      </c>
      <c r="W3174">
        <v>45</v>
      </c>
      <c r="X3174">
        <v>3.2130000000000001</v>
      </c>
      <c r="Y3174" s="32">
        <v>6</v>
      </c>
      <c r="Z3174">
        <v>0</v>
      </c>
      <c r="AA3174" s="32">
        <v>1.756</v>
      </c>
      <c r="AB3174">
        <v>0</v>
      </c>
      <c r="AC3174" s="34">
        <v>0.22700000000000001</v>
      </c>
      <c r="AD3174" s="32">
        <v>5.641</v>
      </c>
    </row>
    <row r="3175" spans="1:30">
      <c r="A3175">
        <v>3173</v>
      </c>
      <c r="B3175">
        <v>49</v>
      </c>
      <c r="C3175">
        <v>3.202</v>
      </c>
      <c r="D3175">
        <v>6</v>
      </c>
      <c r="E3175">
        <v>0</v>
      </c>
      <c r="F3175">
        <v>1.909</v>
      </c>
      <c r="G3175">
        <v>0</v>
      </c>
      <c r="H3175">
        <v>0.215</v>
      </c>
      <c r="I3175">
        <v>6.1790000000000003</v>
      </c>
      <c r="K3175">
        <v>3173</v>
      </c>
      <c r="L3175">
        <v>49</v>
      </c>
      <c r="M3175" s="32">
        <v>3.202</v>
      </c>
      <c r="N3175" s="32">
        <v>6</v>
      </c>
      <c r="P3175" s="47">
        <v>1.91</v>
      </c>
      <c r="R3175" s="47">
        <v>0.20699999999999999</v>
      </c>
      <c r="S3175" s="47">
        <v>6.1139999999999999</v>
      </c>
      <c r="T3175" s="31">
        <v>0</v>
      </c>
      <c r="V3175">
        <v>3173</v>
      </c>
      <c r="W3175">
        <v>45</v>
      </c>
      <c r="X3175">
        <v>3.214</v>
      </c>
      <c r="Y3175" s="32">
        <v>6</v>
      </c>
      <c r="Z3175">
        <v>0</v>
      </c>
      <c r="AA3175" s="32">
        <v>1.756</v>
      </c>
      <c r="AB3175">
        <v>0</v>
      </c>
      <c r="AC3175" s="34">
        <v>0.22700000000000001</v>
      </c>
      <c r="AD3175" s="32">
        <v>5.6429999999999998</v>
      </c>
    </row>
    <row r="3176" spans="1:30">
      <c r="A3176">
        <v>3174</v>
      </c>
      <c r="B3176">
        <v>49</v>
      </c>
      <c r="C3176">
        <v>3.2029999999999998</v>
      </c>
      <c r="D3176">
        <v>6</v>
      </c>
      <c r="E3176">
        <v>0</v>
      </c>
      <c r="F3176">
        <v>1.909</v>
      </c>
      <c r="G3176">
        <v>0</v>
      </c>
      <c r="H3176">
        <v>0.215</v>
      </c>
      <c r="I3176">
        <v>6.1820000000000004</v>
      </c>
      <c r="K3176">
        <v>3174</v>
      </c>
      <c r="L3176">
        <v>49</v>
      </c>
      <c r="M3176" s="32">
        <v>3.2029999999999998</v>
      </c>
      <c r="N3176" s="32">
        <v>6</v>
      </c>
      <c r="P3176" s="47">
        <v>1.91</v>
      </c>
      <c r="R3176" s="47">
        <v>0.20699999999999999</v>
      </c>
      <c r="S3176" s="47">
        <v>6.117</v>
      </c>
      <c r="T3176" s="31">
        <v>0</v>
      </c>
      <c r="V3176">
        <v>3174</v>
      </c>
      <c r="W3176">
        <v>45</v>
      </c>
      <c r="X3176">
        <v>3.2149999999999999</v>
      </c>
      <c r="Y3176" s="32">
        <v>6</v>
      </c>
      <c r="Z3176">
        <v>0</v>
      </c>
      <c r="AA3176" s="32">
        <v>1.756</v>
      </c>
      <c r="AB3176">
        <v>0</v>
      </c>
      <c r="AC3176" s="34">
        <v>0.22700000000000001</v>
      </c>
      <c r="AD3176" s="32">
        <v>5.6459999999999999</v>
      </c>
    </row>
    <row r="3177" spans="1:30">
      <c r="A3177">
        <v>3175</v>
      </c>
      <c r="B3177">
        <v>49</v>
      </c>
      <c r="C3177">
        <v>3.2040000000000002</v>
      </c>
      <c r="D3177">
        <v>6</v>
      </c>
      <c r="E3177">
        <v>0</v>
      </c>
      <c r="F3177">
        <v>1.909</v>
      </c>
      <c r="G3177">
        <v>0</v>
      </c>
      <c r="H3177">
        <v>0.215</v>
      </c>
      <c r="I3177">
        <v>6.1849999999999996</v>
      </c>
      <c r="K3177">
        <v>3175</v>
      </c>
      <c r="L3177">
        <v>49</v>
      </c>
      <c r="M3177" s="32">
        <v>3.2040000000000002</v>
      </c>
      <c r="N3177" s="32">
        <v>6</v>
      </c>
      <c r="P3177" s="47">
        <v>1.91</v>
      </c>
      <c r="R3177" s="47">
        <v>0.20599999999999999</v>
      </c>
      <c r="S3177" s="47">
        <v>6.12</v>
      </c>
      <c r="T3177" s="31">
        <v>0</v>
      </c>
      <c r="V3177">
        <v>3175</v>
      </c>
      <c r="W3177">
        <v>45</v>
      </c>
      <c r="X3177">
        <v>3.2160000000000002</v>
      </c>
      <c r="Y3177" s="32">
        <v>6</v>
      </c>
      <c r="Z3177">
        <v>0</v>
      </c>
      <c r="AA3177" s="32">
        <v>1.756</v>
      </c>
      <c r="AB3177">
        <v>0</v>
      </c>
      <c r="AC3177" s="34">
        <v>0.22700000000000001</v>
      </c>
      <c r="AD3177" s="32">
        <v>5.6479999999999997</v>
      </c>
    </row>
    <row r="3178" spans="1:30">
      <c r="A3178">
        <v>3176</v>
      </c>
      <c r="B3178">
        <v>49</v>
      </c>
      <c r="C3178">
        <v>3.2050000000000001</v>
      </c>
      <c r="D3178">
        <v>6</v>
      </c>
      <c r="E3178">
        <v>0</v>
      </c>
      <c r="F3178">
        <v>1.909</v>
      </c>
      <c r="G3178">
        <v>0</v>
      </c>
      <c r="H3178">
        <v>0.215</v>
      </c>
      <c r="I3178">
        <v>6.1879999999999997</v>
      </c>
      <c r="K3178">
        <v>3176</v>
      </c>
      <c r="L3178">
        <v>49</v>
      </c>
      <c r="M3178" s="32">
        <v>3.2050000000000001</v>
      </c>
      <c r="N3178" s="32">
        <v>6</v>
      </c>
      <c r="P3178" s="47">
        <v>1.911</v>
      </c>
      <c r="R3178" s="47">
        <v>0.20599999999999999</v>
      </c>
      <c r="S3178" s="47">
        <v>6.1230000000000002</v>
      </c>
      <c r="T3178" s="31">
        <v>0</v>
      </c>
      <c r="V3178">
        <v>3176</v>
      </c>
      <c r="W3178">
        <v>45</v>
      </c>
      <c r="X3178">
        <v>3.2170000000000001</v>
      </c>
      <c r="Y3178" s="32">
        <v>6</v>
      </c>
      <c r="Z3178">
        <v>0</v>
      </c>
      <c r="AA3178" s="32">
        <v>1.756</v>
      </c>
      <c r="AB3178">
        <v>0</v>
      </c>
      <c r="AC3178" s="34">
        <v>0.22700000000000001</v>
      </c>
      <c r="AD3178" s="32">
        <v>5.6509999999999998</v>
      </c>
    </row>
    <row r="3179" spans="1:30">
      <c r="A3179">
        <v>3177</v>
      </c>
      <c r="B3179">
        <v>49</v>
      </c>
      <c r="C3179">
        <v>3.206</v>
      </c>
      <c r="D3179">
        <v>6</v>
      </c>
      <c r="E3179">
        <v>0</v>
      </c>
      <c r="F3179">
        <v>1.909</v>
      </c>
      <c r="G3179">
        <v>0</v>
      </c>
      <c r="H3179">
        <v>0.215</v>
      </c>
      <c r="I3179">
        <v>6.1920000000000002</v>
      </c>
      <c r="K3179">
        <v>3177</v>
      </c>
      <c r="L3179">
        <v>49</v>
      </c>
      <c r="M3179" s="32">
        <v>3.206</v>
      </c>
      <c r="N3179" s="32">
        <v>6</v>
      </c>
      <c r="P3179" s="47">
        <v>1.911</v>
      </c>
      <c r="R3179" s="47">
        <v>0.20499999999999999</v>
      </c>
      <c r="S3179" s="47">
        <v>6.125</v>
      </c>
      <c r="T3179" s="31">
        <v>0</v>
      </c>
      <c r="V3179">
        <v>3177</v>
      </c>
      <c r="W3179">
        <v>45</v>
      </c>
      <c r="X3179">
        <v>3.218</v>
      </c>
      <c r="Y3179" s="32">
        <v>6</v>
      </c>
      <c r="Z3179">
        <v>0</v>
      </c>
      <c r="AA3179" s="32">
        <v>1.7569999999999999</v>
      </c>
      <c r="AB3179">
        <v>0</v>
      </c>
      <c r="AC3179" s="34">
        <v>0.22700000000000001</v>
      </c>
      <c r="AD3179" s="32">
        <v>5.6529999999999996</v>
      </c>
    </row>
    <row r="3180" spans="1:30">
      <c r="A3180">
        <v>3178</v>
      </c>
      <c r="B3180">
        <v>49</v>
      </c>
      <c r="C3180">
        <v>3.2069999999999999</v>
      </c>
      <c r="D3180">
        <v>6</v>
      </c>
      <c r="E3180">
        <v>0</v>
      </c>
      <c r="F3180">
        <v>1.909</v>
      </c>
      <c r="G3180">
        <v>0</v>
      </c>
      <c r="H3180">
        <v>0.215</v>
      </c>
      <c r="I3180">
        <v>6.1950000000000003</v>
      </c>
      <c r="K3180">
        <v>3178</v>
      </c>
      <c r="L3180">
        <v>49</v>
      </c>
      <c r="M3180" s="32">
        <v>3.2069999999999999</v>
      </c>
      <c r="N3180" s="32">
        <v>6</v>
      </c>
      <c r="P3180" s="47">
        <v>1.911</v>
      </c>
      <c r="R3180" s="47">
        <v>0.20499999999999999</v>
      </c>
      <c r="S3180" s="47">
        <v>6.1280000000000001</v>
      </c>
      <c r="T3180" s="31">
        <v>0</v>
      </c>
      <c r="V3180">
        <v>3178</v>
      </c>
      <c r="W3180">
        <v>45</v>
      </c>
      <c r="X3180">
        <v>3.2189999999999999</v>
      </c>
      <c r="Y3180" s="32">
        <v>6</v>
      </c>
      <c r="Z3180">
        <v>0</v>
      </c>
      <c r="AA3180" s="32">
        <v>1.7569999999999999</v>
      </c>
      <c r="AB3180">
        <v>0</v>
      </c>
      <c r="AC3180" s="34">
        <v>0.22700000000000001</v>
      </c>
      <c r="AD3180" s="32">
        <v>5.6559999999999997</v>
      </c>
    </row>
    <row r="3181" spans="1:30">
      <c r="A3181">
        <v>3179</v>
      </c>
      <c r="B3181">
        <v>49</v>
      </c>
      <c r="C3181">
        <v>3.2080000000000002</v>
      </c>
      <c r="D3181">
        <v>6</v>
      </c>
      <c r="E3181">
        <v>0</v>
      </c>
      <c r="F3181">
        <v>1.909</v>
      </c>
      <c r="G3181">
        <v>0</v>
      </c>
      <c r="H3181">
        <v>0.215</v>
      </c>
      <c r="I3181">
        <v>6.1980000000000004</v>
      </c>
      <c r="K3181">
        <v>3179</v>
      </c>
      <c r="L3181">
        <v>49</v>
      </c>
      <c r="M3181" s="32">
        <v>3.2080000000000002</v>
      </c>
      <c r="N3181" s="32">
        <v>6</v>
      </c>
      <c r="P3181" s="47">
        <v>1.911</v>
      </c>
      <c r="R3181" s="47">
        <v>0.20499999999999999</v>
      </c>
      <c r="S3181" s="47">
        <v>6.1310000000000002</v>
      </c>
      <c r="T3181" s="31">
        <v>0</v>
      </c>
      <c r="V3181">
        <v>3179</v>
      </c>
      <c r="W3181">
        <v>45</v>
      </c>
      <c r="X3181">
        <v>3.22</v>
      </c>
      <c r="Y3181" s="32">
        <v>6</v>
      </c>
      <c r="Z3181">
        <v>0</v>
      </c>
      <c r="AA3181" s="32">
        <v>1.7569999999999999</v>
      </c>
      <c r="AB3181">
        <v>0</v>
      </c>
      <c r="AC3181" s="34">
        <v>0.22700000000000001</v>
      </c>
      <c r="AD3181" s="32">
        <v>5.6580000000000004</v>
      </c>
    </row>
    <row r="3182" spans="1:30">
      <c r="A3182">
        <v>3180</v>
      </c>
      <c r="B3182">
        <v>49</v>
      </c>
      <c r="C3182">
        <v>3.2090000000000001</v>
      </c>
      <c r="D3182">
        <v>6</v>
      </c>
      <c r="E3182">
        <v>0</v>
      </c>
      <c r="F3182">
        <v>1.909</v>
      </c>
      <c r="G3182">
        <v>0</v>
      </c>
      <c r="H3182">
        <v>0.215</v>
      </c>
      <c r="I3182">
        <v>6.2009999999999996</v>
      </c>
      <c r="K3182">
        <v>3180</v>
      </c>
      <c r="L3182">
        <v>49</v>
      </c>
      <c r="M3182" s="32">
        <v>3.2090000000000001</v>
      </c>
      <c r="N3182" s="32">
        <v>6</v>
      </c>
      <c r="P3182" s="47">
        <v>1.9119999999999999</v>
      </c>
      <c r="R3182" s="47">
        <v>0.20399999999999999</v>
      </c>
      <c r="S3182" s="47">
        <v>6.1340000000000003</v>
      </c>
      <c r="T3182" s="31">
        <v>0</v>
      </c>
      <c r="V3182">
        <v>3180</v>
      </c>
      <c r="W3182">
        <v>45</v>
      </c>
      <c r="X3182">
        <v>3.2210000000000001</v>
      </c>
      <c r="Y3182" s="32">
        <v>6</v>
      </c>
      <c r="Z3182">
        <v>0</v>
      </c>
      <c r="AA3182" s="32">
        <v>1.7569999999999999</v>
      </c>
      <c r="AB3182">
        <v>0</v>
      </c>
      <c r="AC3182" s="34">
        <v>0.22700000000000001</v>
      </c>
      <c r="AD3182" s="32">
        <v>5.66</v>
      </c>
    </row>
    <row r="3183" spans="1:30">
      <c r="A3183">
        <v>3181</v>
      </c>
      <c r="B3183">
        <v>49</v>
      </c>
      <c r="C3183">
        <v>3.21</v>
      </c>
      <c r="D3183">
        <v>6</v>
      </c>
      <c r="E3183">
        <v>0</v>
      </c>
      <c r="F3183">
        <v>1.9119999999999999</v>
      </c>
      <c r="G3183">
        <v>0</v>
      </c>
      <c r="H3183">
        <v>0.215</v>
      </c>
      <c r="I3183">
        <v>6.1369999999999996</v>
      </c>
      <c r="K3183">
        <v>3181</v>
      </c>
      <c r="L3183">
        <v>49</v>
      </c>
      <c r="M3183" s="32">
        <v>3.21</v>
      </c>
      <c r="N3183" s="32">
        <v>6</v>
      </c>
      <c r="P3183" s="32">
        <v>1.9119999999999999</v>
      </c>
      <c r="R3183" s="47">
        <v>0.20399999999999999</v>
      </c>
      <c r="S3183" s="32">
        <v>6.1369999999999996</v>
      </c>
      <c r="T3183" s="31">
        <v>0</v>
      </c>
      <c r="V3183">
        <v>3181</v>
      </c>
      <c r="W3183">
        <v>45</v>
      </c>
      <c r="X3183">
        <v>3.222</v>
      </c>
      <c r="Y3183" s="32">
        <v>6</v>
      </c>
      <c r="Z3183">
        <v>0</v>
      </c>
      <c r="AA3183" s="32">
        <v>1.7569999999999999</v>
      </c>
      <c r="AB3183">
        <v>0</v>
      </c>
      <c r="AC3183" s="34">
        <v>0.22700000000000001</v>
      </c>
      <c r="AD3183" s="32">
        <v>5.6630000000000003</v>
      </c>
    </row>
    <row r="3184" spans="1:30">
      <c r="A3184">
        <v>3182</v>
      </c>
      <c r="B3184">
        <v>49</v>
      </c>
      <c r="C3184">
        <v>3.2109999999999999</v>
      </c>
      <c r="D3184">
        <v>6</v>
      </c>
      <c r="E3184">
        <v>0</v>
      </c>
      <c r="F3184">
        <v>1.9119999999999999</v>
      </c>
      <c r="G3184">
        <v>0</v>
      </c>
      <c r="H3184">
        <v>0.215</v>
      </c>
      <c r="I3184">
        <v>6.2370000000000001</v>
      </c>
      <c r="K3184">
        <v>3182</v>
      </c>
      <c r="L3184">
        <v>49</v>
      </c>
      <c r="M3184" s="32">
        <v>3.2109999999999999</v>
      </c>
      <c r="N3184" s="32">
        <v>6</v>
      </c>
      <c r="P3184" s="32">
        <v>1.9119999999999999</v>
      </c>
      <c r="R3184" s="47">
        <v>0.20399999999999999</v>
      </c>
      <c r="S3184" s="47">
        <v>6.14</v>
      </c>
      <c r="T3184" s="31">
        <v>0</v>
      </c>
      <c r="V3184">
        <v>3182</v>
      </c>
      <c r="W3184">
        <v>45</v>
      </c>
      <c r="X3184">
        <v>3.2229999999999999</v>
      </c>
      <c r="Y3184" s="32">
        <v>6</v>
      </c>
      <c r="Z3184">
        <v>0</v>
      </c>
      <c r="AA3184" s="32">
        <v>1.758</v>
      </c>
      <c r="AB3184">
        <v>0</v>
      </c>
      <c r="AC3184" s="34">
        <v>0.22700000000000001</v>
      </c>
      <c r="AD3184" s="32">
        <v>5.665</v>
      </c>
    </row>
    <row r="3185" spans="1:30">
      <c r="A3185">
        <v>3183</v>
      </c>
      <c r="B3185">
        <v>49</v>
      </c>
      <c r="C3185">
        <v>3.2120000000000002</v>
      </c>
      <c r="D3185">
        <v>6</v>
      </c>
      <c r="E3185">
        <v>0</v>
      </c>
      <c r="F3185">
        <v>1.9119999999999999</v>
      </c>
      <c r="G3185">
        <v>0</v>
      </c>
      <c r="H3185">
        <v>0.215</v>
      </c>
      <c r="I3185">
        <v>6.24</v>
      </c>
      <c r="K3185">
        <v>3183</v>
      </c>
      <c r="L3185">
        <v>49</v>
      </c>
      <c r="M3185" s="32">
        <v>3.2120000000000002</v>
      </c>
      <c r="N3185" s="32">
        <v>6</v>
      </c>
      <c r="P3185" s="47">
        <v>1.913</v>
      </c>
      <c r="R3185" s="47">
        <v>0.20300000000000001</v>
      </c>
      <c r="S3185" s="47">
        <v>6.1429999999999998</v>
      </c>
      <c r="T3185" s="31">
        <v>0</v>
      </c>
      <c r="V3185">
        <v>3183</v>
      </c>
      <c r="W3185">
        <v>45</v>
      </c>
      <c r="X3185">
        <v>3.2240000000000002</v>
      </c>
      <c r="Y3185" s="32">
        <v>6</v>
      </c>
      <c r="Z3185">
        <v>0</v>
      </c>
      <c r="AA3185" s="32">
        <v>1.758</v>
      </c>
      <c r="AB3185">
        <v>0</v>
      </c>
      <c r="AC3185" s="34">
        <v>0.22700000000000001</v>
      </c>
      <c r="AD3185" s="32">
        <v>5.6680000000000001</v>
      </c>
    </row>
    <row r="3186" spans="1:30">
      <c r="A3186">
        <v>3184</v>
      </c>
      <c r="B3186">
        <v>49</v>
      </c>
      <c r="C3186">
        <v>3.2130000000000001</v>
      </c>
      <c r="D3186">
        <v>6</v>
      </c>
      <c r="E3186">
        <v>0</v>
      </c>
      <c r="F3186">
        <v>1.9119999999999999</v>
      </c>
      <c r="G3186">
        <v>0</v>
      </c>
      <c r="H3186">
        <v>0.215</v>
      </c>
      <c r="I3186">
        <v>6.2430000000000003</v>
      </c>
      <c r="K3186">
        <v>3184</v>
      </c>
      <c r="L3186">
        <v>49</v>
      </c>
      <c r="M3186" s="32">
        <v>3.2130000000000001</v>
      </c>
      <c r="N3186" s="32">
        <v>6</v>
      </c>
      <c r="P3186" s="47">
        <v>1.913</v>
      </c>
      <c r="R3186" s="47">
        <v>0.20300000000000001</v>
      </c>
      <c r="S3186" s="47">
        <v>6.1459999999999999</v>
      </c>
      <c r="T3186" s="31">
        <v>0</v>
      </c>
      <c r="V3186">
        <v>3184</v>
      </c>
      <c r="W3186">
        <v>45</v>
      </c>
      <c r="X3186">
        <v>3.2250000000000001</v>
      </c>
      <c r="Y3186" s="32">
        <v>6</v>
      </c>
      <c r="Z3186">
        <v>0</v>
      </c>
      <c r="AA3186" s="32">
        <v>1.758</v>
      </c>
      <c r="AB3186">
        <v>0</v>
      </c>
      <c r="AC3186" s="34">
        <v>0.22700000000000001</v>
      </c>
      <c r="AD3186" s="32">
        <v>5.67</v>
      </c>
    </row>
    <row r="3187" spans="1:30">
      <c r="A3187">
        <v>3185</v>
      </c>
      <c r="B3187">
        <v>49</v>
      </c>
      <c r="C3187">
        <v>3.214</v>
      </c>
      <c r="D3187">
        <v>6</v>
      </c>
      <c r="E3187">
        <v>0</v>
      </c>
      <c r="F3187">
        <v>1.9119999999999999</v>
      </c>
      <c r="G3187">
        <v>0</v>
      </c>
      <c r="H3187">
        <v>0.215</v>
      </c>
      <c r="I3187">
        <v>6.2460000000000004</v>
      </c>
      <c r="K3187">
        <v>3185</v>
      </c>
      <c r="L3187">
        <v>49</v>
      </c>
      <c r="M3187" s="32">
        <v>3.214</v>
      </c>
      <c r="N3187" s="32">
        <v>6</v>
      </c>
      <c r="P3187" s="47">
        <v>1.913</v>
      </c>
      <c r="R3187" s="47">
        <v>0.20300000000000001</v>
      </c>
      <c r="S3187" s="47">
        <v>6.149</v>
      </c>
      <c r="T3187" s="31">
        <v>0</v>
      </c>
      <c r="V3187">
        <v>3185</v>
      </c>
      <c r="W3187">
        <v>45</v>
      </c>
      <c r="X3187">
        <v>3.226</v>
      </c>
      <c r="Y3187" s="32">
        <v>6</v>
      </c>
      <c r="Z3187">
        <v>0</v>
      </c>
      <c r="AA3187" s="32">
        <v>1.758</v>
      </c>
      <c r="AB3187">
        <v>0</v>
      </c>
      <c r="AC3187" s="34">
        <v>0.22700000000000001</v>
      </c>
      <c r="AD3187" s="32">
        <v>5.673</v>
      </c>
    </row>
    <row r="3188" spans="1:30">
      <c r="A3188">
        <v>3186</v>
      </c>
      <c r="B3188">
        <v>49</v>
      </c>
      <c r="C3188">
        <v>3.2149999999999999</v>
      </c>
      <c r="D3188">
        <v>6</v>
      </c>
      <c r="E3188">
        <v>0</v>
      </c>
      <c r="F3188">
        <v>1.9119999999999999</v>
      </c>
      <c r="G3188">
        <v>0</v>
      </c>
      <c r="H3188">
        <v>0.215</v>
      </c>
      <c r="I3188">
        <v>6.25</v>
      </c>
      <c r="K3188">
        <v>3186</v>
      </c>
      <c r="L3188">
        <v>49</v>
      </c>
      <c r="M3188" s="32">
        <v>3.2149999999999999</v>
      </c>
      <c r="N3188" s="32">
        <v>6</v>
      </c>
      <c r="P3188" s="47">
        <v>1.9139999999999999</v>
      </c>
      <c r="R3188" s="47">
        <v>0.20200000000000001</v>
      </c>
      <c r="S3188" s="47">
        <v>6.1520000000000001</v>
      </c>
      <c r="T3188" s="31">
        <v>0</v>
      </c>
      <c r="V3188">
        <v>3186</v>
      </c>
      <c r="W3188">
        <v>45</v>
      </c>
      <c r="X3188">
        <v>3.2269999999999999</v>
      </c>
      <c r="Y3188" s="32">
        <v>6</v>
      </c>
      <c r="Z3188">
        <v>0</v>
      </c>
      <c r="AA3188" s="32">
        <v>1.7589999999999999</v>
      </c>
      <c r="AB3188">
        <v>0</v>
      </c>
      <c r="AC3188" s="34">
        <v>0.22700000000000001</v>
      </c>
      <c r="AD3188" s="32">
        <v>5.6749999999999998</v>
      </c>
    </row>
    <row r="3189" spans="1:30">
      <c r="A3189">
        <v>3187</v>
      </c>
      <c r="B3189">
        <v>49</v>
      </c>
      <c r="C3189">
        <v>3.2160000000000002</v>
      </c>
      <c r="D3189">
        <v>6</v>
      </c>
      <c r="E3189">
        <v>0</v>
      </c>
      <c r="F3189">
        <v>1.9119999999999999</v>
      </c>
      <c r="G3189">
        <v>0</v>
      </c>
      <c r="H3189">
        <v>0.215</v>
      </c>
      <c r="I3189">
        <v>6.2530000000000001</v>
      </c>
      <c r="K3189">
        <v>3187</v>
      </c>
      <c r="L3189">
        <v>49</v>
      </c>
      <c r="M3189" s="32">
        <v>3.2160000000000002</v>
      </c>
      <c r="N3189" s="32">
        <v>6</v>
      </c>
      <c r="P3189" s="47">
        <v>1.9139999999999999</v>
      </c>
      <c r="R3189" s="47">
        <v>0.20200000000000001</v>
      </c>
      <c r="S3189" s="47">
        <v>6.1550000000000002</v>
      </c>
      <c r="T3189" s="31">
        <v>0</v>
      </c>
      <c r="V3189">
        <v>3187</v>
      </c>
      <c r="W3189">
        <v>45</v>
      </c>
      <c r="X3189">
        <v>3.2280000000000002</v>
      </c>
      <c r="Y3189" s="32">
        <v>6</v>
      </c>
      <c r="Z3189">
        <v>0</v>
      </c>
      <c r="AA3189" s="32">
        <v>1.7589999999999999</v>
      </c>
      <c r="AB3189">
        <v>0</v>
      </c>
      <c r="AC3189" s="34">
        <v>0.22700000000000001</v>
      </c>
      <c r="AD3189" s="32">
        <v>5.6779999999999999</v>
      </c>
    </row>
    <row r="3190" spans="1:30">
      <c r="A3190">
        <v>3188</v>
      </c>
      <c r="B3190">
        <v>49</v>
      </c>
      <c r="C3190">
        <v>3.2170000000000001</v>
      </c>
      <c r="D3190">
        <v>6</v>
      </c>
      <c r="E3190">
        <v>0</v>
      </c>
      <c r="F3190">
        <v>1.9119999999999999</v>
      </c>
      <c r="G3190">
        <v>0</v>
      </c>
      <c r="H3190">
        <v>0.215</v>
      </c>
      <c r="I3190">
        <v>6.2560000000000002</v>
      </c>
      <c r="K3190">
        <v>3188</v>
      </c>
      <c r="L3190">
        <v>49</v>
      </c>
      <c r="M3190" s="32">
        <v>3.2170000000000001</v>
      </c>
      <c r="N3190" s="32">
        <v>6</v>
      </c>
      <c r="P3190" s="47">
        <v>1.9139999999999999</v>
      </c>
      <c r="R3190" s="47">
        <v>0.20100000000000001</v>
      </c>
      <c r="S3190" s="47">
        <v>6.1580000000000004</v>
      </c>
      <c r="T3190" s="31">
        <v>0</v>
      </c>
      <c r="V3190">
        <v>3188</v>
      </c>
      <c r="W3190">
        <v>46</v>
      </c>
      <c r="X3190">
        <v>3.2290000000000001</v>
      </c>
      <c r="Y3190" s="32">
        <v>6</v>
      </c>
      <c r="Z3190">
        <v>0</v>
      </c>
      <c r="AA3190" s="32">
        <v>1.7589999999999999</v>
      </c>
      <c r="AB3190">
        <v>0</v>
      </c>
      <c r="AC3190" s="34">
        <v>0.22700000000000001</v>
      </c>
      <c r="AD3190" s="32">
        <v>5.68</v>
      </c>
    </row>
    <row r="3191" spans="1:30">
      <c r="A3191">
        <v>3189</v>
      </c>
      <c r="B3191">
        <v>49</v>
      </c>
      <c r="C3191">
        <v>3.218</v>
      </c>
      <c r="D3191">
        <v>6</v>
      </c>
      <c r="E3191">
        <v>0</v>
      </c>
      <c r="F3191">
        <v>1.9119999999999999</v>
      </c>
      <c r="G3191">
        <v>0</v>
      </c>
      <c r="H3191">
        <v>0.215</v>
      </c>
      <c r="I3191">
        <v>6.2590000000000003</v>
      </c>
      <c r="K3191">
        <v>3189</v>
      </c>
      <c r="L3191">
        <v>49</v>
      </c>
      <c r="M3191" s="32">
        <v>3.218</v>
      </c>
      <c r="N3191" s="32">
        <v>6</v>
      </c>
      <c r="P3191" s="47">
        <v>1.9139999999999999</v>
      </c>
      <c r="R3191" s="47">
        <v>0.20100000000000001</v>
      </c>
      <c r="S3191" s="47">
        <v>6.1609999999999996</v>
      </c>
      <c r="T3191" s="31">
        <v>0</v>
      </c>
      <c r="V3191">
        <v>3189</v>
      </c>
      <c r="W3191">
        <v>46</v>
      </c>
      <c r="X3191">
        <v>3.23</v>
      </c>
      <c r="Y3191" s="32">
        <v>6</v>
      </c>
      <c r="Z3191">
        <v>0</v>
      </c>
      <c r="AA3191" s="32">
        <v>1.7589999999999999</v>
      </c>
      <c r="AB3191">
        <v>0</v>
      </c>
      <c r="AC3191" s="34">
        <v>0.22700000000000001</v>
      </c>
      <c r="AD3191" s="32">
        <v>5.6820000000000004</v>
      </c>
    </row>
    <row r="3192" spans="1:30">
      <c r="A3192">
        <v>3190</v>
      </c>
      <c r="B3192">
        <v>49</v>
      </c>
      <c r="C3192">
        <v>3.2189999999999999</v>
      </c>
      <c r="D3192">
        <v>6</v>
      </c>
      <c r="E3192">
        <v>0</v>
      </c>
      <c r="F3192">
        <v>1.9119999999999999</v>
      </c>
      <c r="G3192">
        <v>0</v>
      </c>
      <c r="H3192">
        <v>0.215</v>
      </c>
      <c r="I3192">
        <v>6.2619999999999996</v>
      </c>
      <c r="K3192">
        <v>3190</v>
      </c>
      <c r="L3192">
        <v>49</v>
      </c>
      <c r="M3192" s="32">
        <v>3.2189999999999999</v>
      </c>
      <c r="N3192" s="32">
        <v>6</v>
      </c>
      <c r="P3192" s="47">
        <v>1.915</v>
      </c>
      <c r="R3192" s="47">
        <v>0.20100000000000001</v>
      </c>
      <c r="S3192" s="47">
        <v>6.1639999999999997</v>
      </c>
      <c r="T3192" s="31">
        <v>0</v>
      </c>
      <c r="V3192">
        <v>3190</v>
      </c>
      <c r="W3192">
        <v>46</v>
      </c>
      <c r="X3192">
        <v>3.2309999999999999</v>
      </c>
      <c r="Y3192" s="32">
        <v>6.0140000000000002</v>
      </c>
      <c r="Z3192">
        <v>0</v>
      </c>
      <c r="AA3192" s="32">
        <v>1.7589999999999999</v>
      </c>
      <c r="AB3192">
        <v>0</v>
      </c>
      <c r="AC3192" s="34">
        <v>0.22700000000000001</v>
      </c>
      <c r="AD3192" s="32">
        <v>5.6849999999999996</v>
      </c>
    </row>
    <row r="3193" spans="1:30">
      <c r="A3193">
        <v>3191</v>
      </c>
      <c r="B3193">
        <v>49</v>
      </c>
      <c r="C3193">
        <v>3.22</v>
      </c>
      <c r="D3193">
        <v>6</v>
      </c>
      <c r="E3193">
        <v>0</v>
      </c>
      <c r="F3193">
        <v>1.9119999999999999</v>
      </c>
      <c r="G3193">
        <v>0</v>
      </c>
      <c r="H3193">
        <v>0.215</v>
      </c>
      <c r="I3193">
        <v>6.266</v>
      </c>
      <c r="K3193">
        <v>3191</v>
      </c>
      <c r="L3193">
        <v>49</v>
      </c>
      <c r="M3193" s="32">
        <v>3.22</v>
      </c>
      <c r="N3193" s="32">
        <v>6</v>
      </c>
      <c r="P3193" s="47">
        <v>1.915</v>
      </c>
      <c r="R3193" s="47">
        <v>0.2</v>
      </c>
      <c r="S3193" s="47">
        <v>6.1669999999999998</v>
      </c>
      <c r="T3193" s="31">
        <v>0</v>
      </c>
      <c r="V3193">
        <v>3191</v>
      </c>
      <c r="W3193">
        <v>46</v>
      </c>
      <c r="X3193">
        <v>3.2320000000000002</v>
      </c>
      <c r="Y3193" s="32">
        <v>6.0279999999999996</v>
      </c>
      <c r="Z3193">
        <v>0</v>
      </c>
      <c r="AA3193" s="32">
        <v>1.76</v>
      </c>
      <c r="AB3193">
        <v>0</v>
      </c>
      <c r="AC3193" s="34">
        <v>0.22700000000000001</v>
      </c>
      <c r="AD3193" s="32">
        <v>5.6870000000000003</v>
      </c>
    </row>
    <row r="3194" spans="1:30">
      <c r="A3194">
        <v>3192</v>
      </c>
      <c r="B3194">
        <v>49</v>
      </c>
      <c r="C3194">
        <v>3.2210000000000001</v>
      </c>
      <c r="D3194">
        <v>6</v>
      </c>
      <c r="E3194">
        <v>0</v>
      </c>
      <c r="F3194">
        <v>1.915</v>
      </c>
      <c r="G3194">
        <v>0</v>
      </c>
      <c r="H3194">
        <v>0.215</v>
      </c>
      <c r="I3194">
        <v>6.2990000000000004</v>
      </c>
      <c r="K3194">
        <v>3192</v>
      </c>
      <c r="L3194">
        <v>49</v>
      </c>
      <c r="M3194" s="32">
        <v>3.2210000000000001</v>
      </c>
      <c r="N3194" s="32">
        <v>6</v>
      </c>
      <c r="P3194" s="32">
        <v>1.915</v>
      </c>
      <c r="R3194" s="47">
        <v>0.2</v>
      </c>
      <c r="S3194" s="47">
        <v>6.17</v>
      </c>
      <c r="T3194" s="31">
        <v>0</v>
      </c>
      <c r="V3194">
        <v>3192</v>
      </c>
      <c r="W3194">
        <v>46</v>
      </c>
      <c r="X3194">
        <v>3.2330000000000001</v>
      </c>
      <c r="Y3194" s="32">
        <v>6.0419999999999998</v>
      </c>
      <c r="Z3194">
        <v>0</v>
      </c>
      <c r="AA3194" s="32">
        <v>1.76</v>
      </c>
      <c r="AB3194">
        <v>0</v>
      </c>
      <c r="AC3194" s="34">
        <v>0.22700000000000001</v>
      </c>
      <c r="AD3194" s="32">
        <v>5.69</v>
      </c>
    </row>
    <row r="3195" spans="1:30">
      <c r="A3195">
        <v>3193</v>
      </c>
      <c r="B3195">
        <v>49</v>
      </c>
      <c r="C3195">
        <v>3.222</v>
      </c>
      <c r="D3195">
        <v>6</v>
      </c>
      <c r="E3195">
        <v>0</v>
      </c>
      <c r="F3195">
        <v>1.915</v>
      </c>
      <c r="G3195">
        <v>0</v>
      </c>
      <c r="H3195">
        <v>0.215</v>
      </c>
      <c r="I3195">
        <v>6.3019999999999996</v>
      </c>
      <c r="K3195">
        <v>3193</v>
      </c>
      <c r="L3195">
        <v>49</v>
      </c>
      <c r="M3195" s="32">
        <v>3.222</v>
      </c>
      <c r="N3195" s="32">
        <v>6</v>
      </c>
      <c r="P3195" s="47">
        <v>1.9159999999999999</v>
      </c>
      <c r="R3195" s="47">
        <v>0.2</v>
      </c>
      <c r="S3195" s="47">
        <v>6.173</v>
      </c>
      <c r="T3195" s="31">
        <v>0</v>
      </c>
      <c r="V3195">
        <v>3193</v>
      </c>
      <c r="W3195">
        <v>46</v>
      </c>
      <c r="X3195">
        <v>3.234</v>
      </c>
      <c r="Y3195" s="32">
        <v>6.056</v>
      </c>
      <c r="Z3195">
        <v>0</v>
      </c>
      <c r="AA3195" s="32">
        <v>1.76</v>
      </c>
      <c r="AB3195">
        <v>0</v>
      </c>
      <c r="AC3195" s="34">
        <v>0.22700000000000001</v>
      </c>
      <c r="AD3195" s="32">
        <v>5.6920000000000002</v>
      </c>
    </row>
    <row r="3196" spans="1:30">
      <c r="A3196">
        <v>3194</v>
      </c>
      <c r="B3196">
        <v>49</v>
      </c>
      <c r="C3196">
        <v>3.2229999999999999</v>
      </c>
      <c r="D3196">
        <v>6</v>
      </c>
      <c r="E3196">
        <v>0</v>
      </c>
      <c r="F3196">
        <v>1.915</v>
      </c>
      <c r="G3196">
        <v>0</v>
      </c>
      <c r="H3196">
        <v>0.215</v>
      </c>
      <c r="I3196">
        <v>6.3049999999999997</v>
      </c>
      <c r="K3196">
        <v>3194</v>
      </c>
      <c r="L3196">
        <v>49</v>
      </c>
      <c r="M3196" s="32">
        <v>3.2229999999999999</v>
      </c>
      <c r="N3196" s="32">
        <v>6</v>
      </c>
      <c r="P3196" s="47">
        <v>1.9159999999999999</v>
      </c>
      <c r="R3196" s="47">
        <v>0.19900000000000001</v>
      </c>
      <c r="S3196" s="47">
        <v>6.1760000000000002</v>
      </c>
      <c r="T3196" s="31">
        <v>0</v>
      </c>
      <c r="V3196">
        <v>3194</v>
      </c>
      <c r="W3196">
        <v>46</v>
      </c>
      <c r="X3196">
        <v>3.2349999999999999</v>
      </c>
      <c r="Y3196" s="32">
        <v>6.07</v>
      </c>
      <c r="Z3196">
        <v>0</v>
      </c>
      <c r="AA3196" s="32">
        <v>1.76</v>
      </c>
      <c r="AB3196">
        <v>0</v>
      </c>
      <c r="AC3196" s="34">
        <v>0.22700000000000001</v>
      </c>
      <c r="AD3196" s="32">
        <v>5.6950000000000003</v>
      </c>
    </row>
    <row r="3197" spans="1:30">
      <c r="A3197">
        <v>3195</v>
      </c>
      <c r="B3197">
        <v>49</v>
      </c>
      <c r="C3197">
        <v>3.2240000000000002</v>
      </c>
      <c r="D3197">
        <v>6</v>
      </c>
      <c r="E3197">
        <v>0</v>
      </c>
      <c r="F3197">
        <v>1.915</v>
      </c>
      <c r="G3197">
        <v>0</v>
      </c>
      <c r="H3197">
        <v>0.215</v>
      </c>
      <c r="I3197">
        <v>6.3090000000000002</v>
      </c>
      <c r="K3197">
        <v>3195</v>
      </c>
      <c r="L3197">
        <v>49</v>
      </c>
      <c r="M3197" s="32">
        <v>3.2240000000000002</v>
      </c>
      <c r="N3197" s="32">
        <v>6</v>
      </c>
      <c r="P3197" s="47">
        <v>1.917</v>
      </c>
      <c r="R3197" s="47">
        <v>0.19900000000000001</v>
      </c>
      <c r="S3197" s="47">
        <v>6.1790000000000003</v>
      </c>
      <c r="T3197" s="31">
        <v>0</v>
      </c>
      <c r="V3197">
        <v>3195</v>
      </c>
      <c r="W3197">
        <v>46</v>
      </c>
      <c r="X3197">
        <v>3.2360000000000002</v>
      </c>
      <c r="Y3197" s="32">
        <v>6.0839999999999996</v>
      </c>
      <c r="Z3197">
        <v>0</v>
      </c>
      <c r="AA3197" s="32">
        <v>1.7609999999999999</v>
      </c>
      <c r="AB3197">
        <v>0</v>
      </c>
      <c r="AC3197" s="34">
        <v>0.22700000000000001</v>
      </c>
      <c r="AD3197" s="32">
        <v>5.6970000000000001</v>
      </c>
    </row>
    <row r="3198" spans="1:30">
      <c r="A3198">
        <v>3196</v>
      </c>
      <c r="B3198">
        <v>49</v>
      </c>
      <c r="C3198">
        <v>3.2250000000000001</v>
      </c>
      <c r="D3198">
        <v>6</v>
      </c>
      <c r="E3198">
        <v>0</v>
      </c>
      <c r="F3198">
        <v>1.915</v>
      </c>
      <c r="G3198">
        <v>0</v>
      </c>
      <c r="H3198">
        <v>0.215</v>
      </c>
      <c r="I3198">
        <v>6.3120000000000003</v>
      </c>
      <c r="K3198">
        <v>3196</v>
      </c>
      <c r="L3198">
        <v>49</v>
      </c>
      <c r="M3198" s="32">
        <v>3.2250000000000001</v>
      </c>
      <c r="N3198" s="32">
        <v>6</v>
      </c>
      <c r="P3198" s="47">
        <v>1.917</v>
      </c>
      <c r="R3198" s="47">
        <v>0.19900000000000001</v>
      </c>
      <c r="S3198" s="47">
        <v>6.1820000000000004</v>
      </c>
      <c r="T3198" s="31">
        <v>0</v>
      </c>
      <c r="V3198">
        <v>3196</v>
      </c>
      <c r="W3198">
        <v>46</v>
      </c>
      <c r="X3198">
        <v>3.2370000000000001</v>
      </c>
      <c r="Y3198" s="32">
        <v>6.0979999999999999</v>
      </c>
      <c r="Z3198">
        <v>0</v>
      </c>
      <c r="AA3198" s="32">
        <v>1.7609999999999999</v>
      </c>
      <c r="AB3198">
        <v>0</v>
      </c>
      <c r="AC3198" s="34">
        <v>0.22700000000000001</v>
      </c>
      <c r="AD3198" s="32">
        <v>5.7</v>
      </c>
    </row>
    <row r="3199" spans="1:30">
      <c r="A3199">
        <v>3197</v>
      </c>
      <c r="B3199">
        <v>49</v>
      </c>
      <c r="C3199">
        <v>3.226</v>
      </c>
      <c r="D3199">
        <v>6</v>
      </c>
      <c r="E3199">
        <v>0</v>
      </c>
      <c r="F3199">
        <v>1.915</v>
      </c>
      <c r="G3199">
        <v>0</v>
      </c>
      <c r="H3199">
        <v>0.215</v>
      </c>
      <c r="I3199">
        <v>6.3150000000000004</v>
      </c>
      <c r="K3199">
        <v>3197</v>
      </c>
      <c r="L3199">
        <v>49</v>
      </c>
      <c r="M3199" s="32">
        <v>3.226</v>
      </c>
      <c r="N3199" s="32">
        <v>6</v>
      </c>
      <c r="P3199" s="47">
        <v>1.917</v>
      </c>
      <c r="R3199" s="47">
        <v>0.19800000000000001</v>
      </c>
      <c r="S3199" s="47">
        <v>6.1849999999999996</v>
      </c>
      <c r="T3199" s="31">
        <v>0</v>
      </c>
      <c r="V3199">
        <v>3197</v>
      </c>
      <c r="W3199">
        <v>46</v>
      </c>
      <c r="X3199">
        <v>3.238</v>
      </c>
      <c r="Y3199" s="32">
        <v>6.1120000000000001</v>
      </c>
      <c r="Z3199">
        <v>0</v>
      </c>
      <c r="AA3199" s="32">
        <v>1.7609999999999999</v>
      </c>
      <c r="AB3199">
        <v>0</v>
      </c>
      <c r="AC3199" s="34">
        <v>0.22700000000000001</v>
      </c>
      <c r="AD3199" s="32">
        <v>5.702</v>
      </c>
    </row>
    <row r="3200" spans="1:30">
      <c r="A3200">
        <v>3198</v>
      </c>
      <c r="B3200">
        <v>49</v>
      </c>
      <c r="C3200">
        <v>3.2269999999999999</v>
      </c>
      <c r="D3200">
        <v>6</v>
      </c>
      <c r="E3200">
        <v>0</v>
      </c>
      <c r="F3200">
        <v>1.915</v>
      </c>
      <c r="G3200">
        <v>0</v>
      </c>
      <c r="H3200">
        <v>0.215</v>
      </c>
      <c r="I3200">
        <v>6.3179999999999996</v>
      </c>
      <c r="K3200">
        <v>3198</v>
      </c>
      <c r="L3200">
        <v>49</v>
      </c>
      <c r="M3200" s="32">
        <v>3.2269999999999999</v>
      </c>
      <c r="N3200" s="32">
        <v>6</v>
      </c>
      <c r="P3200" s="47">
        <v>1.9179999999999999</v>
      </c>
      <c r="R3200" s="47">
        <v>0.19800000000000001</v>
      </c>
      <c r="S3200" s="47">
        <v>6.1879999999999997</v>
      </c>
      <c r="T3200" s="31">
        <v>0</v>
      </c>
      <c r="V3200">
        <v>3198</v>
      </c>
      <c r="W3200">
        <v>46</v>
      </c>
      <c r="X3200">
        <v>3.2389999999999999</v>
      </c>
      <c r="Y3200" s="32">
        <v>6.1260000000000003</v>
      </c>
      <c r="Z3200">
        <v>0</v>
      </c>
      <c r="AA3200" s="32">
        <v>1.7609999999999999</v>
      </c>
      <c r="AB3200">
        <v>0</v>
      </c>
      <c r="AC3200" s="34">
        <v>0.22700000000000001</v>
      </c>
      <c r="AD3200" s="32">
        <v>5.7050000000000001</v>
      </c>
    </row>
    <row r="3201" spans="1:30">
      <c r="A3201">
        <v>3199</v>
      </c>
      <c r="B3201">
        <v>49</v>
      </c>
      <c r="C3201">
        <v>3.2280000000000002</v>
      </c>
      <c r="D3201">
        <v>6</v>
      </c>
      <c r="E3201">
        <v>0</v>
      </c>
      <c r="F3201">
        <v>1.915</v>
      </c>
      <c r="G3201">
        <v>0</v>
      </c>
      <c r="H3201">
        <v>0.215</v>
      </c>
      <c r="I3201">
        <v>6.3209999999999997</v>
      </c>
      <c r="K3201">
        <v>3199</v>
      </c>
      <c r="L3201">
        <v>49</v>
      </c>
      <c r="M3201" s="32">
        <v>3.2280000000000002</v>
      </c>
      <c r="N3201" s="32">
        <v>6</v>
      </c>
      <c r="P3201" s="47">
        <v>1.9179999999999999</v>
      </c>
      <c r="R3201" s="47">
        <v>0.19700000000000001</v>
      </c>
      <c r="S3201" s="47">
        <v>6.1909999999999998</v>
      </c>
      <c r="T3201" s="31">
        <v>0</v>
      </c>
      <c r="V3201">
        <v>3199</v>
      </c>
      <c r="W3201">
        <v>46</v>
      </c>
      <c r="X3201">
        <v>3.24</v>
      </c>
      <c r="Y3201" s="32">
        <v>6.14</v>
      </c>
      <c r="Z3201">
        <v>0</v>
      </c>
      <c r="AA3201" s="32">
        <v>1.7609999999999999</v>
      </c>
      <c r="AB3201">
        <v>0</v>
      </c>
      <c r="AC3201" s="34">
        <v>0.22700000000000001</v>
      </c>
      <c r="AD3201" s="32">
        <v>5.7069999999999999</v>
      </c>
    </row>
    <row r="3202" spans="1:30">
      <c r="A3202">
        <v>3200</v>
      </c>
      <c r="B3202">
        <v>49</v>
      </c>
      <c r="C3202">
        <v>3.2290000000000001</v>
      </c>
      <c r="D3202">
        <v>6</v>
      </c>
      <c r="E3202">
        <v>0</v>
      </c>
      <c r="F3202">
        <v>1.915</v>
      </c>
      <c r="G3202">
        <v>0</v>
      </c>
      <c r="H3202">
        <v>0.215</v>
      </c>
      <c r="I3202">
        <v>6.3250000000000002</v>
      </c>
      <c r="K3202">
        <v>3200</v>
      </c>
      <c r="L3202">
        <v>49</v>
      </c>
      <c r="M3202" s="32">
        <v>3.2290000000000001</v>
      </c>
      <c r="N3202" s="32">
        <v>6</v>
      </c>
      <c r="P3202" s="47">
        <v>1.919</v>
      </c>
      <c r="R3202" s="47">
        <v>0.19700000000000001</v>
      </c>
      <c r="S3202" s="47">
        <v>6.194</v>
      </c>
      <c r="T3202" s="31">
        <v>0</v>
      </c>
      <c r="V3202">
        <v>3200</v>
      </c>
      <c r="W3202">
        <v>46</v>
      </c>
      <c r="X3202">
        <v>3.2410000000000001</v>
      </c>
      <c r="Y3202" s="32">
        <v>6.14</v>
      </c>
      <c r="Z3202">
        <v>0</v>
      </c>
      <c r="AA3202" s="32">
        <v>1.762</v>
      </c>
      <c r="AB3202">
        <v>0</v>
      </c>
      <c r="AC3202" s="34">
        <v>0.22800000000000001</v>
      </c>
      <c r="AD3202" s="32">
        <v>5.71</v>
      </c>
    </row>
    <row r="3203" spans="1:30">
      <c r="A3203">
        <v>3201</v>
      </c>
      <c r="B3203">
        <v>49</v>
      </c>
      <c r="C3203">
        <v>3.23</v>
      </c>
      <c r="D3203">
        <v>6</v>
      </c>
      <c r="E3203">
        <v>0</v>
      </c>
      <c r="F3203">
        <v>1.919</v>
      </c>
      <c r="G3203">
        <v>0</v>
      </c>
      <c r="H3203">
        <v>0.215</v>
      </c>
      <c r="I3203">
        <v>6.1970000000000001</v>
      </c>
      <c r="K3203">
        <v>3201</v>
      </c>
      <c r="L3203">
        <v>49</v>
      </c>
      <c r="M3203" s="32">
        <v>3.23</v>
      </c>
      <c r="N3203" s="32">
        <v>6</v>
      </c>
      <c r="P3203" s="32">
        <v>1.919</v>
      </c>
      <c r="R3203" s="47">
        <v>0.19700000000000001</v>
      </c>
      <c r="S3203" s="32">
        <v>6.1970000000000001</v>
      </c>
      <c r="T3203" s="31">
        <v>0</v>
      </c>
      <c r="V3203">
        <v>3201</v>
      </c>
      <c r="W3203">
        <v>46</v>
      </c>
      <c r="X3203">
        <v>3.242</v>
      </c>
      <c r="Y3203" s="32">
        <v>6.14</v>
      </c>
      <c r="Z3203">
        <v>0</v>
      </c>
      <c r="AA3203" s="32">
        <v>1.762</v>
      </c>
      <c r="AB3203">
        <v>0</v>
      </c>
      <c r="AC3203" s="34">
        <v>0.22800000000000001</v>
      </c>
      <c r="AD3203" s="32">
        <v>5.7119999999999997</v>
      </c>
    </row>
    <row r="3204" spans="1:30">
      <c r="A3204">
        <v>3202</v>
      </c>
      <c r="B3204">
        <v>49</v>
      </c>
      <c r="C3204">
        <v>3.2309999999999999</v>
      </c>
      <c r="D3204">
        <v>6</v>
      </c>
      <c r="E3204">
        <v>0</v>
      </c>
      <c r="F3204">
        <v>1.919</v>
      </c>
      <c r="G3204">
        <v>0</v>
      </c>
      <c r="H3204">
        <v>0.215</v>
      </c>
      <c r="I3204">
        <v>6.3609999999999998</v>
      </c>
      <c r="K3204">
        <v>3202</v>
      </c>
      <c r="L3204">
        <v>49</v>
      </c>
      <c r="M3204" s="32">
        <v>3.2309999999999999</v>
      </c>
      <c r="N3204" s="47">
        <v>6.0140000000000002</v>
      </c>
      <c r="P3204" s="32">
        <v>1.919</v>
      </c>
      <c r="R3204" s="47">
        <v>0.19600000000000001</v>
      </c>
      <c r="S3204" s="47">
        <v>6.2009999999999996</v>
      </c>
      <c r="T3204" s="31">
        <v>0</v>
      </c>
      <c r="V3204">
        <v>3202</v>
      </c>
      <c r="W3204">
        <v>46</v>
      </c>
      <c r="X3204">
        <v>3.2429999999999999</v>
      </c>
      <c r="Y3204" s="32">
        <v>6.14</v>
      </c>
      <c r="Z3204">
        <v>0</v>
      </c>
      <c r="AA3204" s="32">
        <v>1.762</v>
      </c>
      <c r="AB3204">
        <v>0</v>
      </c>
      <c r="AC3204" s="34">
        <v>0.22800000000000001</v>
      </c>
      <c r="AD3204" s="32">
        <v>5.7149999999999999</v>
      </c>
    </row>
    <row r="3205" spans="1:30">
      <c r="A3205">
        <v>3203</v>
      </c>
      <c r="B3205">
        <v>49</v>
      </c>
      <c r="C3205">
        <v>3.2320000000000002</v>
      </c>
      <c r="D3205">
        <v>6</v>
      </c>
      <c r="E3205">
        <v>0</v>
      </c>
      <c r="F3205">
        <v>1.919</v>
      </c>
      <c r="G3205">
        <v>0</v>
      </c>
      <c r="H3205">
        <v>0.215</v>
      </c>
      <c r="I3205">
        <v>6.3639999999999999</v>
      </c>
      <c r="K3205">
        <v>3203</v>
      </c>
      <c r="L3205">
        <v>49</v>
      </c>
      <c r="M3205" s="32">
        <v>3.2320000000000002</v>
      </c>
      <c r="N3205" s="47">
        <v>6.0279999999999996</v>
      </c>
      <c r="P3205" s="47">
        <v>1.92</v>
      </c>
      <c r="R3205" s="47">
        <v>0.19600000000000001</v>
      </c>
      <c r="S3205" s="47">
        <v>6.2050000000000001</v>
      </c>
      <c r="T3205" s="31">
        <v>0</v>
      </c>
      <c r="V3205">
        <v>3203</v>
      </c>
      <c r="W3205">
        <v>46</v>
      </c>
      <c r="X3205">
        <v>3.2440000000000002</v>
      </c>
      <c r="Y3205" s="32">
        <v>6.14</v>
      </c>
      <c r="Z3205">
        <v>0</v>
      </c>
      <c r="AA3205" s="32">
        <v>1.762</v>
      </c>
      <c r="AB3205">
        <v>0</v>
      </c>
      <c r="AC3205" s="34">
        <v>0.22800000000000001</v>
      </c>
      <c r="AD3205" s="32">
        <v>5.7169999999999996</v>
      </c>
    </row>
    <row r="3206" spans="1:30">
      <c r="A3206">
        <v>3204</v>
      </c>
      <c r="B3206">
        <v>49</v>
      </c>
      <c r="C3206">
        <v>3.2330000000000001</v>
      </c>
      <c r="D3206">
        <v>6</v>
      </c>
      <c r="E3206">
        <v>0</v>
      </c>
      <c r="F3206">
        <v>1.919</v>
      </c>
      <c r="G3206">
        <v>0</v>
      </c>
      <c r="H3206">
        <v>0.215</v>
      </c>
      <c r="I3206">
        <v>6.367</v>
      </c>
      <c r="K3206">
        <v>3204</v>
      </c>
      <c r="L3206">
        <v>49</v>
      </c>
      <c r="M3206" s="32">
        <v>3.2330000000000001</v>
      </c>
      <c r="N3206" s="47">
        <v>6.0419999999999998</v>
      </c>
      <c r="P3206" s="47">
        <v>1.92</v>
      </c>
      <c r="R3206" s="47">
        <v>0.19600000000000001</v>
      </c>
      <c r="S3206" s="47">
        <v>6.2089999999999996</v>
      </c>
      <c r="T3206" s="31">
        <v>0</v>
      </c>
      <c r="V3206">
        <v>3204</v>
      </c>
      <c r="W3206">
        <v>46</v>
      </c>
      <c r="X3206">
        <v>3.2450000000000001</v>
      </c>
      <c r="Y3206" s="32">
        <v>6.14</v>
      </c>
      <c r="Z3206">
        <v>0</v>
      </c>
      <c r="AA3206" s="32">
        <v>1.762</v>
      </c>
      <c r="AB3206">
        <v>0</v>
      </c>
      <c r="AC3206" s="34">
        <v>0.22800000000000001</v>
      </c>
      <c r="AD3206" s="32">
        <v>5.72</v>
      </c>
    </row>
    <row r="3207" spans="1:30">
      <c r="A3207">
        <v>3205</v>
      </c>
      <c r="B3207">
        <v>49</v>
      </c>
      <c r="C3207">
        <v>3.234</v>
      </c>
      <c r="D3207">
        <v>6</v>
      </c>
      <c r="E3207">
        <v>0</v>
      </c>
      <c r="F3207">
        <v>1.919</v>
      </c>
      <c r="G3207">
        <v>0</v>
      </c>
      <c r="H3207">
        <v>0.215</v>
      </c>
      <c r="I3207">
        <v>6.3710000000000004</v>
      </c>
      <c r="K3207">
        <v>3205</v>
      </c>
      <c r="L3207">
        <v>49</v>
      </c>
      <c r="M3207" s="32">
        <v>3.234</v>
      </c>
      <c r="N3207" s="47">
        <v>6.056</v>
      </c>
      <c r="P3207" s="47">
        <v>1.92</v>
      </c>
      <c r="R3207" s="47">
        <v>0.19500000000000001</v>
      </c>
      <c r="S3207" s="47">
        <v>6.2130000000000001</v>
      </c>
      <c r="T3207" s="31">
        <v>0</v>
      </c>
      <c r="V3207">
        <v>3205</v>
      </c>
      <c r="W3207">
        <v>46</v>
      </c>
      <c r="X3207">
        <v>3.246</v>
      </c>
      <c r="Y3207" s="32">
        <v>6.14</v>
      </c>
      <c r="Z3207">
        <v>0</v>
      </c>
      <c r="AA3207" s="32">
        <v>1.7629999999999999</v>
      </c>
      <c r="AB3207">
        <v>0</v>
      </c>
      <c r="AC3207" s="34">
        <v>0.22800000000000001</v>
      </c>
      <c r="AD3207" s="32">
        <v>5.7220000000000004</v>
      </c>
    </row>
    <row r="3208" spans="1:30">
      <c r="A3208">
        <v>3206</v>
      </c>
      <c r="B3208">
        <v>49</v>
      </c>
      <c r="C3208">
        <v>3.2349999999999999</v>
      </c>
      <c r="D3208">
        <v>6</v>
      </c>
      <c r="E3208">
        <v>0</v>
      </c>
      <c r="F3208">
        <v>1.919</v>
      </c>
      <c r="G3208">
        <v>0</v>
      </c>
      <c r="H3208">
        <v>0.215</v>
      </c>
      <c r="I3208">
        <v>6.3739999999999997</v>
      </c>
      <c r="K3208">
        <v>3206</v>
      </c>
      <c r="L3208">
        <v>49</v>
      </c>
      <c r="M3208" s="32">
        <v>3.2349999999999999</v>
      </c>
      <c r="N3208" s="47">
        <v>6.07</v>
      </c>
      <c r="P3208" s="47">
        <v>1.921</v>
      </c>
      <c r="R3208" s="47">
        <v>0.19500000000000001</v>
      </c>
      <c r="S3208" s="47">
        <v>6.2169999999999996</v>
      </c>
      <c r="T3208" s="31">
        <v>0</v>
      </c>
      <c r="V3208">
        <v>3206</v>
      </c>
      <c r="W3208">
        <v>46</v>
      </c>
      <c r="X3208">
        <v>3.2469999999999999</v>
      </c>
      <c r="Y3208" s="32">
        <v>6.14</v>
      </c>
      <c r="Z3208">
        <v>0</v>
      </c>
      <c r="AA3208" s="32">
        <v>1.7629999999999999</v>
      </c>
      <c r="AB3208">
        <v>0</v>
      </c>
      <c r="AC3208" s="34">
        <v>0.22800000000000001</v>
      </c>
      <c r="AD3208" s="32">
        <v>5.7249999999999996</v>
      </c>
    </row>
    <row r="3209" spans="1:30">
      <c r="A3209">
        <v>3207</v>
      </c>
      <c r="B3209">
        <v>49</v>
      </c>
      <c r="C3209">
        <v>3.2360000000000002</v>
      </c>
      <c r="D3209">
        <v>6</v>
      </c>
      <c r="E3209">
        <v>0</v>
      </c>
      <c r="F3209">
        <v>1.919</v>
      </c>
      <c r="G3209">
        <v>0</v>
      </c>
      <c r="H3209">
        <v>0.215</v>
      </c>
      <c r="I3209">
        <v>6.3769999999999998</v>
      </c>
      <c r="K3209">
        <v>3207</v>
      </c>
      <c r="L3209">
        <v>49</v>
      </c>
      <c r="M3209" s="32">
        <v>3.2360000000000002</v>
      </c>
      <c r="N3209" s="47">
        <v>6.0839999999999996</v>
      </c>
      <c r="P3209" s="47">
        <v>1.921</v>
      </c>
      <c r="R3209" s="47">
        <v>0.19400000000000001</v>
      </c>
      <c r="S3209" s="47">
        <v>6.22</v>
      </c>
      <c r="T3209" s="31">
        <v>0</v>
      </c>
      <c r="V3209">
        <v>3207</v>
      </c>
      <c r="W3209">
        <v>46</v>
      </c>
      <c r="X3209">
        <v>3.2480000000000002</v>
      </c>
      <c r="Y3209" s="32">
        <v>6.14</v>
      </c>
      <c r="Z3209">
        <v>0</v>
      </c>
      <c r="AA3209" s="32">
        <v>1.7629999999999999</v>
      </c>
      <c r="AB3209">
        <v>0</v>
      </c>
      <c r="AC3209" s="34">
        <v>0.22800000000000001</v>
      </c>
      <c r="AD3209" s="32">
        <v>5.7270000000000003</v>
      </c>
    </row>
    <row r="3210" spans="1:30">
      <c r="A3210">
        <v>3208</v>
      </c>
      <c r="B3210">
        <v>49</v>
      </c>
      <c r="C3210">
        <v>3.2370000000000001</v>
      </c>
      <c r="D3210">
        <v>6</v>
      </c>
      <c r="E3210">
        <v>0</v>
      </c>
      <c r="F3210">
        <v>1.919</v>
      </c>
      <c r="G3210">
        <v>0</v>
      </c>
      <c r="H3210">
        <v>0.215</v>
      </c>
      <c r="I3210">
        <v>6.38</v>
      </c>
      <c r="K3210">
        <v>3208</v>
      </c>
      <c r="L3210">
        <v>49</v>
      </c>
      <c r="M3210" s="32">
        <v>3.2370000000000001</v>
      </c>
      <c r="N3210" s="47">
        <v>6.0979999999999999</v>
      </c>
      <c r="P3210" s="47">
        <v>1.921</v>
      </c>
      <c r="R3210" s="47">
        <v>0.19400000000000001</v>
      </c>
      <c r="S3210" s="47">
        <v>6.2240000000000002</v>
      </c>
      <c r="T3210" s="31">
        <v>0</v>
      </c>
      <c r="V3210">
        <v>3208</v>
      </c>
      <c r="W3210">
        <v>46</v>
      </c>
      <c r="X3210">
        <v>3.2490000000000001</v>
      </c>
      <c r="Y3210" s="32">
        <v>6.14</v>
      </c>
      <c r="Z3210">
        <v>0</v>
      </c>
      <c r="AA3210" s="32">
        <v>1.7629999999999999</v>
      </c>
      <c r="AB3210">
        <v>0</v>
      </c>
      <c r="AC3210" s="34">
        <v>0.22800000000000001</v>
      </c>
      <c r="AD3210" s="32">
        <v>5.73</v>
      </c>
    </row>
    <row r="3211" spans="1:30">
      <c r="A3211">
        <v>3209</v>
      </c>
      <c r="B3211">
        <v>49</v>
      </c>
      <c r="C3211">
        <v>3.238</v>
      </c>
      <c r="D3211">
        <v>6</v>
      </c>
      <c r="E3211">
        <v>0</v>
      </c>
      <c r="F3211">
        <v>1.919</v>
      </c>
      <c r="G3211">
        <v>0</v>
      </c>
      <c r="H3211">
        <v>0.215</v>
      </c>
      <c r="I3211">
        <v>6.3840000000000003</v>
      </c>
      <c r="K3211">
        <v>3209</v>
      </c>
      <c r="L3211">
        <v>49</v>
      </c>
      <c r="M3211" s="32">
        <v>3.238</v>
      </c>
      <c r="N3211" s="47">
        <v>6.1120000000000001</v>
      </c>
      <c r="P3211" s="47">
        <v>1.921</v>
      </c>
      <c r="R3211" s="47">
        <v>0.19400000000000001</v>
      </c>
      <c r="S3211" s="47">
        <v>6.2279999999999998</v>
      </c>
      <c r="T3211" s="31">
        <v>0</v>
      </c>
      <c r="V3211">
        <v>3209</v>
      </c>
      <c r="W3211">
        <v>46</v>
      </c>
      <c r="X3211">
        <v>3.25</v>
      </c>
      <c r="Y3211" s="32">
        <v>6.14</v>
      </c>
      <c r="Z3211">
        <v>0</v>
      </c>
      <c r="AA3211" s="32">
        <v>1.764</v>
      </c>
      <c r="AB3211">
        <v>0</v>
      </c>
      <c r="AC3211" s="34">
        <v>0.22800000000000001</v>
      </c>
      <c r="AD3211" s="32">
        <v>5.7320000000000002</v>
      </c>
    </row>
    <row r="3212" spans="1:30">
      <c r="A3212">
        <v>3210</v>
      </c>
      <c r="B3212">
        <v>49</v>
      </c>
      <c r="C3212">
        <v>3.2389999999999999</v>
      </c>
      <c r="D3212">
        <v>6</v>
      </c>
      <c r="E3212">
        <v>0</v>
      </c>
      <c r="F3212">
        <v>1.919</v>
      </c>
      <c r="G3212">
        <v>0</v>
      </c>
      <c r="H3212">
        <v>0.215</v>
      </c>
      <c r="I3212">
        <v>6.3869999999999996</v>
      </c>
      <c r="K3212">
        <v>3210</v>
      </c>
      <c r="L3212">
        <v>49</v>
      </c>
      <c r="M3212" s="32">
        <v>3.2389999999999999</v>
      </c>
      <c r="N3212" s="47">
        <v>6.1260000000000003</v>
      </c>
      <c r="P3212" s="47">
        <v>1.9219999999999999</v>
      </c>
      <c r="R3212" s="47">
        <v>0.193</v>
      </c>
      <c r="S3212" s="47">
        <v>6.2320000000000002</v>
      </c>
      <c r="T3212" s="31">
        <v>0</v>
      </c>
      <c r="V3212">
        <v>3210</v>
      </c>
      <c r="W3212">
        <v>46</v>
      </c>
      <c r="X3212">
        <v>3.2509999999999999</v>
      </c>
      <c r="Y3212" s="32">
        <v>6.14</v>
      </c>
      <c r="Z3212">
        <v>0</v>
      </c>
      <c r="AA3212" s="32">
        <v>1.764</v>
      </c>
      <c r="AB3212">
        <v>0</v>
      </c>
      <c r="AC3212" s="34">
        <v>0.22800000000000001</v>
      </c>
      <c r="AD3212" s="32">
        <v>5.7350000000000003</v>
      </c>
    </row>
    <row r="3213" spans="1:30">
      <c r="A3213">
        <v>3211</v>
      </c>
      <c r="B3213">
        <v>50</v>
      </c>
      <c r="C3213">
        <v>3.24</v>
      </c>
      <c r="D3213">
        <v>6.14</v>
      </c>
      <c r="E3213">
        <v>0</v>
      </c>
      <c r="F3213">
        <v>1.9219999999999999</v>
      </c>
      <c r="G3213">
        <v>0</v>
      </c>
      <c r="H3213">
        <v>0.193</v>
      </c>
      <c r="I3213">
        <v>6.2359999999999998</v>
      </c>
      <c r="K3213">
        <v>3211</v>
      </c>
      <c r="L3213">
        <v>50</v>
      </c>
      <c r="M3213" s="32">
        <v>3.24</v>
      </c>
      <c r="N3213" s="32">
        <v>6.14</v>
      </c>
      <c r="P3213" s="32">
        <v>1.9219999999999999</v>
      </c>
      <c r="R3213" s="32">
        <v>0.193</v>
      </c>
      <c r="S3213" s="32">
        <v>6.2359999999999998</v>
      </c>
      <c r="T3213" s="31">
        <v>0</v>
      </c>
      <c r="V3213">
        <v>3211</v>
      </c>
      <c r="W3213">
        <v>46</v>
      </c>
      <c r="X3213">
        <v>3.2519999999999998</v>
      </c>
      <c r="Y3213" s="32">
        <v>6.14</v>
      </c>
      <c r="Z3213">
        <v>0</v>
      </c>
      <c r="AA3213" s="32">
        <v>1.764</v>
      </c>
      <c r="AB3213">
        <v>0</v>
      </c>
      <c r="AC3213" s="34">
        <v>0.22800000000000001</v>
      </c>
      <c r="AD3213" s="32">
        <v>5.7370000000000001</v>
      </c>
    </row>
    <row r="3214" spans="1:30">
      <c r="A3214">
        <v>3212</v>
      </c>
      <c r="B3214">
        <v>50</v>
      </c>
      <c r="C3214">
        <v>3.2410000000000001</v>
      </c>
      <c r="D3214">
        <v>6.14</v>
      </c>
      <c r="E3214">
        <v>0</v>
      </c>
      <c r="F3214">
        <v>1.9219999999999999</v>
      </c>
      <c r="G3214">
        <v>0</v>
      </c>
      <c r="H3214">
        <v>0.193</v>
      </c>
      <c r="I3214">
        <v>6.2389999999999999</v>
      </c>
      <c r="K3214">
        <v>3212</v>
      </c>
      <c r="L3214">
        <v>50</v>
      </c>
      <c r="M3214" s="32">
        <v>3.2410000000000001</v>
      </c>
      <c r="N3214" s="32">
        <v>6.14</v>
      </c>
      <c r="P3214" s="32">
        <v>1.9219999999999999</v>
      </c>
      <c r="R3214" s="32">
        <v>0.193</v>
      </c>
      <c r="S3214" s="47">
        <v>6.2380000000000004</v>
      </c>
      <c r="T3214" s="31">
        <v>0</v>
      </c>
      <c r="V3214">
        <v>3212</v>
      </c>
      <c r="W3214">
        <v>46</v>
      </c>
      <c r="X3214">
        <v>3.2530000000000001</v>
      </c>
      <c r="Y3214" s="32">
        <v>6.14</v>
      </c>
      <c r="Z3214">
        <v>0</v>
      </c>
      <c r="AA3214" s="32">
        <v>1.764</v>
      </c>
      <c r="AB3214">
        <v>0</v>
      </c>
      <c r="AC3214" s="34">
        <v>0.22800000000000001</v>
      </c>
      <c r="AD3214" s="32">
        <v>5.74</v>
      </c>
    </row>
    <row r="3215" spans="1:30">
      <c r="A3215">
        <v>3213</v>
      </c>
      <c r="B3215">
        <v>50</v>
      </c>
      <c r="C3215">
        <v>3.242</v>
      </c>
      <c r="D3215">
        <v>6.15</v>
      </c>
      <c r="E3215">
        <v>0</v>
      </c>
      <c r="F3215">
        <v>1.923</v>
      </c>
      <c r="G3215">
        <v>0</v>
      </c>
      <c r="H3215">
        <v>0.193</v>
      </c>
      <c r="I3215">
        <v>6.242</v>
      </c>
      <c r="K3215">
        <v>3213</v>
      </c>
      <c r="L3215">
        <v>50</v>
      </c>
      <c r="M3215" s="32">
        <v>3.242</v>
      </c>
      <c r="N3215" s="47">
        <v>6.14</v>
      </c>
      <c r="P3215" s="32">
        <v>1.923</v>
      </c>
      <c r="R3215" s="32">
        <v>0.193</v>
      </c>
      <c r="S3215" s="47">
        <v>6.24</v>
      </c>
      <c r="T3215" s="31">
        <v>0</v>
      </c>
      <c r="V3215">
        <v>3213</v>
      </c>
      <c r="W3215">
        <v>46</v>
      </c>
      <c r="X3215">
        <v>3.254</v>
      </c>
      <c r="Y3215" s="32">
        <v>6.14</v>
      </c>
      <c r="Z3215">
        <v>0</v>
      </c>
      <c r="AA3215" s="32">
        <v>1.764</v>
      </c>
      <c r="AB3215">
        <v>0</v>
      </c>
      <c r="AC3215" s="34">
        <v>0.22800000000000001</v>
      </c>
      <c r="AD3215" s="32">
        <v>5.742</v>
      </c>
    </row>
    <row r="3216" spans="1:30">
      <c r="A3216">
        <v>3214</v>
      </c>
      <c r="B3216">
        <v>50</v>
      </c>
      <c r="C3216">
        <v>3.2429999999999999</v>
      </c>
      <c r="D3216">
        <v>6.15</v>
      </c>
      <c r="E3216">
        <v>0</v>
      </c>
      <c r="F3216">
        <v>1.923</v>
      </c>
      <c r="G3216">
        <v>0</v>
      </c>
      <c r="H3216">
        <v>0.193</v>
      </c>
      <c r="I3216">
        <v>6.2439999999999998</v>
      </c>
      <c r="K3216">
        <v>3214</v>
      </c>
      <c r="L3216">
        <v>50</v>
      </c>
      <c r="M3216" s="32">
        <v>3.2429999999999999</v>
      </c>
      <c r="N3216" s="47">
        <v>6.14</v>
      </c>
      <c r="P3216" s="32">
        <v>1.923</v>
      </c>
      <c r="R3216" s="32">
        <v>0.193</v>
      </c>
      <c r="S3216" s="47">
        <v>6.242</v>
      </c>
      <c r="T3216" s="31">
        <v>0</v>
      </c>
      <c r="V3216">
        <v>3214</v>
      </c>
      <c r="W3216">
        <v>46</v>
      </c>
      <c r="X3216">
        <v>3.2549999999999999</v>
      </c>
      <c r="Y3216" s="32">
        <v>6.14</v>
      </c>
      <c r="Z3216">
        <v>0</v>
      </c>
      <c r="AA3216" s="32">
        <v>1.7649999999999999</v>
      </c>
      <c r="AB3216">
        <v>0</v>
      </c>
      <c r="AC3216" s="34">
        <v>0.22800000000000001</v>
      </c>
      <c r="AD3216" s="32">
        <v>5.7450000000000001</v>
      </c>
    </row>
    <row r="3217" spans="1:30">
      <c r="A3217">
        <v>3215</v>
      </c>
      <c r="B3217">
        <v>50</v>
      </c>
      <c r="C3217">
        <v>3.2440000000000002</v>
      </c>
      <c r="D3217">
        <v>6.15</v>
      </c>
      <c r="E3217">
        <v>0</v>
      </c>
      <c r="F3217">
        <v>1.923</v>
      </c>
      <c r="G3217">
        <v>0</v>
      </c>
      <c r="H3217">
        <v>0.193</v>
      </c>
      <c r="I3217">
        <v>6.2469999999999999</v>
      </c>
      <c r="K3217">
        <v>3215</v>
      </c>
      <c r="L3217">
        <v>50</v>
      </c>
      <c r="M3217" s="32">
        <v>3.2440000000000002</v>
      </c>
      <c r="N3217" s="47">
        <v>6.14</v>
      </c>
      <c r="P3217" s="32">
        <v>1.923</v>
      </c>
      <c r="R3217" s="32">
        <v>0.193</v>
      </c>
      <c r="S3217" s="47">
        <v>6.2439999999999998</v>
      </c>
      <c r="T3217" s="31">
        <v>0</v>
      </c>
      <c r="V3217">
        <v>3215</v>
      </c>
      <c r="W3217">
        <v>46</v>
      </c>
      <c r="X3217">
        <v>3.2559999999999998</v>
      </c>
      <c r="Y3217" s="32">
        <v>6.14</v>
      </c>
      <c r="Z3217">
        <v>0</v>
      </c>
      <c r="AA3217" s="32">
        <v>1.7649999999999999</v>
      </c>
      <c r="AB3217">
        <v>0</v>
      </c>
      <c r="AC3217" s="34">
        <v>0.22800000000000001</v>
      </c>
      <c r="AD3217" s="32">
        <v>5.7469999999999999</v>
      </c>
    </row>
    <row r="3218" spans="1:30">
      <c r="A3218">
        <v>3216</v>
      </c>
      <c r="B3218">
        <v>50</v>
      </c>
      <c r="C3218">
        <v>3.2450000000000001</v>
      </c>
      <c r="D3218">
        <v>6.15</v>
      </c>
      <c r="E3218">
        <v>0</v>
      </c>
      <c r="F3218">
        <v>1.9239999999999999</v>
      </c>
      <c r="G3218">
        <v>0</v>
      </c>
      <c r="H3218">
        <v>0.193</v>
      </c>
      <c r="I3218">
        <v>6.25</v>
      </c>
      <c r="K3218">
        <v>3216</v>
      </c>
      <c r="L3218">
        <v>50</v>
      </c>
      <c r="M3218" s="32">
        <v>3.2450000000000001</v>
      </c>
      <c r="N3218" s="47">
        <v>6.14</v>
      </c>
      <c r="P3218" s="32">
        <v>1.9239999999999999</v>
      </c>
      <c r="R3218" s="32">
        <v>0.193</v>
      </c>
      <c r="S3218" s="47">
        <v>6.2460000000000004</v>
      </c>
      <c r="T3218" s="31">
        <v>0</v>
      </c>
      <c r="V3218">
        <v>3216</v>
      </c>
      <c r="W3218">
        <v>46</v>
      </c>
      <c r="X3218">
        <v>3.2570000000000001</v>
      </c>
      <c r="Y3218" s="32">
        <v>6.14</v>
      </c>
      <c r="Z3218">
        <v>0</v>
      </c>
      <c r="AA3218" s="32">
        <v>1.7649999999999999</v>
      </c>
      <c r="AB3218">
        <v>0</v>
      </c>
      <c r="AC3218" s="34">
        <v>0.22800000000000001</v>
      </c>
      <c r="AD3218" s="32">
        <v>5.75</v>
      </c>
    </row>
    <row r="3219" spans="1:30">
      <c r="A3219">
        <v>3217</v>
      </c>
      <c r="B3219">
        <v>50</v>
      </c>
      <c r="C3219">
        <v>3.246</v>
      </c>
      <c r="D3219">
        <v>6.16</v>
      </c>
      <c r="E3219">
        <v>0</v>
      </c>
      <c r="F3219">
        <v>1.9239999999999999</v>
      </c>
      <c r="G3219">
        <v>0</v>
      </c>
      <c r="H3219">
        <v>0.193</v>
      </c>
      <c r="I3219">
        <v>6.2530000000000001</v>
      </c>
      <c r="K3219">
        <v>3217</v>
      </c>
      <c r="L3219">
        <v>50</v>
      </c>
      <c r="M3219" s="32">
        <v>3.246</v>
      </c>
      <c r="N3219" s="47">
        <v>6.14</v>
      </c>
      <c r="P3219" s="32">
        <v>1.9239999999999999</v>
      </c>
      <c r="R3219" s="32">
        <v>0.193</v>
      </c>
      <c r="S3219" s="47">
        <v>6.2480000000000002</v>
      </c>
      <c r="T3219" s="31">
        <v>0</v>
      </c>
      <c r="V3219">
        <v>3217</v>
      </c>
      <c r="W3219">
        <v>46</v>
      </c>
      <c r="X3219">
        <v>3.258</v>
      </c>
      <c r="Y3219" s="32">
        <v>6.14</v>
      </c>
      <c r="Z3219">
        <v>0</v>
      </c>
      <c r="AA3219" s="32">
        <v>1.7649999999999999</v>
      </c>
      <c r="AB3219">
        <v>0</v>
      </c>
      <c r="AC3219" s="34">
        <v>0.22800000000000001</v>
      </c>
      <c r="AD3219" s="32">
        <v>5.7519999999999998</v>
      </c>
    </row>
    <row r="3220" spans="1:30">
      <c r="A3220">
        <v>3218</v>
      </c>
      <c r="B3220">
        <v>50</v>
      </c>
      <c r="C3220">
        <v>3.2469999999999999</v>
      </c>
      <c r="D3220">
        <v>6.16</v>
      </c>
      <c r="E3220">
        <v>0</v>
      </c>
      <c r="F3220">
        <v>1.9239999999999999</v>
      </c>
      <c r="G3220">
        <v>0</v>
      </c>
      <c r="H3220">
        <v>0.193</v>
      </c>
      <c r="I3220">
        <v>6.2560000000000002</v>
      </c>
      <c r="K3220">
        <v>3218</v>
      </c>
      <c r="L3220">
        <v>50</v>
      </c>
      <c r="M3220" s="32">
        <v>3.2469999999999999</v>
      </c>
      <c r="N3220" s="47">
        <v>6.14</v>
      </c>
      <c r="P3220" s="32">
        <v>1.9239999999999999</v>
      </c>
      <c r="R3220" s="32">
        <v>0.193</v>
      </c>
      <c r="S3220" s="47">
        <v>6.25</v>
      </c>
      <c r="T3220" s="31">
        <v>0</v>
      </c>
      <c r="V3220">
        <v>3218</v>
      </c>
      <c r="W3220">
        <v>46</v>
      </c>
      <c r="X3220">
        <v>3.2589999999999999</v>
      </c>
      <c r="Y3220" s="32">
        <v>6.14</v>
      </c>
      <c r="Z3220">
        <v>0</v>
      </c>
      <c r="AA3220" s="32">
        <v>1.7649999999999999</v>
      </c>
      <c r="AB3220">
        <v>0</v>
      </c>
      <c r="AC3220" s="34">
        <v>0.22800000000000001</v>
      </c>
      <c r="AD3220" s="32">
        <v>5.7549999999999999</v>
      </c>
    </row>
    <row r="3221" spans="1:30">
      <c r="A3221">
        <v>3219</v>
      </c>
      <c r="B3221">
        <v>50</v>
      </c>
      <c r="C3221">
        <v>3.2480000000000002</v>
      </c>
      <c r="D3221">
        <v>6.16</v>
      </c>
      <c r="E3221">
        <v>0</v>
      </c>
      <c r="F3221">
        <v>1.9239999999999999</v>
      </c>
      <c r="G3221">
        <v>0</v>
      </c>
      <c r="H3221">
        <v>0.193</v>
      </c>
      <c r="I3221">
        <v>6.258</v>
      </c>
      <c r="K3221">
        <v>3219</v>
      </c>
      <c r="L3221">
        <v>50</v>
      </c>
      <c r="M3221" s="32">
        <v>3.2480000000000002</v>
      </c>
      <c r="N3221" s="47">
        <v>6.14</v>
      </c>
      <c r="P3221" s="32">
        <v>1.9239999999999999</v>
      </c>
      <c r="R3221" s="32">
        <v>0.193</v>
      </c>
      <c r="S3221" s="47">
        <v>6.2519999999999998</v>
      </c>
      <c r="T3221" s="31">
        <v>0</v>
      </c>
      <c r="V3221">
        <v>3219</v>
      </c>
      <c r="W3221">
        <v>46</v>
      </c>
      <c r="X3221">
        <v>3.26</v>
      </c>
      <c r="Y3221" s="32">
        <v>6.14</v>
      </c>
      <c r="Z3221">
        <v>0</v>
      </c>
      <c r="AA3221" s="32">
        <v>1.766</v>
      </c>
      <c r="AB3221">
        <v>0</v>
      </c>
      <c r="AC3221" s="34">
        <v>0.22800000000000001</v>
      </c>
      <c r="AD3221" s="32">
        <v>5.7569999999999997</v>
      </c>
    </row>
    <row r="3222" spans="1:30">
      <c r="A3222">
        <v>3220</v>
      </c>
      <c r="B3222">
        <v>50</v>
      </c>
      <c r="C3222">
        <v>3.2490000000000001</v>
      </c>
      <c r="D3222">
        <v>6.17</v>
      </c>
      <c r="E3222">
        <v>0</v>
      </c>
      <c r="F3222">
        <v>1.925</v>
      </c>
      <c r="G3222">
        <v>0</v>
      </c>
      <c r="H3222">
        <v>0.193</v>
      </c>
      <c r="I3222">
        <v>6.2610000000000001</v>
      </c>
      <c r="K3222">
        <v>3220</v>
      </c>
      <c r="L3222">
        <v>50</v>
      </c>
      <c r="M3222" s="32">
        <v>3.2490000000000001</v>
      </c>
      <c r="N3222" s="47">
        <v>6.14</v>
      </c>
      <c r="P3222" s="32">
        <v>1.925</v>
      </c>
      <c r="R3222" s="32">
        <v>0.193</v>
      </c>
      <c r="S3222" s="47">
        <v>6.2539999999999996</v>
      </c>
      <c r="T3222" s="31">
        <v>0</v>
      </c>
      <c r="V3222">
        <v>3220</v>
      </c>
      <c r="W3222">
        <v>46</v>
      </c>
      <c r="X3222">
        <v>3.2610000000000001</v>
      </c>
      <c r="Y3222" s="32">
        <v>6.14</v>
      </c>
      <c r="Z3222">
        <v>0</v>
      </c>
      <c r="AA3222" s="32">
        <v>1.766</v>
      </c>
      <c r="AB3222">
        <v>0</v>
      </c>
      <c r="AC3222" s="34">
        <v>0.22800000000000001</v>
      </c>
      <c r="AD3222" s="32">
        <v>5.7590000000000003</v>
      </c>
    </row>
    <row r="3223" spans="1:30">
      <c r="A3223">
        <v>3221</v>
      </c>
      <c r="B3223">
        <v>50</v>
      </c>
      <c r="C3223">
        <v>3.25</v>
      </c>
      <c r="D3223">
        <v>6.14</v>
      </c>
      <c r="E3223">
        <v>0</v>
      </c>
      <c r="F3223">
        <v>1.925</v>
      </c>
      <c r="G3223">
        <v>0</v>
      </c>
      <c r="H3223">
        <v>0.193</v>
      </c>
      <c r="I3223">
        <v>6.2560000000000002</v>
      </c>
      <c r="K3223">
        <v>3221</v>
      </c>
      <c r="L3223">
        <v>50</v>
      </c>
      <c r="M3223" s="32">
        <v>3.25</v>
      </c>
      <c r="N3223" s="32">
        <v>6.14</v>
      </c>
      <c r="P3223" s="32">
        <v>1.925</v>
      </c>
      <c r="R3223" s="32">
        <v>0.193</v>
      </c>
      <c r="S3223" s="32">
        <v>6.2560000000000002</v>
      </c>
      <c r="T3223" s="31">
        <v>0</v>
      </c>
      <c r="V3223">
        <v>3221</v>
      </c>
      <c r="W3223">
        <v>46</v>
      </c>
      <c r="X3223">
        <v>3.262</v>
      </c>
      <c r="Y3223" s="32">
        <v>6.14</v>
      </c>
      <c r="Z3223">
        <v>0</v>
      </c>
      <c r="AA3223" s="32">
        <v>1.766</v>
      </c>
      <c r="AB3223">
        <v>0</v>
      </c>
      <c r="AC3223" s="34">
        <v>0.22800000000000001</v>
      </c>
      <c r="AD3223" s="32">
        <v>5.7619999999999996</v>
      </c>
    </row>
    <row r="3224" spans="1:30">
      <c r="A3224">
        <v>3222</v>
      </c>
      <c r="B3224">
        <v>50</v>
      </c>
      <c r="C3224">
        <v>3.2509999999999999</v>
      </c>
      <c r="D3224">
        <v>6.14</v>
      </c>
      <c r="E3224">
        <v>0</v>
      </c>
      <c r="F3224">
        <v>1.925</v>
      </c>
      <c r="G3224">
        <v>0</v>
      </c>
      <c r="H3224">
        <v>0.193</v>
      </c>
      <c r="I3224">
        <v>6.2869999999999999</v>
      </c>
      <c r="K3224">
        <v>3222</v>
      </c>
      <c r="L3224">
        <v>50</v>
      </c>
      <c r="M3224" s="32">
        <v>3.2509999999999999</v>
      </c>
      <c r="N3224" s="32">
        <v>6.14</v>
      </c>
      <c r="P3224" s="32">
        <v>1.925</v>
      </c>
      <c r="R3224" s="32">
        <v>0.193</v>
      </c>
      <c r="S3224" s="47">
        <v>6.2590000000000003</v>
      </c>
      <c r="T3224" s="31">
        <v>0</v>
      </c>
      <c r="V3224">
        <v>3222</v>
      </c>
      <c r="W3224">
        <v>46</v>
      </c>
      <c r="X3224">
        <v>3.2629999999999999</v>
      </c>
      <c r="Y3224" s="32">
        <v>6.14</v>
      </c>
      <c r="Z3224">
        <v>0</v>
      </c>
      <c r="AA3224" s="32">
        <v>1.766</v>
      </c>
      <c r="AB3224">
        <v>0</v>
      </c>
      <c r="AC3224" s="34">
        <v>0.22800000000000001</v>
      </c>
      <c r="AD3224" s="32">
        <v>5.7640000000000002</v>
      </c>
    </row>
    <row r="3225" spans="1:30">
      <c r="A3225">
        <v>3223</v>
      </c>
      <c r="B3225">
        <v>50</v>
      </c>
      <c r="C3225">
        <v>3.2519999999999998</v>
      </c>
      <c r="D3225">
        <v>6.14</v>
      </c>
      <c r="E3225">
        <v>0</v>
      </c>
      <c r="F3225">
        <v>1.925</v>
      </c>
      <c r="G3225">
        <v>0</v>
      </c>
      <c r="H3225">
        <v>0.193</v>
      </c>
      <c r="I3225">
        <v>6.2889999999999997</v>
      </c>
      <c r="K3225">
        <v>3223</v>
      </c>
      <c r="L3225">
        <v>50</v>
      </c>
      <c r="M3225" s="32">
        <v>3.2519999999999998</v>
      </c>
      <c r="N3225" s="32">
        <v>6.14</v>
      </c>
      <c r="P3225" s="47">
        <v>1.9259999999999999</v>
      </c>
      <c r="R3225" s="32">
        <v>0.193</v>
      </c>
      <c r="S3225" s="47">
        <v>6.2619999999999996</v>
      </c>
      <c r="T3225" s="31">
        <v>0</v>
      </c>
      <c r="V3225">
        <v>3223</v>
      </c>
      <c r="W3225">
        <v>46</v>
      </c>
      <c r="X3225">
        <v>3.2639999999999998</v>
      </c>
      <c r="Y3225" s="32">
        <v>6.14</v>
      </c>
      <c r="Z3225">
        <v>0</v>
      </c>
      <c r="AA3225" s="32">
        <v>1.7669999999999999</v>
      </c>
      <c r="AB3225">
        <v>0</v>
      </c>
      <c r="AC3225" s="34">
        <v>0.22900000000000001</v>
      </c>
      <c r="AD3225" s="32">
        <v>5.7670000000000003</v>
      </c>
    </row>
    <row r="3226" spans="1:30">
      <c r="A3226">
        <v>3224</v>
      </c>
      <c r="B3226">
        <v>50</v>
      </c>
      <c r="C3226">
        <v>3.2530000000000001</v>
      </c>
      <c r="D3226">
        <v>6.14</v>
      </c>
      <c r="E3226">
        <v>0</v>
      </c>
      <c r="F3226">
        <v>1.925</v>
      </c>
      <c r="G3226">
        <v>0</v>
      </c>
      <c r="H3226">
        <v>0.193</v>
      </c>
      <c r="I3226">
        <v>6.2919999999999998</v>
      </c>
      <c r="K3226">
        <v>3224</v>
      </c>
      <c r="L3226">
        <v>50</v>
      </c>
      <c r="M3226" s="32">
        <v>3.2530000000000001</v>
      </c>
      <c r="N3226" s="32">
        <v>6.14</v>
      </c>
      <c r="P3226" s="47">
        <v>1.9259999999999999</v>
      </c>
      <c r="R3226" s="32">
        <v>0.193</v>
      </c>
      <c r="S3226" s="47">
        <v>6.2649999999999997</v>
      </c>
      <c r="T3226" s="31">
        <v>0</v>
      </c>
      <c r="V3226">
        <v>3224</v>
      </c>
      <c r="W3226">
        <v>46</v>
      </c>
      <c r="X3226">
        <v>3.2650000000000001</v>
      </c>
      <c r="Y3226" s="32">
        <v>6.14</v>
      </c>
      <c r="Z3226">
        <v>0</v>
      </c>
      <c r="AA3226" s="32">
        <v>1.7669999999999999</v>
      </c>
      <c r="AB3226">
        <v>0</v>
      </c>
      <c r="AC3226" s="34">
        <v>0.22900000000000001</v>
      </c>
      <c r="AD3226" s="32">
        <v>5.7690000000000001</v>
      </c>
    </row>
    <row r="3227" spans="1:30">
      <c r="A3227">
        <v>3225</v>
      </c>
      <c r="B3227">
        <v>50</v>
      </c>
      <c r="C3227">
        <v>3.254</v>
      </c>
      <c r="D3227">
        <v>6.14</v>
      </c>
      <c r="E3227">
        <v>0</v>
      </c>
      <c r="F3227">
        <v>1.925</v>
      </c>
      <c r="G3227">
        <v>0</v>
      </c>
      <c r="H3227">
        <v>0.193</v>
      </c>
      <c r="I3227">
        <v>6.2949999999999999</v>
      </c>
      <c r="K3227">
        <v>3225</v>
      </c>
      <c r="L3227">
        <v>50</v>
      </c>
      <c r="M3227" s="32">
        <v>3.254</v>
      </c>
      <c r="N3227" s="32">
        <v>6.14</v>
      </c>
      <c r="P3227" s="47">
        <v>1.9259999999999999</v>
      </c>
      <c r="R3227" s="32">
        <v>0.193</v>
      </c>
      <c r="S3227" s="47">
        <v>6.2679999999999998</v>
      </c>
      <c r="T3227" s="31">
        <v>0</v>
      </c>
      <c r="V3227">
        <v>3225</v>
      </c>
      <c r="W3227">
        <v>46</v>
      </c>
      <c r="X3227">
        <v>3.266</v>
      </c>
      <c r="Y3227" s="32">
        <v>6.14</v>
      </c>
      <c r="Z3227">
        <v>0</v>
      </c>
      <c r="AA3227" s="32">
        <v>1.7669999999999999</v>
      </c>
      <c r="AB3227">
        <v>0</v>
      </c>
      <c r="AC3227" s="34">
        <v>0.22900000000000001</v>
      </c>
      <c r="AD3227" s="32">
        <v>5.7720000000000002</v>
      </c>
    </row>
    <row r="3228" spans="1:30">
      <c r="A3228">
        <v>3226</v>
      </c>
      <c r="B3228">
        <v>50</v>
      </c>
      <c r="C3228">
        <v>3.2549999999999999</v>
      </c>
      <c r="D3228">
        <v>6.14</v>
      </c>
      <c r="E3228">
        <v>0</v>
      </c>
      <c r="F3228">
        <v>1.925</v>
      </c>
      <c r="G3228">
        <v>0</v>
      </c>
      <c r="H3228">
        <v>0.193</v>
      </c>
      <c r="I3228">
        <v>6.298</v>
      </c>
      <c r="K3228">
        <v>3226</v>
      </c>
      <c r="L3228">
        <v>50</v>
      </c>
      <c r="M3228" s="32">
        <v>3.2549999999999999</v>
      </c>
      <c r="N3228" s="32">
        <v>6.14</v>
      </c>
      <c r="P3228" s="47">
        <v>1.927</v>
      </c>
      <c r="R3228" s="32">
        <v>0.193</v>
      </c>
      <c r="S3228" s="47">
        <v>6.2709999999999999</v>
      </c>
      <c r="T3228" s="31">
        <v>0</v>
      </c>
      <c r="V3228">
        <v>3226</v>
      </c>
      <c r="W3228">
        <v>46</v>
      </c>
      <c r="X3228">
        <v>3.2669999999999999</v>
      </c>
      <c r="Y3228" s="32">
        <v>6.14</v>
      </c>
      <c r="Z3228">
        <v>0</v>
      </c>
      <c r="AA3228" s="32">
        <v>1.7669999999999999</v>
      </c>
      <c r="AB3228">
        <v>0</v>
      </c>
      <c r="AC3228" s="34">
        <v>0.22900000000000001</v>
      </c>
      <c r="AD3228" s="32">
        <v>5.774</v>
      </c>
    </row>
    <row r="3229" spans="1:30">
      <c r="A3229">
        <v>3227</v>
      </c>
      <c r="B3229">
        <v>50</v>
      </c>
      <c r="C3229">
        <v>3.2559999999999998</v>
      </c>
      <c r="D3229">
        <v>6.14</v>
      </c>
      <c r="E3229">
        <v>0</v>
      </c>
      <c r="F3229">
        <v>1.925</v>
      </c>
      <c r="G3229">
        <v>0</v>
      </c>
      <c r="H3229">
        <v>0.193</v>
      </c>
      <c r="I3229">
        <v>6.3010000000000002</v>
      </c>
      <c r="K3229">
        <v>3227</v>
      </c>
      <c r="L3229">
        <v>50</v>
      </c>
      <c r="M3229" s="32">
        <v>3.2559999999999998</v>
      </c>
      <c r="N3229" s="32">
        <v>6.14</v>
      </c>
      <c r="P3229" s="47">
        <v>1.927</v>
      </c>
      <c r="R3229" s="32">
        <v>0.193</v>
      </c>
      <c r="S3229" s="47">
        <v>6.2729999999999997</v>
      </c>
      <c r="T3229" s="31">
        <v>0</v>
      </c>
      <c r="V3229">
        <v>3227</v>
      </c>
      <c r="W3229">
        <v>46</v>
      </c>
      <c r="X3229">
        <v>3.2679999999999998</v>
      </c>
      <c r="Y3229" s="32">
        <v>6.14</v>
      </c>
      <c r="Z3229">
        <v>0</v>
      </c>
      <c r="AA3229" s="32">
        <v>1.7669999999999999</v>
      </c>
      <c r="AB3229">
        <v>0</v>
      </c>
      <c r="AC3229" s="34">
        <v>0.22900000000000001</v>
      </c>
      <c r="AD3229" s="32">
        <v>5.7770000000000001</v>
      </c>
    </row>
    <row r="3230" spans="1:30">
      <c r="A3230">
        <v>3228</v>
      </c>
      <c r="B3230">
        <v>50</v>
      </c>
      <c r="C3230">
        <v>3.2570000000000001</v>
      </c>
      <c r="D3230">
        <v>6.14</v>
      </c>
      <c r="E3230">
        <v>0</v>
      </c>
      <c r="F3230">
        <v>1.925</v>
      </c>
      <c r="G3230">
        <v>0</v>
      </c>
      <c r="H3230">
        <v>0.193</v>
      </c>
      <c r="I3230">
        <v>6.3029999999999999</v>
      </c>
      <c r="K3230">
        <v>3228</v>
      </c>
      <c r="L3230">
        <v>50</v>
      </c>
      <c r="M3230" s="32">
        <v>3.2570000000000001</v>
      </c>
      <c r="N3230" s="32">
        <v>6.14</v>
      </c>
      <c r="P3230" s="47">
        <v>1.927</v>
      </c>
      <c r="R3230" s="32">
        <v>0.193</v>
      </c>
      <c r="S3230" s="47">
        <v>6.2759999999999998</v>
      </c>
      <c r="T3230" s="31">
        <v>0</v>
      </c>
      <c r="V3230">
        <v>3228</v>
      </c>
      <c r="W3230">
        <v>46</v>
      </c>
      <c r="X3230">
        <v>3.2690000000000001</v>
      </c>
      <c r="Y3230" s="32">
        <v>6.14</v>
      </c>
      <c r="Z3230">
        <v>0</v>
      </c>
      <c r="AA3230" s="32">
        <v>1.768</v>
      </c>
      <c r="AB3230">
        <v>0</v>
      </c>
      <c r="AC3230" s="34">
        <v>0.22900000000000001</v>
      </c>
      <c r="AD3230" s="32">
        <v>5.7789999999999999</v>
      </c>
    </row>
    <row r="3231" spans="1:30">
      <c r="A3231">
        <v>3229</v>
      </c>
      <c r="B3231">
        <v>50</v>
      </c>
      <c r="C3231">
        <v>3.258</v>
      </c>
      <c r="D3231">
        <v>6.14</v>
      </c>
      <c r="E3231">
        <v>0</v>
      </c>
      <c r="F3231">
        <v>1.925</v>
      </c>
      <c r="G3231">
        <v>0</v>
      </c>
      <c r="H3231">
        <v>0.193</v>
      </c>
      <c r="I3231">
        <v>6.306</v>
      </c>
      <c r="K3231">
        <v>3229</v>
      </c>
      <c r="L3231">
        <v>50</v>
      </c>
      <c r="M3231" s="32">
        <v>3.258</v>
      </c>
      <c r="N3231" s="32">
        <v>6.14</v>
      </c>
      <c r="P3231" s="47">
        <v>1.927</v>
      </c>
      <c r="R3231" s="47">
        <v>0.19400000000000001</v>
      </c>
      <c r="S3231" s="47">
        <v>6.2789999999999999</v>
      </c>
      <c r="T3231" s="31">
        <v>0</v>
      </c>
      <c r="V3231">
        <v>3229</v>
      </c>
      <c r="W3231">
        <v>46</v>
      </c>
      <c r="X3231">
        <v>3.27</v>
      </c>
      <c r="Y3231" s="32">
        <v>6.14</v>
      </c>
      <c r="Z3231">
        <v>0</v>
      </c>
      <c r="AA3231" s="32">
        <v>1.768</v>
      </c>
      <c r="AB3231">
        <v>0</v>
      </c>
      <c r="AC3231" s="34">
        <v>0.22900000000000001</v>
      </c>
      <c r="AD3231" s="32">
        <v>5.782</v>
      </c>
    </row>
    <row r="3232" spans="1:30">
      <c r="A3232">
        <v>3230</v>
      </c>
      <c r="B3232">
        <v>50</v>
      </c>
      <c r="C3232">
        <v>3.2589999999999999</v>
      </c>
      <c r="D3232">
        <v>6.14</v>
      </c>
      <c r="E3232">
        <v>0</v>
      </c>
      <c r="F3232">
        <v>1.925</v>
      </c>
      <c r="G3232">
        <v>0</v>
      </c>
      <c r="H3232">
        <v>0.193</v>
      </c>
      <c r="I3232">
        <v>6.3090000000000002</v>
      </c>
      <c r="K3232">
        <v>3230</v>
      </c>
      <c r="L3232">
        <v>50</v>
      </c>
      <c r="M3232" s="32">
        <v>3.2589999999999999</v>
      </c>
      <c r="N3232" s="32">
        <v>6.14</v>
      </c>
      <c r="P3232" s="47">
        <v>1.9279999999999999</v>
      </c>
      <c r="R3232" s="47">
        <v>0.19400000000000001</v>
      </c>
      <c r="S3232" s="47">
        <v>6.282</v>
      </c>
      <c r="T3232" s="31">
        <v>0</v>
      </c>
      <c r="V3232">
        <v>3230</v>
      </c>
      <c r="W3232">
        <v>46</v>
      </c>
      <c r="X3232">
        <v>3.2709999999999999</v>
      </c>
      <c r="Y3232" s="32">
        <v>6.14</v>
      </c>
      <c r="Z3232">
        <v>0</v>
      </c>
      <c r="AA3232" s="32">
        <v>1.768</v>
      </c>
      <c r="AB3232">
        <v>0</v>
      </c>
      <c r="AC3232" s="34">
        <v>0.22900000000000001</v>
      </c>
      <c r="AD3232" s="32">
        <v>5.7839999999999998</v>
      </c>
    </row>
    <row r="3233" spans="1:30">
      <c r="A3233">
        <v>3231</v>
      </c>
      <c r="B3233">
        <v>50</v>
      </c>
      <c r="C3233">
        <v>3.26</v>
      </c>
      <c r="D3233">
        <v>6.14</v>
      </c>
      <c r="E3233">
        <v>0</v>
      </c>
      <c r="F3233">
        <v>1.9279999999999999</v>
      </c>
      <c r="G3233">
        <v>0</v>
      </c>
      <c r="H3233">
        <v>0.193</v>
      </c>
      <c r="I3233">
        <v>6.2850000000000001</v>
      </c>
      <c r="K3233">
        <v>3231</v>
      </c>
      <c r="L3233">
        <v>50</v>
      </c>
      <c r="M3233" s="32">
        <v>3.26</v>
      </c>
      <c r="N3233" s="32">
        <v>6.14</v>
      </c>
      <c r="P3233" s="32">
        <v>1.9279999999999999</v>
      </c>
      <c r="R3233" s="47">
        <v>0.19400000000000001</v>
      </c>
      <c r="S3233" s="32">
        <v>6.2850000000000001</v>
      </c>
      <c r="T3233" s="31">
        <v>0</v>
      </c>
      <c r="V3233">
        <v>3231</v>
      </c>
      <c r="W3233">
        <v>46</v>
      </c>
      <c r="X3233">
        <v>3.2719999999999998</v>
      </c>
      <c r="Y3233" s="32">
        <v>6.14</v>
      </c>
      <c r="Z3233">
        <v>0</v>
      </c>
      <c r="AA3233" s="32">
        <v>1.768</v>
      </c>
      <c r="AB3233">
        <v>0</v>
      </c>
      <c r="AC3233" s="34">
        <v>0.22900000000000001</v>
      </c>
      <c r="AD3233" s="32">
        <v>5.7869999999999999</v>
      </c>
    </row>
    <row r="3234" spans="1:30">
      <c r="A3234">
        <v>3232</v>
      </c>
      <c r="B3234">
        <v>50</v>
      </c>
      <c r="C3234">
        <v>3.2610000000000001</v>
      </c>
      <c r="D3234">
        <v>6.14</v>
      </c>
      <c r="E3234">
        <v>0</v>
      </c>
      <c r="F3234">
        <v>1.9279999999999999</v>
      </c>
      <c r="G3234">
        <v>0</v>
      </c>
      <c r="H3234">
        <v>0.193</v>
      </c>
      <c r="I3234">
        <v>6.3440000000000003</v>
      </c>
      <c r="K3234">
        <v>3232</v>
      </c>
      <c r="L3234">
        <v>50</v>
      </c>
      <c r="M3234" s="32">
        <v>3.2610000000000001</v>
      </c>
      <c r="N3234" s="32">
        <v>6.14</v>
      </c>
      <c r="P3234" s="32">
        <v>1.9279999999999999</v>
      </c>
      <c r="R3234" s="47">
        <v>0.19400000000000001</v>
      </c>
      <c r="S3234" s="47">
        <v>6.2880000000000003</v>
      </c>
      <c r="T3234" s="31">
        <v>0</v>
      </c>
      <c r="V3234">
        <v>3232</v>
      </c>
      <c r="W3234">
        <v>46</v>
      </c>
      <c r="X3234">
        <v>3.2730000000000001</v>
      </c>
      <c r="Y3234" s="32">
        <v>6.14</v>
      </c>
      <c r="Z3234">
        <v>0</v>
      </c>
      <c r="AA3234" s="32">
        <v>1.768</v>
      </c>
      <c r="AB3234">
        <v>0</v>
      </c>
      <c r="AC3234" s="34">
        <v>0.22900000000000001</v>
      </c>
      <c r="AD3234" s="32">
        <v>5.7889999999999997</v>
      </c>
    </row>
    <row r="3235" spans="1:30">
      <c r="A3235">
        <v>3233</v>
      </c>
      <c r="B3235">
        <v>50</v>
      </c>
      <c r="C3235">
        <v>3.262</v>
      </c>
      <c r="D3235">
        <v>6.14</v>
      </c>
      <c r="E3235">
        <v>0</v>
      </c>
      <c r="F3235">
        <v>1.9279999999999999</v>
      </c>
      <c r="G3235">
        <v>0</v>
      </c>
      <c r="H3235">
        <v>0.193</v>
      </c>
      <c r="I3235">
        <v>6.3460000000000001</v>
      </c>
      <c r="K3235">
        <v>3233</v>
      </c>
      <c r="L3235">
        <v>50</v>
      </c>
      <c r="M3235" s="32">
        <v>3.262</v>
      </c>
      <c r="N3235" s="32">
        <v>6.14</v>
      </c>
      <c r="P3235" s="47">
        <v>1.929</v>
      </c>
      <c r="R3235" s="47">
        <v>0.19400000000000001</v>
      </c>
      <c r="S3235" s="47">
        <v>6.2910000000000004</v>
      </c>
      <c r="T3235" s="31">
        <v>0</v>
      </c>
      <c r="V3235">
        <v>3233</v>
      </c>
      <c r="W3235">
        <v>46</v>
      </c>
      <c r="X3235">
        <v>3.274</v>
      </c>
      <c r="Y3235" s="32">
        <v>6.14</v>
      </c>
      <c r="Z3235">
        <v>0</v>
      </c>
      <c r="AA3235" s="32">
        <v>1.7689999999999999</v>
      </c>
      <c r="AB3235">
        <v>0</v>
      </c>
      <c r="AC3235" s="34">
        <v>0.22900000000000001</v>
      </c>
      <c r="AD3235" s="32">
        <v>5.7919999999999998</v>
      </c>
    </row>
    <row r="3236" spans="1:30">
      <c r="A3236">
        <v>3234</v>
      </c>
      <c r="B3236">
        <v>50</v>
      </c>
      <c r="C3236">
        <v>3.2629999999999999</v>
      </c>
      <c r="D3236">
        <v>6.14</v>
      </c>
      <c r="E3236">
        <v>0</v>
      </c>
      <c r="F3236">
        <v>1.9279999999999999</v>
      </c>
      <c r="G3236">
        <v>0</v>
      </c>
      <c r="H3236">
        <v>0.193</v>
      </c>
      <c r="I3236">
        <v>6.3490000000000002</v>
      </c>
      <c r="K3236">
        <v>3234</v>
      </c>
      <c r="L3236">
        <v>50</v>
      </c>
      <c r="M3236" s="32">
        <v>3.2629999999999999</v>
      </c>
      <c r="N3236" s="32">
        <v>6.14</v>
      </c>
      <c r="P3236" s="47">
        <v>1.929</v>
      </c>
      <c r="R3236" s="47">
        <v>0.19400000000000001</v>
      </c>
      <c r="S3236" s="47">
        <v>6.2939999999999996</v>
      </c>
      <c r="T3236" s="31">
        <v>0</v>
      </c>
      <c r="V3236">
        <v>3234</v>
      </c>
      <c r="W3236">
        <v>46</v>
      </c>
      <c r="X3236">
        <v>3.2749999999999999</v>
      </c>
      <c r="Y3236" s="32">
        <v>6.14</v>
      </c>
      <c r="Z3236">
        <v>0</v>
      </c>
      <c r="AA3236" s="32">
        <v>1.7689999999999999</v>
      </c>
      <c r="AB3236">
        <v>0</v>
      </c>
      <c r="AC3236" s="34">
        <v>0.22900000000000001</v>
      </c>
      <c r="AD3236" s="32">
        <v>5.7939999999999996</v>
      </c>
    </row>
    <row r="3237" spans="1:30">
      <c r="A3237">
        <v>3235</v>
      </c>
      <c r="B3237">
        <v>50</v>
      </c>
      <c r="C3237">
        <v>3.2639999999999998</v>
      </c>
      <c r="D3237">
        <v>6.14</v>
      </c>
      <c r="E3237">
        <v>0</v>
      </c>
      <c r="F3237">
        <v>1.9279999999999999</v>
      </c>
      <c r="G3237">
        <v>0</v>
      </c>
      <c r="H3237">
        <v>0.193</v>
      </c>
      <c r="I3237">
        <v>6.3520000000000003</v>
      </c>
      <c r="K3237">
        <v>3235</v>
      </c>
      <c r="L3237">
        <v>50</v>
      </c>
      <c r="M3237" s="32">
        <v>3.2639999999999998</v>
      </c>
      <c r="N3237" s="32">
        <v>6.14</v>
      </c>
      <c r="P3237" s="47">
        <v>1.929</v>
      </c>
      <c r="R3237" s="47">
        <v>0.19400000000000001</v>
      </c>
      <c r="S3237" s="47">
        <v>6.2969999999999997</v>
      </c>
      <c r="T3237" s="31">
        <v>0</v>
      </c>
      <c r="V3237">
        <v>3235</v>
      </c>
      <c r="W3237">
        <v>46</v>
      </c>
      <c r="X3237">
        <v>3.2759999999999998</v>
      </c>
      <c r="Y3237" s="32">
        <v>6.14</v>
      </c>
      <c r="Z3237">
        <v>0</v>
      </c>
      <c r="AA3237" s="32">
        <v>1.7689999999999999</v>
      </c>
      <c r="AB3237">
        <v>0</v>
      </c>
      <c r="AC3237" s="34">
        <v>0.22900000000000001</v>
      </c>
      <c r="AD3237" s="32">
        <v>5.7969999999999997</v>
      </c>
    </row>
    <row r="3238" spans="1:30">
      <c r="A3238">
        <v>3236</v>
      </c>
      <c r="B3238">
        <v>50</v>
      </c>
      <c r="C3238">
        <v>3.2650000000000001</v>
      </c>
      <c r="D3238">
        <v>6.14</v>
      </c>
      <c r="E3238">
        <v>0</v>
      </c>
      <c r="F3238">
        <v>1.9279999999999999</v>
      </c>
      <c r="G3238">
        <v>0</v>
      </c>
      <c r="H3238">
        <v>0.193</v>
      </c>
      <c r="I3238">
        <v>6.3550000000000004</v>
      </c>
      <c r="K3238">
        <v>3236</v>
      </c>
      <c r="L3238">
        <v>50</v>
      </c>
      <c r="M3238" s="32">
        <v>3.2650000000000001</v>
      </c>
      <c r="N3238" s="32">
        <v>6.14</v>
      </c>
      <c r="P3238" s="47">
        <v>1.93</v>
      </c>
      <c r="R3238" s="47">
        <v>0.19400000000000001</v>
      </c>
      <c r="S3238" s="47">
        <v>6.3</v>
      </c>
      <c r="T3238" s="31">
        <v>0</v>
      </c>
      <c r="V3238">
        <v>3236</v>
      </c>
      <c r="W3238">
        <v>46</v>
      </c>
      <c r="X3238">
        <v>3.2770000000000001</v>
      </c>
      <c r="Y3238" s="32">
        <v>6.14</v>
      </c>
      <c r="Z3238">
        <v>0</v>
      </c>
      <c r="AA3238" s="32">
        <v>1.7689999999999999</v>
      </c>
      <c r="AB3238">
        <v>0</v>
      </c>
      <c r="AC3238" s="34">
        <v>0.22900000000000001</v>
      </c>
      <c r="AD3238" s="32">
        <v>5.7990000000000004</v>
      </c>
    </row>
    <row r="3239" spans="1:30">
      <c r="A3239">
        <v>3237</v>
      </c>
      <c r="B3239">
        <v>50</v>
      </c>
      <c r="C3239">
        <v>3.266</v>
      </c>
      <c r="D3239">
        <v>6.14</v>
      </c>
      <c r="E3239">
        <v>0</v>
      </c>
      <c r="F3239">
        <v>1.9279999999999999</v>
      </c>
      <c r="G3239">
        <v>0</v>
      </c>
      <c r="H3239">
        <v>0.193</v>
      </c>
      <c r="I3239">
        <v>6.3570000000000002</v>
      </c>
      <c r="K3239">
        <v>3237</v>
      </c>
      <c r="L3239">
        <v>50</v>
      </c>
      <c r="M3239" s="32">
        <v>3.266</v>
      </c>
      <c r="N3239" s="32">
        <v>6.14</v>
      </c>
      <c r="P3239" s="47">
        <v>1.93</v>
      </c>
      <c r="R3239" s="47">
        <v>0.19400000000000001</v>
      </c>
      <c r="S3239" s="47">
        <v>6.3019999999999996</v>
      </c>
      <c r="T3239" s="31">
        <v>0</v>
      </c>
      <c r="V3239">
        <v>3237</v>
      </c>
      <c r="W3239">
        <v>46</v>
      </c>
      <c r="X3239">
        <v>3.278</v>
      </c>
      <c r="Y3239" s="32">
        <v>6.14</v>
      </c>
      <c r="Z3239">
        <v>0</v>
      </c>
      <c r="AA3239" s="32">
        <v>1.77</v>
      </c>
      <c r="AB3239">
        <v>0</v>
      </c>
      <c r="AC3239" s="34">
        <v>0.22900000000000001</v>
      </c>
      <c r="AD3239" s="32">
        <v>5.8019999999999996</v>
      </c>
    </row>
    <row r="3240" spans="1:30">
      <c r="A3240">
        <v>3238</v>
      </c>
      <c r="B3240">
        <v>50</v>
      </c>
      <c r="C3240">
        <v>3.2669999999999999</v>
      </c>
      <c r="D3240">
        <v>6.14</v>
      </c>
      <c r="E3240">
        <v>0</v>
      </c>
      <c r="F3240">
        <v>1.9279999999999999</v>
      </c>
      <c r="G3240">
        <v>0</v>
      </c>
      <c r="H3240">
        <v>0.193</v>
      </c>
      <c r="I3240">
        <v>6.36</v>
      </c>
      <c r="K3240">
        <v>3238</v>
      </c>
      <c r="L3240">
        <v>50</v>
      </c>
      <c r="M3240" s="32">
        <v>3.2669999999999999</v>
      </c>
      <c r="N3240" s="32">
        <v>6.14</v>
      </c>
      <c r="P3240" s="47">
        <v>1.93</v>
      </c>
      <c r="R3240" s="47">
        <v>0.19400000000000001</v>
      </c>
      <c r="S3240" s="47">
        <v>6.3049999999999997</v>
      </c>
      <c r="T3240" s="31">
        <v>0</v>
      </c>
      <c r="V3240">
        <v>3238</v>
      </c>
      <c r="W3240">
        <v>46</v>
      </c>
      <c r="X3240">
        <v>3.2789999999999999</v>
      </c>
      <c r="Y3240" s="32">
        <v>6.14</v>
      </c>
      <c r="Z3240">
        <v>0</v>
      </c>
      <c r="AA3240" s="32">
        <v>1.77</v>
      </c>
      <c r="AB3240">
        <v>0</v>
      </c>
      <c r="AC3240" s="34">
        <v>0.22900000000000001</v>
      </c>
      <c r="AD3240" s="32">
        <v>5.8040000000000003</v>
      </c>
    </row>
    <row r="3241" spans="1:30">
      <c r="A3241">
        <v>3239</v>
      </c>
      <c r="B3241">
        <v>50</v>
      </c>
      <c r="C3241">
        <v>3.2679999999999998</v>
      </c>
      <c r="D3241">
        <v>6.14</v>
      </c>
      <c r="E3241">
        <v>0</v>
      </c>
      <c r="F3241">
        <v>1.9279999999999999</v>
      </c>
      <c r="G3241">
        <v>0</v>
      </c>
      <c r="H3241">
        <v>0.193</v>
      </c>
      <c r="I3241">
        <v>6.3630000000000004</v>
      </c>
      <c r="K3241">
        <v>3239</v>
      </c>
      <c r="L3241">
        <v>50</v>
      </c>
      <c r="M3241" s="32">
        <v>3.2679999999999998</v>
      </c>
      <c r="N3241" s="32">
        <v>6.14</v>
      </c>
      <c r="P3241" s="47">
        <v>1.93</v>
      </c>
      <c r="R3241" s="47">
        <v>0.19400000000000001</v>
      </c>
      <c r="S3241" s="47">
        <v>6.3079999999999998</v>
      </c>
      <c r="T3241" s="31">
        <v>0</v>
      </c>
      <c r="V3241">
        <v>3239</v>
      </c>
      <c r="W3241">
        <v>46</v>
      </c>
      <c r="X3241">
        <v>3.28</v>
      </c>
      <c r="Y3241" s="32">
        <v>6.14</v>
      </c>
      <c r="Z3241">
        <v>0</v>
      </c>
      <c r="AA3241" s="32">
        <v>1.77</v>
      </c>
      <c r="AB3241">
        <v>0</v>
      </c>
      <c r="AC3241" s="34">
        <v>0.22900000000000001</v>
      </c>
      <c r="AD3241" s="32">
        <v>5.8070000000000004</v>
      </c>
    </row>
    <row r="3242" spans="1:30">
      <c r="A3242">
        <v>3240</v>
      </c>
      <c r="B3242">
        <v>50</v>
      </c>
      <c r="C3242">
        <v>3.2690000000000001</v>
      </c>
      <c r="D3242">
        <v>6.14</v>
      </c>
      <c r="E3242">
        <v>0</v>
      </c>
      <c r="F3242">
        <v>1.9279999999999999</v>
      </c>
      <c r="G3242">
        <v>0</v>
      </c>
      <c r="H3242">
        <v>0.193</v>
      </c>
      <c r="I3242">
        <v>6.3659999999999997</v>
      </c>
      <c r="K3242">
        <v>3240</v>
      </c>
      <c r="L3242">
        <v>50</v>
      </c>
      <c r="M3242" s="32">
        <v>3.2690000000000001</v>
      </c>
      <c r="N3242" s="32">
        <v>6.14</v>
      </c>
      <c r="P3242" s="47">
        <v>1.931</v>
      </c>
      <c r="R3242" s="47">
        <v>0.19400000000000001</v>
      </c>
      <c r="S3242" s="47">
        <v>6.3109999999999999</v>
      </c>
      <c r="T3242" s="31">
        <v>0</v>
      </c>
      <c r="V3242">
        <v>3240</v>
      </c>
      <c r="W3242">
        <v>46</v>
      </c>
      <c r="X3242">
        <v>3.2810000000000001</v>
      </c>
      <c r="Y3242" s="32">
        <v>6.14</v>
      </c>
      <c r="Z3242">
        <v>0</v>
      </c>
      <c r="AA3242" s="32">
        <v>1.77</v>
      </c>
      <c r="AB3242">
        <v>0</v>
      </c>
      <c r="AC3242" s="34">
        <v>0.22900000000000001</v>
      </c>
      <c r="AD3242" s="32">
        <v>5.8090000000000002</v>
      </c>
    </row>
    <row r="3243" spans="1:30">
      <c r="A3243">
        <v>3241</v>
      </c>
      <c r="B3243">
        <v>50</v>
      </c>
      <c r="C3243">
        <v>3.27</v>
      </c>
      <c r="D3243">
        <v>6.14</v>
      </c>
      <c r="E3243">
        <v>0</v>
      </c>
      <c r="F3243">
        <v>1.931</v>
      </c>
      <c r="G3243">
        <v>0</v>
      </c>
      <c r="H3243">
        <v>0.193</v>
      </c>
      <c r="I3243">
        <v>6.3140000000000001</v>
      </c>
      <c r="K3243">
        <v>3241</v>
      </c>
      <c r="L3243">
        <v>50</v>
      </c>
      <c r="M3243" s="32">
        <v>3.27</v>
      </c>
      <c r="N3243" s="32">
        <v>6.14</v>
      </c>
      <c r="P3243" s="32">
        <v>1.931</v>
      </c>
      <c r="R3243" s="47">
        <v>0.19400000000000001</v>
      </c>
      <c r="S3243" s="32">
        <v>6.3140000000000001</v>
      </c>
      <c r="T3243" s="31">
        <v>0</v>
      </c>
      <c r="V3243">
        <v>3241</v>
      </c>
      <c r="W3243">
        <v>46</v>
      </c>
      <c r="X3243">
        <v>3.282</v>
      </c>
      <c r="Y3243" s="32">
        <v>6.14</v>
      </c>
      <c r="Z3243">
        <v>0</v>
      </c>
      <c r="AA3243" s="32">
        <v>1.77</v>
      </c>
      <c r="AB3243">
        <v>0</v>
      </c>
      <c r="AC3243" s="34">
        <v>0.22900000000000001</v>
      </c>
      <c r="AD3243" s="32">
        <v>5.8120000000000003</v>
      </c>
    </row>
    <row r="3244" spans="1:30">
      <c r="A3244">
        <v>3242</v>
      </c>
      <c r="B3244">
        <v>50</v>
      </c>
      <c r="C3244">
        <v>3.2709999999999999</v>
      </c>
      <c r="D3244">
        <v>6.14</v>
      </c>
      <c r="E3244">
        <v>0</v>
      </c>
      <c r="F3244">
        <v>1.931</v>
      </c>
      <c r="G3244">
        <v>0</v>
      </c>
      <c r="H3244">
        <v>0.193</v>
      </c>
      <c r="I3244">
        <v>6.4</v>
      </c>
      <c r="K3244">
        <v>3242</v>
      </c>
      <c r="L3244">
        <v>50</v>
      </c>
      <c r="M3244" s="32">
        <v>3.2709999999999999</v>
      </c>
      <c r="N3244" s="32">
        <v>6.14</v>
      </c>
      <c r="P3244" s="32">
        <v>1.931</v>
      </c>
      <c r="R3244" s="47">
        <v>0.19400000000000001</v>
      </c>
      <c r="S3244" s="47">
        <v>6.3170000000000002</v>
      </c>
      <c r="T3244" s="31">
        <v>0</v>
      </c>
      <c r="V3244">
        <v>3242</v>
      </c>
      <c r="W3244">
        <v>46</v>
      </c>
      <c r="X3244">
        <v>3.2829999999999999</v>
      </c>
      <c r="Y3244" s="32">
        <v>6.14</v>
      </c>
      <c r="Z3244">
        <v>0</v>
      </c>
      <c r="AA3244" s="32">
        <v>1.7709999999999999</v>
      </c>
      <c r="AB3244">
        <v>0</v>
      </c>
      <c r="AC3244" s="34">
        <v>0.22900000000000001</v>
      </c>
      <c r="AD3244" s="32">
        <v>5.8140000000000001</v>
      </c>
    </row>
    <row r="3245" spans="1:30">
      <c r="A3245">
        <v>3243</v>
      </c>
      <c r="B3245">
        <v>50</v>
      </c>
      <c r="C3245">
        <v>3.2719999999999998</v>
      </c>
      <c r="D3245">
        <v>6.14</v>
      </c>
      <c r="E3245">
        <v>0</v>
      </c>
      <c r="F3245">
        <v>1.931</v>
      </c>
      <c r="G3245">
        <v>0</v>
      </c>
      <c r="H3245">
        <v>0.193</v>
      </c>
      <c r="I3245">
        <v>6.4029999999999996</v>
      </c>
      <c r="K3245">
        <v>3243</v>
      </c>
      <c r="L3245">
        <v>50</v>
      </c>
      <c r="M3245" s="32">
        <v>3.2719999999999998</v>
      </c>
      <c r="N3245" s="32">
        <v>6.14</v>
      </c>
      <c r="P3245" s="47">
        <v>1.9319999999999999</v>
      </c>
      <c r="R3245" s="47">
        <v>0.19400000000000001</v>
      </c>
      <c r="S3245" s="47">
        <v>6.32</v>
      </c>
      <c r="T3245" s="31">
        <v>0</v>
      </c>
      <c r="V3245">
        <v>3243</v>
      </c>
      <c r="W3245">
        <v>46</v>
      </c>
      <c r="X3245">
        <v>3.2839999999999998</v>
      </c>
      <c r="Y3245" s="32">
        <v>6.14</v>
      </c>
      <c r="Z3245">
        <v>0</v>
      </c>
      <c r="AA3245" s="32">
        <v>1.7709999999999999</v>
      </c>
      <c r="AB3245">
        <v>0</v>
      </c>
      <c r="AC3245" s="34">
        <v>0.22900000000000001</v>
      </c>
      <c r="AD3245" s="32">
        <v>5.8170000000000002</v>
      </c>
    </row>
    <row r="3246" spans="1:30">
      <c r="A3246">
        <v>3244</v>
      </c>
      <c r="B3246">
        <v>50</v>
      </c>
      <c r="C3246">
        <v>3.2730000000000001</v>
      </c>
      <c r="D3246">
        <v>6.14</v>
      </c>
      <c r="E3246">
        <v>0</v>
      </c>
      <c r="F3246">
        <v>1.931</v>
      </c>
      <c r="G3246">
        <v>0</v>
      </c>
      <c r="H3246">
        <v>0.193</v>
      </c>
      <c r="I3246">
        <v>6.4059999999999997</v>
      </c>
      <c r="K3246">
        <v>3244</v>
      </c>
      <c r="L3246">
        <v>50</v>
      </c>
      <c r="M3246" s="32">
        <v>3.2730000000000001</v>
      </c>
      <c r="N3246" s="32">
        <v>6.14</v>
      </c>
      <c r="P3246" s="47">
        <v>1.9319999999999999</v>
      </c>
      <c r="R3246" s="47">
        <v>0.19400000000000001</v>
      </c>
      <c r="S3246" s="47">
        <v>6.3230000000000004</v>
      </c>
      <c r="T3246" s="31">
        <v>0</v>
      </c>
      <c r="V3246">
        <v>3244</v>
      </c>
      <c r="W3246">
        <v>46</v>
      </c>
      <c r="X3246">
        <v>3.2850000000000001</v>
      </c>
      <c r="Y3246" s="32">
        <v>6.14</v>
      </c>
      <c r="Z3246">
        <v>0</v>
      </c>
      <c r="AA3246" s="32">
        <v>1.7709999999999999</v>
      </c>
      <c r="AB3246">
        <v>0</v>
      </c>
      <c r="AC3246" s="34">
        <v>0.22900000000000001</v>
      </c>
      <c r="AD3246" s="32">
        <v>5.819</v>
      </c>
    </row>
    <row r="3247" spans="1:30">
      <c r="A3247">
        <v>3245</v>
      </c>
      <c r="B3247">
        <v>50</v>
      </c>
      <c r="C3247">
        <v>3.274</v>
      </c>
      <c r="D3247">
        <v>6.14</v>
      </c>
      <c r="E3247">
        <v>0</v>
      </c>
      <c r="F3247">
        <v>1.931</v>
      </c>
      <c r="G3247">
        <v>0</v>
      </c>
      <c r="H3247">
        <v>0.193</v>
      </c>
      <c r="I3247">
        <v>6.4089999999999998</v>
      </c>
      <c r="K3247">
        <v>3245</v>
      </c>
      <c r="L3247">
        <v>50</v>
      </c>
      <c r="M3247" s="32">
        <v>3.274</v>
      </c>
      <c r="N3247" s="32">
        <v>6.14</v>
      </c>
      <c r="P3247" s="47">
        <v>1.9319999999999999</v>
      </c>
      <c r="R3247" s="47">
        <v>0.19400000000000001</v>
      </c>
      <c r="S3247" s="47">
        <v>6.3259999999999996</v>
      </c>
      <c r="T3247" s="31">
        <v>0</v>
      </c>
      <c r="V3247">
        <v>3245</v>
      </c>
      <c r="W3247">
        <v>46</v>
      </c>
      <c r="X3247">
        <v>3.286</v>
      </c>
      <c r="Y3247" s="32">
        <v>6.14</v>
      </c>
      <c r="Z3247">
        <v>0</v>
      </c>
      <c r="AA3247" s="32">
        <v>1.7709999999999999</v>
      </c>
      <c r="AB3247">
        <v>0</v>
      </c>
      <c r="AC3247" s="34">
        <v>0.22900000000000001</v>
      </c>
      <c r="AD3247" s="32">
        <v>5.8220000000000001</v>
      </c>
    </row>
    <row r="3248" spans="1:30">
      <c r="A3248">
        <v>3246</v>
      </c>
      <c r="B3248">
        <v>50</v>
      </c>
      <c r="C3248">
        <v>3.2749999999999999</v>
      </c>
      <c r="D3248">
        <v>6.14</v>
      </c>
      <c r="E3248">
        <v>0</v>
      </c>
      <c r="F3248">
        <v>1.931</v>
      </c>
      <c r="G3248">
        <v>0</v>
      </c>
      <c r="H3248">
        <v>0.193</v>
      </c>
      <c r="I3248">
        <v>6.4119999999999999</v>
      </c>
      <c r="K3248">
        <v>3246</v>
      </c>
      <c r="L3248">
        <v>50</v>
      </c>
      <c r="M3248" s="32">
        <v>3.2749999999999999</v>
      </c>
      <c r="N3248" s="32">
        <v>6.14</v>
      </c>
      <c r="P3248" s="47">
        <v>1.9330000000000001</v>
      </c>
      <c r="R3248" s="47">
        <v>0.19400000000000001</v>
      </c>
      <c r="S3248" s="47">
        <v>6.3289999999999997</v>
      </c>
      <c r="T3248" s="31">
        <v>0</v>
      </c>
      <c r="V3248">
        <v>3246</v>
      </c>
      <c r="W3248">
        <v>46</v>
      </c>
      <c r="X3248">
        <v>3.2869999999999999</v>
      </c>
      <c r="Y3248" s="32">
        <v>6.14</v>
      </c>
      <c r="Z3248">
        <v>0</v>
      </c>
      <c r="AA3248" s="32">
        <v>1.7709999999999999</v>
      </c>
      <c r="AB3248">
        <v>0</v>
      </c>
      <c r="AC3248" s="34">
        <v>0.22900000000000001</v>
      </c>
      <c r="AD3248" s="32">
        <v>5.8239999999999998</v>
      </c>
    </row>
    <row r="3249" spans="1:30">
      <c r="A3249">
        <v>3247</v>
      </c>
      <c r="B3249">
        <v>50</v>
      </c>
      <c r="C3249">
        <v>3.2759999999999998</v>
      </c>
      <c r="D3249">
        <v>6.14</v>
      </c>
      <c r="E3249">
        <v>0</v>
      </c>
      <c r="F3249">
        <v>1.931</v>
      </c>
      <c r="G3249">
        <v>0</v>
      </c>
      <c r="H3249">
        <v>0.193</v>
      </c>
      <c r="I3249">
        <v>6.4139999999999997</v>
      </c>
      <c r="K3249">
        <v>3247</v>
      </c>
      <c r="L3249">
        <v>50</v>
      </c>
      <c r="M3249" s="32">
        <v>3.2759999999999998</v>
      </c>
      <c r="N3249" s="32">
        <v>6.14</v>
      </c>
      <c r="P3249" s="47">
        <v>1.9330000000000001</v>
      </c>
      <c r="R3249" s="47">
        <v>0.19400000000000001</v>
      </c>
      <c r="S3249" s="47">
        <v>6.3319999999999999</v>
      </c>
      <c r="T3249" s="31">
        <v>0</v>
      </c>
      <c r="V3249">
        <v>3247</v>
      </c>
      <c r="W3249">
        <v>46</v>
      </c>
      <c r="X3249">
        <v>3.2879999999999998</v>
      </c>
      <c r="Y3249" s="32">
        <v>6.14</v>
      </c>
      <c r="Z3249">
        <v>0</v>
      </c>
      <c r="AA3249" s="32">
        <v>1.772</v>
      </c>
      <c r="AB3249">
        <v>0</v>
      </c>
      <c r="AC3249" s="34">
        <v>0.23</v>
      </c>
      <c r="AD3249" s="32">
        <v>5.827</v>
      </c>
    </row>
    <row r="3250" spans="1:30">
      <c r="A3250">
        <v>3248</v>
      </c>
      <c r="B3250">
        <v>50</v>
      </c>
      <c r="C3250">
        <v>3.2770000000000001</v>
      </c>
      <c r="D3250">
        <v>6.14</v>
      </c>
      <c r="E3250">
        <v>0</v>
      </c>
      <c r="F3250">
        <v>1.931</v>
      </c>
      <c r="G3250">
        <v>0</v>
      </c>
      <c r="H3250">
        <v>0.193</v>
      </c>
      <c r="I3250">
        <v>6.4169999999999998</v>
      </c>
      <c r="K3250">
        <v>3248</v>
      </c>
      <c r="L3250">
        <v>50</v>
      </c>
      <c r="M3250" s="32">
        <v>3.2770000000000001</v>
      </c>
      <c r="N3250" s="32">
        <v>6.14</v>
      </c>
      <c r="P3250" s="47">
        <v>1.9330000000000001</v>
      </c>
      <c r="R3250" s="47">
        <v>0.19400000000000001</v>
      </c>
      <c r="S3250" s="47">
        <v>6.335</v>
      </c>
      <c r="T3250" s="31">
        <v>0</v>
      </c>
      <c r="V3250">
        <v>3248</v>
      </c>
      <c r="W3250">
        <v>46</v>
      </c>
      <c r="X3250">
        <v>3.2890000000000001</v>
      </c>
      <c r="Y3250" s="32">
        <v>6.14</v>
      </c>
      <c r="Z3250">
        <v>0</v>
      </c>
      <c r="AA3250" s="32">
        <v>1.772</v>
      </c>
      <c r="AB3250">
        <v>0</v>
      </c>
      <c r="AC3250" s="34">
        <v>0.23</v>
      </c>
      <c r="AD3250" s="32">
        <v>5.8289999999999997</v>
      </c>
    </row>
    <row r="3251" spans="1:30">
      <c r="A3251">
        <v>3249</v>
      </c>
      <c r="B3251">
        <v>50</v>
      </c>
      <c r="C3251">
        <v>3.278</v>
      </c>
      <c r="D3251">
        <v>6.14</v>
      </c>
      <c r="E3251">
        <v>0</v>
      </c>
      <c r="F3251">
        <v>1.931</v>
      </c>
      <c r="G3251">
        <v>0</v>
      </c>
      <c r="H3251">
        <v>0.193</v>
      </c>
      <c r="I3251">
        <v>6.42</v>
      </c>
      <c r="K3251">
        <v>3249</v>
      </c>
      <c r="L3251">
        <v>50</v>
      </c>
      <c r="M3251" s="32">
        <v>3.278</v>
      </c>
      <c r="N3251" s="32">
        <v>6.14</v>
      </c>
      <c r="P3251" s="47">
        <v>1.9330000000000001</v>
      </c>
      <c r="R3251" s="47">
        <v>0.19400000000000001</v>
      </c>
      <c r="S3251" s="47">
        <v>6.3380000000000001</v>
      </c>
      <c r="T3251" s="31">
        <v>0</v>
      </c>
      <c r="V3251">
        <v>3249</v>
      </c>
      <c r="W3251">
        <v>46</v>
      </c>
      <c r="X3251">
        <v>3.29</v>
      </c>
      <c r="Y3251" s="32">
        <v>6.14</v>
      </c>
      <c r="Z3251">
        <v>0</v>
      </c>
      <c r="AA3251" s="32">
        <v>1.772</v>
      </c>
      <c r="AB3251">
        <v>0</v>
      </c>
      <c r="AC3251" s="34">
        <v>0.23</v>
      </c>
      <c r="AD3251" s="32">
        <v>5.8319999999999999</v>
      </c>
    </row>
    <row r="3252" spans="1:30">
      <c r="A3252">
        <v>3250</v>
      </c>
      <c r="B3252">
        <v>50</v>
      </c>
      <c r="C3252">
        <v>3.2789999999999999</v>
      </c>
      <c r="D3252">
        <v>6.14</v>
      </c>
      <c r="E3252">
        <v>0</v>
      </c>
      <c r="F3252">
        <v>1.931</v>
      </c>
      <c r="G3252">
        <v>0</v>
      </c>
      <c r="H3252">
        <v>0.193</v>
      </c>
      <c r="I3252">
        <v>6.423</v>
      </c>
      <c r="K3252">
        <v>3250</v>
      </c>
      <c r="L3252">
        <v>50</v>
      </c>
      <c r="M3252" s="32">
        <v>3.2789999999999999</v>
      </c>
      <c r="N3252" s="32">
        <v>6.14</v>
      </c>
      <c r="P3252" s="47">
        <v>1.9339999999999999</v>
      </c>
      <c r="R3252" s="47">
        <v>0.19400000000000001</v>
      </c>
      <c r="S3252" s="47">
        <v>6.3410000000000002</v>
      </c>
      <c r="T3252" s="31">
        <v>0</v>
      </c>
      <c r="V3252">
        <v>3250</v>
      </c>
      <c r="W3252">
        <v>46</v>
      </c>
      <c r="X3252">
        <v>3.2909999999999999</v>
      </c>
      <c r="Y3252" s="32">
        <v>6.14</v>
      </c>
      <c r="Z3252">
        <v>0</v>
      </c>
      <c r="AA3252" s="32">
        <v>1.772</v>
      </c>
      <c r="AB3252">
        <v>0</v>
      </c>
      <c r="AC3252" s="34">
        <v>0.23</v>
      </c>
      <c r="AD3252" s="32">
        <v>5.8339999999999996</v>
      </c>
    </row>
    <row r="3253" spans="1:30">
      <c r="A3253">
        <v>3251</v>
      </c>
      <c r="B3253">
        <v>50</v>
      </c>
      <c r="C3253">
        <v>3.28</v>
      </c>
      <c r="D3253">
        <v>6.14</v>
      </c>
      <c r="E3253">
        <v>0</v>
      </c>
      <c r="F3253">
        <v>1.9339999999999999</v>
      </c>
      <c r="G3253">
        <v>0</v>
      </c>
      <c r="H3253">
        <v>0.193</v>
      </c>
      <c r="I3253">
        <v>6.3440000000000003</v>
      </c>
      <c r="K3253">
        <v>3251</v>
      </c>
      <c r="L3253">
        <v>50</v>
      </c>
      <c r="M3253" s="32">
        <v>3.28</v>
      </c>
      <c r="N3253" s="32">
        <v>6.14</v>
      </c>
      <c r="P3253" s="32">
        <v>1.9339999999999999</v>
      </c>
      <c r="R3253" s="47">
        <v>0.19400000000000001</v>
      </c>
      <c r="S3253" s="32">
        <v>6.3440000000000003</v>
      </c>
      <c r="T3253" s="31">
        <v>0</v>
      </c>
      <c r="V3253">
        <v>3251</v>
      </c>
      <c r="W3253">
        <v>46</v>
      </c>
      <c r="X3253">
        <v>3.2919999999999998</v>
      </c>
      <c r="Y3253" s="32">
        <v>6.14</v>
      </c>
      <c r="Z3253">
        <v>0</v>
      </c>
      <c r="AA3253" s="32">
        <v>1.7729999999999999</v>
      </c>
      <c r="AB3253">
        <v>0</v>
      </c>
      <c r="AC3253" s="34">
        <v>0.23</v>
      </c>
      <c r="AD3253" s="32">
        <v>5.8360000000000003</v>
      </c>
    </row>
    <row r="3254" spans="1:30">
      <c r="A3254">
        <v>3252</v>
      </c>
      <c r="B3254">
        <v>50</v>
      </c>
      <c r="C3254">
        <v>3.2810000000000001</v>
      </c>
      <c r="D3254">
        <v>6.14</v>
      </c>
      <c r="E3254">
        <v>0</v>
      </c>
      <c r="F3254">
        <v>1.9339999999999999</v>
      </c>
      <c r="G3254">
        <v>0</v>
      </c>
      <c r="H3254">
        <v>0.193</v>
      </c>
      <c r="I3254">
        <v>6.4580000000000002</v>
      </c>
      <c r="K3254">
        <v>3252</v>
      </c>
      <c r="L3254">
        <v>50</v>
      </c>
      <c r="M3254" s="32">
        <v>3.2810000000000001</v>
      </c>
      <c r="N3254" s="32">
        <v>6.14</v>
      </c>
      <c r="P3254" s="32">
        <v>1.9339999999999999</v>
      </c>
      <c r="R3254" s="47">
        <v>0.19400000000000001</v>
      </c>
      <c r="S3254" s="47">
        <v>6.3470000000000004</v>
      </c>
      <c r="T3254" s="31">
        <v>0</v>
      </c>
      <c r="V3254">
        <v>3252</v>
      </c>
      <c r="W3254">
        <v>46</v>
      </c>
      <c r="X3254">
        <v>3.2930000000000001</v>
      </c>
      <c r="Y3254" s="32">
        <v>6.14</v>
      </c>
      <c r="Z3254">
        <v>0</v>
      </c>
      <c r="AA3254" s="32">
        <v>1.7729999999999999</v>
      </c>
      <c r="AB3254">
        <v>0</v>
      </c>
      <c r="AC3254" s="34">
        <v>0.23</v>
      </c>
      <c r="AD3254" s="32">
        <v>5.8390000000000004</v>
      </c>
    </row>
    <row r="3255" spans="1:30">
      <c r="A3255">
        <v>3253</v>
      </c>
      <c r="B3255">
        <v>50</v>
      </c>
      <c r="C3255">
        <v>3.282</v>
      </c>
      <c r="D3255">
        <v>6.14</v>
      </c>
      <c r="E3255">
        <v>0</v>
      </c>
      <c r="F3255">
        <v>1.9339999999999999</v>
      </c>
      <c r="G3255">
        <v>0</v>
      </c>
      <c r="H3255">
        <v>0.193</v>
      </c>
      <c r="I3255">
        <v>6.4610000000000003</v>
      </c>
      <c r="K3255">
        <v>3253</v>
      </c>
      <c r="L3255">
        <v>50</v>
      </c>
      <c r="M3255" s="32">
        <v>3.282</v>
      </c>
      <c r="N3255" s="32">
        <v>6.14</v>
      </c>
      <c r="P3255" s="47">
        <v>1.9350000000000001</v>
      </c>
      <c r="R3255" s="47">
        <v>0.19400000000000001</v>
      </c>
      <c r="S3255" s="47">
        <v>6.35</v>
      </c>
      <c r="T3255" s="31">
        <v>0</v>
      </c>
      <c r="V3255">
        <v>3253</v>
      </c>
      <c r="W3255">
        <v>46</v>
      </c>
      <c r="X3255">
        <v>3.294</v>
      </c>
      <c r="Y3255" s="32">
        <v>6.14</v>
      </c>
      <c r="Z3255">
        <v>0</v>
      </c>
      <c r="AA3255" s="32">
        <v>1.7729999999999999</v>
      </c>
      <c r="AB3255">
        <v>0</v>
      </c>
      <c r="AC3255" s="34">
        <v>0.23</v>
      </c>
      <c r="AD3255" s="32">
        <v>5.8410000000000002</v>
      </c>
    </row>
    <row r="3256" spans="1:30">
      <c r="A3256">
        <v>3254</v>
      </c>
      <c r="B3256">
        <v>50</v>
      </c>
      <c r="C3256">
        <v>3.2829999999999999</v>
      </c>
      <c r="D3256">
        <v>6.14</v>
      </c>
      <c r="E3256">
        <v>0</v>
      </c>
      <c r="F3256">
        <v>1.9339999999999999</v>
      </c>
      <c r="G3256">
        <v>0</v>
      </c>
      <c r="H3256">
        <v>0.193</v>
      </c>
      <c r="I3256">
        <v>6.4640000000000004</v>
      </c>
      <c r="K3256">
        <v>3254</v>
      </c>
      <c r="L3256">
        <v>50</v>
      </c>
      <c r="M3256" s="32">
        <v>3.2829999999999999</v>
      </c>
      <c r="N3256" s="32">
        <v>6.14</v>
      </c>
      <c r="P3256" s="47">
        <v>1.9350000000000001</v>
      </c>
      <c r="R3256" s="47">
        <v>0.19400000000000001</v>
      </c>
      <c r="S3256" s="47">
        <v>6.3529999999999998</v>
      </c>
      <c r="T3256" s="31">
        <v>0</v>
      </c>
      <c r="V3256">
        <v>3254</v>
      </c>
      <c r="W3256">
        <v>46</v>
      </c>
      <c r="X3256">
        <v>3.2949999999999999</v>
      </c>
      <c r="Y3256" s="32">
        <v>6.14</v>
      </c>
      <c r="Z3256">
        <v>0</v>
      </c>
      <c r="AA3256" s="32">
        <v>1.7729999999999999</v>
      </c>
      <c r="AB3256">
        <v>0</v>
      </c>
      <c r="AC3256" s="34">
        <v>0.23</v>
      </c>
      <c r="AD3256" s="32">
        <v>5.8440000000000003</v>
      </c>
    </row>
    <row r="3257" spans="1:30">
      <c r="A3257">
        <v>3255</v>
      </c>
      <c r="B3257">
        <v>50</v>
      </c>
      <c r="C3257">
        <v>3.2839999999999998</v>
      </c>
      <c r="D3257">
        <v>6.14</v>
      </c>
      <c r="E3257">
        <v>0</v>
      </c>
      <c r="F3257">
        <v>1.9339999999999999</v>
      </c>
      <c r="G3257">
        <v>0</v>
      </c>
      <c r="H3257">
        <v>0.193</v>
      </c>
      <c r="I3257">
        <v>6.4669999999999996</v>
      </c>
      <c r="K3257">
        <v>3255</v>
      </c>
      <c r="L3257">
        <v>50</v>
      </c>
      <c r="M3257" s="32">
        <v>3.2839999999999998</v>
      </c>
      <c r="N3257" s="32">
        <v>6.14</v>
      </c>
      <c r="P3257" s="47">
        <v>1.9350000000000001</v>
      </c>
      <c r="R3257" s="47">
        <v>0.19400000000000001</v>
      </c>
      <c r="S3257" s="47">
        <v>6.3559999999999999</v>
      </c>
      <c r="T3257" s="31">
        <v>0</v>
      </c>
      <c r="V3257">
        <v>3255</v>
      </c>
      <c r="W3257">
        <v>46</v>
      </c>
      <c r="X3257">
        <v>3.2959999999999998</v>
      </c>
      <c r="Y3257" s="32">
        <v>6.14</v>
      </c>
      <c r="Z3257">
        <v>0</v>
      </c>
      <c r="AA3257" s="32">
        <v>1.7729999999999999</v>
      </c>
      <c r="AB3257">
        <v>0</v>
      </c>
      <c r="AC3257" s="34">
        <v>0.23</v>
      </c>
      <c r="AD3257" s="32">
        <v>5.8460000000000001</v>
      </c>
    </row>
    <row r="3258" spans="1:30">
      <c r="A3258">
        <v>3256</v>
      </c>
      <c r="B3258">
        <v>50</v>
      </c>
      <c r="C3258">
        <v>3.2850000000000001</v>
      </c>
      <c r="D3258">
        <v>6.14</v>
      </c>
      <c r="E3258">
        <v>0</v>
      </c>
      <c r="F3258">
        <v>1.9339999999999999</v>
      </c>
      <c r="G3258">
        <v>0</v>
      </c>
      <c r="H3258">
        <v>0.193</v>
      </c>
      <c r="I3258">
        <v>6.4690000000000003</v>
      </c>
      <c r="K3258">
        <v>3256</v>
      </c>
      <c r="L3258">
        <v>50</v>
      </c>
      <c r="M3258" s="32">
        <v>3.2850000000000001</v>
      </c>
      <c r="N3258" s="32">
        <v>6.14</v>
      </c>
      <c r="P3258" s="47">
        <v>1.9359999999999999</v>
      </c>
      <c r="R3258" s="47">
        <v>0.19400000000000001</v>
      </c>
      <c r="S3258" s="47">
        <v>6.359</v>
      </c>
      <c r="T3258" s="31">
        <v>0</v>
      </c>
      <c r="V3258">
        <v>3256</v>
      </c>
      <c r="W3258">
        <v>46</v>
      </c>
      <c r="X3258">
        <v>3.2970000000000002</v>
      </c>
      <c r="Y3258" s="32">
        <v>6.14</v>
      </c>
      <c r="Z3258">
        <v>0</v>
      </c>
      <c r="AA3258" s="32">
        <v>1.774</v>
      </c>
      <c r="AB3258">
        <v>0</v>
      </c>
      <c r="AC3258" s="34">
        <v>0.23</v>
      </c>
      <c r="AD3258" s="32">
        <v>5.8490000000000002</v>
      </c>
    </row>
    <row r="3259" spans="1:30">
      <c r="A3259">
        <v>3257</v>
      </c>
      <c r="B3259">
        <v>50</v>
      </c>
      <c r="C3259">
        <v>3.286</v>
      </c>
      <c r="D3259">
        <v>6.14</v>
      </c>
      <c r="E3259">
        <v>0</v>
      </c>
      <c r="F3259">
        <v>1.9339999999999999</v>
      </c>
      <c r="G3259">
        <v>0</v>
      </c>
      <c r="H3259">
        <v>0.193</v>
      </c>
      <c r="I3259">
        <v>6.4720000000000004</v>
      </c>
      <c r="K3259">
        <v>3257</v>
      </c>
      <c r="L3259">
        <v>50</v>
      </c>
      <c r="M3259" s="32">
        <v>3.286</v>
      </c>
      <c r="N3259" s="32">
        <v>6.14</v>
      </c>
      <c r="P3259" s="47">
        <v>1.9359999999999999</v>
      </c>
      <c r="R3259" s="47">
        <v>0.19400000000000001</v>
      </c>
      <c r="S3259" s="47">
        <v>6.3609999999999998</v>
      </c>
      <c r="T3259" s="31">
        <v>0</v>
      </c>
      <c r="V3259">
        <v>3257</v>
      </c>
      <c r="W3259">
        <v>46</v>
      </c>
      <c r="X3259">
        <v>3.298</v>
      </c>
      <c r="Y3259" s="32">
        <v>6.14</v>
      </c>
      <c r="Z3259">
        <v>0</v>
      </c>
      <c r="AA3259" s="32">
        <v>1.774</v>
      </c>
      <c r="AB3259">
        <v>0</v>
      </c>
      <c r="AC3259" s="34">
        <v>0.23</v>
      </c>
      <c r="AD3259" s="32">
        <v>5.851</v>
      </c>
    </row>
    <row r="3260" spans="1:30">
      <c r="A3260">
        <v>3258</v>
      </c>
      <c r="B3260">
        <v>50</v>
      </c>
      <c r="C3260">
        <v>3.2869999999999999</v>
      </c>
      <c r="D3260">
        <v>6.14</v>
      </c>
      <c r="E3260">
        <v>0</v>
      </c>
      <c r="F3260">
        <v>1.9339999999999999</v>
      </c>
      <c r="G3260">
        <v>0</v>
      </c>
      <c r="H3260">
        <v>0.193</v>
      </c>
      <c r="I3260">
        <v>6.4749999999999996</v>
      </c>
      <c r="K3260">
        <v>3258</v>
      </c>
      <c r="L3260">
        <v>50</v>
      </c>
      <c r="M3260" s="32">
        <v>3.2869999999999999</v>
      </c>
      <c r="N3260" s="32">
        <v>6.14</v>
      </c>
      <c r="P3260" s="47">
        <v>1.9359999999999999</v>
      </c>
      <c r="R3260" s="47">
        <v>0.19400000000000001</v>
      </c>
      <c r="S3260" s="47">
        <v>6.3639999999999999</v>
      </c>
      <c r="T3260" s="31">
        <v>0</v>
      </c>
      <c r="V3260">
        <v>3258</v>
      </c>
      <c r="W3260">
        <v>46</v>
      </c>
      <c r="X3260">
        <v>3.2989999999999999</v>
      </c>
      <c r="Y3260" s="32">
        <v>6.14</v>
      </c>
      <c r="Z3260">
        <v>0</v>
      </c>
      <c r="AA3260" s="32">
        <v>1.774</v>
      </c>
      <c r="AB3260">
        <v>0</v>
      </c>
      <c r="AC3260" s="34">
        <v>0.23</v>
      </c>
      <c r="AD3260" s="32">
        <v>5.8540000000000001</v>
      </c>
    </row>
    <row r="3261" spans="1:30">
      <c r="A3261">
        <v>3259</v>
      </c>
      <c r="B3261">
        <v>50</v>
      </c>
      <c r="C3261">
        <v>3.2879999999999998</v>
      </c>
      <c r="D3261">
        <v>6.14</v>
      </c>
      <c r="E3261">
        <v>0</v>
      </c>
      <c r="F3261">
        <v>1.9339999999999999</v>
      </c>
      <c r="G3261">
        <v>0</v>
      </c>
      <c r="H3261">
        <v>0.193</v>
      </c>
      <c r="I3261">
        <v>6.4779999999999998</v>
      </c>
      <c r="K3261">
        <v>3259</v>
      </c>
      <c r="L3261">
        <v>50</v>
      </c>
      <c r="M3261" s="32">
        <v>3.2879999999999998</v>
      </c>
      <c r="N3261" s="32">
        <v>6.14</v>
      </c>
      <c r="P3261" s="47">
        <v>1.9359999999999999</v>
      </c>
      <c r="R3261" s="47">
        <v>0.19400000000000001</v>
      </c>
      <c r="S3261" s="47">
        <v>6.367</v>
      </c>
      <c r="T3261" s="31">
        <v>0</v>
      </c>
      <c r="V3261">
        <v>3259</v>
      </c>
      <c r="W3261">
        <v>46</v>
      </c>
      <c r="X3261">
        <v>3.3</v>
      </c>
      <c r="Y3261" s="32">
        <v>6.14</v>
      </c>
      <c r="Z3261">
        <v>0</v>
      </c>
      <c r="AA3261" s="32">
        <v>1.774</v>
      </c>
      <c r="AB3261">
        <v>0</v>
      </c>
      <c r="AC3261" s="34">
        <v>0.23</v>
      </c>
      <c r="AD3261" s="32">
        <v>5.8559999999999999</v>
      </c>
    </row>
    <row r="3262" spans="1:30">
      <c r="A3262">
        <v>3260</v>
      </c>
      <c r="B3262">
        <v>50</v>
      </c>
      <c r="C3262">
        <v>3.2890000000000001</v>
      </c>
      <c r="D3262">
        <v>6.14</v>
      </c>
      <c r="E3262">
        <v>0</v>
      </c>
      <c r="F3262">
        <v>1.9339999999999999</v>
      </c>
      <c r="G3262">
        <v>0</v>
      </c>
      <c r="H3262">
        <v>0.193</v>
      </c>
      <c r="I3262">
        <v>6.4809999999999999</v>
      </c>
      <c r="K3262">
        <v>3260</v>
      </c>
      <c r="L3262">
        <v>50</v>
      </c>
      <c r="M3262" s="32">
        <v>3.2890000000000001</v>
      </c>
      <c r="N3262" s="32">
        <v>6.14</v>
      </c>
      <c r="P3262" s="47">
        <v>1.9370000000000001</v>
      </c>
      <c r="R3262" s="47">
        <v>0.19400000000000001</v>
      </c>
      <c r="S3262" s="47">
        <v>6.37</v>
      </c>
      <c r="T3262" s="31">
        <v>0</v>
      </c>
      <c r="V3262">
        <v>3260</v>
      </c>
      <c r="W3262">
        <v>46</v>
      </c>
      <c r="X3262">
        <v>3.3010000000000002</v>
      </c>
      <c r="Y3262" s="32">
        <v>6.1539999999999999</v>
      </c>
      <c r="Z3262">
        <v>0</v>
      </c>
      <c r="AA3262" s="32">
        <v>1.774</v>
      </c>
      <c r="AB3262">
        <v>0</v>
      </c>
      <c r="AC3262" s="34">
        <v>0.23</v>
      </c>
      <c r="AD3262" s="32">
        <v>5.859</v>
      </c>
    </row>
    <row r="3263" spans="1:30">
      <c r="A3263">
        <v>3261</v>
      </c>
      <c r="B3263">
        <v>50</v>
      </c>
      <c r="C3263">
        <v>3.29</v>
      </c>
      <c r="D3263">
        <v>6.14</v>
      </c>
      <c r="E3263">
        <v>0</v>
      </c>
      <c r="F3263">
        <v>1.9370000000000001</v>
      </c>
      <c r="G3263">
        <v>0</v>
      </c>
      <c r="H3263">
        <v>0.193</v>
      </c>
      <c r="I3263">
        <v>6.3730000000000002</v>
      </c>
      <c r="K3263">
        <v>3261</v>
      </c>
      <c r="L3263">
        <v>50</v>
      </c>
      <c r="M3263" s="32">
        <v>3.29</v>
      </c>
      <c r="N3263" s="32">
        <v>6.14</v>
      </c>
      <c r="P3263" s="32">
        <v>1.9370000000000001</v>
      </c>
      <c r="R3263" s="47">
        <v>0.19400000000000001</v>
      </c>
      <c r="S3263" s="32">
        <v>6.3730000000000002</v>
      </c>
      <c r="T3263" s="31">
        <v>0</v>
      </c>
      <c r="V3263">
        <v>3261</v>
      </c>
      <c r="W3263">
        <v>46</v>
      </c>
      <c r="X3263">
        <v>3.302</v>
      </c>
      <c r="Y3263" s="32">
        <v>6.1680000000000001</v>
      </c>
      <c r="Z3263">
        <v>0</v>
      </c>
      <c r="AA3263" s="32">
        <v>1.7749999999999999</v>
      </c>
      <c r="AB3263">
        <v>0</v>
      </c>
      <c r="AC3263" s="34">
        <v>0.23</v>
      </c>
      <c r="AD3263" s="32">
        <v>5.8609999999999998</v>
      </c>
    </row>
    <row r="3264" spans="1:30">
      <c r="A3264">
        <v>3262</v>
      </c>
      <c r="B3264">
        <v>50</v>
      </c>
      <c r="C3264">
        <v>3.2909999999999999</v>
      </c>
      <c r="D3264">
        <v>6.14</v>
      </c>
      <c r="E3264">
        <v>0</v>
      </c>
      <c r="F3264">
        <v>1.9370000000000001</v>
      </c>
      <c r="G3264">
        <v>0</v>
      </c>
      <c r="H3264">
        <v>0.193</v>
      </c>
      <c r="I3264">
        <v>6.5149999999999997</v>
      </c>
      <c r="K3264">
        <v>3262</v>
      </c>
      <c r="L3264">
        <v>50</v>
      </c>
      <c r="M3264" s="32">
        <v>3.2909999999999999</v>
      </c>
      <c r="N3264" s="32">
        <v>6.14</v>
      </c>
      <c r="P3264" s="32">
        <v>1.9370000000000001</v>
      </c>
      <c r="R3264" s="47">
        <v>0.19400000000000001</v>
      </c>
      <c r="S3264" s="47">
        <v>6.3760000000000003</v>
      </c>
      <c r="T3264" s="31">
        <v>0</v>
      </c>
      <c r="V3264">
        <v>3262</v>
      </c>
      <c r="W3264">
        <v>46</v>
      </c>
      <c r="X3264">
        <v>3.3029999999999999</v>
      </c>
      <c r="Y3264" s="32">
        <v>6.1820000000000004</v>
      </c>
      <c r="Z3264">
        <v>0</v>
      </c>
      <c r="AA3264" s="32">
        <v>1.7749999999999999</v>
      </c>
      <c r="AB3264">
        <v>0</v>
      </c>
      <c r="AC3264" s="34">
        <v>0.23</v>
      </c>
      <c r="AD3264" s="32">
        <v>5.8639999999999999</v>
      </c>
    </row>
    <row r="3265" spans="1:30">
      <c r="A3265">
        <v>3263</v>
      </c>
      <c r="B3265">
        <v>50</v>
      </c>
      <c r="C3265">
        <v>3.2919999999999998</v>
      </c>
      <c r="D3265">
        <v>6.14</v>
      </c>
      <c r="E3265">
        <v>0</v>
      </c>
      <c r="F3265">
        <v>1.9370000000000001</v>
      </c>
      <c r="G3265">
        <v>0</v>
      </c>
      <c r="H3265">
        <v>0.193</v>
      </c>
      <c r="I3265">
        <v>6.5179999999999998</v>
      </c>
      <c r="K3265">
        <v>3263</v>
      </c>
      <c r="L3265">
        <v>50</v>
      </c>
      <c r="M3265" s="32">
        <v>3.2919999999999998</v>
      </c>
      <c r="N3265" s="32">
        <v>6.14</v>
      </c>
      <c r="P3265" s="47">
        <v>1.9379999999999999</v>
      </c>
      <c r="R3265" s="47">
        <v>0.19400000000000001</v>
      </c>
      <c r="S3265" s="47">
        <v>6.3789999999999996</v>
      </c>
      <c r="T3265" s="31">
        <v>0</v>
      </c>
      <c r="V3265">
        <v>3263</v>
      </c>
      <c r="W3265">
        <v>46</v>
      </c>
      <c r="X3265">
        <v>3.3039999999999998</v>
      </c>
      <c r="Y3265" s="32">
        <v>6.1959999999999997</v>
      </c>
      <c r="Z3265">
        <v>0</v>
      </c>
      <c r="AA3265" s="32">
        <v>1.7749999999999999</v>
      </c>
      <c r="AB3265">
        <v>0</v>
      </c>
      <c r="AC3265" s="34">
        <v>0.23</v>
      </c>
      <c r="AD3265" s="32">
        <v>5.8659999999999997</v>
      </c>
    </row>
    <row r="3266" spans="1:30">
      <c r="A3266">
        <v>3264</v>
      </c>
      <c r="B3266">
        <v>50</v>
      </c>
      <c r="C3266">
        <v>3.2930000000000001</v>
      </c>
      <c r="D3266">
        <v>6.14</v>
      </c>
      <c r="E3266">
        <v>0</v>
      </c>
      <c r="F3266">
        <v>1.9370000000000001</v>
      </c>
      <c r="G3266">
        <v>0</v>
      </c>
      <c r="H3266">
        <v>0.193</v>
      </c>
      <c r="I3266">
        <v>6.5209999999999999</v>
      </c>
      <c r="K3266">
        <v>3264</v>
      </c>
      <c r="L3266">
        <v>50</v>
      </c>
      <c r="M3266" s="32">
        <v>3.2930000000000001</v>
      </c>
      <c r="N3266" s="32">
        <v>6.14</v>
      </c>
      <c r="P3266" s="47">
        <v>1.9379999999999999</v>
      </c>
      <c r="R3266" s="47">
        <v>0.19500000000000001</v>
      </c>
      <c r="S3266" s="47">
        <v>6.3819999999999997</v>
      </c>
      <c r="T3266" s="31">
        <v>0</v>
      </c>
      <c r="V3266">
        <v>3264</v>
      </c>
      <c r="W3266">
        <v>46</v>
      </c>
      <c r="X3266">
        <v>3.3050000000000002</v>
      </c>
      <c r="Y3266" s="32">
        <v>6.21</v>
      </c>
      <c r="Z3266">
        <v>0</v>
      </c>
      <c r="AA3266" s="32">
        <v>1.7749999999999999</v>
      </c>
      <c r="AB3266">
        <v>0</v>
      </c>
      <c r="AC3266" s="34">
        <v>0.23</v>
      </c>
      <c r="AD3266" s="32">
        <v>5.8689999999999998</v>
      </c>
    </row>
    <row r="3267" spans="1:30">
      <c r="A3267">
        <v>3265</v>
      </c>
      <c r="B3267">
        <v>50</v>
      </c>
      <c r="C3267">
        <v>3.294</v>
      </c>
      <c r="D3267">
        <v>6.14</v>
      </c>
      <c r="E3267">
        <v>0</v>
      </c>
      <c r="F3267">
        <v>1.9370000000000001</v>
      </c>
      <c r="G3267">
        <v>0</v>
      </c>
      <c r="H3267">
        <v>0.193</v>
      </c>
      <c r="I3267">
        <v>6.5229999999999997</v>
      </c>
      <c r="K3267">
        <v>3265</v>
      </c>
      <c r="L3267">
        <v>50</v>
      </c>
      <c r="M3267" s="32">
        <v>3.294</v>
      </c>
      <c r="N3267" s="32">
        <v>6.14</v>
      </c>
      <c r="P3267" s="47">
        <v>1.9379999999999999</v>
      </c>
      <c r="R3267" s="47">
        <v>0.19500000000000001</v>
      </c>
      <c r="S3267" s="47">
        <v>6.3849999999999998</v>
      </c>
      <c r="T3267" s="31">
        <v>0</v>
      </c>
      <c r="V3267">
        <v>3265</v>
      </c>
      <c r="W3267">
        <v>46</v>
      </c>
      <c r="X3267">
        <v>3.306</v>
      </c>
      <c r="Y3267" s="32">
        <v>6.2240000000000002</v>
      </c>
      <c r="Z3267">
        <v>0</v>
      </c>
      <c r="AA3267" s="32">
        <v>1.776</v>
      </c>
      <c r="AB3267">
        <v>0</v>
      </c>
      <c r="AC3267" s="34">
        <v>0.23</v>
      </c>
      <c r="AD3267" s="32">
        <v>5.8710000000000004</v>
      </c>
    </row>
    <row r="3268" spans="1:30">
      <c r="A3268">
        <v>3266</v>
      </c>
      <c r="B3268">
        <v>50</v>
      </c>
      <c r="C3268">
        <v>3.2949999999999999</v>
      </c>
      <c r="D3268">
        <v>6.14</v>
      </c>
      <c r="E3268">
        <v>0</v>
      </c>
      <c r="F3268">
        <v>1.9370000000000001</v>
      </c>
      <c r="G3268">
        <v>0</v>
      </c>
      <c r="H3268">
        <v>0.193</v>
      </c>
      <c r="I3268">
        <v>6.5259999999999998</v>
      </c>
      <c r="K3268">
        <v>3266</v>
      </c>
      <c r="L3268">
        <v>50</v>
      </c>
      <c r="M3268" s="32">
        <v>3.2949999999999999</v>
      </c>
      <c r="N3268" s="32">
        <v>6.14</v>
      </c>
      <c r="P3268" s="47">
        <v>1.9390000000000001</v>
      </c>
      <c r="R3268" s="47">
        <v>0.19500000000000001</v>
      </c>
      <c r="S3268" s="47">
        <v>6.3879999999999999</v>
      </c>
      <c r="T3268" s="31">
        <v>0</v>
      </c>
      <c r="V3268">
        <v>3266</v>
      </c>
      <c r="W3268">
        <v>46</v>
      </c>
      <c r="X3268">
        <v>3.3069999999999999</v>
      </c>
      <c r="Y3268" s="32">
        <v>6.2380000000000004</v>
      </c>
      <c r="Z3268">
        <v>0</v>
      </c>
      <c r="AA3268" s="32">
        <v>1.776</v>
      </c>
      <c r="AB3268">
        <v>0</v>
      </c>
      <c r="AC3268" s="34">
        <v>0.23</v>
      </c>
      <c r="AD3268" s="32">
        <v>5.8739999999999997</v>
      </c>
    </row>
    <row r="3269" spans="1:30">
      <c r="A3269">
        <v>3267</v>
      </c>
      <c r="B3269">
        <v>50</v>
      </c>
      <c r="C3269">
        <v>3.2959999999999998</v>
      </c>
      <c r="D3269">
        <v>6.14</v>
      </c>
      <c r="E3269">
        <v>0</v>
      </c>
      <c r="F3269">
        <v>1.9370000000000001</v>
      </c>
      <c r="G3269">
        <v>0</v>
      </c>
      <c r="H3269">
        <v>0.193</v>
      </c>
      <c r="I3269">
        <v>6.5289999999999999</v>
      </c>
      <c r="K3269">
        <v>3267</v>
      </c>
      <c r="L3269">
        <v>50</v>
      </c>
      <c r="M3269" s="32">
        <v>3.2959999999999998</v>
      </c>
      <c r="N3269" s="32">
        <v>6.14</v>
      </c>
      <c r="P3269" s="47">
        <v>1.9390000000000001</v>
      </c>
      <c r="R3269" s="47">
        <v>0.19500000000000001</v>
      </c>
      <c r="S3269" s="47">
        <v>6.39</v>
      </c>
      <c r="T3269" s="31">
        <v>0</v>
      </c>
      <c r="V3269">
        <v>3267</v>
      </c>
      <c r="W3269">
        <v>46</v>
      </c>
      <c r="X3269">
        <v>3.3079999999999998</v>
      </c>
      <c r="Y3269" s="32">
        <v>6.2519999999999998</v>
      </c>
      <c r="Z3269">
        <v>0</v>
      </c>
      <c r="AA3269" s="32">
        <v>1.776</v>
      </c>
      <c r="AB3269">
        <v>0</v>
      </c>
      <c r="AC3269" s="34">
        <v>0.23</v>
      </c>
      <c r="AD3269" s="32">
        <v>5.8760000000000003</v>
      </c>
    </row>
    <row r="3270" spans="1:30">
      <c r="A3270">
        <v>3268</v>
      </c>
      <c r="B3270">
        <v>50</v>
      </c>
      <c r="C3270">
        <v>3.2970000000000002</v>
      </c>
      <c r="D3270">
        <v>6.14</v>
      </c>
      <c r="E3270">
        <v>0</v>
      </c>
      <c r="F3270">
        <v>1.9370000000000001</v>
      </c>
      <c r="G3270">
        <v>0</v>
      </c>
      <c r="H3270">
        <v>0.193</v>
      </c>
      <c r="I3270">
        <v>6.532</v>
      </c>
      <c r="K3270">
        <v>3268</v>
      </c>
      <c r="L3270">
        <v>50</v>
      </c>
      <c r="M3270" s="32">
        <v>3.2970000000000002</v>
      </c>
      <c r="N3270" s="32">
        <v>6.14</v>
      </c>
      <c r="P3270" s="47">
        <v>1.9390000000000001</v>
      </c>
      <c r="R3270" s="47">
        <v>0.19500000000000001</v>
      </c>
      <c r="S3270" s="47">
        <v>6.3929999999999998</v>
      </c>
      <c r="T3270" s="31">
        <v>0</v>
      </c>
      <c r="V3270">
        <v>3268</v>
      </c>
      <c r="W3270">
        <v>46</v>
      </c>
      <c r="X3270">
        <v>3.3090000000000002</v>
      </c>
      <c r="Y3270" s="32">
        <v>6.266</v>
      </c>
      <c r="Z3270">
        <v>0</v>
      </c>
      <c r="AA3270" s="32">
        <v>1.776</v>
      </c>
      <c r="AB3270">
        <v>0</v>
      </c>
      <c r="AC3270" s="34">
        <v>0.23</v>
      </c>
      <c r="AD3270" s="32">
        <v>5.8789999999999996</v>
      </c>
    </row>
    <row r="3271" spans="1:30">
      <c r="A3271">
        <v>3269</v>
      </c>
      <c r="B3271">
        <v>50</v>
      </c>
      <c r="C3271">
        <v>3.298</v>
      </c>
      <c r="D3271">
        <v>6.14</v>
      </c>
      <c r="E3271">
        <v>0</v>
      </c>
      <c r="F3271">
        <v>1.9370000000000001</v>
      </c>
      <c r="G3271">
        <v>0</v>
      </c>
      <c r="H3271">
        <v>0.193</v>
      </c>
      <c r="I3271">
        <v>6.5350000000000001</v>
      </c>
      <c r="K3271">
        <v>3269</v>
      </c>
      <c r="L3271">
        <v>50</v>
      </c>
      <c r="M3271" s="32">
        <v>3.298</v>
      </c>
      <c r="N3271" s="32">
        <v>6.14</v>
      </c>
      <c r="P3271" s="47">
        <v>1.9390000000000001</v>
      </c>
      <c r="R3271" s="47">
        <v>0.19500000000000001</v>
      </c>
      <c r="S3271" s="47">
        <v>6.3959999999999999</v>
      </c>
      <c r="T3271" s="31">
        <v>0</v>
      </c>
      <c r="V3271">
        <v>3269</v>
      </c>
      <c r="W3271">
        <v>46</v>
      </c>
      <c r="X3271">
        <v>3.31</v>
      </c>
      <c r="Y3271" s="32">
        <v>6.28</v>
      </c>
      <c r="Z3271">
        <v>0</v>
      </c>
      <c r="AA3271" s="32">
        <v>1.776</v>
      </c>
      <c r="AB3271">
        <v>0</v>
      </c>
      <c r="AC3271" s="34">
        <v>0.23</v>
      </c>
      <c r="AD3271" s="32">
        <v>5.8810000000000002</v>
      </c>
    </row>
    <row r="3272" spans="1:30">
      <c r="A3272">
        <v>3270</v>
      </c>
      <c r="B3272">
        <v>50</v>
      </c>
      <c r="C3272">
        <v>3.2989999999999999</v>
      </c>
      <c r="D3272">
        <v>6.14</v>
      </c>
      <c r="E3272">
        <v>0</v>
      </c>
      <c r="F3272">
        <v>1.9370000000000001</v>
      </c>
      <c r="G3272">
        <v>0</v>
      </c>
      <c r="H3272">
        <v>0.193</v>
      </c>
      <c r="I3272">
        <v>6.5369999999999999</v>
      </c>
      <c r="K3272">
        <v>3270</v>
      </c>
      <c r="L3272">
        <v>50</v>
      </c>
      <c r="M3272" s="32">
        <v>3.2989999999999999</v>
      </c>
      <c r="N3272" s="32">
        <v>6.14</v>
      </c>
      <c r="P3272" s="47">
        <v>1.94</v>
      </c>
      <c r="R3272" s="47">
        <v>0.19500000000000001</v>
      </c>
      <c r="S3272" s="47">
        <v>6.399</v>
      </c>
      <c r="T3272" s="31">
        <v>0</v>
      </c>
      <c r="V3272">
        <v>3270</v>
      </c>
      <c r="W3272">
        <v>46</v>
      </c>
      <c r="X3272">
        <v>3.3109999999999999</v>
      </c>
      <c r="Y3272" s="32">
        <v>6.28</v>
      </c>
      <c r="Z3272">
        <v>0</v>
      </c>
      <c r="AA3272" s="32">
        <v>1.7769999999999999</v>
      </c>
      <c r="AB3272">
        <v>0</v>
      </c>
      <c r="AC3272" s="34">
        <v>0.23100000000000001</v>
      </c>
      <c r="AD3272" s="32">
        <v>5.8840000000000003</v>
      </c>
    </row>
    <row r="3273" spans="1:30">
      <c r="A3273">
        <v>3271</v>
      </c>
      <c r="B3273">
        <v>50</v>
      </c>
      <c r="C3273">
        <v>3.3</v>
      </c>
      <c r="D3273">
        <v>6.14</v>
      </c>
      <c r="E3273">
        <v>0</v>
      </c>
      <c r="F3273">
        <v>1.94</v>
      </c>
      <c r="G3273">
        <v>0</v>
      </c>
      <c r="H3273">
        <v>0.193</v>
      </c>
      <c r="I3273">
        <v>6.4020000000000001</v>
      </c>
      <c r="K3273">
        <v>3271</v>
      </c>
      <c r="L3273">
        <v>50</v>
      </c>
      <c r="M3273" s="32">
        <v>3.3</v>
      </c>
      <c r="N3273" s="32">
        <v>6.14</v>
      </c>
      <c r="P3273" s="32">
        <v>1.94</v>
      </c>
      <c r="R3273" s="47">
        <v>0.19500000000000001</v>
      </c>
      <c r="S3273" s="32">
        <v>6.4020000000000001</v>
      </c>
      <c r="T3273" s="31">
        <v>0</v>
      </c>
      <c r="V3273">
        <v>3271</v>
      </c>
      <c r="W3273">
        <v>46</v>
      </c>
      <c r="X3273">
        <v>3.3119999999999998</v>
      </c>
      <c r="Y3273" s="32">
        <v>6.28</v>
      </c>
      <c r="Z3273">
        <v>0</v>
      </c>
      <c r="AA3273" s="32">
        <v>1.7769999999999999</v>
      </c>
      <c r="AB3273">
        <v>0</v>
      </c>
      <c r="AC3273" s="34">
        <v>0.23100000000000001</v>
      </c>
      <c r="AD3273" s="32">
        <v>5.8860000000000001</v>
      </c>
    </row>
    <row r="3274" spans="1:30">
      <c r="A3274">
        <v>3272</v>
      </c>
      <c r="B3274">
        <v>50</v>
      </c>
      <c r="C3274">
        <v>3.3010000000000002</v>
      </c>
      <c r="D3274">
        <v>6.14</v>
      </c>
      <c r="E3274">
        <v>0</v>
      </c>
      <c r="F3274">
        <v>1.94</v>
      </c>
      <c r="G3274">
        <v>0</v>
      </c>
      <c r="H3274">
        <v>0.193</v>
      </c>
      <c r="I3274">
        <v>6.5720000000000001</v>
      </c>
      <c r="K3274">
        <v>3272</v>
      </c>
      <c r="L3274">
        <v>50</v>
      </c>
      <c r="M3274" s="32">
        <v>3.3010000000000002</v>
      </c>
      <c r="N3274" s="47">
        <v>6.1539999999999999</v>
      </c>
      <c r="P3274" s="32">
        <v>1.94</v>
      </c>
      <c r="R3274" s="47">
        <v>0.19500000000000001</v>
      </c>
      <c r="S3274" s="47">
        <v>6.4050000000000002</v>
      </c>
      <c r="T3274" s="31">
        <v>0</v>
      </c>
      <c r="V3274">
        <v>3272</v>
      </c>
      <c r="W3274">
        <v>46</v>
      </c>
      <c r="X3274">
        <v>3.3130000000000002</v>
      </c>
      <c r="Y3274" s="32">
        <v>6.28</v>
      </c>
      <c r="Z3274">
        <v>0</v>
      </c>
      <c r="AA3274" s="32">
        <v>1.7769999999999999</v>
      </c>
      <c r="AB3274">
        <v>0</v>
      </c>
      <c r="AC3274" s="34">
        <v>0.23100000000000001</v>
      </c>
      <c r="AD3274" s="32">
        <v>5.8890000000000002</v>
      </c>
    </row>
    <row r="3275" spans="1:30">
      <c r="A3275">
        <v>3273</v>
      </c>
      <c r="B3275">
        <v>50</v>
      </c>
      <c r="C3275">
        <v>3.302</v>
      </c>
      <c r="D3275">
        <v>6.14</v>
      </c>
      <c r="E3275">
        <v>0</v>
      </c>
      <c r="F3275">
        <v>1.94</v>
      </c>
      <c r="G3275">
        <v>0</v>
      </c>
      <c r="H3275">
        <v>0.193</v>
      </c>
      <c r="I3275">
        <v>6.5750000000000002</v>
      </c>
      <c r="K3275">
        <v>3273</v>
      </c>
      <c r="L3275">
        <v>50</v>
      </c>
      <c r="M3275" s="32">
        <v>3.302</v>
      </c>
      <c r="N3275" s="47">
        <v>6.1680000000000001</v>
      </c>
      <c r="P3275" s="47">
        <v>1.9410000000000001</v>
      </c>
      <c r="R3275" s="47">
        <v>0.19500000000000001</v>
      </c>
      <c r="S3275" s="47">
        <v>6.4080000000000004</v>
      </c>
      <c r="T3275" s="31">
        <v>0</v>
      </c>
      <c r="V3275">
        <v>3273</v>
      </c>
      <c r="W3275">
        <v>46</v>
      </c>
      <c r="X3275">
        <v>3.3140000000000001</v>
      </c>
      <c r="Y3275" s="32">
        <v>6.28</v>
      </c>
      <c r="Z3275">
        <v>0</v>
      </c>
      <c r="AA3275" s="32">
        <v>1.7769999999999999</v>
      </c>
      <c r="AB3275">
        <v>0</v>
      </c>
      <c r="AC3275" s="34">
        <v>0.23100000000000001</v>
      </c>
      <c r="AD3275" s="32">
        <v>5.891</v>
      </c>
    </row>
    <row r="3276" spans="1:30">
      <c r="A3276">
        <v>3274</v>
      </c>
      <c r="B3276">
        <v>50</v>
      </c>
      <c r="C3276">
        <v>3.3029999999999999</v>
      </c>
      <c r="D3276">
        <v>6.14</v>
      </c>
      <c r="E3276">
        <v>0</v>
      </c>
      <c r="F3276">
        <v>1.94</v>
      </c>
      <c r="G3276">
        <v>0</v>
      </c>
      <c r="H3276">
        <v>0.193</v>
      </c>
      <c r="I3276">
        <v>6.5780000000000003</v>
      </c>
      <c r="K3276">
        <v>3274</v>
      </c>
      <c r="L3276">
        <v>50</v>
      </c>
      <c r="M3276" s="32">
        <v>3.3029999999999999</v>
      </c>
      <c r="N3276" s="47">
        <v>6.1820000000000004</v>
      </c>
      <c r="P3276" s="47">
        <v>1.9410000000000001</v>
      </c>
      <c r="R3276" s="47">
        <v>0.19500000000000001</v>
      </c>
      <c r="S3276" s="47">
        <v>6.4109999999999996</v>
      </c>
      <c r="T3276" s="31">
        <v>0</v>
      </c>
      <c r="V3276">
        <v>3274</v>
      </c>
      <c r="W3276">
        <v>46</v>
      </c>
      <c r="X3276">
        <v>3.3149999999999999</v>
      </c>
      <c r="Y3276" s="32">
        <v>6.28</v>
      </c>
      <c r="Z3276">
        <v>0</v>
      </c>
      <c r="AA3276" s="32">
        <v>1.7769999999999999</v>
      </c>
      <c r="AB3276">
        <v>0</v>
      </c>
      <c r="AC3276" s="34">
        <v>0.23100000000000001</v>
      </c>
      <c r="AD3276" s="32">
        <v>5.8940000000000001</v>
      </c>
    </row>
    <row r="3277" spans="1:30">
      <c r="A3277">
        <v>3275</v>
      </c>
      <c r="B3277">
        <v>50</v>
      </c>
      <c r="C3277">
        <v>3.3039999999999998</v>
      </c>
      <c r="D3277">
        <v>6.14</v>
      </c>
      <c r="E3277">
        <v>0</v>
      </c>
      <c r="F3277">
        <v>1.94</v>
      </c>
      <c r="G3277">
        <v>0</v>
      </c>
      <c r="H3277">
        <v>0.193</v>
      </c>
      <c r="I3277">
        <v>6.58</v>
      </c>
      <c r="K3277">
        <v>3275</v>
      </c>
      <c r="L3277">
        <v>50</v>
      </c>
      <c r="M3277" s="32">
        <v>3.3039999999999998</v>
      </c>
      <c r="N3277" s="47">
        <v>6.1959999999999997</v>
      </c>
      <c r="P3277" s="47">
        <v>1.9410000000000001</v>
      </c>
      <c r="R3277" s="47">
        <v>0.19500000000000001</v>
      </c>
      <c r="S3277" s="47">
        <v>6.4139999999999997</v>
      </c>
      <c r="T3277" s="31">
        <v>0</v>
      </c>
      <c r="V3277">
        <v>3275</v>
      </c>
      <c r="W3277">
        <v>46</v>
      </c>
      <c r="X3277">
        <v>3.3159999999999998</v>
      </c>
      <c r="Y3277" s="32">
        <v>6.28</v>
      </c>
      <c r="Z3277">
        <v>0</v>
      </c>
      <c r="AA3277" s="32">
        <v>1.778</v>
      </c>
      <c r="AB3277">
        <v>0</v>
      </c>
      <c r="AC3277" s="34">
        <v>0.23100000000000001</v>
      </c>
      <c r="AD3277" s="32">
        <v>5.8959999999999999</v>
      </c>
    </row>
    <row r="3278" spans="1:30">
      <c r="A3278">
        <v>3276</v>
      </c>
      <c r="B3278">
        <v>50</v>
      </c>
      <c r="C3278">
        <v>3.3050000000000002</v>
      </c>
      <c r="D3278">
        <v>6.14</v>
      </c>
      <c r="E3278">
        <v>0</v>
      </c>
      <c r="F3278">
        <v>1.94</v>
      </c>
      <c r="G3278">
        <v>0</v>
      </c>
      <c r="H3278">
        <v>0.193</v>
      </c>
      <c r="I3278">
        <v>6.5830000000000002</v>
      </c>
      <c r="K3278">
        <v>3276</v>
      </c>
      <c r="L3278">
        <v>50</v>
      </c>
      <c r="M3278" s="32">
        <v>3.3050000000000002</v>
      </c>
      <c r="N3278" s="47">
        <v>6.21</v>
      </c>
      <c r="P3278" s="47">
        <v>1.9419999999999999</v>
      </c>
      <c r="R3278" s="47">
        <v>0.19500000000000001</v>
      </c>
      <c r="S3278" s="47">
        <v>6.4169999999999998</v>
      </c>
      <c r="T3278" s="31">
        <v>0</v>
      </c>
      <c r="V3278">
        <v>3276</v>
      </c>
      <c r="W3278">
        <v>46</v>
      </c>
      <c r="X3278">
        <v>3.3170000000000002</v>
      </c>
      <c r="Y3278" s="32">
        <v>6.28</v>
      </c>
      <c r="Z3278">
        <v>0</v>
      </c>
      <c r="AA3278" s="32">
        <v>1.778</v>
      </c>
      <c r="AB3278">
        <v>0</v>
      </c>
      <c r="AC3278" s="34">
        <v>0.23100000000000001</v>
      </c>
      <c r="AD3278" s="32">
        <v>5.899</v>
      </c>
    </row>
    <row r="3279" spans="1:30">
      <c r="A3279">
        <v>3277</v>
      </c>
      <c r="B3279">
        <v>50</v>
      </c>
      <c r="C3279">
        <v>3.306</v>
      </c>
      <c r="D3279">
        <v>6.14</v>
      </c>
      <c r="E3279">
        <v>0</v>
      </c>
      <c r="F3279">
        <v>1.94</v>
      </c>
      <c r="G3279">
        <v>0</v>
      </c>
      <c r="H3279">
        <v>0.193</v>
      </c>
      <c r="I3279">
        <v>6.5860000000000003</v>
      </c>
      <c r="K3279">
        <v>3277</v>
      </c>
      <c r="L3279">
        <v>50</v>
      </c>
      <c r="M3279" s="32">
        <v>3.306</v>
      </c>
      <c r="N3279" s="47">
        <v>6.2240000000000002</v>
      </c>
      <c r="P3279" s="47">
        <v>1.9419999999999999</v>
      </c>
      <c r="R3279" s="47">
        <v>0.19500000000000001</v>
      </c>
      <c r="S3279" s="47">
        <v>6.4189999999999996</v>
      </c>
      <c r="T3279" s="31">
        <v>0</v>
      </c>
      <c r="V3279">
        <v>3277</v>
      </c>
      <c r="W3279">
        <v>46</v>
      </c>
      <c r="X3279">
        <v>3.3180000000000001</v>
      </c>
      <c r="Y3279" s="32">
        <v>6.28</v>
      </c>
      <c r="Z3279">
        <v>0</v>
      </c>
      <c r="AA3279" s="32">
        <v>1.778</v>
      </c>
      <c r="AB3279">
        <v>0</v>
      </c>
      <c r="AC3279" s="34">
        <v>0.23100000000000001</v>
      </c>
      <c r="AD3279" s="32">
        <v>5.9009999999999998</v>
      </c>
    </row>
    <row r="3280" spans="1:30">
      <c r="A3280">
        <v>3278</v>
      </c>
      <c r="B3280">
        <v>50</v>
      </c>
      <c r="C3280">
        <v>3.3069999999999999</v>
      </c>
      <c r="D3280">
        <v>6.14</v>
      </c>
      <c r="E3280">
        <v>0</v>
      </c>
      <c r="F3280">
        <v>1.94</v>
      </c>
      <c r="G3280">
        <v>0</v>
      </c>
      <c r="H3280">
        <v>0.193</v>
      </c>
      <c r="I3280">
        <v>6.5890000000000004</v>
      </c>
      <c r="K3280">
        <v>3278</v>
      </c>
      <c r="L3280">
        <v>50</v>
      </c>
      <c r="M3280" s="32">
        <v>3.3069999999999999</v>
      </c>
      <c r="N3280" s="47">
        <v>6.2380000000000004</v>
      </c>
      <c r="P3280" s="47">
        <v>1.9419999999999999</v>
      </c>
      <c r="R3280" s="47">
        <v>0.19500000000000001</v>
      </c>
      <c r="S3280" s="47">
        <v>6.4219999999999997</v>
      </c>
      <c r="T3280" s="31">
        <v>0</v>
      </c>
      <c r="V3280">
        <v>3278</v>
      </c>
      <c r="W3280">
        <v>46</v>
      </c>
      <c r="X3280">
        <v>3.319</v>
      </c>
      <c r="Y3280" s="32">
        <v>6.28</v>
      </c>
      <c r="Z3280">
        <v>0</v>
      </c>
      <c r="AA3280" s="32">
        <v>1.778</v>
      </c>
      <c r="AB3280">
        <v>0</v>
      </c>
      <c r="AC3280" s="34">
        <v>0.23100000000000001</v>
      </c>
      <c r="AD3280" s="32">
        <v>5.9039999999999999</v>
      </c>
    </row>
    <row r="3281" spans="1:30">
      <c r="A3281">
        <v>3279</v>
      </c>
      <c r="B3281">
        <v>50</v>
      </c>
      <c r="C3281">
        <v>3.3079999999999998</v>
      </c>
      <c r="D3281">
        <v>6.14</v>
      </c>
      <c r="E3281">
        <v>0</v>
      </c>
      <c r="F3281">
        <v>1.94</v>
      </c>
      <c r="G3281">
        <v>0</v>
      </c>
      <c r="H3281">
        <v>0.193</v>
      </c>
      <c r="I3281">
        <v>6.5910000000000002</v>
      </c>
      <c r="K3281">
        <v>3279</v>
      </c>
      <c r="L3281">
        <v>50</v>
      </c>
      <c r="M3281" s="32">
        <v>3.3079999999999998</v>
      </c>
      <c r="N3281" s="47">
        <v>6.2519999999999998</v>
      </c>
      <c r="P3281" s="47">
        <v>1.9419999999999999</v>
      </c>
      <c r="R3281" s="47">
        <v>0.19500000000000001</v>
      </c>
      <c r="S3281" s="47">
        <v>6.4249999999999998</v>
      </c>
      <c r="T3281" s="31">
        <v>0</v>
      </c>
      <c r="V3281">
        <v>3279</v>
      </c>
      <c r="W3281">
        <v>46</v>
      </c>
      <c r="X3281">
        <v>3.32</v>
      </c>
      <c r="Y3281" s="32">
        <v>6.28</v>
      </c>
      <c r="Z3281">
        <v>0</v>
      </c>
      <c r="AA3281" s="32">
        <v>1.7789999999999999</v>
      </c>
      <c r="AB3281">
        <v>0</v>
      </c>
      <c r="AC3281" s="34">
        <v>0.23100000000000001</v>
      </c>
      <c r="AD3281" s="32">
        <v>5.9059999999999997</v>
      </c>
    </row>
    <row r="3282" spans="1:30">
      <c r="A3282">
        <v>3280</v>
      </c>
      <c r="B3282">
        <v>50</v>
      </c>
      <c r="C3282">
        <v>3.3090000000000002</v>
      </c>
      <c r="D3282">
        <v>6.14</v>
      </c>
      <c r="E3282">
        <v>0</v>
      </c>
      <c r="F3282">
        <v>1.94</v>
      </c>
      <c r="G3282">
        <v>0</v>
      </c>
      <c r="H3282">
        <v>0.193</v>
      </c>
      <c r="I3282">
        <v>6.5940000000000003</v>
      </c>
      <c r="K3282">
        <v>3280</v>
      </c>
      <c r="L3282">
        <v>50</v>
      </c>
      <c r="M3282" s="32">
        <v>3.3090000000000002</v>
      </c>
      <c r="N3282" s="47">
        <v>6.266</v>
      </c>
      <c r="P3282" s="47">
        <v>1.9430000000000001</v>
      </c>
      <c r="R3282" s="47">
        <v>0.19500000000000001</v>
      </c>
      <c r="S3282" s="47">
        <v>6.4279999999999999</v>
      </c>
      <c r="T3282" s="31">
        <v>0</v>
      </c>
      <c r="V3282">
        <v>3280</v>
      </c>
      <c r="W3282">
        <v>46</v>
      </c>
      <c r="X3282">
        <v>3.3210000000000002</v>
      </c>
      <c r="Y3282" s="32">
        <v>6.28</v>
      </c>
      <c r="Z3282">
        <v>0</v>
      </c>
      <c r="AA3282" s="32">
        <v>1.7789999999999999</v>
      </c>
      <c r="AB3282">
        <v>0</v>
      </c>
      <c r="AC3282" s="34">
        <v>0.23100000000000001</v>
      </c>
      <c r="AD3282" s="32">
        <v>5.9089999999999998</v>
      </c>
    </row>
    <row r="3283" spans="1:30">
      <c r="P3283" s="32"/>
      <c r="R3283" s="32"/>
      <c r="S3283" s="32"/>
      <c r="V3283">
        <v>3281</v>
      </c>
      <c r="W3283">
        <v>47</v>
      </c>
      <c r="X3283">
        <v>3.3220000000000001</v>
      </c>
      <c r="Y3283" s="32">
        <v>6.28</v>
      </c>
      <c r="Z3283">
        <v>0</v>
      </c>
      <c r="AA3283" s="32">
        <v>1.7789999999999999</v>
      </c>
      <c r="AB3283">
        <v>0</v>
      </c>
      <c r="AC3283" s="34">
        <v>0.23100000000000001</v>
      </c>
      <c r="AD3283" s="32">
        <v>5.9109999999999996</v>
      </c>
    </row>
    <row r="3284" spans="1:30">
      <c r="V3284">
        <v>3282</v>
      </c>
      <c r="W3284">
        <v>47</v>
      </c>
      <c r="X3284">
        <v>3.323</v>
      </c>
      <c r="Y3284" s="32">
        <v>6.28</v>
      </c>
      <c r="Z3284">
        <v>0</v>
      </c>
      <c r="AA3284" s="32">
        <v>1.7789999999999999</v>
      </c>
      <c r="AB3284">
        <v>0</v>
      </c>
      <c r="AC3284" s="34">
        <v>0.23100000000000001</v>
      </c>
      <c r="AD3284" s="32">
        <v>5.9139999999999997</v>
      </c>
    </row>
    <row r="3285" spans="1:30">
      <c r="V3285">
        <v>3283</v>
      </c>
      <c r="W3285">
        <v>47</v>
      </c>
      <c r="X3285">
        <v>3.3239999999999998</v>
      </c>
      <c r="Y3285" s="32">
        <v>6.28</v>
      </c>
      <c r="Z3285">
        <v>0</v>
      </c>
      <c r="AA3285" s="32">
        <v>1.7789999999999999</v>
      </c>
      <c r="AB3285">
        <v>0</v>
      </c>
      <c r="AC3285" s="34">
        <v>0.23100000000000001</v>
      </c>
      <c r="AD3285" s="32">
        <v>5.9160000000000004</v>
      </c>
    </row>
    <row r="3286" spans="1:30">
      <c r="V3286">
        <v>3284</v>
      </c>
      <c r="W3286">
        <v>47</v>
      </c>
      <c r="X3286">
        <v>3.3250000000000002</v>
      </c>
      <c r="Y3286" s="32">
        <v>6.28</v>
      </c>
      <c r="Z3286">
        <v>0</v>
      </c>
      <c r="AA3286" s="32">
        <v>1.78</v>
      </c>
      <c r="AB3286">
        <v>0</v>
      </c>
      <c r="AC3286" s="34">
        <v>0.23100000000000001</v>
      </c>
      <c r="AD3286" s="32">
        <v>5.9189999999999996</v>
      </c>
    </row>
    <row r="3287" spans="1:30">
      <c r="V3287">
        <v>3285</v>
      </c>
      <c r="W3287">
        <v>47</v>
      </c>
      <c r="X3287">
        <v>3.3260000000000001</v>
      </c>
      <c r="Y3287" s="32">
        <v>6.28</v>
      </c>
      <c r="Z3287">
        <v>0</v>
      </c>
      <c r="AA3287" s="32">
        <v>1.78</v>
      </c>
      <c r="AB3287">
        <v>0</v>
      </c>
      <c r="AC3287" s="34">
        <v>0.23100000000000001</v>
      </c>
      <c r="AD3287" s="32">
        <v>5.9210000000000003</v>
      </c>
    </row>
    <row r="3288" spans="1:30">
      <c r="V3288">
        <v>3286</v>
      </c>
      <c r="W3288">
        <v>47</v>
      </c>
      <c r="X3288">
        <v>3.327</v>
      </c>
      <c r="Y3288" s="32">
        <v>6.28</v>
      </c>
      <c r="Z3288">
        <v>0</v>
      </c>
      <c r="AA3288" s="32">
        <v>1.78</v>
      </c>
      <c r="AB3288">
        <v>0</v>
      </c>
      <c r="AC3288" s="34">
        <v>0.23100000000000001</v>
      </c>
      <c r="AD3288" s="32">
        <v>5.9240000000000004</v>
      </c>
    </row>
    <row r="3289" spans="1:30">
      <c r="V3289">
        <v>3287</v>
      </c>
      <c r="W3289">
        <v>47</v>
      </c>
      <c r="X3289">
        <v>3.3279999999999998</v>
      </c>
      <c r="Y3289" s="32">
        <v>6.28</v>
      </c>
      <c r="Z3289">
        <v>0</v>
      </c>
      <c r="AA3289" s="32">
        <v>1.78</v>
      </c>
      <c r="AB3289">
        <v>0</v>
      </c>
      <c r="AC3289" s="34">
        <v>0.23100000000000001</v>
      </c>
      <c r="AD3289" s="32">
        <v>5.9260000000000002</v>
      </c>
    </row>
    <row r="3290" spans="1:30">
      <c r="V3290">
        <v>3288</v>
      </c>
      <c r="W3290">
        <v>47</v>
      </c>
      <c r="X3290">
        <v>3.3290000000000002</v>
      </c>
      <c r="Y3290" s="32">
        <v>6.28</v>
      </c>
      <c r="Z3290">
        <v>0</v>
      </c>
      <c r="AA3290" s="32">
        <v>1.7809999999999999</v>
      </c>
      <c r="AB3290">
        <v>0</v>
      </c>
      <c r="AC3290" s="34">
        <v>0.23100000000000001</v>
      </c>
      <c r="AD3290" s="32">
        <v>5.9290000000000003</v>
      </c>
    </row>
    <row r="3291" spans="1:30">
      <c r="V3291">
        <v>3289</v>
      </c>
      <c r="W3291">
        <v>47</v>
      </c>
      <c r="X3291">
        <v>3.33</v>
      </c>
      <c r="Y3291" s="32">
        <v>6.28</v>
      </c>
      <c r="Z3291">
        <v>0</v>
      </c>
      <c r="AA3291" s="32">
        <v>1.7809999999999999</v>
      </c>
      <c r="AB3291">
        <v>0</v>
      </c>
      <c r="AC3291" s="34">
        <v>0.23100000000000001</v>
      </c>
      <c r="AD3291" s="32">
        <v>5.931</v>
      </c>
    </row>
    <row r="3292" spans="1:30">
      <c r="V3292">
        <v>3290</v>
      </c>
      <c r="W3292">
        <v>47</v>
      </c>
      <c r="X3292">
        <v>3.331</v>
      </c>
      <c r="Y3292" s="32">
        <v>6.28</v>
      </c>
      <c r="Z3292">
        <v>0</v>
      </c>
      <c r="AA3292" s="32">
        <v>1.7809999999999999</v>
      </c>
      <c r="AB3292">
        <v>0</v>
      </c>
      <c r="AC3292" s="34">
        <v>0.23100000000000001</v>
      </c>
      <c r="AD3292" s="32">
        <v>5.9340000000000002</v>
      </c>
    </row>
    <row r="3293" spans="1:30">
      <c r="V3293">
        <v>3291</v>
      </c>
      <c r="W3293">
        <v>47</v>
      </c>
      <c r="X3293">
        <v>3.3319999999999999</v>
      </c>
      <c r="Y3293" s="32">
        <v>6.28</v>
      </c>
      <c r="Z3293">
        <v>0</v>
      </c>
      <c r="AA3293" s="32">
        <v>1.7809999999999999</v>
      </c>
      <c r="AB3293">
        <v>0</v>
      </c>
      <c r="AC3293" s="34">
        <v>0.23100000000000001</v>
      </c>
      <c r="AD3293" s="32">
        <v>5.9359999999999999</v>
      </c>
    </row>
    <row r="3294" spans="1:30">
      <c r="V3294">
        <v>3292</v>
      </c>
      <c r="W3294">
        <v>47</v>
      </c>
      <c r="X3294">
        <v>3.3330000000000002</v>
      </c>
      <c r="Y3294" s="32">
        <v>6.28</v>
      </c>
      <c r="Z3294">
        <v>0</v>
      </c>
      <c r="AA3294" s="32">
        <v>1.782</v>
      </c>
      <c r="AB3294">
        <v>0</v>
      </c>
      <c r="AC3294" s="34">
        <v>0.23100000000000001</v>
      </c>
      <c r="AD3294" s="32">
        <v>5.9390000000000001</v>
      </c>
    </row>
    <row r="3295" spans="1:30">
      <c r="V3295">
        <v>3293</v>
      </c>
      <c r="W3295">
        <v>47</v>
      </c>
      <c r="X3295">
        <v>3.3340000000000001</v>
      </c>
      <c r="Y3295" s="32">
        <v>6.28</v>
      </c>
      <c r="Z3295">
        <v>0</v>
      </c>
      <c r="AA3295" s="32">
        <v>1.782</v>
      </c>
      <c r="AB3295">
        <v>0</v>
      </c>
      <c r="AC3295" s="34">
        <v>0.23100000000000001</v>
      </c>
      <c r="AD3295" s="32">
        <v>5.9409999999999998</v>
      </c>
    </row>
    <row r="3296" spans="1:30">
      <c r="V3296">
        <v>3294</v>
      </c>
      <c r="W3296">
        <v>47</v>
      </c>
      <c r="X3296">
        <v>3.335</v>
      </c>
      <c r="Y3296" s="32">
        <v>6.28</v>
      </c>
      <c r="Z3296">
        <v>0</v>
      </c>
      <c r="AA3296" s="32">
        <v>1.782</v>
      </c>
      <c r="AB3296">
        <v>0</v>
      </c>
      <c r="AC3296" s="34">
        <v>0.23100000000000001</v>
      </c>
      <c r="AD3296" s="32">
        <v>5.944</v>
      </c>
    </row>
    <row r="3297" spans="22:30">
      <c r="V3297">
        <v>3295</v>
      </c>
      <c r="W3297">
        <v>47</v>
      </c>
      <c r="X3297">
        <v>3.3359999999999999</v>
      </c>
      <c r="Y3297" s="32">
        <v>6.28</v>
      </c>
      <c r="Z3297">
        <v>0</v>
      </c>
      <c r="AA3297" s="32">
        <v>1.782</v>
      </c>
      <c r="AB3297">
        <v>0</v>
      </c>
      <c r="AC3297" s="34">
        <v>0.23100000000000001</v>
      </c>
      <c r="AD3297" s="32">
        <v>5.9459999999999997</v>
      </c>
    </row>
    <row r="3298" spans="22:30">
      <c r="V3298">
        <v>3296</v>
      </c>
      <c r="W3298">
        <v>47</v>
      </c>
      <c r="X3298">
        <v>3.3370000000000002</v>
      </c>
      <c r="Y3298" s="32">
        <v>6.28</v>
      </c>
      <c r="Z3298">
        <v>0</v>
      </c>
      <c r="AA3298" s="32">
        <v>1.782</v>
      </c>
      <c r="AB3298">
        <v>0</v>
      </c>
      <c r="AC3298" s="34">
        <v>0.23100000000000001</v>
      </c>
      <c r="AD3298" s="32">
        <v>5.9489999999999998</v>
      </c>
    </row>
    <row r="3299" spans="22:30">
      <c r="V3299">
        <v>3297</v>
      </c>
      <c r="W3299">
        <v>47</v>
      </c>
      <c r="X3299">
        <v>3.3380000000000001</v>
      </c>
      <c r="Y3299" s="32">
        <v>6.28</v>
      </c>
      <c r="Z3299">
        <v>0</v>
      </c>
      <c r="AA3299" s="32">
        <v>1.7829999999999999</v>
      </c>
      <c r="AB3299">
        <v>0</v>
      </c>
      <c r="AC3299" s="34">
        <v>0.23100000000000001</v>
      </c>
      <c r="AD3299" s="32">
        <v>5.952</v>
      </c>
    </row>
    <row r="3300" spans="22:30">
      <c r="V3300">
        <v>3298</v>
      </c>
      <c r="W3300">
        <v>47</v>
      </c>
      <c r="X3300">
        <v>3.339</v>
      </c>
      <c r="Y3300" s="32">
        <v>6.28</v>
      </c>
      <c r="Z3300">
        <v>0</v>
      </c>
      <c r="AA3300" s="32">
        <v>1.7829999999999999</v>
      </c>
      <c r="AB3300">
        <v>0</v>
      </c>
      <c r="AC3300" s="34">
        <v>0.23100000000000001</v>
      </c>
      <c r="AD3300" s="32">
        <v>5.9539999999999997</v>
      </c>
    </row>
    <row r="3301" spans="22:30">
      <c r="V3301">
        <v>3299</v>
      </c>
      <c r="W3301">
        <v>47</v>
      </c>
      <c r="X3301">
        <v>3.34</v>
      </c>
      <c r="Y3301" s="32">
        <v>6.28</v>
      </c>
      <c r="Z3301">
        <v>0</v>
      </c>
      <c r="AA3301" s="32">
        <v>1.7829999999999999</v>
      </c>
      <c r="AB3301">
        <v>0</v>
      </c>
      <c r="AC3301" s="34">
        <v>0.23100000000000001</v>
      </c>
      <c r="AD3301" s="32">
        <v>5.9569999999999999</v>
      </c>
    </row>
    <row r="3302" spans="22:30">
      <c r="V3302">
        <v>3300</v>
      </c>
      <c r="W3302">
        <v>47</v>
      </c>
      <c r="X3302">
        <v>3.3410000000000002</v>
      </c>
      <c r="Y3302" s="32">
        <v>6.28</v>
      </c>
      <c r="Z3302">
        <v>0</v>
      </c>
      <c r="AA3302" s="32">
        <v>1.7829999999999999</v>
      </c>
      <c r="AB3302">
        <v>0</v>
      </c>
      <c r="AC3302" s="34">
        <v>0.23100000000000001</v>
      </c>
      <c r="AD3302" s="32">
        <v>5.9589999999999996</v>
      </c>
    </row>
    <row r="3303" spans="22:30">
      <c r="V3303">
        <v>3301</v>
      </c>
      <c r="W3303">
        <v>47</v>
      </c>
      <c r="X3303">
        <v>3.3420000000000001</v>
      </c>
      <c r="Y3303" s="32">
        <v>6.28</v>
      </c>
      <c r="Z3303">
        <v>0</v>
      </c>
      <c r="AA3303" s="32">
        <v>1.784</v>
      </c>
      <c r="AB3303">
        <v>0</v>
      </c>
      <c r="AC3303" s="34">
        <v>0.23100000000000001</v>
      </c>
      <c r="AD3303" s="32">
        <v>5.9619999999999997</v>
      </c>
    </row>
    <row r="3304" spans="22:30">
      <c r="V3304">
        <v>3302</v>
      </c>
      <c r="W3304">
        <v>47</v>
      </c>
      <c r="X3304">
        <v>3.343</v>
      </c>
      <c r="Y3304" s="32">
        <v>6.28</v>
      </c>
      <c r="Z3304">
        <v>0</v>
      </c>
      <c r="AA3304" s="32">
        <v>1.784</v>
      </c>
      <c r="AB3304">
        <v>0</v>
      </c>
      <c r="AC3304" s="34">
        <v>0.23100000000000001</v>
      </c>
      <c r="AD3304" s="32">
        <v>5.9640000000000004</v>
      </c>
    </row>
    <row r="3305" spans="22:30">
      <c r="V3305">
        <v>3303</v>
      </c>
      <c r="W3305">
        <v>47</v>
      </c>
      <c r="X3305">
        <v>3.3439999999999999</v>
      </c>
      <c r="Y3305" s="32">
        <v>6.28</v>
      </c>
      <c r="Z3305">
        <v>0</v>
      </c>
      <c r="AA3305" s="32">
        <v>1.784</v>
      </c>
      <c r="AB3305">
        <v>0</v>
      </c>
      <c r="AC3305" s="34">
        <v>0.23100000000000001</v>
      </c>
      <c r="AD3305" s="32">
        <v>5.9669999999999996</v>
      </c>
    </row>
    <row r="3306" spans="22:30">
      <c r="V3306">
        <v>3304</v>
      </c>
      <c r="W3306">
        <v>47</v>
      </c>
      <c r="X3306">
        <v>3.3450000000000002</v>
      </c>
      <c r="Y3306" s="32">
        <v>6.28</v>
      </c>
      <c r="Z3306">
        <v>0</v>
      </c>
      <c r="AA3306" s="32">
        <v>1.784</v>
      </c>
      <c r="AB3306">
        <v>0</v>
      </c>
      <c r="AC3306" s="34">
        <v>0.23200000000000001</v>
      </c>
      <c r="AD3306" s="32">
        <v>5.9690000000000003</v>
      </c>
    </row>
    <row r="3307" spans="22:30">
      <c r="V3307">
        <v>3305</v>
      </c>
      <c r="W3307">
        <v>47</v>
      </c>
      <c r="X3307">
        <v>3.3460000000000001</v>
      </c>
      <c r="Y3307" s="32">
        <v>6.28</v>
      </c>
      <c r="Z3307">
        <v>0</v>
      </c>
      <c r="AA3307" s="32">
        <v>1.784</v>
      </c>
      <c r="AB3307">
        <v>0</v>
      </c>
      <c r="AC3307" s="34">
        <v>0.23200000000000001</v>
      </c>
      <c r="AD3307" s="32">
        <v>5.9720000000000004</v>
      </c>
    </row>
    <row r="3308" spans="22:30">
      <c r="V3308">
        <v>3306</v>
      </c>
      <c r="W3308">
        <v>47</v>
      </c>
      <c r="X3308">
        <v>3.347</v>
      </c>
      <c r="Y3308" s="32">
        <v>6.28</v>
      </c>
      <c r="Z3308">
        <v>0</v>
      </c>
      <c r="AA3308" s="32">
        <v>1.7849999999999999</v>
      </c>
      <c r="AB3308">
        <v>0</v>
      </c>
      <c r="AC3308" s="34">
        <v>0.23200000000000001</v>
      </c>
      <c r="AD3308" s="32">
        <v>5.9740000000000002</v>
      </c>
    </row>
    <row r="3309" spans="22:30">
      <c r="V3309">
        <v>3307</v>
      </c>
      <c r="W3309">
        <v>47</v>
      </c>
      <c r="X3309">
        <v>3.3479999999999999</v>
      </c>
      <c r="Y3309" s="32">
        <v>6.28</v>
      </c>
      <c r="Z3309">
        <v>0</v>
      </c>
      <c r="AA3309" s="32">
        <v>1.7849999999999999</v>
      </c>
      <c r="AB3309">
        <v>0</v>
      </c>
      <c r="AC3309" s="34">
        <v>0.23200000000000001</v>
      </c>
      <c r="AD3309" s="32">
        <v>5.9770000000000003</v>
      </c>
    </row>
    <row r="3310" spans="22:30">
      <c r="V3310">
        <v>3308</v>
      </c>
      <c r="W3310">
        <v>47</v>
      </c>
      <c r="X3310">
        <v>3.3490000000000002</v>
      </c>
      <c r="Y3310" s="32">
        <v>6.28</v>
      </c>
      <c r="Z3310">
        <v>0</v>
      </c>
      <c r="AA3310" s="32">
        <v>1.7849999999999999</v>
      </c>
      <c r="AB3310">
        <v>0</v>
      </c>
      <c r="AC3310" s="34">
        <v>0.23200000000000001</v>
      </c>
      <c r="AD3310" s="32">
        <v>5.9790000000000001</v>
      </c>
    </row>
    <row r="3311" spans="22:30">
      <c r="V3311">
        <v>3309</v>
      </c>
      <c r="W3311">
        <v>47</v>
      </c>
      <c r="X3311">
        <v>3.35</v>
      </c>
      <c r="Y3311" s="32">
        <v>6.28</v>
      </c>
      <c r="Z3311">
        <v>0</v>
      </c>
      <c r="AA3311" s="32">
        <v>1.7849999999999999</v>
      </c>
      <c r="AB3311">
        <v>0</v>
      </c>
      <c r="AC3311" s="34">
        <v>0.23200000000000001</v>
      </c>
      <c r="AD3311" s="32">
        <v>5.9820000000000002</v>
      </c>
    </row>
    <row r="3312" spans="22:30">
      <c r="V3312">
        <v>3310</v>
      </c>
      <c r="W3312">
        <v>47</v>
      </c>
      <c r="X3312">
        <v>3.351</v>
      </c>
      <c r="Y3312" s="32">
        <v>6.28</v>
      </c>
      <c r="Z3312">
        <v>0</v>
      </c>
      <c r="AA3312" s="32">
        <v>1.786</v>
      </c>
      <c r="AB3312">
        <v>0</v>
      </c>
      <c r="AC3312" s="34">
        <v>0.23200000000000001</v>
      </c>
      <c r="AD3312" s="32">
        <v>5.984</v>
      </c>
    </row>
    <row r="3313" spans="22:30">
      <c r="V3313">
        <v>3311</v>
      </c>
      <c r="W3313">
        <v>47</v>
      </c>
      <c r="X3313">
        <v>3.3519999999999999</v>
      </c>
      <c r="Y3313" s="32">
        <v>6.28</v>
      </c>
      <c r="Z3313">
        <v>0</v>
      </c>
      <c r="AA3313" s="32">
        <v>1.786</v>
      </c>
      <c r="AB3313">
        <v>0</v>
      </c>
      <c r="AC3313" s="34">
        <v>0.23200000000000001</v>
      </c>
      <c r="AD3313" s="32">
        <v>5.9870000000000001</v>
      </c>
    </row>
    <row r="3314" spans="22:30">
      <c r="V3314">
        <v>3312</v>
      </c>
      <c r="W3314">
        <v>47</v>
      </c>
      <c r="X3314">
        <v>3.3530000000000002</v>
      </c>
      <c r="Y3314" s="32">
        <v>6.28</v>
      </c>
      <c r="Z3314">
        <v>0</v>
      </c>
      <c r="AA3314" s="32">
        <v>1.786</v>
      </c>
      <c r="AB3314">
        <v>0</v>
      </c>
      <c r="AC3314" s="34">
        <v>0.23200000000000001</v>
      </c>
      <c r="AD3314" s="32">
        <v>5.99</v>
      </c>
    </row>
    <row r="3315" spans="22:30">
      <c r="V3315">
        <v>3313</v>
      </c>
      <c r="W3315">
        <v>47</v>
      </c>
      <c r="X3315">
        <v>3.3540000000000001</v>
      </c>
      <c r="Y3315" s="32">
        <v>6.28</v>
      </c>
      <c r="Z3315">
        <v>0</v>
      </c>
      <c r="AA3315" s="32">
        <v>1.786</v>
      </c>
      <c r="AB3315">
        <v>0</v>
      </c>
      <c r="AC3315" s="34">
        <v>0.23200000000000001</v>
      </c>
      <c r="AD3315" s="32">
        <v>5.992</v>
      </c>
    </row>
    <row r="3316" spans="22:30">
      <c r="V3316">
        <v>3314</v>
      </c>
      <c r="W3316">
        <v>47</v>
      </c>
      <c r="X3316">
        <v>3.355</v>
      </c>
      <c r="Y3316" s="32">
        <v>6.28</v>
      </c>
      <c r="Z3316">
        <v>0</v>
      </c>
      <c r="AA3316" s="32">
        <v>1.7869999999999999</v>
      </c>
      <c r="AB3316">
        <v>0</v>
      </c>
      <c r="AC3316" s="34">
        <v>0.23200000000000001</v>
      </c>
      <c r="AD3316" s="32">
        <v>5.9950000000000001</v>
      </c>
    </row>
    <row r="3317" spans="22:30">
      <c r="V3317">
        <v>3315</v>
      </c>
      <c r="W3317">
        <v>47</v>
      </c>
      <c r="X3317">
        <v>3.3559999999999999</v>
      </c>
      <c r="Y3317" s="32">
        <v>6.28</v>
      </c>
      <c r="Z3317">
        <v>0</v>
      </c>
      <c r="AA3317" s="32">
        <v>1.7869999999999999</v>
      </c>
      <c r="AB3317">
        <v>0</v>
      </c>
      <c r="AC3317" s="34">
        <v>0.23200000000000001</v>
      </c>
      <c r="AD3317" s="32">
        <v>5.9969999999999999</v>
      </c>
    </row>
    <row r="3318" spans="22:30">
      <c r="V3318">
        <v>3316</v>
      </c>
      <c r="W3318">
        <v>47</v>
      </c>
      <c r="X3318">
        <v>3.3570000000000002</v>
      </c>
      <c r="Y3318" s="32">
        <v>6.28</v>
      </c>
      <c r="Z3318">
        <v>0</v>
      </c>
      <c r="AA3318" s="32">
        <v>1.7869999999999999</v>
      </c>
      <c r="AB3318">
        <v>0</v>
      </c>
      <c r="AC3318" s="34">
        <v>0.23200000000000001</v>
      </c>
      <c r="AD3318" s="32">
        <v>6</v>
      </c>
    </row>
    <row r="3319" spans="22:30">
      <c r="V3319">
        <v>3317</v>
      </c>
      <c r="W3319">
        <v>47</v>
      </c>
      <c r="X3319">
        <v>3.3580000000000001</v>
      </c>
      <c r="Y3319" s="32">
        <v>6.28</v>
      </c>
      <c r="Z3319">
        <v>0</v>
      </c>
      <c r="AA3319" s="32">
        <v>1.7869999999999999</v>
      </c>
      <c r="AB3319">
        <v>0</v>
      </c>
      <c r="AC3319" s="34">
        <v>0.23200000000000001</v>
      </c>
      <c r="AD3319" s="32">
        <v>6.0019999999999998</v>
      </c>
    </row>
    <row r="3320" spans="22:30">
      <c r="V3320">
        <v>3318</v>
      </c>
      <c r="W3320">
        <v>47</v>
      </c>
      <c r="X3320">
        <v>3.359</v>
      </c>
      <c r="Y3320" s="32">
        <v>6.28</v>
      </c>
      <c r="Z3320">
        <v>0</v>
      </c>
      <c r="AA3320" s="32">
        <v>1.7869999999999999</v>
      </c>
      <c r="AB3320">
        <v>0</v>
      </c>
      <c r="AC3320" s="34">
        <v>0.23200000000000001</v>
      </c>
      <c r="AD3320" s="32">
        <v>6.0049999999999999</v>
      </c>
    </row>
    <row r="3321" spans="22:30">
      <c r="V3321">
        <v>3319</v>
      </c>
      <c r="W3321">
        <v>47</v>
      </c>
      <c r="X3321">
        <v>3.36</v>
      </c>
      <c r="Y3321" s="32">
        <v>6.28</v>
      </c>
      <c r="Z3321">
        <v>0</v>
      </c>
      <c r="AA3321" s="32">
        <v>1.788</v>
      </c>
      <c r="AB3321">
        <v>0</v>
      </c>
      <c r="AC3321" s="34">
        <v>0.23200000000000001</v>
      </c>
      <c r="AD3321" s="32">
        <v>6.0069999999999997</v>
      </c>
    </row>
    <row r="3322" spans="22:30">
      <c r="V3322">
        <v>3320</v>
      </c>
      <c r="W3322">
        <v>47</v>
      </c>
      <c r="X3322">
        <v>3.3610000000000002</v>
      </c>
      <c r="Y3322" s="32">
        <v>6.28</v>
      </c>
      <c r="Z3322">
        <v>0</v>
      </c>
      <c r="AA3322" s="32">
        <v>1.788</v>
      </c>
      <c r="AB3322">
        <v>0</v>
      </c>
      <c r="AC3322" s="34">
        <v>0.23200000000000001</v>
      </c>
      <c r="AD3322" s="32">
        <v>6.01</v>
      </c>
    </row>
    <row r="3323" spans="22:30">
      <c r="V3323">
        <v>3321</v>
      </c>
      <c r="W3323">
        <v>47</v>
      </c>
      <c r="X3323">
        <v>3.3620000000000001</v>
      </c>
      <c r="Y3323" s="32">
        <v>6.28</v>
      </c>
      <c r="Z3323">
        <v>0</v>
      </c>
      <c r="AA3323" s="32">
        <v>1.788</v>
      </c>
      <c r="AB3323">
        <v>0</v>
      </c>
      <c r="AC3323" s="34">
        <v>0.23200000000000001</v>
      </c>
      <c r="AD3323" s="32">
        <v>6.0119999999999996</v>
      </c>
    </row>
    <row r="3324" spans="22:30">
      <c r="V3324">
        <v>3322</v>
      </c>
      <c r="W3324">
        <v>47</v>
      </c>
      <c r="X3324">
        <v>3.363</v>
      </c>
      <c r="Y3324" s="32">
        <v>6.28</v>
      </c>
      <c r="Z3324">
        <v>0</v>
      </c>
      <c r="AA3324" s="32">
        <v>1.788</v>
      </c>
      <c r="AB3324">
        <v>0</v>
      </c>
      <c r="AC3324" s="34">
        <v>0.23200000000000001</v>
      </c>
      <c r="AD3324" s="32">
        <v>6.0149999999999997</v>
      </c>
    </row>
    <row r="3325" spans="22:30">
      <c r="V3325">
        <v>3323</v>
      </c>
      <c r="W3325">
        <v>47</v>
      </c>
      <c r="X3325">
        <v>3.3639999999999999</v>
      </c>
      <c r="Y3325" s="32">
        <v>6.28</v>
      </c>
      <c r="Z3325">
        <v>0</v>
      </c>
      <c r="AA3325" s="32">
        <v>1.7889999999999999</v>
      </c>
      <c r="AB3325">
        <v>0</v>
      </c>
      <c r="AC3325" s="34">
        <v>0.23200000000000001</v>
      </c>
      <c r="AD3325" s="32">
        <v>6.0170000000000003</v>
      </c>
    </row>
    <row r="3326" spans="22:30">
      <c r="V3326">
        <v>3324</v>
      </c>
      <c r="W3326">
        <v>47</v>
      </c>
      <c r="X3326">
        <v>3.3650000000000002</v>
      </c>
      <c r="Y3326" s="32">
        <v>6.28</v>
      </c>
      <c r="Z3326">
        <v>0</v>
      </c>
      <c r="AA3326" s="32">
        <v>1.7889999999999999</v>
      </c>
      <c r="AB3326">
        <v>0</v>
      </c>
      <c r="AC3326" s="34">
        <v>0.23200000000000001</v>
      </c>
      <c r="AD3326" s="32">
        <v>6.02</v>
      </c>
    </row>
    <row r="3327" spans="22:30">
      <c r="V3327">
        <v>3325</v>
      </c>
      <c r="W3327">
        <v>47</v>
      </c>
      <c r="X3327">
        <v>3.3660000000000001</v>
      </c>
      <c r="Y3327" s="32">
        <v>6.28</v>
      </c>
      <c r="Z3327">
        <v>0</v>
      </c>
      <c r="AA3327" s="32">
        <v>1.7889999999999999</v>
      </c>
      <c r="AB3327">
        <v>0</v>
      </c>
      <c r="AC3327" s="34">
        <v>0.23200000000000001</v>
      </c>
      <c r="AD3327" s="32">
        <v>6.0220000000000002</v>
      </c>
    </row>
    <row r="3328" spans="22:30">
      <c r="V3328">
        <v>3326</v>
      </c>
      <c r="W3328">
        <v>47</v>
      </c>
      <c r="X3328">
        <v>3.367</v>
      </c>
      <c r="Y3328" s="32">
        <v>6.28</v>
      </c>
      <c r="Z3328">
        <v>0</v>
      </c>
      <c r="AA3328" s="32">
        <v>1.7889999999999999</v>
      </c>
      <c r="AB3328">
        <v>0</v>
      </c>
      <c r="AC3328" s="34">
        <v>0.23200000000000001</v>
      </c>
      <c r="AD3328" s="32">
        <v>6.0250000000000004</v>
      </c>
    </row>
    <row r="3329" spans="22:30">
      <c r="V3329">
        <v>3327</v>
      </c>
      <c r="W3329">
        <v>47</v>
      </c>
      <c r="X3329">
        <v>3.3679999999999999</v>
      </c>
      <c r="Y3329" s="32">
        <v>6.28</v>
      </c>
      <c r="Z3329">
        <v>0</v>
      </c>
      <c r="AA3329" s="32">
        <v>1.79</v>
      </c>
      <c r="AB3329">
        <v>0</v>
      </c>
      <c r="AC3329" s="34">
        <v>0.23200000000000001</v>
      </c>
      <c r="AD3329" s="32">
        <v>6.0279999999999996</v>
      </c>
    </row>
    <row r="3330" spans="22:30">
      <c r="V3330">
        <v>3328</v>
      </c>
      <c r="W3330">
        <v>47</v>
      </c>
      <c r="X3330">
        <v>3.3690000000000002</v>
      </c>
      <c r="Y3330" s="32">
        <v>6.28</v>
      </c>
      <c r="Z3330">
        <v>0</v>
      </c>
      <c r="AA3330" s="32">
        <v>1.79</v>
      </c>
      <c r="AB3330">
        <v>0</v>
      </c>
      <c r="AC3330" s="34">
        <v>0.23200000000000001</v>
      </c>
      <c r="AD3330" s="32">
        <v>6.03</v>
      </c>
    </row>
    <row r="3331" spans="22:30">
      <c r="V3331">
        <v>3329</v>
      </c>
      <c r="W3331">
        <v>47</v>
      </c>
      <c r="X3331">
        <v>3.37</v>
      </c>
      <c r="Y3331" s="32">
        <v>6.28</v>
      </c>
      <c r="Z3331">
        <v>0</v>
      </c>
      <c r="AA3331" s="32">
        <v>1.79</v>
      </c>
      <c r="AB3331">
        <v>0</v>
      </c>
      <c r="AC3331" s="34">
        <v>0.23200000000000001</v>
      </c>
      <c r="AD3331" s="32">
        <v>6.0330000000000004</v>
      </c>
    </row>
    <row r="3332" spans="22:30">
      <c r="V3332">
        <v>3330</v>
      </c>
      <c r="W3332">
        <v>47</v>
      </c>
      <c r="X3332">
        <v>3.371</v>
      </c>
      <c r="Y3332" s="32">
        <v>6.2949999999999999</v>
      </c>
      <c r="Z3332">
        <v>0</v>
      </c>
      <c r="AA3332" s="32">
        <v>1.79</v>
      </c>
      <c r="AB3332">
        <v>0</v>
      </c>
      <c r="AC3332" s="34">
        <v>0.23200000000000001</v>
      </c>
      <c r="AD3332" s="32">
        <v>6.0350000000000001</v>
      </c>
    </row>
    <row r="3333" spans="22:30">
      <c r="V3333">
        <v>3331</v>
      </c>
      <c r="W3333">
        <v>47</v>
      </c>
      <c r="X3333">
        <v>3.3719999999999999</v>
      </c>
      <c r="Y3333" s="32">
        <v>6.31</v>
      </c>
      <c r="Z3333">
        <v>0</v>
      </c>
      <c r="AA3333" s="32">
        <v>1.79</v>
      </c>
      <c r="AB3333">
        <v>0</v>
      </c>
      <c r="AC3333" s="34">
        <v>0.23200000000000001</v>
      </c>
      <c r="AD3333" s="32">
        <v>6.0380000000000003</v>
      </c>
    </row>
    <row r="3334" spans="22:30">
      <c r="V3334">
        <v>3332</v>
      </c>
      <c r="W3334">
        <v>47</v>
      </c>
      <c r="X3334">
        <v>3.3730000000000002</v>
      </c>
      <c r="Y3334" s="32">
        <v>6.3250000000000002</v>
      </c>
      <c r="Z3334">
        <v>0</v>
      </c>
      <c r="AA3334" s="32">
        <v>1.7909999999999999</v>
      </c>
      <c r="AB3334">
        <v>0</v>
      </c>
      <c r="AC3334" s="34">
        <v>0.23200000000000001</v>
      </c>
      <c r="AD3334" s="32">
        <v>6.04</v>
      </c>
    </row>
    <row r="3335" spans="22:30">
      <c r="V3335">
        <v>3333</v>
      </c>
      <c r="W3335">
        <v>47</v>
      </c>
      <c r="X3335">
        <v>3.3740000000000001</v>
      </c>
      <c r="Y3335" s="32">
        <v>6.34</v>
      </c>
      <c r="Z3335">
        <v>0</v>
      </c>
      <c r="AA3335" s="32">
        <v>1.7909999999999999</v>
      </c>
      <c r="AB3335">
        <v>0</v>
      </c>
      <c r="AC3335" s="34">
        <v>0.23200000000000001</v>
      </c>
      <c r="AD3335" s="32">
        <v>6.0430000000000001</v>
      </c>
    </row>
    <row r="3336" spans="22:30">
      <c r="V3336">
        <v>3334</v>
      </c>
      <c r="W3336">
        <v>47</v>
      </c>
      <c r="X3336">
        <v>3.375</v>
      </c>
      <c r="Y3336" s="32">
        <v>6.3550000000000004</v>
      </c>
      <c r="Z3336">
        <v>0</v>
      </c>
      <c r="AA3336" s="32">
        <v>1.7909999999999999</v>
      </c>
      <c r="AB3336">
        <v>0</v>
      </c>
      <c r="AC3336" s="34">
        <v>0.23200000000000001</v>
      </c>
      <c r="AD3336" s="32">
        <v>6.0449999999999999</v>
      </c>
    </row>
    <row r="3337" spans="22:30">
      <c r="V3337">
        <v>3335</v>
      </c>
      <c r="W3337">
        <v>47</v>
      </c>
      <c r="X3337">
        <v>3.3759999999999999</v>
      </c>
      <c r="Y3337" s="32">
        <v>6.37</v>
      </c>
      <c r="Z3337">
        <v>0</v>
      </c>
      <c r="AA3337" s="32">
        <v>1.7909999999999999</v>
      </c>
      <c r="AB3337">
        <v>0</v>
      </c>
      <c r="AC3337" s="34">
        <v>0.23200000000000001</v>
      </c>
      <c r="AD3337" s="32">
        <v>6.048</v>
      </c>
    </row>
    <row r="3338" spans="22:30">
      <c r="V3338">
        <v>3336</v>
      </c>
      <c r="W3338">
        <v>47</v>
      </c>
      <c r="X3338">
        <v>3.3769999999999998</v>
      </c>
      <c r="Y3338" s="32">
        <v>6.3849999999999998</v>
      </c>
      <c r="Z3338">
        <v>0</v>
      </c>
      <c r="AA3338" s="32">
        <v>1.792</v>
      </c>
      <c r="AB3338">
        <v>0</v>
      </c>
      <c r="AC3338" s="34">
        <v>0.23200000000000001</v>
      </c>
      <c r="AD3338" s="32">
        <v>6.05</v>
      </c>
    </row>
    <row r="3339" spans="22:30">
      <c r="V3339">
        <v>3337</v>
      </c>
      <c r="W3339">
        <v>47</v>
      </c>
      <c r="X3339">
        <v>3.3780000000000001</v>
      </c>
      <c r="Y3339" s="32">
        <v>6.4</v>
      </c>
      <c r="Z3339">
        <v>0</v>
      </c>
      <c r="AA3339" s="32">
        <v>1.792</v>
      </c>
      <c r="AB3339">
        <v>0</v>
      </c>
      <c r="AC3339" s="34">
        <v>0.23200000000000001</v>
      </c>
      <c r="AD3339" s="32">
        <v>6.0529999999999999</v>
      </c>
    </row>
    <row r="3340" spans="22:30">
      <c r="V3340">
        <v>3338</v>
      </c>
      <c r="W3340">
        <v>47</v>
      </c>
      <c r="X3340">
        <v>3.379</v>
      </c>
      <c r="Y3340" s="32">
        <v>6.415</v>
      </c>
      <c r="Z3340">
        <v>0</v>
      </c>
      <c r="AA3340" s="32">
        <v>1.792</v>
      </c>
      <c r="AB3340">
        <v>0</v>
      </c>
      <c r="AC3340" s="34">
        <v>0.23200000000000001</v>
      </c>
      <c r="AD3340" s="32">
        <v>6.0549999999999997</v>
      </c>
    </row>
    <row r="3341" spans="22:30">
      <c r="V3341">
        <v>3339</v>
      </c>
      <c r="W3341">
        <v>47</v>
      </c>
      <c r="X3341">
        <v>3.38</v>
      </c>
      <c r="Y3341" s="32">
        <v>6.43</v>
      </c>
      <c r="Z3341">
        <v>0</v>
      </c>
      <c r="AA3341" s="32">
        <v>1.792</v>
      </c>
      <c r="AB3341">
        <v>0</v>
      </c>
      <c r="AC3341" s="34">
        <v>0.23200000000000001</v>
      </c>
      <c r="AD3341" s="32">
        <v>6.0579999999999998</v>
      </c>
    </row>
    <row r="3342" spans="22:30">
      <c r="V3342">
        <v>3340</v>
      </c>
      <c r="W3342">
        <v>47</v>
      </c>
      <c r="X3342">
        <v>3.3809999999999998</v>
      </c>
      <c r="Y3342" s="32">
        <v>6.43</v>
      </c>
      <c r="Z3342">
        <v>0</v>
      </c>
      <c r="AA3342" s="32">
        <v>1.792</v>
      </c>
      <c r="AB3342">
        <v>0</v>
      </c>
      <c r="AC3342" s="34">
        <v>0.23200000000000001</v>
      </c>
      <c r="AD3342" s="32">
        <v>6.06</v>
      </c>
    </row>
    <row r="3343" spans="22:30">
      <c r="V3343">
        <v>3341</v>
      </c>
      <c r="W3343">
        <v>47</v>
      </c>
      <c r="X3343">
        <v>3.3820000000000001</v>
      </c>
      <c r="Y3343" s="32">
        <v>6.43</v>
      </c>
      <c r="Z3343">
        <v>0</v>
      </c>
      <c r="AA3343" s="32">
        <v>1.7929999999999999</v>
      </c>
      <c r="AB3343">
        <v>0</v>
      </c>
      <c r="AC3343" s="34">
        <v>0.23200000000000001</v>
      </c>
      <c r="AD3343" s="32">
        <v>6.0629999999999997</v>
      </c>
    </row>
    <row r="3344" spans="22:30">
      <c r="V3344">
        <v>3342</v>
      </c>
      <c r="W3344">
        <v>47</v>
      </c>
      <c r="X3344">
        <v>3.383</v>
      </c>
      <c r="Y3344" s="32">
        <v>6.43</v>
      </c>
      <c r="Z3344">
        <v>0</v>
      </c>
      <c r="AA3344" s="32">
        <v>1.7929999999999999</v>
      </c>
      <c r="AB3344">
        <v>0</v>
      </c>
      <c r="AC3344" s="34">
        <v>0.23200000000000001</v>
      </c>
      <c r="AD3344" s="32">
        <v>6.0650000000000004</v>
      </c>
    </row>
    <row r="3345" spans="22:30">
      <c r="V3345">
        <v>3343</v>
      </c>
      <c r="W3345">
        <v>47</v>
      </c>
      <c r="X3345">
        <v>3.3839999999999999</v>
      </c>
      <c r="Y3345" s="32">
        <v>6.43</v>
      </c>
      <c r="Z3345">
        <v>0</v>
      </c>
      <c r="AA3345" s="32">
        <v>1.7929999999999999</v>
      </c>
      <c r="AB3345">
        <v>0</v>
      </c>
      <c r="AC3345" s="34">
        <v>0.23200000000000001</v>
      </c>
      <c r="AD3345" s="32">
        <v>6.0679999999999996</v>
      </c>
    </row>
    <row r="3346" spans="22:30">
      <c r="V3346">
        <v>3344</v>
      </c>
      <c r="W3346">
        <v>47</v>
      </c>
      <c r="X3346">
        <v>3.3849999999999998</v>
      </c>
      <c r="Y3346" s="32">
        <v>6.43</v>
      </c>
      <c r="Z3346">
        <v>0</v>
      </c>
      <c r="AA3346" s="32">
        <v>1.7929999999999999</v>
      </c>
      <c r="AB3346">
        <v>0</v>
      </c>
      <c r="AC3346" s="34">
        <v>0.23200000000000001</v>
      </c>
      <c r="AD3346" s="32">
        <v>6.0709999999999997</v>
      </c>
    </row>
    <row r="3347" spans="22:30">
      <c r="V3347">
        <v>3345</v>
      </c>
      <c r="W3347">
        <v>47</v>
      </c>
      <c r="X3347">
        <v>3.3860000000000001</v>
      </c>
      <c r="Y3347" s="32">
        <v>6.43</v>
      </c>
      <c r="Z3347">
        <v>0</v>
      </c>
      <c r="AA3347" s="32">
        <v>1.794</v>
      </c>
      <c r="AB3347">
        <v>0</v>
      </c>
      <c r="AC3347" s="34">
        <v>0.23200000000000001</v>
      </c>
      <c r="AD3347" s="32">
        <v>6.0730000000000004</v>
      </c>
    </row>
    <row r="3348" spans="22:30">
      <c r="V3348">
        <v>3346</v>
      </c>
      <c r="W3348">
        <v>47</v>
      </c>
      <c r="X3348">
        <v>3.387</v>
      </c>
      <c r="Y3348" s="32">
        <v>6.43</v>
      </c>
      <c r="Z3348">
        <v>0</v>
      </c>
      <c r="AA3348" s="32">
        <v>1.794</v>
      </c>
      <c r="AB3348">
        <v>0</v>
      </c>
      <c r="AC3348" s="34">
        <v>0.23200000000000001</v>
      </c>
      <c r="AD3348" s="32">
        <v>6.0759999999999996</v>
      </c>
    </row>
    <row r="3349" spans="22:30">
      <c r="V3349">
        <v>3347</v>
      </c>
      <c r="W3349">
        <v>47</v>
      </c>
      <c r="X3349">
        <v>3.3879999999999999</v>
      </c>
      <c r="Y3349" s="32">
        <v>6.43</v>
      </c>
      <c r="Z3349">
        <v>0</v>
      </c>
      <c r="AA3349" s="32">
        <v>1.794</v>
      </c>
      <c r="AB3349">
        <v>0</v>
      </c>
      <c r="AC3349" s="34">
        <v>0.23200000000000001</v>
      </c>
      <c r="AD3349" s="32">
        <v>6.0780000000000003</v>
      </c>
    </row>
    <row r="3350" spans="22:30">
      <c r="V3350">
        <v>3348</v>
      </c>
      <c r="W3350">
        <v>47</v>
      </c>
      <c r="X3350">
        <v>3.3889999999999998</v>
      </c>
      <c r="Y3350" s="32">
        <v>6.43</v>
      </c>
      <c r="Z3350">
        <v>0</v>
      </c>
      <c r="AA3350" s="32">
        <v>1.794</v>
      </c>
      <c r="AB3350">
        <v>0</v>
      </c>
      <c r="AC3350" s="34">
        <v>0.23200000000000001</v>
      </c>
      <c r="AD3350" s="32">
        <v>6.0810000000000004</v>
      </c>
    </row>
    <row r="3351" spans="22:30">
      <c r="V3351">
        <v>3349</v>
      </c>
      <c r="W3351">
        <v>47</v>
      </c>
      <c r="X3351">
        <v>3.39</v>
      </c>
      <c r="Y3351" s="32">
        <v>6.43</v>
      </c>
      <c r="Z3351">
        <v>0</v>
      </c>
      <c r="AA3351" s="32">
        <v>1.7949999999999999</v>
      </c>
      <c r="AB3351">
        <v>0</v>
      </c>
      <c r="AC3351" s="34">
        <v>0.23200000000000001</v>
      </c>
      <c r="AD3351" s="32">
        <v>6.0830000000000002</v>
      </c>
    </row>
    <row r="3352" spans="22:30">
      <c r="V3352">
        <v>3350</v>
      </c>
      <c r="W3352">
        <v>47</v>
      </c>
      <c r="X3352">
        <v>3.391</v>
      </c>
      <c r="Y3352" s="32">
        <v>6.43</v>
      </c>
      <c r="Z3352">
        <v>0</v>
      </c>
      <c r="AA3352" s="32">
        <v>1.7949999999999999</v>
      </c>
      <c r="AB3352">
        <v>0</v>
      </c>
      <c r="AC3352" s="34">
        <v>0.23300000000000001</v>
      </c>
      <c r="AD3352" s="32">
        <v>6.0860000000000003</v>
      </c>
    </row>
    <row r="3353" spans="22:30">
      <c r="V3353">
        <v>3351</v>
      </c>
      <c r="W3353">
        <v>47</v>
      </c>
      <c r="X3353">
        <v>3.3919999999999999</v>
      </c>
      <c r="Y3353" s="32">
        <v>6.43</v>
      </c>
      <c r="Z3353">
        <v>0</v>
      </c>
      <c r="AA3353" s="32">
        <v>1.7949999999999999</v>
      </c>
      <c r="AB3353">
        <v>0</v>
      </c>
      <c r="AC3353" s="34">
        <v>0.23300000000000001</v>
      </c>
      <c r="AD3353" s="32">
        <v>6.0880000000000001</v>
      </c>
    </row>
    <row r="3354" spans="22:30">
      <c r="V3354">
        <v>3352</v>
      </c>
      <c r="W3354">
        <v>47</v>
      </c>
      <c r="X3354">
        <v>3.3929999999999998</v>
      </c>
      <c r="Y3354" s="32">
        <v>6.43</v>
      </c>
      <c r="Z3354">
        <v>0</v>
      </c>
      <c r="AA3354" s="32">
        <v>1.7949999999999999</v>
      </c>
      <c r="AB3354">
        <v>0</v>
      </c>
      <c r="AC3354" s="34">
        <v>0.23300000000000001</v>
      </c>
      <c r="AD3354" s="32">
        <v>6.0910000000000002</v>
      </c>
    </row>
    <row r="3355" spans="22:30">
      <c r="V3355">
        <v>3353</v>
      </c>
      <c r="W3355">
        <v>47</v>
      </c>
      <c r="X3355">
        <v>3.3940000000000001</v>
      </c>
      <c r="Y3355" s="32">
        <v>6.43</v>
      </c>
      <c r="Z3355">
        <v>0</v>
      </c>
      <c r="AA3355" s="32">
        <v>1.7949999999999999</v>
      </c>
      <c r="AB3355">
        <v>0</v>
      </c>
      <c r="AC3355" s="34">
        <v>0.23300000000000001</v>
      </c>
      <c r="AD3355" s="32">
        <v>6.093</v>
      </c>
    </row>
    <row r="3356" spans="22:30">
      <c r="V3356">
        <v>3354</v>
      </c>
      <c r="W3356">
        <v>47</v>
      </c>
      <c r="X3356">
        <v>3.395</v>
      </c>
      <c r="Y3356" s="32">
        <v>6.43</v>
      </c>
      <c r="Z3356">
        <v>0</v>
      </c>
      <c r="AA3356" s="32">
        <v>1.796</v>
      </c>
      <c r="AB3356">
        <v>0</v>
      </c>
      <c r="AC3356" s="34">
        <v>0.23300000000000001</v>
      </c>
      <c r="AD3356" s="32">
        <v>6.0960000000000001</v>
      </c>
    </row>
    <row r="3357" spans="22:30">
      <c r="V3357">
        <v>3355</v>
      </c>
      <c r="W3357">
        <v>47</v>
      </c>
      <c r="X3357">
        <v>3.3959999999999999</v>
      </c>
      <c r="Y3357" s="32">
        <v>6.43</v>
      </c>
      <c r="Z3357">
        <v>0</v>
      </c>
      <c r="AA3357" s="32">
        <v>1.796</v>
      </c>
      <c r="AB3357">
        <v>0</v>
      </c>
      <c r="AC3357" s="34">
        <v>0.23300000000000001</v>
      </c>
      <c r="AD3357" s="32">
        <v>6.0979999999999999</v>
      </c>
    </row>
    <row r="3358" spans="22:30">
      <c r="V3358">
        <v>3356</v>
      </c>
      <c r="W3358">
        <v>47</v>
      </c>
      <c r="X3358">
        <v>3.3969999999999998</v>
      </c>
      <c r="Y3358" s="32">
        <v>6.43</v>
      </c>
      <c r="Z3358">
        <v>0</v>
      </c>
      <c r="AA3358" s="32">
        <v>1.796</v>
      </c>
      <c r="AB3358">
        <v>0</v>
      </c>
      <c r="AC3358" s="34">
        <v>0.23300000000000001</v>
      </c>
      <c r="AD3358" s="32">
        <v>6.101</v>
      </c>
    </row>
    <row r="3359" spans="22:30">
      <c r="V3359">
        <v>3357</v>
      </c>
      <c r="W3359">
        <v>47</v>
      </c>
      <c r="X3359">
        <v>3.3980000000000001</v>
      </c>
      <c r="Y3359" s="32">
        <v>6.43</v>
      </c>
      <c r="Z3359">
        <v>0</v>
      </c>
      <c r="AA3359" s="32">
        <v>1.796</v>
      </c>
      <c r="AB3359">
        <v>0</v>
      </c>
      <c r="AC3359" s="34">
        <v>0.23300000000000001</v>
      </c>
      <c r="AD3359" s="32">
        <v>6.1029999999999998</v>
      </c>
    </row>
    <row r="3360" spans="22:30">
      <c r="V3360">
        <v>3358</v>
      </c>
      <c r="W3360">
        <v>47</v>
      </c>
      <c r="X3360">
        <v>3.399</v>
      </c>
      <c r="Y3360" s="32">
        <v>6.43</v>
      </c>
      <c r="Z3360">
        <v>0</v>
      </c>
      <c r="AA3360" s="32">
        <v>1.7969999999999999</v>
      </c>
      <c r="AB3360">
        <v>0</v>
      </c>
      <c r="AC3360" s="34">
        <v>0.23300000000000001</v>
      </c>
      <c r="AD3360" s="32">
        <v>6.1059999999999999</v>
      </c>
    </row>
    <row r="3361" spans="22:30">
      <c r="V3361">
        <v>3359</v>
      </c>
      <c r="W3361">
        <v>47</v>
      </c>
      <c r="X3361">
        <v>3.4</v>
      </c>
      <c r="Y3361" s="32">
        <v>6.43</v>
      </c>
      <c r="Z3361">
        <v>0</v>
      </c>
      <c r="AA3361" s="32">
        <v>1.7969999999999999</v>
      </c>
      <c r="AB3361">
        <v>0</v>
      </c>
      <c r="AC3361" s="34">
        <v>0.23300000000000001</v>
      </c>
      <c r="AD3361" s="32">
        <v>6.109</v>
      </c>
    </row>
    <row r="3362" spans="22:30">
      <c r="V3362">
        <v>3360</v>
      </c>
      <c r="W3362">
        <v>47</v>
      </c>
      <c r="X3362">
        <v>3.4009999999999998</v>
      </c>
      <c r="Y3362" s="32">
        <v>6.43</v>
      </c>
      <c r="Z3362">
        <v>0</v>
      </c>
      <c r="AA3362" s="32">
        <v>1.7969999999999999</v>
      </c>
      <c r="AB3362">
        <v>0</v>
      </c>
      <c r="AC3362" s="34">
        <v>0.23300000000000001</v>
      </c>
      <c r="AD3362" s="32">
        <v>6.1109999999999998</v>
      </c>
    </row>
    <row r="3363" spans="22:30">
      <c r="V3363">
        <v>3361</v>
      </c>
      <c r="W3363">
        <v>47</v>
      </c>
      <c r="X3363">
        <v>3.4020000000000001</v>
      </c>
      <c r="Y3363" s="32">
        <v>6.43</v>
      </c>
      <c r="Z3363">
        <v>0</v>
      </c>
      <c r="AA3363" s="32">
        <v>1.7969999999999999</v>
      </c>
      <c r="AB3363">
        <v>0</v>
      </c>
      <c r="AC3363" s="34">
        <v>0.23300000000000001</v>
      </c>
      <c r="AD3363" s="32">
        <v>6.1139999999999999</v>
      </c>
    </row>
    <row r="3364" spans="22:30">
      <c r="V3364">
        <v>3362</v>
      </c>
      <c r="W3364">
        <v>47</v>
      </c>
      <c r="X3364">
        <v>3.403</v>
      </c>
      <c r="Y3364" s="32">
        <v>6.43</v>
      </c>
      <c r="Z3364">
        <v>0</v>
      </c>
      <c r="AA3364" s="32">
        <v>1.7969999999999999</v>
      </c>
      <c r="AB3364">
        <v>0</v>
      </c>
      <c r="AC3364" s="34">
        <v>0.23300000000000001</v>
      </c>
      <c r="AD3364" s="32">
        <v>6.1159999999999997</v>
      </c>
    </row>
    <row r="3365" spans="22:30">
      <c r="V3365">
        <v>3363</v>
      </c>
      <c r="W3365">
        <v>47</v>
      </c>
      <c r="X3365">
        <v>3.4039999999999999</v>
      </c>
      <c r="Y3365" s="32">
        <v>6.43</v>
      </c>
      <c r="Z3365">
        <v>0</v>
      </c>
      <c r="AA3365" s="32">
        <v>1.798</v>
      </c>
      <c r="AB3365">
        <v>0</v>
      </c>
      <c r="AC3365" s="34">
        <v>0.23300000000000001</v>
      </c>
      <c r="AD3365" s="32">
        <v>6.1189999999999998</v>
      </c>
    </row>
    <row r="3366" spans="22:30">
      <c r="V3366">
        <v>3364</v>
      </c>
      <c r="W3366">
        <v>47</v>
      </c>
      <c r="X3366">
        <v>3.4049999999999998</v>
      </c>
      <c r="Y3366" s="32">
        <v>6.43</v>
      </c>
      <c r="Z3366">
        <v>0</v>
      </c>
      <c r="AA3366" s="32">
        <v>1.798</v>
      </c>
      <c r="AB3366">
        <v>0</v>
      </c>
      <c r="AC3366" s="34">
        <v>0.23300000000000001</v>
      </c>
      <c r="AD3366" s="32">
        <v>6.1210000000000004</v>
      </c>
    </row>
    <row r="3367" spans="22:30">
      <c r="V3367">
        <v>3365</v>
      </c>
      <c r="W3367">
        <v>47</v>
      </c>
      <c r="X3367">
        <v>3.4060000000000001</v>
      </c>
      <c r="Y3367" s="32">
        <v>6.43</v>
      </c>
      <c r="Z3367">
        <v>0</v>
      </c>
      <c r="AA3367" s="32">
        <v>1.798</v>
      </c>
      <c r="AB3367">
        <v>0</v>
      </c>
      <c r="AC3367" s="34">
        <v>0.23300000000000001</v>
      </c>
      <c r="AD3367" s="32">
        <v>6.1239999999999997</v>
      </c>
    </row>
    <row r="3368" spans="22:30">
      <c r="V3368">
        <v>3366</v>
      </c>
      <c r="W3368">
        <v>47</v>
      </c>
      <c r="X3368">
        <v>3.407</v>
      </c>
      <c r="Y3368" s="32">
        <v>6.43</v>
      </c>
      <c r="Z3368">
        <v>0</v>
      </c>
      <c r="AA3368" s="32">
        <v>1.798</v>
      </c>
      <c r="AB3368">
        <v>0</v>
      </c>
      <c r="AC3368" s="34">
        <v>0.23300000000000001</v>
      </c>
      <c r="AD3368" s="32">
        <v>6.1260000000000003</v>
      </c>
    </row>
    <row r="3369" spans="22:30">
      <c r="V3369">
        <v>3367</v>
      </c>
      <c r="W3369">
        <v>47</v>
      </c>
      <c r="X3369">
        <v>3.4079999999999999</v>
      </c>
      <c r="Y3369" s="32">
        <v>6.43</v>
      </c>
      <c r="Z3369">
        <v>0</v>
      </c>
      <c r="AA3369" s="32">
        <v>1.7989999999999999</v>
      </c>
      <c r="AB3369">
        <v>0</v>
      </c>
      <c r="AC3369" s="34">
        <v>0.23300000000000001</v>
      </c>
      <c r="AD3369" s="32">
        <v>6.1289999999999996</v>
      </c>
    </row>
    <row r="3370" spans="22:30">
      <c r="V3370">
        <v>3368</v>
      </c>
      <c r="W3370">
        <v>47</v>
      </c>
      <c r="X3370">
        <v>3.4089999999999998</v>
      </c>
      <c r="Y3370" s="32">
        <v>6.43</v>
      </c>
      <c r="Z3370">
        <v>0</v>
      </c>
      <c r="AA3370" s="32">
        <v>1.7989999999999999</v>
      </c>
      <c r="AB3370">
        <v>0</v>
      </c>
      <c r="AC3370" s="34">
        <v>0.23300000000000001</v>
      </c>
      <c r="AD3370" s="32">
        <v>6.1310000000000002</v>
      </c>
    </row>
    <row r="3371" spans="22:30">
      <c r="V3371">
        <v>3369</v>
      </c>
      <c r="W3371">
        <v>47</v>
      </c>
      <c r="X3371">
        <v>3.41</v>
      </c>
      <c r="Y3371" s="32">
        <v>6.43</v>
      </c>
      <c r="Z3371">
        <v>0</v>
      </c>
      <c r="AA3371" s="32">
        <v>1.7989999999999999</v>
      </c>
      <c r="AB3371">
        <v>0</v>
      </c>
      <c r="AC3371" s="34">
        <v>0.23300000000000001</v>
      </c>
      <c r="AD3371" s="32">
        <v>6.1340000000000003</v>
      </c>
    </row>
    <row r="3372" spans="22:30">
      <c r="V3372">
        <v>3370</v>
      </c>
      <c r="W3372">
        <v>47</v>
      </c>
      <c r="X3372">
        <v>3.411</v>
      </c>
      <c r="Y3372" s="32">
        <v>6.43</v>
      </c>
      <c r="Z3372">
        <v>0</v>
      </c>
      <c r="AA3372" s="32">
        <v>1.7989999999999999</v>
      </c>
      <c r="AB3372">
        <v>0</v>
      </c>
      <c r="AC3372" s="34">
        <v>0.23300000000000001</v>
      </c>
      <c r="AD3372" s="32">
        <v>6.1360000000000001</v>
      </c>
    </row>
    <row r="3373" spans="22:30">
      <c r="V3373">
        <v>3371</v>
      </c>
      <c r="W3373">
        <v>47</v>
      </c>
      <c r="X3373">
        <v>3.4119999999999999</v>
      </c>
      <c r="Y3373" s="32">
        <v>6.43</v>
      </c>
      <c r="Z3373">
        <v>0</v>
      </c>
      <c r="AA3373" s="32">
        <v>1.8</v>
      </c>
      <c r="AB3373">
        <v>0</v>
      </c>
      <c r="AC3373" s="34">
        <v>0.23300000000000001</v>
      </c>
      <c r="AD3373" s="32">
        <v>6.1390000000000002</v>
      </c>
    </row>
    <row r="3374" spans="22:30">
      <c r="V3374">
        <v>3372</v>
      </c>
      <c r="W3374">
        <v>47</v>
      </c>
      <c r="X3374">
        <v>3.4129999999999998</v>
      </c>
      <c r="Y3374" s="32">
        <v>6.43</v>
      </c>
      <c r="Z3374">
        <v>0</v>
      </c>
      <c r="AA3374" s="32">
        <v>1.8</v>
      </c>
      <c r="AB3374">
        <v>0</v>
      </c>
      <c r="AC3374" s="34">
        <v>0.23300000000000001</v>
      </c>
      <c r="AD3374" s="32">
        <v>6.141</v>
      </c>
    </row>
    <row r="3375" spans="22:30">
      <c r="V3375">
        <v>3373</v>
      </c>
      <c r="W3375">
        <v>48</v>
      </c>
      <c r="X3375">
        <v>3.4140000000000001</v>
      </c>
      <c r="Y3375" s="32">
        <v>6.43</v>
      </c>
      <c r="Z3375">
        <v>0</v>
      </c>
      <c r="AA3375" s="32">
        <v>1.8</v>
      </c>
      <c r="AB3375">
        <v>0</v>
      </c>
      <c r="AC3375" s="34">
        <v>0.23300000000000001</v>
      </c>
      <c r="AD3375" s="32">
        <v>6.1440000000000001</v>
      </c>
    </row>
    <row r="3376" spans="22:30">
      <c r="V3376">
        <v>3374</v>
      </c>
      <c r="W3376">
        <v>48</v>
      </c>
      <c r="X3376">
        <v>3.415</v>
      </c>
      <c r="Y3376" s="32">
        <v>6.43</v>
      </c>
      <c r="Z3376">
        <v>0</v>
      </c>
      <c r="AA3376" s="32">
        <v>1.8</v>
      </c>
      <c r="AB3376">
        <v>0</v>
      </c>
      <c r="AC3376" s="34">
        <v>0.23300000000000001</v>
      </c>
      <c r="AD3376" s="32">
        <v>6.1470000000000002</v>
      </c>
    </row>
    <row r="3377" spans="22:30">
      <c r="V3377">
        <v>3375</v>
      </c>
      <c r="W3377">
        <v>48</v>
      </c>
      <c r="X3377">
        <v>3.4159999999999999</v>
      </c>
      <c r="Y3377" s="32">
        <v>6.43</v>
      </c>
      <c r="Z3377">
        <v>0</v>
      </c>
      <c r="AA3377" s="32">
        <v>1.8</v>
      </c>
      <c r="AB3377">
        <v>0</v>
      </c>
      <c r="AC3377" s="34">
        <v>0.23300000000000001</v>
      </c>
      <c r="AD3377" s="32">
        <v>6.149</v>
      </c>
    </row>
    <row r="3378" spans="22:30">
      <c r="V3378">
        <v>3376</v>
      </c>
      <c r="W3378">
        <v>48</v>
      </c>
      <c r="X3378">
        <v>3.4169999999999998</v>
      </c>
      <c r="Y3378" s="32">
        <v>6.43</v>
      </c>
      <c r="Z3378">
        <v>0</v>
      </c>
      <c r="AA3378" s="32">
        <v>1.8009999999999999</v>
      </c>
      <c r="AB3378">
        <v>0</v>
      </c>
      <c r="AC3378" s="34">
        <v>0.23300000000000001</v>
      </c>
      <c r="AD3378" s="32">
        <v>6.1520000000000001</v>
      </c>
    </row>
    <row r="3379" spans="22:30">
      <c r="V3379">
        <v>3377</v>
      </c>
      <c r="W3379">
        <v>48</v>
      </c>
      <c r="X3379">
        <v>3.4180000000000001</v>
      </c>
      <c r="Y3379" s="32">
        <v>6.43</v>
      </c>
      <c r="Z3379">
        <v>0</v>
      </c>
      <c r="AA3379" s="32">
        <v>1.8009999999999999</v>
      </c>
      <c r="AB3379">
        <v>0</v>
      </c>
      <c r="AC3379" s="34">
        <v>0.23300000000000001</v>
      </c>
      <c r="AD3379" s="32">
        <v>6.1539999999999999</v>
      </c>
    </row>
    <row r="3380" spans="22:30">
      <c r="V3380">
        <v>3378</v>
      </c>
      <c r="W3380">
        <v>48</v>
      </c>
      <c r="X3380">
        <v>3.419</v>
      </c>
      <c r="Y3380" s="32">
        <v>6.43</v>
      </c>
      <c r="Z3380">
        <v>0</v>
      </c>
      <c r="AA3380" s="32">
        <v>1.8009999999999999</v>
      </c>
      <c r="AB3380">
        <v>0</v>
      </c>
      <c r="AC3380" s="34">
        <v>0.23300000000000001</v>
      </c>
      <c r="AD3380" s="32">
        <v>6.157</v>
      </c>
    </row>
    <row r="3381" spans="22:30">
      <c r="V3381">
        <v>3379</v>
      </c>
      <c r="W3381">
        <v>48</v>
      </c>
      <c r="X3381">
        <v>3.42</v>
      </c>
      <c r="Y3381" s="32">
        <v>6.43</v>
      </c>
      <c r="Z3381">
        <v>0</v>
      </c>
      <c r="AA3381" s="32">
        <v>1.8009999999999999</v>
      </c>
      <c r="AB3381">
        <v>0</v>
      </c>
      <c r="AC3381" s="34">
        <v>0.23300000000000001</v>
      </c>
      <c r="AD3381" s="32">
        <v>6.1589999999999998</v>
      </c>
    </row>
    <row r="3382" spans="22:30">
      <c r="V3382">
        <v>3380</v>
      </c>
      <c r="W3382">
        <v>48</v>
      </c>
      <c r="X3382">
        <v>3.4209999999999998</v>
      </c>
      <c r="Y3382" s="32">
        <v>6.43</v>
      </c>
      <c r="Z3382">
        <v>0</v>
      </c>
      <c r="AA3382" s="32">
        <v>1.8009999999999999</v>
      </c>
      <c r="AB3382">
        <v>0</v>
      </c>
      <c r="AC3382" s="34">
        <v>0.23300000000000001</v>
      </c>
      <c r="AD3382" s="32">
        <v>6.1619999999999999</v>
      </c>
    </row>
    <row r="3383" spans="22:30">
      <c r="V3383">
        <v>3381</v>
      </c>
      <c r="W3383">
        <v>48</v>
      </c>
      <c r="X3383">
        <v>3.4220000000000002</v>
      </c>
      <c r="Y3383" s="32">
        <v>6.43</v>
      </c>
      <c r="Z3383">
        <v>0</v>
      </c>
      <c r="AA3383" s="32">
        <v>1.802</v>
      </c>
      <c r="AB3383">
        <v>0</v>
      </c>
      <c r="AC3383" s="34">
        <v>0.23300000000000001</v>
      </c>
      <c r="AD3383" s="32">
        <v>6.1639999999999997</v>
      </c>
    </row>
    <row r="3384" spans="22:30">
      <c r="V3384">
        <v>3382</v>
      </c>
      <c r="W3384">
        <v>48</v>
      </c>
      <c r="X3384">
        <v>3.423</v>
      </c>
      <c r="Y3384" s="32">
        <v>6.43</v>
      </c>
      <c r="Z3384">
        <v>0</v>
      </c>
      <c r="AA3384" s="32">
        <v>1.802</v>
      </c>
      <c r="AB3384">
        <v>0</v>
      </c>
      <c r="AC3384" s="34">
        <v>0.23300000000000001</v>
      </c>
      <c r="AD3384" s="32">
        <v>6.1669999999999998</v>
      </c>
    </row>
    <row r="3385" spans="22:30">
      <c r="V3385">
        <v>3383</v>
      </c>
      <c r="W3385">
        <v>48</v>
      </c>
      <c r="X3385">
        <v>3.4239999999999999</v>
      </c>
      <c r="Y3385" s="32">
        <v>6.43</v>
      </c>
      <c r="Z3385">
        <v>0</v>
      </c>
      <c r="AA3385" s="32">
        <v>1.802</v>
      </c>
      <c r="AB3385">
        <v>0</v>
      </c>
      <c r="AC3385" s="34">
        <v>0.23300000000000001</v>
      </c>
      <c r="AD3385" s="32">
        <v>6.17</v>
      </c>
    </row>
    <row r="3386" spans="22:30">
      <c r="V3386">
        <v>3384</v>
      </c>
      <c r="W3386">
        <v>48</v>
      </c>
      <c r="X3386">
        <v>3.4249999999999998</v>
      </c>
      <c r="Y3386" s="32">
        <v>6.43</v>
      </c>
      <c r="Z3386">
        <v>0</v>
      </c>
      <c r="AA3386" s="32">
        <v>1.802</v>
      </c>
      <c r="AB3386">
        <v>0</v>
      </c>
      <c r="AC3386" s="34">
        <v>0.23300000000000001</v>
      </c>
      <c r="AD3386" s="32">
        <v>6.1719999999999997</v>
      </c>
    </row>
    <row r="3387" spans="22:30">
      <c r="V3387">
        <v>3385</v>
      </c>
      <c r="W3387">
        <v>48</v>
      </c>
      <c r="X3387">
        <v>3.4260000000000002</v>
      </c>
      <c r="Y3387" s="32">
        <v>6.43</v>
      </c>
      <c r="Z3387">
        <v>0</v>
      </c>
      <c r="AA3387" s="32">
        <v>1.802</v>
      </c>
      <c r="AB3387">
        <v>0</v>
      </c>
      <c r="AC3387" s="34">
        <v>0.23300000000000001</v>
      </c>
      <c r="AD3387" s="32">
        <v>6.1749999999999998</v>
      </c>
    </row>
    <row r="3388" spans="22:30">
      <c r="V3388">
        <v>3386</v>
      </c>
      <c r="W3388">
        <v>48</v>
      </c>
      <c r="X3388">
        <v>3.427</v>
      </c>
      <c r="Y3388" s="32">
        <v>6.43</v>
      </c>
      <c r="Z3388">
        <v>0</v>
      </c>
      <c r="AA3388" s="32">
        <v>1.8029999999999999</v>
      </c>
      <c r="AB3388">
        <v>0</v>
      </c>
      <c r="AC3388" s="34">
        <v>0.23300000000000001</v>
      </c>
      <c r="AD3388" s="32">
        <v>6.1769999999999996</v>
      </c>
    </row>
    <row r="3389" spans="22:30">
      <c r="V3389">
        <v>3387</v>
      </c>
      <c r="W3389">
        <v>48</v>
      </c>
      <c r="X3389">
        <v>3.4279999999999999</v>
      </c>
      <c r="Y3389" s="32">
        <v>6.43</v>
      </c>
      <c r="Z3389">
        <v>0</v>
      </c>
      <c r="AA3389" s="32">
        <v>1.8029999999999999</v>
      </c>
      <c r="AB3389">
        <v>0</v>
      </c>
      <c r="AC3389" s="34">
        <v>0.23300000000000001</v>
      </c>
      <c r="AD3389" s="32">
        <v>6.18</v>
      </c>
    </row>
    <row r="3390" spans="22:30">
      <c r="V3390">
        <v>3388</v>
      </c>
      <c r="W3390">
        <v>48</v>
      </c>
      <c r="X3390">
        <v>3.4289999999999998</v>
      </c>
      <c r="Y3390" s="32">
        <v>6.43</v>
      </c>
      <c r="Z3390">
        <v>0</v>
      </c>
      <c r="AA3390" s="32">
        <v>1.8029999999999999</v>
      </c>
      <c r="AB3390">
        <v>0</v>
      </c>
      <c r="AC3390" s="34">
        <v>0.23300000000000001</v>
      </c>
      <c r="AD3390" s="32">
        <v>6.1820000000000004</v>
      </c>
    </row>
    <row r="3391" spans="22:30">
      <c r="V3391">
        <v>3389</v>
      </c>
      <c r="W3391">
        <v>48</v>
      </c>
      <c r="X3391">
        <v>3.43</v>
      </c>
      <c r="Y3391" s="32">
        <v>6.43</v>
      </c>
      <c r="Z3391">
        <v>0</v>
      </c>
      <c r="AA3391" s="32">
        <v>1.8029999999999999</v>
      </c>
      <c r="AB3391">
        <v>0</v>
      </c>
      <c r="AC3391" s="34">
        <v>0.23300000000000001</v>
      </c>
      <c r="AD3391" s="32">
        <v>6.1849999999999996</v>
      </c>
    </row>
    <row r="3392" spans="22:30">
      <c r="V3392">
        <v>3390</v>
      </c>
      <c r="W3392">
        <v>48</v>
      </c>
      <c r="X3392">
        <v>3.431</v>
      </c>
      <c r="Y3392" s="32">
        <v>6.444</v>
      </c>
      <c r="Z3392">
        <v>0</v>
      </c>
      <c r="AA3392" s="32">
        <v>1.804</v>
      </c>
      <c r="AB3392">
        <v>0</v>
      </c>
      <c r="AC3392" s="34">
        <v>0.23300000000000001</v>
      </c>
      <c r="AD3392" s="32">
        <v>6.1870000000000003</v>
      </c>
    </row>
    <row r="3393" spans="22:30">
      <c r="V3393">
        <v>3391</v>
      </c>
      <c r="W3393">
        <v>48</v>
      </c>
      <c r="X3393">
        <v>3.4319999999999999</v>
      </c>
      <c r="Y3393" s="32">
        <v>6.4580000000000002</v>
      </c>
      <c r="Z3393">
        <v>0</v>
      </c>
      <c r="AA3393" s="32">
        <v>1.804</v>
      </c>
      <c r="AB3393">
        <v>0</v>
      </c>
      <c r="AC3393" s="34">
        <v>0.23300000000000001</v>
      </c>
      <c r="AD3393" s="32">
        <v>6.19</v>
      </c>
    </row>
    <row r="3394" spans="22:30">
      <c r="V3394">
        <v>3392</v>
      </c>
      <c r="W3394">
        <v>48</v>
      </c>
      <c r="X3394">
        <v>3.4329999999999998</v>
      </c>
      <c r="Y3394" s="32">
        <v>6.4720000000000004</v>
      </c>
      <c r="Z3394">
        <v>0</v>
      </c>
      <c r="AA3394" s="32">
        <v>1.804</v>
      </c>
      <c r="AB3394">
        <v>0</v>
      </c>
      <c r="AC3394" s="34">
        <v>0.23300000000000001</v>
      </c>
      <c r="AD3394" s="32">
        <v>6.1929999999999996</v>
      </c>
    </row>
    <row r="3395" spans="22:30">
      <c r="V3395">
        <v>3393</v>
      </c>
      <c r="W3395">
        <v>48</v>
      </c>
      <c r="X3395">
        <v>3.4340000000000002</v>
      </c>
      <c r="Y3395" s="32">
        <v>6.4859999999999998</v>
      </c>
      <c r="Z3395">
        <v>0</v>
      </c>
      <c r="AA3395" s="32">
        <v>1.804</v>
      </c>
      <c r="AB3395">
        <v>0</v>
      </c>
      <c r="AC3395" s="34">
        <v>0.23300000000000001</v>
      </c>
      <c r="AD3395" s="32">
        <v>6.1950000000000003</v>
      </c>
    </row>
    <row r="3396" spans="22:30">
      <c r="V3396">
        <v>3394</v>
      </c>
      <c r="W3396">
        <v>48</v>
      </c>
      <c r="X3396">
        <v>3.4350000000000001</v>
      </c>
      <c r="Y3396" s="32">
        <v>6.5</v>
      </c>
      <c r="Z3396">
        <v>0</v>
      </c>
      <c r="AA3396" s="32">
        <v>1.804</v>
      </c>
      <c r="AB3396">
        <v>0</v>
      </c>
      <c r="AC3396" s="34">
        <v>0.23300000000000001</v>
      </c>
      <c r="AD3396" s="32">
        <v>6.1980000000000004</v>
      </c>
    </row>
    <row r="3397" spans="22:30">
      <c r="V3397">
        <v>3395</v>
      </c>
      <c r="W3397">
        <v>48</v>
      </c>
      <c r="X3397">
        <v>3.4359999999999999</v>
      </c>
      <c r="Y3397" s="32">
        <v>6.5140000000000002</v>
      </c>
      <c r="Z3397">
        <v>0</v>
      </c>
      <c r="AA3397" s="32">
        <v>1.8049999999999999</v>
      </c>
      <c r="AB3397">
        <v>0</v>
      </c>
      <c r="AC3397" s="34">
        <v>0.23300000000000001</v>
      </c>
      <c r="AD3397" s="32">
        <v>6.2</v>
      </c>
    </row>
    <row r="3398" spans="22:30">
      <c r="V3398">
        <v>3396</v>
      </c>
      <c r="W3398">
        <v>48</v>
      </c>
      <c r="X3398">
        <v>3.4369999999999998</v>
      </c>
      <c r="Y3398" s="32">
        <v>6.5279999999999996</v>
      </c>
      <c r="Z3398">
        <v>0</v>
      </c>
      <c r="AA3398" s="32">
        <v>1.8049999999999999</v>
      </c>
      <c r="AB3398">
        <v>0</v>
      </c>
      <c r="AC3398" s="34">
        <v>0.23400000000000001</v>
      </c>
      <c r="AD3398" s="32">
        <v>6.2030000000000003</v>
      </c>
    </row>
    <row r="3399" spans="22:30">
      <c r="V3399">
        <v>3397</v>
      </c>
      <c r="W3399">
        <v>48</v>
      </c>
      <c r="X3399">
        <v>3.4380000000000002</v>
      </c>
      <c r="Y3399" s="32">
        <v>6.5419999999999998</v>
      </c>
      <c r="Z3399">
        <v>0</v>
      </c>
      <c r="AA3399" s="32">
        <v>1.8049999999999999</v>
      </c>
      <c r="AB3399">
        <v>0</v>
      </c>
      <c r="AC3399" s="34">
        <v>0.23400000000000001</v>
      </c>
      <c r="AD3399" s="32">
        <v>6.2050000000000001</v>
      </c>
    </row>
    <row r="3400" spans="22:30">
      <c r="V3400">
        <v>3398</v>
      </c>
      <c r="W3400">
        <v>48</v>
      </c>
      <c r="X3400">
        <v>3.4390000000000001</v>
      </c>
      <c r="Y3400" s="32">
        <v>6.556</v>
      </c>
      <c r="Z3400">
        <v>0</v>
      </c>
      <c r="AA3400" s="32">
        <v>1.8049999999999999</v>
      </c>
      <c r="AB3400">
        <v>0</v>
      </c>
      <c r="AC3400" s="34">
        <v>0.23400000000000001</v>
      </c>
      <c r="AD3400" s="32">
        <v>6.2080000000000002</v>
      </c>
    </row>
    <row r="3401" spans="22:30">
      <c r="V3401">
        <v>3399</v>
      </c>
      <c r="W3401">
        <v>48</v>
      </c>
      <c r="X3401">
        <v>3.44</v>
      </c>
      <c r="Y3401" s="32">
        <v>6.57</v>
      </c>
      <c r="Z3401">
        <v>0</v>
      </c>
      <c r="AA3401" s="32">
        <v>1.8049999999999999</v>
      </c>
      <c r="AB3401">
        <v>0</v>
      </c>
      <c r="AC3401" s="34">
        <v>0.23400000000000001</v>
      </c>
      <c r="AD3401" s="32">
        <v>6.21</v>
      </c>
    </row>
    <row r="3402" spans="22:30">
      <c r="V3402">
        <v>3400</v>
      </c>
      <c r="W3402">
        <v>48</v>
      </c>
      <c r="X3402">
        <v>3.4409999999999998</v>
      </c>
      <c r="Y3402" s="32">
        <v>6.57</v>
      </c>
      <c r="Z3402">
        <v>0</v>
      </c>
      <c r="AA3402" s="32">
        <v>1.806</v>
      </c>
      <c r="AB3402">
        <v>0</v>
      </c>
      <c r="AC3402" s="34">
        <v>0.23400000000000001</v>
      </c>
      <c r="AD3402" s="32">
        <v>6.2130000000000001</v>
      </c>
    </row>
    <row r="3403" spans="22:30">
      <c r="V3403">
        <v>3401</v>
      </c>
      <c r="W3403">
        <v>48</v>
      </c>
      <c r="X3403">
        <v>3.4420000000000002</v>
      </c>
      <c r="Y3403" s="32">
        <v>6.57</v>
      </c>
      <c r="Z3403">
        <v>0</v>
      </c>
      <c r="AA3403" s="32">
        <v>1.806</v>
      </c>
      <c r="AB3403">
        <v>0</v>
      </c>
      <c r="AC3403" s="34">
        <v>0.23400000000000001</v>
      </c>
      <c r="AD3403" s="32">
        <v>6.2160000000000002</v>
      </c>
    </row>
    <row r="3404" spans="22:30">
      <c r="V3404">
        <v>3402</v>
      </c>
      <c r="W3404">
        <v>48</v>
      </c>
      <c r="X3404">
        <v>3.4430000000000001</v>
      </c>
      <c r="Y3404" s="32">
        <v>6.57</v>
      </c>
      <c r="Z3404">
        <v>0</v>
      </c>
      <c r="AA3404" s="32">
        <v>1.806</v>
      </c>
      <c r="AB3404">
        <v>0</v>
      </c>
      <c r="AC3404" s="34">
        <v>0.23400000000000001</v>
      </c>
      <c r="AD3404" s="32">
        <v>6.218</v>
      </c>
    </row>
    <row r="3405" spans="22:30">
      <c r="V3405">
        <v>3403</v>
      </c>
      <c r="W3405">
        <v>48</v>
      </c>
      <c r="X3405">
        <v>3.444</v>
      </c>
      <c r="Y3405" s="32">
        <v>6.57</v>
      </c>
      <c r="Z3405">
        <v>0</v>
      </c>
      <c r="AA3405" s="32">
        <v>1.806</v>
      </c>
      <c r="AB3405">
        <v>0</v>
      </c>
      <c r="AC3405" s="34">
        <v>0.23400000000000001</v>
      </c>
      <c r="AD3405" s="32">
        <v>6.2210000000000001</v>
      </c>
    </row>
    <row r="3406" spans="22:30">
      <c r="V3406">
        <v>3404</v>
      </c>
      <c r="W3406">
        <v>48</v>
      </c>
      <c r="X3406">
        <v>3.4449999999999998</v>
      </c>
      <c r="Y3406" s="32">
        <v>6.57</v>
      </c>
      <c r="Z3406">
        <v>0</v>
      </c>
      <c r="AA3406" s="32">
        <v>1.806</v>
      </c>
      <c r="AB3406">
        <v>0</v>
      </c>
      <c r="AC3406" s="34">
        <v>0.23400000000000001</v>
      </c>
      <c r="AD3406" s="32">
        <v>6.2229999999999999</v>
      </c>
    </row>
    <row r="3407" spans="22:30">
      <c r="V3407">
        <v>3405</v>
      </c>
      <c r="W3407">
        <v>48</v>
      </c>
      <c r="X3407">
        <v>3.4460000000000002</v>
      </c>
      <c r="Y3407" s="32">
        <v>6.57</v>
      </c>
      <c r="Z3407">
        <v>0</v>
      </c>
      <c r="AA3407" s="32">
        <v>1.8069999999999999</v>
      </c>
      <c r="AB3407">
        <v>0</v>
      </c>
      <c r="AC3407" s="34">
        <v>0.23400000000000001</v>
      </c>
      <c r="AD3407" s="32">
        <v>6.226</v>
      </c>
    </row>
    <row r="3408" spans="22:30">
      <c r="V3408">
        <v>3406</v>
      </c>
      <c r="W3408">
        <v>48</v>
      </c>
      <c r="X3408">
        <v>3.4470000000000001</v>
      </c>
      <c r="Y3408" s="32">
        <v>6.57</v>
      </c>
      <c r="Z3408">
        <v>0</v>
      </c>
      <c r="AA3408" s="32">
        <v>1.8069999999999999</v>
      </c>
      <c r="AB3408">
        <v>0</v>
      </c>
      <c r="AC3408" s="34">
        <v>0.23400000000000001</v>
      </c>
      <c r="AD3408" s="32">
        <v>6.2279999999999998</v>
      </c>
    </row>
    <row r="3409" spans="22:30">
      <c r="V3409">
        <v>3407</v>
      </c>
      <c r="W3409">
        <v>48</v>
      </c>
      <c r="X3409">
        <v>3.448</v>
      </c>
      <c r="Y3409" s="32">
        <v>6.57</v>
      </c>
      <c r="Z3409">
        <v>0</v>
      </c>
      <c r="AA3409" s="32">
        <v>1.8069999999999999</v>
      </c>
      <c r="AB3409">
        <v>0</v>
      </c>
      <c r="AC3409" s="34">
        <v>0.23400000000000001</v>
      </c>
      <c r="AD3409" s="32">
        <v>6.2309999999999999</v>
      </c>
    </row>
    <row r="3410" spans="22:30">
      <c r="V3410">
        <v>3408</v>
      </c>
      <c r="W3410">
        <v>48</v>
      </c>
      <c r="X3410">
        <v>3.4489999999999998</v>
      </c>
      <c r="Y3410" s="32">
        <v>6.57</v>
      </c>
      <c r="Z3410">
        <v>0</v>
      </c>
      <c r="AA3410" s="32">
        <v>1.8069999999999999</v>
      </c>
      <c r="AB3410">
        <v>0</v>
      </c>
      <c r="AC3410" s="34">
        <v>0.23400000000000001</v>
      </c>
      <c r="AD3410" s="32">
        <v>6.2329999999999997</v>
      </c>
    </row>
    <row r="3411" spans="22:30">
      <c r="V3411">
        <v>3409</v>
      </c>
      <c r="W3411">
        <v>48</v>
      </c>
      <c r="X3411">
        <v>3.45</v>
      </c>
      <c r="Y3411" s="32">
        <v>6.57</v>
      </c>
      <c r="Z3411">
        <v>0</v>
      </c>
      <c r="AA3411" s="32">
        <v>1.8069999999999999</v>
      </c>
      <c r="AB3411">
        <v>0</v>
      </c>
      <c r="AC3411" s="34">
        <v>0.23400000000000001</v>
      </c>
      <c r="AD3411" s="32">
        <v>6.2359999999999998</v>
      </c>
    </row>
    <row r="3412" spans="22:30">
      <c r="V3412">
        <v>3410</v>
      </c>
      <c r="W3412">
        <v>48</v>
      </c>
      <c r="X3412">
        <v>3.4510000000000001</v>
      </c>
      <c r="Y3412" s="32">
        <v>6.57</v>
      </c>
      <c r="Z3412">
        <v>0</v>
      </c>
      <c r="AA3412" s="32">
        <v>1.8080000000000001</v>
      </c>
      <c r="AB3412">
        <v>0</v>
      </c>
      <c r="AC3412" s="34">
        <v>0.23400000000000001</v>
      </c>
      <c r="AD3412" s="32">
        <v>6.2389999999999999</v>
      </c>
    </row>
    <row r="3413" spans="22:30">
      <c r="V3413">
        <v>3411</v>
      </c>
      <c r="W3413">
        <v>48</v>
      </c>
      <c r="X3413">
        <v>3.452</v>
      </c>
      <c r="Y3413" s="32">
        <v>6.57</v>
      </c>
      <c r="Z3413">
        <v>0</v>
      </c>
      <c r="AA3413" s="32">
        <v>1.8080000000000001</v>
      </c>
      <c r="AB3413">
        <v>0</v>
      </c>
      <c r="AC3413" s="34">
        <v>0.23400000000000001</v>
      </c>
      <c r="AD3413" s="32">
        <v>6.2409999999999997</v>
      </c>
    </row>
    <row r="3414" spans="22:30">
      <c r="V3414">
        <v>3412</v>
      </c>
      <c r="W3414">
        <v>48</v>
      </c>
      <c r="X3414">
        <v>3.4529999999999998</v>
      </c>
      <c r="Y3414" s="32">
        <v>6.57</v>
      </c>
      <c r="Z3414">
        <v>0</v>
      </c>
      <c r="AA3414" s="32">
        <v>1.8080000000000001</v>
      </c>
      <c r="AB3414">
        <v>0</v>
      </c>
      <c r="AC3414" s="34">
        <v>0.23400000000000001</v>
      </c>
      <c r="AD3414" s="32">
        <v>6.2439999999999998</v>
      </c>
    </row>
    <row r="3415" spans="22:30">
      <c r="V3415">
        <v>3413</v>
      </c>
      <c r="W3415">
        <v>48</v>
      </c>
      <c r="X3415">
        <v>3.4540000000000002</v>
      </c>
      <c r="Y3415" s="32">
        <v>6.57</v>
      </c>
      <c r="Z3415">
        <v>0</v>
      </c>
      <c r="AA3415" s="32">
        <v>1.8080000000000001</v>
      </c>
      <c r="AB3415">
        <v>0</v>
      </c>
      <c r="AC3415" s="34">
        <v>0.23400000000000001</v>
      </c>
      <c r="AD3415" s="32">
        <v>6.2460000000000004</v>
      </c>
    </row>
    <row r="3416" spans="22:30">
      <c r="V3416">
        <v>3414</v>
      </c>
      <c r="W3416">
        <v>48</v>
      </c>
      <c r="X3416">
        <v>3.4550000000000001</v>
      </c>
      <c r="Y3416" s="32">
        <v>6.57</v>
      </c>
      <c r="Z3416">
        <v>0</v>
      </c>
      <c r="AA3416" s="32">
        <v>1.8080000000000001</v>
      </c>
      <c r="AB3416">
        <v>0</v>
      </c>
      <c r="AC3416" s="34">
        <v>0.23400000000000001</v>
      </c>
      <c r="AD3416" s="32">
        <v>6.2489999999999997</v>
      </c>
    </row>
    <row r="3417" spans="22:30">
      <c r="V3417">
        <v>3415</v>
      </c>
      <c r="W3417">
        <v>48</v>
      </c>
      <c r="X3417">
        <v>3.456</v>
      </c>
      <c r="Y3417" s="32">
        <v>6.57</v>
      </c>
      <c r="Z3417">
        <v>0</v>
      </c>
      <c r="AA3417" s="32">
        <v>1.8089999999999999</v>
      </c>
      <c r="AB3417">
        <v>0</v>
      </c>
      <c r="AC3417" s="34">
        <v>0.23400000000000001</v>
      </c>
      <c r="AD3417" s="32">
        <v>6.2510000000000003</v>
      </c>
    </row>
    <row r="3418" spans="22:30">
      <c r="V3418">
        <v>3416</v>
      </c>
      <c r="W3418">
        <v>48</v>
      </c>
      <c r="X3418">
        <v>3.4569999999999999</v>
      </c>
      <c r="Y3418" s="32">
        <v>6.57</v>
      </c>
      <c r="Z3418">
        <v>0</v>
      </c>
      <c r="AA3418" s="32">
        <v>1.8089999999999999</v>
      </c>
      <c r="AB3418">
        <v>0</v>
      </c>
      <c r="AC3418" s="34">
        <v>0.23400000000000001</v>
      </c>
      <c r="AD3418" s="32">
        <v>6.2539999999999996</v>
      </c>
    </row>
    <row r="3419" spans="22:30">
      <c r="V3419">
        <v>3417</v>
      </c>
      <c r="W3419">
        <v>48</v>
      </c>
      <c r="X3419">
        <v>3.4580000000000002</v>
      </c>
      <c r="Y3419" s="32">
        <v>6.57</v>
      </c>
      <c r="Z3419">
        <v>0</v>
      </c>
      <c r="AA3419" s="32">
        <v>1.8089999999999999</v>
      </c>
      <c r="AB3419">
        <v>0</v>
      </c>
      <c r="AC3419" s="34">
        <v>0.23400000000000001</v>
      </c>
      <c r="AD3419" s="32">
        <v>6.2560000000000002</v>
      </c>
    </row>
    <row r="3420" spans="22:30">
      <c r="V3420">
        <v>3418</v>
      </c>
      <c r="W3420">
        <v>48</v>
      </c>
      <c r="X3420">
        <v>3.4590000000000001</v>
      </c>
      <c r="Y3420" s="32">
        <v>6.57</v>
      </c>
      <c r="Z3420">
        <v>0</v>
      </c>
      <c r="AA3420" s="32">
        <v>1.8089999999999999</v>
      </c>
      <c r="AB3420">
        <v>0</v>
      </c>
      <c r="AC3420" s="34">
        <v>0.23400000000000001</v>
      </c>
      <c r="AD3420" s="32">
        <v>6.2590000000000003</v>
      </c>
    </row>
    <row r="3421" spans="22:30">
      <c r="V3421">
        <v>3419</v>
      </c>
      <c r="W3421">
        <v>48</v>
      </c>
      <c r="X3421">
        <v>3.46</v>
      </c>
      <c r="Y3421" s="32">
        <v>6.57</v>
      </c>
      <c r="Z3421">
        <v>0</v>
      </c>
      <c r="AA3421" s="32">
        <v>1.81</v>
      </c>
      <c r="AB3421">
        <v>0</v>
      </c>
      <c r="AC3421" s="34">
        <v>0.23400000000000001</v>
      </c>
      <c r="AD3421" s="32">
        <v>6.2619999999999996</v>
      </c>
    </row>
    <row r="3422" spans="22:30">
      <c r="V3422">
        <v>3420</v>
      </c>
      <c r="W3422">
        <v>48</v>
      </c>
      <c r="X3422">
        <v>3.4609999999999999</v>
      </c>
      <c r="Y3422" s="32">
        <v>6.57</v>
      </c>
      <c r="Z3422">
        <v>0</v>
      </c>
      <c r="AA3422" s="32">
        <v>1.81</v>
      </c>
      <c r="AB3422">
        <v>0</v>
      </c>
      <c r="AC3422" s="34">
        <v>0.23400000000000001</v>
      </c>
      <c r="AD3422" s="32">
        <v>6.2640000000000002</v>
      </c>
    </row>
    <row r="3423" spans="22:30">
      <c r="V3423">
        <v>3421</v>
      </c>
      <c r="W3423">
        <v>48</v>
      </c>
      <c r="X3423">
        <v>3.4620000000000002</v>
      </c>
      <c r="Y3423" s="32">
        <v>6.57</v>
      </c>
      <c r="Z3423">
        <v>0</v>
      </c>
      <c r="AA3423" s="32">
        <v>1.81</v>
      </c>
      <c r="AB3423">
        <v>0</v>
      </c>
      <c r="AC3423" s="34">
        <v>0.23400000000000001</v>
      </c>
      <c r="AD3423" s="32">
        <v>6.2670000000000003</v>
      </c>
    </row>
    <row r="3424" spans="22:30">
      <c r="V3424">
        <v>3422</v>
      </c>
      <c r="W3424">
        <v>48</v>
      </c>
      <c r="X3424">
        <v>3.4630000000000001</v>
      </c>
      <c r="Y3424" s="32">
        <v>6.57</v>
      </c>
      <c r="Z3424">
        <v>0</v>
      </c>
      <c r="AA3424" s="32">
        <v>1.81</v>
      </c>
      <c r="AB3424">
        <v>0</v>
      </c>
      <c r="AC3424" s="34">
        <v>0.23400000000000001</v>
      </c>
      <c r="AD3424" s="32">
        <v>6.2690000000000001</v>
      </c>
    </row>
    <row r="3425" spans="22:30">
      <c r="V3425">
        <v>3423</v>
      </c>
      <c r="W3425">
        <v>48</v>
      </c>
      <c r="X3425">
        <v>3.464</v>
      </c>
      <c r="Y3425" s="32">
        <v>6.57</v>
      </c>
      <c r="Z3425">
        <v>0</v>
      </c>
      <c r="AA3425" s="32">
        <v>1.81</v>
      </c>
      <c r="AB3425">
        <v>0</v>
      </c>
      <c r="AC3425" s="34">
        <v>0.23400000000000001</v>
      </c>
      <c r="AD3425" s="32">
        <v>6.2720000000000002</v>
      </c>
    </row>
    <row r="3426" spans="22:30">
      <c r="V3426">
        <v>3424</v>
      </c>
      <c r="W3426">
        <v>48</v>
      </c>
      <c r="X3426">
        <v>3.4649999999999999</v>
      </c>
      <c r="Y3426" s="32">
        <v>6.57</v>
      </c>
      <c r="Z3426">
        <v>0</v>
      </c>
      <c r="AA3426" s="32">
        <v>1.8109999999999999</v>
      </c>
      <c r="AB3426">
        <v>0</v>
      </c>
      <c r="AC3426" s="34">
        <v>0.23400000000000001</v>
      </c>
      <c r="AD3426" s="32">
        <v>6.274</v>
      </c>
    </row>
    <row r="3427" spans="22:30">
      <c r="V3427">
        <v>3425</v>
      </c>
      <c r="W3427">
        <v>48</v>
      </c>
      <c r="X3427">
        <v>3.4660000000000002</v>
      </c>
      <c r="Y3427" s="32">
        <v>6.57</v>
      </c>
      <c r="Z3427">
        <v>0</v>
      </c>
      <c r="AA3427" s="32">
        <v>1.8109999999999999</v>
      </c>
      <c r="AB3427">
        <v>0</v>
      </c>
      <c r="AC3427" s="34">
        <v>0.23400000000000001</v>
      </c>
      <c r="AD3427" s="32">
        <v>6.2770000000000001</v>
      </c>
    </row>
    <row r="3428" spans="22:30">
      <c r="V3428">
        <v>3426</v>
      </c>
      <c r="W3428">
        <v>48</v>
      </c>
      <c r="X3428">
        <v>3.4670000000000001</v>
      </c>
      <c r="Y3428" s="32">
        <v>6.57</v>
      </c>
      <c r="Z3428">
        <v>0</v>
      </c>
      <c r="AA3428" s="32">
        <v>1.8109999999999999</v>
      </c>
      <c r="AB3428">
        <v>0</v>
      </c>
      <c r="AC3428" s="34">
        <v>0.23400000000000001</v>
      </c>
      <c r="AD3428" s="32">
        <v>6.2789999999999999</v>
      </c>
    </row>
    <row r="3429" spans="22:30">
      <c r="V3429">
        <v>3427</v>
      </c>
      <c r="W3429">
        <v>48</v>
      </c>
      <c r="X3429">
        <v>3.468</v>
      </c>
      <c r="Y3429" s="32">
        <v>6.57</v>
      </c>
      <c r="Z3429">
        <v>0</v>
      </c>
      <c r="AA3429" s="32">
        <v>1.8109999999999999</v>
      </c>
      <c r="AB3429">
        <v>0</v>
      </c>
      <c r="AC3429" s="34">
        <v>0.23400000000000001</v>
      </c>
      <c r="AD3429" s="32">
        <v>6.282</v>
      </c>
    </row>
    <row r="3430" spans="22:30">
      <c r="V3430">
        <v>3428</v>
      </c>
      <c r="W3430">
        <v>48</v>
      </c>
      <c r="X3430">
        <v>3.4689999999999999</v>
      </c>
      <c r="Y3430" s="32">
        <v>6.57</v>
      </c>
      <c r="Z3430">
        <v>0</v>
      </c>
      <c r="AA3430" s="32">
        <v>1.8109999999999999</v>
      </c>
      <c r="AB3430">
        <v>0</v>
      </c>
      <c r="AC3430" s="34">
        <v>0.23400000000000001</v>
      </c>
      <c r="AD3430" s="32">
        <v>6.2839999999999998</v>
      </c>
    </row>
    <row r="3431" spans="22:30">
      <c r="V3431">
        <v>3429</v>
      </c>
      <c r="W3431">
        <v>48</v>
      </c>
      <c r="X3431">
        <v>3.47</v>
      </c>
      <c r="Y3431" s="32">
        <v>6.57</v>
      </c>
      <c r="Z3431">
        <v>0</v>
      </c>
      <c r="AA3431" s="32">
        <v>1.8120000000000001</v>
      </c>
      <c r="AB3431">
        <v>0</v>
      </c>
      <c r="AC3431" s="34">
        <v>0.23400000000000001</v>
      </c>
      <c r="AD3431" s="32">
        <v>6.2869999999999999</v>
      </c>
    </row>
    <row r="3432" spans="22:30">
      <c r="V3432">
        <v>3430</v>
      </c>
      <c r="W3432">
        <v>48</v>
      </c>
      <c r="X3432">
        <v>3.4710000000000001</v>
      </c>
      <c r="Y3432" s="32">
        <v>6.57</v>
      </c>
      <c r="Z3432">
        <v>0</v>
      </c>
      <c r="AA3432" s="32">
        <v>1.8120000000000001</v>
      </c>
      <c r="AB3432">
        <v>0</v>
      </c>
      <c r="AC3432" s="34">
        <v>0.23400000000000001</v>
      </c>
      <c r="AD3432" s="32">
        <v>6.29</v>
      </c>
    </row>
    <row r="3433" spans="22:30">
      <c r="V3433">
        <v>3431</v>
      </c>
      <c r="W3433">
        <v>48</v>
      </c>
      <c r="X3433">
        <v>3.472</v>
      </c>
      <c r="Y3433" s="32">
        <v>6.57</v>
      </c>
      <c r="Z3433">
        <v>0</v>
      </c>
      <c r="AA3433" s="32">
        <v>1.8120000000000001</v>
      </c>
      <c r="AB3433">
        <v>0</v>
      </c>
      <c r="AC3433" s="34">
        <v>0.23400000000000001</v>
      </c>
      <c r="AD3433" s="32">
        <v>6.2919999999999998</v>
      </c>
    </row>
    <row r="3434" spans="22:30">
      <c r="V3434">
        <v>3432</v>
      </c>
      <c r="W3434">
        <v>48</v>
      </c>
      <c r="X3434">
        <v>3.4729999999999999</v>
      </c>
      <c r="Y3434" s="32">
        <v>6.57</v>
      </c>
      <c r="Z3434">
        <v>0</v>
      </c>
      <c r="AA3434" s="32">
        <v>1.8120000000000001</v>
      </c>
      <c r="AB3434">
        <v>0</v>
      </c>
      <c r="AC3434" s="34">
        <v>0.23400000000000001</v>
      </c>
      <c r="AD3434" s="32">
        <v>6.2949999999999999</v>
      </c>
    </row>
    <row r="3435" spans="22:30">
      <c r="V3435">
        <v>3433</v>
      </c>
      <c r="W3435">
        <v>48</v>
      </c>
      <c r="X3435">
        <v>3.4740000000000002</v>
      </c>
      <c r="Y3435" s="32">
        <v>6.57</v>
      </c>
      <c r="Z3435">
        <v>0</v>
      </c>
      <c r="AA3435" s="32">
        <v>1.8120000000000001</v>
      </c>
      <c r="AB3435">
        <v>0</v>
      </c>
      <c r="AC3435" s="34">
        <v>0.23400000000000001</v>
      </c>
      <c r="AD3435" s="32">
        <v>6.2969999999999997</v>
      </c>
    </row>
    <row r="3436" spans="22:30">
      <c r="V3436">
        <v>3434</v>
      </c>
      <c r="W3436">
        <v>48</v>
      </c>
      <c r="X3436">
        <v>3.4750000000000001</v>
      </c>
      <c r="Y3436" s="32">
        <v>6.57</v>
      </c>
      <c r="Z3436">
        <v>0</v>
      </c>
      <c r="AA3436" s="32">
        <v>1.8129999999999999</v>
      </c>
      <c r="AB3436">
        <v>0</v>
      </c>
      <c r="AC3436" s="34">
        <v>0.23400000000000001</v>
      </c>
      <c r="AD3436" s="32">
        <v>6.3</v>
      </c>
    </row>
    <row r="3437" spans="22:30">
      <c r="V3437">
        <v>3435</v>
      </c>
      <c r="W3437">
        <v>48</v>
      </c>
      <c r="X3437">
        <v>3.476</v>
      </c>
      <c r="Y3437" s="32">
        <v>6.57</v>
      </c>
      <c r="Z3437">
        <v>0</v>
      </c>
      <c r="AA3437" s="32">
        <v>1.8129999999999999</v>
      </c>
      <c r="AB3437">
        <v>0</v>
      </c>
      <c r="AC3437" s="34">
        <v>0.23400000000000001</v>
      </c>
      <c r="AD3437" s="32">
        <v>6.3019999999999996</v>
      </c>
    </row>
    <row r="3438" spans="22:30">
      <c r="V3438">
        <v>3436</v>
      </c>
      <c r="W3438">
        <v>48</v>
      </c>
      <c r="X3438">
        <v>3.4769999999999999</v>
      </c>
      <c r="Y3438" s="32">
        <v>6.57</v>
      </c>
      <c r="Z3438">
        <v>0</v>
      </c>
      <c r="AA3438" s="32">
        <v>1.8129999999999999</v>
      </c>
      <c r="AB3438">
        <v>0</v>
      </c>
      <c r="AC3438" s="34">
        <v>0.23400000000000001</v>
      </c>
      <c r="AD3438" s="32">
        <v>6.3049999999999997</v>
      </c>
    </row>
    <row r="3439" spans="22:30">
      <c r="V3439">
        <v>3437</v>
      </c>
      <c r="W3439">
        <v>48</v>
      </c>
      <c r="X3439">
        <v>3.4780000000000002</v>
      </c>
      <c r="Y3439" s="32">
        <v>6.57</v>
      </c>
      <c r="Z3439">
        <v>0</v>
      </c>
      <c r="AA3439" s="32">
        <v>1.8129999999999999</v>
      </c>
      <c r="AB3439">
        <v>0</v>
      </c>
      <c r="AC3439" s="34">
        <v>0.23400000000000001</v>
      </c>
      <c r="AD3439" s="32">
        <v>6.3070000000000004</v>
      </c>
    </row>
    <row r="3440" spans="22:30">
      <c r="V3440">
        <v>3438</v>
      </c>
      <c r="W3440">
        <v>48</v>
      </c>
      <c r="X3440">
        <v>3.4790000000000001</v>
      </c>
      <c r="Y3440" s="32">
        <v>6.57</v>
      </c>
      <c r="Z3440">
        <v>0</v>
      </c>
      <c r="AA3440" s="32">
        <v>1.8129999999999999</v>
      </c>
      <c r="AB3440">
        <v>0</v>
      </c>
      <c r="AC3440" s="34">
        <v>0.23400000000000001</v>
      </c>
      <c r="AD3440" s="32">
        <v>6.31</v>
      </c>
    </row>
    <row r="3441" spans="22:30">
      <c r="V3441">
        <v>3439</v>
      </c>
      <c r="W3441">
        <v>48</v>
      </c>
      <c r="X3441">
        <v>3.48</v>
      </c>
      <c r="Y3441" s="32">
        <v>6.57</v>
      </c>
      <c r="Z3441">
        <v>0</v>
      </c>
      <c r="AA3441" s="32">
        <v>1.8140000000000001</v>
      </c>
      <c r="AB3441">
        <v>0</v>
      </c>
      <c r="AC3441" s="34">
        <v>0.23400000000000001</v>
      </c>
      <c r="AD3441" s="32">
        <v>6.3129999999999997</v>
      </c>
    </row>
    <row r="3442" spans="22:30">
      <c r="V3442">
        <v>3440</v>
      </c>
      <c r="W3442">
        <v>48</v>
      </c>
      <c r="X3442">
        <v>3.4809999999999999</v>
      </c>
      <c r="Y3442" s="32">
        <v>6.57</v>
      </c>
      <c r="Z3442">
        <v>0</v>
      </c>
      <c r="AA3442" s="32">
        <v>1.8140000000000001</v>
      </c>
      <c r="AB3442">
        <v>0</v>
      </c>
      <c r="AC3442" s="34">
        <v>0.23400000000000001</v>
      </c>
      <c r="AD3442" s="32">
        <v>6.3150000000000004</v>
      </c>
    </row>
    <row r="3443" spans="22:30">
      <c r="V3443">
        <v>3441</v>
      </c>
      <c r="W3443">
        <v>48</v>
      </c>
      <c r="X3443">
        <v>3.4820000000000002</v>
      </c>
      <c r="Y3443" s="32">
        <v>6.57</v>
      </c>
      <c r="Z3443">
        <v>0</v>
      </c>
      <c r="AA3443" s="32">
        <v>1.8140000000000001</v>
      </c>
      <c r="AB3443">
        <v>0</v>
      </c>
      <c r="AC3443" s="34">
        <v>0.23400000000000001</v>
      </c>
      <c r="AD3443" s="32">
        <v>6.3179999999999996</v>
      </c>
    </row>
    <row r="3444" spans="22:30">
      <c r="V3444">
        <v>3442</v>
      </c>
      <c r="W3444">
        <v>48</v>
      </c>
      <c r="X3444">
        <v>3.4830000000000001</v>
      </c>
      <c r="Y3444" s="32">
        <v>6.57</v>
      </c>
      <c r="Z3444">
        <v>0</v>
      </c>
      <c r="AA3444" s="32">
        <v>1.8140000000000001</v>
      </c>
      <c r="AB3444">
        <v>0</v>
      </c>
      <c r="AC3444" s="34">
        <v>0.23499999999999999</v>
      </c>
      <c r="AD3444" s="32">
        <v>6.32</v>
      </c>
    </row>
    <row r="3445" spans="22:30">
      <c r="V3445">
        <v>3443</v>
      </c>
      <c r="W3445">
        <v>48</v>
      </c>
      <c r="X3445">
        <v>3.484</v>
      </c>
      <c r="Y3445" s="32">
        <v>6.57</v>
      </c>
      <c r="Z3445">
        <v>0</v>
      </c>
      <c r="AA3445" s="32">
        <v>1.8140000000000001</v>
      </c>
      <c r="AB3445">
        <v>0</v>
      </c>
      <c r="AC3445" s="34">
        <v>0.23499999999999999</v>
      </c>
      <c r="AD3445" s="32">
        <v>6.3230000000000004</v>
      </c>
    </row>
    <row r="3446" spans="22:30">
      <c r="V3446">
        <v>3444</v>
      </c>
      <c r="W3446">
        <v>48</v>
      </c>
      <c r="X3446">
        <v>3.4849999999999999</v>
      </c>
      <c r="Y3446" s="32">
        <v>6.57</v>
      </c>
      <c r="Z3446">
        <v>0</v>
      </c>
      <c r="AA3446" s="32">
        <v>1.8149999999999999</v>
      </c>
      <c r="AB3446">
        <v>0</v>
      </c>
      <c r="AC3446" s="34">
        <v>0.23499999999999999</v>
      </c>
      <c r="AD3446" s="32">
        <v>6.3250000000000002</v>
      </c>
    </row>
    <row r="3447" spans="22:30">
      <c r="V3447">
        <v>3445</v>
      </c>
      <c r="W3447">
        <v>48</v>
      </c>
      <c r="X3447">
        <v>3.4860000000000002</v>
      </c>
      <c r="Y3447" s="32">
        <v>6.57</v>
      </c>
      <c r="Z3447">
        <v>0</v>
      </c>
      <c r="AA3447" s="32">
        <v>1.8149999999999999</v>
      </c>
      <c r="AB3447">
        <v>0</v>
      </c>
      <c r="AC3447" s="34">
        <v>0.23499999999999999</v>
      </c>
      <c r="AD3447" s="32">
        <v>6.3280000000000003</v>
      </c>
    </row>
    <row r="3448" spans="22:30">
      <c r="V3448">
        <v>3446</v>
      </c>
      <c r="W3448">
        <v>48</v>
      </c>
      <c r="X3448">
        <v>3.4870000000000001</v>
      </c>
      <c r="Y3448" s="32">
        <v>6.57</v>
      </c>
      <c r="Z3448">
        <v>0</v>
      </c>
      <c r="AA3448" s="32">
        <v>1.8149999999999999</v>
      </c>
      <c r="AB3448">
        <v>0</v>
      </c>
      <c r="AC3448" s="34">
        <v>0.23499999999999999</v>
      </c>
      <c r="AD3448" s="32">
        <v>6.33</v>
      </c>
    </row>
    <row r="3449" spans="22:30">
      <c r="V3449">
        <v>3447</v>
      </c>
      <c r="W3449">
        <v>48</v>
      </c>
      <c r="X3449">
        <v>3.488</v>
      </c>
      <c r="Y3449" s="32">
        <v>6.57</v>
      </c>
      <c r="Z3449">
        <v>0</v>
      </c>
      <c r="AA3449" s="32">
        <v>1.8149999999999999</v>
      </c>
      <c r="AB3449">
        <v>0</v>
      </c>
      <c r="AC3449" s="34">
        <v>0.23499999999999999</v>
      </c>
      <c r="AD3449" s="32">
        <v>6.3330000000000002</v>
      </c>
    </row>
    <row r="3450" spans="22:30">
      <c r="V3450">
        <v>3448</v>
      </c>
      <c r="W3450">
        <v>48</v>
      </c>
      <c r="X3450">
        <v>3.4889999999999999</v>
      </c>
      <c r="Y3450" s="32">
        <v>6.57</v>
      </c>
      <c r="Z3450">
        <v>0</v>
      </c>
      <c r="AA3450" s="32">
        <v>1.8149999999999999</v>
      </c>
      <c r="AB3450">
        <v>0</v>
      </c>
      <c r="AC3450" s="34">
        <v>0.23499999999999999</v>
      </c>
      <c r="AD3450" s="32">
        <v>6.3360000000000003</v>
      </c>
    </row>
    <row r="3451" spans="22:30">
      <c r="V3451">
        <v>3449</v>
      </c>
      <c r="W3451">
        <v>48</v>
      </c>
      <c r="X3451">
        <v>3.49</v>
      </c>
      <c r="Y3451" s="32">
        <v>6.57</v>
      </c>
      <c r="Z3451">
        <v>0</v>
      </c>
      <c r="AA3451" s="32">
        <v>1.8160000000000001</v>
      </c>
      <c r="AB3451">
        <v>0</v>
      </c>
      <c r="AC3451" s="34">
        <v>0.23499999999999999</v>
      </c>
      <c r="AD3451" s="32">
        <v>6.3380000000000001</v>
      </c>
    </row>
    <row r="3452" spans="22:30">
      <c r="V3452">
        <v>3450</v>
      </c>
      <c r="W3452">
        <v>48</v>
      </c>
      <c r="X3452">
        <v>3.4910000000000001</v>
      </c>
      <c r="Y3452" s="32">
        <v>6.57</v>
      </c>
      <c r="Z3452">
        <v>0</v>
      </c>
      <c r="AA3452" s="32">
        <v>1.8160000000000001</v>
      </c>
      <c r="AB3452">
        <v>0</v>
      </c>
      <c r="AC3452" s="34">
        <v>0.23499999999999999</v>
      </c>
      <c r="AD3452" s="32">
        <v>6.3410000000000002</v>
      </c>
    </row>
    <row r="3453" spans="22:30">
      <c r="V3453">
        <v>3451</v>
      </c>
      <c r="W3453">
        <v>48</v>
      </c>
      <c r="X3453">
        <v>3.492</v>
      </c>
      <c r="Y3453" s="32">
        <v>6.57</v>
      </c>
      <c r="Z3453">
        <v>0</v>
      </c>
      <c r="AA3453" s="32">
        <v>1.8160000000000001</v>
      </c>
      <c r="AB3453">
        <v>0</v>
      </c>
      <c r="AC3453" s="34">
        <v>0.23499999999999999</v>
      </c>
      <c r="AD3453" s="32">
        <v>6.343</v>
      </c>
    </row>
    <row r="3454" spans="22:30">
      <c r="V3454">
        <v>3452</v>
      </c>
      <c r="W3454">
        <v>48</v>
      </c>
      <c r="X3454">
        <v>3.4929999999999999</v>
      </c>
      <c r="Y3454" s="32">
        <v>6.57</v>
      </c>
      <c r="Z3454">
        <v>0</v>
      </c>
      <c r="AA3454" s="32">
        <v>1.8160000000000001</v>
      </c>
      <c r="AB3454">
        <v>0</v>
      </c>
      <c r="AC3454" s="34">
        <v>0.23499999999999999</v>
      </c>
      <c r="AD3454" s="32">
        <v>6.3460000000000001</v>
      </c>
    </row>
    <row r="3455" spans="22:30">
      <c r="V3455">
        <v>3453</v>
      </c>
      <c r="W3455">
        <v>48</v>
      </c>
      <c r="X3455">
        <v>3.4940000000000002</v>
      </c>
      <c r="Y3455" s="32">
        <v>6.57</v>
      </c>
      <c r="Z3455">
        <v>0</v>
      </c>
      <c r="AA3455" s="32">
        <v>1.8169999999999999</v>
      </c>
      <c r="AB3455">
        <v>0</v>
      </c>
      <c r="AC3455" s="34">
        <v>0.23499999999999999</v>
      </c>
      <c r="AD3455" s="32">
        <v>6.3479999999999999</v>
      </c>
    </row>
    <row r="3456" spans="22:30">
      <c r="V3456">
        <v>3454</v>
      </c>
      <c r="W3456">
        <v>48</v>
      </c>
      <c r="X3456">
        <v>3.4950000000000001</v>
      </c>
      <c r="Y3456" s="32">
        <v>6.57</v>
      </c>
      <c r="Z3456">
        <v>0</v>
      </c>
      <c r="AA3456" s="32">
        <v>1.8169999999999999</v>
      </c>
      <c r="AB3456">
        <v>0</v>
      </c>
      <c r="AC3456" s="34">
        <v>0.23499999999999999</v>
      </c>
      <c r="AD3456" s="32">
        <v>6.351</v>
      </c>
    </row>
    <row r="3457" spans="22:30">
      <c r="V3457">
        <v>3455</v>
      </c>
      <c r="W3457">
        <v>48</v>
      </c>
      <c r="X3457">
        <v>3.496</v>
      </c>
      <c r="Y3457" s="32">
        <v>6.57</v>
      </c>
      <c r="Z3457">
        <v>0</v>
      </c>
      <c r="AA3457" s="32">
        <v>1.8169999999999999</v>
      </c>
      <c r="AB3457">
        <v>0</v>
      </c>
      <c r="AC3457" s="34">
        <v>0.23499999999999999</v>
      </c>
      <c r="AD3457" s="32">
        <v>6.3529999999999998</v>
      </c>
    </row>
    <row r="3458" spans="22:30">
      <c r="V3458">
        <v>3456</v>
      </c>
      <c r="W3458">
        <v>48</v>
      </c>
      <c r="X3458">
        <v>3.4969999999999999</v>
      </c>
      <c r="Y3458" s="32">
        <v>6.57</v>
      </c>
      <c r="Z3458">
        <v>0</v>
      </c>
      <c r="AA3458" s="32">
        <v>1.8169999999999999</v>
      </c>
      <c r="AB3458">
        <v>0</v>
      </c>
      <c r="AC3458" s="34">
        <v>0.23499999999999999</v>
      </c>
      <c r="AD3458" s="32">
        <v>6.3559999999999999</v>
      </c>
    </row>
    <row r="3459" spans="22:30">
      <c r="V3459">
        <v>3457</v>
      </c>
      <c r="W3459">
        <v>48</v>
      </c>
      <c r="X3459">
        <v>3.4980000000000002</v>
      </c>
      <c r="Y3459" s="32">
        <v>6.57</v>
      </c>
      <c r="Z3459">
        <v>0</v>
      </c>
      <c r="AA3459" s="32">
        <v>1.8169999999999999</v>
      </c>
      <c r="AB3459">
        <v>0</v>
      </c>
      <c r="AC3459" s="34">
        <v>0.23499999999999999</v>
      </c>
      <c r="AD3459" s="32">
        <v>6.359</v>
      </c>
    </row>
    <row r="3460" spans="22:30">
      <c r="V3460">
        <v>3458</v>
      </c>
      <c r="W3460">
        <v>48</v>
      </c>
      <c r="X3460">
        <v>3.4990000000000001</v>
      </c>
      <c r="Y3460" s="32">
        <v>6.57</v>
      </c>
      <c r="Z3460">
        <v>0</v>
      </c>
      <c r="AA3460" s="32">
        <v>1.8180000000000001</v>
      </c>
      <c r="AB3460">
        <v>0</v>
      </c>
      <c r="AC3460" s="34">
        <v>0.23499999999999999</v>
      </c>
      <c r="AD3460" s="32">
        <v>6.3609999999999998</v>
      </c>
    </row>
    <row r="3461" spans="22:30">
      <c r="V3461">
        <v>3459</v>
      </c>
      <c r="W3461">
        <v>48</v>
      </c>
      <c r="X3461">
        <v>3.5</v>
      </c>
      <c r="Y3461" s="32">
        <v>6.57</v>
      </c>
      <c r="Z3461">
        <v>0</v>
      </c>
      <c r="AA3461" s="32">
        <v>1.8180000000000001</v>
      </c>
      <c r="AB3461">
        <v>0</v>
      </c>
      <c r="AC3461" s="34">
        <v>0.23499999999999999</v>
      </c>
      <c r="AD3461" s="32">
        <v>6.3639999999999999</v>
      </c>
    </row>
    <row r="3462" spans="22:30">
      <c r="V3462">
        <v>3460</v>
      </c>
      <c r="W3462">
        <v>48</v>
      </c>
      <c r="X3462">
        <v>3.5009999999999999</v>
      </c>
      <c r="Y3462" s="32">
        <v>6.5839999999999996</v>
      </c>
      <c r="Z3462">
        <v>0</v>
      </c>
      <c r="AA3462" s="32">
        <v>1.8180000000000001</v>
      </c>
      <c r="AB3462">
        <v>0</v>
      </c>
      <c r="AC3462" s="34">
        <v>0.23499999999999999</v>
      </c>
      <c r="AD3462" s="32">
        <v>6.3659999999999997</v>
      </c>
    </row>
    <row r="3463" spans="22:30">
      <c r="V3463">
        <v>3461</v>
      </c>
      <c r="W3463">
        <v>48</v>
      </c>
      <c r="X3463">
        <v>3.5019999999999998</v>
      </c>
      <c r="Y3463" s="32">
        <v>6.5979999999999999</v>
      </c>
      <c r="Z3463">
        <v>0</v>
      </c>
      <c r="AA3463" s="32">
        <v>1.8180000000000001</v>
      </c>
      <c r="AB3463">
        <v>0</v>
      </c>
      <c r="AC3463" s="34">
        <v>0.23499999999999999</v>
      </c>
      <c r="AD3463" s="32">
        <v>6.3689999999999998</v>
      </c>
    </row>
    <row r="3464" spans="22:30">
      <c r="V3464">
        <v>3462</v>
      </c>
      <c r="W3464">
        <v>48</v>
      </c>
      <c r="X3464">
        <v>3.5030000000000001</v>
      </c>
      <c r="Y3464" s="32">
        <v>6.6120000000000001</v>
      </c>
      <c r="Z3464">
        <v>0</v>
      </c>
      <c r="AA3464" s="32">
        <v>1.8180000000000001</v>
      </c>
      <c r="AB3464">
        <v>0</v>
      </c>
      <c r="AC3464" s="34">
        <v>0.23499999999999999</v>
      </c>
      <c r="AD3464" s="32">
        <v>6.3710000000000004</v>
      </c>
    </row>
    <row r="3465" spans="22:30">
      <c r="V3465">
        <v>3463</v>
      </c>
      <c r="W3465">
        <v>48</v>
      </c>
      <c r="X3465">
        <v>3.504</v>
      </c>
      <c r="Y3465" s="32">
        <v>6.6260000000000003</v>
      </c>
      <c r="Z3465">
        <v>0</v>
      </c>
      <c r="AA3465" s="32">
        <v>1.819</v>
      </c>
      <c r="AB3465">
        <v>0</v>
      </c>
      <c r="AC3465" s="34">
        <v>0.23499999999999999</v>
      </c>
      <c r="AD3465" s="32">
        <v>6.3739999999999997</v>
      </c>
    </row>
    <row r="3466" spans="22:30">
      <c r="V3466">
        <v>3464</v>
      </c>
      <c r="W3466">
        <v>48</v>
      </c>
      <c r="X3466">
        <v>3.5049999999999999</v>
      </c>
      <c r="Y3466" s="32">
        <v>6.64</v>
      </c>
      <c r="Z3466">
        <v>0</v>
      </c>
      <c r="AA3466" s="32">
        <v>1.819</v>
      </c>
      <c r="AB3466">
        <v>0</v>
      </c>
      <c r="AC3466" s="34">
        <v>0.23499999999999999</v>
      </c>
      <c r="AD3466" s="32">
        <v>6.3760000000000003</v>
      </c>
    </row>
    <row r="3467" spans="22:30">
      <c r="V3467">
        <v>3465</v>
      </c>
      <c r="W3467">
        <v>49</v>
      </c>
      <c r="X3467">
        <v>3.5059999999999998</v>
      </c>
      <c r="Y3467" s="32">
        <v>6.6539999999999999</v>
      </c>
      <c r="Z3467">
        <v>0</v>
      </c>
      <c r="AA3467" s="32">
        <v>1.819</v>
      </c>
      <c r="AB3467">
        <v>0</v>
      </c>
      <c r="AC3467" s="34">
        <v>0.23499999999999999</v>
      </c>
      <c r="AD3467" s="32">
        <v>6.3789999999999996</v>
      </c>
    </row>
    <row r="3468" spans="22:30">
      <c r="V3468">
        <v>3466</v>
      </c>
      <c r="W3468">
        <v>49</v>
      </c>
      <c r="X3468">
        <v>3.5070000000000001</v>
      </c>
      <c r="Y3468" s="32">
        <v>6.6680000000000001</v>
      </c>
      <c r="Z3468">
        <v>0</v>
      </c>
      <c r="AA3468" s="32">
        <v>1.819</v>
      </c>
      <c r="AB3468">
        <v>0</v>
      </c>
      <c r="AC3468" s="34">
        <v>0.23499999999999999</v>
      </c>
      <c r="AD3468" s="32">
        <v>6.3819999999999997</v>
      </c>
    </row>
    <row r="3469" spans="22:30">
      <c r="V3469">
        <v>3467</v>
      </c>
      <c r="W3469">
        <v>49</v>
      </c>
      <c r="X3469">
        <v>3.508</v>
      </c>
      <c r="Y3469" s="32">
        <v>6.6820000000000004</v>
      </c>
      <c r="Z3469">
        <v>0</v>
      </c>
      <c r="AA3469" s="32">
        <v>1.819</v>
      </c>
      <c r="AB3469">
        <v>0</v>
      </c>
      <c r="AC3469" s="34">
        <v>0.23499999999999999</v>
      </c>
      <c r="AD3469" s="32">
        <v>6.3840000000000003</v>
      </c>
    </row>
    <row r="3470" spans="22:30">
      <c r="V3470">
        <v>3468</v>
      </c>
      <c r="W3470">
        <v>49</v>
      </c>
      <c r="X3470">
        <v>3.5089999999999999</v>
      </c>
      <c r="Y3470" s="32">
        <v>6.6959999999999997</v>
      </c>
      <c r="Z3470">
        <v>0</v>
      </c>
      <c r="AA3470" s="32">
        <v>1.82</v>
      </c>
      <c r="AB3470">
        <v>0</v>
      </c>
      <c r="AC3470" s="34">
        <v>0.23499999999999999</v>
      </c>
      <c r="AD3470" s="32">
        <v>6.3869999999999996</v>
      </c>
    </row>
    <row r="3471" spans="22:30">
      <c r="V3471">
        <v>3469</v>
      </c>
      <c r="W3471">
        <v>49</v>
      </c>
      <c r="X3471">
        <v>3.51</v>
      </c>
      <c r="Y3471" s="32">
        <v>6.71</v>
      </c>
      <c r="Z3471">
        <v>0</v>
      </c>
      <c r="AA3471" s="32">
        <v>1.82</v>
      </c>
      <c r="AB3471">
        <v>0</v>
      </c>
      <c r="AC3471" s="34">
        <v>0.23499999999999999</v>
      </c>
      <c r="AD3471" s="32">
        <v>6.39</v>
      </c>
    </row>
    <row r="3472" spans="22:30">
      <c r="V3472">
        <v>3470</v>
      </c>
      <c r="W3472">
        <v>49</v>
      </c>
      <c r="X3472">
        <v>3.5110000000000001</v>
      </c>
      <c r="Y3472" s="32">
        <v>6.71</v>
      </c>
      <c r="Z3472">
        <v>0</v>
      </c>
      <c r="AA3472" s="32">
        <v>1.82</v>
      </c>
      <c r="AB3472">
        <v>0</v>
      </c>
      <c r="AC3472" s="34">
        <v>0.23499999999999999</v>
      </c>
      <c r="AD3472" s="32">
        <v>6.3920000000000003</v>
      </c>
    </row>
    <row r="3473" spans="22:30">
      <c r="V3473">
        <v>3471</v>
      </c>
      <c r="W3473">
        <v>49</v>
      </c>
      <c r="X3473">
        <v>3.512</v>
      </c>
      <c r="Y3473" s="32">
        <v>6.71</v>
      </c>
      <c r="Z3473">
        <v>0</v>
      </c>
      <c r="AA3473" s="32">
        <v>1.82</v>
      </c>
      <c r="AB3473">
        <v>0</v>
      </c>
      <c r="AC3473" s="34">
        <v>0.23499999999999999</v>
      </c>
      <c r="AD3473" s="32">
        <v>6.3949999999999996</v>
      </c>
    </row>
    <row r="3474" spans="22:30">
      <c r="V3474">
        <v>3472</v>
      </c>
      <c r="W3474">
        <v>49</v>
      </c>
      <c r="X3474">
        <v>3.5129999999999999</v>
      </c>
      <c r="Y3474" s="32">
        <v>6.71</v>
      </c>
      <c r="Z3474">
        <v>0</v>
      </c>
      <c r="AA3474" s="32">
        <v>1.821</v>
      </c>
      <c r="AB3474">
        <v>0</v>
      </c>
      <c r="AC3474" s="34">
        <v>0.23499999999999999</v>
      </c>
      <c r="AD3474" s="32">
        <v>6.3970000000000002</v>
      </c>
    </row>
    <row r="3475" spans="22:30">
      <c r="V3475">
        <v>3473</v>
      </c>
      <c r="W3475">
        <v>49</v>
      </c>
      <c r="X3475">
        <v>3.5139999999999998</v>
      </c>
      <c r="Y3475" s="32">
        <v>6.71</v>
      </c>
      <c r="Z3475">
        <v>0</v>
      </c>
      <c r="AA3475" s="32">
        <v>1.821</v>
      </c>
      <c r="AB3475">
        <v>0</v>
      </c>
      <c r="AC3475" s="34">
        <v>0.23499999999999999</v>
      </c>
      <c r="AD3475" s="32">
        <v>6.4</v>
      </c>
    </row>
    <row r="3476" spans="22:30">
      <c r="V3476">
        <v>3474</v>
      </c>
      <c r="W3476">
        <v>49</v>
      </c>
      <c r="X3476">
        <v>3.5150000000000001</v>
      </c>
      <c r="Y3476" s="32">
        <v>6.71</v>
      </c>
      <c r="Z3476">
        <v>0</v>
      </c>
      <c r="AA3476" s="32">
        <v>1.821</v>
      </c>
      <c r="AB3476">
        <v>0</v>
      </c>
      <c r="AC3476" s="34">
        <v>0.23499999999999999</v>
      </c>
      <c r="AD3476" s="32">
        <v>6.4029999999999996</v>
      </c>
    </row>
    <row r="3477" spans="22:30">
      <c r="V3477">
        <v>3475</v>
      </c>
      <c r="W3477">
        <v>49</v>
      </c>
      <c r="X3477">
        <v>3.516</v>
      </c>
      <c r="Y3477" s="32">
        <v>6.71</v>
      </c>
      <c r="Z3477">
        <v>0</v>
      </c>
      <c r="AA3477" s="32">
        <v>1.821</v>
      </c>
      <c r="AB3477">
        <v>0</v>
      </c>
      <c r="AC3477" s="34">
        <v>0.23499999999999999</v>
      </c>
      <c r="AD3477" s="32">
        <v>6.4050000000000002</v>
      </c>
    </row>
    <row r="3478" spans="22:30">
      <c r="V3478">
        <v>3476</v>
      </c>
      <c r="W3478">
        <v>49</v>
      </c>
      <c r="X3478">
        <v>3.5169999999999999</v>
      </c>
      <c r="Y3478" s="32">
        <v>6.71</v>
      </c>
      <c r="Z3478">
        <v>0</v>
      </c>
      <c r="AA3478" s="32">
        <v>1.8220000000000001</v>
      </c>
      <c r="AB3478">
        <v>0</v>
      </c>
      <c r="AC3478" s="34">
        <v>0.23499999999999999</v>
      </c>
      <c r="AD3478" s="32">
        <v>6.4080000000000004</v>
      </c>
    </row>
    <row r="3479" spans="22:30">
      <c r="V3479">
        <v>3477</v>
      </c>
      <c r="W3479">
        <v>49</v>
      </c>
      <c r="X3479">
        <v>3.5179999999999998</v>
      </c>
      <c r="Y3479" s="32">
        <v>6.71</v>
      </c>
      <c r="Z3479">
        <v>0</v>
      </c>
      <c r="AA3479" s="32">
        <v>1.8220000000000001</v>
      </c>
      <c r="AB3479">
        <v>0</v>
      </c>
      <c r="AC3479" s="34">
        <v>0.23499999999999999</v>
      </c>
      <c r="AD3479" s="32">
        <v>6.4109999999999996</v>
      </c>
    </row>
    <row r="3480" spans="22:30">
      <c r="V3480">
        <v>3478</v>
      </c>
      <c r="W3480">
        <v>49</v>
      </c>
      <c r="X3480">
        <v>3.5190000000000001</v>
      </c>
      <c r="Y3480" s="32">
        <v>6.71</v>
      </c>
      <c r="Z3480">
        <v>0</v>
      </c>
      <c r="AA3480" s="32">
        <v>1.8220000000000001</v>
      </c>
      <c r="AB3480">
        <v>0</v>
      </c>
      <c r="AC3480" s="34">
        <v>0.23499999999999999</v>
      </c>
      <c r="AD3480" s="32">
        <v>6.4130000000000003</v>
      </c>
    </row>
    <row r="3481" spans="22:30">
      <c r="V3481">
        <v>3479</v>
      </c>
      <c r="W3481">
        <v>49</v>
      </c>
      <c r="X3481">
        <v>3.52</v>
      </c>
      <c r="Y3481" s="32">
        <v>6.71</v>
      </c>
      <c r="Z3481">
        <v>0</v>
      </c>
      <c r="AA3481" s="32">
        <v>1.8220000000000001</v>
      </c>
      <c r="AB3481">
        <v>0</v>
      </c>
      <c r="AC3481" s="34">
        <v>0.23499999999999999</v>
      </c>
      <c r="AD3481" s="32">
        <v>6.4160000000000004</v>
      </c>
    </row>
    <row r="3482" spans="22:30">
      <c r="V3482">
        <v>3480</v>
      </c>
      <c r="W3482">
        <v>49</v>
      </c>
      <c r="X3482">
        <v>3.5209999999999999</v>
      </c>
      <c r="Y3482" s="32">
        <v>6.71</v>
      </c>
      <c r="Z3482">
        <v>0</v>
      </c>
      <c r="AA3482" s="32">
        <v>1.823</v>
      </c>
      <c r="AB3482">
        <v>0</v>
      </c>
      <c r="AC3482" s="34">
        <v>0.23499999999999999</v>
      </c>
      <c r="AD3482" s="32">
        <v>6.4189999999999996</v>
      </c>
    </row>
    <row r="3483" spans="22:30">
      <c r="V3483">
        <v>3481</v>
      </c>
      <c r="W3483">
        <v>49</v>
      </c>
      <c r="X3483">
        <v>3.5219999999999998</v>
      </c>
      <c r="Y3483" s="32">
        <v>6.71</v>
      </c>
      <c r="Z3483">
        <v>0</v>
      </c>
      <c r="AA3483" s="32">
        <v>1.823</v>
      </c>
      <c r="AB3483">
        <v>0</v>
      </c>
      <c r="AC3483" s="34">
        <v>0.23499999999999999</v>
      </c>
      <c r="AD3483" s="32">
        <v>6.4210000000000003</v>
      </c>
    </row>
    <row r="3484" spans="22:30">
      <c r="V3484">
        <v>3482</v>
      </c>
      <c r="W3484">
        <v>49</v>
      </c>
      <c r="X3484">
        <v>3.5230000000000001</v>
      </c>
      <c r="Y3484" s="32">
        <v>6.71</v>
      </c>
      <c r="Z3484">
        <v>0</v>
      </c>
      <c r="AA3484" s="32">
        <v>1.823</v>
      </c>
      <c r="AB3484">
        <v>0</v>
      </c>
      <c r="AC3484" s="34">
        <v>0.23499999999999999</v>
      </c>
      <c r="AD3484" s="32">
        <v>6.4240000000000004</v>
      </c>
    </row>
    <row r="3485" spans="22:30">
      <c r="V3485">
        <v>3483</v>
      </c>
      <c r="W3485">
        <v>49</v>
      </c>
      <c r="X3485">
        <v>3.524</v>
      </c>
      <c r="Y3485" s="32">
        <v>6.71</v>
      </c>
      <c r="Z3485">
        <v>0</v>
      </c>
      <c r="AA3485" s="32">
        <v>1.823</v>
      </c>
      <c r="AB3485">
        <v>0</v>
      </c>
      <c r="AC3485" s="34">
        <v>0.23499999999999999</v>
      </c>
      <c r="AD3485" s="32">
        <v>6.4260000000000002</v>
      </c>
    </row>
    <row r="3486" spans="22:30">
      <c r="V3486">
        <v>3484</v>
      </c>
      <c r="W3486">
        <v>49</v>
      </c>
      <c r="X3486">
        <v>3.5249999999999999</v>
      </c>
      <c r="Y3486" s="32">
        <v>6.71</v>
      </c>
      <c r="Z3486">
        <v>0</v>
      </c>
      <c r="AA3486" s="32">
        <v>1.823</v>
      </c>
      <c r="AB3486">
        <v>0</v>
      </c>
      <c r="AC3486" s="34">
        <v>0.23499999999999999</v>
      </c>
      <c r="AD3486" s="32">
        <v>6.4290000000000003</v>
      </c>
    </row>
    <row r="3487" spans="22:30">
      <c r="V3487">
        <v>3485</v>
      </c>
      <c r="W3487">
        <v>49</v>
      </c>
      <c r="X3487">
        <v>3.5259999999999998</v>
      </c>
      <c r="Y3487" s="32">
        <v>6.71</v>
      </c>
      <c r="Z3487">
        <v>0</v>
      </c>
      <c r="AA3487" s="32">
        <v>1.8240000000000001</v>
      </c>
      <c r="AB3487">
        <v>0</v>
      </c>
      <c r="AC3487" s="34">
        <v>0.23499999999999999</v>
      </c>
      <c r="AD3487" s="32">
        <v>6.4320000000000004</v>
      </c>
    </row>
    <row r="3488" spans="22:30">
      <c r="V3488">
        <v>3486</v>
      </c>
      <c r="W3488">
        <v>49</v>
      </c>
      <c r="X3488">
        <v>3.5270000000000001</v>
      </c>
      <c r="Y3488" s="32">
        <v>6.71</v>
      </c>
      <c r="Z3488">
        <v>0</v>
      </c>
      <c r="AA3488" s="32">
        <v>1.8240000000000001</v>
      </c>
      <c r="AB3488">
        <v>0</v>
      </c>
      <c r="AC3488" s="34">
        <v>0.23499999999999999</v>
      </c>
      <c r="AD3488" s="32">
        <v>6.4340000000000002</v>
      </c>
    </row>
    <row r="3489" spans="22:30">
      <c r="V3489">
        <v>3487</v>
      </c>
      <c r="W3489">
        <v>49</v>
      </c>
      <c r="X3489">
        <v>3.528</v>
      </c>
      <c r="Y3489" s="32">
        <v>6.71</v>
      </c>
      <c r="Z3489">
        <v>0</v>
      </c>
      <c r="AA3489" s="32">
        <v>1.8240000000000001</v>
      </c>
      <c r="AB3489">
        <v>0</v>
      </c>
      <c r="AC3489" s="34">
        <v>0.23499999999999999</v>
      </c>
      <c r="AD3489" s="32">
        <v>6.4370000000000003</v>
      </c>
    </row>
    <row r="3490" spans="22:30">
      <c r="V3490">
        <v>3488</v>
      </c>
      <c r="W3490">
        <v>49</v>
      </c>
      <c r="X3490">
        <v>3.5289999999999999</v>
      </c>
      <c r="Y3490" s="32">
        <v>6.71</v>
      </c>
      <c r="Z3490">
        <v>0</v>
      </c>
      <c r="AA3490" s="32">
        <v>1.8240000000000001</v>
      </c>
      <c r="AB3490">
        <v>0</v>
      </c>
      <c r="AC3490" s="34">
        <v>0.23599999999999999</v>
      </c>
      <c r="AD3490" s="32">
        <v>6.44</v>
      </c>
    </row>
    <row r="3491" spans="22:30">
      <c r="V3491">
        <v>3489</v>
      </c>
      <c r="W3491">
        <v>49</v>
      </c>
      <c r="X3491">
        <v>3.53</v>
      </c>
      <c r="Y3491" s="32">
        <v>6.71</v>
      </c>
      <c r="Z3491">
        <v>0</v>
      </c>
      <c r="AA3491" s="32">
        <v>1.825</v>
      </c>
      <c r="AB3491">
        <v>0</v>
      </c>
      <c r="AC3491" s="34">
        <v>0.23599999999999999</v>
      </c>
      <c r="AD3491" s="32">
        <v>6.4420000000000002</v>
      </c>
    </row>
    <row r="3492" spans="22:30">
      <c r="V3492">
        <v>3490</v>
      </c>
      <c r="W3492">
        <v>49</v>
      </c>
      <c r="X3492">
        <v>3.5310000000000001</v>
      </c>
      <c r="Y3492" s="32">
        <v>6.71</v>
      </c>
      <c r="Z3492">
        <v>0</v>
      </c>
      <c r="AA3492" s="32">
        <v>1.825</v>
      </c>
      <c r="AB3492">
        <v>0</v>
      </c>
      <c r="AC3492" s="34">
        <v>0.23599999999999999</v>
      </c>
      <c r="AD3492" s="32">
        <v>6.4450000000000003</v>
      </c>
    </row>
    <row r="3493" spans="22:30">
      <c r="V3493">
        <v>3491</v>
      </c>
      <c r="W3493">
        <v>49</v>
      </c>
      <c r="X3493">
        <v>3.532</v>
      </c>
      <c r="Y3493" s="32">
        <v>6.71</v>
      </c>
      <c r="Z3493">
        <v>0</v>
      </c>
      <c r="AA3493" s="32">
        <v>1.825</v>
      </c>
      <c r="AB3493">
        <v>0</v>
      </c>
      <c r="AC3493" s="34">
        <v>0.23599999999999999</v>
      </c>
      <c r="AD3493" s="32">
        <v>6.4470000000000001</v>
      </c>
    </row>
    <row r="3494" spans="22:30">
      <c r="V3494">
        <v>3492</v>
      </c>
      <c r="W3494">
        <v>49</v>
      </c>
      <c r="X3494">
        <v>3.5329999999999999</v>
      </c>
      <c r="Y3494" s="32">
        <v>6.71</v>
      </c>
      <c r="Z3494">
        <v>0</v>
      </c>
      <c r="AA3494" s="32">
        <v>1.825</v>
      </c>
      <c r="AB3494">
        <v>0</v>
      </c>
      <c r="AC3494" s="34">
        <v>0.23599999999999999</v>
      </c>
      <c r="AD3494" s="32">
        <v>6.45</v>
      </c>
    </row>
    <row r="3495" spans="22:30">
      <c r="V3495">
        <v>3493</v>
      </c>
      <c r="W3495">
        <v>49</v>
      </c>
      <c r="X3495">
        <v>3.5339999999999998</v>
      </c>
      <c r="Y3495" s="32">
        <v>6.71</v>
      </c>
      <c r="Z3495">
        <v>0</v>
      </c>
      <c r="AA3495" s="32">
        <v>1.8260000000000001</v>
      </c>
      <c r="AB3495">
        <v>0</v>
      </c>
      <c r="AC3495" s="34">
        <v>0.23599999999999999</v>
      </c>
      <c r="AD3495" s="32">
        <v>6.4530000000000003</v>
      </c>
    </row>
    <row r="3496" spans="22:30">
      <c r="V3496">
        <v>3494</v>
      </c>
      <c r="W3496">
        <v>49</v>
      </c>
      <c r="X3496">
        <v>3.5350000000000001</v>
      </c>
      <c r="Y3496" s="32">
        <v>6.71</v>
      </c>
      <c r="Z3496">
        <v>0</v>
      </c>
      <c r="AA3496" s="32">
        <v>1.8260000000000001</v>
      </c>
      <c r="AB3496">
        <v>0</v>
      </c>
      <c r="AC3496" s="34">
        <v>0.23599999999999999</v>
      </c>
      <c r="AD3496" s="32">
        <v>6.4550000000000001</v>
      </c>
    </row>
    <row r="3497" spans="22:30">
      <c r="V3497">
        <v>3495</v>
      </c>
      <c r="W3497">
        <v>49</v>
      </c>
      <c r="X3497">
        <v>3.536</v>
      </c>
      <c r="Y3497" s="32">
        <v>6.71</v>
      </c>
      <c r="Z3497">
        <v>0</v>
      </c>
      <c r="AA3497" s="32">
        <v>1.8260000000000001</v>
      </c>
      <c r="AB3497">
        <v>0</v>
      </c>
      <c r="AC3497" s="34">
        <v>0.23599999999999999</v>
      </c>
      <c r="AD3497" s="32">
        <v>6.4580000000000002</v>
      </c>
    </row>
    <row r="3498" spans="22:30">
      <c r="V3498">
        <v>3496</v>
      </c>
      <c r="W3498">
        <v>49</v>
      </c>
      <c r="X3498">
        <v>3.5369999999999999</v>
      </c>
      <c r="Y3498" s="32">
        <v>6.71</v>
      </c>
      <c r="Z3498">
        <v>0</v>
      </c>
      <c r="AA3498" s="32">
        <v>1.8260000000000001</v>
      </c>
      <c r="AB3498">
        <v>0</v>
      </c>
      <c r="AC3498" s="34">
        <v>0.23599999999999999</v>
      </c>
      <c r="AD3498" s="32">
        <v>6.4610000000000003</v>
      </c>
    </row>
    <row r="3499" spans="22:30">
      <c r="V3499">
        <v>3497</v>
      </c>
      <c r="W3499">
        <v>49</v>
      </c>
      <c r="X3499">
        <v>3.5379999999999998</v>
      </c>
      <c r="Y3499" s="32">
        <v>6.71</v>
      </c>
      <c r="Z3499">
        <v>0</v>
      </c>
      <c r="AA3499" s="32">
        <v>1.8260000000000001</v>
      </c>
      <c r="AB3499">
        <v>0</v>
      </c>
      <c r="AC3499" s="34">
        <v>0.23599999999999999</v>
      </c>
      <c r="AD3499" s="32">
        <v>6.4630000000000001</v>
      </c>
    </row>
    <row r="3500" spans="22:30">
      <c r="V3500">
        <v>3498</v>
      </c>
      <c r="W3500">
        <v>49</v>
      </c>
      <c r="X3500">
        <v>3.5390000000000001</v>
      </c>
      <c r="Y3500" s="32">
        <v>6.71</v>
      </c>
      <c r="Z3500">
        <v>0</v>
      </c>
      <c r="AA3500" s="32">
        <v>1.827</v>
      </c>
      <c r="AB3500">
        <v>0</v>
      </c>
      <c r="AC3500" s="34">
        <v>0.23599999999999999</v>
      </c>
      <c r="AD3500" s="32">
        <v>6.4660000000000002</v>
      </c>
    </row>
    <row r="3501" spans="22:30">
      <c r="V3501">
        <v>3499</v>
      </c>
      <c r="W3501">
        <v>49</v>
      </c>
      <c r="X3501">
        <v>3.54</v>
      </c>
      <c r="Y3501" s="32">
        <v>6.71</v>
      </c>
      <c r="Z3501">
        <v>0</v>
      </c>
      <c r="AA3501" s="32">
        <v>1.827</v>
      </c>
      <c r="AB3501">
        <v>0</v>
      </c>
      <c r="AC3501" s="34">
        <v>0.23599999999999999</v>
      </c>
      <c r="AD3501" s="32">
        <v>6.4690000000000003</v>
      </c>
    </row>
    <row r="3502" spans="22:30">
      <c r="V3502">
        <v>3500</v>
      </c>
      <c r="W3502">
        <v>49</v>
      </c>
      <c r="X3502">
        <v>3.5409999999999999</v>
      </c>
      <c r="Y3502" s="32">
        <v>6.71</v>
      </c>
      <c r="Z3502">
        <v>0</v>
      </c>
      <c r="AA3502" s="32">
        <v>1.827</v>
      </c>
      <c r="AB3502">
        <v>0</v>
      </c>
      <c r="AC3502" s="34">
        <v>0.23599999999999999</v>
      </c>
      <c r="AD3502" s="32">
        <v>6.4710000000000001</v>
      </c>
    </row>
    <row r="3503" spans="22:30">
      <c r="V3503">
        <v>3501</v>
      </c>
      <c r="W3503">
        <v>49</v>
      </c>
      <c r="X3503">
        <v>3.5419999999999998</v>
      </c>
      <c r="Y3503" s="32">
        <v>6.71</v>
      </c>
      <c r="Z3503">
        <v>0</v>
      </c>
      <c r="AA3503" s="32">
        <v>1.827</v>
      </c>
      <c r="AB3503">
        <v>0</v>
      </c>
      <c r="AC3503" s="34">
        <v>0.23599999999999999</v>
      </c>
      <c r="AD3503" s="32">
        <v>6.4740000000000002</v>
      </c>
    </row>
    <row r="3504" spans="22:30">
      <c r="V3504">
        <v>3502</v>
      </c>
      <c r="W3504">
        <v>49</v>
      </c>
      <c r="X3504">
        <v>3.5430000000000001</v>
      </c>
      <c r="Y3504" s="32">
        <v>6.71</v>
      </c>
      <c r="Z3504">
        <v>0</v>
      </c>
      <c r="AA3504" s="32">
        <v>1.8280000000000001</v>
      </c>
      <c r="AB3504">
        <v>0</v>
      </c>
      <c r="AC3504" s="34">
        <v>0.23599999999999999</v>
      </c>
      <c r="AD3504" s="32">
        <v>6.476</v>
      </c>
    </row>
    <row r="3505" spans="22:30">
      <c r="V3505">
        <v>3503</v>
      </c>
      <c r="W3505">
        <v>49</v>
      </c>
      <c r="X3505">
        <v>3.544</v>
      </c>
      <c r="Y3505" s="32">
        <v>6.71</v>
      </c>
      <c r="Z3505">
        <v>0</v>
      </c>
      <c r="AA3505" s="32">
        <v>1.8280000000000001</v>
      </c>
      <c r="AB3505">
        <v>0</v>
      </c>
      <c r="AC3505" s="34">
        <v>0.23599999999999999</v>
      </c>
      <c r="AD3505" s="32">
        <v>6.4790000000000001</v>
      </c>
    </row>
    <row r="3506" spans="22:30">
      <c r="V3506">
        <v>3504</v>
      </c>
      <c r="W3506">
        <v>49</v>
      </c>
      <c r="X3506">
        <v>3.5449999999999999</v>
      </c>
      <c r="Y3506" s="32">
        <v>6.71</v>
      </c>
      <c r="Z3506">
        <v>0</v>
      </c>
      <c r="AA3506" s="32">
        <v>1.8280000000000001</v>
      </c>
      <c r="AB3506">
        <v>0</v>
      </c>
      <c r="AC3506" s="34">
        <v>0.23599999999999999</v>
      </c>
      <c r="AD3506" s="32">
        <v>6.4820000000000002</v>
      </c>
    </row>
    <row r="3507" spans="22:30">
      <c r="V3507">
        <v>3505</v>
      </c>
      <c r="W3507">
        <v>49</v>
      </c>
      <c r="X3507">
        <v>3.5459999999999998</v>
      </c>
      <c r="Y3507" s="32">
        <v>6.71</v>
      </c>
      <c r="Z3507">
        <v>0</v>
      </c>
      <c r="AA3507" s="32">
        <v>1.8280000000000001</v>
      </c>
      <c r="AB3507">
        <v>0</v>
      </c>
      <c r="AC3507" s="34">
        <v>0.23599999999999999</v>
      </c>
      <c r="AD3507" s="32">
        <v>6.484</v>
      </c>
    </row>
    <row r="3508" spans="22:30">
      <c r="V3508">
        <v>3506</v>
      </c>
      <c r="W3508">
        <v>49</v>
      </c>
      <c r="X3508">
        <v>3.5470000000000002</v>
      </c>
      <c r="Y3508" s="32">
        <v>6.71</v>
      </c>
      <c r="Z3508">
        <v>0</v>
      </c>
      <c r="AA3508" s="32">
        <v>1.829</v>
      </c>
      <c r="AB3508">
        <v>0</v>
      </c>
      <c r="AC3508" s="34">
        <v>0.23599999999999999</v>
      </c>
      <c r="AD3508" s="32">
        <v>6.4870000000000001</v>
      </c>
    </row>
    <row r="3509" spans="22:30">
      <c r="V3509">
        <v>3507</v>
      </c>
      <c r="W3509">
        <v>49</v>
      </c>
      <c r="X3509">
        <v>3.548</v>
      </c>
      <c r="Y3509" s="32">
        <v>6.71</v>
      </c>
      <c r="Z3509">
        <v>0</v>
      </c>
      <c r="AA3509" s="32">
        <v>1.829</v>
      </c>
      <c r="AB3509">
        <v>0</v>
      </c>
      <c r="AC3509" s="34">
        <v>0.23599999999999999</v>
      </c>
      <c r="AD3509" s="32">
        <v>6.49</v>
      </c>
    </row>
    <row r="3510" spans="22:30">
      <c r="V3510">
        <v>3508</v>
      </c>
      <c r="W3510">
        <v>49</v>
      </c>
      <c r="X3510">
        <v>3.5489999999999999</v>
      </c>
      <c r="Y3510" s="32">
        <v>6.71</v>
      </c>
      <c r="Z3510">
        <v>0</v>
      </c>
      <c r="AA3510" s="32">
        <v>1.829</v>
      </c>
      <c r="AB3510">
        <v>0</v>
      </c>
      <c r="AC3510" s="34">
        <v>0.23599999999999999</v>
      </c>
      <c r="AD3510" s="32">
        <v>6.492</v>
      </c>
    </row>
    <row r="3511" spans="22:30">
      <c r="V3511">
        <v>3509</v>
      </c>
      <c r="W3511">
        <v>49</v>
      </c>
      <c r="X3511">
        <v>3.55</v>
      </c>
      <c r="Y3511" s="32">
        <v>6.71</v>
      </c>
      <c r="Z3511">
        <v>0</v>
      </c>
      <c r="AA3511" s="32">
        <v>1.829</v>
      </c>
      <c r="AB3511">
        <v>0</v>
      </c>
      <c r="AC3511" s="34">
        <v>0.23599999999999999</v>
      </c>
      <c r="AD3511" s="32">
        <v>6.4950000000000001</v>
      </c>
    </row>
    <row r="3512" spans="22:30">
      <c r="V3512">
        <v>3510</v>
      </c>
      <c r="W3512">
        <v>49</v>
      </c>
      <c r="X3512">
        <v>3.5510000000000002</v>
      </c>
      <c r="Y3512" s="32">
        <v>6.71</v>
      </c>
      <c r="Z3512">
        <v>0</v>
      </c>
      <c r="AA3512" s="32">
        <v>1.83</v>
      </c>
      <c r="AB3512">
        <v>0</v>
      </c>
      <c r="AC3512" s="34">
        <v>0.23599999999999999</v>
      </c>
      <c r="AD3512" s="32">
        <v>6.4980000000000002</v>
      </c>
    </row>
    <row r="3513" spans="22:30">
      <c r="V3513">
        <v>3511</v>
      </c>
      <c r="W3513">
        <v>49</v>
      </c>
      <c r="X3513">
        <v>3.552</v>
      </c>
      <c r="Y3513" s="32">
        <v>6.71</v>
      </c>
      <c r="Z3513">
        <v>0</v>
      </c>
      <c r="AA3513" s="32">
        <v>1.83</v>
      </c>
      <c r="AB3513">
        <v>0</v>
      </c>
      <c r="AC3513" s="34">
        <v>0.23599999999999999</v>
      </c>
      <c r="AD3513" s="32">
        <v>6.5</v>
      </c>
    </row>
    <row r="3514" spans="22:30">
      <c r="V3514">
        <v>3512</v>
      </c>
      <c r="W3514">
        <v>49</v>
      </c>
      <c r="X3514">
        <v>3.5529999999999999</v>
      </c>
      <c r="Y3514" s="32">
        <v>6.71</v>
      </c>
      <c r="Z3514">
        <v>0</v>
      </c>
      <c r="AA3514" s="32">
        <v>1.83</v>
      </c>
      <c r="AB3514">
        <v>0</v>
      </c>
      <c r="AC3514" s="34">
        <v>0.23599999999999999</v>
      </c>
      <c r="AD3514" s="32">
        <v>6.5030000000000001</v>
      </c>
    </row>
    <row r="3515" spans="22:30">
      <c r="V3515">
        <v>3513</v>
      </c>
      <c r="W3515">
        <v>49</v>
      </c>
      <c r="X3515">
        <v>3.5539999999999998</v>
      </c>
      <c r="Y3515" s="32">
        <v>6.71</v>
      </c>
      <c r="Z3515">
        <v>0</v>
      </c>
      <c r="AA3515" s="32">
        <v>1.83</v>
      </c>
      <c r="AB3515">
        <v>0</v>
      </c>
      <c r="AC3515" s="34">
        <v>0.23599999999999999</v>
      </c>
      <c r="AD3515" s="32">
        <v>6.5049999999999999</v>
      </c>
    </row>
    <row r="3516" spans="22:30">
      <c r="V3516">
        <v>3514</v>
      </c>
      <c r="W3516">
        <v>49</v>
      </c>
      <c r="X3516">
        <v>3.5550000000000002</v>
      </c>
      <c r="Y3516" s="32">
        <v>6.71</v>
      </c>
      <c r="Z3516">
        <v>0</v>
      </c>
      <c r="AA3516" s="32">
        <v>1.83</v>
      </c>
      <c r="AB3516">
        <v>0</v>
      </c>
      <c r="AC3516" s="34">
        <v>0.23599999999999999</v>
      </c>
      <c r="AD3516" s="32">
        <v>6.508</v>
      </c>
    </row>
    <row r="3517" spans="22:30">
      <c r="V3517">
        <v>3515</v>
      </c>
      <c r="W3517">
        <v>49</v>
      </c>
      <c r="X3517">
        <v>3.556</v>
      </c>
      <c r="Y3517" s="32">
        <v>6.71</v>
      </c>
      <c r="Z3517">
        <v>0</v>
      </c>
      <c r="AA3517" s="32">
        <v>1.831</v>
      </c>
      <c r="AB3517">
        <v>0</v>
      </c>
      <c r="AC3517" s="34">
        <v>0.23599999999999999</v>
      </c>
      <c r="AD3517" s="32">
        <v>6.5110000000000001</v>
      </c>
    </row>
    <row r="3518" spans="22:30">
      <c r="V3518">
        <v>3516</v>
      </c>
      <c r="W3518">
        <v>49</v>
      </c>
      <c r="X3518">
        <v>3.5569999999999999</v>
      </c>
      <c r="Y3518" s="32">
        <v>6.71</v>
      </c>
      <c r="Z3518">
        <v>0</v>
      </c>
      <c r="AA3518" s="32">
        <v>1.831</v>
      </c>
      <c r="AB3518">
        <v>0</v>
      </c>
      <c r="AC3518" s="34">
        <v>0.23599999999999999</v>
      </c>
      <c r="AD3518" s="32">
        <v>6.5129999999999999</v>
      </c>
    </row>
    <row r="3519" spans="22:30">
      <c r="V3519">
        <v>3517</v>
      </c>
      <c r="W3519">
        <v>49</v>
      </c>
      <c r="X3519">
        <v>3.5579999999999998</v>
      </c>
      <c r="Y3519" s="32">
        <v>6.71</v>
      </c>
      <c r="Z3519">
        <v>0</v>
      </c>
      <c r="AA3519" s="32">
        <v>1.831</v>
      </c>
      <c r="AB3519">
        <v>0</v>
      </c>
      <c r="AC3519" s="34">
        <v>0.23599999999999999</v>
      </c>
      <c r="AD3519" s="32">
        <v>6.516</v>
      </c>
    </row>
    <row r="3520" spans="22:30">
      <c r="V3520">
        <v>3518</v>
      </c>
      <c r="W3520">
        <v>49</v>
      </c>
      <c r="X3520">
        <v>3.5590000000000002</v>
      </c>
      <c r="Y3520" s="32">
        <v>6.71</v>
      </c>
      <c r="Z3520">
        <v>0</v>
      </c>
      <c r="AA3520" s="32">
        <v>1.831</v>
      </c>
      <c r="AB3520">
        <v>0</v>
      </c>
      <c r="AC3520" s="34">
        <v>0.23599999999999999</v>
      </c>
      <c r="AD3520" s="32">
        <v>6.5190000000000001</v>
      </c>
    </row>
    <row r="3521" spans="22:30">
      <c r="V3521">
        <v>3519</v>
      </c>
      <c r="W3521">
        <v>49</v>
      </c>
      <c r="X3521">
        <v>3.56</v>
      </c>
      <c r="Y3521" s="32">
        <v>6.71</v>
      </c>
      <c r="Z3521">
        <v>0</v>
      </c>
      <c r="AA3521" s="32">
        <v>1.8320000000000001</v>
      </c>
      <c r="AB3521">
        <v>0</v>
      </c>
      <c r="AC3521" s="34">
        <v>0.23599999999999999</v>
      </c>
      <c r="AD3521" s="32">
        <v>6.5209999999999999</v>
      </c>
    </row>
    <row r="3522" spans="22:30">
      <c r="V3522">
        <v>3520</v>
      </c>
      <c r="W3522">
        <v>49</v>
      </c>
      <c r="X3522">
        <v>3.5609999999999999</v>
      </c>
      <c r="Y3522" s="32">
        <v>6.71</v>
      </c>
      <c r="Z3522">
        <v>0</v>
      </c>
      <c r="AA3522" s="32">
        <v>1.8320000000000001</v>
      </c>
      <c r="AB3522">
        <v>0</v>
      </c>
      <c r="AC3522" s="34">
        <v>0.23599999999999999</v>
      </c>
      <c r="AD3522" s="32">
        <v>6.524</v>
      </c>
    </row>
    <row r="3523" spans="22:30">
      <c r="V3523">
        <v>3521</v>
      </c>
      <c r="W3523">
        <v>49</v>
      </c>
      <c r="X3523">
        <v>3.5619999999999998</v>
      </c>
      <c r="Y3523" s="32">
        <v>6.71</v>
      </c>
      <c r="Z3523">
        <v>0</v>
      </c>
      <c r="AA3523" s="32">
        <v>1.8320000000000001</v>
      </c>
      <c r="AB3523">
        <v>0</v>
      </c>
      <c r="AC3523" s="34">
        <v>0.23599999999999999</v>
      </c>
      <c r="AD3523" s="32">
        <v>6.5259999999999998</v>
      </c>
    </row>
    <row r="3524" spans="22:30">
      <c r="V3524">
        <v>3522</v>
      </c>
      <c r="W3524">
        <v>49</v>
      </c>
      <c r="X3524">
        <v>3.5630000000000002</v>
      </c>
      <c r="Y3524" s="32">
        <v>6.71</v>
      </c>
      <c r="Z3524">
        <v>0</v>
      </c>
      <c r="AA3524" s="32">
        <v>1.8320000000000001</v>
      </c>
      <c r="AB3524">
        <v>0</v>
      </c>
      <c r="AC3524" s="34">
        <v>0.23599999999999999</v>
      </c>
      <c r="AD3524" s="32">
        <v>6.5289999999999999</v>
      </c>
    </row>
    <row r="3525" spans="22:30">
      <c r="V3525">
        <v>3523</v>
      </c>
      <c r="W3525">
        <v>49</v>
      </c>
      <c r="X3525">
        <v>3.5640000000000001</v>
      </c>
      <c r="Y3525" s="32">
        <v>6.71</v>
      </c>
      <c r="Z3525">
        <v>0</v>
      </c>
      <c r="AA3525" s="32">
        <v>1.833</v>
      </c>
      <c r="AB3525">
        <v>0</v>
      </c>
      <c r="AC3525" s="34">
        <v>0.23599999999999999</v>
      </c>
      <c r="AD3525" s="32">
        <v>6.532</v>
      </c>
    </row>
    <row r="3526" spans="22:30">
      <c r="V3526">
        <v>3524</v>
      </c>
      <c r="W3526">
        <v>49</v>
      </c>
      <c r="X3526">
        <v>3.5649999999999999</v>
      </c>
      <c r="Y3526" s="32">
        <v>6.71</v>
      </c>
      <c r="Z3526">
        <v>0</v>
      </c>
      <c r="AA3526" s="32">
        <v>1.833</v>
      </c>
      <c r="AB3526">
        <v>0</v>
      </c>
      <c r="AC3526" s="34">
        <v>0.23599999999999999</v>
      </c>
      <c r="AD3526" s="32">
        <v>6.5339999999999998</v>
      </c>
    </row>
    <row r="3527" spans="22:30">
      <c r="V3527">
        <v>3525</v>
      </c>
      <c r="W3527">
        <v>49</v>
      </c>
      <c r="X3527">
        <v>3.5659999999999998</v>
      </c>
      <c r="Y3527" s="32">
        <v>6.71</v>
      </c>
      <c r="Z3527">
        <v>0</v>
      </c>
      <c r="AA3527" s="32">
        <v>1.833</v>
      </c>
      <c r="AB3527">
        <v>0</v>
      </c>
      <c r="AC3527" s="34">
        <v>0.23599999999999999</v>
      </c>
      <c r="AD3527" s="32">
        <v>6.5369999999999999</v>
      </c>
    </row>
    <row r="3528" spans="22:30">
      <c r="V3528">
        <v>3526</v>
      </c>
      <c r="W3528">
        <v>49</v>
      </c>
      <c r="X3528">
        <v>3.5670000000000002</v>
      </c>
      <c r="Y3528" s="32">
        <v>6.71</v>
      </c>
      <c r="Z3528">
        <v>0</v>
      </c>
      <c r="AA3528" s="32">
        <v>1.833</v>
      </c>
      <c r="AB3528">
        <v>0</v>
      </c>
      <c r="AC3528" s="34">
        <v>0.23599999999999999</v>
      </c>
      <c r="AD3528" s="32">
        <v>6.54</v>
      </c>
    </row>
    <row r="3529" spans="22:30">
      <c r="V3529">
        <v>3527</v>
      </c>
      <c r="W3529">
        <v>49</v>
      </c>
      <c r="X3529">
        <v>3.5680000000000001</v>
      </c>
      <c r="Y3529" s="32">
        <v>6.71</v>
      </c>
      <c r="Z3529">
        <v>0</v>
      </c>
      <c r="AA3529" s="32">
        <v>1.833</v>
      </c>
      <c r="AB3529">
        <v>0</v>
      </c>
      <c r="AC3529" s="34">
        <v>0.23599999999999999</v>
      </c>
      <c r="AD3529" s="32">
        <v>6.5419999999999998</v>
      </c>
    </row>
    <row r="3530" spans="22:30">
      <c r="V3530">
        <v>3528</v>
      </c>
      <c r="W3530">
        <v>49</v>
      </c>
      <c r="X3530">
        <v>3.569</v>
      </c>
      <c r="Y3530" s="32">
        <v>6.71</v>
      </c>
      <c r="Z3530">
        <v>0</v>
      </c>
      <c r="AA3530" s="32">
        <v>1.8340000000000001</v>
      </c>
      <c r="AB3530">
        <v>0</v>
      </c>
      <c r="AC3530" s="34">
        <v>0.23599999999999999</v>
      </c>
      <c r="AD3530" s="32">
        <v>6.5449999999999999</v>
      </c>
    </row>
    <row r="3531" spans="22:30">
      <c r="V3531">
        <v>3529</v>
      </c>
      <c r="W3531">
        <v>49</v>
      </c>
      <c r="X3531">
        <v>3.57</v>
      </c>
      <c r="Y3531" s="32">
        <v>6.71</v>
      </c>
      <c r="Z3531">
        <v>0</v>
      </c>
      <c r="AA3531" s="32">
        <v>1.8340000000000001</v>
      </c>
      <c r="AB3531">
        <v>0</v>
      </c>
      <c r="AC3531" s="34">
        <v>0.23599999999999999</v>
      </c>
      <c r="AD3531" s="32">
        <v>6.548</v>
      </c>
    </row>
    <row r="3532" spans="22:30">
      <c r="V3532">
        <v>3530</v>
      </c>
      <c r="W3532">
        <v>49</v>
      </c>
      <c r="X3532">
        <v>3.5710000000000002</v>
      </c>
      <c r="Y3532" s="32">
        <v>6.7240000000000002</v>
      </c>
      <c r="Z3532">
        <v>0</v>
      </c>
      <c r="AA3532" s="32">
        <v>1.8340000000000001</v>
      </c>
      <c r="AB3532">
        <v>0</v>
      </c>
      <c r="AC3532" s="34">
        <v>0.23599999999999999</v>
      </c>
      <c r="AD3532" s="32">
        <v>6.55</v>
      </c>
    </row>
    <row r="3533" spans="22:30">
      <c r="V3533">
        <v>3531</v>
      </c>
      <c r="W3533">
        <v>49</v>
      </c>
      <c r="X3533">
        <v>3.5720000000000001</v>
      </c>
      <c r="Y3533" s="32">
        <v>6.7380000000000004</v>
      </c>
      <c r="Z3533">
        <v>0</v>
      </c>
      <c r="AA3533" s="32">
        <v>1.8340000000000001</v>
      </c>
      <c r="AB3533">
        <v>0</v>
      </c>
      <c r="AC3533" s="34">
        <v>0.23599999999999999</v>
      </c>
      <c r="AD3533" s="32">
        <v>6.5529999999999999</v>
      </c>
    </row>
    <row r="3534" spans="22:30">
      <c r="V3534">
        <v>3532</v>
      </c>
      <c r="W3534">
        <v>49</v>
      </c>
      <c r="X3534">
        <v>3.573</v>
      </c>
      <c r="Y3534" s="32">
        <v>6.7519999999999998</v>
      </c>
      <c r="Z3534">
        <v>0</v>
      </c>
      <c r="AA3534" s="32">
        <v>1.835</v>
      </c>
      <c r="AB3534">
        <v>0</v>
      </c>
      <c r="AC3534" s="34">
        <v>0.23599999999999999</v>
      </c>
      <c r="AD3534" s="32">
        <v>6.5549999999999997</v>
      </c>
    </row>
    <row r="3535" spans="22:30">
      <c r="V3535">
        <v>3533</v>
      </c>
      <c r="W3535">
        <v>49</v>
      </c>
      <c r="X3535">
        <v>3.5739999999999998</v>
      </c>
      <c r="Y3535" s="32">
        <v>6.766</v>
      </c>
      <c r="Z3535">
        <v>0</v>
      </c>
      <c r="AA3535" s="32">
        <v>1.835</v>
      </c>
      <c r="AB3535">
        <v>0</v>
      </c>
      <c r="AC3535" s="34">
        <v>0.23699999999999999</v>
      </c>
      <c r="AD3535" s="32">
        <v>6.5579999999999998</v>
      </c>
    </row>
    <row r="3536" spans="22:30">
      <c r="V3536">
        <v>3534</v>
      </c>
      <c r="W3536">
        <v>49</v>
      </c>
      <c r="X3536">
        <v>3.5750000000000002</v>
      </c>
      <c r="Y3536" s="32">
        <v>6.78</v>
      </c>
      <c r="Z3536">
        <v>0</v>
      </c>
      <c r="AA3536" s="32">
        <v>1.835</v>
      </c>
      <c r="AB3536">
        <v>0</v>
      </c>
      <c r="AC3536" s="34">
        <v>0.23699999999999999</v>
      </c>
      <c r="AD3536" s="32">
        <v>6.5609999999999999</v>
      </c>
    </row>
    <row r="3537" spans="22:30">
      <c r="V3537">
        <v>3535</v>
      </c>
      <c r="W3537">
        <v>49</v>
      </c>
      <c r="X3537">
        <v>3.5760000000000001</v>
      </c>
      <c r="Y3537" s="32">
        <v>6.7939999999999996</v>
      </c>
      <c r="Z3537">
        <v>0</v>
      </c>
      <c r="AA3537" s="32">
        <v>1.835</v>
      </c>
      <c r="AB3537">
        <v>0</v>
      </c>
      <c r="AC3537" s="34">
        <v>0.23699999999999999</v>
      </c>
      <c r="AD3537" s="32">
        <v>6.5629999999999997</v>
      </c>
    </row>
    <row r="3538" spans="22:30">
      <c r="V3538">
        <v>3536</v>
      </c>
      <c r="W3538">
        <v>49</v>
      </c>
      <c r="X3538">
        <v>3.577</v>
      </c>
      <c r="Y3538" s="32">
        <v>6.8079999999999998</v>
      </c>
      <c r="Z3538">
        <v>0</v>
      </c>
      <c r="AA3538" s="32">
        <v>1.8360000000000001</v>
      </c>
      <c r="AB3538">
        <v>0</v>
      </c>
      <c r="AC3538" s="34">
        <v>0.23699999999999999</v>
      </c>
      <c r="AD3538" s="32">
        <v>6.5659999999999998</v>
      </c>
    </row>
    <row r="3539" spans="22:30">
      <c r="V3539">
        <v>3537</v>
      </c>
      <c r="W3539">
        <v>49</v>
      </c>
      <c r="X3539">
        <v>3.5779999999999998</v>
      </c>
      <c r="Y3539" s="32">
        <v>6.8220000000000001</v>
      </c>
      <c r="Z3539">
        <v>0</v>
      </c>
      <c r="AA3539" s="32">
        <v>1.8360000000000001</v>
      </c>
      <c r="AB3539">
        <v>0</v>
      </c>
      <c r="AC3539" s="34">
        <v>0.23699999999999999</v>
      </c>
      <c r="AD3539" s="32">
        <v>6.569</v>
      </c>
    </row>
    <row r="3540" spans="22:30">
      <c r="V3540">
        <v>3538</v>
      </c>
      <c r="W3540">
        <v>49</v>
      </c>
      <c r="X3540">
        <v>3.5790000000000002</v>
      </c>
      <c r="Y3540" s="32">
        <v>6.8360000000000003</v>
      </c>
      <c r="Z3540">
        <v>0</v>
      </c>
      <c r="AA3540" s="32">
        <v>1.8360000000000001</v>
      </c>
      <c r="AB3540">
        <v>0</v>
      </c>
      <c r="AC3540" s="34">
        <v>0.23699999999999999</v>
      </c>
      <c r="AD3540" s="32">
        <v>6.5709999999999997</v>
      </c>
    </row>
    <row r="3541" spans="22:30">
      <c r="V3541">
        <v>3539</v>
      </c>
      <c r="W3541">
        <v>49</v>
      </c>
      <c r="X3541">
        <v>3.58</v>
      </c>
      <c r="Y3541" s="32">
        <v>6.85</v>
      </c>
      <c r="Z3541">
        <v>0</v>
      </c>
      <c r="AA3541" s="32">
        <v>1.8360000000000001</v>
      </c>
      <c r="AB3541">
        <v>0</v>
      </c>
      <c r="AC3541" s="34">
        <v>0.23699999999999999</v>
      </c>
      <c r="AD3541" s="32">
        <v>6.5739999999999998</v>
      </c>
    </row>
    <row r="3542" spans="22:30">
      <c r="V3542">
        <v>3540</v>
      </c>
      <c r="W3542">
        <v>49</v>
      </c>
      <c r="X3542">
        <v>3.581</v>
      </c>
      <c r="Y3542" s="32">
        <v>6.85</v>
      </c>
      <c r="Z3542">
        <v>0</v>
      </c>
      <c r="AA3542" s="32">
        <v>1.837</v>
      </c>
      <c r="AB3542">
        <v>0</v>
      </c>
      <c r="AC3542" s="34">
        <v>0.23699999999999999</v>
      </c>
      <c r="AD3542" s="32">
        <v>6.577</v>
      </c>
    </row>
    <row r="3543" spans="22:30">
      <c r="V3543">
        <v>3541</v>
      </c>
      <c r="W3543">
        <v>49</v>
      </c>
      <c r="X3543">
        <v>3.5819999999999999</v>
      </c>
      <c r="Y3543" s="32">
        <v>6.85</v>
      </c>
      <c r="Z3543">
        <v>0</v>
      </c>
      <c r="AA3543" s="32">
        <v>1.837</v>
      </c>
      <c r="AB3543">
        <v>0</v>
      </c>
      <c r="AC3543" s="34">
        <v>0.23699999999999999</v>
      </c>
      <c r="AD3543" s="32">
        <v>6.5789999999999997</v>
      </c>
    </row>
    <row r="3544" spans="22:30">
      <c r="V3544">
        <v>3542</v>
      </c>
      <c r="W3544">
        <v>49</v>
      </c>
      <c r="X3544">
        <v>3.5830000000000002</v>
      </c>
      <c r="Y3544" s="32">
        <v>6.85</v>
      </c>
      <c r="Z3544">
        <v>0</v>
      </c>
      <c r="AA3544" s="32">
        <v>1.837</v>
      </c>
      <c r="AB3544">
        <v>0</v>
      </c>
      <c r="AC3544" s="34">
        <v>0.23699999999999999</v>
      </c>
      <c r="AD3544" s="32">
        <v>6.5819999999999999</v>
      </c>
    </row>
    <row r="3545" spans="22:30">
      <c r="V3545">
        <v>3543</v>
      </c>
      <c r="W3545">
        <v>49</v>
      </c>
      <c r="X3545">
        <v>3.5840000000000001</v>
      </c>
      <c r="Y3545" s="32">
        <v>6.85</v>
      </c>
      <c r="Z3545">
        <v>0</v>
      </c>
      <c r="AA3545" s="32">
        <v>1.837</v>
      </c>
      <c r="AB3545">
        <v>0</v>
      </c>
      <c r="AC3545" s="34">
        <v>0.23699999999999999</v>
      </c>
      <c r="AD3545" s="32">
        <v>6.5839999999999996</v>
      </c>
    </row>
    <row r="3546" spans="22:30">
      <c r="V3546">
        <v>3544</v>
      </c>
      <c r="W3546">
        <v>49</v>
      </c>
      <c r="X3546">
        <v>3.585</v>
      </c>
      <c r="Y3546" s="32">
        <v>6.85</v>
      </c>
      <c r="Z3546">
        <v>0</v>
      </c>
      <c r="AA3546" s="32">
        <v>1.837</v>
      </c>
      <c r="AB3546">
        <v>0</v>
      </c>
      <c r="AC3546" s="34">
        <v>0.23699999999999999</v>
      </c>
      <c r="AD3546" s="32">
        <v>6.5869999999999997</v>
      </c>
    </row>
    <row r="3547" spans="22:30">
      <c r="V3547">
        <v>3545</v>
      </c>
      <c r="W3547">
        <v>49</v>
      </c>
      <c r="X3547">
        <v>3.5859999999999999</v>
      </c>
      <c r="Y3547" s="32">
        <v>6.85</v>
      </c>
      <c r="Z3547">
        <v>0</v>
      </c>
      <c r="AA3547" s="32">
        <v>1.8380000000000001</v>
      </c>
      <c r="AB3547">
        <v>0</v>
      </c>
      <c r="AC3547" s="34">
        <v>0.23699999999999999</v>
      </c>
      <c r="AD3547" s="32">
        <v>6.59</v>
      </c>
    </row>
    <row r="3548" spans="22:30">
      <c r="V3548">
        <v>3546</v>
      </c>
      <c r="W3548">
        <v>49</v>
      </c>
      <c r="X3548">
        <v>3.5870000000000002</v>
      </c>
      <c r="Y3548" s="32">
        <v>6.85</v>
      </c>
      <c r="Z3548">
        <v>0</v>
      </c>
      <c r="AA3548" s="32">
        <v>1.8380000000000001</v>
      </c>
      <c r="AB3548">
        <v>0</v>
      </c>
      <c r="AC3548" s="34">
        <v>0.23699999999999999</v>
      </c>
      <c r="AD3548" s="32">
        <v>6.5919999999999996</v>
      </c>
    </row>
    <row r="3549" spans="22:30">
      <c r="V3549">
        <v>3547</v>
      </c>
      <c r="W3549">
        <v>49</v>
      </c>
      <c r="X3549">
        <v>3.5880000000000001</v>
      </c>
      <c r="Y3549" s="32">
        <v>6.85</v>
      </c>
      <c r="Z3549">
        <v>0</v>
      </c>
      <c r="AA3549" s="32">
        <v>1.8380000000000001</v>
      </c>
      <c r="AB3549">
        <v>0</v>
      </c>
      <c r="AC3549" s="34">
        <v>0.23699999999999999</v>
      </c>
      <c r="AD3549" s="32">
        <v>6.5949999999999998</v>
      </c>
    </row>
    <row r="3550" spans="22:30">
      <c r="V3550">
        <v>3548</v>
      </c>
      <c r="W3550">
        <v>49</v>
      </c>
      <c r="X3550">
        <v>3.589</v>
      </c>
      <c r="Y3550" s="32">
        <v>6.85</v>
      </c>
      <c r="Z3550">
        <v>0</v>
      </c>
      <c r="AA3550" s="32">
        <v>1.8380000000000001</v>
      </c>
      <c r="AB3550">
        <v>0</v>
      </c>
      <c r="AC3550" s="34">
        <v>0.23699999999999999</v>
      </c>
      <c r="AD3550" s="32">
        <v>6.5979999999999999</v>
      </c>
    </row>
    <row r="3551" spans="22:30">
      <c r="V3551">
        <v>3549</v>
      </c>
      <c r="W3551">
        <v>49</v>
      </c>
      <c r="X3551">
        <v>3.59</v>
      </c>
      <c r="Y3551" s="32">
        <v>6.85</v>
      </c>
      <c r="Z3551">
        <v>0</v>
      </c>
      <c r="AA3551" s="32">
        <v>1.839</v>
      </c>
      <c r="AB3551">
        <v>0</v>
      </c>
      <c r="AC3551" s="34">
        <v>0.23699999999999999</v>
      </c>
      <c r="AD3551" s="32">
        <v>6.6</v>
      </c>
    </row>
    <row r="3552" spans="22:30">
      <c r="V3552">
        <v>3550</v>
      </c>
      <c r="W3552">
        <v>49</v>
      </c>
      <c r="X3552">
        <v>3.5910000000000002</v>
      </c>
      <c r="Y3552" s="32">
        <v>6.85</v>
      </c>
      <c r="Z3552">
        <v>0</v>
      </c>
      <c r="AA3552" s="32">
        <v>1.839</v>
      </c>
      <c r="AB3552">
        <v>0</v>
      </c>
      <c r="AC3552" s="34">
        <v>0.23699999999999999</v>
      </c>
      <c r="AD3552" s="32">
        <v>6.6029999999999998</v>
      </c>
    </row>
    <row r="3553" spans="22:30">
      <c r="V3553">
        <v>3551</v>
      </c>
      <c r="W3553">
        <v>49</v>
      </c>
      <c r="X3553">
        <v>3.5920000000000001</v>
      </c>
      <c r="Y3553" s="32">
        <v>6.85</v>
      </c>
      <c r="Z3553">
        <v>0</v>
      </c>
      <c r="AA3553" s="32">
        <v>1.839</v>
      </c>
      <c r="AB3553">
        <v>0</v>
      </c>
      <c r="AC3553" s="34">
        <v>0.23699999999999999</v>
      </c>
      <c r="AD3553" s="32">
        <v>6.6050000000000004</v>
      </c>
    </row>
    <row r="3554" spans="22:30">
      <c r="V3554">
        <v>3552</v>
      </c>
      <c r="W3554">
        <v>49</v>
      </c>
      <c r="X3554">
        <v>3.593</v>
      </c>
      <c r="Y3554" s="32">
        <v>6.85</v>
      </c>
      <c r="Z3554">
        <v>0</v>
      </c>
      <c r="AA3554" s="32">
        <v>1.839</v>
      </c>
      <c r="AB3554">
        <v>0</v>
      </c>
      <c r="AC3554" s="34">
        <v>0.23699999999999999</v>
      </c>
      <c r="AD3554" s="32">
        <v>6.6079999999999997</v>
      </c>
    </row>
    <row r="3555" spans="22:30">
      <c r="V3555">
        <v>3553</v>
      </c>
      <c r="W3555">
        <v>49</v>
      </c>
      <c r="X3555">
        <v>3.5939999999999999</v>
      </c>
      <c r="Y3555" s="32">
        <v>6.85</v>
      </c>
      <c r="Z3555">
        <v>0</v>
      </c>
      <c r="AA3555" s="32">
        <v>1.84</v>
      </c>
      <c r="AB3555">
        <v>0</v>
      </c>
      <c r="AC3555" s="34">
        <v>0.23699999999999999</v>
      </c>
      <c r="AD3555" s="32">
        <v>6.6109999999999998</v>
      </c>
    </row>
    <row r="3556" spans="22:30">
      <c r="V3556">
        <v>3554</v>
      </c>
      <c r="W3556">
        <v>49</v>
      </c>
      <c r="X3556">
        <v>3.5950000000000002</v>
      </c>
      <c r="Y3556" s="32">
        <v>6.85</v>
      </c>
      <c r="Z3556">
        <v>0</v>
      </c>
      <c r="AA3556" s="32">
        <v>1.84</v>
      </c>
      <c r="AB3556">
        <v>0</v>
      </c>
      <c r="AC3556" s="34">
        <v>0.23699999999999999</v>
      </c>
      <c r="AD3556" s="32">
        <v>6.6130000000000004</v>
      </c>
    </row>
    <row r="3557" spans="22:30">
      <c r="V3557">
        <v>3555</v>
      </c>
      <c r="W3557">
        <v>50</v>
      </c>
      <c r="X3557">
        <v>3.5960000000000001</v>
      </c>
      <c r="Y3557" s="32">
        <v>6.85</v>
      </c>
      <c r="Z3557">
        <v>0</v>
      </c>
      <c r="AA3557" s="32">
        <v>1.84</v>
      </c>
      <c r="AB3557">
        <v>0</v>
      </c>
      <c r="AC3557" s="34">
        <v>0.23699999999999999</v>
      </c>
      <c r="AD3557" s="32">
        <v>6.6159999999999997</v>
      </c>
    </row>
    <row r="3558" spans="22:30">
      <c r="V3558">
        <v>3556</v>
      </c>
      <c r="W3558">
        <v>50</v>
      </c>
      <c r="X3558">
        <v>3.597</v>
      </c>
      <c r="Y3558" s="32">
        <v>6.85</v>
      </c>
      <c r="Z3558">
        <v>0</v>
      </c>
      <c r="AA3558" s="32">
        <v>1.84</v>
      </c>
      <c r="AB3558">
        <v>0</v>
      </c>
      <c r="AC3558" s="34">
        <v>0.23699999999999999</v>
      </c>
      <c r="AD3558" s="32">
        <v>6.6189999999999998</v>
      </c>
    </row>
    <row r="3559" spans="22:30">
      <c r="V3559">
        <v>3557</v>
      </c>
      <c r="W3559">
        <v>50</v>
      </c>
      <c r="X3559">
        <v>3.5979999999999999</v>
      </c>
      <c r="Y3559" s="32">
        <v>6.85</v>
      </c>
      <c r="Z3559">
        <v>0</v>
      </c>
      <c r="AA3559" s="32">
        <v>1.84</v>
      </c>
      <c r="AB3559">
        <v>0</v>
      </c>
      <c r="AC3559" s="34">
        <v>0.23699999999999999</v>
      </c>
      <c r="AD3559" s="32">
        <v>6.6210000000000004</v>
      </c>
    </row>
    <row r="3560" spans="22:30">
      <c r="V3560">
        <v>3558</v>
      </c>
      <c r="W3560">
        <v>50</v>
      </c>
      <c r="X3560">
        <v>3.5990000000000002</v>
      </c>
      <c r="Y3560" s="32">
        <v>6.85</v>
      </c>
      <c r="Z3560">
        <v>0</v>
      </c>
      <c r="AA3560" s="32">
        <v>1.841</v>
      </c>
      <c r="AB3560">
        <v>0</v>
      </c>
      <c r="AC3560" s="34">
        <v>0.23699999999999999</v>
      </c>
      <c r="AD3560" s="32">
        <v>6.6239999999999997</v>
      </c>
    </row>
    <row r="3561" spans="22:30">
      <c r="V3561">
        <v>3559</v>
      </c>
      <c r="W3561">
        <v>50</v>
      </c>
      <c r="X3561">
        <v>3.6</v>
      </c>
      <c r="Y3561" s="32">
        <v>6.85</v>
      </c>
      <c r="Z3561">
        <v>0</v>
      </c>
      <c r="AA3561" s="32">
        <v>1.841</v>
      </c>
      <c r="AB3561">
        <v>0</v>
      </c>
      <c r="AC3561" s="34">
        <v>0.23699999999999999</v>
      </c>
      <c r="AD3561" s="32">
        <v>6.6269999999999998</v>
      </c>
    </row>
    <row r="3562" spans="22:30">
      <c r="V3562">
        <v>3560</v>
      </c>
      <c r="W3562">
        <v>50</v>
      </c>
      <c r="X3562">
        <v>3.601</v>
      </c>
      <c r="Y3562" s="32">
        <v>6.85</v>
      </c>
      <c r="Z3562">
        <v>0</v>
      </c>
      <c r="AA3562" s="32">
        <v>1.841</v>
      </c>
      <c r="AB3562">
        <v>0</v>
      </c>
      <c r="AC3562" s="34">
        <v>0.23699999999999999</v>
      </c>
      <c r="AD3562" s="32">
        <v>6.6289999999999996</v>
      </c>
    </row>
    <row r="3563" spans="22:30">
      <c r="V3563">
        <v>3561</v>
      </c>
      <c r="W3563">
        <v>50</v>
      </c>
      <c r="X3563">
        <v>3.6019999999999999</v>
      </c>
      <c r="Y3563" s="32">
        <v>6.85</v>
      </c>
      <c r="Z3563">
        <v>0</v>
      </c>
      <c r="AA3563" s="32">
        <v>1.841</v>
      </c>
      <c r="AB3563">
        <v>0</v>
      </c>
      <c r="AC3563" s="34">
        <v>0.23699999999999999</v>
      </c>
      <c r="AD3563" s="32">
        <v>6.6319999999999997</v>
      </c>
    </row>
    <row r="3564" spans="22:30">
      <c r="V3564">
        <v>3562</v>
      </c>
      <c r="W3564">
        <v>50</v>
      </c>
      <c r="X3564">
        <v>3.6030000000000002</v>
      </c>
      <c r="Y3564" s="32">
        <v>6.85</v>
      </c>
      <c r="Z3564">
        <v>0</v>
      </c>
      <c r="AA3564" s="32">
        <v>1.8420000000000001</v>
      </c>
      <c r="AB3564">
        <v>0</v>
      </c>
      <c r="AC3564" s="34">
        <v>0.23699999999999999</v>
      </c>
      <c r="AD3564" s="32">
        <v>6.6349999999999998</v>
      </c>
    </row>
    <row r="3565" spans="22:30">
      <c r="V3565">
        <v>3563</v>
      </c>
      <c r="W3565">
        <v>50</v>
      </c>
      <c r="X3565">
        <v>3.6040000000000001</v>
      </c>
      <c r="Y3565" s="32">
        <v>6.85</v>
      </c>
      <c r="Z3565">
        <v>0</v>
      </c>
      <c r="AA3565" s="32">
        <v>1.8420000000000001</v>
      </c>
      <c r="AB3565">
        <v>0</v>
      </c>
      <c r="AC3565" s="34">
        <v>0.23699999999999999</v>
      </c>
      <c r="AD3565" s="32">
        <v>6.6369999999999996</v>
      </c>
    </row>
    <row r="3566" spans="22:30">
      <c r="V3566">
        <v>3564</v>
      </c>
      <c r="W3566">
        <v>50</v>
      </c>
      <c r="X3566">
        <v>3.605</v>
      </c>
      <c r="Y3566" s="32">
        <v>6.85</v>
      </c>
      <c r="Z3566">
        <v>0</v>
      </c>
      <c r="AA3566" s="32">
        <v>1.8420000000000001</v>
      </c>
      <c r="AB3566">
        <v>0</v>
      </c>
      <c r="AC3566" s="34">
        <v>0.23699999999999999</v>
      </c>
      <c r="AD3566" s="32">
        <v>6.64</v>
      </c>
    </row>
    <row r="3567" spans="22:30">
      <c r="V3567">
        <v>3565</v>
      </c>
      <c r="W3567">
        <v>50</v>
      </c>
      <c r="X3567">
        <v>3.6059999999999999</v>
      </c>
      <c r="Y3567" s="32">
        <v>6.85</v>
      </c>
      <c r="Z3567">
        <v>0</v>
      </c>
      <c r="AA3567" s="32">
        <v>1.8420000000000001</v>
      </c>
      <c r="AB3567">
        <v>0</v>
      </c>
      <c r="AC3567" s="34">
        <v>0.23699999999999999</v>
      </c>
      <c r="AD3567" s="32">
        <v>6.6429999999999998</v>
      </c>
    </row>
    <row r="3568" spans="22:30">
      <c r="V3568">
        <v>3566</v>
      </c>
      <c r="W3568">
        <v>50</v>
      </c>
      <c r="X3568">
        <v>3.6070000000000002</v>
      </c>
      <c r="Y3568" s="32">
        <v>6.85</v>
      </c>
      <c r="Z3568">
        <v>0</v>
      </c>
      <c r="AA3568" s="32">
        <v>1.8420000000000001</v>
      </c>
      <c r="AB3568">
        <v>0</v>
      </c>
      <c r="AC3568" s="34">
        <v>0.23699999999999999</v>
      </c>
      <c r="AD3568" s="32">
        <v>6.6459999999999999</v>
      </c>
    </row>
    <row r="3569" spans="22:30">
      <c r="V3569">
        <v>3567</v>
      </c>
      <c r="W3569">
        <v>50</v>
      </c>
      <c r="X3569">
        <v>3.6080000000000001</v>
      </c>
      <c r="Y3569" s="32">
        <v>6.85</v>
      </c>
      <c r="Z3569">
        <v>0</v>
      </c>
      <c r="AA3569" s="32">
        <v>1.843</v>
      </c>
      <c r="AB3569">
        <v>0</v>
      </c>
      <c r="AC3569" s="34">
        <v>0.23699999999999999</v>
      </c>
      <c r="AD3569" s="32">
        <v>6.6479999999999997</v>
      </c>
    </row>
    <row r="3570" spans="22:30">
      <c r="V3570">
        <v>3568</v>
      </c>
      <c r="W3570">
        <v>50</v>
      </c>
      <c r="X3570">
        <v>3.609</v>
      </c>
      <c r="Y3570" s="32">
        <v>6.85</v>
      </c>
      <c r="Z3570">
        <v>0</v>
      </c>
      <c r="AA3570" s="32">
        <v>1.843</v>
      </c>
      <c r="AB3570">
        <v>0</v>
      </c>
      <c r="AC3570" s="34">
        <v>0.23699999999999999</v>
      </c>
      <c r="AD3570" s="32">
        <v>6.6509999999999998</v>
      </c>
    </row>
    <row r="3571" spans="22:30">
      <c r="V3571">
        <v>3569</v>
      </c>
      <c r="W3571">
        <v>50</v>
      </c>
      <c r="X3571">
        <v>3.61</v>
      </c>
      <c r="Y3571" s="32">
        <v>6.85</v>
      </c>
      <c r="Z3571">
        <v>0</v>
      </c>
      <c r="AA3571" s="32">
        <v>1.843</v>
      </c>
      <c r="AB3571">
        <v>0</v>
      </c>
      <c r="AC3571" s="34">
        <v>0.23699999999999999</v>
      </c>
      <c r="AD3571" s="32">
        <v>6.6539999999999999</v>
      </c>
    </row>
    <row r="3572" spans="22:30">
      <c r="V3572">
        <v>3570</v>
      </c>
      <c r="W3572">
        <v>50</v>
      </c>
      <c r="X3572">
        <v>3.6110000000000002</v>
      </c>
      <c r="Y3572" s="32">
        <v>6.85</v>
      </c>
      <c r="Z3572">
        <v>0</v>
      </c>
      <c r="AA3572" s="32">
        <v>1.843</v>
      </c>
      <c r="AB3572">
        <v>0</v>
      </c>
      <c r="AC3572" s="34">
        <v>0.23699999999999999</v>
      </c>
      <c r="AD3572" s="32">
        <v>6.6559999999999997</v>
      </c>
    </row>
    <row r="3573" spans="22:30">
      <c r="V3573">
        <v>3571</v>
      </c>
      <c r="W3573">
        <v>50</v>
      </c>
      <c r="X3573">
        <v>3.6120000000000001</v>
      </c>
      <c r="Y3573" s="32">
        <v>6.85</v>
      </c>
      <c r="Z3573">
        <v>0</v>
      </c>
      <c r="AA3573" s="32">
        <v>1.8440000000000001</v>
      </c>
      <c r="AB3573">
        <v>0</v>
      </c>
      <c r="AC3573" s="34">
        <v>0.23699999999999999</v>
      </c>
      <c r="AD3573" s="32">
        <v>6.6589999999999998</v>
      </c>
    </row>
    <row r="3574" spans="22:30">
      <c r="V3574">
        <v>3572</v>
      </c>
      <c r="W3574">
        <v>50</v>
      </c>
      <c r="X3574">
        <v>3.613</v>
      </c>
      <c r="Y3574" s="32">
        <v>6.85</v>
      </c>
      <c r="Z3574">
        <v>0</v>
      </c>
      <c r="AA3574" s="32">
        <v>1.8440000000000001</v>
      </c>
      <c r="AB3574">
        <v>0</v>
      </c>
      <c r="AC3574" s="34">
        <v>0.23699999999999999</v>
      </c>
      <c r="AD3574" s="32">
        <v>6.6619999999999999</v>
      </c>
    </row>
    <row r="3575" spans="22:30">
      <c r="V3575">
        <v>3573</v>
      </c>
      <c r="W3575">
        <v>50</v>
      </c>
      <c r="X3575">
        <v>3.6139999999999999</v>
      </c>
      <c r="Y3575" s="32">
        <v>6.85</v>
      </c>
      <c r="Z3575">
        <v>0</v>
      </c>
      <c r="AA3575" s="32">
        <v>1.8440000000000001</v>
      </c>
      <c r="AB3575">
        <v>0</v>
      </c>
      <c r="AC3575" s="34">
        <v>0.23699999999999999</v>
      </c>
      <c r="AD3575" s="32">
        <v>6.6639999999999997</v>
      </c>
    </row>
    <row r="3576" spans="22:30">
      <c r="V3576">
        <v>3574</v>
      </c>
      <c r="W3576">
        <v>50</v>
      </c>
      <c r="X3576">
        <v>3.6150000000000002</v>
      </c>
      <c r="Y3576" s="32">
        <v>6.85</v>
      </c>
      <c r="Z3576">
        <v>0</v>
      </c>
      <c r="AA3576" s="32">
        <v>1.8440000000000001</v>
      </c>
      <c r="AB3576">
        <v>0</v>
      </c>
      <c r="AC3576" s="34">
        <v>0.23699999999999999</v>
      </c>
      <c r="AD3576" s="32">
        <v>6.6669999999999998</v>
      </c>
    </row>
    <row r="3577" spans="22:30">
      <c r="V3577">
        <v>3575</v>
      </c>
      <c r="W3577">
        <v>50</v>
      </c>
      <c r="X3577">
        <v>3.6160000000000001</v>
      </c>
      <c r="Y3577" s="32">
        <v>6.85</v>
      </c>
      <c r="Z3577">
        <v>0</v>
      </c>
      <c r="AA3577" s="32">
        <v>1.8440000000000001</v>
      </c>
      <c r="AB3577">
        <v>0</v>
      </c>
      <c r="AC3577" s="34">
        <v>0.23699999999999999</v>
      </c>
      <c r="AD3577" s="32">
        <v>6.67</v>
      </c>
    </row>
    <row r="3578" spans="22:30">
      <c r="V3578">
        <v>3576</v>
      </c>
      <c r="W3578">
        <v>50</v>
      </c>
      <c r="X3578">
        <v>3.617</v>
      </c>
      <c r="Y3578" s="32">
        <v>6.85</v>
      </c>
      <c r="Z3578">
        <v>0</v>
      </c>
      <c r="AA3578" s="32">
        <v>1.845</v>
      </c>
      <c r="AB3578">
        <v>0</v>
      </c>
      <c r="AC3578" s="34">
        <v>0.23699999999999999</v>
      </c>
      <c r="AD3578" s="32">
        <v>6.6719999999999997</v>
      </c>
    </row>
    <row r="3579" spans="22:30">
      <c r="V3579">
        <v>3577</v>
      </c>
      <c r="W3579">
        <v>50</v>
      </c>
      <c r="X3579">
        <v>3.6179999999999999</v>
      </c>
      <c r="Y3579" s="32">
        <v>6.85</v>
      </c>
      <c r="Z3579">
        <v>0</v>
      </c>
      <c r="AA3579" s="32">
        <v>1.845</v>
      </c>
      <c r="AB3579">
        <v>0</v>
      </c>
      <c r="AC3579" s="34">
        <v>0.23699999999999999</v>
      </c>
      <c r="AD3579" s="32">
        <v>6.6749999999999998</v>
      </c>
    </row>
    <row r="3580" spans="22:30">
      <c r="V3580">
        <v>3578</v>
      </c>
      <c r="W3580">
        <v>50</v>
      </c>
      <c r="X3580">
        <v>3.6190000000000002</v>
      </c>
      <c r="Y3580" s="32">
        <v>6.85</v>
      </c>
      <c r="Z3580">
        <v>0</v>
      </c>
      <c r="AA3580" s="32">
        <v>1.845</v>
      </c>
      <c r="AB3580">
        <v>0</v>
      </c>
      <c r="AC3580" s="34">
        <v>0.23799999999999999</v>
      </c>
      <c r="AD3580" s="32">
        <v>6.6779999999999999</v>
      </c>
    </row>
    <row r="3581" spans="22:30">
      <c r="V3581">
        <v>3579</v>
      </c>
      <c r="W3581">
        <v>50</v>
      </c>
      <c r="X3581">
        <v>3.62</v>
      </c>
      <c r="Y3581" s="32">
        <v>6.85</v>
      </c>
      <c r="Z3581">
        <v>0</v>
      </c>
      <c r="AA3581" s="32">
        <v>1.845</v>
      </c>
      <c r="AB3581">
        <v>0</v>
      </c>
      <c r="AC3581" s="34">
        <v>0.23799999999999999</v>
      </c>
      <c r="AD3581" s="32">
        <v>6.68</v>
      </c>
    </row>
    <row r="3582" spans="22:30">
      <c r="V3582">
        <v>3580</v>
      </c>
      <c r="W3582">
        <v>50</v>
      </c>
      <c r="X3582">
        <v>3.621</v>
      </c>
      <c r="Y3582" s="32">
        <v>6.85</v>
      </c>
      <c r="Z3582">
        <v>0</v>
      </c>
      <c r="AA3582" s="32">
        <v>1.8460000000000001</v>
      </c>
      <c r="AB3582">
        <v>0</v>
      </c>
      <c r="AC3582" s="34">
        <v>0.23799999999999999</v>
      </c>
      <c r="AD3582" s="32">
        <v>6.6829999999999998</v>
      </c>
    </row>
    <row r="3583" spans="22:30">
      <c r="V3583">
        <v>3581</v>
      </c>
      <c r="W3583">
        <v>50</v>
      </c>
      <c r="X3583">
        <v>3.6219999999999999</v>
      </c>
      <c r="Y3583" s="32">
        <v>6.85</v>
      </c>
      <c r="Z3583">
        <v>0</v>
      </c>
      <c r="AA3583" s="32">
        <v>1.8460000000000001</v>
      </c>
      <c r="AB3583">
        <v>0</v>
      </c>
      <c r="AC3583" s="34">
        <v>0.23799999999999999</v>
      </c>
      <c r="AD3583" s="32">
        <v>6.6859999999999999</v>
      </c>
    </row>
    <row r="3584" spans="22:30">
      <c r="V3584">
        <v>3582</v>
      </c>
      <c r="W3584">
        <v>50</v>
      </c>
      <c r="X3584">
        <v>3.6230000000000002</v>
      </c>
      <c r="Y3584" s="32">
        <v>6.85</v>
      </c>
      <c r="Z3584">
        <v>0</v>
      </c>
      <c r="AA3584" s="32">
        <v>1.8460000000000001</v>
      </c>
      <c r="AB3584">
        <v>0</v>
      </c>
      <c r="AC3584" s="34">
        <v>0.23799999999999999</v>
      </c>
      <c r="AD3584" s="32">
        <v>6.6890000000000001</v>
      </c>
    </row>
    <row r="3585" spans="22:30">
      <c r="V3585">
        <v>3583</v>
      </c>
      <c r="W3585">
        <v>50</v>
      </c>
      <c r="X3585">
        <v>3.6240000000000001</v>
      </c>
      <c r="Y3585" s="32">
        <v>6.85</v>
      </c>
      <c r="Z3585">
        <v>0</v>
      </c>
      <c r="AA3585" s="32">
        <v>1.8460000000000001</v>
      </c>
      <c r="AB3585">
        <v>0</v>
      </c>
      <c r="AC3585" s="34">
        <v>0.23799999999999999</v>
      </c>
      <c r="AD3585" s="32">
        <v>6.6909999999999998</v>
      </c>
    </row>
    <row r="3586" spans="22:30">
      <c r="V3586">
        <v>3584</v>
      </c>
      <c r="W3586">
        <v>50</v>
      </c>
      <c r="X3586">
        <v>3.625</v>
      </c>
      <c r="Y3586" s="32">
        <v>6.85</v>
      </c>
      <c r="Z3586">
        <v>0</v>
      </c>
      <c r="AA3586" s="32">
        <v>1.847</v>
      </c>
      <c r="AB3586">
        <v>0</v>
      </c>
      <c r="AC3586" s="34">
        <v>0.23799999999999999</v>
      </c>
      <c r="AD3586" s="32">
        <v>6.694</v>
      </c>
    </row>
    <row r="3587" spans="22:30">
      <c r="V3587">
        <v>3585</v>
      </c>
      <c r="W3587">
        <v>50</v>
      </c>
      <c r="X3587">
        <v>3.6259999999999999</v>
      </c>
      <c r="Y3587" s="32">
        <v>6.85</v>
      </c>
      <c r="Z3587">
        <v>0</v>
      </c>
      <c r="AA3587" s="32">
        <v>1.847</v>
      </c>
      <c r="AB3587">
        <v>0</v>
      </c>
      <c r="AC3587" s="34">
        <v>0.23799999999999999</v>
      </c>
      <c r="AD3587" s="32">
        <v>6.6970000000000001</v>
      </c>
    </row>
    <row r="3588" spans="22:30">
      <c r="V3588">
        <v>3586</v>
      </c>
      <c r="W3588">
        <v>50</v>
      </c>
      <c r="X3588">
        <v>3.6269999999999998</v>
      </c>
      <c r="Y3588" s="32">
        <v>6.85</v>
      </c>
      <c r="Z3588">
        <v>0</v>
      </c>
      <c r="AA3588" s="32">
        <v>1.847</v>
      </c>
      <c r="AB3588">
        <v>0</v>
      </c>
      <c r="AC3588" s="34">
        <v>0.23799999999999999</v>
      </c>
      <c r="AD3588" s="32">
        <v>6.6989999999999998</v>
      </c>
    </row>
    <row r="3589" spans="22:30">
      <c r="V3589">
        <v>3587</v>
      </c>
      <c r="W3589">
        <v>50</v>
      </c>
      <c r="X3589">
        <v>3.6280000000000001</v>
      </c>
      <c r="Y3589" s="32">
        <v>6.85</v>
      </c>
      <c r="Z3589">
        <v>0</v>
      </c>
      <c r="AA3589" s="32">
        <v>1.847</v>
      </c>
      <c r="AB3589">
        <v>0</v>
      </c>
      <c r="AC3589" s="34">
        <v>0.23799999999999999</v>
      </c>
      <c r="AD3589" s="32">
        <v>6.702</v>
      </c>
    </row>
    <row r="3590" spans="22:30">
      <c r="V3590">
        <v>3588</v>
      </c>
      <c r="W3590">
        <v>50</v>
      </c>
      <c r="X3590">
        <v>3.629</v>
      </c>
      <c r="Y3590" s="32">
        <v>6.85</v>
      </c>
      <c r="Z3590">
        <v>0</v>
      </c>
      <c r="AA3590" s="32">
        <v>1.847</v>
      </c>
      <c r="AB3590">
        <v>0</v>
      </c>
      <c r="AC3590" s="34">
        <v>0.23799999999999999</v>
      </c>
      <c r="AD3590" s="32">
        <v>6.7050000000000001</v>
      </c>
    </row>
    <row r="3591" spans="22:30">
      <c r="V3591">
        <v>3589</v>
      </c>
      <c r="W3591">
        <v>50</v>
      </c>
      <c r="X3591">
        <v>3.63</v>
      </c>
      <c r="Y3591" s="32">
        <v>6.85</v>
      </c>
      <c r="Z3591">
        <v>0</v>
      </c>
      <c r="AA3591" s="32">
        <v>1.8480000000000001</v>
      </c>
      <c r="AB3591">
        <v>0</v>
      </c>
      <c r="AC3591" s="34">
        <v>0.23799999999999999</v>
      </c>
      <c r="AD3591" s="32">
        <v>6.7069999999999999</v>
      </c>
    </row>
    <row r="3592" spans="22:30">
      <c r="V3592">
        <v>3590</v>
      </c>
      <c r="W3592">
        <v>50</v>
      </c>
      <c r="X3592">
        <v>3.6309999999999998</v>
      </c>
      <c r="Y3592" s="32">
        <v>6.8650000000000002</v>
      </c>
      <c r="Z3592">
        <v>0</v>
      </c>
      <c r="AA3592" s="32">
        <v>1.8480000000000001</v>
      </c>
      <c r="AB3592">
        <v>0</v>
      </c>
      <c r="AC3592" s="34">
        <v>0.23799999999999999</v>
      </c>
      <c r="AD3592" s="32">
        <v>6.71</v>
      </c>
    </row>
    <row r="3593" spans="22:30">
      <c r="V3593">
        <v>3591</v>
      </c>
      <c r="W3593">
        <v>50</v>
      </c>
      <c r="X3593">
        <v>3.6320000000000001</v>
      </c>
      <c r="Y3593" s="32">
        <v>6.88</v>
      </c>
      <c r="Z3593">
        <v>0</v>
      </c>
      <c r="AA3593" s="32">
        <v>1.8480000000000001</v>
      </c>
      <c r="AB3593">
        <v>0</v>
      </c>
      <c r="AC3593" s="34">
        <v>0.23799999999999999</v>
      </c>
      <c r="AD3593" s="32">
        <v>6.7130000000000001</v>
      </c>
    </row>
    <row r="3594" spans="22:30">
      <c r="V3594">
        <v>3592</v>
      </c>
      <c r="W3594">
        <v>50</v>
      </c>
      <c r="X3594">
        <v>3.633</v>
      </c>
      <c r="Y3594" s="32">
        <v>6.8949999999999996</v>
      </c>
      <c r="Z3594">
        <v>0</v>
      </c>
      <c r="AA3594" s="32">
        <v>1.8480000000000001</v>
      </c>
      <c r="AB3594">
        <v>0</v>
      </c>
      <c r="AC3594" s="34">
        <v>0.23799999999999999</v>
      </c>
      <c r="AD3594" s="32">
        <v>6.7149999999999999</v>
      </c>
    </row>
    <row r="3595" spans="22:30">
      <c r="V3595">
        <v>3593</v>
      </c>
      <c r="W3595">
        <v>50</v>
      </c>
      <c r="X3595">
        <v>3.6339999999999999</v>
      </c>
      <c r="Y3595" s="32">
        <v>6.91</v>
      </c>
      <c r="Z3595">
        <v>0</v>
      </c>
      <c r="AA3595" s="32">
        <v>1.849</v>
      </c>
      <c r="AB3595">
        <v>0</v>
      </c>
      <c r="AC3595" s="34">
        <v>0.23799999999999999</v>
      </c>
      <c r="AD3595" s="32">
        <v>6.718</v>
      </c>
    </row>
    <row r="3596" spans="22:30">
      <c r="V3596">
        <v>3594</v>
      </c>
      <c r="W3596">
        <v>50</v>
      </c>
      <c r="X3596">
        <v>3.6349999999999998</v>
      </c>
      <c r="Y3596" s="32">
        <v>6.9249999999999998</v>
      </c>
      <c r="Z3596">
        <v>0</v>
      </c>
      <c r="AA3596" s="32">
        <v>1.849</v>
      </c>
      <c r="AB3596">
        <v>0</v>
      </c>
      <c r="AC3596" s="34">
        <v>0.23799999999999999</v>
      </c>
      <c r="AD3596" s="32">
        <v>6.7210000000000001</v>
      </c>
    </row>
    <row r="3597" spans="22:30">
      <c r="V3597">
        <v>3595</v>
      </c>
      <c r="W3597">
        <v>50</v>
      </c>
      <c r="X3597">
        <v>3.6360000000000001</v>
      </c>
      <c r="Y3597" s="32">
        <v>6.94</v>
      </c>
      <c r="Z3597">
        <v>0</v>
      </c>
      <c r="AA3597" s="32">
        <v>1.849</v>
      </c>
      <c r="AB3597">
        <v>0</v>
      </c>
      <c r="AC3597" s="34">
        <v>0.23799999999999999</v>
      </c>
      <c r="AD3597" s="32">
        <v>6.7229999999999999</v>
      </c>
    </row>
    <row r="3598" spans="22:30">
      <c r="V3598">
        <v>3596</v>
      </c>
      <c r="W3598">
        <v>50</v>
      </c>
      <c r="X3598">
        <v>3.637</v>
      </c>
      <c r="Y3598" s="32">
        <v>6.9550000000000001</v>
      </c>
      <c r="Z3598">
        <v>0</v>
      </c>
      <c r="AA3598" s="32">
        <v>1.849</v>
      </c>
      <c r="AB3598">
        <v>0</v>
      </c>
      <c r="AC3598" s="34">
        <v>0.23799999999999999</v>
      </c>
      <c r="AD3598" s="32">
        <v>6.726</v>
      </c>
    </row>
    <row r="3599" spans="22:30">
      <c r="V3599">
        <v>3597</v>
      </c>
      <c r="W3599">
        <v>50</v>
      </c>
      <c r="X3599">
        <v>3.6379999999999999</v>
      </c>
      <c r="Y3599" s="32">
        <v>6.97</v>
      </c>
      <c r="Z3599">
        <v>0</v>
      </c>
      <c r="AA3599" s="32">
        <v>1.849</v>
      </c>
      <c r="AB3599">
        <v>0</v>
      </c>
      <c r="AC3599" s="34">
        <v>0.23799999999999999</v>
      </c>
      <c r="AD3599" s="32">
        <v>6.7290000000000001</v>
      </c>
    </row>
    <row r="3600" spans="22:30">
      <c r="V3600">
        <v>3598</v>
      </c>
      <c r="W3600">
        <v>50</v>
      </c>
      <c r="X3600">
        <v>3.6389999999999998</v>
      </c>
      <c r="Y3600" s="32">
        <v>6.9850000000000003</v>
      </c>
      <c r="Z3600">
        <v>0</v>
      </c>
      <c r="AA3600" s="32">
        <v>1.85</v>
      </c>
      <c r="AB3600">
        <v>0</v>
      </c>
      <c r="AC3600" s="34">
        <v>0.23799999999999999</v>
      </c>
      <c r="AD3600" s="32">
        <v>6.7309999999999999</v>
      </c>
    </row>
    <row r="3601" spans="22:30">
      <c r="V3601">
        <v>3599</v>
      </c>
      <c r="W3601">
        <v>50</v>
      </c>
      <c r="X3601">
        <v>3.64</v>
      </c>
      <c r="Y3601" s="32">
        <v>7</v>
      </c>
      <c r="Z3601">
        <v>0</v>
      </c>
      <c r="AA3601" s="32">
        <v>1.85</v>
      </c>
      <c r="AB3601">
        <v>0</v>
      </c>
      <c r="AC3601" s="34">
        <v>0.23799999999999999</v>
      </c>
      <c r="AD3601" s="32">
        <v>6.734</v>
      </c>
    </row>
    <row r="3602" spans="22:30">
      <c r="V3602">
        <v>3600</v>
      </c>
      <c r="W3602">
        <v>50</v>
      </c>
      <c r="X3602">
        <v>3.641</v>
      </c>
      <c r="Y3602" s="32">
        <v>7</v>
      </c>
      <c r="Z3602">
        <v>0</v>
      </c>
      <c r="AA3602" s="32">
        <v>1.85</v>
      </c>
      <c r="AB3602">
        <v>0</v>
      </c>
      <c r="AC3602" s="34">
        <v>0.23799999999999999</v>
      </c>
      <c r="AD3602" s="32">
        <v>6.7370000000000001</v>
      </c>
    </row>
    <row r="3603" spans="22:30">
      <c r="V3603">
        <v>3601</v>
      </c>
      <c r="W3603">
        <v>50</v>
      </c>
      <c r="X3603">
        <v>3.6419999999999999</v>
      </c>
      <c r="Y3603" s="32">
        <v>7</v>
      </c>
      <c r="Z3603">
        <v>0</v>
      </c>
      <c r="AA3603" s="32">
        <v>1.85</v>
      </c>
      <c r="AB3603">
        <v>0</v>
      </c>
      <c r="AC3603" s="34">
        <v>0.23799999999999999</v>
      </c>
      <c r="AD3603" s="32">
        <v>6.74</v>
      </c>
    </row>
    <row r="3604" spans="22:30">
      <c r="V3604">
        <v>3602</v>
      </c>
      <c r="W3604">
        <v>50</v>
      </c>
      <c r="X3604">
        <v>3.6429999999999998</v>
      </c>
      <c r="Y3604" s="32">
        <v>7</v>
      </c>
      <c r="Z3604">
        <v>0</v>
      </c>
      <c r="AA3604" s="32">
        <v>1.851</v>
      </c>
      <c r="AB3604">
        <v>0</v>
      </c>
      <c r="AC3604" s="34">
        <v>0.23799999999999999</v>
      </c>
      <c r="AD3604" s="32">
        <v>6.742</v>
      </c>
    </row>
    <row r="3605" spans="22:30">
      <c r="V3605">
        <v>3603</v>
      </c>
      <c r="W3605">
        <v>50</v>
      </c>
      <c r="X3605">
        <v>3.6440000000000001</v>
      </c>
      <c r="Y3605" s="32">
        <v>7</v>
      </c>
      <c r="Z3605">
        <v>0</v>
      </c>
      <c r="AA3605" s="32">
        <v>1.851</v>
      </c>
      <c r="AB3605">
        <v>0</v>
      </c>
      <c r="AC3605" s="34">
        <v>0.23799999999999999</v>
      </c>
      <c r="AD3605" s="32">
        <v>6.7450000000000001</v>
      </c>
    </row>
    <row r="3606" spans="22:30">
      <c r="V3606">
        <v>3604</v>
      </c>
      <c r="W3606">
        <v>50</v>
      </c>
      <c r="X3606">
        <v>3.645</v>
      </c>
      <c r="Y3606" s="32">
        <v>7</v>
      </c>
      <c r="Z3606">
        <v>0</v>
      </c>
      <c r="AA3606" s="32">
        <v>1.851</v>
      </c>
      <c r="AB3606">
        <v>0</v>
      </c>
      <c r="AC3606" s="34">
        <v>0.23799999999999999</v>
      </c>
      <c r="AD3606" s="32">
        <v>6.7480000000000002</v>
      </c>
    </row>
    <row r="3607" spans="22:30">
      <c r="V3607">
        <v>3605</v>
      </c>
      <c r="W3607">
        <v>50</v>
      </c>
      <c r="X3607">
        <v>3.6459999999999999</v>
      </c>
      <c r="Y3607" s="32">
        <v>7</v>
      </c>
      <c r="Z3607">
        <v>0</v>
      </c>
      <c r="AA3607" s="32">
        <v>1.851</v>
      </c>
      <c r="AB3607">
        <v>0</v>
      </c>
      <c r="AC3607" s="34">
        <v>0.23799999999999999</v>
      </c>
      <c r="AD3607" s="32">
        <v>6.75</v>
      </c>
    </row>
    <row r="3608" spans="22:30">
      <c r="V3608">
        <v>3606</v>
      </c>
      <c r="W3608">
        <v>50</v>
      </c>
      <c r="X3608">
        <v>3.6469999999999998</v>
      </c>
      <c r="Y3608" s="32">
        <v>7</v>
      </c>
      <c r="Z3608">
        <v>0</v>
      </c>
      <c r="AA3608" s="32">
        <v>1.851</v>
      </c>
      <c r="AB3608">
        <v>0</v>
      </c>
      <c r="AC3608" s="34">
        <v>0.23799999999999999</v>
      </c>
      <c r="AD3608" s="32">
        <v>6.7530000000000001</v>
      </c>
    </row>
    <row r="3609" spans="22:30">
      <c r="V3609">
        <v>3607</v>
      </c>
      <c r="W3609">
        <v>50</v>
      </c>
      <c r="X3609">
        <v>3.6480000000000001</v>
      </c>
      <c r="Y3609" s="32">
        <v>7</v>
      </c>
      <c r="Z3609">
        <v>0</v>
      </c>
      <c r="AA3609" s="32">
        <v>1.8520000000000001</v>
      </c>
      <c r="AB3609">
        <v>0</v>
      </c>
      <c r="AC3609" s="34">
        <v>0.23799999999999999</v>
      </c>
      <c r="AD3609" s="32">
        <v>6.7560000000000002</v>
      </c>
    </row>
    <row r="3610" spans="22:30">
      <c r="V3610">
        <v>3608</v>
      </c>
      <c r="W3610">
        <v>50</v>
      </c>
      <c r="X3610">
        <v>3.649</v>
      </c>
      <c r="Y3610" s="32">
        <v>7</v>
      </c>
      <c r="Z3610">
        <v>0</v>
      </c>
      <c r="AA3610" s="32">
        <v>1.8520000000000001</v>
      </c>
      <c r="AB3610">
        <v>0</v>
      </c>
      <c r="AC3610" s="34">
        <v>0.23799999999999999</v>
      </c>
      <c r="AD3610" s="32">
        <v>6.758</v>
      </c>
    </row>
    <row r="3611" spans="22:30">
      <c r="V3611">
        <v>3609</v>
      </c>
      <c r="W3611">
        <v>50</v>
      </c>
      <c r="X3611">
        <v>3.65</v>
      </c>
      <c r="Y3611" s="32">
        <v>7</v>
      </c>
      <c r="Z3611">
        <v>0</v>
      </c>
      <c r="AA3611" s="32">
        <v>1.8520000000000001</v>
      </c>
      <c r="AB3611">
        <v>0</v>
      </c>
      <c r="AC3611" s="34">
        <v>0.23799999999999999</v>
      </c>
      <c r="AD3611" s="32">
        <v>6.7610000000000001</v>
      </c>
    </row>
    <row r="3612" spans="22:30">
      <c r="V3612">
        <v>3610</v>
      </c>
      <c r="W3612">
        <v>50</v>
      </c>
      <c r="X3612">
        <v>3.6509999999999998</v>
      </c>
      <c r="Y3612" s="32">
        <v>7</v>
      </c>
      <c r="Z3612">
        <v>0</v>
      </c>
      <c r="AA3612" s="32">
        <v>1.8520000000000001</v>
      </c>
      <c r="AB3612">
        <v>0</v>
      </c>
      <c r="AC3612" s="34">
        <v>0.23799999999999999</v>
      </c>
      <c r="AD3612" s="32">
        <v>6.7640000000000002</v>
      </c>
    </row>
    <row r="3613" spans="22:30">
      <c r="V3613">
        <v>3611</v>
      </c>
      <c r="W3613">
        <v>50</v>
      </c>
      <c r="X3613">
        <v>3.6520000000000001</v>
      </c>
      <c r="Y3613" s="32">
        <v>7</v>
      </c>
      <c r="Z3613">
        <v>0</v>
      </c>
      <c r="AA3613" s="32">
        <v>1.853</v>
      </c>
      <c r="AB3613">
        <v>0</v>
      </c>
      <c r="AC3613" s="34">
        <v>0.23799999999999999</v>
      </c>
      <c r="AD3613" s="32">
        <v>6.766</v>
      </c>
    </row>
    <row r="3614" spans="22:30">
      <c r="V3614">
        <v>3612</v>
      </c>
      <c r="W3614">
        <v>50</v>
      </c>
      <c r="X3614">
        <v>3.653</v>
      </c>
      <c r="Y3614" s="32">
        <v>7</v>
      </c>
      <c r="Z3614">
        <v>0</v>
      </c>
      <c r="AA3614" s="32">
        <v>1.853</v>
      </c>
      <c r="AB3614">
        <v>0</v>
      </c>
      <c r="AC3614" s="34">
        <v>0.23799999999999999</v>
      </c>
      <c r="AD3614" s="32">
        <v>6.7690000000000001</v>
      </c>
    </row>
    <row r="3615" spans="22:30">
      <c r="V3615">
        <v>3613</v>
      </c>
      <c r="W3615">
        <v>50</v>
      </c>
      <c r="X3615">
        <v>3.6539999999999999</v>
      </c>
      <c r="Y3615" s="32">
        <v>7</v>
      </c>
      <c r="Z3615">
        <v>0</v>
      </c>
      <c r="AA3615" s="32">
        <v>1.853</v>
      </c>
      <c r="AB3615">
        <v>0</v>
      </c>
      <c r="AC3615" s="34">
        <v>0.23799999999999999</v>
      </c>
      <c r="AD3615" s="32">
        <v>6.7720000000000002</v>
      </c>
    </row>
    <row r="3616" spans="22:30">
      <c r="V3616">
        <v>3614</v>
      </c>
      <c r="W3616">
        <v>50</v>
      </c>
      <c r="X3616">
        <v>3.6549999999999998</v>
      </c>
      <c r="Y3616" s="32">
        <v>7</v>
      </c>
      <c r="Z3616">
        <v>0</v>
      </c>
      <c r="AA3616" s="32">
        <v>1.853</v>
      </c>
      <c r="AB3616">
        <v>0</v>
      </c>
      <c r="AC3616" s="34">
        <v>0.23799999999999999</v>
      </c>
      <c r="AD3616" s="32">
        <v>6.774</v>
      </c>
    </row>
    <row r="3617" spans="22:30">
      <c r="V3617">
        <v>3615</v>
      </c>
      <c r="W3617">
        <v>50</v>
      </c>
      <c r="X3617">
        <v>3.6560000000000001</v>
      </c>
      <c r="Y3617" s="32">
        <v>7</v>
      </c>
      <c r="Z3617">
        <v>0</v>
      </c>
      <c r="AA3617" s="32">
        <v>1.853</v>
      </c>
      <c r="AB3617">
        <v>0</v>
      </c>
      <c r="AC3617" s="34">
        <v>0.23799999999999999</v>
      </c>
      <c r="AD3617" s="32">
        <v>6.7770000000000001</v>
      </c>
    </row>
    <row r="3618" spans="22:30">
      <c r="V3618">
        <v>3616</v>
      </c>
      <c r="W3618">
        <v>50</v>
      </c>
      <c r="X3618">
        <v>3.657</v>
      </c>
      <c r="Y3618" s="32">
        <v>7</v>
      </c>
      <c r="Z3618">
        <v>0</v>
      </c>
      <c r="AA3618" s="32">
        <v>1.8540000000000001</v>
      </c>
      <c r="AB3618">
        <v>0</v>
      </c>
      <c r="AC3618" s="34">
        <v>0.23799999999999999</v>
      </c>
      <c r="AD3618" s="32">
        <v>6.78</v>
      </c>
    </row>
    <row r="3619" spans="22:30">
      <c r="V3619">
        <v>3617</v>
      </c>
      <c r="W3619">
        <v>50</v>
      </c>
      <c r="X3619">
        <v>3.6579999999999999</v>
      </c>
      <c r="Y3619" s="32">
        <v>7</v>
      </c>
      <c r="Z3619">
        <v>0</v>
      </c>
      <c r="AA3619" s="32">
        <v>1.8540000000000001</v>
      </c>
      <c r="AB3619">
        <v>0</v>
      </c>
      <c r="AC3619" s="34">
        <v>0.23799999999999999</v>
      </c>
      <c r="AD3619" s="32">
        <v>6.782</v>
      </c>
    </row>
    <row r="3620" spans="22:30">
      <c r="V3620">
        <v>3618</v>
      </c>
      <c r="W3620">
        <v>50</v>
      </c>
      <c r="X3620">
        <v>3.6589999999999998</v>
      </c>
      <c r="Y3620" s="32">
        <v>7</v>
      </c>
      <c r="Z3620">
        <v>0</v>
      </c>
      <c r="AA3620" s="32">
        <v>1.8540000000000001</v>
      </c>
      <c r="AB3620">
        <v>0</v>
      </c>
      <c r="AC3620" s="34">
        <v>0.23799999999999999</v>
      </c>
      <c r="AD3620" s="32">
        <v>6.7850000000000001</v>
      </c>
    </row>
    <row r="3621" spans="22:30">
      <c r="V3621">
        <v>3619</v>
      </c>
      <c r="W3621">
        <v>50</v>
      </c>
      <c r="X3621">
        <v>3.66</v>
      </c>
      <c r="Y3621" s="32">
        <v>7</v>
      </c>
      <c r="Z3621">
        <v>0</v>
      </c>
      <c r="AA3621" s="32">
        <v>1.8540000000000001</v>
      </c>
      <c r="AB3621">
        <v>0</v>
      </c>
      <c r="AC3621" s="34">
        <v>0.23799999999999999</v>
      </c>
      <c r="AD3621" s="32">
        <v>6.7880000000000003</v>
      </c>
    </row>
    <row r="3622" spans="22:30">
      <c r="V3622">
        <v>3620</v>
      </c>
      <c r="W3622">
        <v>50</v>
      </c>
      <c r="X3622">
        <v>3.661</v>
      </c>
      <c r="Y3622" s="32">
        <v>7</v>
      </c>
      <c r="Z3622">
        <v>0</v>
      </c>
      <c r="AA3622" s="32">
        <v>1.855</v>
      </c>
      <c r="AB3622">
        <v>0</v>
      </c>
      <c r="AC3622" s="34">
        <v>0.23799999999999999</v>
      </c>
      <c r="AD3622" s="32">
        <v>6.7910000000000004</v>
      </c>
    </row>
    <row r="3623" spans="22:30">
      <c r="V3623">
        <v>3621</v>
      </c>
      <c r="W3623">
        <v>50</v>
      </c>
      <c r="X3623">
        <v>3.6619999999999999</v>
      </c>
      <c r="Y3623" s="32">
        <v>7</v>
      </c>
      <c r="Z3623">
        <v>0</v>
      </c>
      <c r="AA3623" s="32">
        <v>1.855</v>
      </c>
      <c r="AB3623">
        <v>0</v>
      </c>
      <c r="AC3623" s="34">
        <v>0.23799999999999999</v>
      </c>
      <c r="AD3623" s="32">
        <v>6.7930000000000001</v>
      </c>
    </row>
    <row r="3624" spans="22:30">
      <c r="V3624">
        <v>3622</v>
      </c>
      <c r="W3624">
        <v>50</v>
      </c>
      <c r="X3624">
        <v>3.6629999999999998</v>
      </c>
      <c r="Y3624" s="32">
        <v>7</v>
      </c>
      <c r="Z3624">
        <v>0</v>
      </c>
      <c r="AA3624" s="32">
        <v>1.855</v>
      </c>
      <c r="AB3624">
        <v>0</v>
      </c>
      <c r="AC3624" s="34">
        <v>0.23899999999999999</v>
      </c>
      <c r="AD3624" s="32">
        <v>6.7960000000000003</v>
      </c>
    </row>
    <row r="3625" spans="22:30">
      <c r="V3625">
        <v>3623</v>
      </c>
      <c r="W3625">
        <v>50</v>
      </c>
      <c r="X3625">
        <v>3.6640000000000001</v>
      </c>
      <c r="Y3625" s="32">
        <v>7</v>
      </c>
      <c r="Z3625">
        <v>0</v>
      </c>
      <c r="AA3625" s="32">
        <v>1.855</v>
      </c>
      <c r="AB3625">
        <v>0</v>
      </c>
      <c r="AC3625" s="34">
        <v>0.23899999999999999</v>
      </c>
      <c r="AD3625" s="32">
        <v>6.7990000000000004</v>
      </c>
    </row>
    <row r="3626" spans="22:30">
      <c r="V3626">
        <v>3624</v>
      </c>
      <c r="W3626">
        <v>50</v>
      </c>
      <c r="X3626">
        <v>3.665</v>
      </c>
      <c r="Y3626" s="32">
        <v>7</v>
      </c>
      <c r="Z3626">
        <v>0</v>
      </c>
      <c r="AA3626" s="32">
        <v>1.8560000000000001</v>
      </c>
      <c r="AB3626">
        <v>0</v>
      </c>
      <c r="AC3626" s="34">
        <v>0.23899999999999999</v>
      </c>
      <c r="AD3626" s="32">
        <v>6.8010000000000002</v>
      </c>
    </row>
    <row r="3627" spans="22:30">
      <c r="V3627">
        <v>3625</v>
      </c>
      <c r="W3627">
        <v>50</v>
      </c>
      <c r="X3627">
        <v>3.6659999999999999</v>
      </c>
      <c r="Y3627" s="32">
        <v>7</v>
      </c>
      <c r="Z3627">
        <v>0</v>
      </c>
      <c r="AA3627" s="32">
        <v>1.8560000000000001</v>
      </c>
      <c r="AB3627">
        <v>0</v>
      </c>
      <c r="AC3627" s="34">
        <v>0.23899999999999999</v>
      </c>
      <c r="AD3627" s="32">
        <v>6.8040000000000003</v>
      </c>
    </row>
    <row r="3628" spans="22:30">
      <c r="V3628">
        <v>3626</v>
      </c>
      <c r="W3628">
        <v>50</v>
      </c>
      <c r="X3628">
        <v>3.6669999999999998</v>
      </c>
      <c r="Y3628" s="32">
        <v>7</v>
      </c>
      <c r="Z3628">
        <v>0</v>
      </c>
      <c r="AA3628" s="32">
        <v>1.8560000000000001</v>
      </c>
      <c r="AB3628">
        <v>0</v>
      </c>
      <c r="AC3628" s="34">
        <v>0.23899999999999999</v>
      </c>
      <c r="AD3628" s="32">
        <v>6.8070000000000004</v>
      </c>
    </row>
    <row r="3629" spans="22:30">
      <c r="V3629">
        <v>3627</v>
      </c>
      <c r="W3629">
        <v>50</v>
      </c>
      <c r="X3629">
        <v>3.6680000000000001</v>
      </c>
      <c r="Y3629" s="32">
        <v>7</v>
      </c>
      <c r="Z3629">
        <v>0</v>
      </c>
      <c r="AA3629" s="32">
        <v>1.8560000000000001</v>
      </c>
      <c r="AB3629">
        <v>0</v>
      </c>
      <c r="AC3629" s="34">
        <v>0.23899999999999999</v>
      </c>
      <c r="AD3629" s="32">
        <v>6.8090000000000002</v>
      </c>
    </row>
    <row r="3630" spans="22:30">
      <c r="V3630">
        <v>3628</v>
      </c>
      <c r="W3630">
        <v>50</v>
      </c>
      <c r="X3630">
        <v>3.669</v>
      </c>
      <c r="Y3630" s="32">
        <v>7</v>
      </c>
      <c r="Z3630">
        <v>0</v>
      </c>
      <c r="AA3630" s="32">
        <v>1.8560000000000001</v>
      </c>
      <c r="AB3630">
        <v>0</v>
      </c>
      <c r="AC3630" s="34">
        <v>0.23899999999999999</v>
      </c>
      <c r="AD3630" s="32">
        <v>6.8120000000000003</v>
      </c>
    </row>
    <row r="3631" spans="22:30">
      <c r="V3631">
        <v>3629</v>
      </c>
      <c r="W3631">
        <v>50</v>
      </c>
      <c r="X3631">
        <v>3.67</v>
      </c>
      <c r="Y3631" s="32">
        <v>7</v>
      </c>
      <c r="Z3631">
        <v>0</v>
      </c>
      <c r="AA3631" s="32">
        <v>1.857</v>
      </c>
      <c r="AB3631">
        <v>0</v>
      </c>
      <c r="AC3631" s="34">
        <v>0.23899999999999999</v>
      </c>
      <c r="AD3631" s="32">
        <v>6.8150000000000004</v>
      </c>
    </row>
    <row r="3632" spans="22:30">
      <c r="V3632">
        <v>3630</v>
      </c>
      <c r="W3632">
        <v>50</v>
      </c>
      <c r="X3632">
        <v>3.6709999999999998</v>
      </c>
      <c r="Y3632" s="32">
        <v>7</v>
      </c>
      <c r="Z3632">
        <v>0</v>
      </c>
      <c r="AA3632" s="32">
        <v>1.857</v>
      </c>
      <c r="AB3632">
        <v>0</v>
      </c>
      <c r="AC3632" s="34">
        <v>0.23899999999999999</v>
      </c>
      <c r="AD3632" s="32">
        <v>6.8170000000000002</v>
      </c>
    </row>
    <row r="3633" spans="22:30">
      <c r="V3633">
        <v>3631</v>
      </c>
      <c r="W3633">
        <v>50</v>
      </c>
      <c r="X3633">
        <v>3.6720000000000002</v>
      </c>
      <c r="Y3633" s="32">
        <v>7</v>
      </c>
      <c r="Z3633">
        <v>0</v>
      </c>
      <c r="AA3633" s="32">
        <v>1.857</v>
      </c>
      <c r="AB3633">
        <v>0</v>
      </c>
      <c r="AC3633" s="34">
        <v>0.23899999999999999</v>
      </c>
      <c r="AD3633" s="32">
        <v>6.82</v>
      </c>
    </row>
    <row r="3634" spans="22:30">
      <c r="V3634">
        <v>3632</v>
      </c>
      <c r="W3634">
        <v>50</v>
      </c>
      <c r="X3634">
        <v>3.673</v>
      </c>
      <c r="Y3634" s="32">
        <v>7</v>
      </c>
      <c r="Z3634">
        <v>0</v>
      </c>
      <c r="AA3634" s="32">
        <v>1.857</v>
      </c>
      <c r="AB3634">
        <v>0</v>
      </c>
      <c r="AC3634" s="34">
        <v>0.23899999999999999</v>
      </c>
      <c r="AD3634" s="32">
        <v>6.8230000000000004</v>
      </c>
    </row>
    <row r="3635" spans="22:30">
      <c r="V3635">
        <v>3633</v>
      </c>
      <c r="W3635">
        <v>50</v>
      </c>
      <c r="X3635">
        <v>3.6739999999999999</v>
      </c>
      <c r="Y3635" s="32">
        <v>7</v>
      </c>
      <c r="Z3635">
        <v>0</v>
      </c>
      <c r="AA3635" s="32">
        <v>1.8580000000000001</v>
      </c>
      <c r="AB3635">
        <v>0</v>
      </c>
      <c r="AC3635" s="34">
        <v>0.23899999999999999</v>
      </c>
      <c r="AD3635" s="32">
        <v>6.8250000000000002</v>
      </c>
    </row>
    <row r="3636" spans="22:30">
      <c r="V3636">
        <v>3634</v>
      </c>
      <c r="W3636">
        <v>50</v>
      </c>
      <c r="X3636">
        <v>3.6749999999999998</v>
      </c>
      <c r="Y3636" s="32">
        <v>7</v>
      </c>
      <c r="Z3636">
        <v>0</v>
      </c>
      <c r="AA3636" s="32">
        <v>1.8580000000000001</v>
      </c>
      <c r="AB3636">
        <v>0</v>
      </c>
      <c r="AC3636" s="34">
        <v>0.23899999999999999</v>
      </c>
      <c r="AD3636" s="32">
        <v>6.8280000000000003</v>
      </c>
    </row>
    <row r="3637" spans="22:30">
      <c r="V3637">
        <v>3635</v>
      </c>
      <c r="W3637">
        <v>50</v>
      </c>
      <c r="X3637">
        <v>3.6760000000000002</v>
      </c>
      <c r="Y3637" s="32">
        <v>7</v>
      </c>
      <c r="Z3637">
        <v>0</v>
      </c>
      <c r="AA3637" s="32">
        <v>1.8580000000000001</v>
      </c>
      <c r="AB3637">
        <v>0</v>
      </c>
      <c r="AC3637" s="34">
        <v>0.23899999999999999</v>
      </c>
      <c r="AD3637" s="32">
        <v>6.8310000000000004</v>
      </c>
    </row>
    <row r="3638" spans="22:30">
      <c r="V3638">
        <v>3636</v>
      </c>
      <c r="W3638">
        <v>50</v>
      </c>
      <c r="X3638">
        <v>3.677</v>
      </c>
      <c r="Y3638" s="32">
        <v>7</v>
      </c>
      <c r="Z3638">
        <v>0</v>
      </c>
      <c r="AA3638" s="32">
        <v>1.8580000000000001</v>
      </c>
      <c r="AB3638">
        <v>0</v>
      </c>
      <c r="AC3638" s="34">
        <v>0.23899999999999999</v>
      </c>
      <c r="AD3638" s="32">
        <v>6.8339999999999996</v>
      </c>
    </row>
    <row r="3639" spans="22:30">
      <c r="V3639">
        <v>3637</v>
      </c>
      <c r="W3639">
        <v>50</v>
      </c>
      <c r="X3639">
        <v>3.6779999999999999</v>
      </c>
      <c r="Y3639" s="32">
        <v>7</v>
      </c>
      <c r="Z3639">
        <v>0</v>
      </c>
      <c r="AA3639" s="32">
        <v>1.8580000000000001</v>
      </c>
      <c r="AB3639">
        <v>0</v>
      </c>
      <c r="AC3639" s="34">
        <v>0.23899999999999999</v>
      </c>
      <c r="AD3639" s="32">
        <v>6.8360000000000003</v>
      </c>
    </row>
    <row r="3640" spans="22:30">
      <c r="V3640">
        <v>3638</v>
      </c>
      <c r="W3640">
        <v>50</v>
      </c>
      <c r="X3640">
        <v>3.6789999999999998</v>
      </c>
      <c r="Y3640" s="32">
        <v>7</v>
      </c>
      <c r="Z3640">
        <v>0</v>
      </c>
      <c r="AA3640" s="32">
        <v>1.859</v>
      </c>
      <c r="AB3640">
        <v>0</v>
      </c>
      <c r="AC3640" s="34">
        <v>0.23899999999999999</v>
      </c>
      <c r="AD3640" s="32">
        <v>6.8390000000000004</v>
      </c>
    </row>
    <row r="3641" spans="22:30">
      <c r="V3641">
        <v>3639</v>
      </c>
      <c r="W3641">
        <v>50</v>
      </c>
      <c r="X3641">
        <v>3.68</v>
      </c>
      <c r="Y3641" s="32">
        <v>7</v>
      </c>
      <c r="Z3641">
        <v>0</v>
      </c>
      <c r="AA3641" s="32">
        <v>1.859</v>
      </c>
      <c r="AB3641">
        <v>0</v>
      </c>
      <c r="AC3641" s="34">
        <v>0.23899999999999999</v>
      </c>
      <c r="AD3641" s="32">
        <v>6.8419999999999996</v>
      </c>
    </row>
    <row r="3642" spans="22:30">
      <c r="V3642">
        <v>3640</v>
      </c>
      <c r="W3642">
        <v>50</v>
      </c>
      <c r="X3642">
        <v>3.681</v>
      </c>
      <c r="Y3642" s="32">
        <v>7</v>
      </c>
      <c r="Z3642">
        <v>0</v>
      </c>
      <c r="AA3642" s="32">
        <v>1.859</v>
      </c>
      <c r="AB3642">
        <v>0</v>
      </c>
      <c r="AC3642" s="34">
        <v>0.23899999999999999</v>
      </c>
      <c r="AD3642" s="32">
        <v>6.8440000000000003</v>
      </c>
    </row>
    <row r="3643" spans="22:30">
      <c r="V3643">
        <v>3641</v>
      </c>
      <c r="W3643">
        <v>50</v>
      </c>
      <c r="X3643">
        <v>3.6819999999999999</v>
      </c>
      <c r="Y3643" s="32">
        <v>7</v>
      </c>
      <c r="Z3643">
        <v>0</v>
      </c>
      <c r="AA3643" s="32">
        <v>1.859</v>
      </c>
      <c r="AB3643">
        <v>0</v>
      </c>
      <c r="AC3643" s="34">
        <v>0.23899999999999999</v>
      </c>
      <c r="AD3643" s="32">
        <v>6.8470000000000004</v>
      </c>
    </row>
    <row r="3644" spans="22:30">
      <c r="V3644">
        <v>3642</v>
      </c>
      <c r="W3644">
        <v>50</v>
      </c>
      <c r="X3644">
        <v>3.6829999999999998</v>
      </c>
      <c r="Y3644" s="32">
        <v>7</v>
      </c>
      <c r="Z3644">
        <v>0</v>
      </c>
      <c r="AA3644" s="32">
        <v>1.86</v>
      </c>
      <c r="AB3644">
        <v>0</v>
      </c>
      <c r="AC3644" s="34">
        <v>0.23899999999999999</v>
      </c>
      <c r="AD3644" s="32">
        <v>6.85</v>
      </c>
    </row>
    <row r="3645" spans="22:30">
      <c r="V3645">
        <v>3643</v>
      </c>
      <c r="W3645">
        <v>50</v>
      </c>
      <c r="X3645">
        <v>3.6840000000000002</v>
      </c>
      <c r="Y3645" s="32">
        <v>7</v>
      </c>
      <c r="Z3645">
        <v>0</v>
      </c>
      <c r="AA3645" s="32">
        <v>1.86</v>
      </c>
      <c r="AB3645">
        <v>0</v>
      </c>
      <c r="AC3645" s="34">
        <v>0.23899999999999999</v>
      </c>
      <c r="AD3645" s="32">
        <v>6.8520000000000003</v>
      </c>
    </row>
    <row r="3646" spans="22:30">
      <c r="V3646">
        <v>3644</v>
      </c>
      <c r="W3646">
        <v>51</v>
      </c>
      <c r="X3646">
        <v>3.6850000000000001</v>
      </c>
      <c r="Y3646" s="32">
        <v>7</v>
      </c>
      <c r="Z3646">
        <v>0</v>
      </c>
      <c r="AA3646" s="32">
        <v>1.86</v>
      </c>
      <c r="AB3646">
        <v>0</v>
      </c>
      <c r="AC3646" s="34">
        <v>0.23899999999999999</v>
      </c>
      <c r="AD3646" s="32">
        <v>6.8550000000000004</v>
      </c>
    </row>
    <row r="3647" spans="22:30">
      <c r="V3647">
        <v>3645</v>
      </c>
      <c r="W3647">
        <v>51</v>
      </c>
      <c r="X3647">
        <v>3.6859999999999999</v>
      </c>
      <c r="Y3647" s="32">
        <v>7</v>
      </c>
      <c r="Z3647">
        <v>0</v>
      </c>
      <c r="AA3647" s="32">
        <v>1.86</v>
      </c>
      <c r="AB3647">
        <v>0</v>
      </c>
      <c r="AC3647" s="34">
        <v>0.23899999999999999</v>
      </c>
      <c r="AD3647" s="32">
        <v>6.8579999999999997</v>
      </c>
    </row>
    <row r="3648" spans="22:30">
      <c r="V3648">
        <v>3646</v>
      </c>
      <c r="W3648">
        <v>51</v>
      </c>
      <c r="X3648">
        <v>3.6869999999999998</v>
      </c>
      <c r="Y3648" s="32">
        <v>7</v>
      </c>
      <c r="Z3648">
        <v>0</v>
      </c>
      <c r="AA3648" s="32">
        <v>1.86</v>
      </c>
      <c r="AB3648">
        <v>0</v>
      </c>
      <c r="AC3648" s="34">
        <v>0.23899999999999999</v>
      </c>
      <c r="AD3648" s="32">
        <v>6.86</v>
      </c>
    </row>
    <row r="3649" spans="22:30">
      <c r="V3649">
        <v>3647</v>
      </c>
      <c r="W3649">
        <v>51</v>
      </c>
      <c r="X3649">
        <v>3.6880000000000002</v>
      </c>
      <c r="Y3649" s="32">
        <v>7</v>
      </c>
      <c r="Z3649">
        <v>0</v>
      </c>
      <c r="AA3649" s="32">
        <v>1.861</v>
      </c>
      <c r="AB3649">
        <v>0</v>
      </c>
      <c r="AC3649" s="34">
        <v>0.23899999999999999</v>
      </c>
      <c r="AD3649" s="32">
        <v>6.8630000000000004</v>
      </c>
    </row>
    <row r="3650" spans="22:30">
      <c r="V3650">
        <v>3648</v>
      </c>
      <c r="W3650">
        <v>51</v>
      </c>
      <c r="X3650">
        <v>3.6890000000000001</v>
      </c>
      <c r="Y3650" s="32">
        <v>7</v>
      </c>
      <c r="Z3650">
        <v>0</v>
      </c>
      <c r="AA3650" s="32">
        <v>1.861</v>
      </c>
      <c r="AB3650">
        <v>0</v>
      </c>
      <c r="AC3650" s="34">
        <v>0.23899999999999999</v>
      </c>
      <c r="AD3650" s="32">
        <v>6.8659999999999997</v>
      </c>
    </row>
    <row r="3651" spans="22:30">
      <c r="V3651">
        <v>3649</v>
      </c>
      <c r="W3651">
        <v>51</v>
      </c>
      <c r="X3651">
        <v>3.69</v>
      </c>
      <c r="Y3651" s="32">
        <v>7</v>
      </c>
      <c r="Z3651">
        <v>0</v>
      </c>
      <c r="AA3651" s="32">
        <v>1.861</v>
      </c>
      <c r="AB3651">
        <v>0</v>
      </c>
      <c r="AC3651" s="34">
        <v>0.23899999999999999</v>
      </c>
      <c r="AD3651" s="32">
        <v>6.8689999999999998</v>
      </c>
    </row>
    <row r="3652" spans="22:30">
      <c r="V3652">
        <v>3650</v>
      </c>
      <c r="W3652">
        <v>51</v>
      </c>
      <c r="X3652">
        <v>3.6909999999999998</v>
      </c>
      <c r="Y3652" s="32">
        <v>7</v>
      </c>
      <c r="Z3652">
        <v>0</v>
      </c>
      <c r="AA3652" s="32">
        <v>1.861</v>
      </c>
      <c r="AB3652">
        <v>0</v>
      </c>
      <c r="AC3652" s="34">
        <v>0.23899999999999999</v>
      </c>
      <c r="AD3652" s="32">
        <v>6.8710000000000004</v>
      </c>
    </row>
    <row r="3653" spans="22:30">
      <c r="V3653">
        <v>3651</v>
      </c>
      <c r="W3653">
        <v>51</v>
      </c>
      <c r="X3653">
        <v>3.6920000000000002</v>
      </c>
      <c r="Y3653" s="32">
        <v>7</v>
      </c>
      <c r="Z3653">
        <v>0</v>
      </c>
      <c r="AA3653" s="32">
        <v>1.8620000000000001</v>
      </c>
      <c r="AB3653">
        <v>0</v>
      </c>
      <c r="AC3653" s="34">
        <v>0.23899999999999999</v>
      </c>
      <c r="AD3653" s="32">
        <v>6.8739999999999997</v>
      </c>
    </row>
    <row r="3654" spans="22:30">
      <c r="V3654">
        <v>3652</v>
      </c>
      <c r="W3654">
        <v>51</v>
      </c>
      <c r="X3654">
        <v>3.6930000000000001</v>
      </c>
      <c r="Y3654" s="32">
        <v>7</v>
      </c>
      <c r="Z3654">
        <v>0</v>
      </c>
      <c r="AA3654" s="32">
        <v>1.8620000000000001</v>
      </c>
      <c r="AB3654">
        <v>0</v>
      </c>
      <c r="AC3654" s="34">
        <v>0.23899999999999999</v>
      </c>
      <c r="AD3654" s="32">
        <v>6.8769999999999998</v>
      </c>
    </row>
    <row r="3655" spans="22:30">
      <c r="V3655">
        <v>3653</v>
      </c>
      <c r="W3655">
        <v>51</v>
      </c>
      <c r="X3655">
        <v>3.694</v>
      </c>
      <c r="Y3655" s="32">
        <v>7</v>
      </c>
      <c r="Z3655">
        <v>0</v>
      </c>
      <c r="AA3655" s="32">
        <v>1.8620000000000001</v>
      </c>
      <c r="AB3655">
        <v>0</v>
      </c>
      <c r="AC3655" s="34">
        <v>0.23899999999999999</v>
      </c>
      <c r="AD3655" s="32">
        <v>6.88</v>
      </c>
    </row>
    <row r="3656" spans="22:30">
      <c r="V3656">
        <v>3654</v>
      </c>
      <c r="W3656">
        <v>51</v>
      </c>
      <c r="X3656">
        <v>3.6949999999999998</v>
      </c>
      <c r="Y3656" s="32">
        <v>7</v>
      </c>
      <c r="Z3656">
        <v>0</v>
      </c>
      <c r="AA3656" s="32">
        <v>1.8620000000000001</v>
      </c>
      <c r="AB3656">
        <v>0</v>
      </c>
      <c r="AC3656" s="34">
        <v>0.23899999999999999</v>
      </c>
      <c r="AD3656" s="32">
        <v>6.8819999999999997</v>
      </c>
    </row>
    <row r="3657" spans="22:30">
      <c r="V3657">
        <v>3655</v>
      </c>
      <c r="W3657">
        <v>51</v>
      </c>
      <c r="X3657">
        <v>3.6960000000000002</v>
      </c>
      <c r="Y3657" s="32">
        <v>7</v>
      </c>
      <c r="Z3657">
        <v>0</v>
      </c>
      <c r="AA3657" s="32">
        <v>1.863</v>
      </c>
      <c r="AB3657">
        <v>0</v>
      </c>
      <c r="AC3657" s="34">
        <v>0.23899999999999999</v>
      </c>
      <c r="AD3657" s="32">
        <v>6.8849999999999998</v>
      </c>
    </row>
    <row r="3658" spans="22:30">
      <c r="V3658">
        <v>3656</v>
      </c>
      <c r="W3658">
        <v>51</v>
      </c>
      <c r="X3658">
        <v>3.6970000000000001</v>
      </c>
      <c r="Y3658" s="32">
        <v>7</v>
      </c>
      <c r="Z3658">
        <v>0</v>
      </c>
      <c r="AA3658" s="32">
        <v>1.863</v>
      </c>
      <c r="AB3658">
        <v>0</v>
      </c>
      <c r="AC3658" s="34">
        <v>0.23899999999999999</v>
      </c>
      <c r="AD3658" s="32">
        <v>6.8879999999999999</v>
      </c>
    </row>
    <row r="3659" spans="22:30">
      <c r="V3659">
        <v>3657</v>
      </c>
      <c r="W3659">
        <v>51</v>
      </c>
      <c r="X3659">
        <v>3.698</v>
      </c>
      <c r="Y3659" s="32">
        <v>7</v>
      </c>
      <c r="Z3659">
        <v>0</v>
      </c>
      <c r="AA3659" s="32">
        <v>1.863</v>
      </c>
      <c r="AB3659">
        <v>0</v>
      </c>
      <c r="AC3659" s="34">
        <v>0.23899999999999999</v>
      </c>
      <c r="AD3659" s="32">
        <v>6.89</v>
      </c>
    </row>
    <row r="3660" spans="22:30">
      <c r="V3660">
        <v>3658</v>
      </c>
      <c r="W3660">
        <v>51</v>
      </c>
      <c r="X3660">
        <v>3.6989999999999998</v>
      </c>
      <c r="Y3660" s="32">
        <v>7</v>
      </c>
      <c r="Z3660">
        <v>0</v>
      </c>
      <c r="AA3660" s="32">
        <v>1.863</v>
      </c>
      <c r="AB3660">
        <v>0</v>
      </c>
      <c r="AC3660" s="34">
        <v>0.23899999999999999</v>
      </c>
      <c r="AD3660" s="32">
        <v>6.8929999999999998</v>
      </c>
    </row>
    <row r="3661" spans="22:30">
      <c r="V3661">
        <v>3659</v>
      </c>
      <c r="W3661">
        <v>51</v>
      </c>
      <c r="X3661">
        <v>3.7</v>
      </c>
      <c r="Y3661" s="32">
        <v>7</v>
      </c>
      <c r="Z3661">
        <v>0</v>
      </c>
      <c r="AA3661" s="32">
        <v>1.863</v>
      </c>
      <c r="AB3661">
        <v>0</v>
      </c>
      <c r="AC3661" s="34">
        <v>0.23899999999999999</v>
      </c>
      <c r="AD3661" s="32">
        <v>6.8959999999999999</v>
      </c>
    </row>
    <row r="3662" spans="22:30">
      <c r="V3662">
        <v>3660</v>
      </c>
      <c r="W3662">
        <v>51</v>
      </c>
      <c r="X3662">
        <v>3.7010000000000001</v>
      </c>
      <c r="Y3662" s="32">
        <v>7</v>
      </c>
      <c r="Z3662">
        <v>0</v>
      </c>
      <c r="AA3662" s="32">
        <v>1.8640000000000001</v>
      </c>
      <c r="AB3662">
        <v>0</v>
      </c>
      <c r="AC3662" s="34">
        <v>0.23899999999999999</v>
      </c>
      <c r="AD3662" s="32">
        <v>6.899</v>
      </c>
    </row>
    <row r="3663" spans="22:30">
      <c r="V3663">
        <v>3661</v>
      </c>
      <c r="W3663">
        <v>51</v>
      </c>
      <c r="X3663">
        <v>3.702</v>
      </c>
      <c r="Y3663" s="32">
        <v>7</v>
      </c>
      <c r="Z3663">
        <v>0</v>
      </c>
      <c r="AA3663" s="32">
        <v>1.8640000000000001</v>
      </c>
      <c r="AB3663">
        <v>0</v>
      </c>
      <c r="AC3663" s="34">
        <v>0.23899999999999999</v>
      </c>
      <c r="AD3663" s="32">
        <v>6.9009999999999998</v>
      </c>
    </row>
    <row r="3664" spans="22:30">
      <c r="V3664">
        <v>3662</v>
      </c>
      <c r="W3664">
        <v>51</v>
      </c>
      <c r="X3664">
        <v>3.7029999999999998</v>
      </c>
      <c r="Y3664" s="32">
        <v>7</v>
      </c>
      <c r="Z3664">
        <v>0</v>
      </c>
      <c r="AA3664" s="32">
        <v>1.8640000000000001</v>
      </c>
      <c r="AB3664">
        <v>0</v>
      </c>
      <c r="AC3664" s="34">
        <v>0.23899999999999999</v>
      </c>
      <c r="AD3664" s="32">
        <v>6.9039999999999999</v>
      </c>
    </row>
    <row r="3665" spans="22:30">
      <c r="V3665">
        <v>3663</v>
      </c>
      <c r="W3665">
        <v>51</v>
      </c>
      <c r="X3665">
        <v>3.7040000000000002</v>
      </c>
      <c r="Y3665" s="32">
        <v>7</v>
      </c>
      <c r="Z3665">
        <v>0</v>
      </c>
      <c r="AA3665" s="32">
        <v>1.8640000000000001</v>
      </c>
      <c r="AB3665">
        <v>0</v>
      </c>
      <c r="AC3665" s="34">
        <v>0.23899999999999999</v>
      </c>
      <c r="AD3665" s="32">
        <v>6.907</v>
      </c>
    </row>
    <row r="3666" spans="22:30">
      <c r="V3666">
        <v>3664</v>
      </c>
      <c r="W3666">
        <v>51</v>
      </c>
      <c r="X3666">
        <v>3.7050000000000001</v>
      </c>
      <c r="Y3666" s="32">
        <v>7</v>
      </c>
      <c r="Z3666">
        <v>0</v>
      </c>
      <c r="AA3666" s="32">
        <v>1.865</v>
      </c>
      <c r="AB3666">
        <v>0</v>
      </c>
      <c r="AC3666" s="34">
        <v>0.23899999999999999</v>
      </c>
      <c r="AD3666" s="32">
        <v>6.91</v>
      </c>
    </row>
    <row r="3667" spans="22:30">
      <c r="V3667">
        <v>3665</v>
      </c>
      <c r="W3667">
        <v>51</v>
      </c>
      <c r="X3667">
        <v>3.706</v>
      </c>
      <c r="Y3667" s="32">
        <v>7</v>
      </c>
      <c r="Z3667">
        <v>0</v>
      </c>
      <c r="AA3667" s="32">
        <v>1.865</v>
      </c>
      <c r="AB3667">
        <v>0</v>
      </c>
      <c r="AC3667" s="34">
        <v>0.23899999999999999</v>
      </c>
      <c r="AD3667" s="32">
        <v>6.9119999999999999</v>
      </c>
    </row>
    <row r="3668" spans="22:30">
      <c r="V3668">
        <v>3666</v>
      </c>
      <c r="W3668">
        <v>51</v>
      </c>
      <c r="X3668">
        <v>3.7069999999999999</v>
      </c>
      <c r="Y3668" s="32">
        <v>7</v>
      </c>
      <c r="Z3668">
        <v>0</v>
      </c>
      <c r="AA3668" s="32">
        <v>1.865</v>
      </c>
      <c r="AB3668">
        <v>0</v>
      </c>
      <c r="AC3668" s="34">
        <v>0.23899999999999999</v>
      </c>
      <c r="AD3668" s="32">
        <v>6.915</v>
      </c>
    </row>
    <row r="3669" spans="22:30">
      <c r="V3669">
        <v>3667</v>
      </c>
      <c r="W3669">
        <v>51</v>
      </c>
      <c r="X3669">
        <v>3.7080000000000002</v>
      </c>
      <c r="Y3669" s="32">
        <v>7</v>
      </c>
      <c r="Z3669">
        <v>0</v>
      </c>
      <c r="AA3669" s="32">
        <v>1.865</v>
      </c>
      <c r="AB3669">
        <v>0</v>
      </c>
      <c r="AC3669" s="34">
        <v>0.23899999999999999</v>
      </c>
      <c r="AD3669" s="32">
        <v>6.9180000000000001</v>
      </c>
    </row>
    <row r="3670" spans="22:30">
      <c r="V3670">
        <v>3668</v>
      </c>
      <c r="W3670">
        <v>51</v>
      </c>
      <c r="X3670">
        <v>3.7090000000000001</v>
      </c>
      <c r="Y3670" s="32">
        <v>7</v>
      </c>
      <c r="Z3670">
        <v>0</v>
      </c>
      <c r="AA3670" s="32">
        <v>1.865</v>
      </c>
      <c r="AB3670">
        <v>0</v>
      </c>
      <c r="AC3670" s="34">
        <v>0.23899999999999999</v>
      </c>
      <c r="AD3670" s="32">
        <v>6.92</v>
      </c>
    </row>
    <row r="3671" spans="22:30">
      <c r="V3671">
        <v>3669</v>
      </c>
      <c r="W3671">
        <v>51</v>
      </c>
      <c r="X3671">
        <v>3.71</v>
      </c>
      <c r="Y3671" s="32">
        <v>7</v>
      </c>
      <c r="Z3671">
        <v>0</v>
      </c>
      <c r="AA3671" s="32">
        <v>1.8660000000000001</v>
      </c>
      <c r="AB3671">
        <v>0</v>
      </c>
      <c r="AC3671" s="34">
        <v>0.23899999999999999</v>
      </c>
      <c r="AD3671" s="32">
        <v>6.923</v>
      </c>
    </row>
    <row r="3672" spans="22:30">
      <c r="V3672">
        <v>3670</v>
      </c>
      <c r="W3672">
        <v>51</v>
      </c>
      <c r="X3672">
        <v>3.7109999999999999</v>
      </c>
      <c r="Y3672" s="32">
        <v>7</v>
      </c>
      <c r="Z3672">
        <v>0</v>
      </c>
      <c r="AA3672" s="32">
        <v>1.8660000000000001</v>
      </c>
      <c r="AB3672">
        <v>0</v>
      </c>
      <c r="AC3672" s="34">
        <v>0.23899999999999999</v>
      </c>
      <c r="AD3672" s="32">
        <v>6.9260000000000002</v>
      </c>
    </row>
    <row r="3673" spans="22:30">
      <c r="V3673">
        <v>3671</v>
      </c>
      <c r="W3673">
        <v>51</v>
      </c>
      <c r="X3673">
        <v>3.7120000000000002</v>
      </c>
      <c r="Y3673" s="32">
        <v>7</v>
      </c>
      <c r="Z3673">
        <v>0</v>
      </c>
      <c r="AA3673" s="32">
        <v>1.8660000000000001</v>
      </c>
      <c r="AB3673">
        <v>0</v>
      </c>
      <c r="AC3673" s="34">
        <v>0.23899999999999999</v>
      </c>
      <c r="AD3673" s="32">
        <v>6.9290000000000003</v>
      </c>
    </row>
    <row r="3674" spans="22:30">
      <c r="V3674">
        <v>3672</v>
      </c>
      <c r="W3674">
        <v>51</v>
      </c>
      <c r="X3674">
        <v>3.7130000000000001</v>
      </c>
      <c r="Y3674" s="32">
        <v>7</v>
      </c>
      <c r="Z3674">
        <v>0</v>
      </c>
      <c r="AA3674" s="32">
        <v>1.8660000000000001</v>
      </c>
      <c r="AB3674">
        <v>0</v>
      </c>
      <c r="AC3674" s="34">
        <v>0.23899999999999999</v>
      </c>
      <c r="AD3674" s="32">
        <v>6.931</v>
      </c>
    </row>
    <row r="3675" spans="22:30">
      <c r="V3675">
        <v>3673</v>
      </c>
      <c r="W3675">
        <v>51</v>
      </c>
      <c r="X3675">
        <v>3.714</v>
      </c>
      <c r="Y3675" s="32">
        <v>7</v>
      </c>
      <c r="Z3675">
        <v>0</v>
      </c>
      <c r="AA3675" s="32">
        <v>1.867</v>
      </c>
      <c r="AB3675">
        <v>0</v>
      </c>
      <c r="AC3675" s="34">
        <v>0.23899999999999999</v>
      </c>
      <c r="AD3675" s="32">
        <v>6.9340000000000002</v>
      </c>
    </row>
    <row r="3676" spans="22:30">
      <c r="V3676">
        <v>3674</v>
      </c>
      <c r="W3676">
        <v>51</v>
      </c>
      <c r="X3676">
        <v>3.7149999999999999</v>
      </c>
      <c r="Y3676" s="32">
        <v>7</v>
      </c>
      <c r="Z3676">
        <v>0</v>
      </c>
      <c r="AA3676" s="32">
        <v>1.867</v>
      </c>
      <c r="AB3676">
        <v>0</v>
      </c>
      <c r="AC3676" s="34">
        <v>0.23899999999999999</v>
      </c>
      <c r="AD3676" s="32">
        <v>6.9370000000000003</v>
      </c>
    </row>
    <row r="3677" spans="22:30">
      <c r="V3677">
        <v>3675</v>
      </c>
      <c r="W3677">
        <v>51</v>
      </c>
      <c r="X3677">
        <v>3.7160000000000002</v>
      </c>
      <c r="Y3677" s="32">
        <v>7</v>
      </c>
      <c r="Z3677">
        <v>0</v>
      </c>
      <c r="AA3677" s="32">
        <v>1.867</v>
      </c>
      <c r="AB3677">
        <v>0</v>
      </c>
      <c r="AC3677" s="34">
        <v>0.23899999999999999</v>
      </c>
      <c r="AD3677" s="32">
        <v>6.94</v>
      </c>
    </row>
    <row r="3678" spans="22:30">
      <c r="V3678">
        <v>3676</v>
      </c>
      <c r="W3678">
        <v>51</v>
      </c>
      <c r="X3678">
        <v>3.7170000000000001</v>
      </c>
      <c r="Y3678" s="32">
        <v>7</v>
      </c>
      <c r="Z3678">
        <v>0</v>
      </c>
      <c r="AA3678" s="32">
        <v>1.867</v>
      </c>
      <c r="AB3678">
        <v>0</v>
      </c>
      <c r="AC3678" s="34">
        <v>0.23899999999999999</v>
      </c>
      <c r="AD3678" s="32">
        <v>6.9420000000000002</v>
      </c>
    </row>
    <row r="3679" spans="22:30">
      <c r="V3679">
        <v>3677</v>
      </c>
      <c r="W3679">
        <v>51</v>
      </c>
      <c r="X3679">
        <v>3.718</v>
      </c>
      <c r="Y3679" s="32">
        <v>7</v>
      </c>
      <c r="Z3679">
        <v>0</v>
      </c>
      <c r="AA3679" s="32">
        <v>1.8680000000000001</v>
      </c>
      <c r="AB3679">
        <v>0</v>
      </c>
      <c r="AC3679" s="34">
        <v>0.23899999999999999</v>
      </c>
      <c r="AD3679" s="32">
        <v>6.9450000000000003</v>
      </c>
    </row>
    <row r="3680" spans="22:30">
      <c r="V3680">
        <v>3678</v>
      </c>
      <c r="W3680">
        <v>51</v>
      </c>
      <c r="X3680">
        <v>3.7189999999999999</v>
      </c>
      <c r="Y3680" s="32">
        <v>7</v>
      </c>
      <c r="Z3680">
        <v>0</v>
      </c>
      <c r="AA3680" s="32">
        <v>1.8680000000000001</v>
      </c>
      <c r="AB3680">
        <v>0</v>
      </c>
      <c r="AC3680" s="34">
        <v>0.23899999999999999</v>
      </c>
      <c r="AD3680" s="32">
        <v>6.9480000000000004</v>
      </c>
    </row>
    <row r="3681" spans="22:30">
      <c r="V3681">
        <v>3679</v>
      </c>
      <c r="W3681">
        <v>51</v>
      </c>
      <c r="X3681">
        <v>3.72</v>
      </c>
      <c r="Y3681" s="32">
        <v>7</v>
      </c>
      <c r="Z3681">
        <v>0</v>
      </c>
      <c r="AA3681" s="32">
        <v>1.8680000000000001</v>
      </c>
      <c r="AB3681">
        <v>0</v>
      </c>
      <c r="AC3681" s="34">
        <v>0.23899999999999999</v>
      </c>
      <c r="AD3681" s="32">
        <v>6.95</v>
      </c>
    </row>
    <row r="3682" spans="22:30">
      <c r="V3682">
        <v>3680</v>
      </c>
      <c r="W3682">
        <v>51</v>
      </c>
      <c r="X3682">
        <v>3.7210000000000001</v>
      </c>
      <c r="Y3682" s="32">
        <v>7</v>
      </c>
      <c r="Z3682">
        <v>0</v>
      </c>
      <c r="AA3682" s="32">
        <v>1.8680000000000001</v>
      </c>
      <c r="AB3682">
        <v>0</v>
      </c>
      <c r="AC3682" s="34">
        <v>0.23899999999999999</v>
      </c>
      <c r="AD3682" s="32">
        <v>6.9530000000000003</v>
      </c>
    </row>
    <row r="3683" spans="22:30">
      <c r="V3683">
        <v>3681</v>
      </c>
      <c r="W3683">
        <v>51</v>
      </c>
      <c r="X3683">
        <v>3.722</v>
      </c>
      <c r="Y3683" s="32">
        <v>7</v>
      </c>
      <c r="Z3683">
        <v>0</v>
      </c>
      <c r="AA3683" s="32">
        <v>1.8680000000000001</v>
      </c>
      <c r="AB3683">
        <v>0</v>
      </c>
      <c r="AC3683" s="34">
        <v>0.23899999999999999</v>
      </c>
      <c r="AD3683" s="32">
        <v>6.9560000000000004</v>
      </c>
    </row>
    <row r="3684" spans="22:30">
      <c r="V3684">
        <v>3682</v>
      </c>
      <c r="W3684">
        <v>51</v>
      </c>
      <c r="X3684">
        <v>3.7229999999999999</v>
      </c>
      <c r="Y3684" s="32">
        <v>7</v>
      </c>
      <c r="Z3684">
        <v>0</v>
      </c>
      <c r="AA3684" s="32">
        <v>1.869</v>
      </c>
      <c r="AB3684">
        <v>0</v>
      </c>
      <c r="AC3684" s="34">
        <v>0.23899999999999999</v>
      </c>
      <c r="AD3684" s="32">
        <v>6.9589999999999996</v>
      </c>
    </row>
    <row r="3685" spans="22:30">
      <c r="V3685">
        <v>3683</v>
      </c>
      <c r="W3685">
        <v>51</v>
      </c>
      <c r="X3685">
        <v>3.7240000000000002</v>
      </c>
      <c r="Y3685" s="32">
        <v>7</v>
      </c>
      <c r="Z3685">
        <v>0</v>
      </c>
      <c r="AA3685" s="32">
        <v>1.869</v>
      </c>
      <c r="AB3685">
        <v>0</v>
      </c>
      <c r="AC3685" s="34">
        <v>0.23899999999999999</v>
      </c>
      <c r="AD3685" s="32">
        <v>6.9610000000000003</v>
      </c>
    </row>
    <row r="3686" spans="22:30">
      <c r="V3686">
        <v>3684</v>
      </c>
      <c r="W3686">
        <v>51</v>
      </c>
      <c r="X3686">
        <v>3.7250000000000001</v>
      </c>
      <c r="Y3686" s="32">
        <v>7</v>
      </c>
      <c r="Z3686">
        <v>0</v>
      </c>
      <c r="AA3686" s="32">
        <v>1.869</v>
      </c>
      <c r="AB3686">
        <v>0</v>
      </c>
      <c r="AC3686" s="34">
        <v>0.23899999999999999</v>
      </c>
      <c r="AD3686" s="32">
        <v>6.9640000000000004</v>
      </c>
    </row>
    <row r="3687" spans="22:30">
      <c r="V3687">
        <v>3685</v>
      </c>
      <c r="W3687">
        <v>51</v>
      </c>
      <c r="X3687">
        <v>3.726</v>
      </c>
      <c r="Y3687" s="32">
        <v>7</v>
      </c>
      <c r="Z3687">
        <v>0</v>
      </c>
      <c r="AA3687" s="32">
        <v>1.869</v>
      </c>
      <c r="AB3687">
        <v>0</v>
      </c>
      <c r="AC3687" s="34">
        <v>0.23899999999999999</v>
      </c>
      <c r="AD3687" s="32">
        <v>6.9669999999999996</v>
      </c>
    </row>
    <row r="3688" spans="22:30">
      <c r="V3688">
        <v>3686</v>
      </c>
      <c r="W3688">
        <v>51</v>
      </c>
      <c r="X3688">
        <v>3.7269999999999999</v>
      </c>
      <c r="Y3688" s="32">
        <v>7</v>
      </c>
      <c r="Z3688">
        <v>0</v>
      </c>
      <c r="AA3688" s="32">
        <v>1.87</v>
      </c>
      <c r="AB3688">
        <v>0</v>
      </c>
      <c r="AC3688" s="34">
        <v>0.23899999999999999</v>
      </c>
      <c r="AD3688" s="32">
        <v>6.97</v>
      </c>
    </row>
    <row r="3689" spans="22:30">
      <c r="V3689">
        <v>3687</v>
      </c>
      <c r="W3689">
        <v>51</v>
      </c>
      <c r="X3689">
        <v>3.7280000000000002</v>
      </c>
      <c r="Y3689" s="32">
        <v>7</v>
      </c>
      <c r="Z3689">
        <v>0</v>
      </c>
      <c r="AA3689" s="32">
        <v>1.87</v>
      </c>
      <c r="AB3689">
        <v>0</v>
      </c>
      <c r="AC3689" s="34">
        <v>0.23899999999999999</v>
      </c>
      <c r="AD3689" s="32">
        <v>6.9720000000000004</v>
      </c>
    </row>
    <row r="3690" spans="22:30">
      <c r="V3690">
        <v>3688</v>
      </c>
      <c r="W3690">
        <v>51</v>
      </c>
      <c r="X3690">
        <v>3.7290000000000001</v>
      </c>
      <c r="Y3690" s="32">
        <v>7</v>
      </c>
      <c r="Z3690">
        <v>0</v>
      </c>
      <c r="AA3690" s="32">
        <v>1.87</v>
      </c>
      <c r="AB3690">
        <v>0</v>
      </c>
      <c r="AC3690" s="34">
        <v>0.24</v>
      </c>
      <c r="AD3690" s="32">
        <v>6.9749999999999996</v>
      </c>
    </row>
    <row r="3691" spans="22:30">
      <c r="V3691">
        <v>3689</v>
      </c>
      <c r="W3691">
        <v>51</v>
      </c>
      <c r="X3691">
        <v>3.73</v>
      </c>
      <c r="Y3691" s="32">
        <v>7</v>
      </c>
      <c r="Z3691">
        <v>0</v>
      </c>
      <c r="AA3691" s="32">
        <v>1.87</v>
      </c>
      <c r="AB3691">
        <v>0</v>
      </c>
      <c r="AC3691" s="34">
        <v>0.24</v>
      </c>
      <c r="AD3691" s="32">
        <v>6.9779999999999998</v>
      </c>
    </row>
    <row r="3692" spans="22:30">
      <c r="V3692">
        <v>3690</v>
      </c>
      <c r="W3692">
        <v>51</v>
      </c>
      <c r="X3692">
        <v>3.7309999999999999</v>
      </c>
      <c r="Y3692" s="32">
        <v>7</v>
      </c>
      <c r="Z3692">
        <v>0</v>
      </c>
      <c r="AA3692" s="32">
        <v>1.87</v>
      </c>
      <c r="AB3692">
        <v>0</v>
      </c>
      <c r="AC3692" s="34">
        <v>0.24</v>
      </c>
      <c r="AD3692" s="32">
        <v>6.98</v>
      </c>
    </row>
    <row r="3693" spans="22:30">
      <c r="V3693">
        <v>3691</v>
      </c>
      <c r="W3693">
        <v>51</v>
      </c>
      <c r="X3693">
        <v>3.7320000000000002</v>
      </c>
      <c r="Y3693" s="32">
        <v>7</v>
      </c>
      <c r="Z3693">
        <v>0</v>
      </c>
      <c r="AA3693" s="32">
        <v>1.871</v>
      </c>
      <c r="AB3693">
        <v>0</v>
      </c>
      <c r="AC3693" s="34">
        <v>0.24</v>
      </c>
      <c r="AD3693" s="32">
        <v>6.9829999999999997</v>
      </c>
    </row>
    <row r="3694" spans="22:30">
      <c r="V3694">
        <v>3692</v>
      </c>
      <c r="W3694">
        <v>51</v>
      </c>
      <c r="X3694">
        <v>3.7330000000000001</v>
      </c>
      <c r="Y3694" s="32">
        <v>7</v>
      </c>
      <c r="Z3694">
        <v>0</v>
      </c>
      <c r="AA3694" s="32">
        <v>1.871</v>
      </c>
      <c r="AB3694">
        <v>0</v>
      </c>
      <c r="AC3694" s="34">
        <v>0.24</v>
      </c>
      <c r="AD3694" s="32">
        <v>6.9859999999999998</v>
      </c>
    </row>
    <row r="3695" spans="22:30">
      <c r="V3695">
        <v>3693</v>
      </c>
      <c r="W3695">
        <v>51</v>
      </c>
      <c r="X3695">
        <v>3.734</v>
      </c>
      <c r="Y3695" s="32">
        <v>7</v>
      </c>
      <c r="Z3695">
        <v>0</v>
      </c>
      <c r="AA3695" s="32">
        <v>1.871</v>
      </c>
      <c r="AB3695">
        <v>0</v>
      </c>
      <c r="AC3695" s="34">
        <v>0.24</v>
      </c>
      <c r="AD3695" s="32">
        <v>6.9889999999999999</v>
      </c>
    </row>
    <row r="3696" spans="22:30">
      <c r="V3696">
        <v>3694</v>
      </c>
      <c r="W3696">
        <v>51</v>
      </c>
      <c r="X3696">
        <v>3.7349999999999999</v>
      </c>
      <c r="Y3696" s="32">
        <v>7</v>
      </c>
      <c r="Z3696">
        <v>0</v>
      </c>
      <c r="AA3696" s="32">
        <v>1.871</v>
      </c>
      <c r="AB3696">
        <v>0</v>
      </c>
      <c r="AC3696" s="34">
        <v>0.24</v>
      </c>
      <c r="AD3696" s="32">
        <v>6.9909999999999997</v>
      </c>
    </row>
    <row r="3697" spans="22:30">
      <c r="V3697">
        <v>3695</v>
      </c>
      <c r="W3697">
        <v>51</v>
      </c>
      <c r="X3697">
        <v>3.7360000000000002</v>
      </c>
      <c r="Y3697" s="32">
        <v>7</v>
      </c>
      <c r="Z3697">
        <v>0</v>
      </c>
      <c r="AA3697" s="32">
        <v>1.8720000000000001</v>
      </c>
      <c r="AB3697">
        <v>0</v>
      </c>
      <c r="AC3697" s="34">
        <v>0.24</v>
      </c>
      <c r="AD3697" s="32">
        <v>6.9939999999999998</v>
      </c>
    </row>
    <row r="3698" spans="22:30">
      <c r="V3698">
        <v>3696</v>
      </c>
      <c r="W3698">
        <v>51</v>
      </c>
      <c r="X3698">
        <v>3.7370000000000001</v>
      </c>
      <c r="Y3698" s="32">
        <v>7</v>
      </c>
      <c r="Z3698">
        <v>0</v>
      </c>
      <c r="AA3698" s="32">
        <v>1.8720000000000001</v>
      </c>
      <c r="AB3698">
        <v>0</v>
      </c>
      <c r="AC3698" s="34">
        <v>0.24</v>
      </c>
      <c r="AD3698" s="32">
        <v>6.9969999999999999</v>
      </c>
    </row>
    <row r="3699" spans="22:30">
      <c r="V3699">
        <v>3697</v>
      </c>
      <c r="W3699">
        <v>51</v>
      </c>
      <c r="X3699">
        <v>3.738</v>
      </c>
      <c r="Y3699" s="32">
        <v>7</v>
      </c>
      <c r="Z3699">
        <v>0</v>
      </c>
      <c r="AA3699" s="32">
        <v>1.8720000000000001</v>
      </c>
      <c r="AB3699">
        <v>0</v>
      </c>
      <c r="AC3699" s="34">
        <v>0.24</v>
      </c>
      <c r="AD3699" s="32">
        <v>7</v>
      </c>
    </row>
    <row r="3700" spans="22:30">
      <c r="V3700">
        <v>3698</v>
      </c>
      <c r="W3700">
        <v>51</v>
      </c>
      <c r="X3700">
        <v>3.7389999999999999</v>
      </c>
      <c r="Y3700" s="32">
        <v>7</v>
      </c>
      <c r="Z3700">
        <v>0</v>
      </c>
      <c r="AA3700" s="32">
        <v>1.8720000000000001</v>
      </c>
      <c r="AB3700">
        <v>0</v>
      </c>
      <c r="AC3700" s="34">
        <v>0.24</v>
      </c>
      <c r="AD3700" s="32">
        <v>7.0019999999999998</v>
      </c>
    </row>
    <row r="3701" spans="22:30">
      <c r="V3701">
        <v>3699</v>
      </c>
      <c r="W3701">
        <v>51</v>
      </c>
      <c r="X3701">
        <v>3.74</v>
      </c>
      <c r="Y3701" s="32">
        <v>7</v>
      </c>
      <c r="Z3701">
        <v>0</v>
      </c>
      <c r="AA3701" s="32">
        <v>1.873</v>
      </c>
      <c r="AB3701">
        <v>0</v>
      </c>
      <c r="AC3701" s="34">
        <v>0.24</v>
      </c>
      <c r="AD3701" s="32">
        <v>7.0049999999999999</v>
      </c>
    </row>
    <row r="3702" spans="22:30">
      <c r="V3702">
        <v>3700</v>
      </c>
      <c r="W3702">
        <v>51</v>
      </c>
      <c r="X3702">
        <v>3.7410000000000001</v>
      </c>
      <c r="Y3702" s="32">
        <v>7</v>
      </c>
      <c r="Z3702">
        <v>0</v>
      </c>
      <c r="AA3702" s="32">
        <v>1.873</v>
      </c>
      <c r="AB3702">
        <v>0</v>
      </c>
      <c r="AC3702" s="34">
        <v>0.24</v>
      </c>
      <c r="AD3702" s="32">
        <v>7.008</v>
      </c>
    </row>
    <row r="3703" spans="22:30">
      <c r="V3703">
        <v>3701</v>
      </c>
      <c r="W3703">
        <v>51</v>
      </c>
      <c r="X3703">
        <v>3.742</v>
      </c>
      <c r="Y3703" s="32">
        <v>7</v>
      </c>
      <c r="Z3703">
        <v>0</v>
      </c>
      <c r="AA3703" s="32">
        <v>1.873</v>
      </c>
      <c r="AB3703">
        <v>0</v>
      </c>
      <c r="AC3703" s="34">
        <v>0.24</v>
      </c>
      <c r="AD3703" s="32">
        <v>7.01</v>
      </c>
    </row>
    <row r="3704" spans="22:30">
      <c r="V3704">
        <v>3702</v>
      </c>
      <c r="W3704">
        <v>51</v>
      </c>
      <c r="X3704">
        <v>3.7429999999999999</v>
      </c>
      <c r="Y3704" s="32">
        <v>7</v>
      </c>
      <c r="Z3704">
        <v>0</v>
      </c>
      <c r="AA3704" s="32">
        <v>1.873</v>
      </c>
      <c r="AB3704">
        <v>0</v>
      </c>
      <c r="AC3704" s="34">
        <v>0.24</v>
      </c>
      <c r="AD3704" s="32">
        <v>7.0129999999999999</v>
      </c>
    </row>
    <row r="3705" spans="22:30">
      <c r="V3705">
        <v>3703</v>
      </c>
      <c r="W3705">
        <v>51</v>
      </c>
      <c r="X3705">
        <v>3.7440000000000002</v>
      </c>
      <c r="Y3705" s="32">
        <v>7</v>
      </c>
      <c r="Z3705">
        <v>0</v>
      </c>
      <c r="AA3705" s="32">
        <v>1.873</v>
      </c>
      <c r="AB3705">
        <v>0</v>
      </c>
      <c r="AC3705" s="34">
        <v>0.24</v>
      </c>
      <c r="AD3705" s="32">
        <v>7.016</v>
      </c>
    </row>
    <row r="3706" spans="22:30">
      <c r="V3706">
        <v>3704</v>
      </c>
      <c r="W3706">
        <v>51</v>
      </c>
      <c r="X3706">
        <v>3.7450000000000001</v>
      </c>
      <c r="Y3706" s="32">
        <v>7</v>
      </c>
      <c r="Z3706">
        <v>0</v>
      </c>
      <c r="AA3706" s="32">
        <v>1.8740000000000001</v>
      </c>
      <c r="AB3706">
        <v>0</v>
      </c>
      <c r="AC3706" s="34">
        <v>0.24</v>
      </c>
      <c r="AD3706" s="32">
        <v>7.0190000000000001</v>
      </c>
    </row>
    <row r="3707" spans="22:30">
      <c r="V3707">
        <v>3705</v>
      </c>
      <c r="W3707">
        <v>51</v>
      </c>
      <c r="X3707">
        <v>3.746</v>
      </c>
      <c r="Y3707" s="32">
        <v>7</v>
      </c>
      <c r="Z3707">
        <v>0</v>
      </c>
      <c r="AA3707" s="32">
        <v>1.8740000000000001</v>
      </c>
      <c r="AB3707">
        <v>0</v>
      </c>
      <c r="AC3707" s="34">
        <v>0.24</v>
      </c>
      <c r="AD3707" s="32">
        <v>7.0209999999999999</v>
      </c>
    </row>
    <row r="3708" spans="22:30">
      <c r="V3708">
        <v>3706</v>
      </c>
      <c r="W3708">
        <v>51</v>
      </c>
      <c r="X3708">
        <v>3.7469999999999999</v>
      </c>
      <c r="Y3708" s="32">
        <v>7</v>
      </c>
      <c r="Z3708">
        <v>0</v>
      </c>
      <c r="AA3708" s="32">
        <v>1.8740000000000001</v>
      </c>
      <c r="AB3708">
        <v>0</v>
      </c>
      <c r="AC3708" s="34">
        <v>0.24</v>
      </c>
      <c r="AD3708" s="32">
        <v>7.024</v>
      </c>
    </row>
    <row r="3709" spans="22:30">
      <c r="V3709">
        <v>3707</v>
      </c>
      <c r="W3709">
        <v>51</v>
      </c>
      <c r="X3709">
        <v>3.7480000000000002</v>
      </c>
      <c r="Y3709" s="32">
        <v>7</v>
      </c>
      <c r="Z3709">
        <v>0</v>
      </c>
      <c r="AA3709" s="32">
        <v>1.8740000000000001</v>
      </c>
      <c r="AB3709">
        <v>0</v>
      </c>
      <c r="AC3709" s="34">
        <v>0.24</v>
      </c>
      <c r="AD3709" s="32">
        <v>7.0270000000000001</v>
      </c>
    </row>
    <row r="3710" spans="22:30">
      <c r="V3710">
        <v>3708</v>
      </c>
      <c r="W3710">
        <v>51</v>
      </c>
      <c r="X3710">
        <v>3.7490000000000001</v>
      </c>
      <c r="Y3710" s="32">
        <v>7</v>
      </c>
      <c r="Z3710">
        <v>0</v>
      </c>
      <c r="AA3710" s="32">
        <v>1.875</v>
      </c>
      <c r="AB3710">
        <v>0</v>
      </c>
      <c r="AC3710" s="34">
        <v>0.24</v>
      </c>
      <c r="AD3710" s="32">
        <v>7.03</v>
      </c>
    </row>
    <row r="3711" spans="22:30">
      <c r="V3711">
        <v>3709</v>
      </c>
      <c r="W3711">
        <v>51</v>
      </c>
      <c r="X3711">
        <v>3.75</v>
      </c>
      <c r="Y3711" s="32">
        <v>7</v>
      </c>
      <c r="Z3711">
        <v>0</v>
      </c>
      <c r="AA3711" s="32">
        <v>1.875</v>
      </c>
      <c r="AB3711">
        <v>0</v>
      </c>
      <c r="AC3711" s="34">
        <v>0.24</v>
      </c>
      <c r="AD3711" s="32">
        <v>7.032</v>
      </c>
    </row>
    <row r="3712" spans="22:30">
      <c r="V3712">
        <v>3710</v>
      </c>
      <c r="W3712">
        <v>51</v>
      </c>
      <c r="X3712">
        <v>3.7509999999999999</v>
      </c>
      <c r="Y3712" s="32">
        <v>7</v>
      </c>
      <c r="Z3712">
        <v>0</v>
      </c>
      <c r="AA3712" s="32">
        <v>1.875</v>
      </c>
      <c r="AB3712">
        <v>0</v>
      </c>
      <c r="AC3712" s="34">
        <v>0.24</v>
      </c>
      <c r="AD3712" s="32">
        <v>7.0350000000000001</v>
      </c>
    </row>
    <row r="3713" spans="22:30">
      <c r="V3713">
        <v>3711</v>
      </c>
      <c r="W3713">
        <v>51</v>
      </c>
      <c r="X3713">
        <v>3.7519999999999998</v>
      </c>
      <c r="Y3713" s="32">
        <v>7</v>
      </c>
      <c r="Z3713">
        <v>0</v>
      </c>
      <c r="AA3713" s="32">
        <v>1.875</v>
      </c>
      <c r="AB3713">
        <v>0</v>
      </c>
      <c r="AC3713" s="34">
        <v>0.24</v>
      </c>
      <c r="AD3713" s="32">
        <v>7.0380000000000003</v>
      </c>
    </row>
    <row r="3714" spans="22:30">
      <c r="V3714">
        <v>3712</v>
      </c>
      <c r="W3714">
        <v>51</v>
      </c>
      <c r="X3714">
        <v>3.7530000000000001</v>
      </c>
      <c r="Y3714" s="32">
        <v>7</v>
      </c>
      <c r="Z3714">
        <v>0</v>
      </c>
      <c r="AA3714" s="32">
        <v>1.875</v>
      </c>
      <c r="AB3714">
        <v>0</v>
      </c>
      <c r="AC3714" s="34">
        <v>0.24</v>
      </c>
      <c r="AD3714" s="32">
        <v>7.04</v>
      </c>
    </row>
    <row r="3715" spans="22:30">
      <c r="V3715">
        <v>3713</v>
      </c>
      <c r="W3715">
        <v>51</v>
      </c>
      <c r="X3715">
        <v>3.754</v>
      </c>
      <c r="Y3715" s="32">
        <v>7</v>
      </c>
      <c r="Z3715">
        <v>0</v>
      </c>
      <c r="AA3715" s="32">
        <v>1.8759999999999999</v>
      </c>
      <c r="AB3715">
        <v>0</v>
      </c>
      <c r="AC3715" s="34">
        <v>0.24</v>
      </c>
      <c r="AD3715" s="32">
        <v>7.0430000000000001</v>
      </c>
    </row>
    <row r="3716" spans="22:30">
      <c r="V3716">
        <v>3714</v>
      </c>
      <c r="W3716">
        <v>51</v>
      </c>
      <c r="X3716">
        <v>3.7549999999999999</v>
      </c>
      <c r="Y3716" s="32">
        <v>7</v>
      </c>
      <c r="Z3716">
        <v>0</v>
      </c>
      <c r="AA3716" s="32">
        <v>1.8759999999999999</v>
      </c>
      <c r="AB3716">
        <v>0</v>
      </c>
      <c r="AC3716" s="34">
        <v>0.24</v>
      </c>
      <c r="AD3716" s="32">
        <v>7.0460000000000003</v>
      </c>
    </row>
    <row r="3717" spans="22:30">
      <c r="V3717">
        <v>3715</v>
      </c>
      <c r="W3717">
        <v>51</v>
      </c>
      <c r="X3717">
        <v>3.7559999999999998</v>
      </c>
      <c r="Y3717" s="32">
        <v>7</v>
      </c>
      <c r="Z3717">
        <v>0</v>
      </c>
      <c r="AA3717" s="32">
        <v>1.8759999999999999</v>
      </c>
      <c r="AB3717">
        <v>0</v>
      </c>
      <c r="AC3717" s="34">
        <v>0.24</v>
      </c>
      <c r="AD3717" s="32">
        <v>7.0490000000000004</v>
      </c>
    </row>
    <row r="3718" spans="22:30">
      <c r="V3718">
        <v>3716</v>
      </c>
      <c r="W3718">
        <v>51</v>
      </c>
      <c r="X3718">
        <v>3.7570000000000001</v>
      </c>
      <c r="Y3718" s="32">
        <v>7</v>
      </c>
      <c r="Z3718">
        <v>0</v>
      </c>
      <c r="AA3718" s="32">
        <v>1.8759999999999999</v>
      </c>
      <c r="AB3718">
        <v>0</v>
      </c>
      <c r="AC3718" s="34">
        <v>0.24</v>
      </c>
      <c r="AD3718" s="32">
        <v>7.0510000000000002</v>
      </c>
    </row>
    <row r="3719" spans="22:30">
      <c r="V3719">
        <v>3717</v>
      </c>
      <c r="W3719">
        <v>51</v>
      </c>
      <c r="X3719">
        <v>3.758</v>
      </c>
      <c r="Y3719" s="32">
        <v>7</v>
      </c>
      <c r="Z3719">
        <v>0</v>
      </c>
      <c r="AA3719" s="32">
        <v>1.877</v>
      </c>
      <c r="AB3719">
        <v>0</v>
      </c>
      <c r="AC3719" s="34">
        <v>0.24</v>
      </c>
      <c r="AD3719" s="32">
        <v>7.0540000000000003</v>
      </c>
    </row>
    <row r="3720" spans="22:30">
      <c r="V3720">
        <v>3718</v>
      </c>
      <c r="W3720">
        <v>51</v>
      </c>
      <c r="X3720">
        <v>3.7589999999999999</v>
      </c>
      <c r="Y3720" s="32">
        <v>7</v>
      </c>
      <c r="Z3720">
        <v>0</v>
      </c>
      <c r="AA3720" s="32">
        <v>1.877</v>
      </c>
      <c r="AB3720">
        <v>0</v>
      </c>
      <c r="AC3720" s="34">
        <v>0.24</v>
      </c>
      <c r="AD3720" s="32">
        <v>7.0570000000000004</v>
      </c>
    </row>
    <row r="3721" spans="22:30">
      <c r="V3721">
        <v>3719</v>
      </c>
      <c r="W3721">
        <v>51</v>
      </c>
      <c r="X3721">
        <v>3.76</v>
      </c>
      <c r="Y3721" s="32">
        <v>7</v>
      </c>
      <c r="Z3721">
        <v>0</v>
      </c>
      <c r="AA3721" s="32">
        <v>1.877</v>
      </c>
      <c r="AB3721">
        <v>0</v>
      </c>
      <c r="AC3721" s="34">
        <v>0.24</v>
      </c>
      <c r="AD3721" s="32">
        <v>7.06</v>
      </c>
    </row>
    <row r="3722" spans="22:30">
      <c r="V3722">
        <v>3720</v>
      </c>
      <c r="W3722">
        <v>51</v>
      </c>
      <c r="X3722">
        <v>3.7610000000000001</v>
      </c>
      <c r="Y3722" s="32">
        <v>7</v>
      </c>
      <c r="Z3722">
        <v>0</v>
      </c>
      <c r="AA3722" s="32">
        <v>1.877</v>
      </c>
      <c r="AB3722">
        <v>0</v>
      </c>
      <c r="AC3722" s="34">
        <v>0.24</v>
      </c>
      <c r="AD3722" s="32">
        <v>7.0620000000000003</v>
      </c>
    </row>
    <row r="3723" spans="22:30">
      <c r="V3723">
        <v>3721</v>
      </c>
      <c r="W3723">
        <v>51</v>
      </c>
      <c r="X3723">
        <v>3.762</v>
      </c>
      <c r="Y3723" s="32">
        <v>7</v>
      </c>
      <c r="Z3723">
        <v>0</v>
      </c>
      <c r="AA3723" s="32">
        <v>1.8779999999999999</v>
      </c>
      <c r="AB3723">
        <v>0</v>
      </c>
      <c r="AC3723" s="34">
        <v>0.24</v>
      </c>
      <c r="AD3723" s="32">
        <v>7.0650000000000004</v>
      </c>
    </row>
    <row r="3724" spans="22:30">
      <c r="V3724">
        <v>3722</v>
      </c>
      <c r="W3724">
        <v>51</v>
      </c>
      <c r="X3724">
        <v>3.7629999999999999</v>
      </c>
      <c r="Y3724" s="32">
        <v>7</v>
      </c>
      <c r="Z3724">
        <v>0</v>
      </c>
      <c r="AA3724" s="32">
        <v>1.8779999999999999</v>
      </c>
      <c r="AB3724">
        <v>0</v>
      </c>
      <c r="AC3724" s="34">
        <v>0.24</v>
      </c>
      <c r="AD3724" s="32">
        <v>7.0679999999999996</v>
      </c>
    </row>
    <row r="3725" spans="22:30">
      <c r="V3725">
        <v>3723</v>
      </c>
      <c r="W3725">
        <v>51</v>
      </c>
      <c r="X3725">
        <v>3.7639999999999998</v>
      </c>
      <c r="Y3725" s="32">
        <v>7</v>
      </c>
      <c r="Z3725">
        <v>0</v>
      </c>
      <c r="AA3725" s="32">
        <v>1.8779999999999999</v>
      </c>
      <c r="AB3725">
        <v>0</v>
      </c>
      <c r="AC3725" s="34">
        <v>0.24</v>
      </c>
      <c r="AD3725" s="32">
        <v>7.07</v>
      </c>
    </row>
    <row r="3726" spans="22:30">
      <c r="V3726">
        <v>3724</v>
      </c>
      <c r="W3726">
        <v>51</v>
      </c>
      <c r="X3726">
        <v>3.7650000000000001</v>
      </c>
      <c r="Y3726" s="32">
        <v>7</v>
      </c>
      <c r="Z3726">
        <v>0</v>
      </c>
      <c r="AA3726" s="32">
        <v>1.8779999999999999</v>
      </c>
      <c r="AB3726">
        <v>0</v>
      </c>
      <c r="AC3726" s="34">
        <v>0.24</v>
      </c>
      <c r="AD3726" s="32">
        <v>7.0730000000000004</v>
      </c>
    </row>
    <row r="3727" spans="22:30">
      <c r="V3727">
        <v>3725</v>
      </c>
      <c r="W3727">
        <v>51</v>
      </c>
      <c r="X3727">
        <v>3.766</v>
      </c>
      <c r="Y3727" s="32">
        <v>7</v>
      </c>
      <c r="Z3727">
        <v>0</v>
      </c>
      <c r="AA3727" s="32">
        <v>1.8779999999999999</v>
      </c>
      <c r="AB3727">
        <v>0</v>
      </c>
      <c r="AC3727" s="34">
        <v>0.24</v>
      </c>
      <c r="AD3727" s="32">
        <v>7.0759999999999996</v>
      </c>
    </row>
    <row r="3728" spans="22:30">
      <c r="V3728">
        <v>3726</v>
      </c>
      <c r="W3728">
        <v>51</v>
      </c>
      <c r="X3728">
        <v>3.7669999999999999</v>
      </c>
      <c r="Y3728" s="32">
        <v>7</v>
      </c>
      <c r="Z3728">
        <v>0</v>
      </c>
      <c r="AA3728" s="32">
        <v>1.879</v>
      </c>
      <c r="AB3728">
        <v>0</v>
      </c>
      <c r="AC3728" s="34">
        <v>0.24</v>
      </c>
      <c r="AD3728" s="32">
        <v>7.0789999999999997</v>
      </c>
    </row>
    <row r="3729" spans="22:30">
      <c r="V3729">
        <v>3727</v>
      </c>
      <c r="W3729">
        <v>51</v>
      </c>
      <c r="X3729">
        <v>3.7679999999999998</v>
      </c>
      <c r="Y3729" s="32">
        <v>7</v>
      </c>
      <c r="Z3729">
        <v>0</v>
      </c>
      <c r="AA3729" s="32">
        <v>1.879</v>
      </c>
      <c r="AB3729">
        <v>0</v>
      </c>
      <c r="AC3729" s="34">
        <v>0.24</v>
      </c>
      <c r="AD3729" s="32">
        <v>7.0810000000000004</v>
      </c>
    </row>
    <row r="3730" spans="22:30">
      <c r="V3730">
        <v>3728</v>
      </c>
      <c r="W3730">
        <v>51</v>
      </c>
      <c r="X3730">
        <v>3.7690000000000001</v>
      </c>
      <c r="Y3730" s="32">
        <v>7</v>
      </c>
      <c r="Z3730">
        <v>0</v>
      </c>
      <c r="AA3730" s="32">
        <v>1.879</v>
      </c>
      <c r="AB3730">
        <v>0</v>
      </c>
      <c r="AC3730" s="34">
        <v>0.24</v>
      </c>
      <c r="AD3730" s="32">
        <v>7.0839999999999996</v>
      </c>
    </row>
    <row r="3731" spans="22:30">
      <c r="V3731">
        <v>3729</v>
      </c>
      <c r="W3731">
        <v>51</v>
      </c>
      <c r="X3731">
        <v>3.77</v>
      </c>
      <c r="Y3731" s="32">
        <v>7</v>
      </c>
      <c r="Z3731">
        <v>0</v>
      </c>
      <c r="AA3731" s="32">
        <v>1.879</v>
      </c>
      <c r="AB3731">
        <v>0</v>
      </c>
      <c r="AC3731" s="34">
        <v>0.24</v>
      </c>
      <c r="AD3731" s="32">
        <v>7.0869999999999997</v>
      </c>
    </row>
    <row r="3732" spans="22:30">
      <c r="V3732">
        <v>3730</v>
      </c>
      <c r="W3732">
        <v>51</v>
      </c>
      <c r="X3732">
        <v>3.7709999999999999</v>
      </c>
      <c r="Y3732" s="32">
        <v>7</v>
      </c>
      <c r="Z3732">
        <v>0</v>
      </c>
      <c r="AA3732" s="32">
        <v>1.88</v>
      </c>
      <c r="AB3732">
        <v>0</v>
      </c>
      <c r="AC3732" s="34">
        <v>0.24</v>
      </c>
      <c r="AD3732" s="32">
        <v>7.09</v>
      </c>
    </row>
    <row r="3733" spans="22:30">
      <c r="V3733">
        <v>3731</v>
      </c>
      <c r="W3733">
        <v>51</v>
      </c>
      <c r="X3733">
        <v>3.7719999999999998</v>
      </c>
      <c r="Y3733" s="32">
        <v>7</v>
      </c>
      <c r="Z3733">
        <v>0</v>
      </c>
      <c r="AA3733" s="32">
        <v>1.88</v>
      </c>
      <c r="AB3733">
        <v>0</v>
      </c>
      <c r="AC3733" s="34">
        <v>0.24</v>
      </c>
      <c r="AD3733" s="32">
        <v>7.0919999999999996</v>
      </c>
    </row>
  </sheetData>
  <autoFilter ref="K2:T3282" xr:uid="{88776517-6D3B-43FA-B14B-22BEE1DAC7CF}"/>
  <mergeCells count="2">
    <mergeCell ref="A1:I1"/>
    <mergeCell ref="K1:S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71B06-2999-4486-AC5D-85D2BF5C8AC9}">
  <sheetPr codeName="Sheet2"/>
  <dimension ref="A1:AQ3735"/>
  <sheetViews>
    <sheetView topLeftCell="X1" workbookViewId="0">
      <selection activeCell="AO27" sqref="AO27"/>
    </sheetView>
  </sheetViews>
  <sheetFormatPr defaultColWidth="8.81640625" defaultRowHeight="14.25"/>
  <cols>
    <col min="1" max="1" width="3.453125" style="3" bestFit="1" customWidth="1"/>
    <col min="2" max="2" width="7.1796875" style="3" bestFit="1" customWidth="1"/>
    <col min="3" max="3" width="5.453125" style="3" bestFit="1" customWidth="1"/>
    <col min="4" max="4" width="8.90625" style="3" bestFit="1" customWidth="1"/>
    <col min="5" max="5" width="11.26953125" style="3" bestFit="1" customWidth="1"/>
    <col min="6" max="6" width="11.08984375" style="3" bestFit="1" customWidth="1"/>
    <col min="7" max="7" width="11.26953125" style="3" bestFit="1" customWidth="1"/>
    <col min="8" max="8" width="6.1796875" style="3" bestFit="1" customWidth="1"/>
    <col min="9" max="10" width="8.81640625" style="3"/>
    <col min="11" max="11" width="3.453125" style="3" bestFit="1" customWidth="1"/>
    <col min="12" max="12" width="7.1796875" style="3" bestFit="1" customWidth="1"/>
    <col min="13" max="13" width="5.453125" style="3" customWidth="1"/>
    <col min="14" max="14" width="8.90625" style="3" customWidth="1"/>
    <col min="15" max="15" width="11.26953125" style="3" bestFit="1" customWidth="1"/>
    <col min="16" max="16" width="11.08984375" style="3" bestFit="1" customWidth="1"/>
    <col min="17" max="17" width="11.26953125" style="3" bestFit="1" customWidth="1"/>
    <col min="18" max="18" width="6.1796875" style="3" bestFit="1" customWidth="1"/>
    <col min="19" max="19" width="8.81640625" style="8"/>
    <col min="20" max="20" width="13.08984375" style="3" bestFit="1" customWidth="1"/>
    <col min="21" max="21" width="3.6328125" style="7" bestFit="1" customWidth="1"/>
    <col min="22" max="23" width="8.81640625" style="3"/>
    <col min="24" max="24" width="8.81640625" style="30"/>
    <col min="25" max="25" width="4.453125" style="9" bestFit="1" customWidth="1"/>
    <col min="26" max="16384" width="8.81640625" style="3"/>
  </cols>
  <sheetData>
    <row r="1" spans="1:43" ht="15" thickBot="1">
      <c r="A1" s="101">
        <v>2018</v>
      </c>
      <c r="B1" s="101"/>
      <c r="C1" s="101"/>
      <c r="D1" s="101"/>
      <c r="E1" s="101"/>
      <c r="F1" s="101"/>
      <c r="G1" s="101"/>
      <c r="H1" s="101"/>
      <c r="K1" s="101">
        <v>2015</v>
      </c>
      <c r="L1" s="101"/>
      <c r="M1" s="101"/>
      <c r="N1" s="101"/>
      <c r="O1" s="101"/>
      <c r="P1" s="101"/>
      <c r="Q1" s="101"/>
      <c r="R1" s="101"/>
      <c r="AA1" s="3">
        <v>2012</v>
      </c>
      <c r="AL1" s="3" cm="1">
        <f t="array" ref="AL1:AL61">_xlfn.UNIQUE(AA:AA)</f>
        <v>2012</v>
      </c>
    </row>
    <row r="2" spans="1:43" ht="18.75" thickBot="1">
      <c r="A2" s="1" t="s">
        <v>1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12</v>
      </c>
      <c r="H2" s="2" t="s">
        <v>73</v>
      </c>
      <c r="K2" s="1" t="s">
        <v>1</v>
      </c>
      <c r="L2" s="1" t="s">
        <v>9</v>
      </c>
      <c r="M2" s="1" t="s">
        <v>10</v>
      </c>
      <c r="N2" s="1" t="s">
        <v>11</v>
      </c>
      <c r="O2" s="1" t="s">
        <v>12</v>
      </c>
      <c r="P2" s="1" t="s">
        <v>13</v>
      </c>
      <c r="Q2" s="1" t="s">
        <v>12</v>
      </c>
      <c r="R2" s="2" t="s">
        <v>73</v>
      </c>
      <c r="S2" s="8" t="s">
        <v>140</v>
      </c>
      <c r="T2" s="3" cm="1">
        <f t="array" ref="T2:T55">_xlfn.UNIQUE('STD SAP'!W:W)</f>
        <v>0</v>
      </c>
      <c r="AA2" s="35" t="s">
        <v>81</v>
      </c>
      <c r="AB2" s="36"/>
      <c r="AC2" s="36"/>
      <c r="AD2" s="36"/>
      <c r="AE2" s="36"/>
      <c r="AF2" s="36"/>
      <c r="AG2" s="36"/>
      <c r="AH2" s="36"/>
      <c r="AL2" s="3" t="str">
        <v>STANDARD FCR  EEF &amp; COST OF BROILER</v>
      </c>
    </row>
    <row r="3" spans="1:43" ht="15" thickBot="1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19</v>
      </c>
      <c r="H3" s="3">
        <f>'Simulasi IBOCS'!C4</f>
        <v>17372</v>
      </c>
      <c r="K3" s="1" t="s">
        <v>14</v>
      </c>
      <c r="L3" s="1" t="s">
        <v>15</v>
      </c>
      <c r="M3" s="1" t="s">
        <v>16</v>
      </c>
      <c r="N3" s="1" t="s">
        <v>17</v>
      </c>
      <c r="O3" s="1" t="s">
        <v>18</v>
      </c>
      <c r="P3" s="1" t="s">
        <v>19</v>
      </c>
      <c r="Q3" s="1" t="s">
        <v>19</v>
      </c>
      <c r="R3" s="3">
        <v>16656</v>
      </c>
      <c r="T3" s="3" t="str">
        <v>Age</v>
      </c>
      <c r="AA3" s="37" t="s">
        <v>82</v>
      </c>
      <c r="AB3" s="37" t="s">
        <v>83</v>
      </c>
      <c r="AC3" s="37" t="s">
        <v>84</v>
      </c>
      <c r="AD3" s="37" t="s">
        <v>85</v>
      </c>
      <c r="AE3" s="37" t="s">
        <v>86</v>
      </c>
      <c r="AF3" s="37" t="s">
        <v>87</v>
      </c>
      <c r="AG3" s="37" t="s">
        <v>88</v>
      </c>
      <c r="AH3" s="37" t="s">
        <v>92</v>
      </c>
      <c r="AL3" s="3" t="str">
        <v>AGE (Days)</v>
      </c>
      <c r="AM3" s="3" t="s">
        <v>23</v>
      </c>
      <c r="AN3" s="3" t="s">
        <v>91</v>
      </c>
      <c r="AO3" s="3" t="s">
        <v>92</v>
      </c>
    </row>
    <row r="4" spans="1:43" ht="15" thickBot="1">
      <c r="A4" s="1"/>
      <c r="B4" s="1">
        <v>2</v>
      </c>
      <c r="C4" s="1">
        <v>3</v>
      </c>
      <c r="D4" s="1">
        <v>4</v>
      </c>
      <c r="E4" s="1">
        <v>5</v>
      </c>
      <c r="F4" s="1">
        <v>6</v>
      </c>
      <c r="G4" s="1">
        <v>7</v>
      </c>
      <c r="K4" s="3">
        <v>0</v>
      </c>
      <c r="L4" s="3">
        <v>42</v>
      </c>
      <c r="M4" s="3">
        <v>0</v>
      </c>
      <c r="T4" s="3">
        <v>0</v>
      </c>
      <c r="U4" s="29">
        <f>_xlfn.XLOOKUP($T4,'STD SAP'!$W:$W,'STD SAP'!X:X)*1000-L4</f>
        <v>0</v>
      </c>
      <c r="V4" s="30">
        <f>_xlfn.XLOOKUP($T4,'STD SAP'!$W:$W,'STD SAP'!AA:AA)-O4</f>
        <v>0</v>
      </c>
      <c r="W4" s="3" cm="1">
        <f t="array" ref="W4:X3284">_xlfn.LET(
_xlpm.bw,AM4:AM55,
_xlpm.fcr,AO4:AO55,
_xlpm.minBW,MIN(_xlpm.bw),
_xlpm.maxBW,MAX(_xlpm.bw),
_xlpm.x,_xlfn.SEQUENCE(_xlpm.maxBW-_xlpm.minBW+1,1,_xlpm.minBW,1),
_xlpm.bw_bawah,_xlfn.XLOOKUP(_xlpm.x,_xlpm.bw,_xlpm.bw,"",-1),
_xlpm.bw_atas,_xlfn.XLOOKUP(_xlpm.x,_xlpm.bw,_xlpm.bw,"",1),
_xlpm.fcr_bawah,_xlfn.XLOOKUP(_xlpm.x,_xlpm.bw,_xlpm.fcr,"",-1),
_xlpm.fcr_atas,_xlfn.XLOOKUP(_xlpm.x,_xlpm.bw,_xlpm.fcr,"",1),
_xlpm.hasil,
IF(
    _xlpm.bw_bawah=_xlpm.bw_atas,
    _xlpm.fcr_bawah,
    _xlpm.fcr_bawah + (_xlpm.x-_xlpm.bw_bawah)*(_xlpm.fcr_atas-_xlpm.fcr_bawah)/(_xlpm.bw_atas-_xlpm.bw_bawah)
),
_xlfn.HSTACK(_xlpm.x,ROUND(_xlpm.hasil,3))
)</f>
        <v>30</v>
      </c>
      <c r="X4" s="30">
        <v>0</v>
      </c>
      <c r="Y4" s="33">
        <f>ROUND(X4/1000,3)</f>
        <v>0</v>
      </c>
      <c r="AA4" s="37">
        <v>0</v>
      </c>
      <c r="AB4" s="37">
        <v>0.03</v>
      </c>
      <c r="AC4" s="37">
        <v>0</v>
      </c>
      <c r="AD4" s="37">
        <v>0</v>
      </c>
      <c r="AE4" s="37">
        <v>0</v>
      </c>
      <c r="AF4" s="37">
        <v>0</v>
      </c>
      <c r="AG4" s="37">
        <v>0</v>
      </c>
      <c r="AH4" s="37">
        <v>0</v>
      </c>
      <c r="AI4" s="3">
        <f>AB4*1000</f>
        <v>30</v>
      </c>
      <c r="AJ4" s="44">
        <f>ROUND(W4/1000,3)</f>
        <v>0.03</v>
      </c>
      <c r="AL4" s="3">
        <v>0</v>
      </c>
      <c r="AM4" s="3">
        <f>_xlfn.XLOOKUP(AL4,AA:AA,AB:AB)*1000</f>
        <v>30</v>
      </c>
      <c r="AN4" s="3">
        <f t="shared" ref="AN4:AN35" si="0">_xlfn.SINGLE(_xlfn.XLOOKUP(AL4,AA:AA,AE:AE))*1000</f>
        <v>0</v>
      </c>
      <c r="AP4" s="46">
        <f>ROUND(X4/1000,3)</f>
        <v>0</v>
      </c>
      <c r="AQ4" s="46">
        <f>Y4</f>
        <v>0</v>
      </c>
    </row>
    <row r="5" spans="1:43" ht="18.75" thickBot="1">
      <c r="A5" s="4">
        <v>0</v>
      </c>
      <c r="B5" s="4">
        <v>42</v>
      </c>
      <c r="C5" s="4">
        <v>0</v>
      </c>
      <c r="D5" s="5"/>
      <c r="E5" s="4"/>
      <c r="F5" s="6"/>
      <c r="G5" s="4"/>
      <c r="H5" s="3">
        <f>$H$3*F5/1000</f>
        <v>0</v>
      </c>
      <c r="K5" s="3">
        <v>1</v>
      </c>
      <c r="L5" s="3">
        <v>56</v>
      </c>
      <c r="M5" s="3">
        <v>14</v>
      </c>
      <c r="O5" s="3">
        <v>0.23200000000000001</v>
      </c>
      <c r="P5" s="3">
        <v>13</v>
      </c>
      <c r="Q5" s="3">
        <v>13</v>
      </c>
      <c r="R5" s="3">
        <f>$R$3*P5/1000</f>
        <v>216.52799999999999</v>
      </c>
      <c r="S5" s="8">
        <f>CEILING(R5/50,0.5)</f>
        <v>4.5</v>
      </c>
      <c r="T5" s="3">
        <v>1</v>
      </c>
      <c r="U5" s="29">
        <f>_xlfn.XLOOKUP($T5,'STD SAP'!$W:$W,'STD SAP'!X:X)*1000-L5</f>
        <v>0</v>
      </c>
      <c r="V5" s="30">
        <f>_xlfn.XLOOKUP($T5,'STD SAP'!$W:$W,'STD SAP'!AA:AA)-O5</f>
        <v>0</v>
      </c>
      <c r="W5" s="3">
        <v>31</v>
      </c>
      <c r="X5" s="30">
        <v>0.60599999999999998</v>
      </c>
      <c r="Y5" s="33">
        <f t="shared" ref="Y5:Y68" si="1">ROUND(X5/1000,3)</f>
        <v>1E-3</v>
      </c>
      <c r="AA5" s="36">
        <v>1</v>
      </c>
      <c r="AB5" s="36">
        <v>4.8000000000000001E-2</v>
      </c>
      <c r="AC5" s="38">
        <v>0.14000000000000001</v>
      </c>
      <c r="AD5" s="39">
        <v>0.22</v>
      </c>
      <c r="AE5" s="39">
        <v>1.09E-2</v>
      </c>
      <c r="AF5" s="36"/>
      <c r="AG5" s="36"/>
      <c r="AH5" s="45">
        <f>AE5-AE4</f>
        <v>1.09E-2</v>
      </c>
      <c r="AI5" s="3">
        <f t="shared" ref="AI5:AI68" si="2">AB5*1000</f>
        <v>48</v>
      </c>
      <c r="AJ5" s="44">
        <f t="shared" ref="AJ5:AJ68" si="3">ROUND(W5/1000,3)</f>
        <v>3.1E-2</v>
      </c>
      <c r="AL5" s="3">
        <v>1</v>
      </c>
      <c r="AM5" s="3">
        <f t="shared" ref="AM5:AM60" si="4">_xlfn.SINGLE(_xlfn.XLOOKUP(AL5,AA:AA,AB:AB))*1000</f>
        <v>48</v>
      </c>
      <c r="AN5" s="3">
        <f t="shared" si="0"/>
        <v>10.9</v>
      </c>
      <c r="AO5" s="3">
        <f>+AN5-AN4</f>
        <v>10.9</v>
      </c>
      <c r="AP5" s="46">
        <f t="shared" ref="AP5:AP68" si="5">ROUND(X5/1000,3)</f>
        <v>1E-3</v>
      </c>
    </row>
    <row r="6" spans="1:43" ht="18.75" thickBot="1">
      <c r="A6" s="4">
        <v>1</v>
      </c>
      <c r="B6" s="4">
        <v>63</v>
      </c>
      <c r="C6" s="4">
        <v>14</v>
      </c>
      <c r="D6" s="5"/>
      <c r="E6" s="4"/>
      <c r="F6" s="6">
        <v>12</v>
      </c>
      <c r="G6" s="4"/>
      <c r="H6" s="3">
        <f t="shared" ref="H6:H68" si="6">$H$3*F6/1000</f>
        <v>208.464</v>
      </c>
      <c r="K6" s="3">
        <v>2</v>
      </c>
      <c r="L6" s="3">
        <v>72</v>
      </c>
      <c r="M6" s="3">
        <v>16</v>
      </c>
      <c r="O6" s="3">
        <v>0.41699999999999998</v>
      </c>
      <c r="P6" s="3">
        <v>17</v>
      </c>
      <c r="Q6" s="3">
        <v>30</v>
      </c>
      <c r="R6" s="3">
        <f t="shared" ref="R6:R67" si="7">$R$3*P6/1000</f>
        <v>283.15199999999999</v>
      </c>
      <c r="S6" s="8">
        <f t="shared" ref="S6:S69" si="8">CEILING(R6/50,0.5)</f>
        <v>6</v>
      </c>
      <c r="T6" s="3">
        <v>2</v>
      </c>
      <c r="U6" s="29">
        <f>_xlfn.XLOOKUP($T6,'STD SAP'!$W:$W,'STD SAP'!X:X)*1000-L6</f>
        <v>0</v>
      </c>
      <c r="V6" s="30">
        <f>_xlfn.XLOOKUP($T6,'STD SAP'!$W:$W,'STD SAP'!AA:AA)-O6</f>
        <v>0</v>
      </c>
      <c r="W6" s="3">
        <v>32</v>
      </c>
      <c r="X6" s="30">
        <v>1.2110000000000001</v>
      </c>
      <c r="Y6" s="33">
        <f t="shared" si="1"/>
        <v>1E-3</v>
      </c>
      <c r="AA6" s="36">
        <v>2</v>
      </c>
      <c r="AB6" s="36">
        <v>6.2E-2</v>
      </c>
      <c r="AC6" s="38">
        <v>0.28000000000000003</v>
      </c>
      <c r="AD6" s="39">
        <v>0.4</v>
      </c>
      <c r="AE6" s="39">
        <v>2.5149999999999999E-2</v>
      </c>
      <c r="AF6" s="36"/>
      <c r="AG6" s="36"/>
      <c r="AH6" s="45">
        <f>AE6-AE5</f>
        <v>1.4249999999999999E-2</v>
      </c>
      <c r="AI6" s="3">
        <f t="shared" si="2"/>
        <v>62</v>
      </c>
      <c r="AJ6" s="44">
        <f t="shared" si="3"/>
        <v>3.2000000000000001E-2</v>
      </c>
      <c r="AL6" s="3">
        <v>2</v>
      </c>
      <c r="AM6" s="3">
        <f t="shared" si="4"/>
        <v>62</v>
      </c>
      <c r="AN6" s="3">
        <f t="shared" si="0"/>
        <v>25.15</v>
      </c>
      <c r="AO6" s="3">
        <f t="shared" ref="AO6:AO60" si="9">+AN6-AN5</f>
        <v>14.249999999999998</v>
      </c>
      <c r="AP6" s="46">
        <f t="shared" si="5"/>
        <v>1E-3</v>
      </c>
    </row>
    <row r="7" spans="1:43" ht="18.75" thickBot="1">
      <c r="A7" s="4">
        <v>2</v>
      </c>
      <c r="B7" s="4">
        <v>74</v>
      </c>
      <c r="C7" s="4">
        <v>16</v>
      </c>
      <c r="D7" s="5"/>
      <c r="E7" s="4"/>
      <c r="F7" s="6">
        <v>15</v>
      </c>
      <c r="G7" s="4"/>
      <c r="H7" s="3">
        <f t="shared" si="6"/>
        <v>260.58</v>
      </c>
      <c r="K7" s="3">
        <v>3</v>
      </c>
      <c r="L7" s="3">
        <v>89</v>
      </c>
      <c r="M7" s="3">
        <v>17</v>
      </c>
      <c r="O7" s="3">
        <v>0.57299999999999995</v>
      </c>
      <c r="P7" s="3">
        <v>21</v>
      </c>
      <c r="Q7" s="3">
        <v>51</v>
      </c>
      <c r="R7" s="3">
        <f t="shared" si="7"/>
        <v>349.77600000000001</v>
      </c>
      <c r="S7" s="8">
        <f t="shared" si="8"/>
        <v>7</v>
      </c>
      <c r="T7" s="3">
        <v>3</v>
      </c>
      <c r="U7" s="29">
        <f>_xlfn.XLOOKUP($T7,'STD SAP'!$W:$W,'STD SAP'!X:X)*1000-L7</f>
        <v>0</v>
      </c>
      <c r="V7" s="30">
        <f>_xlfn.XLOOKUP($T7,'STD SAP'!$W:$W,'STD SAP'!AA:AA)-O7</f>
        <v>0</v>
      </c>
      <c r="W7" s="3">
        <v>33</v>
      </c>
      <c r="X7" s="30">
        <v>1.8169999999999999</v>
      </c>
      <c r="Y7" s="33">
        <f t="shared" si="1"/>
        <v>2E-3</v>
      </c>
      <c r="AA7" s="36">
        <v>3</v>
      </c>
      <c r="AB7" s="36">
        <v>7.6999999999999999E-2</v>
      </c>
      <c r="AC7" s="38">
        <v>0.42</v>
      </c>
      <c r="AD7" s="39">
        <v>0.54</v>
      </c>
      <c r="AE7" s="39">
        <v>4.2750000000000003E-2</v>
      </c>
      <c r="AF7" s="36"/>
      <c r="AG7" s="36"/>
      <c r="AH7" s="45">
        <f t="shared" ref="AH7:AH69" si="10">AE7-AE6</f>
        <v>1.7600000000000005E-2</v>
      </c>
      <c r="AI7" s="3">
        <f t="shared" si="2"/>
        <v>77</v>
      </c>
      <c r="AJ7" s="44">
        <f t="shared" si="3"/>
        <v>3.3000000000000002E-2</v>
      </c>
      <c r="AL7" s="3">
        <v>3</v>
      </c>
      <c r="AM7" s="3">
        <f t="shared" si="4"/>
        <v>77</v>
      </c>
      <c r="AN7" s="3">
        <f t="shared" si="0"/>
        <v>42.75</v>
      </c>
      <c r="AO7" s="3">
        <f t="shared" si="9"/>
        <v>17.600000000000001</v>
      </c>
      <c r="AP7" s="46">
        <f t="shared" si="5"/>
        <v>2E-3</v>
      </c>
    </row>
    <row r="8" spans="1:43" ht="18.75" thickBot="1">
      <c r="A8" s="4">
        <v>3</v>
      </c>
      <c r="B8" s="4">
        <v>90</v>
      </c>
      <c r="C8" s="4">
        <v>17</v>
      </c>
      <c r="D8" s="5"/>
      <c r="E8" s="4"/>
      <c r="F8" s="6">
        <v>19</v>
      </c>
      <c r="G8" s="4"/>
      <c r="H8" s="3">
        <f t="shared" si="6"/>
        <v>330.06799999999998</v>
      </c>
      <c r="K8" s="3">
        <v>4</v>
      </c>
      <c r="L8" s="3">
        <v>109</v>
      </c>
      <c r="M8" s="3">
        <v>20</v>
      </c>
      <c r="O8" s="3">
        <v>0.67900000000000005</v>
      </c>
      <c r="P8" s="3">
        <v>23</v>
      </c>
      <c r="Q8" s="3">
        <v>74</v>
      </c>
      <c r="R8" s="3">
        <f t="shared" si="7"/>
        <v>383.08800000000002</v>
      </c>
      <c r="S8" s="8">
        <f t="shared" si="8"/>
        <v>8</v>
      </c>
      <c r="T8" s="3">
        <v>4</v>
      </c>
      <c r="U8" s="29">
        <f>_xlfn.XLOOKUP($T8,'STD SAP'!$W:$W,'STD SAP'!X:X)*1000-L8</f>
        <v>0</v>
      </c>
      <c r="V8" s="30">
        <f>_xlfn.XLOOKUP($T8,'STD SAP'!$W:$W,'STD SAP'!AA:AA)-O8</f>
        <v>0</v>
      </c>
      <c r="W8" s="3">
        <v>34</v>
      </c>
      <c r="X8" s="30">
        <v>2.4220000000000002</v>
      </c>
      <c r="Y8" s="33">
        <f t="shared" si="1"/>
        <v>2E-3</v>
      </c>
      <c r="AA8" s="36">
        <v>4</v>
      </c>
      <c r="AB8" s="36">
        <v>9.4E-2</v>
      </c>
      <c r="AC8" s="38">
        <v>0.56000000000000005</v>
      </c>
      <c r="AD8" s="39">
        <v>0.64</v>
      </c>
      <c r="AE8" s="39">
        <v>6.2039999999999998E-2</v>
      </c>
      <c r="AF8" s="36"/>
      <c r="AG8" s="36"/>
      <c r="AH8" s="45">
        <f t="shared" si="10"/>
        <v>1.9289999999999995E-2</v>
      </c>
      <c r="AI8" s="3">
        <f t="shared" si="2"/>
        <v>94</v>
      </c>
      <c r="AJ8" s="44">
        <f t="shared" si="3"/>
        <v>3.4000000000000002E-2</v>
      </c>
      <c r="AL8" s="3">
        <v>4</v>
      </c>
      <c r="AM8" s="3">
        <f t="shared" si="4"/>
        <v>94</v>
      </c>
      <c r="AN8" s="3">
        <f t="shared" si="0"/>
        <v>62.04</v>
      </c>
      <c r="AO8" s="3">
        <f t="shared" si="9"/>
        <v>19.29</v>
      </c>
      <c r="AP8" s="46">
        <f t="shared" si="5"/>
        <v>2E-3</v>
      </c>
    </row>
    <row r="9" spans="1:43" ht="18.75" thickBot="1">
      <c r="A9" s="4">
        <v>4</v>
      </c>
      <c r="B9" s="4">
        <v>109</v>
      </c>
      <c r="C9" s="4">
        <v>20</v>
      </c>
      <c r="D9" s="5"/>
      <c r="E9" s="4"/>
      <c r="F9" s="6">
        <v>22</v>
      </c>
      <c r="G9" s="4"/>
      <c r="H9" s="3">
        <f t="shared" si="6"/>
        <v>382.18400000000003</v>
      </c>
      <c r="K9" s="3">
        <v>5</v>
      </c>
      <c r="L9" s="3">
        <v>131</v>
      </c>
      <c r="M9" s="3">
        <v>22</v>
      </c>
      <c r="O9" s="3">
        <v>0.77300000000000002</v>
      </c>
      <c r="P9" s="3">
        <v>27</v>
      </c>
      <c r="Q9" s="3">
        <v>101</v>
      </c>
      <c r="R9" s="3">
        <f t="shared" si="7"/>
        <v>449.71199999999999</v>
      </c>
      <c r="S9" s="8">
        <f t="shared" si="8"/>
        <v>9</v>
      </c>
      <c r="T9" s="3">
        <v>5</v>
      </c>
      <c r="U9" s="29">
        <f>_xlfn.XLOOKUP($T9,'STD SAP'!$W:$W,'STD SAP'!X:X)*1000-L9</f>
        <v>0</v>
      </c>
      <c r="V9" s="30">
        <f>_xlfn.XLOOKUP($T9,'STD SAP'!$W:$W,'STD SAP'!AA:AA)-O9</f>
        <v>0</v>
      </c>
      <c r="W9" s="3">
        <v>35</v>
      </c>
      <c r="X9" s="30">
        <v>3.028</v>
      </c>
      <c r="Y9" s="33">
        <f t="shared" si="1"/>
        <v>3.0000000000000001E-3</v>
      </c>
      <c r="AA9" s="36">
        <v>5</v>
      </c>
      <c r="AB9" s="36">
        <v>0.113</v>
      </c>
      <c r="AC9" s="38">
        <v>0.7</v>
      </c>
      <c r="AD9" s="39">
        <v>0.73</v>
      </c>
      <c r="AE9" s="39">
        <v>8.4669999999999995E-2</v>
      </c>
      <c r="AF9" s="36"/>
      <c r="AG9" s="36"/>
      <c r="AH9" s="45">
        <f t="shared" si="10"/>
        <v>2.2629999999999997E-2</v>
      </c>
      <c r="AI9" s="3">
        <f t="shared" si="2"/>
        <v>113</v>
      </c>
      <c r="AJ9" s="44">
        <f t="shared" si="3"/>
        <v>3.5000000000000003E-2</v>
      </c>
      <c r="AL9" s="3">
        <v>5</v>
      </c>
      <c r="AM9" s="3">
        <f t="shared" si="4"/>
        <v>113</v>
      </c>
      <c r="AN9" s="3">
        <f t="shared" si="0"/>
        <v>84.67</v>
      </c>
      <c r="AO9" s="3">
        <f t="shared" si="9"/>
        <v>22.630000000000003</v>
      </c>
      <c r="AP9" s="46">
        <f t="shared" si="5"/>
        <v>3.0000000000000001E-3</v>
      </c>
    </row>
    <row r="10" spans="1:43" ht="18.75" thickBot="1">
      <c r="A10" s="4">
        <v>5</v>
      </c>
      <c r="B10" s="4">
        <v>134</v>
      </c>
      <c r="C10" s="4">
        <v>22</v>
      </c>
      <c r="D10" s="5"/>
      <c r="E10" s="4"/>
      <c r="F10" s="6">
        <v>25</v>
      </c>
      <c r="G10" s="4"/>
      <c r="H10" s="3">
        <f t="shared" si="6"/>
        <v>434.3</v>
      </c>
      <c r="K10" s="3">
        <v>6</v>
      </c>
      <c r="L10" s="3">
        <v>157</v>
      </c>
      <c r="M10" s="3">
        <v>26</v>
      </c>
      <c r="O10" s="3">
        <v>0.84099999999999997</v>
      </c>
      <c r="P10" s="3">
        <v>31</v>
      </c>
      <c r="Q10" s="3">
        <v>132</v>
      </c>
      <c r="R10" s="3">
        <f t="shared" si="7"/>
        <v>516.33600000000001</v>
      </c>
      <c r="S10" s="8">
        <f t="shared" si="8"/>
        <v>10.5</v>
      </c>
      <c r="T10" s="3">
        <v>6</v>
      </c>
      <c r="U10" s="29">
        <f>_xlfn.XLOOKUP($T10,'STD SAP'!$W:$W,'STD SAP'!X:X)*1000-L10</f>
        <v>0</v>
      </c>
      <c r="V10" s="30">
        <f>_xlfn.XLOOKUP($T10,'STD SAP'!$W:$W,'STD SAP'!AA:AA)-O10</f>
        <v>0</v>
      </c>
      <c r="W10" s="3">
        <v>36</v>
      </c>
      <c r="X10" s="30">
        <v>3.633</v>
      </c>
      <c r="Y10" s="33">
        <f t="shared" si="1"/>
        <v>4.0000000000000001E-3</v>
      </c>
      <c r="AA10" s="36">
        <v>6</v>
      </c>
      <c r="AB10" s="36">
        <v>0.13600000000000001</v>
      </c>
      <c r="AC10" s="38">
        <v>0.84</v>
      </c>
      <c r="AD10" s="39">
        <v>0.8</v>
      </c>
      <c r="AE10" s="39">
        <v>0.11065999999999999</v>
      </c>
      <c r="AF10" s="36"/>
      <c r="AG10" s="36"/>
      <c r="AH10" s="45">
        <f t="shared" si="10"/>
        <v>2.5989999999999999E-2</v>
      </c>
      <c r="AI10" s="3">
        <f t="shared" si="2"/>
        <v>136</v>
      </c>
      <c r="AJ10" s="44">
        <f t="shared" si="3"/>
        <v>3.5999999999999997E-2</v>
      </c>
      <c r="AL10" s="3">
        <v>6</v>
      </c>
      <c r="AM10" s="3">
        <f t="shared" si="4"/>
        <v>136</v>
      </c>
      <c r="AN10" s="3">
        <f t="shared" si="0"/>
        <v>110.66</v>
      </c>
      <c r="AO10" s="3">
        <f t="shared" si="9"/>
        <v>25.989999999999995</v>
      </c>
      <c r="AP10" s="46">
        <f t="shared" si="5"/>
        <v>4.0000000000000001E-3</v>
      </c>
    </row>
    <row r="11" spans="1:43" ht="15.75" customHeight="1" thickBot="1">
      <c r="A11" s="4">
        <v>6</v>
      </c>
      <c r="B11" s="4">
        <v>163</v>
      </c>
      <c r="C11" s="4">
        <v>26</v>
      </c>
      <c r="D11" s="5"/>
      <c r="E11" s="4"/>
      <c r="F11" s="6">
        <v>30</v>
      </c>
      <c r="G11" s="4"/>
      <c r="H11" s="3">
        <f t="shared" si="6"/>
        <v>521.16</v>
      </c>
      <c r="K11" s="3">
        <v>7</v>
      </c>
      <c r="L11" s="3">
        <v>185</v>
      </c>
      <c r="M11" s="3">
        <v>28</v>
      </c>
      <c r="N11" s="3">
        <v>26.4</v>
      </c>
      <c r="O11" s="3">
        <v>0.90200000000000002</v>
      </c>
      <c r="P11" s="3">
        <v>35</v>
      </c>
      <c r="Q11" s="3">
        <v>167</v>
      </c>
      <c r="R11" s="3">
        <f t="shared" si="7"/>
        <v>582.96</v>
      </c>
      <c r="S11" s="8">
        <f t="shared" si="8"/>
        <v>12</v>
      </c>
      <c r="T11" s="3">
        <v>7</v>
      </c>
      <c r="U11" s="29">
        <f>_xlfn.XLOOKUP($T11,'STD SAP'!$W:$W,'STD SAP'!X:X)*1000-L11</f>
        <v>0</v>
      </c>
      <c r="V11" s="30">
        <f>_xlfn.XLOOKUP($T11,'STD SAP'!$W:$W,'STD SAP'!AA:AA)-O11</f>
        <v>0</v>
      </c>
      <c r="W11" s="3">
        <v>37</v>
      </c>
      <c r="X11" s="30">
        <v>4.2389999999999999</v>
      </c>
      <c r="Y11" s="33">
        <f t="shared" si="1"/>
        <v>4.0000000000000001E-3</v>
      </c>
      <c r="AA11" s="36">
        <v>7</v>
      </c>
      <c r="AB11" s="40">
        <v>0.16</v>
      </c>
      <c r="AC11" s="38">
        <v>1</v>
      </c>
      <c r="AD11" s="39">
        <v>0.85599999999999998</v>
      </c>
      <c r="AE11" s="39">
        <v>0.14000000000000001</v>
      </c>
      <c r="AF11" s="36">
        <v>271</v>
      </c>
      <c r="AG11" s="36">
        <v>23</v>
      </c>
      <c r="AH11" s="45">
        <f t="shared" si="10"/>
        <v>2.9340000000000019E-2</v>
      </c>
      <c r="AI11" s="3">
        <f t="shared" si="2"/>
        <v>160</v>
      </c>
      <c r="AJ11" s="44">
        <f t="shared" si="3"/>
        <v>3.6999999999999998E-2</v>
      </c>
      <c r="AL11" s="3">
        <v>7</v>
      </c>
      <c r="AM11" s="3">
        <f t="shared" si="4"/>
        <v>160</v>
      </c>
      <c r="AN11" s="3">
        <f t="shared" si="0"/>
        <v>140</v>
      </c>
      <c r="AO11" s="3">
        <f t="shared" si="9"/>
        <v>29.340000000000003</v>
      </c>
      <c r="AP11" s="46">
        <f t="shared" si="5"/>
        <v>4.0000000000000001E-3</v>
      </c>
    </row>
    <row r="12" spans="1:43" ht="18.75" thickBot="1">
      <c r="A12" s="4">
        <v>7</v>
      </c>
      <c r="B12" s="4">
        <v>193</v>
      </c>
      <c r="C12" s="4">
        <v>30</v>
      </c>
      <c r="D12" s="4">
        <v>28</v>
      </c>
      <c r="E12" s="4">
        <v>0.76</v>
      </c>
      <c r="F12" s="6">
        <v>33</v>
      </c>
      <c r="G12" s="4">
        <v>145</v>
      </c>
      <c r="H12" s="3">
        <f t="shared" si="6"/>
        <v>573.27599999999995</v>
      </c>
      <c r="K12" s="3">
        <v>8</v>
      </c>
      <c r="L12" s="3">
        <v>215</v>
      </c>
      <c r="M12" s="3">
        <v>30</v>
      </c>
      <c r="N12" s="3">
        <v>26.9</v>
      </c>
      <c r="O12" s="3">
        <v>0.95799999999999996</v>
      </c>
      <c r="P12" s="3">
        <v>39</v>
      </c>
      <c r="Q12" s="3">
        <v>206</v>
      </c>
      <c r="R12" s="3">
        <f t="shared" si="7"/>
        <v>649.58399999999995</v>
      </c>
      <c r="S12" s="8">
        <f t="shared" si="8"/>
        <v>13</v>
      </c>
      <c r="T12" s="3">
        <v>8</v>
      </c>
      <c r="U12" s="29">
        <f>_xlfn.XLOOKUP($T12,'STD SAP'!$W:$W,'STD SAP'!X:X)*1000-L12</f>
        <v>0</v>
      </c>
      <c r="V12" s="30">
        <f>_xlfn.XLOOKUP($T12,'STD SAP'!$W:$W,'STD SAP'!AA:AA)-O12</f>
        <v>0</v>
      </c>
      <c r="W12" s="3">
        <v>38</v>
      </c>
      <c r="X12" s="30">
        <v>4.8440000000000003</v>
      </c>
      <c r="Y12" s="33">
        <f t="shared" si="1"/>
        <v>5.0000000000000001E-3</v>
      </c>
      <c r="AA12" s="36">
        <v>8</v>
      </c>
      <c r="AB12" s="40">
        <v>0.2</v>
      </c>
      <c r="AC12" s="38">
        <v>1.1100000000000001</v>
      </c>
      <c r="AD12" s="39">
        <v>0.88500000000000001</v>
      </c>
      <c r="AE12" s="39">
        <v>0.17899999999999999</v>
      </c>
      <c r="AF12" s="36">
        <v>282</v>
      </c>
      <c r="AG12" s="36">
        <v>25</v>
      </c>
      <c r="AH12" s="45">
        <f t="shared" si="10"/>
        <v>3.8999999999999979E-2</v>
      </c>
      <c r="AI12" s="3">
        <f t="shared" si="2"/>
        <v>200</v>
      </c>
      <c r="AJ12" s="44">
        <f t="shared" si="3"/>
        <v>3.7999999999999999E-2</v>
      </c>
      <c r="AL12" s="3">
        <v>8</v>
      </c>
      <c r="AM12" s="3">
        <f t="shared" si="4"/>
        <v>200</v>
      </c>
      <c r="AN12" s="3">
        <f t="shared" si="0"/>
        <v>179</v>
      </c>
      <c r="AO12" s="3">
        <f t="shared" si="9"/>
        <v>39</v>
      </c>
      <c r="AP12" s="46">
        <f t="shared" si="5"/>
        <v>5.0000000000000001E-3</v>
      </c>
    </row>
    <row r="13" spans="1:43" ht="18.75" thickBot="1">
      <c r="A13" s="4">
        <v>8</v>
      </c>
      <c r="B13" s="4">
        <v>228</v>
      </c>
      <c r="C13" s="4">
        <v>36</v>
      </c>
      <c r="D13" s="4">
        <v>29</v>
      </c>
      <c r="E13" s="4">
        <v>0.8</v>
      </c>
      <c r="F13" s="4">
        <v>37</v>
      </c>
      <c r="G13" s="4">
        <v>182</v>
      </c>
      <c r="H13" s="3">
        <f t="shared" si="6"/>
        <v>642.76400000000001</v>
      </c>
      <c r="K13" s="3">
        <v>9</v>
      </c>
      <c r="L13" s="3">
        <v>247</v>
      </c>
      <c r="M13" s="3">
        <v>32</v>
      </c>
      <c r="N13" s="3">
        <v>27.4</v>
      </c>
      <c r="O13" s="3">
        <v>1.012</v>
      </c>
      <c r="P13" s="3">
        <v>44</v>
      </c>
      <c r="Q13" s="3">
        <v>250</v>
      </c>
      <c r="R13" s="3">
        <f t="shared" si="7"/>
        <v>732.86400000000003</v>
      </c>
      <c r="S13" s="8">
        <f t="shared" si="8"/>
        <v>15</v>
      </c>
      <c r="T13" s="3">
        <v>9</v>
      </c>
      <c r="U13" s="29">
        <f>_xlfn.XLOOKUP($T13,'STD SAP'!$W:$W,'STD SAP'!X:X)*1000-L13</f>
        <v>0</v>
      </c>
      <c r="V13" s="30">
        <f>_xlfn.XLOOKUP($T13,'STD SAP'!$W:$W,'STD SAP'!AA:AA)-O13</f>
        <v>0</v>
      </c>
      <c r="W13" s="3">
        <v>39</v>
      </c>
      <c r="X13" s="30">
        <v>5.45</v>
      </c>
      <c r="Y13" s="33">
        <f t="shared" si="1"/>
        <v>5.0000000000000001E-3</v>
      </c>
      <c r="AA13" s="36">
        <v>9</v>
      </c>
      <c r="AB13" s="40">
        <v>0.24</v>
      </c>
      <c r="AC13" s="38">
        <v>1.21</v>
      </c>
      <c r="AD13" s="39">
        <v>0.91400000000000003</v>
      </c>
      <c r="AE13" s="39">
        <v>0.219</v>
      </c>
      <c r="AF13" s="36">
        <v>288</v>
      </c>
      <c r="AG13" s="36">
        <v>27</v>
      </c>
      <c r="AH13" s="45">
        <f t="shared" si="10"/>
        <v>4.0000000000000008E-2</v>
      </c>
      <c r="AI13" s="3">
        <f t="shared" si="2"/>
        <v>240</v>
      </c>
      <c r="AJ13" s="44">
        <f t="shared" si="3"/>
        <v>3.9E-2</v>
      </c>
      <c r="AL13" s="3">
        <v>9</v>
      </c>
      <c r="AM13" s="3">
        <f t="shared" si="4"/>
        <v>240</v>
      </c>
      <c r="AN13" s="3">
        <f t="shared" si="0"/>
        <v>219</v>
      </c>
      <c r="AO13" s="3">
        <f t="shared" si="9"/>
        <v>40</v>
      </c>
      <c r="AP13" s="46">
        <f t="shared" si="5"/>
        <v>5.0000000000000001E-3</v>
      </c>
    </row>
    <row r="14" spans="1:43" ht="18.75" thickBot="1">
      <c r="A14" s="4">
        <v>9</v>
      </c>
      <c r="B14" s="4">
        <v>269</v>
      </c>
      <c r="C14" s="4">
        <v>41</v>
      </c>
      <c r="D14" s="4">
        <v>30</v>
      </c>
      <c r="E14" s="4">
        <v>0.84</v>
      </c>
      <c r="F14" s="4">
        <v>43</v>
      </c>
      <c r="G14" s="4">
        <v>225</v>
      </c>
      <c r="H14" s="3">
        <f t="shared" si="6"/>
        <v>746.99599999999998</v>
      </c>
      <c r="K14" s="3">
        <v>10</v>
      </c>
      <c r="L14" s="3">
        <v>283</v>
      </c>
      <c r="M14" s="3">
        <v>36</v>
      </c>
      <c r="N14" s="3">
        <v>28.3</v>
      </c>
      <c r="O14" s="3">
        <v>1.0529999999999999</v>
      </c>
      <c r="P14" s="3">
        <v>48</v>
      </c>
      <c r="Q14" s="3">
        <v>298</v>
      </c>
      <c r="R14" s="3">
        <f t="shared" si="7"/>
        <v>799.48800000000006</v>
      </c>
      <c r="S14" s="8">
        <f t="shared" si="8"/>
        <v>16</v>
      </c>
      <c r="T14" s="3">
        <v>10</v>
      </c>
      <c r="U14" s="29">
        <f>_xlfn.XLOOKUP($T14,'STD SAP'!$W:$W,'STD SAP'!X:X)*1000-L14</f>
        <v>0</v>
      </c>
      <c r="V14" s="30">
        <f>_xlfn.XLOOKUP($T14,'STD SAP'!$W:$W,'STD SAP'!AA:AA)-O14</f>
        <v>0</v>
      </c>
      <c r="W14" s="3">
        <v>40</v>
      </c>
      <c r="X14" s="30">
        <v>6.056</v>
      </c>
      <c r="Y14" s="33">
        <f t="shared" si="1"/>
        <v>6.0000000000000001E-3</v>
      </c>
      <c r="AA14" s="36">
        <v>10</v>
      </c>
      <c r="AB14" s="40">
        <v>0.28000000000000003</v>
      </c>
      <c r="AC14" s="38">
        <v>1.32</v>
      </c>
      <c r="AD14" s="39">
        <v>0.94299999999999995</v>
      </c>
      <c r="AE14" s="39">
        <v>0.26200000000000001</v>
      </c>
      <c r="AF14" s="36">
        <v>291</v>
      </c>
      <c r="AG14" s="36">
        <v>28</v>
      </c>
      <c r="AH14" s="45">
        <f t="shared" si="10"/>
        <v>4.300000000000001E-2</v>
      </c>
      <c r="AI14" s="3">
        <f t="shared" si="2"/>
        <v>280</v>
      </c>
      <c r="AJ14" s="44">
        <f t="shared" si="3"/>
        <v>0.04</v>
      </c>
      <c r="AL14" s="3">
        <v>10</v>
      </c>
      <c r="AM14" s="3">
        <f t="shared" si="4"/>
        <v>280</v>
      </c>
      <c r="AN14" s="3">
        <f t="shared" si="0"/>
        <v>262</v>
      </c>
      <c r="AO14" s="3">
        <f t="shared" si="9"/>
        <v>43</v>
      </c>
      <c r="AP14" s="46">
        <f t="shared" si="5"/>
        <v>6.0000000000000001E-3</v>
      </c>
    </row>
    <row r="15" spans="1:43" ht="18.75" thickBot="1">
      <c r="A15" s="4">
        <v>10</v>
      </c>
      <c r="B15" s="4">
        <v>313</v>
      </c>
      <c r="C15" s="4">
        <v>44</v>
      </c>
      <c r="D15" s="4">
        <v>31</v>
      </c>
      <c r="E15" s="4">
        <v>0.88</v>
      </c>
      <c r="F15" s="4">
        <v>50</v>
      </c>
      <c r="G15" s="4">
        <v>275</v>
      </c>
      <c r="H15" s="3">
        <f t="shared" si="6"/>
        <v>868.6</v>
      </c>
      <c r="K15" s="3">
        <v>11</v>
      </c>
      <c r="L15" s="3">
        <v>321</v>
      </c>
      <c r="M15" s="3">
        <v>38</v>
      </c>
      <c r="N15" s="3">
        <v>29.2</v>
      </c>
      <c r="O15" s="3">
        <v>1.097</v>
      </c>
      <c r="P15" s="3">
        <v>54</v>
      </c>
      <c r="Q15" s="3">
        <v>352</v>
      </c>
      <c r="R15" s="3">
        <f t="shared" si="7"/>
        <v>899.42399999999998</v>
      </c>
      <c r="S15" s="8">
        <f t="shared" si="8"/>
        <v>18</v>
      </c>
      <c r="T15" s="3">
        <v>11</v>
      </c>
      <c r="U15" s="29">
        <f>_xlfn.XLOOKUP($T15,'STD SAP'!$W:$W,'STD SAP'!X:X)*1000-L15</f>
        <v>0</v>
      </c>
      <c r="V15" s="30">
        <f>_xlfn.XLOOKUP($T15,'STD SAP'!$W:$W,'STD SAP'!AA:AA)-O15</f>
        <v>0</v>
      </c>
      <c r="W15" s="3">
        <v>41</v>
      </c>
      <c r="X15" s="30">
        <v>6.6609999999999996</v>
      </c>
      <c r="Y15" s="33">
        <f t="shared" si="1"/>
        <v>7.0000000000000001E-3</v>
      </c>
      <c r="AA15" s="36">
        <v>11</v>
      </c>
      <c r="AB15" s="40">
        <v>0.32</v>
      </c>
      <c r="AC15" s="38">
        <v>1.43</v>
      </c>
      <c r="AD15" s="39">
        <v>0.97199999999999998</v>
      </c>
      <c r="AE15" s="39">
        <v>0.307</v>
      </c>
      <c r="AF15" s="36">
        <v>291</v>
      </c>
      <c r="AG15" s="36">
        <v>29</v>
      </c>
      <c r="AH15" s="45">
        <f t="shared" si="10"/>
        <v>4.4999999999999984E-2</v>
      </c>
      <c r="AI15" s="3">
        <f t="shared" si="2"/>
        <v>320</v>
      </c>
      <c r="AJ15" s="44">
        <f t="shared" si="3"/>
        <v>4.1000000000000002E-2</v>
      </c>
      <c r="AL15" s="3">
        <v>11</v>
      </c>
      <c r="AM15" s="3">
        <f t="shared" si="4"/>
        <v>320</v>
      </c>
      <c r="AN15" s="3">
        <f t="shared" si="0"/>
        <v>307</v>
      </c>
      <c r="AO15" s="3">
        <f t="shared" si="9"/>
        <v>45</v>
      </c>
      <c r="AP15" s="46">
        <f t="shared" si="5"/>
        <v>7.0000000000000001E-3</v>
      </c>
    </row>
    <row r="16" spans="1:43" ht="18.75" thickBot="1">
      <c r="A16" s="4">
        <v>11</v>
      </c>
      <c r="B16" s="4">
        <v>362</v>
      </c>
      <c r="C16" s="4">
        <v>48</v>
      </c>
      <c r="D16" s="4">
        <v>33</v>
      </c>
      <c r="E16" s="4">
        <v>0.92</v>
      </c>
      <c r="F16" s="4">
        <v>57</v>
      </c>
      <c r="G16" s="4">
        <v>331</v>
      </c>
      <c r="H16" s="3">
        <f t="shared" si="6"/>
        <v>990.20399999999995</v>
      </c>
      <c r="K16" s="3">
        <v>12</v>
      </c>
      <c r="L16" s="3">
        <v>364</v>
      </c>
      <c r="M16" s="3">
        <v>43</v>
      </c>
      <c r="N16" s="3">
        <v>30.3</v>
      </c>
      <c r="O16" s="3">
        <v>1.1259999999999999</v>
      </c>
      <c r="P16" s="3">
        <v>58</v>
      </c>
      <c r="Q16" s="3">
        <v>410</v>
      </c>
      <c r="R16" s="3">
        <f t="shared" si="7"/>
        <v>966.048</v>
      </c>
      <c r="S16" s="8">
        <f t="shared" si="8"/>
        <v>19.5</v>
      </c>
      <c r="T16" s="3">
        <v>12</v>
      </c>
      <c r="U16" s="29">
        <f>_xlfn.XLOOKUP($T16,'STD SAP'!$W:$W,'STD SAP'!X:X)*1000-L16</f>
        <v>0</v>
      </c>
      <c r="V16" s="30">
        <f>_xlfn.XLOOKUP($T16,'STD SAP'!$W:$W,'STD SAP'!AA:AA)-O16</f>
        <v>0</v>
      </c>
      <c r="W16" s="3">
        <v>42</v>
      </c>
      <c r="X16" s="30">
        <v>7.2670000000000003</v>
      </c>
      <c r="Y16" s="33">
        <f t="shared" si="1"/>
        <v>7.0000000000000001E-3</v>
      </c>
      <c r="AA16" s="36">
        <v>12</v>
      </c>
      <c r="AB16" s="40">
        <v>0.35</v>
      </c>
      <c r="AC16" s="38">
        <v>1.54</v>
      </c>
      <c r="AD16" s="39">
        <v>1.0009999999999999</v>
      </c>
      <c r="AE16" s="39">
        <v>0.35399999999999998</v>
      </c>
      <c r="AF16" s="36">
        <v>290</v>
      </c>
      <c r="AG16" s="36">
        <v>30</v>
      </c>
      <c r="AH16" s="45">
        <f t="shared" si="10"/>
        <v>4.6999999999999986E-2</v>
      </c>
      <c r="AI16" s="3">
        <f t="shared" si="2"/>
        <v>350</v>
      </c>
      <c r="AJ16" s="44">
        <f t="shared" si="3"/>
        <v>4.2000000000000003E-2</v>
      </c>
      <c r="AL16" s="3">
        <v>12</v>
      </c>
      <c r="AM16" s="3">
        <f t="shared" si="4"/>
        <v>350</v>
      </c>
      <c r="AN16" s="3">
        <f t="shared" si="0"/>
        <v>354</v>
      </c>
      <c r="AO16" s="3">
        <f t="shared" si="9"/>
        <v>47</v>
      </c>
      <c r="AP16" s="46">
        <f t="shared" si="5"/>
        <v>7.0000000000000001E-3</v>
      </c>
    </row>
    <row r="17" spans="1:42" ht="18.75" thickBot="1">
      <c r="A17" s="4">
        <v>12</v>
      </c>
      <c r="B17" s="4">
        <v>414</v>
      </c>
      <c r="C17" s="4">
        <v>52</v>
      </c>
      <c r="D17" s="4">
        <v>34</v>
      </c>
      <c r="E17" s="4">
        <v>0.95</v>
      </c>
      <c r="F17" s="4">
        <v>64</v>
      </c>
      <c r="G17" s="4">
        <v>395</v>
      </c>
      <c r="H17" s="3">
        <f t="shared" si="6"/>
        <v>1111.808</v>
      </c>
      <c r="K17" s="3">
        <v>13</v>
      </c>
      <c r="L17" s="3">
        <v>412</v>
      </c>
      <c r="M17" s="3">
        <v>48</v>
      </c>
      <c r="N17" s="3">
        <v>31.7</v>
      </c>
      <c r="O17" s="3">
        <v>1.1499999999999999</v>
      </c>
      <c r="P17" s="3">
        <v>64</v>
      </c>
      <c r="Q17" s="3">
        <v>474</v>
      </c>
      <c r="R17" s="3">
        <f t="shared" si="7"/>
        <v>1065.9839999999999</v>
      </c>
      <c r="S17" s="8">
        <f t="shared" si="8"/>
        <v>21.5</v>
      </c>
      <c r="T17" s="3">
        <v>13</v>
      </c>
      <c r="U17" s="29">
        <f>_xlfn.XLOOKUP($T17,'STD SAP'!$W:$W,'STD SAP'!X:X)*1000-L17</f>
        <v>0</v>
      </c>
      <c r="V17" s="30">
        <f>_xlfn.XLOOKUP($T17,'STD SAP'!$W:$W,'STD SAP'!AA:AA)-O17</f>
        <v>0</v>
      </c>
      <c r="W17" s="3">
        <v>43</v>
      </c>
      <c r="X17" s="30">
        <v>7.8719999999999999</v>
      </c>
      <c r="Y17" s="33">
        <f t="shared" si="1"/>
        <v>8.0000000000000002E-3</v>
      </c>
      <c r="AA17" s="36">
        <v>13</v>
      </c>
      <c r="AB17" s="40">
        <v>0.39</v>
      </c>
      <c r="AC17" s="38">
        <v>1.64</v>
      </c>
      <c r="AD17" s="39">
        <v>1.03</v>
      </c>
      <c r="AE17" s="39">
        <v>0.40400000000000003</v>
      </c>
      <c r="AF17" s="36">
        <v>288</v>
      </c>
      <c r="AG17" s="36">
        <v>30</v>
      </c>
      <c r="AH17" s="45">
        <f t="shared" si="10"/>
        <v>5.0000000000000044E-2</v>
      </c>
      <c r="AI17" s="3">
        <f t="shared" si="2"/>
        <v>390</v>
      </c>
      <c r="AJ17" s="44">
        <f t="shared" si="3"/>
        <v>4.2999999999999997E-2</v>
      </c>
      <c r="AL17" s="3">
        <v>13</v>
      </c>
      <c r="AM17" s="3">
        <f t="shared" si="4"/>
        <v>390</v>
      </c>
      <c r="AN17" s="3">
        <f t="shared" si="0"/>
        <v>404</v>
      </c>
      <c r="AO17" s="3">
        <f t="shared" si="9"/>
        <v>50</v>
      </c>
      <c r="AP17" s="46">
        <f t="shared" si="5"/>
        <v>8.0000000000000002E-3</v>
      </c>
    </row>
    <row r="18" spans="1:42" ht="18.75" thickBot="1">
      <c r="A18" s="4">
        <v>13</v>
      </c>
      <c r="B18" s="4">
        <v>469</v>
      </c>
      <c r="C18" s="4">
        <v>55</v>
      </c>
      <c r="D18" s="4">
        <v>36</v>
      </c>
      <c r="E18" s="4">
        <v>1</v>
      </c>
      <c r="F18" s="4">
        <v>72</v>
      </c>
      <c r="G18" s="4">
        <v>467</v>
      </c>
      <c r="H18" s="3">
        <f t="shared" si="6"/>
        <v>1250.7840000000001</v>
      </c>
      <c r="K18" s="3">
        <v>14</v>
      </c>
      <c r="L18" s="3">
        <v>465</v>
      </c>
      <c r="M18" s="3">
        <v>53</v>
      </c>
      <c r="N18" s="3">
        <v>33.200000000000003</v>
      </c>
      <c r="O18" s="3">
        <v>1.165</v>
      </c>
      <c r="P18" s="3">
        <v>68</v>
      </c>
      <c r="Q18" s="3">
        <v>542</v>
      </c>
      <c r="R18" s="3">
        <f t="shared" si="7"/>
        <v>1132.6079999999999</v>
      </c>
      <c r="S18" s="8">
        <f t="shared" si="8"/>
        <v>23</v>
      </c>
      <c r="T18" s="3">
        <v>14</v>
      </c>
      <c r="U18" s="29">
        <f>_xlfn.XLOOKUP($T18,'STD SAP'!$W:$W,'STD SAP'!X:X)*1000-L18</f>
        <v>0</v>
      </c>
      <c r="V18" s="30">
        <f>_xlfn.XLOOKUP($T18,'STD SAP'!$W:$W,'STD SAP'!AA:AA)-O18</f>
        <v>0</v>
      </c>
      <c r="W18" s="3">
        <v>44</v>
      </c>
      <c r="X18" s="30">
        <v>8.4779999999999998</v>
      </c>
      <c r="Y18" s="33">
        <f t="shared" si="1"/>
        <v>8.0000000000000002E-3</v>
      </c>
      <c r="AA18" s="36">
        <v>14</v>
      </c>
      <c r="AB18" s="40">
        <v>0.43</v>
      </c>
      <c r="AC18" s="38">
        <v>1.75</v>
      </c>
      <c r="AD18" s="39">
        <v>1.0589999999999999</v>
      </c>
      <c r="AE18" s="39">
        <v>0.45500000000000002</v>
      </c>
      <c r="AF18" s="36">
        <v>285</v>
      </c>
      <c r="AG18" s="36">
        <v>31</v>
      </c>
      <c r="AH18" s="45">
        <f t="shared" si="10"/>
        <v>5.099999999999999E-2</v>
      </c>
      <c r="AI18" s="3">
        <f t="shared" si="2"/>
        <v>430</v>
      </c>
      <c r="AJ18" s="44">
        <f t="shared" si="3"/>
        <v>4.3999999999999997E-2</v>
      </c>
      <c r="AL18" s="3">
        <v>14</v>
      </c>
      <c r="AM18" s="3">
        <f t="shared" si="4"/>
        <v>430</v>
      </c>
      <c r="AN18" s="3">
        <f t="shared" si="0"/>
        <v>455</v>
      </c>
      <c r="AO18" s="3">
        <f t="shared" si="9"/>
        <v>51</v>
      </c>
      <c r="AP18" s="46">
        <f t="shared" si="5"/>
        <v>8.0000000000000002E-3</v>
      </c>
    </row>
    <row r="19" spans="1:42" ht="15.75" customHeight="1" thickBot="1">
      <c r="A19" s="4">
        <v>14</v>
      </c>
      <c r="B19" s="4">
        <v>528</v>
      </c>
      <c r="C19" s="4">
        <v>59</v>
      </c>
      <c r="D19" s="4">
        <v>38</v>
      </c>
      <c r="E19" s="4">
        <v>1.03</v>
      </c>
      <c r="F19" s="4">
        <v>74</v>
      </c>
      <c r="G19" s="4">
        <v>541</v>
      </c>
      <c r="H19" s="3">
        <f t="shared" si="6"/>
        <v>1285.528</v>
      </c>
      <c r="K19" s="3">
        <v>15</v>
      </c>
      <c r="L19" s="3">
        <v>524</v>
      </c>
      <c r="M19" s="3">
        <v>59</v>
      </c>
      <c r="N19" s="3">
        <v>34.9</v>
      </c>
      <c r="O19" s="3">
        <v>1.177</v>
      </c>
      <c r="P19" s="3">
        <v>75</v>
      </c>
      <c r="Q19" s="3">
        <v>617</v>
      </c>
      <c r="R19" s="3">
        <f t="shared" si="7"/>
        <v>1249.2</v>
      </c>
      <c r="S19" s="8">
        <f t="shared" si="8"/>
        <v>25</v>
      </c>
      <c r="T19" s="3">
        <v>15</v>
      </c>
      <c r="U19" s="29">
        <f>_xlfn.XLOOKUP($T19,'STD SAP'!$W:$W,'STD SAP'!X:X)*1000-L19</f>
        <v>0</v>
      </c>
      <c r="V19" s="30">
        <f>_xlfn.XLOOKUP($T19,'STD SAP'!$W:$W,'STD SAP'!AA:AA)-O19</f>
        <v>0</v>
      </c>
      <c r="W19" s="3">
        <v>45</v>
      </c>
      <c r="X19" s="30">
        <v>9.0830000000000002</v>
      </c>
      <c r="Y19" s="33">
        <f t="shared" si="1"/>
        <v>8.9999999999999993E-3</v>
      </c>
      <c r="AA19" s="36">
        <v>14</v>
      </c>
      <c r="AB19" s="40">
        <v>0.44</v>
      </c>
      <c r="AC19" s="38">
        <v>1.75</v>
      </c>
      <c r="AD19" s="39">
        <v>1.0640000000000001</v>
      </c>
      <c r="AE19" s="39">
        <v>0.46800000000000003</v>
      </c>
      <c r="AF19" s="36">
        <v>290</v>
      </c>
      <c r="AG19" s="36">
        <v>31</v>
      </c>
      <c r="AH19" s="45">
        <f t="shared" si="10"/>
        <v>1.3000000000000012E-2</v>
      </c>
      <c r="AI19" s="3">
        <f t="shared" si="2"/>
        <v>440</v>
      </c>
      <c r="AJ19" s="44">
        <f t="shared" si="3"/>
        <v>4.4999999999999998E-2</v>
      </c>
      <c r="AL19" s="3">
        <v>15</v>
      </c>
      <c r="AM19" s="3">
        <f t="shared" si="4"/>
        <v>490</v>
      </c>
      <c r="AN19" s="3">
        <f t="shared" si="0"/>
        <v>532</v>
      </c>
      <c r="AO19" s="3">
        <f t="shared" si="9"/>
        <v>77</v>
      </c>
      <c r="AP19" s="46">
        <f t="shared" si="5"/>
        <v>8.9999999999999993E-3</v>
      </c>
    </row>
    <row r="20" spans="1:42" ht="18.75" thickBot="1">
      <c r="A20" s="4">
        <v>15</v>
      </c>
      <c r="B20" s="4">
        <v>589</v>
      </c>
      <c r="C20" s="4">
        <v>62</v>
      </c>
      <c r="D20" s="4">
        <v>39</v>
      </c>
      <c r="E20" s="4">
        <v>1.05</v>
      </c>
      <c r="F20" s="4">
        <v>78</v>
      </c>
      <c r="G20" s="4">
        <v>619</v>
      </c>
      <c r="H20" s="3">
        <f t="shared" si="6"/>
        <v>1355.0160000000001</v>
      </c>
      <c r="K20" s="3">
        <v>16</v>
      </c>
      <c r="L20" s="3">
        <v>586</v>
      </c>
      <c r="M20" s="3">
        <v>62</v>
      </c>
      <c r="N20" s="3">
        <v>36.6</v>
      </c>
      <c r="O20" s="3">
        <v>1.1910000000000001</v>
      </c>
      <c r="P20" s="3">
        <v>81</v>
      </c>
      <c r="Q20" s="3">
        <v>698</v>
      </c>
      <c r="R20" s="3">
        <f t="shared" si="7"/>
        <v>1349.136</v>
      </c>
      <c r="S20" s="8">
        <f t="shared" si="8"/>
        <v>27</v>
      </c>
      <c r="T20" s="3">
        <v>16</v>
      </c>
      <c r="U20" s="29">
        <f>_xlfn.XLOOKUP($T20,'STD SAP'!$W:$W,'STD SAP'!X:X)*1000-L20</f>
        <v>0</v>
      </c>
      <c r="V20" s="30">
        <f>_xlfn.XLOOKUP($T20,'STD SAP'!$W:$W,'STD SAP'!AA:AA)-O20</f>
        <v>0</v>
      </c>
      <c r="W20" s="3">
        <v>46</v>
      </c>
      <c r="X20" s="30">
        <v>9.6890000000000001</v>
      </c>
      <c r="Y20" s="33">
        <f t="shared" si="1"/>
        <v>0.01</v>
      </c>
      <c r="AA20" s="36">
        <v>14</v>
      </c>
      <c r="AB20" s="40">
        <v>0.45</v>
      </c>
      <c r="AC20" s="38">
        <v>1.75</v>
      </c>
      <c r="AD20" s="39">
        <v>1.069</v>
      </c>
      <c r="AE20" s="39">
        <v>0.48099999999999998</v>
      </c>
      <c r="AF20" s="36">
        <v>296</v>
      </c>
      <c r="AG20" s="36">
        <v>32</v>
      </c>
      <c r="AH20" s="45">
        <f t="shared" si="10"/>
        <v>1.2999999999999956E-2</v>
      </c>
      <c r="AI20" s="3">
        <f t="shared" si="2"/>
        <v>450</v>
      </c>
      <c r="AJ20" s="44">
        <f t="shared" si="3"/>
        <v>4.5999999999999999E-2</v>
      </c>
      <c r="AL20" s="3">
        <v>16</v>
      </c>
      <c r="AM20" s="3">
        <f t="shared" si="4"/>
        <v>550</v>
      </c>
      <c r="AN20" s="3">
        <f t="shared" si="0"/>
        <v>612</v>
      </c>
      <c r="AO20" s="3">
        <f t="shared" si="9"/>
        <v>80</v>
      </c>
      <c r="AP20" s="46">
        <f t="shared" si="5"/>
        <v>0.01</v>
      </c>
    </row>
    <row r="21" spans="1:42" ht="18.75" thickBot="1">
      <c r="A21" s="4">
        <v>16</v>
      </c>
      <c r="B21" s="4">
        <v>654</v>
      </c>
      <c r="C21" s="4">
        <v>65</v>
      </c>
      <c r="D21" s="4">
        <v>41</v>
      </c>
      <c r="E21" s="4">
        <v>1.08</v>
      </c>
      <c r="F21" s="4">
        <v>85</v>
      </c>
      <c r="G21" s="4">
        <v>704</v>
      </c>
      <c r="H21" s="3">
        <f t="shared" si="6"/>
        <v>1476.62</v>
      </c>
      <c r="K21" s="3">
        <v>17</v>
      </c>
      <c r="L21" s="3">
        <v>651</v>
      </c>
      <c r="M21" s="3">
        <v>65</v>
      </c>
      <c r="N21" s="3">
        <v>38.299999999999997</v>
      </c>
      <c r="O21" s="3">
        <v>1.206</v>
      </c>
      <c r="P21" s="3">
        <v>87</v>
      </c>
      <c r="Q21" s="3">
        <v>785</v>
      </c>
      <c r="R21" s="3">
        <f t="shared" si="7"/>
        <v>1449.0719999999999</v>
      </c>
      <c r="S21" s="8">
        <f t="shared" si="8"/>
        <v>29</v>
      </c>
      <c r="T21" s="3">
        <v>17</v>
      </c>
      <c r="U21" s="29">
        <f>_xlfn.XLOOKUP($T21,'STD SAP'!$W:$W,'STD SAP'!X:X)*1000-L21</f>
        <v>0</v>
      </c>
      <c r="V21" s="30">
        <f>_xlfn.XLOOKUP($T21,'STD SAP'!$W:$W,'STD SAP'!AA:AA)-O21</f>
        <v>0</v>
      </c>
      <c r="W21" s="3">
        <v>47</v>
      </c>
      <c r="X21" s="30">
        <v>10.294</v>
      </c>
      <c r="Y21" s="33">
        <f t="shared" si="1"/>
        <v>0.01</v>
      </c>
      <c r="AA21" s="36">
        <v>14</v>
      </c>
      <c r="AB21" s="40">
        <v>0.46</v>
      </c>
      <c r="AC21" s="38">
        <v>1.75</v>
      </c>
      <c r="AD21" s="39">
        <v>1.073</v>
      </c>
      <c r="AE21" s="39">
        <v>0.49399999999999999</v>
      </c>
      <c r="AF21" s="36">
        <v>301</v>
      </c>
      <c r="AG21" s="36">
        <v>33</v>
      </c>
      <c r="AH21" s="45">
        <f t="shared" si="10"/>
        <v>1.3000000000000012E-2</v>
      </c>
      <c r="AI21" s="3">
        <f t="shared" si="2"/>
        <v>460</v>
      </c>
      <c r="AJ21" s="44">
        <f t="shared" si="3"/>
        <v>4.7E-2</v>
      </c>
      <c r="AL21" s="3">
        <v>17</v>
      </c>
      <c r="AM21" s="3">
        <f t="shared" si="4"/>
        <v>610</v>
      </c>
      <c r="AN21" s="3">
        <f t="shared" si="0"/>
        <v>695</v>
      </c>
      <c r="AO21" s="3">
        <f t="shared" si="9"/>
        <v>83</v>
      </c>
      <c r="AP21" s="46">
        <f t="shared" si="5"/>
        <v>0.01</v>
      </c>
    </row>
    <row r="22" spans="1:42" ht="18.75" thickBot="1">
      <c r="A22" s="4">
        <v>17</v>
      </c>
      <c r="B22" s="4">
        <v>722</v>
      </c>
      <c r="C22" s="4">
        <v>68</v>
      </c>
      <c r="D22" s="4">
        <v>42</v>
      </c>
      <c r="E22" s="4">
        <v>1.1000000000000001</v>
      </c>
      <c r="F22" s="4">
        <v>91</v>
      </c>
      <c r="G22" s="4">
        <v>795</v>
      </c>
      <c r="H22" s="3">
        <f t="shared" si="6"/>
        <v>1580.8520000000001</v>
      </c>
      <c r="K22" s="3">
        <v>18</v>
      </c>
      <c r="L22" s="3">
        <v>719</v>
      </c>
      <c r="M22" s="3">
        <v>68</v>
      </c>
      <c r="N22" s="3">
        <v>39.9</v>
      </c>
      <c r="O22" s="3">
        <v>1.2210000000000001</v>
      </c>
      <c r="P22" s="3">
        <v>93</v>
      </c>
      <c r="Q22" s="3">
        <v>878</v>
      </c>
      <c r="R22" s="3">
        <f t="shared" si="7"/>
        <v>1549.008</v>
      </c>
      <c r="S22" s="8">
        <f t="shared" si="8"/>
        <v>31</v>
      </c>
      <c r="T22" s="3">
        <v>18</v>
      </c>
      <c r="U22" s="29">
        <f>_xlfn.XLOOKUP($T22,'STD SAP'!$W:$W,'STD SAP'!X:X)*1000-L22</f>
        <v>0</v>
      </c>
      <c r="V22" s="30">
        <f>_xlfn.XLOOKUP($T22,'STD SAP'!$W:$W,'STD SAP'!AA:AA)-O22</f>
        <v>0</v>
      </c>
      <c r="W22" s="3">
        <v>48</v>
      </c>
      <c r="X22" s="30">
        <v>10.9</v>
      </c>
      <c r="Y22" s="33">
        <f t="shared" si="1"/>
        <v>1.0999999999999999E-2</v>
      </c>
      <c r="AA22" s="36">
        <v>14</v>
      </c>
      <c r="AB22" s="40">
        <v>0.47</v>
      </c>
      <c r="AC22" s="38">
        <v>1.75</v>
      </c>
      <c r="AD22" s="39">
        <v>1.0780000000000001</v>
      </c>
      <c r="AE22" s="39">
        <v>0.50700000000000001</v>
      </c>
      <c r="AF22" s="36">
        <v>306</v>
      </c>
      <c r="AG22" s="36">
        <v>34</v>
      </c>
      <c r="AH22" s="45">
        <f t="shared" si="10"/>
        <v>1.3000000000000012E-2</v>
      </c>
      <c r="AI22" s="3">
        <f t="shared" si="2"/>
        <v>470</v>
      </c>
      <c r="AJ22" s="44">
        <f t="shared" si="3"/>
        <v>4.8000000000000001E-2</v>
      </c>
      <c r="AL22" s="3">
        <v>18</v>
      </c>
      <c r="AM22" s="3">
        <f t="shared" si="4"/>
        <v>670</v>
      </c>
      <c r="AN22" s="3">
        <f t="shared" si="0"/>
        <v>782</v>
      </c>
      <c r="AO22" s="3">
        <f t="shared" si="9"/>
        <v>87</v>
      </c>
      <c r="AP22" s="46">
        <f t="shared" si="5"/>
        <v>1.0999999999999999E-2</v>
      </c>
    </row>
    <row r="23" spans="1:42" ht="18.75" thickBot="1">
      <c r="A23" s="4">
        <v>18</v>
      </c>
      <c r="B23" s="4">
        <v>792</v>
      </c>
      <c r="C23" s="4">
        <v>70</v>
      </c>
      <c r="D23" s="4">
        <v>44</v>
      </c>
      <c r="E23" s="4">
        <v>1.1299999999999999</v>
      </c>
      <c r="F23" s="4">
        <v>103</v>
      </c>
      <c r="G23" s="4">
        <v>898</v>
      </c>
      <c r="H23" s="3">
        <f t="shared" si="6"/>
        <v>1789.316</v>
      </c>
      <c r="K23" s="3">
        <v>19</v>
      </c>
      <c r="L23" s="3">
        <v>790</v>
      </c>
      <c r="M23" s="3">
        <v>71</v>
      </c>
      <c r="N23" s="3">
        <v>41.6</v>
      </c>
      <c r="O23" s="3">
        <v>1.2350000000000001</v>
      </c>
      <c r="P23" s="3">
        <v>98</v>
      </c>
      <c r="Q23" s="3">
        <v>976</v>
      </c>
      <c r="R23" s="3">
        <f t="shared" si="7"/>
        <v>1632.288</v>
      </c>
      <c r="S23" s="8">
        <f t="shared" si="8"/>
        <v>33</v>
      </c>
      <c r="T23" s="3">
        <v>19</v>
      </c>
      <c r="U23" s="29">
        <f>_xlfn.XLOOKUP($T23,'STD SAP'!$W:$W,'STD SAP'!X:X)*1000-L23</f>
        <v>0</v>
      </c>
      <c r="V23" s="30">
        <f>_xlfn.XLOOKUP($T23,'STD SAP'!$W:$W,'STD SAP'!AA:AA)-O23</f>
        <v>0</v>
      </c>
      <c r="W23" s="3">
        <v>49</v>
      </c>
      <c r="X23" s="30">
        <v>11.138999999999999</v>
      </c>
      <c r="Y23" s="33">
        <f t="shared" si="1"/>
        <v>1.0999999999999999E-2</v>
      </c>
      <c r="AA23" s="36">
        <v>14</v>
      </c>
      <c r="AB23" s="40">
        <v>0.48</v>
      </c>
      <c r="AC23" s="38">
        <v>1.75</v>
      </c>
      <c r="AD23" s="39">
        <v>1.083</v>
      </c>
      <c r="AE23" s="39">
        <v>0.52</v>
      </c>
      <c r="AF23" s="36">
        <v>311</v>
      </c>
      <c r="AG23" s="36">
        <v>34</v>
      </c>
      <c r="AH23" s="45">
        <f t="shared" si="10"/>
        <v>1.3000000000000012E-2</v>
      </c>
      <c r="AI23" s="3">
        <f t="shared" si="2"/>
        <v>480</v>
      </c>
      <c r="AJ23" s="44">
        <f t="shared" si="3"/>
        <v>4.9000000000000002E-2</v>
      </c>
      <c r="AL23" s="3">
        <v>19</v>
      </c>
      <c r="AM23" s="3">
        <f t="shared" si="4"/>
        <v>730</v>
      </c>
      <c r="AN23" s="3">
        <f t="shared" si="0"/>
        <v>872</v>
      </c>
      <c r="AO23" s="3">
        <f t="shared" si="9"/>
        <v>90</v>
      </c>
      <c r="AP23" s="46">
        <f t="shared" si="5"/>
        <v>1.0999999999999999E-2</v>
      </c>
    </row>
    <row r="24" spans="1:42" ht="18.75" thickBot="1">
      <c r="A24" s="4">
        <v>19</v>
      </c>
      <c r="B24" s="4">
        <v>865</v>
      </c>
      <c r="C24" s="4">
        <v>73</v>
      </c>
      <c r="D24" s="4">
        <v>46</v>
      </c>
      <c r="E24" s="4">
        <v>1.1599999999999999</v>
      </c>
      <c r="F24" s="4">
        <v>110</v>
      </c>
      <c r="G24" s="4">
        <v>1007</v>
      </c>
      <c r="H24" s="3">
        <f t="shared" si="6"/>
        <v>1910.92</v>
      </c>
      <c r="K24" s="3">
        <v>20</v>
      </c>
      <c r="L24" s="3">
        <v>865</v>
      </c>
      <c r="M24" s="3">
        <v>75</v>
      </c>
      <c r="N24" s="3">
        <v>43.3</v>
      </c>
      <c r="O24" s="3">
        <v>1.25</v>
      </c>
      <c r="P24" s="3">
        <v>105</v>
      </c>
      <c r="Q24" s="3">
        <v>1081</v>
      </c>
      <c r="R24" s="3">
        <f t="shared" si="7"/>
        <v>1748.88</v>
      </c>
      <c r="S24" s="8">
        <f t="shared" si="8"/>
        <v>35</v>
      </c>
      <c r="T24" s="3">
        <v>20</v>
      </c>
      <c r="U24" s="29">
        <f>_xlfn.XLOOKUP($T24,'STD SAP'!$W:$W,'STD SAP'!X:X)*1000-L24</f>
        <v>0</v>
      </c>
      <c r="V24" s="30">
        <f>_xlfn.XLOOKUP($T24,'STD SAP'!$W:$W,'STD SAP'!AA:AA)-O24</f>
        <v>0</v>
      </c>
      <c r="W24" s="3">
        <v>50</v>
      </c>
      <c r="X24" s="30">
        <v>11.379</v>
      </c>
      <c r="Y24" s="33">
        <f t="shared" si="1"/>
        <v>1.0999999999999999E-2</v>
      </c>
      <c r="AA24" s="36">
        <v>15</v>
      </c>
      <c r="AB24" s="40">
        <v>0.49</v>
      </c>
      <c r="AC24" s="38">
        <v>1.86</v>
      </c>
      <c r="AD24" s="39">
        <v>1.0880000000000001</v>
      </c>
      <c r="AE24" s="39">
        <v>0.53200000000000003</v>
      </c>
      <c r="AF24" s="36">
        <v>294</v>
      </c>
      <c r="AG24" s="36">
        <v>33</v>
      </c>
      <c r="AH24" s="45">
        <f t="shared" si="10"/>
        <v>1.2000000000000011E-2</v>
      </c>
      <c r="AI24" s="3">
        <f t="shared" si="2"/>
        <v>490</v>
      </c>
      <c r="AJ24" s="44">
        <f t="shared" si="3"/>
        <v>0.05</v>
      </c>
      <c r="AL24" s="3">
        <v>20</v>
      </c>
      <c r="AM24" s="3">
        <f t="shared" si="4"/>
        <v>780</v>
      </c>
      <c r="AN24" s="3">
        <f t="shared" si="0"/>
        <v>966</v>
      </c>
      <c r="AO24" s="3">
        <f t="shared" si="9"/>
        <v>94</v>
      </c>
      <c r="AP24" s="46">
        <f t="shared" si="5"/>
        <v>1.0999999999999999E-2</v>
      </c>
    </row>
    <row r="25" spans="1:42" ht="18.75" thickBot="1">
      <c r="A25" s="4">
        <v>20</v>
      </c>
      <c r="B25" s="4">
        <v>941</v>
      </c>
      <c r="C25" s="4">
        <v>75</v>
      </c>
      <c r="D25" s="4">
        <v>47</v>
      </c>
      <c r="E25" s="4">
        <v>1.19</v>
      </c>
      <c r="F25" s="4">
        <v>114</v>
      </c>
      <c r="G25" s="4">
        <v>1121</v>
      </c>
      <c r="H25" s="3">
        <f t="shared" si="6"/>
        <v>1980.4079999999999</v>
      </c>
      <c r="K25" s="3">
        <v>21</v>
      </c>
      <c r="L25" s="3">
        <v>943</v>
      </c>
      <c r="M25" s="3">
        <v>78</v>
      </c>
      <c r="N25" s="3">
        <v>44.9</v>
      </c>
      <c r="O25" s="3">
        <v>1.264</v>
      </c>
      <c r="P25" s="3">
        <v>111</v>
      </c>
      <c r="Q25" s="3">
        <v>1192</v>
      </c>
      <c r="R25" s="3">
        <f t="shared" si="7"/>
        <v>1848.816</v>
      </c>
      <c r="S25" s="8">
        <f t="shared" si="8"/>
        <v>37</v>
      </c>
      <c r="T25" s="3">
        <v>21</v>
      </c>
      <c r="U25" s="29">
        <f>_xlfn.XLOOKUP($T25,'STD SAP'!$W:$W,'STD SAP'!X:X)*1000-L25</f>
        <v>0</v>
      </c>
      <c r="V25" s="30">
        <f>_xlfn.XLOOKUP($T25,'STD SAP'!$W:$W,'STD SAP'!AA:AA)-O25</f>
        <v>0</v>
      </c>
      <c r="W25" s="3">
        <v>51</v>
      </c>
      <c r="X25" s="30">
        <v>11.618</v>
      </c>
      <c r="Y25" s="33">
        <f t="shared" si="1"/>
        <v>1.2E-2</v>
      </c>
      <c r="AA25" s="36">
        <v>15</v>
      </c>
      <c r="AB25" s="40">
        <v>0.5</v>
      </c>
      <c r="AC25" s="38">
        <v>1.86</v>
      </c>
      <c r="AD25" s="39">
        <v>1.093</v>
      </c>
      <c r="AE25" s="39">
        <v>0.54600000000000004</v>
      </c>
      <c r="AF25" s="36">
        <v>299</v>
      </c>
      <c r="AG25" s="36">
        <v>33</v>
      </c>
      <c r="AH25" s="45">
        <f t="shared" si="10"/>
        <v>1.4000000000000012E-2</v>
      </c>
      <c r="AI25" s="3">
        <f t="shared" si="2"/>
        <v>500</v>
      </c>
      <c r="AJ25" s="44">
        <f t="shared" si="3"/>
        <v>5.0999999999999997E-2</v>
      </c>
      <c r="AL25" s="3">
        <v>21</v>
      </c>
      <c r="AM25" s="3">
        <f t="shared" si="4"/>
        <v>840</v>
      </c>
      <c r="AN25" s="3">
        <f t="shared" si="0"/>
        <v>1063</v>
      </c>
      <c r="AO25" s="3">
        <f t="shared" si="9"/>
        <v>97</v>
      </c>
      <c r="AP25" s="46">
        <f t="shared" si="5"/>
        <v>1.2E-2</v>
      </c>
    </row>
    <row r="26" spans="1:42" ht="18.75" thickBot="1">
      <c r="A26" s="4">
        <v>21</v>
      </c>
      <c r="B26" s="4">
        <v>1018</v>
      </c>
      <c r="C26" s="4">
        <v>78</v>
      </c>
      <c r="D26" s="4">
        <v>48</v>
      </c>
      <c r="E26" s="4">
        <v>1.22</v>
      </c>
      <c r="F26" s="4">
        <v>118</v>
      </c>
      <c r="G26" s="4">
        <v>1239</v>
      </c>
      <c r="H26" s="3">
        <f t="shared" si="6"/>
        <v>2049.8960000000002</v>
      </c>
      <c r="K26" s="3">
        <v>22</v>
      </c>
      <c r="L26" s="3">
        <v>1023</v>
      </c>
      <c r="M26" s="3">
        <v>80</v>
      </c>
      <c r="N26" s="3">
        <v>46.4</v>
      </c>
      <c r="O26" s="3">
        <v>1.284</v>
      </c>
      <c r="P26" s="3">
        <v>117</v>
      </c>
      <c r="Q26" s="3">
        <v>1309</v>
      </c>
      <c r="R26" s="3">
        <f t="shared" si="7"/>
        <v>1948.752</v>
      </c>
      <c r="S26" s="8">
        <f t="shared" si="8"/>
        <v>39</v>
      </c>
      <c r="T26" s="3">
        <v>22</v>
      </c>
      <c r="U26" s="29">
        <f>_xlfn.XLOOKUP($T26,'STD SAP'!$W:$W,'STD SAP'!X:X)*1000-L26</f>
        <v>0</v>
      </c>
      <c r="V26" s="30">
        <f>_xlfn.XLOOKUP($T26,'STD SAP'!$W:$W,'STD SAP'!AA:AA)-O26</f>
        <v>0</v>
      </c>
      <c r="W26" s="3">
        <v>52</v>
      </c>
      <c r="X26" s="30">
        <v>11.856999999999999</v>
      </c>
      <c r="Y26" s="33">
        <f t="shared" si="1"/>
        <v>1.2E-2</v>
      </c>
      <c r="AA26" s="36">
        <v>15</v>
      </c>
      <c r="AB26" s="40">
        <v>0.51</v>
      </c>
      <c r="AC26" s="38">
        <v>1.86</v>
      </c>
      <c r="AD26" s="39">
        <v>1.0980000000000001</v>
      </c>
      <c r="AE26" s="39">
        <v>0.56000000000000005</v>
      </c>
      <c r="AF26" s="36">
        <v>304</v>
      </c>
      <c r="AG26" s="36">
        <v>34</v>
      </c>
      <c r="AH26" s="45">
        <f t="shared" si="10"/>
        <v>1.4000000000000012E-2</v>
      </c>
      <c r="AI26" s="3">
        <f t="shared" si="2"/>
        <v>510</v>
      </c>
      <c r="AJ26" s="44">
        <f t="shared" si="3"/>
        <v>5.1999999999999998E-2</v>
      </c>
      <c r="AL26" s="3">
        <v>22</v>
      </c>
      <c r="AM26" s="3">
        <f t="shared" si="4"/>
        <v>920</v>
      </c>
      <c r="AN26" s="3">
        <f t="shared" si="0"/>
        <v>1187</v>
      </c>
      <c r="AO26" s="3">
        <f t="shared" si="9"/>
        <v>124</v>
      </c>
      <c r="AP26" s="46">
        <f t="shared" si="5"/>
        <v>1.2E-2</v>
      </c>
    </row>
    <row r="27" spans="1:42" ht="18.75" thickBot="1">
      <c r="A27" s="4">
        <v>22</v>
      </c>
      <c r="B27" s="4">
        <v>1098</v>
      </c>
      <c r="C27" s="4">
        <v>80</v>
      </c>
      <c r="D27" s="4">
        <v>50</v>
      </c>
      <c r="E27" s="4">
        <v>1.24</v>
      </c>
      <c r="F27" s="4">
        <v>123</v>
      </c>
      <c r="G27" s="4">
        <v>1362</v>
      </c>
      <c r="H27" s="3">
        <f t="shared" si="6"/>
        <v>2136.7559999999999</v>
      </c>
      <c r="K27" s="3">
        <v>23</v>
      </c>
      <c r="L27" s="3">
        <v>1104</v>
      </c>
      <c r="M27" s="3">
        <v>81</v>
      </c>
      <c r="N27" s="3">
        <v>47.8</v>
      </c>
      <c r="O27" s="3">
        <v>1.3029999999999999</v>
      </c>
      <c r="P27" s="3">
        <v>123</v>
      </c>
      <c r="Q27" s="3">
        <v>1432</v>
      </c>
      <c r="R27" s="3">
        <f t="shared" si="7"/>
        <v>2048.6880000000001</v>
      </c>
      <c r="S27" s="8">
        <f t="shared" si="8"/>
        <v>41</v>
      </c>
      <c r="T27" s="3">
        <v>23</v>
      </c>
      <c r="U27" s="29">
        <f>_xlfn.XLOOKUP($T27,'STD SAP'!$W:$W,'STD SAP'!X:X)*1000-L27</f>
        <v>0</v>
      </c>
      <c r="V27" s="30">
        <f>_xlfn.XLOOKUP($T27,'STD SAP'!$W:$W,'STD SAP'!AA:AA)-O27</f>
        <v>0</v>
      </c>
      <c r="W27" s="3">
        <v>53</v>
      </c>
      <c r="X27" s="30">
        <v>12.096</v>
      </c>
      <c r="Y27" s="33">
        <f t="shared" si="1"/>
        <v>1.2E-2</v>
      </c>
      <c r="AA27" s="36">
        <v>15</v>
      </c>
      <c r="AB27" s="40">
        <v>0.52</v>
      </c>
      <c r="AC27" s="38">
        <v>1.86</v>
      </c>
      <c r="AD27" s="39">
        <v>1.1020000000000001</v>
      </c>
      <c r="AE27" s="39">
        <v>0.57299999999999995</v>
      </c>
      <c r="AF27" s="36">
        <v>309</v>
      </c>
      <c r="AG27" s="36">
        <v>35</v>
      </c>
      <c r="AH27" s="45">
        <f t="shared" si="10"/>
        <v>1.2999999999999901E-2</v>
      </c>
      <c r="AI27" s="3">
        <f t="shared" si="2"/>
        <v>520</v>
      </c>
      <c r="AJ27" s="44">
        <f t="shared" si="3"/>
        <v>5.2999999999999999E-2</v>
      </c>
      <c r="AL27" s="3">
        <v>23</v>
      </c>
      <c r="AM27" s="3">
        <f t="shared" si="4"/>
        <v>1010</v>
      </c>
      <c r="AN27" s="3">
        <f t="shared" si="0"/>
        <v>1330</v>
      </c>
      <c r="AO27" s="3">
        <f t="shared" si="9"/>
        <v>143</v>
      </c>
      <c r="AP27" s="46">
        <f t="shared" si="5"/>
        <v>1.2E-2</v>
      </c>
    </row>
    <row r="28" spans="1:42" ht="18.75" thickBot="1">
      <c r="A28" s="4">
        <v>23</v>
      </c>
      <c r="B28" s="4">
        <v>1180</v>
      </c>
      <c r="C28" s="4">
        <v>82</v>
      </c>
      <c r="D28" s="4">
        <v>51</v>
      </c>
      <c r="E28" s="4">
        <v>1.26</v>
      </c>
      <c r="F28" s="4">
        <v>128</v>
      </c>
      <c r="G28" s="4">
        <v>1489</v>
      </c>
      <c r="H28" s="3">
        <f t="shared" si="6"/>
        <v>2223.616</v>
      </c>
      <c r="K28" s="3">
        <v>24</v>
      </c>
      <c r="L28" s="3">
        <v>1186</v>
      </c>
      <c r="M28" s="3">
        <v>82</v>
      </c>
      <c r="N28" s="3">
        <v>49.3</v>
      </c>
      <c r="O28" s="3">
        <v>1.321</v>
      </c>
      <c r="P28" s="3">
        <v>130</v>
      </c>
      <c r="Q28" s="3">
        <v>1562</v>
      </c>
      <c r="R28" s="3">
        <f t="shared" si="7"/>
        <v>2165.2800000000002</v>
      </c>
      <c r="S28" s="8">
        <f t="shared" si="8"/>
        <v>43.5</v>
      </c>
      <c r="T28" s="3">
        <v>24</v>
      </c>
      <c r="U28" s="29">
        <f>_xlfn.XLOOKUP($T28,'STD SAP'!$W:$W,'STD SAP'!X:X)*1000-L28</f>
        <v>0</v>
      </c>
      <c r="V28" s="30">
        <f>_xlfn.XLOOKUP($T28,'STD SAP'!$W:$W,'STD SAP'!AA:AA)-O28</f>
        <v>0</v>
      </c>
      <c r="W28" s="3">
        <v>54</v>
      </c>
      <c r="X28" s="30">
        <v>12.336</v>
      </c>
      <c r="Y28" s="33">
        <f t="shared" si="1"/>
        <v>1.2E-2</v>
      </c>
      <c r="AA28" s="36">
        <v>15</v>
      </c>
      <c r="AB28" s="40">
        <v>0.53</v>
      </c>
      <c r="AC28" s="38">
        <v>1.86</v>
      </c>
      <c r="AD28" s="39">
        <v>1.107</v>
      </c>
      <c r="AE28" s="39">
        <v>0.58699999999999997</v>
      </c>
      <c r="AF28" s="36">
        <v>313</v>
      </c>
      <c r="AG28" s="36">
        <v>35</v>
      </c>
      <c r="AH28" s="45">
        <f t="shared" si="10"/>
        <v>1.4000000000000012E-2</v>
      </c>
      <c r="AI28" s="3">
        <f t="shared" si="2"/>
        <v>530</v>
      </c>
      <c r="AJ28" s="44">
        <f t="shared" si="3"/>
        <v>5.3999999999999999E-2</v>
      </c>
      <c r="AL28" s="3">
        <v>24</v>
      </c>
      <c r="AM28" s="3">
        <f t="shared" si="4"/>
        <v>1080</v>
      </c>
      <c r="AN28" s="3">
        <f t="shared" si="0"/>
        <v>1447</v>
      </c>
      <c r="AO28" s="3">
        <f t="shared" si="9"/>
        <v>117</v>
      </c>
      <c r="AP28" s="46">
        <f t="shared" si="5"/>
        <v>1.2E-2</v>
      </c>
    </row>
    <row r="29" spans="1:42" ht="18.75" thickBot="1">
      <c r="A29" s="4">
        <v>24</v>
      </c>
      <c r="B29" s="4">
        <v>1264</v>
      </c>
      <c r="C29" s="4">
        <v>84</v>
      </c>
      <c r="D29" s="4">
        <v>53</v>
      </c>
      <c r="E29" s="4">
        <v>1.28</v>
      </c>
      <c r="F29" s="4">
        <v>133</v>
      </c>
      <c r="G29" s="4">
        <v>1622</v>
      </c>
      <c r="H29" s="3">
        <f t="shared" si="6"/>
        <v>2310.4760000000001</v>
      </c>
      <c r="K29" s="3">
        <v>25</v>
      </c>
      <c r="L29" s="3">
        <v>1269</v>
      </c>
      <c r="M29" s="3">
        <v>83</v>
      </c>
      <c r="N29" s="3">
        <v>50.8</v>
      </c>
      <c r="O29" s="3">
        <v>1.337</v>
      </c>
      <c r="P29" s="3">
        <v>134</v>
      </c>
      <c r="Q29" s="3">
        <v>1696</v>
      </c>
      <c r="R29" s="3">
        <f t="shared" si="7"/>
        <v>2231.904</v>
      </c>
      <c r="S29" s="8">
        <f t="shared" si="8"/>
        <v>45</v>
      </c>
      <c r="T29" s="3">
        <v>25</v>
      </c>
      <c r="U29" s="29">
        <f>_xlfn.XLOOKUP($T29,'STD SAP'!$W:$W,'STD SAP'!X:X)*1000-L29</f>
        <v>0</v>
      </c>
      <c r="V29" s="30">
        <f>_xlfn.XLOOKUP($T29,'STD SAP'!$W:$W,'STD SAP'!AA:AA)-O29</f>
        <v>0</v>
      </c>
      <c r="W29" s="3">
        <v>55</v>
      </c>
      <c r="X29" s="30">
        <v>12.574999999999999</v>
      </c>
      <c r="Y29" s="33">
        <f t="shared" si="1"/>
        <v>1.2999999999999999E-2</v>
      </c>
      <c r="AA29" s="36">
        <v>15</v>
      </c>
      <c r="AB29" s="40">
        <v>0.54</v>
      </c>
      <c r="AC29" s="38">
        <v>1.86</v>
      </c>
      <c r="AD29" s="39">
        <v>1.1120000000000001</v>
      </c>
      <c r="AE29" s="39">
        <v>0.60099999999999998</v>
      </c>
      <c r="AF29" s="36">
        <v>318</v>
      </c>
      <c r="AG29" s="36">
        <v>36</v>
      </c>
      <c r="AH29" s="45">
        <f t="shared" si="10"/>
        <v>1.4000000000000012E-2</v>
      </c>
      <c r="AI29" s="3">
        <f t="shared" si="2"/>
        <v>540</v>
      </c>
      <c r="AJ29" s="44">
        <f t="shared" si="3"/>
        <v>5.5E-2</v>
      </c>
      <c r="AL29" s="3">
        <v>25</v>
      </c>
      <c r="AM29" s="3">
        <f t="shared" si="4"/>
        <v>1160</v>
      </c>
      <c r="AN29" s="3">
        <f t="shared" si="0"/>
        <v>1584</v>
      </c>
      <c r="AO29" s="3">
        <f t="shared" si="9"/>
        <v>137</v>
      </c>
      <c r="AP29" s="46">
        <f t="shared" si="5"/>
        <v>1.2999999999999999E-2</v>
      </c>
    </row>
    <row r="30" spans="1:42" ht="18.75" thickBot="1">
      <c r="A30" s="4">
        <v>25</v>
      </c>
      <c r="B30" s="4">
        <v>1349</v>
      </c>
      <c r="C30" s="4">
        <v>85</v>
      </c>
      <c r="D30" s="4">
        <v>54</v>
      </c>
      <c r="E30" s="4">
        <v>1.3</v>
      </c>
      <c r="F30" s="4">
        <v>137</v>
      </c>
      <c r="G30" s="4">
        <v>1759</v>
      </c>
      <c r="H30" s="3">
        <f t="shared" si="6"/>
        <v>2379.9639999999999</v>
      </c>
      <c r="K30" s="3">
        <v>26</v>
      </c>
      <c r="L30" s="3">
        <v>1353</v>
      </c>
      <c r="M30" s="3">
        <v>84</v>
      </c>
      <c r="N30" s="3">
        <v>52.1</v>
      </c>
      <c r="O30" s="3">
        <v>1.3560000000000001</v>
      </c>
      <c r="P30" s="3">
        <v>141</v>
      </c>
      <c r="Q30" s="3">
        <v>1837</v>
      </c>
      <c r="R30" s="3">
        <f t="shared" si="7"/>
        <v>2348.4960000000001</v>
      </c>
      <c r="S30" s="8">
        <f t="shared" si="8"/>
        <v>47</v>
      </c>
      <c r="T30" s="3">
        <v>26</v>
      </c>
      <c r="U30" s="29">
        <f>_xlfn.XLOOKUP($T30,'STD SAP'!$W:$W,'STD SAP'!X:X)*1000-L30</f>
        <v>0</v>
      </c>
      <c r="V30" s="30">
        <f>_xlfn.XLOOKUP($T30,'STD SAP'!$W:$W,'STD SAP'!AA:AA)-O30</f>
        <v>0</v>
      </c>
      <c r="W30" s="3">
        <v>56</v>
      </c>
      <c r="X30" s="30">
        <v>12.814</v>
      </c>
      <c r="Y30" s="33">
        <f t="shared" si="1"/>
        <v>1.2999999999999999E-2</v>
      </c>
      <c r="AA30" s="36">
        <v>16</v>
      </c>
      <c r="AB30" s="40">
        <v>0.55000000000000004</v>
      </c>
      <c r="AC30" s="38">
        <v>1.96</v>
      </c>
      <c r="AD30" s="39">
        <v>1.117</v>
      </c>
      <c r="AE30" s="39">
        <v>0.61199999999999999</v>
      </c>
      <c r="AF30" s="36">
        <v>301</v>
      </c>
      <c r="AG30" s="36">
        <v>34</v>
      </c>
      <c r="AH30" s="45">
        <f t="shared" si="10"/>
        <v>1.100000000000001E-2</v>
      </c>
      <c r="AI30" s="3">
        <f t="shared" si="2"/>
        <v>550</v>
      </c>
      <c r="AJ30" s="44">
        <f t="shared" si="3"/>
        <v>5.6000000000000001E-2</v>
      </c>
      <c r="AL30" s="3">
        <v>26</v>
      </c>
      <c r="AM30" s="3">
        <f t="shared" si="4"/>
        <v>1240</v>
      </c>
      <c r="AN30" s="3">
        <f t="shared" si="0"/>
        <v>1725</v>
      </c>
      <c r="AO30" s="3">
        <f t="shared" si="9"/>
        <v>141</v>
      </c>
      <c r="AP30" s="46">
        <f t="shared" si="5"/>
        <v>1.2999999999999999E-2</v>
      </c>
    </row>
    <row r="31" spans="1:42" ht="18.75" thickBot="1">
      <c r="A31" s="4">
        <v>26</v>
      </c>
      <c r="B31" s="4">
        <v>1436</v>
      </c>
      <c r="C31" s="4">
        <v>87</v>
      </c>
      <c r="D31" s="4">
        <v>55</v>
      </c>
      <c r="E31" s="4">
        <v>1.33</v>
      </c>
      <c r="F31" s="4">
        <v>144</v>
      </c>
      <c r="G31" s="4">
        <v>1903</v>
      </c>
      <c r="H31" s="3">
        <f t="shared" si="6"/>
        <v>2501.5680000000002</v>
      </c>
      <c r="K31" s="3">
        <v>27</v>
      </c>
      <c r="L31" s="3">
        <v>1438</v>
      </c>
      <c r="M31" s="3">
        <v>85</v>
      </c>
      <c r="N31" s="3">
        <v>53.6</v>
      </c>
      <c r="O31" s="3">
        <v>1.373</v>
      </c>
      <c r="P31" s="3">
        <v>148</v>
      </c>
      <c r="Q31" s="3">
        <v>1985</v>
      </c>
      <c r="R31" s="3">
        <f t="shared" si="7"/>
        <v>2465.0880000000002</v>
      </c>
      <c r="S31" s="8">
        <f t="shared" si="8"/>
        <v>49.5</v>
      </c>
      <c r="T31" s="3">
        <v>27</v>
      </c>
      <c r="U31" s="29">
        <f>_xlfn.XLOOKUP($T31,'STD SAP'!$W:$W,'STD SAP'!X:X)*1000-L31</f>
        <v>0</v>
      </c>
      <c r="V31" s="30">
        <f>_xlfn.XLOOKUP($T31,'STD SAP'!$W:$W,'STD SAP'!AA:AA)-O31</f>
        <v>0</v>
      </c>
      <c r="W31" s="3">
        <v>57</v>
      </c>
      <c r="X31" s="30">
        <v>13.054</v>
      </c>
      <c r="Y31" s="33">
        <f t="shared" si="1"/>
        <v>1.2999999999999999E-2</v>
      </c>
      <c r="AA31" s="36">
        <v>16</v>
      </c>
      <c r="AB31" s="40">
        <v>0.56000000000000005</v>
      </c>
      <c r="AC31" s="38">
        <v>1.96</v>
      </c>
      <c r="AD31" s="39">
        <v>1.1220000000000001</v>
      </c>
      <c r="AE31" s="39">
        <v>0.628</v>
      </c>
      <c r="AF31" s="36">
        <v>306</v>
      </c>
      <c r="AG31" s="36">
        <v>35</v>
      </c>
      <c r="AH31" s="45">
        <f t="shared" si="10"/>
        <v>1.6000000000000014E-2</v>
      </c>
      <c r="AI31" s="3">
        <f t="shared" si="2"/>
        <v>560</v>
      </c>
      <c r="AJ31" s="44">
        <f t="shared" si="3"/>
        <v>5.7000000000000002E-2</v>
      </c>
      <c r="AL31" s="3">
        <v>27</v>
      </c>
      <c r="AM31" s="3">
        <f t="shared" si="4"/>
        <v>1320</v>
      </c>
      <c r="AN31" s="3">
        <f t="shared" si="0"/>
        <v>1869</v>
      </c>
      <c r="AO31" s="3">
        <f t="shared" si="9"/>
        <v>144</v>
      </c>
      <c r="AP31" s="46">
        <f t="shared" si="5"/>
        <v>1.2999999999999999E-2</v>
      </c>
    </row>
    <row r="32" spans="1:42" ht="18.75" thickBot="1">
      <c r="A32" s="4">
        <v>27</v>
      </c>
      <c r="B32" s="4">
        <v>1525</v>
      </c>
      <c r="C32" s="4">
        <v>89</v>
      </c>
      <c r="D32" s="4">
        <v>56</v>
      </c>
      <c r="E32" s="4">
        <v>1.35</v>
      </c>
      <c r="F32" s="4">
        <v>150</v>
      </c>
      <c r="G32" s="4">
        <v>2054</v>
      </c>
      <c r="H32" s="3">
        <f t="shared" si="6"/>
        <v>2605.8000000000002</v>
      </c>
      <c r="K32" s="3">
        <v>28</v>
      </c>
      <c r="L32" s="3">
        <v>1524</v>
      </c>
      <c r="M32" s="3">
        <v>86</v>
      </c>
      <c r="N32" s="3">
        <v>54.4</v>
      </c>
      <c r="O32" s="3">
        <v>1.4019999999999999</v>
      </c>
      <c r="P32" s="3">
        <v>152</v>
      </c>
      <c r="Q32" s="3">
        <v>2137</v>
      </c>
      <c r="R32" s="3">
        <f t="shared" si="7"/>
        <v>2531.712</v>
      </c>
      <c r="S32" s="8">
        <f t="shared" si="8"/>
        <v>51</v>
      </c>
      <c r="T32" s="3">
        <v>28</v>
      </c>
      <c r="U32" s="29">
        <f>_xlfn.XLOOKUP($T32,'STD SAP'!$W:$W,'STD SAP'!X:X)*1000-L32</f>
        <v>0</v>
      </c>
      <c r="V32" s="30">
        <f>_xlfn.XLOOKUP($T32,'STD SAP'!$W:$W,'STD SAP'!AA:AA)-O32</f>
        <v>0</v>
      </c>
      <c r="W32" s="3">
        <v>58</v>
      </c>
      <c r="X32" s="30">
        <v>13.292999999999999</v>
      </c>
      <c r="Y32" s="33">
        <f t="shared" si="1"/>
        <v>1.2999999999999999E-2</v>
      </c>
      <c r="AA32" s="36">
        <v>16</v>
      </c>
      <c r="AB32" s="40">
        <v>0.56999999999999995</v>
      </c>
      <c r="AC32" s="38">
        <v>1.96</v>
      </c>
      <c r="AD32" s="39">
        <v>1.1259999999999999</v>
      </c>
      <c r="AE32" s="39">
        <v>0.64200000000000002</v>
      </c>
      <c r="AF32" s="36">
        <v>310</v>
      </c>
      <c r="AG32" s="36">
        <v>36</v>
      </c>
      <c r="AH32" s="45">
        <f t="shared" si="10"/>
        <v>1.4000000000000012E-2</v>
      </c>
      <c r="AI32" s="3">
        <f t="shared" si="2"/>
        <v>570</v>
      </c>
      <c r="AJ32" s="44">
        <f t="shared" si="3"/>
        <v>5.8000000000000003E-2</v>
      </c>
      <c r="AL32" s="3">
        <v>28</v>
      </c>
      <c r="AM32" s="3">
        <f t="shared" si="4"/>
        <v>1400</v>
      </c>
      <c r="AN32" s="3">
        <f t="shared" si="0"/>
        <v>2020</v>
      </c>
      <c r="AO32" s="3">
        <f t="shared" si="9"/>
        <v>151</v>
      </c>
      <c r="AP32" s="46">
        <f t="shared" si="5"/>
        <v>1.2999999999999999E-2</v>
      </c>
    </row>
    <row r="33" spans="1:42" ht="18.75" thickBot="1">
      <c r="A33" s="4">
        <v>28</v>
      </c>
      <c r="B33" s="4">
        <v>1615</v>
      </c>
      <c r="C33" s="4">
        <v>90</v>
      </c>
      <c r="D33" s="4">
        <v>58</v>
      </c>
      <c r="E33" s="4">
        <v>1.37</v>
      </c>
      <c r="F33" s="4">
        <v>156</v>
      </c>
      <c r="G33" s="4">
        <v>2209</v>
      </c>
      <c r="H33" s="3">
        <f t="shared" si="6"/>
        <v>2710.0320000000002</v>
      </c>
      <c r="K33" s="3">
        <v>29</v>
      </c>
      <c r="L33" s="3">
        <v>1613</v>
      </c>
      <c r="M33" s="3">
        <v>89</v>
      </c>
      <c r="N33" s="3">
        <v>55.6</v>
      </c>
      <c r="O33" s="3">
        <v>1.423</v>
      </c>
      <c r="P33" s="3">
        <v>158</v>
      </c>
      <c r="Q33" s="3">
        <v>2295</v>
      </c>
      <c r="R33" s="3">
        <f t="shared" si="7"/>
        <v>2631.6480000000001</v>
      </c>
      <c r="S33" s="8">
        <f t="shared" si="8"/>
        <v>53</v>
      </c>
      <c r="T33" s="3">
        <v>29</v>
      </c>
      <c r="U33" s="29">
        <f>_xlfn.XLOOKUP($T33,'STD SAP'!$W:$W,'STD SAP'!X:X)*1000-L33</f>
        <v>0</v>
      </c>
      <c r="V33" s="30">
        <f>_xlfn.XLOOKUP($T33,'STD SAP'!$W:$W,'STD SAP'!AA:AA)-O33</f>
        <v>0</v>
      </c>
      <c r="W33" s="3">
        <v>59</v>
      </c>
      <c r="X33" s="30">
        <v>13.532</v>
      </c>
      <c r="Y33" s="33">
        <f t="shared" si="1"/>
        <v>1.4E-2</v>
      </c>
      <c r="AA33" s="36">
        <v>16</v>
      </c>
      <c r="AB33" s="40">
        <v>0.57999999999999996</v>
      </c>
      <c r="AC33" s="38">
        <v>1.96</v>
      </c>
      <c r="AD33" s="39">
        <v>1.131</v>
      </c>
      <c r="AE33" s="39">
        <v>0.65600000000000003</v>
      </c>
      <c r="AF33" s="36">
        <v>314</v>
      </c>
      <c r="AG33" s="36">
        <v>36</v>
      </c>
      <c r="AH33" s="45">
        <f t="shared" si="10"/>
        <v>1.4000000000000012E-2</v>
      </c>
      <c r="AI33" s="3">
        <f t="shared" si="2"/>
        <v>580</v>
      </c>
      <c r="AJ33" s="44">
        <f t="shared" si="3"/>
        <v>5.8999999999999997E-2</v>
      </c>
      <c r="AL33" s="3">
        <v>29</v>
      </c>
      <c r="AM33" s="3">
        <f t="shared" si="4"/>
        <v>1490</v>
      </c>
      <c r="AN33" s="3">
        <f t="shared" si="0"/>
        <v>2183</v>
      </c>
      <c r="AO33" s="3">
        <f t="shared" si="9"/>
        <v>163</v>
      </c>
      <c r="AP33" s="46">
        <f t="shared" si="5"/>
        <v>1.4E-2</v>
      </c>
    </row>
    <row r="34" spans="1:42" ht="18.75" thickBot="1">
      <c r="A34" s="4">
        <v>29</v>
      </c>
      <c r="B34" s="4">
        <v>1706</v>
      </c>
      <c r="C34" s="4">
        <v>91</v>
      </c>
      <c r="D34" s="4">
        <v>59</v>
      </c>
      <c r="E34" s="4">
        <v>1.39</v>
      </c>
      <c r="F34" s="4">
        <v>160</v>
      </c>
      <c r="G34" s="4">
        <v>2369</v>
      </c>
      <c r="H34" s="3">
        <f t="shared" si="6"/>
        <v>2779.52</v>
      </c>
      <c r="K34" s="3">
        <v>30</v>
      </c>
      <c r="L34" s="3">
        <v>1705</v>
      </c>
      <c r="M34" s="3">
        <v>92</v>
      </c>
      <c r="N34" s="3">
        <v>56.8</v>
      </c>
      <c r="O34" s="3">
        <v>1.4419999999999999</v>
      </c>
      <c r="P34" s="3">
        <v>163</v>
      </c>
      <c r="Q34" s="3">
        <v>2458</v>
      </c>
      <c r="R34" s="3">
        <f t="shared" si="7"/>
        <v>2714.9279999999999</v>
      </c>
      <c r="S34" s="8">
        <f t="shared" si="8"/>
        <v>54.5</v>
      </c>
      <c r="T34" s="3">
        <v>30</v>
      </c>
      <c r="U34" s="29">
        <f>_xlfn.XLOOKUP($T34,'STD SAP'!$W:$W,'STD SAP'!X:X)*1000-L34</f>
        <v>0</v>
      </c>
      <c r="V34" s="30">
        <f>_xlfn.XLOOKUP($T34,'STD SAP'!$W:$W,'STD SAP'!AA:AA)-O34</f>
        <v>0</v>
      </c>
      <c r="W34" s="3">
        <v>60</v>
      </c>
      <c r="X34" s="30">
        <v>13.771000000000001</v>
      </c>
      <c r="Y34" s="33">
        <f t="shared" si="1"/>
        <v>1.4E-2</v>
      </c>
      <c r="AA34" s="36">
        <v>16</v>
      </c>
      <c r="AB34" s="40">
        <v>0.59</v>
      </c>
      <c r="AC34" s="38">
        <v>1.96</v>
      </c>
      <c r="AD34" s="39">
        <v>1.1359999999999999</v>
      </c>
      <c r="AE34" s="39">
        <v>0.67</v>
      </c>
      <c r="AF34" s="36">
        <v>318</v>
      </c>
      <c r="AG34" s="36">
        <v>37</v>
      </c>
      <c r="AH34" s="45">
        <f t="shared" si="10"/>
        <v>1.4000000000000012E-2</v>
      </c>
      <c r="AI34" s="3">
        <f t="shared" si="2"/>
        <v>590</v>
      </c>
      <c r="AJ34" s="44">
        <f t="shared" si="3"/>
        <v>0.06</v>
      </c>
      <c r="AL34" s="3">
        <v>30</v>
      </c>
      <c r="AM34" s="3">
        <f t="shared" si="4"/>
        <v>1570</v>
      </c>
      <c r="AN34" s="3">
        <f t="shared" si="0"/>
        <v>2350</v>
      </c>
      <c r="AO34" s="3">
        <f t="shared" si="9"/>
        <v>167</v>
      </c>
      <c r="AP34" s="46">
        <f t="shared" si="5"/>
        <v>1.4E-2</v>
      </c>
    </row>
    <row r="35" spans="1:42" ht="18.75" thickBot="1">
      <c r="A35" s="4">
        <v>30</v>
      </c>
      <c r="B35" s="4">
        <v>1798</v>
      </c>
      <c r="C35" s="4">
        <v>92</v>
      </c>
      <c r="D35" s="4">
        <v>60</v>
      </c>
      <c r="E35" s="4">
        <v>1.41</v>
      </c>
      <c r="F35" s="4">
        <v>164</v>
      </c>
      <c r="G35" s="4">
        <v>2533</v>
      </c>
      <c r="H35" s="3">
        <f t="shared" si="6"/>
        <v>2849.0079999999998</v>
      </c>
      <c r="K35" s="3">
        <v>31</v>
      </c>
      <c r="L35" s="3">
        <v>1799</v>
      </c>
      <c r="M35" s="3">
        <v>94</v>
      </c>
      <c r="N35" s="3">
        <v>58</v>
      </c>
      <c r="O35" s="3">
        <v>1.46</v>
      </c>
      <c r="P35" s="3">
        <v>169</v>
      </c>
      <c r="Q35" s="3">
        <v>2627</v>
      </c>
      <c r="R35" s="3">
        <f t="shared" si="7"/>
        <v>2814.864</v>
      </c>
      <c r="S35" s="8">
        <f t="shared" si="8"/>
        <v>56.5</v>
      </c>
      <c r="T35" s="3">
        <v>31</v>
      </c>
      <c r="U35" s="29">
        <f>_xlfn.XLOOKUP($T35,'STD SAP'!$W:$W,'STD SAP'!X:X)*1000-L35</f>
        <v>0</v>
      </c>
      <c r="V35" s="30">
        <f>_xlfn.XLOOKUP($T35,'STD SAP'!$W:$W,'STD SAP'!AA:AA)-O35</f>
        <v>0</v>
      </c>
      <c r="W35" s="3">
        <v>61</v>
      </c>
      <c r="X35" s="30">
        <v>14.010999999999999</v>
      </c>
      <c r="Y35" s="33">
        <f t="shared" si="1"/>
        <v>1.4E-2</v>
      </c>
      <c r="AA35" s="36">
        <v>16</v>
      </c>
      <c r="AB35" s="40">
        <v>0.6</v>
      </c>
      <c r="AC35" s="38">
        <v>1.96</v>
      </c>
      <c r="AD35" s="39">
        <v>1.1399999999999999</v>
      </c>
      <c r="AE35" s="39">
        <v>0.68400000000000005</v>
      </c>
      <c r="AF35" s="36">
        <v>322</v>
      </c>
      <c r="AG35" s="36">
        <v>38</v>
      </c>
      <c r="AH35" s="45">
        <f t="shared" si="10"/>
        <v>1.4000000000000012E-2</v>
      </c>
      <c r="AI35" s="3">
        <f t="shared" si="2"/>
        <v>600</v>
      </c>
      <c r="AJ35" s="44">
        <f t="shared" si="3"/>
        <v>6.0999999999999999E-2</v>
      </c>
      <c r="AL35" s="3">
        <v>31</v>
      </c>
      <c r="AM35" s="3">
        <f t="shared" si="4"/>
        <v>1660</v>
      </c>
      <c r="AN35" s="3">
        <f t="shared" si="0"/>
        <v>2521</v>
      </c>
      <c r="AO35" s="3">
        <f t="shared" si="9"/>
        <v>171</v>
      </c>
      <c r="AP35" s="46">
        <f t="shared" si="5"/>
        <v>1.4E-2</v>
      </c>
    </row>
    <row r="36" spans="1:42" ht="18.75" thickBot="1">
      <c r="A36" s="4">
        <v>31</v>
      </c>
      <c r="B36" s="4">
        <v>1892</v>
      </c>
      <c r="C36" s="4">
        <v>93</v>
      </c>
      <c r="D36" s="4">
        <v>61</v>
      </c>
      <c r="E36" s="4">
        <v>1.43</v>
      </c>
      <c r="F36" s="4">
        <v>167</v>
      </c>
      <c r="G36" s="4">
        <v>2700</v>
      </c>
      <c r="H36" s="3">
        <f t="shared" si="6"/>
        <v>2901.1239999999998</v>
      </c>
      <c r="K36" s="3">
        <v>32</v>
      </c>
      <c r="L36" s="3">
        <v>1895</v>
      </c>
      <c r="M36" s="3">
        <v>96</v>
      </c>
      <c r="N36" s="3">
        <v>59.2</v>
      </c>
      <c r="O36" s="3">
        <v>1.478</v>
      </c>
      <c r="P36" s="3">
        <v>174</v>
      </c>
      <c r="Q36" s="3">
        <v>2801</v>
      </c>
      <c r="R36" s="3">
        <f t="shared" si="7"/>
        <v>2898.1439999999998</v>
      </c>
      <c r="S36" s="8">
        <f t="shared" si="8"/>
        <v>58</v>
      </c>
      <c r="T36" s="3">
        <v>32</v>
      </c>
      <c r="U36" s="29">
        <f>_xlfn.XLOOKUP($T36,'STD SAP'!$W:$W,'STD SAP'!X:X)*1000-L36</f>
        <v>0</v>
      </c>
      <c r="V36" s="30">
        <f>_xlfn.XLOOKUP($T36,'STD SAP'!$W:$W,'STD SAP'!AA:AA)-O36</f>
        <v>0</v>
      </c>
      <c r="W36" s="3">
        <v>62</v>
      </c>
      <c r="X36" s="30">
        <v>14.25</v>
      </c>
      <c r="Y36" s="33">
        <f t="shared" si="1"/>
        <v>1.4E-2</v>
      </c>
      <c r="AA36" s="36">
        <v>17</v>
      </c>
      <c r="AB36" s="40">
        <v>0.61</v>
      </c>
      <c r="AC36" s="38">
        <v>2.0699999999999998</v>
      </c>
      <c r="AD36" s="39">
        <v>1.145</v>
      </c>
      <c r="AE36" s="39">
        <v>0.69499999999999995</v>
      </c>
      <c r="AF36" s="36">
        <v>305</v>
      </c>
      <c r="AG36" s="36">
        <v>36</v>
      </c>
      <c r="AH36" s="45">
        <f t="shared" si="10"/>
        <v>1.0999999999999899E-2</v>
      </c>
      <c r="AI36" s="3">
        <f t="shared" si="2"/>
        <v>610</v>
      </c>
      <c r="AJ36" s="44">
        <f t="shared" si="3"/>
        <v>6.2E-2</v>
      </c>
      <c r="AL36" s="3">
        <v>32</v>
      </c>
      <c r="AM36" s="3">
        <f t="shared" si="4"/>
        <v>1750</v>
      </c>
      <c r="AN36" s="3">
        <f t="shared" ref="AN36:AN60" si="11">_xlfn.SINGLE(_xlfn.XLOOKUP(AL36,AA:AA,AE:AE))*1000</f>
        <v>2697</v>
      </c>
      <c r="AO36" s="3">
        <f t="shared" si="9"/>
        <v>176</v>
      </c>
      <c r="AP36" s="46">
        <f t="shared" si="5"/>
        <v>1.4E-2</v>
      </c>
    </row>
    <row r="37" spans="1:42" ht="18.75" thickBot="1">
      <c r="A37" s="4">
        <v>32</v>
      </c>
      <c r="B37" s="4">
        <v>1986</v>
      </c>
      <c r="C37" s="4">
        <v>94</v>
      </c>
      <c r="D37" s="4">
        <v>62</v>
      </c>
      <c r="E37" s="4">
        <v>1.45</v>
      </c>
      <c r="F37" s="4">
        <v>170</v>
      </c>
      <c r="G37" s="4">
        <v>2870</v>
      </c>
      <c r="H37" s="3">
        <f t="shared" si="6"/>
        <v>2953.24</v>
      </c>
      <c r="K37" s="3">
        <v>33</v>
      </c>
      <c r="L37" s="3">
        <v>1993</v>
      </c>
      <c r="M37" s="3">
        <v>98</v>
      </c>
      <c r="N37" s="3">
        <v>60.4</v>
      </c>
      <c r="O37" s="3">
        <v>1.496</v>
      </c>
      <c r="P37" s="3">
        <v>180</v>
      </c>
      <c r="Q37" s="3">
        <v>2981</v>
      </c>
      <c r="R37" s="3">
        <f t="shared" si="7"/>
        <v>2998.08</v>
      </c>
      <c r="S37" s="8">
        <f t="shared" si="8"/>
        <v>60</v>
      </c>
      <c r="T37" s="3">
        <v>33</v>
      </c>
      <c r="U37" s="29">
        <f>_xlfn.XLOOKUP($T37,'STD SAP'!$W:$W,'STD SAP'!X:X)*1000-L37</f>
        <v>0</v>
      </c>
      <c r="V37" s="30">
        <f>_xlfn.XLOOKUP($T37,'STD SAP'!$W:$W,'STD SAP'!AA:AA)-O37</f>
        <v>0</v>
      </c>
      <c r="W37" s="3">
        <v>63</v>
      </c>
      <c r="X37" s="30">
        <v>14.473000000000001</v>
      </c>
      <c r="Y37" s="33">
        <f t="shared" si="1"/>
        <v>1.4E-2</v>
      </c>
      <c r="AA37" s="36">
        <v>17</v>
      </c>
      <c r="AB37" s="40">
        <v>0.62</v>
      </c>
      <c r="AC37" s="38">
        <v>2.0699999999999998</v>
      </c>
      <c r="AD37" s="39">
        <v>1.1499999999999999</v>
      </c>
      <c r="AE37" s="39">
        <v>0.71299999999999997</v>
      </c>
      <c r="AF37" s="36">
        <v>311</v>
      </c>
      <c r="AG37" s="36">
        <v>37</v>
      </c>
      <c r="AH37" s="45">
        <f t="shared" si="10"/>
        <v>1.8000000000000016E-2</v>
      </c>
      <c r="AI37" s="3">
        <f t="shared" si="2"/>
        <v>620</v>
      </c>
      <c r="AJ37" s="44">
        <f t="shared" si="3"/>
        <v>6.3E-2</v>
      </c>
      <c r="AL37" s="3">
        <v>33</v>
      </c>
      <c r="AM37" s="3">
        <f t="shared" si="4"/>
        <v>1840</v>
      </c>
      <c r="AN37" s="3">
        <f t="shared" si="11"/>
        <v>2876</v>
      </c>
      <c r="AO37" s="3">
        <f t="shared" si="9"/>
        <v>179</v>
      </c>
      <c r="AP37" s="46">
        <f t="shared" si="5"/>
        <v>1.4E-2</v>
      </c>
    </row>
    <row r="38" spans="1:42" ht="18.75" thickBot="1">
      <c r="A38" s="4">
        <v>33</v>
      </c>
      <c r="B38" s="4">
        <v>2081</v>
      </c>
      <c r="C38" s="4">
        <v>95</v>
      </c>
      <c r="D38" s="4">
        <v>63</v>
      </c>
      <c r="E38" s="4">
        <v>1.46</v>
      </c>
      <c r="F38" s="4">
        <v>174</v>
      </c>
      <c r="G38" s="4">
        <v>3043</v>
      </c>
      <c r="H38" s="3">
        <f t="shared" si="6"/>
        <v>3022.7280000000001</v>
      </c>
      <c r="K38" s="3">
        <v>34</v>
      </c>
      <c r="L38" s="3">
        <v>2092</v>
      </c>
      <c r="M38" s="3">
        <v>99</v>
      </c>
      <c r="N38" s="3">
        <v>61.5</v>
      </c>
      <c r="O38" s="3">
        <v>1.512</v>
      </c>
      <c r="P38" s="3">
        <v>182</v>
      </c>
      <c r="Q38" s="3">
        <v>3163</v>
      </c>
      <c r="R38" s="3">
        <f t="shared" si="7"/>
        <v>3031.3919999999998</v>
      </c>
      <c r="S38" s="8">
        <f t="shared" si="8"/>
        <v>61</v>
      </c>
      <c r="T38" s="3">
        <v>34</v>
      </c>
      <c r="U38" s="29">
        <f>_xlfn.XLOOKUP($T38,'STD SAP'!$W:$W,'STD SAP'!X:X)*1000-L38</f>
        <v>0</v>
      </c>
      <c r="V38" s="30">
        <f>_xlfn.XLOOKUP($T38,'STD SAP'!$W:$W,'STD SAP'!AA:AA)-O38</f>
        <v>0</v>
      </c>
      <c r="W38" s="3">
        <v>64</v>
      </c>
      <c r="X38" s="30">
        <v>14.696999999999999</v>
      </c>
      <c r="Y38" s="33">
        <f t="shared" si="1"/>
        <v>1.4999999999999999E-2</v>
      </c>
      <c r="AA38" s="36">
        <v>17</v>
      </c>
      <c r="AB38" s="40">
        <v>0.63</v>
      </c>
      <c r="AC38" s="38">
        <v>2.0699999999999998</v>
      </c>
      <c r="AD38" s="39">
        <v>1.155</v>
      </c>
      <c r="AE38" s="39">
        <v>0.72699999999999998</v>
      </c>
      <c r="AF38" s="36">
        <v>314</v>
      </c>
      <c r="AG38" s="36">
        <v>37</v>
      </c>
      <c r="AH38" s="45">
        <f t="shared" si="10"/>
        <v>1.4000000000000012E-2</v>
      </c>
      <c r="AI38" s="3">
        <f t="shared" si="2"/>
        <v>630</v>
      </c>
      <c r="AJ38" s="44">
        <f t="shared" si="3"/>
        <v>6.4000000000000001E-2</v>
      </c>
      <c r="AL38" s="3">
        <v>34</v>
      </c>
      <c r="AM38" s="3">
        <f t="shared" si="4"/>
        <v>1930</v>
      </c>
      <c r="AN38" s="3">
        <f t="shared" si="11"/>
        <v>3060</v>
      </c>
      <c r="AO38" s="3">
        <f t="shared" si="9"/>
        <v>184</v>
      </c>
      <c r="AP38" s="46">
        <f t="shared" si="5"/>
        <v>1.4999999999999999E-2</v>
      </c>
    </row>
    <row r="39" spans="1:42" ht="18.75" thickBot="1">
      <c r="A39" s="4">
        <v>34</v>
      </c>
      <c r="B39" s="4">
        <v>2177</v>
      </c>
      <c r="C39" s="4">
        <v>96</v>
      </c>
      <c r="D39" s="4">
        <v>64</v>
      </c>
      <c r="E39" s="4">
        <v>1.48</v>
      </c>
      <c r="F39" s="4">
        <v>177</v>
      </c>
      <c r="G39" s="4">
        <v>3220</v>
      </c>
      <c r="H39" s="3">
        <f t="shared" si="6"/>
        <v>3074.8440000000001</v>
      </c>
      <c r="K39" s="3">
        <v>35</v>
      </c>
      <c r="L39" s="3">
        <v>2191</v>
      </c>
      <c r="M39" s="3">
        <v>99</v>
      </c>
      <c r="N39" s="3">
        <v>62.6</v>
      </c>
      <c r="O39" s="3">
        <v>1.53</v>
      </c>
      <c r="P39" s="3">
        <v>189</v>
      </c>
      <c r="Q39" s="3">
        <v>3352</v>
      </c>
      <c r="R39" s="3">
        <f t="shared" si="7"/>
        <v>3147.9839999999999</v>
      </c>
      <c r="S39" s="8">
        <f t="shared" si="8"/>
        <v>63</v>
      </c>
      <c r="T39" s="3">
        <v>35</v>
      </c>
      <c r="U39" s="29">
        <f>_xlfn.XLOOKUP($T39,'STD SAP'!$W:$W,'STD SAP'!X:X)*1000-L39</f>
        <v>0</v>
      </c>
      <c r="V39" s="30">
        <f>_xlfn.XLOOKUP($T39,'STD SAP'!$W:$W,'STD SAP'!AA:AA)-O39</f>
        <v>0</v>
      </c>
      <c r="W39" s="3">
        <v>65</v>
      </c>
      <c r="X39" s="30">
        <v>14.92</v>
      </c>
      <c r="Y39" s="33">
        <f t="shared" si="1"/>
        <v>1.4999999999999999E-2</v>
      </c>
      <c r="AA39" s="36">
        <v>17</v>
      </c>
      <c r="AB39" s="40">
        <v>0.64</v>
      </c>
      <c r="AC39" s="38">
        <v>2.0699999999999998</v>
      </c>
      <c r="AD39" s="39">
        <v>1.159</v>
      </c>
      <c r="AE39" s="39">
        <v>0.74199999999999999</v>
      </c>
      <c r="AF39" s="36">
        <v>318</v>
      </c>
      <c r="AG39" s="36">
        <v>38</v>
      </c>
      <c r="AH39" s="45">
        <f t="shared" si="10"/>
        <v>1.5000000000000013E-2</v>
      </c>
      <c r="AI39" s="3">
        <f t="shared" si="2"/>
        <v>640</v>
      </c>
      <c r="AJ39" s="44">
        <f t="shared" si="3"/>
        <v>6.5000000000000002E-2</v>
      </c>
      <c r="AL39" s="3">
        <v>35</v>
      </c>
      <c r="AM39" s="3">
        <f t="shared" si="4"/>
        <v>2020</v>
      </c>
      <c r="AN39" s="3">
        <f t="shared" si="11"/>
        <v>3249</v>
      </c>
      <c r="AO39" s="3">
        <f t="shared" si="9"/>
        <v>189</v>
      </c>
      <c r="AP39" s="46">
        <f t="shared" si="5"/>
        <v>1.4999999999999999E-2</v>
      </c>
    </row>
    <row r="40" spans="1:42" ht="18.75" thickBot="1">
      <c r="A40" s="4">
        <v>35</v>
      </c>
      <c r="B40" s="4">
        <v>2273</v>
      </c>
      <c r="C40" s="4">
        <v>96</v>
      </c>
      <c r="D40" s="4">
        <v>65</v>
      </c>
      <c r="E40" s="4">
        <v>1.5</v>
      </c>
      <c r="F40" s="4">
        <v>179</v>
      </c>
      <c r="G40" s="4">
        <v>3399</v>
      </c>
      <c r="H40" s="3">
        <f t="shared" si="6"/>
        <v>3109.5880000000002</v>
      </c>
      <c r="K40" s="3">
        <v>36</v>
      </c>
      <c r="L40" s="3">
        <v>2289</v>
      </c>
      <c r="M40" s="3">
        <v>98</v>
      </c>
      <c r="N40" s="3">
        <v>63.6</v>
      </c>
      <c r="O40" s="3">
        <v>1.5489999999999999</v>
      </c>
      <c r="P40" s="3">
        <v>193</v>
      </c>
      <c r="Q40" s="3">
        <v>3545</v>
      </c>
      <c r="R40" s="3">
        <f t="shared" si="7"/>
        <v>3214.6080000000002</v>
      </c>
      <c r="S40" s="8">
        <f t="shared" si="8"/>
        <v>64.5</v>
      </c>
      <c r="T40" s="3">
        <v>36</v>
      </c>
      <c r="U40" s="29">
        <f>_xlfn.XLOOKUP($T40,'STD SAP'!$W:$W,'STD SAP'!X:X)*1000-L40</f>
        <v>0</v>
      </c>
      <c r="V40" s="30">
        <f>_xlfn.XLOOKUP($T40,'STD SAP'!$W:$W,'STD SAP'!AA:AA)-O40</f>
        <v>0</v>
      </c>
      <c r="W40" s="3">
        <v>66</v>
      </c>
      <c r="X40" s="30">
        <v>15.143000000000001</v>
      </c>
      <c r="Y40" s="33">
        <f t="shared" si="1"/>
        <v>1.4999999999999999E-2</v>
      </c>
      <c r="AA40" s="36">
        <v>17</v>
      </c>
      <c r="AB40" s="40">
        <v>0.65</v>
      </c>
      <c r="AC40" s="38">
        <v>2.0699999999999998</v>
      </c>
      <c r="AD40" s="39">
        <v>1.1639999999999999</v>
      </c>
      <c r="AE40" s="39">
        <v>0.75700000000000001</v>
      </c>
      <c r="AF40" s="36">
        <v>322</v>
      </c>
      <c r="AG40" s="36">
        <v>38</v>
      </c>
      <c r="AH40" s="45">
        <f t="shared" si="10"/>
        <v>1.5000000000000013E-2</v>
      </c>
      <c r="AI40" s="3">
        <f t="shared" si="2"/>
        <v>650</v>
      </c>
      <c r="AJ40" s="44">
        <f t="shared" si="3"/>
        <v>6.6000000000000003E-2</v>
      </c>
      <c r="AL40" s="3">
        <v>36</v>
      </c>
      <c r="AM40" s="3">
        <f t="shared" si="4"/>
        <v>2100</v>
      </c>
      <c r="AN40" s="3">
        <f t="shared" si="11"/>
        <v>3434</v>
      </c>
      <c r="AO40" s="3">
        <f t="shared" si="9"/>
        <v>185</v>
      </c>
      <c r="AP40" s="46">
        <f t="shared" si="5"/>
        <v>1.4999999999999999E-2</v>
      </c>
    </row>
    <row r="41" spans="1:42" ht="18.75" thickBot="1">
      <c r="A41" s="4">
        <v>36</v>
      </c>
      <c r="B41" s="4">
        <v>2369</v>
      </c>
      <c r="C41" s="4">
        <v>97</v>
      </c>
      <c r="D41" s="4">
        <v>66</v>
      </c>
      <c r="E41" s="4">
        <v>1.51</v>
      </c>
      <c r="F41" s="4">
        <v>182</v>
      </c>
      <c r="G41" s="4">
        <v>3581</v>
      </c>
      <c r="H41" s="3">
        <f t="shared" si="6"/>
        <v>3161.7040000000002</v>
      </c>
      <c r="K41" s="3">
        <v>37</v>
      </c>
      <c r="L41" s="3">
        <v>2386</v>
      </c>
      <c r="M41" s="3">
        <v>97</v>
      </c>
      <c r="N41" s="3">
        <v>64.5</v>
      </c>
      <c r="O41" s="3">
        <v>1.5680000000000001</v>
      </c>
      <c r="P41" s="3">
        <v>197</v>
      </c>
      <c r="Q41" s="3">
        <v>3742</v>
      </c>
      <c r="R41" s="3">
        <f t="shared" si="7"/>
        <v>3281.232</v>
      </c>
      <c r="S41" s="8">
        <f t="shared" si="8"/>
        <v>66</v>
      </c>
      <c r="T41" s="3">
        <v>37</v>
      </c>
      <c r="U41" s="29">
        <f>_xlfn.XLOOKUP($T41,'STD SAP'!$W:$W,'STD SAP'!X:X)*1000-L41</f>
        <v>0</v>
      </c>
      <c r="V41" s="30">
        <f>_xlfn.XLOOKUP($T41,'STD SAP'!$W:$W,'STD SAP'!AA:AA)-O41</f>
        <v>0</v>
      </c>
      <c r="W41" s="3">
        <v>67</v>
      </c>
      <c r="X41" s="30">
        <v>15.367000000000001</v>
      </c>
      <c r="Y41" s="33">
        <f t="shared" si="1"/>
        <v>1.4999999999999999E-2</v>
      </c>
      <c r="AA41" s="36">
        <v>17</v>
      </c>
      <c r="AB41" s="40">
        <v>0.66</v>
      </c>
      <c r="AC41" s="38">
        <v>2.0699999999999998</v>
      </c>
      <c r="AD41" s="39">
        <v>1.169</v>
      </c>
      <c r="AE41" s="39">
        <v>0.77200000000000002</v>
      </c>
      <c r="AF41" s="36">
        <v>325</v>
      </c>
      <c r="AG41" s="36">
        <v>39</v>
      </c>
      <c r="AH41" s="45">
        <f t="shared" si="10"/>
        <v>1.5000000000000013E-2</v>
      </c>
      <c r="AI41" s="3">
        <f t="shared" si="2"/>
        <v>660</v>
      </c>
      <c r="AJ41" s="44">
        <f t="shared" si="3"/>
        <v>6.7000000000000004E-2</v>
      </c>
      <c r="AL41" s="3">
        <v>37</v>
      </c>
      <c r="AM41" s="3">
        <f t="shared" si="4"/>
        <v>2190</v>
      </c>
      <c r="AN41" s="3">
        <f t="shared" si="11"/>
        <v>3623</v>
      </c>
      <c r="AO41" s="3">
        <f t="shared" si="9"/>
        <v>189</v>
      </c>
      <c r="AP41" s="46">
        <f t="shared" si="5"/>
        <v>1.4999999999999999E-2</v>
      </c>
    </row>
    <row r="42" spans="1:42" ht="18.75" thickBot="1">
      <c r="A42" s="4">
        <v>37</v>
      </c>
      <c r="B42" s="4">
        <v>2466</v>
      </c>
      <c r="C42" s="4">
        <v>97</v>
      </c>
      <c r="D42" s="4">
        <v>67</v>
      </c>
      <c r="E42" s="4">
        <v>1.53</v>
      </c>
      <c r="F42" s="4">
        <v>186</v>
      </c>
      <c r="G42" s="4">
        <v>3767</v>
      </c>
      <c r="H42" s="3">
        <f t="shared" si="6"/>
        <v>3231.192</v>
      </c>
      <c r="K42" s="3">
        <v>38</v>
      </c>
      <c r="L42" s="3">
        <v>2482</v>
      </c>
      <c r="M42" s="3">
        <v>96</v>
      </c>
      <c r="N42" s="3">
        <v>65.3</v>
      </c>
      <c r="O42" s="3">
        <v>1.589</v>
      </c>
      <c r="P42" s="3">
        <v>201</v>
      </c>
      <c r="Q42" s="3">
        <v>3943</v>
      </c>
      <c r="R42" s="3">
        <f t="shared" si="7"/>
        <v>3347.8560000000002</v>
      </c>
      <c r="S42" s="8">
        <f t="shared" si="8"/>
        <v>67</v>
      </c>
      <c r="T42" s="3">
        <v>38</v>
      </c>
      <c r="U42" s="29">
        <f>_xlfn.XLOOKUP($T42,'STD SAP'!$W:$W,'STD SAP'!X:X)*1000-L42</f>
        <v>0</v>
      </c>
      <c r="V42" s="30">
        <f>_xlfn.XLOOKUP($T42,'STD SAP'!$W:$W,'STD SAP'!AA:AA)-O42</f>
        <v>0</v>
      </c>
      <c r="W42" s="3">
        <v>68</v>
      </c>
      <c r="X42" s="30">
        <v>15.59</v>
      </c>
      <c r="Y42" s="33">
        <f t="shared" si="1"/>
        <v>1.6E-2</v>
      </c>
      <c r="AA42" s="36">
        <v>18</v>
      </c>
      <c r="AB42" s="40">
        <v>0.67</v>
      </c>
      <c r="AC42" s="38">
        <v>2.1800000000000002</v>
      </c>
      <c r="AD42" s="39">
        <v>1.1739999999999999</v>
      </c>
      <c r="AE42" s="39">
        <v>0.78200000000000003</v>
      </c>
      <c r="AF42" s="36">
        <v>308</v>
      </c>
      <c r="AG42" s="36">
        <v>37</v>
      </c>
      <c r="AH42" s="45">
        <f t="shared" si="10"/>
        <v>1.0000000000000009E-2</v>
      </c>
      <c r="AI42" s="3">
        <f t="shared" si="2"/>
        <v>670</v>
      </c>
      <c r="AJ42" s="44">
        <f t="shared" si="3"/>
        <v>6.8000000000000005E-2</v>
      </c>
      <c r="AL42" s="3">
        <v>38</v>
      </c>
      <c r="AM42" s="3">
        <f t="shared" si="4"/>
        <v>2280</v>
      </c>
      <c r="AN42" s="3">
        <f t="shared" si="11"/>
        <v>3815</v>
      </c>
      <c r="AO42" s="3">
        <f t="shared" si="9"/>
        <v>192</v>
      </c>
      <c r="AP42" s="46">
        <f t="shared" si="5"/>
        <v>1.6E-2</v>
      </c>
    </row>
    <row r="43" spans="1:42" ht="18.75" thickBot="1">
      <c r="A43" s="4">
        <v>38</v>
      </c>
      <c r="B43" s="4">
        <v>2563</v>
      </c>
      <c r="C43" s="4">
        <v>97</v>
      </c>
      <c r="D43" s="4">
        <v>67</v>
      </c>
      <c r="E43" s="4">
        <v>1.54</v>
      </c>
      <c r="F43" s="4">
        <v>190</v>
      </c>
      <c r="G43" s="4">
        <v>3958</v>
      </c>
      <c r="H43" s="3">
        <f t="shared" si="6"/>
        <v>3300.68</v>
      </c>
      <c r="K43" s="3">
        <v>39</v>
      </c>
      <c r="L43" s="3">
        <v>2577</v>
      </c>
      <c r="M43" s="3">
        <v>95</v>
      </c>
      <c r="N43" s="3">
        <v>66.099999999999994</v>
      </c>
      <c r="O43" s="3">
        <v>1.61</v>
      </c>
      <c r="P43" s="3">
        <v>205</v>
      </c>
      <c r="Q43" s="3">
        <v>4148</v>
      </c>
      <c r="R43" s="3">
        <f t="shared" si="7"/>
        <v>3414.48</v>
      </c>
      <c r="S43" s="8">
        <f t="shared" si="8"/>
        <v>68.5</v>
      </c>
      <c r="T43" s="3">
        <v>39</v>
      </c>
      <c r="U43" s="29">
        <f>_xlfn.XLOOKUP($T43,'STD SAP'!$W:$W,'STD SAP'!X:X)*1000-L43</f>
        <v>0</v>
      </c>
      <c r="V43" s="30">
        <f>_xlfn.XLOOKUP($T43,'STD SAP'!$W:$W,'STD SAP'!AA:AA)-O43</f>
        <v>0</v>
      </c>
      <c r="W43" s="3">
        <v>69</v>
      </c>
      <c r="X43" s="30">
        <v>15.813000000000001</v>
      </c>
      <c r="Y43" s="33">
        <f t="shared" si="1"/>
        <v>1.6E-2</v>
      </c>
      <c r="AA43" s="36">
        <v>18</v>
      </c>
      <c r="AB43" s="40">
        <v>0.68</v>
      </c>
      <c r="AC43" s="38">
        <v>2.1800000000000002</v>
      </c>
      <c r="AD43" s="39">
        <v>1.179</v>
      </c>
      <c r="AE43" s="39">
        <v>0.80200000000000005</v>
      </c>
      <c r="AF43" s="36">
        <v>313</v>
      </c>
      <c r="AG43" s="36">
        <v>38</v>
      </c>
      <c r="AH43" s="45">
        <f t="shared" si="10"/>
        <v>2.0000000000000018E-2</v>
      </c>
      <c r="AI43" s="3">
        <f t="shared" si="2"/>
        <v>680</v>
      </c>
      <c r="AJ43" s="44">
        <f t="shared" si="3"/>
        <v>6.9000000000000006E-2</v>
      </c>
      <c r="AL43" s="3">
        <v>39</v>
      </c>
      <c r="AM43" s="3">
        <f t="shared" si="4"/>
        <v>2370</v>
      </c>
      <c r="AN43" s="3">
        <f t="shared" si="11"/>
        <v>4011</v>
      </c>
      <c r="AO43" s="3">
        <f t="shared" si="9"/>
        <v>196</v>
      </c>
      <c r="AP43" s="46">
        <f t="shared" si="5"/>
        <v>1.6E-2</v>
      </c>
    </row>
    <row r="44" spans="1:42" ht="18.75" thickBot="1">
      <c r="A44" s="4">
        <v>39</v>
      </c>
      <c r="B44" s="4">
        <v>2661</v>
      </c>
      <c r="C44" s="4">
        <v>97</v>
      </c>
      <c r="D44" s="4">
        <v>68</v>
      </c>
      <c r="E44" s="4">
        <v>1.56</v>
      </c>
      <c r="F44" s="4">
        <v>193</v>
      </c>
      <c r="G44" s="4">
        <v>4151</v>
      </c>
      <c r="H44" s="3">
        <f t="shared" si="6"/>
        <v>3352.7959999999998</v>
      </c>
      <c r="K44" s="3">
        <v>40</v>
      </c>
      <c r="L44" s="3">
        <v>2671</v>
      </c>
      <c r="M44" s="3">
        <v>94</v>
      </c>
      <c r="N44" s="3">
        <v>66.8</v>
      </c>
      <c r="O44" s="3">
        <v>1.631</v>
      </c>
      <c r="P44" s="3">
        <v>209</v>
      </c>
      <c r="Q44" s="3">
        <v>4357</v>
      </c>
      <c r="R44" s="3">
        <f t="shared" si="7"/>
        <v>3481.1039999999998</v>
      </c>
      <c r="S44" s="8">
        <f t="shared" si="8"/>
        <v>70</v>
      </c>
      <c r="T44" s="3">
        <v>40</v>
      </c>
      <c r="U44" s="29">
        <f>_xlfn.XLOOKUP($T44,'STD SAP'!$W:$W,'STD SAP'!X:X)*1000-L44</f>
        <v>0</v>
      </c>
      <c r="V44" s="30">
        <f>_xlfn.XLOOKUP($T44,'STD SAP'!$W:$W,'STD SAP'!AA:AA)-O44</f>
        <v>0</v>
      </c>
      <c r="W44" s="3">
        <v>70</v>
      </c>
      <c r="X44" s="30">
        <v>16.036999999999999</v>
      </c>
      <c r="Y44" s="33">
        <f t="shared" si="1"/>
        <v>1.6E-2</v>
      </c>
      <c r="AA44" s="36">
        <v>18</v>
      </c>
      <c r="AB44" s="40">
        <v>0.69</v>
      </c>
      <c r="AC44" s="38">
        <v>2.1800000000000002</v>
      </c>
      <c r="AD44" s="39">
        <v>1.1839999999999999</v>
      </c>
      <c r="AE44" s="39">
        <v>0.81699999999999995</v>
      </c>
      <c r="AF44" s="36">
        <v>317</v>
      </c>
      <c r="AG44" s="36">
        <v>38</v>
      </c>
      <c r="AH44" s="45">
        <f t="shared" si="10"/>
        <v>1.4999999999999902E-2</v>
      </c>
      <c r="AI44" s="3">
        <f t="shared" si="2"/>
        <v>690</v>
      </c>
      <c r="AJ44" s="44">
        <f t="shared" si="3"/>
        <v>7.0000000000000007E-2</v>
      </c>
      <c r="AL44" s="3">
        <v>40</v>
      </c>
      <c r="AM44" s="3">
        <f t="shared" si="4"/>
        <v>2450</v>
      </c>
      <c r="AN44" s="3">
        <f t="shared" si="11"/>
        <v>4210</v>
      </c>
      <c r="AO44" s="3">
        <f t="shared" si="9"/>
        <v>199</v>
      </c>
      <c r="AP44" s="46">
        <f t="shared" si="5"/>
        <v>1.6E-2</v>
      </c>
    </row>
    <row r="45" spans="1:42" ht="18.75" thickBot="1">
      <c r="A45" s="4">
        <v>40</v>
      </c>
      <c r="B45" s="4">
        <v>2758</v>
      </c>
      <c r="C45" s="4">
        <v>97</v>
      </c>
      <c r="D45" s="4">
        <v>69</v>
      </c>
      <c r="E45" s="4">
        <v>1.58</v>
      </c>
      <c r="F45" s="4">
        <v>197</v>
      </c>
      <c r="G45" s="4">
        <v>4348</v>
      </c>
      <c r="H45" s="3">
        <f t="shared" si="6"/>
        <v>3422.2840000000001</v>
      </c>
      <c r="K45" s="3">
        <v>41</v>
      </c>
      <c r="L45" s="3">
        <v>2764</v>
      </c>
      <c r="M45" s="3">
        <v>93</v>
      </c>
      <c r="N45" s="3">
        <v>67.400000000000006</v>
      </c>
      <c r="O45" s="3">
        <v>1.653</v>
      </c>
      <c r="P45" s="3">
        <v>213</v>
      </c>
      <c r="Q45" s="3">
        <v>4570</v>
      </c>
      <c r="R45" s="3">
        <f t="shared" si="7"/>
        <v>3547.7280000000001</v>
      </c>
      <c r="S45" s="8">
        <f t="shared" si="8"/>
        <v>71</v>
      </c>
      <c r="T45" s="3">
        <v>41</v>
      </c>
      <c r="U45" s="29">
        <f>_xlfn.XLOOKUP($T45,'STD SAP'!$W:$W,'STD SAP'!X:X)*1000-L45</f>
        <v>0</v>
      </c>
      <c r="V45" s="30">
        <f>_xlfn.XLOOKUP($T45,'STD SAP'!$W:$W,'STD SAP'!AA:AA)-O45</f>
        <v>0</v>
      </c>
      <c r="W45" s="3">
        <v>71</v>
      </c>
      <c r="X45" s="30">
        <v>16.260000000000002</v>
      </c>
      <c r="Y45" s="33">
        <f t="shared" si="1"/>
        <v>1.6E-2</v>
      </c>
      <c r="AA45" s="36">
        <v>18</v>
      </c>
      <c r="AB45" s="40">
        <v>0.7</v>
      </c>
      <c r="AC45" s="38">
        <v>2.1800000000000002</v>
      </c>
      <c r="AD45" s="39">
        <v>1.1879999999999999</v>
      </c>
      <c r="AE45" s="39">
        <v>0.83199999999999996</v>
      </c>
      <c r="AF45" s="36">
        <v>320</v>
      </c>
      <c r="AG45" s="36">
        <v>39</v>
      </c>
      <c r="AH45" s="45">
        <f t="shared" si="10"/>
        <v>1.5000000000000013E-2</v>
      </c>
      <c r="AI45" s="3">
        <f t="shared" si="2"/>
        <v>700</v>
      </c>
      <c r="AJ45" s="44">
        <f t="shared" si="3"/>
        <v>7.0999999999999994E-2</v>
      </c>
      <c r="AL45" s="3">
        <v>41</v>
      </c>
      <c r="AM45" s="3">
        <f t="shared" si="4"/>
        <v>2540</v>
      </c>
      <c r="AN45" s="3">
        <f t="shared" si="11"/>
        <v>4413</v>
      </c>
      <c r="AO45" s="3">
        <f t="shared" si="9"/>
        <v>203</v>
      </c>
      <c r="AP45" s="46">
        <f t="shared" si="5"/>
        <v>1.6E-2</v>
      </c>
    </row>
    <row r="46" spans="1:42" ht="18.75" thickBot="1">
      <c r="A46" s="4">
        <v>41</v>
      </c>
      <c r="B46" s="4">
        <v>2855</v>
      </c>
      <c r="C46" s="4">
        <v>97</v>
      </c>
      <c r="D46" s="4">
        <v>70</v>
      </c>
      <c r="E46" s="4">
        <v>1.59</v>
      </c>
      <c r="F46" s="4">
        <v>203</v>
      </c>
      <c r="G46" s="4">
        <v>4552</v>
      </c>
      <c r="H46" s="3">
        <f t="shared" si="6"/>
        <v>3526.5160000000001</v>
      </c>
      <c r="K46" s="3">
        <v>42</v>
      </c>
      <c r="L46" s="3">
        <v>2857</v>
      </c>
      <c r="M46" s="3">
        <v>93</v>
      </c>
      <c r="N46" s="3">
        <v>68</v>
      </c>
      <c r="O46" s="3">
        <v>1.675</v>
      </c>
      <c r="P46" s="3">
        <v>216</v>
      </c>
      <c r="Q46" s="3">
        <v>4786</v>
      </c>
      <c r="R46" s="3">
        <f t="shared" si="7"/>
        <v>3597.6959999999999</v>
      </c>
      <c r="S46" s="8">
        <f t="shared" si="8"/>
        <v>72</v>
      </c>
      <c r="T46" s="3">
        <v>42</v>
      </c>
      <c r="U46" s="29">
        <f>_xlfn.XLOOKUP($T46,'STD SAP'!$W:$W,'STD SAP'!X:X)*1000-L46</f>
        <v>0</v>
      </c>
      <c r="V46" s="30">
        <f>_xlfn.XLOOKUP($T46,'STD SAP'!$W:$W,'STD SAP'!AA:AA)-O46</f>
        <v>0</v>
      </c>
      <c r="W46" s="3">
        <v>72</v>
      </c>
      <c r="X46" s="30">
        <v>16.483000000000001</v>
      </c>
      <c r="Y46" s="33">
        <f t="shared" si="1"/>
        <v>1.6E-2</v>
      </c>
      <c r="AA46" s="36">
        <v>18</v>
      </c>
      <c r="AB46" s="40">
        <v>0.71</v>
      </c>
      <c r="AC46" s="38">
        <v>2.1800000000000002</v>
      </c>
      <c r="AD46" s="39">
        <v>1.1930000000000001</v>
      </c>
      <c r="AE46" s="39">
        <v>0.84699999999999998</v>
      </c>
      <c r="AF46" s="36">
        <v>323</v>
      </c>
      <c r="AG46" s="36">
        <v>39</v>
      </c>
      <c r="AH46" s="45">
        <f t="shared" si="10"/>
        <v>1.5000000000000013E-2</v>
      </c>
      <c r="AI46" s="3">
        <f t="shared" si="2"/>
        <v>710</v>
      </c>
      <c r="AJ46" s="44">
        <f t="shared" si="3"/>
        <v>7.1999999999999995E-2</v>
      </c>
      <c r="AL46" s="3">
        <v>42</v>
      </c>
      <c r="AM46" s="3">
        <f t="shared" si="4"/>
        <v>2630</v>
      </c>
      <c r="AN46" s="3">
        <f t="shared" si="11"/>
        <v>4622</v>
      </c>
      <c r="AO46" s="3">
        <f t="shared" si="9"/>
        <v>209</v>
      </c>
      <c r="AP46" s="46">
        <f t="shared" si="5"/>
        <v>1.6E-2</v>
      </c>
    </row>
    <row r="47" spans="1:42" ht="18.75" thickBot="1">
      <c r="A47" s="4">
        <v>42</v>
      </c>
      <c r="B47" s="4">
        <v>2952</v>
      </c>
      <c r="C47" s="4">
        <v>97</v>
      </c>
      <c r="D47" s="4">
        <v>70</v>
      </c>
      <c r="E47" s="4">
        <v>1.61</v>
      </c>
      <c r="F47" s="4">
        <v>208</v>
      </c>
      <c r="G47" s="4">
        <v>4760</v>
      </c>
      <c r="H47" s="3">
        <f t="shared" si="6"/>
        <v>3613.3760000000002</v>
      </c>
      <c r="K47" s="3">
        <v>43</v>
      </c>
      <c r="L47" s="3">
        <v>2950</v>
      </c>
      <c r="M47" s="3">
        <v>93</v>
      </c>
      <c r="N47" s="3">
        <v>68.599999999999994</v>
      </c>
      <c r="O47" s="3">
        <v>1.6970000000000001</v>
      </c>
      <c r="P47" s="3">
        <v>220</v>
      </c>
      <c r="Q47" s="3">
        <v>5006</v>
      </c>
      <c r="R47" s="3">
        <f t="shared" si="7"/>
        <v>3664.32</v>
      </c>
      <c r="S47" s="8">
        <f t="shared" si="8"/>
        <v>73.5</v>
      </c>
      <c r="T47" s="3">
        <v>43</v>
      </c>
      <c r="U47" s="29">
        <f>_xlfn.XLOOKUP($T47,'STD SAP'!$W:$W,'STD SAP'!X:X)*1000-L47</f>
        <v>0</v>
      </c>
      <c r="V47" s="30">
        <f>_xlfn.XLOOKUP($T47,'STD SAP'!$W:$W,'STD SAP'!AA:AA)-O47</f>
        <v>0</v>
      </c>
      <c r="W47" s="3">
        <v>73</v>
      </c>
      <c r="X47" s="30">
        <v>16.707000000000001</v>
      </c>
      <c r="Y47" s="33">
        <f t="shared" si="1"/>
        <v>1.7000000000000001E-2</v>
      </c>
      <c r="AA47" s="36">
        <v>18</v>
      </c>
      <c r="AB47" s="40">
        <v>0.72</v>
      </c>
      <c r="AC47" s="38">
        <v>2.1800000000000002</v>
      </c>
      <c r="AD47" s="39">
        <v>1.198</v>
      </c>
      <c r="AE47" s="39">
        <v>0.86299999999999999</v>
      </c>
      <c r="AF47" s="36">
        <v>327</v>
      </c>
      <c r="AG47" s="36">
        <v>40</v>
      </c>
      <c r="AH47" s="45">
        <f t="shared" si="10"/>
        <v>1.6000000000000014E-2</v>
      </c>
      <c r="AI47" s="3">
        <f t="shared" si="2"/>
        <v>720</v>
      </c>
      <c r="AJ47" s="44">
        <f t="shared" si="3"/>
        <v>7.2999999999999995E-2</v>
      </c>
      <c r="AL47" s="3">
        <v>43</v>
      </c>
      <c r="AM47" s="3">
        <f t="shared" si="4"/>
        <v>2700</v>
      </c>
      <c r="AN47" s="3">
        <f t="shared" si="11"/>
        <v>4815</v>
      </c>
      <c r="AO47" s="3">
        <f t="shared" si="9"/>
        <v>193</v>
      </c>
      <c r="AP47" s="46">
        <f t="shared" si="5"/>
        <v>1.7000000000000001E-2</v>
      </c>
    </row>
    <row r="48" spans="1:42" ht="18.75" thickBot="1">
      <c r="A48" s="4">
        <v>43</v>
      </c>
      <c r="B48" s="4">
        <v>3049</v>
      </c>
      <c r="C48" s="4">
        <v>97</v>
      </c>
      <c r="D48" s="4">
        <v>71</v>
      </c>
      <c r="E48" s="4">
        <v>1.63</v>
      </c>
      <c r="F48" s="4">
        <v>213</v>
      </c>
      <c r="G48" s="4">
        <v>4973</v>
      </c>
      <c r="H48" s="3">
        <f t="shared" si="6"/>
        <v>3700.2359999999999</v>
      </c>
      <c r="K48" s="3">
        <v>44</v>
      </c>
      <c r="L48" s="3">
        <v>3043</v>
      </c>
      <c r="M48" s="3">
        <v>93</v>
      </c>
      <c r="N48" s="3">
        <v>69.2</v>
      </c>
      <c r="O48" s="3">
        <v>1.718</v>
      </c>
      <c r="P48" s="3">
        <v>222</v>
      </c>
      <c r="Q48" s="3">
        <v>5228</v>
      </c>
      <c r="R48" s="3">
        <f t="shared" si="7"/>
        <v>3697.6320000000001</v>
      </c>
      <c r="S48" s="8">
        <f t="shared" si="8"/>
        <v>74</v>
      </c>
      <c r="T48" s="3">
        <v>44</v>
      </c>
      <c r="U48" s="29">
        <f>_xlfn.XLOOKUP($T48,'STD SAP'!$W:$W,'STD SAP'!X:X)*1000-L48</f>
        <v>0</v>
      </c>
      <c r="V48" s="30">
        <f>_xlfn.XLOOKUP($T48,'STD SAP'!$W:$W,'STD SAP'!AA:AA)-O48</f>
        <v>0</v>
      </c>
      <c r="W48" s="3">
        <v>74</v>
      </c>
      <c r="X48" s="30">
        <v>16.93</v>
      </c>
      <c r="Y48" s="33">
        <f t="shared" si="1"/>
        <v>1.7000000000000001E-2</v>
      </c>
      <c r="AA48" s="36">
        <v>19</v>
      </c>
      <c r="AB48" s="40">
        <v>0.73</v>
      </c>
      <c r="AC48" s="38">
        <v>2.29</v>
      </c>
      <c r="AD48" s="39">
        <v>1.2030000000000001</v>
      </c>
      <c r="AE48" s="39">
        <v>0.872</v>
      </c>
      <c r="AF48" s="36">
        <v>310</v>
      </c>
      <c r="AG48" s="36">
        <v>38</v>
      </c>
      <c r="AH48" s="45">
        <f t="shared" si="10"/>
        <v>9.000000000000008E-3</v>
      </c>
      <c r="AI48" s="3">
        <f t="shared" si="2"/>
        <v>730</v>
      </c>
      <c r="AJ48" s="44">
        <f t="shared" si="3"/>
        <v>7.3999999999999996E-2</v>
      </c>
      <c r="AL48" s="3">
        <v>44</v>
      </c>
      <c r="AM48" s="3">
        <f t="shared" si="4"/>
        <v>2780</v>
      </c>
      <c r="AN48" s="3">
        <f t="shared" si="11"/>
        <v>5011</v>
      </c>
      <c r="AO48" s="3">
        <f t="shared" si="9"/>
        <v>196</v>
      </c>
      <c r="AP48" s="46">
        <f t="shared" si="5"/>
        <v>1.7000000000000001E-2</v>
      </c>
    </row>
    <row r="49" spans="1:42" ht="18.75" thickBot="1">
      <c r="A49" s="4">
        <v>44</v>
      </c>
      <c r="B49" s="4">
        <v>3145</v>
      </c>
      <c r="C49" s="4">
        <v>96</v>
      </c>
      <c r="D49" s="4">
        <v>71</v>
      </c>
      <c r="E49" s="4">
        <v>1.65</v>
      </c>
      <c r="F49" s="4">
        <v>218</v>
      </c>
      <c r="G49" s="4">
        <v>5191</v>
      </c>
      <c r="H49" s="3">
        <f t="shared" si="6"/>
        <v>3787.096</v>
      </c>
      <c r="K49" s="3">
        <v>45</v>
      </c>
      <c r="L49" s="3">
        <v>3136</v>
      </c>
      <c r="M49" s="3">
        <v>93</v>
      </c>
      <c r="N49" s="3">
        <v>69.7</v>
      </c>
      <c r="O49" s="3">
        <v>1.7390000000000001</v>
      </c>
      <c r="P49" s="3">
        <v>225</v>
      </c>
      <c r="Q49" s="3">
        <v>5453</v>
      </c>
      <c r="R49" s="3">
        <f t="shared" si="7"/>
        <v>3747.6</v>
      </c>
      <c r="S49" s="8">
        <f t="shared" si="8"/>
        <v>75</v>
      </c>
      <c r="T49" s="3">
        <v>45</v>
      </c>
      <c r="U49" s="29">
        <f>_xlfn.XLOOKUP($T49,'STD SAP'!$W:$W,'STD SAP'!X:X)*1000-L49</f>
        <v>0</v>
      </c>
      <c r="V49" s="30">
        <f>_xlfn.XLOOKUP($T49,'STD SAP'!$W:$W,'STD SAP'!AA:AA)-O49</f>
        <v>0</v>
      </c>
      <c r="W49" s="3">
        <v>75</v>
      </c>
      <c r="X49" s="30">
        <v>17.152999999999999</v>
      </c>
      <c r="Y49" s="33">
        <f t="shared" si="1"/>
        <v>1.7000000000000001E-2</v>
      </c>
      <c r="AA49" s="36">
        <v>19</v>
      </c>
      <c r="AB49" s="40">
        <v>0.74</v>
      </c>
      <c r="AC49" s="38">
        <v>2.29</v>
      </c>
      <c r="AD49" s="39">
        <v>1.2090000000000001</v>
      </c>
      <c r="AE49" s="39">
        <v>0.89500000000000002</v>
      </c>
      <c r="AF49" s="36">
        <v>315</v>
      </c>
      <c r="AG49" s="36">
        <v>39</v>
      </c>
      <c r="AH49" s="45">
        <f t="shared" si="10"/>
        <v>2.300000000000002E-2</v>
      </c>
      <c r="AI49" s="3">
        <f t="shared" si="2"/>
        <v>740</v>
      </c>
      <c r="AJ49" s="44">
        <f t="shared" si="3"/>
        <v>7.4999999999999997E-2</v>
      </c>
      <c r="AL49" s="3">
        <v>45</v>
      </c>
      <c r="AM49" s="3">
        <f t="shared" si="4"/>
        <v>2860</v>
      </c>
      <c r="AN49" s="3">
        <f t="shared" si="11"/>
        <v>5211</v>
      </c>
      <c r="AO49" s="3">
        <f t="shared" si="9"/>
        <v>200</v>
      </c>
      <c r="AP49" s="46">
        <f t="shared" si="5"/>
        <v>1.7000000000000001E-2</v>
      </c>
    </row>
    <row r="50" spans="1:42" ht="18.75" thickBot="1">
      <c r="A50" s="4">
        <v>45</v>
      </c>
      <c r="B50" s="4">
        <v>3240</v>
      </c>
      <c r="C50" s="4">
        <v>95</v>
      </c>
      <c r="D50" s="4">
        <v>72</v>
      </c>
      <c r="E50" s="4">
        <v>1.67</v>
      </c>
      <c r="F50" s="4">
        <v>224</v>
      </c>
      <c r="G50" s="4">
        <v>5414</v>
      </c>
      <c r="H50" s="3">
        <f t="shared" si="6"/>
        <v>3891.328</v>
      </c>
      <c r="K50" s="3">
        <v>46</v>
      </c>
      <c r="L50" s="3">
        <v>3229</v>
      </c>
      <c r="M50" s="3">
        <v>93</v>
      </c>
      <c r="N50" s="3">
        <v>70.2</v>
      </c>
      <c r="O50" s="3">
        <v>1.7589999999999999</v>
      </c>
      <c r="P50" s="3">
        <v>227</v>
      </c>
      <c r="Q50" s="3">
        <v>5680</v>
      </c>
      <c r="R50" s="3">
        <f t="shared" si="7"/>
        <v>3780.9119999999998</v>
      </c>
      <c r="S50" s="8">
        <f t="shared" si="8"/>
        <v>76</v>
      </c>
      <c r="T50" s="3">
        <v>46</v>
      </c>
      <c r="U50" s="29">
        <f>_xlfn.XLOOKUP($T50,'STD SAP'!$W:$W,'STD SAP'!X:X)*1000-L50</f>
        <v>0</v>
      </c>
      <c r="V50" s="30">
        <f>_xlfn.XLOOKUP($T50,'STD SAP'!$W:$W,'STD SAP'!AA:AA)-O50</f>
        <v>0</v>
      </c>
      <c r="W50" s="3">
        <v>76</v>
      </c>
      <c r="X50" s="30">
        <v>17.376999999999999</v>
      </c>
      <c r="Y50" s="33">
        <f t="shared" si="1"/>
        <v>1.7000000000000001E-2</v>
      </c>
      <c r="AA50" s="36">
        <v>19</v>
      </c>
      <c r="AB50" s="40">
        <v>0.75</v>
      </c>
      <c r="AC50" s="38">
        <v>2.29</v>
      </c>
      <c r="AD50" s="39">
        <v>1.2150000000000001</v>
      </c>
      <c r="AE50" s="39">
        <v>0.91100000000000003</v>
      </c>
      <c r="AF50" s="36">
        <v>318</v>
      </c>
      <c r="AG50" s="36">
        <v>39</v>
      </c>
      <c r="AH50" s="45">
        <f t="shared" si="10"/>
        <v>1.6000000000000014E-2</v>
      </c>
      <c r="AI50" s="3">
        <f t="shared" si="2"/>
        <v>750</v>
      </c>
      <c r="AJ50" s="44">
        <f t="shared" si="3"/>
        <v>7.5999999999999998E-2</v>
      </c>
      <c r="AL50" s="3">
        <v>46</v>
      </c>
      <c r="AM50" s="3">
        <f t="shared" si="4"/>
        <v>2940</v>
      </c>
      <c r="AN50" s="3">
        <f t="shared" si="11"/>
        <v>5413</v>
      </c>
      <c r="AO50" s="3">
        <f t="shared" si="9"/>
        <v>202</v>
      </c>
      <c r="AP50" s="46">
        <f t="shared" si="5"/>
        <v>1.7000000000000001E-2</v>
      </c>
    </row>
    <row r="51" spans="1:42" ht="18.75" thickBot="1">
      <c r="A51" s="4">
        <v>46</v>
      </c>
      <c r="B51" s="4">
        <v>3335</v>
      </c>
      <c r="C51" s="4">
        <v>95</v>
      </c>
      <c r="D51" s="4">
        <v>73</v>
      </c>
      <c r="E51" s="4">
        <v>1.69</v>
      </c>
      <c r="F51" s="4">
        <v>228</v>
      </c>
      <c r="G51" s="4">
        <v>5642</v>
      </c>
      <c r="H51" s="3">
        <f t="shared" si="6"/>
        <v>3960.8159999999998</v>
      </c>
      <c r="K51" s="3">
        <v>47</v>
      </c>
      <c r="L51" s="3">
        <v>3322</v>
      </c>
      <c r="M51" s="3">
        <v>93</v>
      </c>
      <c r="N51" s="3">
        <v>70.7</v>
      </c>
      <c r="O51" s="3">
        <v>1.7789999999999999</v>
      </c>
      <c r="P51" s="3">
        <v>231</v>
      </c>
      <c r="Q51" s="3">
        <v>5911</v>
      </c>
      <c r="R51" s="3">
        <f t="shared" si="7"/>
        <v>3847.5360000000001</v>
      </c>
      <c r="S51" s="8">
        <f t="shared" si="8"/>
        <v>77</v>
      </c>
      <c r="T51" s="3">
        <v>47</v>
      </c>
      <c r="U51" s="29">
        <f>_xlfn.XLOOKUP($T51,'STD SAP'!$W:$W,'STD SAP'!X:X)*1000-L51</f>
        <v>0</v>
      </c>
      <c r="V51" s="30">
        <f>_xlfn.XLOOKUP($T51,'STD SAP'!$W:$W,'STD SAP'!AA:AA)-O51</f>
        <v>0</v>
      </c>
      <c r="W51" s="3">
        <v>77</v>
      </c>
      <c r="X51" s="30">
        <v>17.600000000000001</v>
      </c>
      <c r="Y51" s="33">
        <f t="shared" si="1"/>
        <v>1.7999999999999999E-2</v>
      </c>
      <c r="AA51" s="36">
        <v>19</v>
      </c>
      <c r="AB51" s="40">
        <v>0.76</v>
      </c>
      <c r="AC51" s="38">
        <v>2.29</v>
      </c>
      <c r="AD51" s="39">
        <v>1.22</v>
      </c>
      <c r="AE51" s="39">
        <v>0.92800000000000005</v>
      </c>
      <c r="AF51" s="36">
        <v>320</v>
      </c>
      <c r="AG51" s="36">
        <v>40</v>
      </c>
      <c r="AH51" s="45">
        <f t="shared" si="10"/>
        <v>1.7000000000000015E-2</v>
      </c>
      <c r="AI51" s="3">
        <f t="shared" si="2"/>
        <v>760</v>
      </c>
      <c r="AJ51" s="44">
        <f t="shared" si="3"/>
        <v>7.6999999999999999E-2</v>
      </c>
      <c r="AL51" s="3">
        <v>47</v>
      </c>
      <c r="AM51" s="3">
        <f t="shared" si="4"/>
        <v>3020</v>
      </c>
      <c r="AN51" s="3">
        <f t="shared" si="11"/>
        <v>5619</v>
      </c>
      <c r="AO51" s="3">
        <f t="shared" si="9"/>
        <v>206</v>
      </c>
      <c r="AP51" s="46">
        <f t="shared" si="5"/>
        <v>1.7999999999999999E-2</v>
      </c>
    </row>
    <row r="52" spans="1:42" ht="18.75" thickBot="1">
      <c r="A52" s="4">
        <v>47</v>
      </c>
      <c r="B52" s="4">
        <v>3430</v>
      </c>
      <c r="C52" s="4">
        <v>95</v>
      </c>
      <c r="D52" s="4">
        <v>73</v>
      </c>
      <c r="E52" s="4">
        <v>1.71</v>
      </c>
      <c r="F52" s="4">
        <v>231</v>
      </c>
      <c r="G52" s="4">
        <v>5873</v>
      </c>
      <c r="H52" s="3">
        <f t="shared" si="6"/>
        <v>4012.9319999999998</v>
      </c>
      <c r="K52" s="3">
        <v>48</v>
      </c>
      <c r="L52" s="3">
        <v>3414</v>
      </c>
      <c r="M52" s="3">
        <v>92</v>
      </c>
      <c r="N52" s="3">
        <v>71.099999999999994</v>
      </c>
      <c r="O52" s="3">
        <v>1.8</v>
      </c>
      <c r="P52" s="3">
        <v>233</v>
      </c>
      <c r="Q52" s="3">
        <v>6144</v>
      </c>
      <c r="R52" s="3">
        <f t="shared" si="7"/>
        <v>3880.848</v>
      </c>
      <c r="S52" s="8">
        <f t="shared" si="8"/>
        <v>78</v>
      </c>
      <c r="T52" s="3">
        <v>48</v>
      </c>
      <c r="U52" s="29">
        <f>_xlfn.XLOOKUP($T52,'STD SAP'!$W:$W,'STD SAP'!X:X)*1000-L52</f>
        <v>0</v>
      </c>
      <c r="V52" s="30">
        <f>_xlfn.XLOOKUP($T52,'STD SAP'!$W:$W,'STD SAP'!AA:AA)-O52</f>
        <v>0</v>
      </c>
      <c r="W52" s="3">
        <v>78</v>
      </c>
      <c r="X52" s="30">
        <v>17.699000000000002</v>
      </c>
      <c r="Y52" s="33">
        <f t="shared" si="1"/>
        <v>1.7999999999999999E-2</v>
      </c>
      <c r="AA52" s="36">
        <v>19</v>
      </c>
      <c r="AB52" s="40">
        <v>0.77</v>
      </c>
      <c r="AC52" s="38">
        <v>2.29</v>
      </c>
      <c r="AD52" s="39">
        <v>1.226</v>
      </c>
      <c r="AE52" s="39">
        <v>0.94399999999999995</v>
      </c>
      <c r="AF52" s="36">
        <v>323</v>
      </c>
      <c r="AG52" s="36">
        <v>41</v>
      </c>
      <c r="AH52" s="45">
        <f t="shared" si="10"/>
        <v>1.5999999999999903E-2</v>
      </c>
      <c r="AI52" s="3">
        <f t="shared" si="2"/>
        <v>770</v>
      </c>
      <c r="AJ52" s="44">
        <f t="shared" si="3"/>
        <v>7.8E-2</v>
      </c>
      <c r="AL52" s="3">
        <v>48</v>
      </c>
      <c r="AM52" s="3">
        <f t="shared" si="4"/>
        <v>3100</v>
      </c>
      <c r="AN52" s="3">
        <f t="shared" si="11"/>
        <v>5828</v>
      </c>
      <c r="AO52" s="3">
        <f t="shared" si="9"/>
        <v>209</v>
      </c>
      <c r="AP52" s="46">
        <f t="shared" si="5"/>
        <v>1.7999999999999999E-2</v>
      </c>
    </row>
    <row r="53" spans="1:42" ht="18.75" thickBot="1">
      <c r="A53" s="4">
        <v>48</v>
      </c>
      <c r="B53" s="4">
        <v>3524</v>
      </c>
      <c r="C53" s="4">
        <v>94</v>
      </c>
      <c r="D53" s="4">
        <v>73</v>
      </c>
      <c r="E53" s="4">
        <v>1.73</v>
      </c>
      <c r="F53" s="4">
        <v>236</v>
      </c>
      <c r="G53" s="4">
        <v>6109</v>
      </c>
      <c r="H53" s="3">
        <f t="shared" si="6"/>
        <v>4099.7920000000004</v>
      </c>
      <c r="K53" s="3">
        <v>49</v>
      </c>
      <c r="L53" s="3">
        <v>3506</v>
      </c>
      <c r="M53" s="3">
        <v>92</v>
      </c>
      <c r="N53" s="3">
        <v>71.599999999999994</v>
      </c>
      <c r="O53" s="3">
        <v>1.819</v>
      </c>
      <c r="P53" s="3">
        <v>235</v>
      </c>
      <c r="Q53" s="3">
        <v>6379</v>
      </c>
      <c r="R53" s="3">
        <f t="shared" si="7"/>
        <v>3914.16</v>
      </c>
      <c r="S53" s="8">
        <f t="shared" si="8"/>
        <v>78.5</v>
      </c>
      <c r="T53" s="3">
        <v>49</v>
      </c>
      <c r="U53" s="29">
        <f>_xlfn.XLOOKUP($T53,'STD SAP'!$W:$W,'STD SAP'!X:X)*1000-L53</f>
        <v>0</v>
      </c>
      <c r="V53" s="30">
        <f>_xlfn.XLOOKUP($T53,'STD SAP'!$W:$W,'STD SAP'!AA:AA)-O53</f>
        <v>0</v>
      </c>
      <c r="W53" s="3">
        <v>79</v>
      </c>
      <c r="X53" s="30">
        <v>17.798999999999999</v>
      </c>
      <c r="Y53" s="33">
        <f t="shared" si="1"/>
        <v>1.7999999999999999E-2</v>
      </c>
      <c r="AA53" s="36">
        <v>20</v>
      </c>
      <c r="AB53" s="40">
        <v>0.78</v>
      </c>
      <c r="AC53" s="38">
        <v>2.39</v>
      </c>
      <c r="AD53" s="39">
        <v>1.232</v>
      </c>
      <c r="AE53" s="39">
        <v>0.96599999999999997</v>
      </c>
      <c r="AF53" s="36">
        <v>311</v>
      </c>
      <c r="AG53" s="36">
        <v>39</v>
      </c>
      <c r="AH53" s="45">
        <f t="shared" si="10"/>
        <v>2.200000000000002E-2</v>
      </c>
      <c r="AI53" s="3">
        <f t="shared" si="2"/>
        <v>780</v>
      </c>
      <c r="AJ53" s="44">
        <f t="shared" si="3"/>
        <v>7.9000000000000001E-2</v>
      </c>
      <c r="AL53" s="3">
        <v>49</v>
      </c>
      <c r="AM53" s="3">
        <f t="shared" si="4"/>
        <v>3180</v>
      </c>
      <c r="AN53" s="3">
        <f t="shared" si="11"/>
        <v>6043</v>
      </c>
      <c r="AO53" s="3">
        <f t="shared" si="9"/>
        <v>215</v>
      </c>
      <c r="AP53" s="46">
        <f t="shared" si="5"/>
        <v>1.7999999999999999E-2</v>
      </c>
    </row>
    <row r="54" spans="1:42" ht="18.75" thickBot="1">
      <c r="A54" s="4">
        <v>49</v>
      </c>
      <c r="B54" s="4">
        <v>3617</v>
      </c>
      <c r="C54" s="4">
        <v>93</v>
      </c>
      <c r="D54" s="4">
        <v>74</v>
      </c>
      <c r="E54" s="4">
        <v>1.76</v>
      </c>
      <c r="F54" s="4">
        <v>241</v>
      </c>
      <c r="G54" s="4">
        <v>6349</v>
      </c>
      <c r="H54" s="3">
        <f t="shared" si="6"/>
        <v>4186.652</v>
      </c>
      <c r="K54" s="3">
        <v>50</v>
      </c>
      <c r="L54" s="3">
        <v>3596</v>
      </c>
      <c r="M54" s="3">
        <v>90</v>
      </c>
      <c r="N54" s="3">
        <v>71.900000000000006</v>
      </c>
      <c r="O54" s="3">
        <v>1.84</v>
      </c>
      <c r="P54" s="3">
        <v>237</v>
      </c>
      <c r="Q54" s="3">
        <v>6616</v>
      </c>
      <c r="R54" s="3">
        <f t="shared" si="7"/>
        <v>3947.4720000000002</v>
      </c>
      <c r="S54" s="8">
        <f t="shared" si="8"/>
        <v>79</v>
      </c>
      <c r="T54" s="3">
        <v>50</v>
      </c>
      <c r="U54" s="29">
        <f>_xlfn.XLOOKUP($T54,'STD SAP'!$W:$W,'STD SAP'!X:X)*1000-L54</f>
        <v>0</v>
      </c>
      <c r="V54" s="30">
        <f>_xlfn.XLOOKUP($T54,'STD SAP'!$W:$W,'STD SAP'!AA:AA)-O54</f>
        <v>0</v>
      </c>
      <c r="W54" s="3">
        <v>80</v>
      </c>
      <c r="X54" s="30">
        <v>17.898</v>
      </c>
      <c r="Y54" s="33">
        <f t="shared" si="1"/>
        <v>1.7999999999999999E-2</v>
      </c>
      <c r="AA54" s="36">
        <v>20</v>
      </c>
      <c r="AB54" s="40">
        <v>0.79</v>
      </c>
      <c r="AC54" s="38">
        <v>2.39</v>
      </c>
      <c r="AD54" s="39">
        <v>1.2370000000000001</v>
      </c>
      <c r="AE54" s="39">
        <v>0.97699999999999998</v>
      </c>
      <c r="AF54" s="36">
        <v>312</v>
      </c>
      <c r="AG54" s="36">
        <v>40</v>
      </c>
      <c r="AH54" s="45">
        <f t="shared" si="10"/>
        <v>1.100000000000001E-2</v>
      </c>
      <c r="AI54" s="3">
        <f t="shared" si="2"/>
        <v>790</v>
      </c>
      <c r="AJ54" s="44">
        <f t="shared" si="3"/>
        <v>0.08</v>
      </c>
      <c r="AL54" s="3">
        <v>50</v>
      </c>
      <c r="AM54" s="3">
        <f t="shared" si="4"/>
        <v>3240</v>
      </c>
      <c r="AN54" s="3">
        <f t="shared" si="11"/>
        <v>6236</v>
      </c>
      <c r="AO54" s="3">
        <f t="shared" si="9"/>
        <v>193</v>
      </c>
      <c r="AP54" s="46">
        <f t="shared" si="5"/>
        <v>1.7999999999999999E-2</v>
      </c>
    </row>
    <row r="55" spans="1:42" ht="18.75" thickBot="1">
      <c r="A55" s="4">
        <v>50</v>
      </c>
      <c r="B55" s="4">
        <v>3707</v>
      </c>
      <c r="C55" s="4">
        <v>91</v>
      </c>
      <c r="D55" s="4">
        <v>74</v>
      </c>
      <c r="E55" s="4">
        <v>1.78</v>
      </c>
      <c r="F55" s="4">
        <v>243</v>
      </c>
      <c r="G55" s="4">
        <v>6592</v>
      </c>
      <c r="H55" s="3">
        <f t="shared" si="6"/>
        <v>4221.3959999999997</v>
      </c>
      <c r="K55" s="3">
        <v>51</v>
      </c>
      <c r="L55" s="3">
        <v>3685</v>
      </c>
      <c r="M55" s="3">
        <v>89</v>
      </c>
      <c r="N55" s="3">
        <v>72.3</v>
      </c>
      <c r="O55" s="3">
        <v>1.86</v>
      </c>
      <c r="P55" s="3">
        <v>239</v>
      </c>
      <c r="Q55" s="3">
        <v>6855</v>
      </c>
      <c r="R55" s="3">
        <f t="shared" si="7"/>
        <v>3980.7840000000001</v>
      </c>
      <c r="S55" s="8">
        <f t="shared" si="8"/>
        <v>80</v>
      </c>
      <c r="T55" s="3">
        <v>51</v>
      </c>
      <c r="W55" s="3">
        <v>81</v>
      </c>
      <c r="X55" s="30">
        <v>17.998000000000001</v>
      </c>
      <c r="Y55" s="33">
        <f t="shared" si="1"/>
        <v>1.7999999999999999E-2</v>
      </c>
      <c r="AA55" s="36">
        <v>20</v>
      </c>
      <c r="AB55" s="40">
        <v>0.8</v>
      </c>
      <c r="AC55" s="38">
        <v>2.39</v>
      </c>
      <c r="AD55" s="39">
        <v>1.242</v>
      </c>
      <c r="AE55" s="39">
        <v>0.99299999999999999</v>
      </c>
      <c r="AF55" s="36">
        <v>314</v>
      </c>
      <c r="AG55" s="36">
        <v>40</v>
      </c>
      <c r="AH55" s="45">
        <f t="shared" si="10"/>
        <v>1.6000000000000014E-2</v>
      </c>
      <c r="AI55" s="3">
        <f t="shared" si="2"/>
        <v>800</v>
      </c>
      <c r="AJ55" s="44">
        <f t="shared" si="3"/>
        <v>8.1000000000000003E-2</v>
      </c>
      <c r="AL55" s="3">
        <v>51</v>
      </c>
      <c r="AM55" s="3">
        <f t="shared" si="4"/>
        <v>3310</v>
      </c>
      <c r="AN55" s="3">
        <f t="shared" si="11"/>
        <v>6431</v>
      </c>
      <c r="AO55" s="3">
        <f t="shared" si="9"/>
        <v>195</v>
      </c>
      <c r="AP55" s="46">
        <f t="shared" si="5"/>
        <v>1.7999999999999999E-2</v>
      </c>
    </row>
    <row r="56" spans="1:42" ht="18.75" thickBot="1">
      <c r="A56" s="4">
        <v>51</v>
      </c>
      <c r="B56" s="4">
        <v>3797</v>
      </c>
      <c r="C56" s="4">
        <v>90</v>
      </c>
      <c r="D56" s="4">
        <v>74</v>
      </c>
      <c r="E56" s="4">
        <v>1.8</v>
      </c>
      <c r="F56" s="4">
        <v>244</v>
      </c>
      <c r="G56" s="4">
        <v>6835</v>
      </c>
      <c r="H56" s="3">
        <f t="shared" si="6"/>
        <v>4238.768</v>
      </c>
      <c r="K56" s="3">
        <v>52</v>
      </c>
      <c r="L56" s="3">
        <v>3773</v>
      </c>
      <c r="M56" s="3">
        <v>88</v>
      </c>
      <c r="N56" s="3">
        <v>72.599999999999994</v>
      </c>
      <c r="O56" s="3">
        <v>1.88</v>
      </c>
      <c r="P56" s="3">
        <v>240</v>
      </c>
      <c r="Q56" s="3">
        <v>7095</v>
      </c>
      <c r="R56" s="3">
        <f t="shared" si="7"/>
        <v>3997.44</v>
      </c>
      <c r="S56" s="8">
        <f t="shared" si="8"/>
        <v>80</v>
      </c>
      <c r="W56" s="3">
        <v>82</v>
      </c>
      <c r="X56" s="30">
        <v>18.097000000000001</v>
      </c>
      <c r="Y56" s="33">
        <f t="shared" si="1"/>
        <v>1.7999999999999999E-2</v>
      </c>
      <c r="AA56" s="36">
        <v>20</v>
      </c>
      <c r="AB56" s="40">
        <v>0.81</v>
      </c>
      <c r="AC56" s="38">
        <v>2.39</v>
      </c>
      <c r="AD56" s="39">
        <v>1.246</v>
      </c>
      <c r="AE56" s="39">
        <v>1.01</v>
      </c>
      <c r="AF56" s="36">
        <v>317</v>
      </c>
      <c r="AG56" s="36">
        <v>41</v>
      </c>
      <c r="AH56" s="45">
        <f t="shared" si="10"/>
        <v>1.7000000000000015E-2</v>
      </c>
      <c r="AI56" s="3">
        <f t="shared" si="2"/>
        <v>810</v>
      </c>
      <c r="AJ56" s="44">
        <f t="shared" si="3"/>
        <v>8.2000000000000003E-2</v>
      </c>
      <c r="AL56" s="3">
        <v>52</v>
      </c>
      <c r="AM56" s="3">
        <f t="shared" si="4"/>
        <v>3380</v>
      </c>
      <c r="AN56" s="3">
        <f t="shared" si="11"/>
        <v>6630</v>
      </c>
      <c r="AO56" s="3">
        <f t="shared" si="9"/>
        <v>199</v>
      </c>
      <c r="AP56" s="46">
        <f t="shared" si="5"/>
        <v>1.7999999999999999E-2</v>
      </c>
    </row>
    <row r="57" spans="1:42" ht="18.75" thickBot="1">
      <c r="A57" s="4">
        <v>52</v>
      </c>
      <c r="B57" s="4">
        <v>3885</v>
      </c>
      <c r="C57" s="4">
        <v>88</v>
      </c>
      <c r="D57" s="4">
        <v>75</v>
      </c>
      <c r="E57" s="4">
        <v>1.82</v>
      </c>
      <c r="F57" s="4">
        <v>245</v>
      </c>
      <c r="G57" s="4">
        <v>7080</v>
      </c>
      <c r="H57" s="3">
        <f t="shared" si="6"/>
        <v>4256.1400000000003</v>
      </c>
      <c r="K57" s="3">
        <v>53</v>
      </c>
      <c r="L57" s="3">
        <v>3859</v>
      </c>
      <c r="M57" s="3">
        <v>86</v>
      </c>
      <c r="N57" s="3">
        <v>72.8</v>
      </c>
      <c r="O57" s="3">
        <v>1.901</v>
      </c>
      <c r="P57" s="3">
        <v>242</v>
      </c>
      <c r="Q57" s="3">
        <v>7337</v>
      </c>
      <c r="R57" s="3">
        <f t="shared" si="7"/>
        <v>4030.752</v>
      </c>
      <c r="S57" s="8">
        <f t="shared" si="8"/>
        <v>81</v>
      </c>
      <c r="W57" s="3">
        <v>83</v>
      </c>
      <c r="X57" s="30">
        <v>18.196000000000002</v>
      </c>
      <c r="Y57" s="33">
        <f t="shared" si="1"/>
        <v>1.7999999999999999E-2</v>
      </c>
      <c r="AA57" s="36">
        <v>20</v>
      </c>
      <c r="AB57" s="40">
        <v>0.82</v>
      </c>
      <c r="AC57" s="38">
        <v>2.39</v>
      </c>
      <c r="AD57" s="39">
        <v>1.2509999999999999</v>
      </c>
      <c r="AE57" s="39">
        <v>1.026</v>
      </c>
      <c r="AF57" s="36">
        <v>320</v>
      </c>
      <c r="AG57" s="36">
        <v>41</v>
      </c>
      <c r="AH57" s="45">
        <f t="shared" si="10"/>
        <v>1.6000000000000014E-2</v>
      </c>
      <c r="AI57" s="3">
        <f t="shared" si="2"/>
        <v>820</v>
      </c>
      <c r="AJ57" s="44">
        <f t="shared" si="3"/>
        <v>8.3000000000000004E-2</v>
      </c>
      <c r="AL57" s="3">
        <v>53</v>
      </c>
      <c r="AM57" s="3">
        <f t="shared" si="4"/>
        <v>3440</v>
      </c>
      <c r="AN57" s="3">
        <f t="shared" si="11"/>
        <v>6831</v>
      </c>
      <c r="AO57" s="3">
        <f t="shared" si="9"/>
        <v>201</v>
      </c>
      <c r="AP57" s="46">
        <f t="shared" si="5"/>
        <v>1.7999999999999999E-2</v>
      </c>
    </row>
    <row r="58" spans="1:42" ht="18.75" thickBot="1">
      <c r="A58" s="4">
        <v>53</v>
      </c>
      <c r="B58" s="4">
        <v>3973</v>
      </c>
      <c r="C58" s="4">
        <v>87</v>
      </c>
      <c r="D58" s="4">
        <v>75</v>
      </c>
      <c r="E58" s="4">
        <v>1.84</v>
      </c>
      <c r="F58" s="4">
        <v>247</v>
      </c>
      <c r="G58" s="4">
        <v>7326</v>
      </c>
      <c r="H58" s="3">
        <f t="shared" si="6"/>
        <v>4290.884</v>
      </c>
      <c r="K58" s="3">
        <v>54</v>
      </c>
      <c r="L58" s="3">
        <v>3944</v>
      </c>
      <c r="M58" s="3">
        <v>85</v>
      </c>
      <c r="N58" s="3">
        <v>73</v>
      </c>
      <c r="O58" s="3">
        <v>1.9219999999999999</v>
      </c>
      <c r="P58" s="3">
        <v>243</v>
      </c>
      <c r="Q58" s="3">
        <v>7580</v>
      </c>
      <c r="R58" s="3">
        <f t="shared" si="7"/>
        <v>4047.4079999999999</v>
      </c>
      <c r="S58" s="8">
        <f t="shared" si="8"/>
        <v>81</v>
      </c>
      <c r="W58" s="3">
        <v>84</v>
      </c>
      <c r="X58" s="30">
        <v>18.295999999999999</v>
      </c>
      <c r="Y58" s="33">
        <f t="shared" si="1"/>
        <v>1.7999999999999999E-2</v>
      </c>
      <c r="AA58" s="36">
        <v>20</v>
      </c>
      <c r="AB58" s="40">
        <v>0.83</v>
      </c>
      <c r="AC58" s="38">
        <v>2.39</v>
      </c>
      <c r="AD58" s="39">
        <v>1.256</v>
      </c>
      <c r="AE58" s="39">
        <v>1.0429999999999999</v>
      </c>
      <c r="AF58" s="36">
        <v>322</v>
      </c>
      <c r="AG58" s="36">
        <v>42</v>
      </c>
      <c r="AH58" s="45">
        <f t="shared" si="10"/>
        <v>1.6999999999999904E-2</v>
      </c>
      <c r="AI58" s="3">
        <f t="shared" si="2"/>
        <v>830</v>
      </c>
      <c r="AJ58" s="44">
        <f t="shared" si="3"/>
        <v>8.4000000000000005E-2</v>
      </c>
      <c r="AL58" s="3">
        <v>54</v>
      </c>
      <c r="AM58" s="3">
        <f t="shared" si="4"/>
        <v>3510</v>
      </c>
      <c r="AN58" s="3">
        <f t="shared" si="11"/>
        <v>7035</v>
      </c>
      <c r="AO58" s="3">
        <f t="shared" si="9"/>
        <v>204</v>
      </c>
      <c r="AP58" s="46">
        <f t="shared" si="5"/>
        <v>1.7999999999999999E-2</v>
      </c>
    </row>
    <row r="59" spans="1:42" ht="18.75" thickBot="1">
      <c r="A59" s="4">
        <v>54</v>
      </c>
      <c r="B59" s="4">
        <v>4059</v>
      </c>
      <c r="C59" s="4">
        <v>86</v>
      </c>
      <c r="D59" s="4">
        <v>75</v>
      </c>
      <c r="E59" s="4">
        <v>1.87</v>
      </c>
      <c r="F59" s="4">
        <v>247</v>
      </c>
      <c r="G59" s="4">
        <v>7573</v>
      </c>
      <c r="H59" s="3">
        <f t="shared" si="6"/>
        <v>4290.884</v>
      </c>
      <c r="K59" s="3">
        <v>55</v>
      </c>
      <c r="L59" s="3">
        <v>4028</v>
      </c>
      <c r="M59" s="3">
        <v>84</v>
      </c>
      <c r="N59" s="3">
        <v>73.2</v>
      </c>
      <c r="O59" s="3">
        <v>1.9430000000000001</v>
      </c>
      <c r="P59" s="3">
        <v>245</v>
      </c>
      <c r="Q59" s="3">
        <v>7825</v>
      </c>
      <c r="R59" s="3">
        <f t="shared" si="7"/>
        <v>4080.72</v>
      </c>
      <c r="S59" s="8">
        <f t="shared" si="8"/>
        <v>82</v>
      </c>
      <c r="W59" s="3">
        <v>85</v>
      </c>
      <c r="X59" s="30">
        <v>18.395</v>
      </c>
      <c r="Y59" s="33">
        <f t="shared" si="1"/>
        <v>1.7999999999999999E-2</v>
      </c>
      <c r="AA59" s="36">
        <v>21</v>
      </c>
      <c r="AB59" s="40">
        <v>0.84</v>
      </c>
      <c r="AC59" s="38">
        <v>2.5</v>
      </c>
      <c r="AD59" s="39">
        <v>1.2609999999999999</v>
      </c>
      <c r="AE59" s="39">
        <v>1.0629999999999999</v>
      </c>
      <c r="AF59" s="36">
        <v>310</v>
      </c>
      <c r="AG59" s="36">
        <v>40</v>
      </c>
      <c r="AH59" s="45">
        <f t="shared" si="10"/>
        <v>2.0000000000000018E-2</v>
      </c>
      <c r="AI59" s="3">
        <f t="shared" si="2"/>
        <v>840</v>
      </c>
      <c r="AJ59" s="44">
        <f t="shared" si="3"/>
        <v>8.5000000000000006E-2</v>
      </c>
      <c r="AL59" s="3">
        <v>55</v>
      </c>
      <c r="AM59" s="3">
        <f t="shared" si="4"/>
        <v>3580</v>
      </c>
      <c r="AN59" s="3">
        <f t="shared" si="11"/>
        <v>7242</v>
      </c>
      <c r="AO59" s="3">
        <f t="shared" si="9"/>
        <v>207</v>
      </c>
      <c r="AP59" s="46">
        <f t="shared" si="5"/>
        <v>1.7999999999999999E-2</v>
      </c>
    </row>
    <row r="60" spans="1:42" ht="18.75" thickBot="1">
      <c r="A60" s="4">
        <v>55</v>
      </c>
      <c r="B60" s="4">
        <v>4144</v>
      </c>
      <c r="C60" s="4">
        <v>85</v>
      </c>
      <c r="D60" s="4">
        <v>75</v>
      </c>
      <c r="E60" s="4">
        <v>1.89</v>
      </c>
      <c r="F60" s="4">
        <v>246</v>
      </c>
      <c r="G60" s="4">
        <v>7819</v>
      </c>
      <c r="H60" s="3">
        <f t="shared" si="6"/>
        <v>4273.5119999999997</v>
      </c>
      <c r="K60" s="3">
        <v>56</v>
      </c>
      <c r="L60" s="3">
        <v>4111</v>
      </c>
      <c r="M60" s="3">
        <v>83</v>
      </c>
      <c r="N60" s="3">
        <v>73.400000000000006</v>
      </c>
      <c r="O60" s="3">
        <v>1.9630000000000001</v>
      </c>
      <c r="P60" s="3">
        <v>245</v>
      </c>
      <c r="Q60" s="3">
        <v>8070</v>
      </c>
      <c r="R60" s="3">
        <f t="shared" si="7"/>
        <v>4080.72</v>
      </c>
      <c r="S60" s="8">
        <f t="shared" si="8"/>
        <v>82</v>
      </c>
      <c r="W60" s="3">
        <v>86</v>
      </c>
      <c r="X60" s="30">
        <v>18.495000000000001</v>
      </c>
      <c r="Y60" s="33">
        <f t="shared" si="1"/>
        <v>1.7999999999999999E-2</v>
      </c>
      <c r="AA60" s="36">
        <v>21</v>
      </c>
      <c r="AB60" s="40">
        <v>0.85</v>
      </c>
      <c r="AC60" s="38">
        <v>2.5</v>
      </c>
      <c r="AD60" s="39">
        <v>1.264</v>
      </c>
      <c r="AE60" s="39">
        <v>1.075</v>
      </c>
      <c r="AF60" s="36">
        <v>312</v>
      </c>
      <c r="AG60" s="36">
        <v>40</v>
      </c>
      <c r="AH60" s="45">
        <f t="shared" si="10"/>
        <v>1.2000000000000011E-2</v>
      </c>
      <c r="AI60" s="3">
        <f t="shared" si="2"/>
        <v>850</v>
      </c>
      <c r="AJ60" s="44">
        <f t="shared" si="3"/>
        <v>8.5999999999999993E-2</v>
      </c>
      <c r="AL60" s="3">
        <v>56</v>
      </c>
      <c r="AM60" s="3">
        <f t="shared" si="4"/>
        <v>3640</v>
      </c>
      <c r="AN60" s="3">
        <f t="shared" si="11"/>
        <v>7452</v>
      </c>
      <c r="AO60" s="3">
        <f t="shared" si="9"/>
        <v>210</v>
      </c>
      <c r="AP60" s="46">
        <f t="shared" si="5"/>
        <v>1.7999999999999999E-2</v>
      </c>
    </row>
    <row r="61" spans="1:42" ht="18.75" thickBot="1">
      <c r="A61" s="4">
        <v>56</v>
      </c>
      <c r="B61" s="4">
        <v>4227</v>
      </c>
      <c r="C61" s="4">
        <v>83</v>
      </c>
      <c r="D61" s="4">
        <v>75</v>
      </c>
      <c r="E61" s="4">
        <v>1.91</v>
      </c>
      <c r="F61" s="4">
        <v>245</v>
      </c>
      <c r="G61" s="4">
        <v>8063</v>
      </c>
      <c r="H61" s="3">
        <f t="shared" si="6"/>
        <v>4256.1400000000003</v>
      </c>
      <c r="K61" s="3">
        <v>57</v>
      </c>
      <c r="L61" s="3">
        <v>4192</v>
      </c>
      <c r="M61" s="3">
        <v>81</v>
      </c>
      <c r="N61" s="3">
        <v>73.5</v>
      </c>
      <c r="O61" s="3">
        <v>1.984</v>
      </c>
      <c r="P61" s="3">
        <v>245</v>
      </c>
      <c r="Q61" s="3">
        <v>8315</v>
      </c>
      <c r="R61" s="3">
        <f t="shared" si="7"/>
        <v>4080.72</v>
      </c>
      <c r="S61" s="8">
        <f t="shared" si="8"/>
        <v>82</v>
      </c>
      <c r="W61" s="3">
        <v>87</v>
      </c>
      <c r="X61" s="30">
        <v>18.594000000000001</v>
      </c>
      <c r="Y61" s="33">
        <f t="shared" si="1"/>
        <v>1.9E-2</v>
      </c>
      <c r="AA61" s="36">
        <v>21</v>
      </c>
      <c r="AB61" s="40">
        <v>0.86</v>
      </c>
      <c r="AC61" s="38">
        <v>2.5</v>
      </c>
      <c r="AD61" s="39">
        <v>1.268</v>
      </c>
      <c r="AE61" s="39">
        <v>1.0900000000000001</v>
      </c>
      <c r="AF61" s="36">
        <v>315</v>
      </c>
      <c r="AG61" s="36">
        <v>41</v>
      </c>
      <c r="AH61" s="45">
        <f t="shared" si="10"/>
        <v>1.5000000000000124E-2</v>
      </c>
      <c r="AI61" s="3">
        <f t="shared" si="2"/>
        <v>860</v>
      </c>
      <c r="AJ61" s="44">
        <f t="shared" si="3"/>
        <v>8.6999999999999994E-2</v>
      </c>
      <c r="AL61" s="3">
        <v>0</v>
      </c>
      <c r="AP61" s="46">
        <f t="shared" si="5"/>
        <v>1.9E-2</v>
      </c>
    </row>
    <row r="62" spans="1:42" ht="18.75" thickBot="1">
      <c r="A62" s="4">
        <v>57</v>
      </c>
      <c r="B62" s="4">
        <v>4309</v>
      </c>
      <c r="C62" s="4">
        <v>82</v>
      </c>
      <c r="D62" s="4">
        <v>76</v>
      </c>
      <c r="E62" s="4">
        <v>1.93</v>
      </c>
      <c r="F62" s="4">
        <v>243</v>
      </c>
      <c r="G62" s="4">
        <v>8306</v>
      </c>
      <c r="H62" s="3">
        <f t="shared" si="6"/>
        <v>4221.3959999999997</v>
      </c>
      <c r="K62" s="3">
        <v>58</v>
      </c>
      <c r="L62" s="3">
        <v>4272</v>
      </c>
      <c r="M62" s="3">
        <v>80</v>
      </c>
      <c r="N62" s="3">
        <v>73.7</v>
      </c>
      <c r="O62" s="3">
        <v>2.004</v>
      </c>
      <c r="P62" s="3">
        <v>245</v>
      </c>
      <c r="Q62" s="3">
        <v>8560</v>
      </c>
      <c r="R62" s="3">
        <f t="shared" si="7"/>
        <v>4080.72</v>
      </c>
      <c r="S62" s="8">
        <f t="shared" si="8"/>
        <v>82</v>
      </c>
      <c r="W62" s="3">
        <v>88</v>
      </c>
      <c r="X62" s="30">
        <v>18.693999999999999</v>
      </c>
      <c r="Y62" s="33">
        <f t="shared" si="1"/>
        <v>1.9E-2</v>
      </c>
      <c r="AA62" s="36">
        <v>21</v>
      </c>
      <c r="AB62" s="40">
        <v>0.87</v>
      </c>
      <c r="AC62" s="38">
        <v>2.5</v>
      </c>
      <c r="AD62" s="39">
        <v>1.2709999999999999</v>
      </c>
      <c r="AE62" s="39">
        <v>1.1060000000000001</v>
      </c>
      <c r="AF62" s="36">
        <v>318</v>
      </c>
      <c r="AG62" s="36">
        <v>41</v>
      </c>
      <c r="AH62" s="45">
        <f t="shared" si="10"/>
        <v>1.6000000000000014E-2</v>
      </c>
      <c r="AI62" s="3">
        <f t="shared" si="2"/>
        <v>870</v>
      </c>
      <c r="AJ62" s="44">
        <f t="shared" si="3"/>
        <v>8.7999999999999995E-2</v>
      </c>
      <c r="AP62" s="46">
        <f t="shared" si="5"/>
        <v>1.9E-2</v>
      </c>
    </row>
    <row r="63" spans="1:42" ht="18.75" thickBot="1">
      <c r="A63" s="4">
        <v>58</v>
      </c>
      <c r="B63" s="4">
        <v>4389</v>
      </c>
      <c r="C63" s="4">
        <v>80</v>
      </c>
      <c r="D63" s="4">
        <v>76</v>
      </c>
      <c r="E63" s="4">
        <v>1.95</v>
      </c>
      <c r="F63" s="4">
        <v>241</v>
      </c>
      <c r="G63" s="4">
        <v>8547</v>
      </c>
      <c r="H63" s="3">
        <f t="shared" si="6"/>
        <v>4186.652</v>
      </c>
      <c r="K63" s="3">
        <v>59</v>
      </c>
      <c r="L63" s="3">
        <v>4350</v>
      </c>
      <c r="M63" s="3">
        <v>78</v>
      </c>
      <c r="N63" s="3">
        <v>73.7</v>
      </c>
      <c r="O63" s="3">
        <v>2.024</v>
      </c>
      <c r="P63" s="3">
        <v>245</v>
      </c>
      <c r="Q63" s="3">
        <v>8805</v>
      </c>
      <c r="R63" s="3">
        <f t="shared" si="7"/>
        <v>4080.72</v>
      </c>
      <c r="S63" s="8">
        <f t="shared" si="8"/>
        <v>82</v>
      </c>
      <c r="W63" s="3">
        <v>89</v>
      </c>
      <c r="X63" s="30">
        <v>18.792999999999999</v>
      </c>
      <c r="Y63" s="33">
        <f t="shared" si="1"/>
        <v>1.9E-2</v>
      </c>
      <c r="AA63" s="36">
        <v>21</v>
      </c>
      <c r="AB63" s="40">
        <v>0.88</v>
      </c>
      <c r="AC63" s="38">
        <v>2.5</v>
      </c>
      <c r="AD63" s="39">
        <v>1.274</v>
      </c>
      <c r="AE63" s="39">
        <v>1.121</v>
      </c>
      <c r="AF63" s="36">
        <v>321</v>
      </c>
      <c r="AG63" s="36">
        <v>42</v>
      </c>
      <c r="AH63" s="45">
        <f t="shared" si="10"/>
        <v>1.4999999999999902E-2</v>
      </c>
      <c r="AI63" s="3">
        <f t="shared" si="2"/>
        <v>880</v>
      </c>
      <c r="AJ63" s="44">
        <f t="shared" si="3"/>
        <v>8.8999999999999996E-2</v>
      </c>
      <c r="AP63" s="46">
        <f t="shared" si="5"/>
        <v>1.9E-2</v>
      </c>
    </row>
    <row r="64" spans="1:42" ht="18.75" thickBot="1">
      <c r="A64" s="4">
        <v>59</v>
      </c>
      <c r="B64" s="4">
        <v>4466</v>
      </c>
      <c r="C64" s="4">
        <v>77</v>
      </c>
      <c r="D64" s="4">
        <v>76</v>
      </c>
      <c r="E64" s="4">
        <v>1.97</v>
      </c>
      <c r="F64" s="4">
        <v>239</v>
      </c>
      <c r="G64" s="4">
        <v>8786</v>
      </c>
      <c r="H64" s="3">
        <f t="shared" si="6"/>
        <v>4151.9080000000004</v>
      </c>
      <c r="K64" s="3">
        <v>60</v>
      </c>
      <c r="L64" s="3">
        <v>4427</v>
      </c>
      <c r="M64" s="3">
        <v>77</v>
      </c>
      <c r="N64" s="3">
        <v>73.8</v>
      </c>
      <c r="O64" s="3">
        <v>2.044</v>
      </c>
      <c r="P64" s="3">
        <v>245</v>
      </c>
      <c r="Q64" s="3">
        <v>9050</v>
      </c>
      <c r="R64" s="3">
        <f t="shared" si="7"/>
        <v>4080.72</v>
      </c>
      <c r="S64" s="8">
        <f t="shared" si="8"/>
        <v>82</v>
      </c>
      <c r="W64" s="3">
        <v>90</v>
      </c>
      <c r="X64" s="30">
        <v>18.891999999999999</v>
      </c>
      <c r="Y64" s="33">
        <f t="shared" si="1"/>
        <v>1.9E-2</v>
      </c>
      <c r="AA64" s="36">
        <v>21</v>
      </c>
      <c r="AB64" s="40">
        <v>0.89</v>
      </c>
      <c r="AC64" s="38">
        <v>2.5</v>
      </c>
      <c r="AD64" s="39">
        <v>1.2769999999999999</v>
      </c>
      <c r="AE64" s="39">
        <v>1.137</v>
      </c>
      <c r="AF64" s="36">
        <v>324</v>
      </c>
      <c r="AG64" s="36">
        <v>42</v>
      </c>
      <c r="AH64" s="45">
        <f t="shared" si="10"/>
        <v>1.6000000000000014E-2</v>
      </c>
      <c r="AI64" s="3">
        <f t="shared" si="2"/>
        <v>890</v>
      </c>
      <c r="AJ64" s="44">
        <f t="shared" si="3"/>
        <v>0.09</v>
      </c>
      <c r="AP64" s="46">
        <f t="shared" si="5"/>
        <v>1.9E-2</v>
      </c>
    </row>
    <row r="65" spans="1:42" ht="18.75" thickBot="1">
      <c r="A65" s="4">
        <v>60</v>
      </c>
      <c r="B65" s="4">
        <v>4542</v>
      </c>
      <c r="C65" s="4">
        <v>76</v>
      </c>
      <c r="D65" s="4">
        <v>76</v>
      </c>
      <c r="E65" s="4">
        <v>1.99</v>
      </c>
      <c r="F65" s="4">
        <v>237</v>
      </c>
      <c r="G65" s="4">
        <v>9022</v>
      </c>
      <c r="H65" s="3">
        <f t="shared" si="6"/>
        <v>4117.1639999999998</v>
      </c>
      <c r="K65" s="3">
        <v>61</v>
      </c>
      <c r="L65" s="3">
        <v>4502</v>
      </c>
      <c r="M65" s="3">
        <v>75</v>
      </c>
      <c r="N65" s="3">
        <v>73.8</v>
      </c>
      <c r="O65" s="3">
        <v>2.0649999999999999</v>
      </c>
      <c r="P65" s="3">
        <v>245</v>
      </c>
      <c r="Q65" s="3">
        <v>9295</v>
      </c>
      <c r="R65" s="3">
        <f t="shared" si="7"/>
        <v>4080.72</v>
      </c>
      <c r="S65" s="8">
        <f t="shared" si="8"/>
        <v>82</v>
      </c>
      <c r="W65" s="3">
        <v>91</v>
      </c>
      <c r="X65" s="30">
        <v>18.992000000000001</v>
      </c>
      <c r="Y65" s="33">
        <f t="shared" si="1"/>
        <v>1.9E-2</v>
      </c>
      <c r="AA65" s="36">
        <v>21</v>
      </c>
      <c r="AB65" s="40">
        <v>0.9</v>
      </c>
      <c r="AC65" s="38">
        <v>2.5</v>
      </c>
      <c r="AD65" s="39">
        <v>1.2809999999999999</v>
      </c>
      <c r="AE65" s="39">
        <v>1.1519999999999999</v>
      </c>
      <c r="AF65" s="36">
        <v>326</v>
      </c>
      <c r="AG65" s="36">
        <v>43</v>
      </c>
      <c r="AH65" s="45">
        <f t="shared" si="10"/>
        <v>1.4999999999999902E-2</v>
      </c>
      <c r="AI65" s="3">
        <f t="shared" si="2"/>
        <v>900</v>
      </c>
      <c r="AJ65" s="44">
        <f t="shared" si="3"/>
        <v>9.0999999999999998E-2</v>
      </c>
      <c r="AP65" s="46">
        <f t="shared" si="5"/>
        <v>1.9E-2</v>
      </c>
    </row>
    <row r="66" spans="1:42" ht="18.75" thickBot="1">
      <c r="A66" s="4">
        <v>61</v>
      </c>
      <c r="B66" s="4">
        <v>4616</v>
      </c>
      <c r="C66" s="4">
        <v>74</v>
      </c>
      <c r="D66" s="4">
        <v>76</v>
      </c>
      <c r="E66" s="4">
        <v>2.0099999999999998</v>
      </c>
      <c r="F66" s="4">
        <v>234</v>
      </c>
      <c r="G66" s="4">
        <v>9256</v>
      </c>
      <c r="H66" s="3">
        <f t="shared" si="6"/>
        <v>4065.0479999999998</v>
      </c>
      <c r="K66" s="3">
        <v>62</v>
      </c>
      <c r="L66" s="3">
        <v>4576</v>
      </c>
      <c r="M66" s="3">
        <v>74</v>
      </c>
      <c r="N66" s="3">
        <v>73.8</v>
      </c>
      <c r="O66" s="3">
        <v>2.085</v>
      </c>
      <c r="P66" s="3">
        <v>245</v>
      </c>
      <c r="Q66" s="3">
        <v>9540</v>
      </c>
      <c r="R66" s="3">
        <f t="shared" si="7"/>
        <v>4080.72</v>
      </c>
      <c r="S66" s="8">
        <f t="shared" si="8"/>
        <v>82</v>
      </c>
      <c r="W66" s="3">
        <v>92</v>
      </c>
      <c r="X66" s="30">
        <v>19.091000000000001</v>
      </c>
      <c r="Y66" s="33">
        <f t="shared" si="1"/>
        <v>1.9E-2</v>
      </c>
      <c r="AA66" s="36">
        <v>21</v>
      </c>
      <c r="AB66" s="40">
        <v>0.91</v>
      </c>
      <c r="AC66" s="38">
        <v>2.5</v>
      </c>
      <c r="AD66" s="39">
        <v>1.284</v>
      </c>
      <c r="AE66" s="39">
        <v>1.1679999999999999</v>
      </c>
      <c r="AF66" s="36">
        <v>329</v>
      </c>
      <c r="AG66" s="36">
        <v>43</v>
      </c>
      <c r="AH66" s="45">
        <f t="shared" si="10"/>
        <v>1.6000000000000014E-2</v>
      </c>
      <c r="AI66" s="3">
        <f t="shared" si="2"/>
        <v>910</v>
      </c>
      <c r="AJ66" s="44">
        <f t="shared" si="3"/>
        <v>9.1999999999999998E-2</v>
      </c>
      <c r="AP66" s="46">
        <f t="shared" si="5"/>
        <v>1.9E-2</v>
      </c>
    </row>
    <row r="67" spans="1:42" ht="18.75" thickBot="1">
      <c r="A67" s="4">
        <v>62</v>
      </c>
      <c r="B67" s="4">
        <v>4688</v>
      </c>
      <c r="C67" s="4">
        <v>73</v>
      </c>
      <c r="D67" s="4">
        <v>76</v>
      </c>
      <c r="E67" s="4">
        <v>2.02</v>
      </c>
      <c r="F67" s="4">
        <v>232</v>
      </c>
      <c r="G67" s="4">
        <v>9488</v>
      </c>
      <c r="H67" s="3">
        <f t="shared" si="6"/>
        <v>4030.3040000000001</v>
      </c>
      <c r="K67" s="3">
        <v>63</v>
      </c>
      <c r="L67" s="3">
        <v>4649</v>
      </c>
      <c r="M67" s="3">
        <v>73</v>
      </c>
      <c r="N67" s="3">
        <v>73.8</v>
      </c>
      <c r="O67" s="3">
        <v>2.105</v>
      </c>
      <c r="P67" s="3">
        <v>245</v>
      </c>
      <c r="Q67" s="3">
        <v>9785</v>
      </c>
      <c r="R67" s="3">
        <f t="shared" si="7"/>
        <v>4080.72</v>
      </c>
      <c r="S67" s="8">
        <f t="shared" si="8"/>
        <v>82</v>
      </c>
      <c r="W67" s="3">
        <v>93</v>
      </c>
      <c r="X67" s="30">
        <v>19.190999999999999</v>
      </c>
      <c r="Y67" s="33">
        <f t="shared" si="1"/>
        <v>1.9E-2</v>
      </c>
      <c r="AA67" s="36">
        <v>22</v>
      </c>
      <c r="AB67" s="40">
        <v>0.92</v>
      </c>
      <c r="AC67" s="38">
        <v>2.61</v>
      </c>
      <c r="AD67" s="39">
        <v>1.2869999999999999</v>
      </c>
      <c r="AE67" s="39">
        <v>1.1870000000000001</v>
      </c>
      <c r="AF67" s="36">
        <v>317</v>
      </c>
      <c r="AG67" s="36">
        <v>42</v>
      </c>
      <c r="AH67" s="45">
        <f t="shared" si="10"/>
        <v>1.9000000000000128E-2</v>
      </c>
      <c r="AI67" s="3">
        <f t="shared" si="2"/>
        <v>920</v>
      </c>
      <c r="AJ67" s="44">
        <f t="shared" si="3"/>
        <v>9.2999999999999999E-2</v>
      </c>
      <c r="AP67" s="46">
        <f t="shared" si="5"/>
        <v>1.9E-2</v>
      </c>
    </row>
    <row r="68" spans="1:42" ht="18.75" thickBot="1">
      <c r="A68" s="4">
        <v>63</v>
      </c>
      <c r="B68" s="4">
        <v>4759</v>
      </c>
      <c r="C68" s="4">
        <v>70</v>
      </c>
      <c r="D68" s="4">
        <v>76</v>
      </c>
      <c r="E68" s="4">
        <v>2.04</v>
      </c>
      <c r="F68" s="4">
        <v>228</v>
      </c>
      <c r="G68" s="4">
        <v>9716</v>
      </c>
      <c r="H68" s="3">
        <f t="shared" si="6"/>
        <v>3960.8159999999998</v>
      </c>
      <c r="S68" s="8">
        <f t="shared" si="8"/>
        <v>0</v>
      </c>
      <c r="W68" s="3">
        <v>94</v>
      </c>
      <c r="X68" s="30">
        <v>19.29</v>
      </c>
      <c r="Y68" s="33">
        <f t="shared" si="1"/>
        <v>1.9E-2</v>
      </c>
      <c r="AA68" s="36">
        <v>22</v>
      </c>
      <c r="AB68" s="40">
        <v>0.93</v>
      </c>
      <c r="AC68" s="38">
        <v>2.61</v>
      </c>
      <c r="AD68" s="39">
        <v>1.29</v>
      </c>
      <c r="AE68" s="39">
        <v>1.2</v>
      </c>
      <c r="AF68" s="36">
        <v>319</v>
      </c>
      <c r="AG68" s="36">
        <v>42</v>
      </c>
      <c r="AH68" s="45">
        <f t="shared" si="10"/>
        <v>1.2999999999999901E-2</v>
      </c>
      <c r="AI68" s="3">
        <f t="shared" si="2"/>
        <v>930</v>
      </c>
      <c r="AJ68" s="44">
        <f t="shared" si="3"/>
        <v>9.4E-2</v>
      </c>
      <c r="AP68" s="46">
        <f t="shared" si="5"/>
        <v>1.9E-2</v>
      </c>
    </row>
    <row r="69" spans="1:42" ht="18">
      <c r="S69" s="8">
        <f t="shared" si="8"/>
        <v>0</v>
      </c>
      <c r="W69" s="3">
        <v>95</v>
      </c>
      <c r="X69" s="30">
        <v>19.466000000000001</v>
      </c>
      <c r="Y69" s="33">
        <f t="shared" ref="Y69:Y132" si="12">ROUND(X69/1000,3)</f>
        <v>1.9E-2</v>
      </c>
      <c r="AA69" s="36">
        <v>22</v>
      </c>
      <c r="AB69" s="40">
        <v>0.94</v>
      </c>
      <c r="AC69" s="38">
        <v>2.61</v>
      </c>
      <c r="AD69" s="39">
        <v>1.294</v>
      </c>
      <c r="AE69" s="39">
        <v>1.216</v>
      </c>
      <c r="AF69" s="36">
        <v>322</v>
      </c>
      <c r="AG69" s="36">
        <v>43</v>
      </c>
      <c r="AH69" s="45">
        <f t="shared" si="10"/>
        <v>1.6000000000000014E-2</v>
      </c>
      <c r="AI69" s="3">
        <f t="shared" ref="AI69:AI132" si="13">AB69*1000</f>
        <v>940</v>
      </c>
      <c r="AJ69" s="44">
        <f t="shared" ref="AJ69:AJ132" si="14">ROUND(W69/1000,3)</f>
        <v>9.5000000000000001E-2</v>
      </c>
      <c r="AP69" s="46">
        <f t="shared" ref="AP69:AP132" si="15">ROUND(X69/1000,3)</f>
        <v>1.9E-2</v>
      </c>
    </row>
    <row r="70" spans="1:42" ht="18">
      <c r="S70" s="8">
        <f t="shared" ref="S70:S133" si="16">CEILING(R70/50,0.5)</f>
        <v>0</v>
      </c>
      <c r="W70" s="3">
        <v>96</v>
      </c>
      <c r="X70" s="30">
        <v>19.641999999999999</v>
      </c>
      <c r="Y70" s="33">
        <f t="shared" si="12"/>
        <v>0.02</v>
      </c>
      <c r="AA70" s="36">
        <v>22</v>
      </c>
      <c r="AB70" s="40">
        <v>0.95</v>
      </c>
      <c r="AC70" s="38">
        <v>2.61</v>
      </c>
      <c r="AD70" s="39">
        <v>1.2969999999999999</v>
      </c>
      <c r="AE70" s="39">
        <v>1.232</v>
      </c>
      <c r="AF70" s="36">
        <v>3.24</v>
      </c>
      <c r="AG70" s="36">
        <v>43</v>
      </c>
      <c r="AH70" s="45">
        <f t="shared" ref="AH70:AH133" si="17">AE70-AE69</f>
        <v>1.6000000000000014E-2</v>
      </c>
      <c r="AI70" s="3">
        <f t="shared" si="13"/>
        <v>950</v>
      </c>
      <c r="AJ70" s="44">
        <f t="shared" si="14"/>
        <v>9.6000000000000002E-2</v>
      </c>
      <c r="AP70" s="46">
        <f t="shared" si="15"/>
        <v>0.02</v>
      </c>
    </row>
    <row r="71" spans="1:42" ht="18">
      <c r="S71" s="8">
        <f t="shared" si="16"/>
        <v>0</v>
      </c>
      <c r="W71" s="3">
        <v>97</v>
      </c>
      <c r="X71" s="30">
        <v>19.817</v>
      </c>
      <c r="Y71" s="33">
        <f t="shared" si="12"/>
        <v>0.02</v>
      </c>
      <c r="AA71" s="36">
        <v>22</v>
      </c>
      <c r="AB71" s="40">
        <v>0.96</v>
      </c>
      <c r="AC71" s="38">
        <v>2.61</v>
      </c>
      <c r="AD71" s="39">
        <v>1.3009999999999999</v>
      </c>
      <c r="AE71" s="39">
        <v>1.248</v>
      </c>
      <c r="AF71" s="36">
        <v>327</v>
      </c>
      <c r="AG71" s="36">
        <v>44</v>
      </c>
      <c r="AH71" s="45">
        <f t="shared" si="17"/>
        <v>1.6000000000000014E-2</v>
      </c>
      <c r="AI71" s="3">
        <f t="shared" si="13"/>
        <v>960</v>
      </c>
      <c r="AJ71" s="44">
        <f t="shared" si="14"/>
        <v>9.7000000000000003E-2</v>
      </c>
      <c r="AP71" s="46">
        <f t="shared" si="15"/>
        <v>0.02</v>
      </c>
    </row>
    <row r="72" spans="1:42" ht="18">
      <c r="S72" s="8">
        <f t="shared" si="16"/>
        <v>0</v>
      </c>
      <c r="W72" s="3">
        <v>98</v>
      </c>
      <c r="X72" s="30">
        <v>19.992999999999999</v>
      </c>
      <c r="Y72" s="33">
        <f t="shared" si="12"/>
        <v>0.02</v>
      </c>
      <c r="AA72" s="36">
        <v>22</v>
      </c>
      <c r="AB72" s="40">
        <v>0.97</v>
      </c>
      <c r="AC72" s="38">
        <v>2.61</v>
      </c>
      <c r="AD72" s="39">
        <v>1.304</v>
      </c>
      <c r="AE72" s="39">
        <v>1.2649999999999999</v>
      </c>
      <c r="AF72" s="36">
        <v>329</v>
      </c>
      <c r="AG72" s="36">
        <v>44</v>
      </c>
      <c r="AH72" s="45">
        <f t="shared" si="17"/>
        <v>1.6999999999999904E-2</v>
      </c>
      <c r="AI72" s="3">
        <f t="shared" si="13"/>
        <v>970</v>
      </c>
      <c r="AJ72" s="44">
        <f t="shared" si="14"/>
        <v>9.8000000000000004E-2</v>
      </c>
      <c r="AP72" s="46">
        <f t="shared" si="15"/>
        <v>0.02</v>
      </c>
    </row>
    <row r="73" spans="1:42" ht="18">
      <c r="S73" s="8">
        <f t="shared" si="16"/>
        <v>0</v>
      </c>
      <c r="W73" s="3">
        <v>99</v>
      </c>
      <c r="X73" s="30">
        <v>20.169</v>
      </c>
      <c r="Y73" s="33">
        <f t="shared" si="12"/>
        <v>0.02</v>
      </c>
      <c r="AA73" s="36">
        <v>22</v>
      </c>
      <c r="AB73" s="40">
        <v>0.98</v>
      </c>
      <c r="AC73" s="38">
        <v>2.61</v>
      </c>
      <c r="AD73" s="39">
        <v>1.3069999999999999</v>
      </c>
      <c r="AE73" s="39">
        <v>1.2809999999999999</v>
      </c>
      <c r="AF73" s="36">
        <v>332</v>
      </c>
      <c r="AG73" s="36">
        <v>45</v>
      </c>
      <c r="AH73" s="45">
        <f t="shared" si="17"/>
        <v>1.6000000000000014E-2</v>
      </c>
      <c r="AI73" s="3">
        <f t="shared" si="13"/>
        <v>980</v>
      </c>
      <c r="AJ73" s="44">
        <f t="shared" si="14"/>
        <v>9.9000000000000005E-2</v>
      </c>
      <c r="AP73" s="46">
        <f t="shared" si="15"/>
        <v>0.02</v>
      </c>
    </row>
    <row r="74" spans="1:42" ht="18">
      <c r="S74" s="8">
        <f t="shared" si="16"/>
        <v>0</v>
      </c>
      <c r="W74" s="3">
        <v>100</v>
      </c>
      <c r="X74" s="30">
        <v>20.344999999999999</v>
      </c>
      <c r="Y74" s="33">
        <f t="shared" si="12"/>
        <v>0.02</v>
      </c>
      <c r="AA74" s="36">
        <v>22</v>
      </c>
      <c r="AB74" s="40">
        <v>0.99</v>
      </c>
      <c r="AC74" s="38">
        <v>2.61</v>
      </c>
      <c r="AD74" s="39">
        <v>1.3109999999999999</v>
      </c>
      <c r="AE74" s="39">
        <v>1.298</v>
      </c>
      <c r="AF74" s="36">
        <v>334</v>
      </c>
      <c r="AG74" s="36">
        <v>45</v>
      </c>
      <c r="AH74" s="45">
        <f t="shared" si="17"/>
        <v>1.7000000000000126E-2</v>
      </c>
      <c r="AI74" s="3">
        <f t="shared" si="13"/>
        <v>990</v>
      </c>
      <c r="AJ74" s="44">
        <f t="shared" si="14"/>
        <v>0.1</v>
      </c>
      <c r="AP74" s="46">
        <f t="shared" si="15"/>
        <v>0.02</v>
      </c>
    </row>
    <row r="75" spans="1:42" ht="18">
      <c r="S75" s="8">
        <f t="shared" si="16"/>
        <v>0</v>
      </c>
      <c r="W75" s="3">
        <v>101</v>
      </c>
      <c r="X75" s="30">
        <v>20.521000000000001</v>
      </c>
      <c r="Y75" s="33">
        <f t="shared" si="12"/>
        <v>2.1000000000000001E-2</v>
      </c>
      <c r="AA75" s="36">
        <v>23</v>
      </c>
      <c r="AB75" s="40">
        <v>1.01</v>
      </c>
      <c r="AC75" s="38">
        <v>2.71</v>
      </c>
      <c r="AD75" s="39">
        <v>1.3169999999999999</v>
      </c>
      <c r="AE75" s="39">
        <v>1.33</v>
      </c>
      <c r="AF75" s="36">
        <v>324</v>
      </c>
      <c r="AG75" s="36">
        <v>44</v>
      </c>
      <c r="AH75" s="45">
        <f t="shared" si="17"/>
        <v>3.2000000000000028E-2</v>
      </c>
      <c r="AI75" s="3">
        <f t="shared" si="13"/>
        <v>1010</v>
      </c>
      <c r="AJ75" s="44">
        <f t="shared" si="14"/>
        <v>0.10100000000000001</v>
      </c>
      <c r="AP75" s="46">
        <f t="shared" si="15"/>
        <v>2.1000000000000001E-2</v>
      </c>
    </row>
    <row r="76" spans="1:42" ht="18">
      <c r="S76" s="8">
        <f t="shared" si="16"/>
        <v>0</v>
      </c>
      <c r="W76" s="3">
        <v>102</v>
      </c>
      <c r="X76" s="30">
        <v>20.696000000000002</v>
      </c>
      <c r="Y76" s="33">
        <f t="shared" si="12"/>
        <v>2.1000000000000001E-2</v>
      </c>
      <c r="AA76" s="36">
        <v>23</v>
      </c>
      <c r="AB76" s="40">
        <v>1.02</v>
      </c>
      <c r="AC76" s="38">
        <v>2.71</v>
      </c>
      <c r="AD76" s="39">
        <v>1.321</v>
      </c>
      <c r="AE76" s="39">
        <v>1.347</v>
      </c>
      <c r="AF76" s="36">
        <v>327</v>
      </c>
      <c r="AG76" s="36">
        <v>44</v>
      </c>
      <c r="AH76" s="45">
        <f t="shared" si="17"/>
        <v>1.6999999999999904E-2</v>
      </c>
      <c r="AI76" s="3">
        <f t="shared" si="13"/>
        <v>1020</v>
      </c>
      <c r="AJ76" s="44">
        <f t="shared" si="14"/>
        <v>0.10199999999999999</v>
      </c>
      <c r="AP76" s="46">
        <f t="shared" si="15"/>
        <v>2.1000000000000001E-2</v>
      </c>
    </row>
    <row r="77" spans="1:42" ht="18">
      <c r="S77" s="8">
        <f t="shared" si="16"/>
        <v>0</v>
      </c>
      <c r="W77" s="3">
        <v>103</v>
      </c>
      <c r="X77" s="30">
        <v>20.872</v>
      </c>
      <c r="Y77" s="33">
        <f t="shared" si="12"/>
        <v>2.1000000000000001E-2</v>
      </c>
      <c r="AA77" s="36">
        <v>23</v>
      </c>
      <c r="AB77" s="40">
        <v>1.03</v>
      </c>
      <c r="AC77" s="38">
        <v>2.71</v>
      </c>
      <c r="AD77" s="39">
        <v>1.3240000000000001</v>
      </c>
      <c r="AE77" s="39">
        <v>1.363</v>
      </c>
      <c r="AF77" s="36">
        <v>329</v>
      </c>
      <c r="AG77" s="36">
        <v>45</v>
      </c>
      <c r="AH77" s="45">
        <f t="shared" si="17"/>
        <v>1.6000000000000014E-2</v>
      </c>
      <c r="AI77" s="3">
        <f t="shared" si="13"/>
        <v>1030</v>
      </c>
      <c r="AJ77" s="44">
        <f t="shared" si="14"/>
        <v>0.10299999999999999</v>
      </c>
      <c r="AP77" s="46">
        <f t="shared" si="15"/>
        <v>2.1000000000000001E-2</v>
      </c>
    </row>
    <row r="78" spans="1:42" ht="18">
      <c r="S78" s="8">
        <f t="shared" si="16"/>
        <v>0</v>
      </c>
      <c r="W78" s="3">
        <v>104</v>
      </c>
      <c r="X78" s="30">
        <v>21.047999999999998</v>
      </c>
      <c r="Y78" s="33">
        <f t="shared" si="12"/>
        <v>2.1000000000000001E-2</v>
      </c>
      <c r="AA78" s="36">
        <v>23</v>
      </c>
      <c r="AB78" s="40">
        <v>1.04</v>
      </c>
      <c r="AC78" s="38">
        <v>2.71</v>
      </c>
      <c r="AD78" s="39">
        <v>1.327</v>
      </c>
      <c r="AE78" s="39">
        <v>1.38</v>
      </c>
      <c r="AF78" s="36">
        <v>332</v>
      </c>
      <c r="AG78" s="36">
        <v>45</v>
      </c>
      <c r="AH78" s="45">
        <f t="shared" si="17"/>
        <v>1.6999999999999904E-2</v>
      </c>
      <c r="AI78" s="3">
        <f t="shared" si="13"/>
        <v>1040</v>
      </c>
      <c r="AJ78" s="44">
        <f t="shared" si="14"/>
        <v>0.104</v>
      </c>
      <c r="AP78" s="46">
        <f t="shared" si="15"/>
        <v>2.1000000000000001E-2</v>
      </c>
    </row>
    <row r="79" spans="1:42" ht="18">
      <c r="S79" s="8">
        <f t="shared" si="16"/>
        <v>0</v>
      </c>
      <c r="W79" s="3">
        <v>105</v>
      </c>
      <c r="X79" s="30">
        <v>21.224</v>
      </c>
      <c r="Y79" s="33">
        <f t="shared" si="12"/>
        <v>2.1000000000000001E-2</v>
      </c>
      <c r="AA79" s="36">
        <v>23</v>
      </c>
      <c r="AB79" s="40">
        <v>1.05</v>
      </c>
      <c r="AC79" s="38">
        <v>2.71</v>
      </c>
      <c r="AD79" s="39">
        <v>1.33</v>
      </c>
      <c r="AE79" s="39">
        <v>1.397</v>
      </c>
      <c r="AF79" s="36">
        <v>334</v>
      </c>
      <c r="AG79" s="36">
        <v>46</v>
      </c>
      <c r="AH79" s="45">
        <f t="shared" si="17"/>
        <v>1.7000000000000126E-2</v>
      </c>
      <c r="AI79" s="3">
        <f t="shared" si="13"/>
        <v>1050</v>
      </c>
      <c r="AJ79" s="44">
        <f t="shared" si="14"/>
        <v>0.105</v>
      </c>
      <c r="AP79" s="46">
        <f t="shared" si="15"/>
        <v>2.1000000000000001E-2</v>
      </c>
    </row>
    <row r="80" spans="1:42" ht="18">
      <c r="S80" s="8">
        <f t="shared" si="16"/>
        <v>0</v>
      </c>
      <c r="W80" s="3">
        <v>106</v>
      </c>
      <c r="X80" s="30">
        <v>21.399000000000001</v>
      </c>
      <c r="Y80" s="33">
        <f t="shared" si="12"/>
        <v>2.1000000000000001E-2</v>
      </c>
      <c r="AA80" s="36">
        <v>23</v>
      </c>
      <c r="AB80" s="40">
        <v>1.06</v>
      </c>
      <c r="AC80" s="38">
        <v>2.71</v>
      </c>
      <c r="AD80" s="39">
        <v>1.3340000000000001</v>
      </c>
      <c r="AE80" s="39">
        <v>1.4139999999999999</v>
      </c>
      <c r="AF80" s="36">
        <v>336</v>
      </c>
      <c r="AG80" s="36">
        <v>46</v>
      </c>
      <c r="AH80" s="45">
        <f t="shared" si="17"/>
        <v>1.6999999999999904E-2</v>
      </c>
      <c r="AI80" s="3">
        <f t="shared" si="13"/>
        <v>1060</v>
      </c>
      <c r="AJ80" s="44">
        <f t="shared" si="14"/>
        <v>0.106</v>
      </c>
      <c r="AP80" s="46">
        <f t="shared" si="15"/>
        <v>2.1000000000000001E-2</v>
      </c>
    </row>
    <row r="81" spans="19:42" ht="18">
      <c r="S81" s="8">
        <f t="shared" si="16"/>
        <v>0</v>
      </c>
      <c r="W81" s="3">
        <v>107</v>
      </c>
      <c r="X81" s="30">
        <v>21.574999999999999</v>
      </c>
      <c r="Y81" s="33">
        <f t="shared" si="12"/>
        <v>2.1999999999999999E-2</v>
      </c>
      <c r="AA81" s="36">
        <v>23</v>
      </c>
      <c r="AB81" s="40">
        <v>1.07</v>
      </c>
      <c r="AC81" s="38">
        <v>2.71</v>
      </c>
      <c r="AD81" s="39">
        <v>1.337</v>
      </c>
      <c r="AE81" s="39">
        <v>1.43</v>
      </c>
      <c r="AF81" s="36">
        <v>339</v>
      </c>
      <c r="AG81" s="36">
        <v>47</v>
      </c>
      <c r="AH81" s="45">
        <f t="shared" si="17"/>
        <v>1.6000000000000014E-2</v>
      </c>
      <c r="AI81" s="3">
        <f t="shared" si="13"/>
        <v>1070</v>
      </c>
      <c r="AJ81" s="44">
        <f t="shared" si="14"/>
        <v>0.107</v>
      </c>
      <c r="AP81" s="46">
        <f t="shared" si="15"/>
        <v>2.1999999999999999E-2</v>
      </c>
    </row>
    <row r="82" spans="19:42" ht="18">
      <c r="S82" s="8">
        <f t="shared" si="16"/>
        <v>0</v>
      </c>
      <c r="W82" s="3">
        <v>108</v>
      </c>
      <c r="X82" s="30">
        <v>21.751000000000001</v>
      </c>
      <c r="Y82" s="33">
        <f t="shared" si="12"/>
        <v>2.1999999999999999E-2</v>
      </c>
      <c r="AA82" s="36">
        <v>24</v>
      </c>
      <c r="AB82" s="40">
        <v>1.08</v>
      </c>
      <c r="AC82" s="38">
        <v>2.82</v>
      </c>
      <c r="AD82" s="39">
        <v>1.34</v>
      </c>
      <c r="AE82" s="39">
        <v>1.4470000000000001</v>
      </c>
      <c r="AF82" s="36">
        <v>326</v>
      </c>
      <c r="AG82" s="36">
        <v>45</v>
      </c>
      <c r="AH82" s="45">
        <f t="shared" si="17"/>
        <v>1.7000000000000126E-2</v>
      </c>
      <c r="AI82" s="3">
        <f t="shared" si="13"/>
        <v>1080</v>
      </c>
      <c r="AJ82" s="44">
        <f t="shared" si="14"/>
        <v>0.108</v>
      </c>
      <c r="AP82" s="46">
        <f t="shared" si="15"/>
        <v>2.1999999999999999E-2</v>
      </c>
    </row>
    <row r="83" spans="19:42" ht="18">
      <c r="S83" s="8">
        <f t="shared" si="16"/>
        <v>0</v>
      </c>
      <c r="W83" s="3">
        <v>109</v>
      </c>
      <c r="X83" s="30">
        <v>21.927</v>
      </c>
      <c r="Y83" s="33">
        <f t="shared" si="12"/>
        <v>2.1999999999999999E-2</v>
      </c>
      <c r="AA83" s="36">
        <v>24</v>
      </c>
      <c r="AB83" s="40">
        <v>1.0900000000000001</v>
      </c>
      <c r="AC83" s="38">
        <v>2.82</v>
      </c>
      <c r="AD83" s="39">
        <v>1.343</v>
      </c>
      <c r="AE83" s="39">
        <v>1.464</v>
      </c>
      <c r="AF83" s="36">
        <v>329</v>
      </c>
      <c r="AG83" s="36">
        <v>45</v>
      </c>
      <c r="AH83" s="45">
        <f t="shared" si="17"/>
        <v>1.6999999999999904E-2</v>
      </c>
      <c r="AI83" s="3">
        <f t="shared" si="13"/>
        <v>1090</v>
      </c>
      <c r="AJ83" s="44">
        <f t="shared" si="14"/>
        <v>0.109</v>
      </c>
      <c r="AP83" s="46">
        <f t="shared" si="15"/>
        <v>2.1999999999999999E-2</v>
      </c>
    </row>
    <row r="84" spans="19:42" ht="18">
      <c r="S84" s="8">
        <f t="shared" si="16"/>
        <v>0</v>
      </c>
      <c r="W84" s="3">
        <v>110</v>
      </c>
      <c r="X84" s="30">
        <v>22.103000000000002</v>
      </c>
      <c r="Y84" s="33">
        <f t="shared" si="12"/>
        <v>2.1999999999999999E-2</v>
      </c>
      <c r="AA84" s="36">
        <v>24</v>
      </c>
      <c r="AB84" s="40">
        <v>1.1000000000000001</v>
      </c>
      <c r="AC84" s="38">
        <v>2.82</v>
      </c>
      <c r="AD84" s="39">
        <v>1.347</v>
      </c>
      <c r="AE84" s="39">
        <v>1.4810000000000001</v>
      </c>
      <c r="AF84" s="36">
        <v>331</v>
      </c>
      <c r="AG84" s="36">
        <v>46</v>
      </c>
      <c r="AH84" s="45">
        <f t="shared" si="17"/>
        <v>1.7000000000000126E-2</v>
      </c>
      <c r="AI84" s="3">
        <f t="shared" si="13"/>
        <v>1100</v>
      </c>
      <c r="AJ84" s="44">
        <f t="shared" si="14"/>
        <v>0.11</v>
      </c>
      <c r="AP84" s="46">
        <f t="shared" si="15"/>
        <v>2.1999999999999999E-2</v>
      </c>
    </row>
    <row r="85" spans="19:42" ht="18">
      <c r="S85" s="8">
        <f t="shared" si="16"/>
        <v>0</v>
      </c>
      <c r="W85" s="3">
        <v>111</v>
      </c>
      <c r="X85" s="30">
        <v>22.277999999999999</v>
      </c>
      <c r="Y85" s="33">
        <f t="shared" si="12"/>
        <v>2.1999999999999999E-2</v>
      </c>
      <c r="AA85" s="36">
        <v>24</v>
      </c>
      <c r="AB85" s="40">
        <v>1.1100000000000001</v>
      </c>
      <c r="AC85" s="38">
        <v>2.82</v>
      </c>
      <c r="AD85" s="39">
        <v>1.35</v>
      </c>
      <c r="AE85" s="39">
        <v>1.4990000000000001</v>
      </c>
      <c r="AF85" s="36">
        <v>333</v>
      </c>
      <c r="AG85" s="36">
        <v>46</v>
      </c>
      <c r="AH85" s="45">
        <f t="shared" si="17"/>
        <v>1.8000000000000016E-2</v>
      </c>
      <c r="AI85" s="3">
        <f t="shared" si="13"/>
        <v>1110</v>
      </c>
      <c r="AJ85" s="44">
        <f t="shared" si="14"/>
        <v>0.111</v>
      </c>
      <c r="AP85" s="46">
        <f t="shared" si="15"/>
        <v>2.1999999999999999E-2</v>
      </c>
    </row>
    <row r="86" spans="19:42" ht="18">
      <c r="S86" s="8">
        <f t="shared" si="16"/>
        <v>0</v>
      </c>
      <c r="W86" s="3">
        <v>112</v>
      </c>
      <c r="X86" s="30">
        <v>22.454000000000001</v>
      </c>
      <c r="Y86" s="33">
        <f t="shared" si="12"/>
        <v>2.1999999999999999E-2</v>
      </c>
      <c r="AA86" s="36">
        <v>24</v>
      </c>
      <c r="AB86" s="40">
        <v>1.1200000000000001</v>
      </c>
      <c r="AC86" s="38">
        <v>2.82</v>
      </c>
      <c r="AD86" s="39">
        <v>1.3540000000000001</v>
      </c>
      <c r="AE86" s="39">
        <v>1.516</v>
      </c>
      <c r="AF86" s="36">
        <v>335</v>
      </c>
      <c r="AG86" s="36">
        <v>47</v>
      </c>
      <c r="AH86" s="45">
        <f t="shared" si="17"/>
        <v>1.6999999999999904E-2</v>
      </c>
      <c r="AI86" s="3">
        <f t="shared" si="13"/>
        <v>1120</v>
      </c>
      <c r="AJ86" s="44">
        <f t="shared" si="14"/>
        <v>0.112</v>
      </c>
      <c r="AP86" s="46">
        <f t="shared" si="15"/>
        <v>2.1999999999999999E-2</v>
      </c>
    </row>
    <row r="87" spans="19:42" ht="18">
      <c r="S87" s="8">
        <f t="shared" si="16"/>
        <v>0</v>
      </c>
      <c r="W87" s="3">
        <v>113</v>
      </c>
      <c r="X87" s="30">
        <v>22.63</v>
      </c>
      <c r="Y87" s="33">
        <f t="shared" si="12"/>
        <v>2.3E-2</v>
      </c>
      <c r="AA87" s="36">
        <v>24</v>
      </c>
      <c r="AB87" s="40">
        <v>1.1299999999999999</v>
      </c>
      <c r="AC87" s="38">
        <v>2.82</v>
      </c>
      <c r="AD87" s="39">
        <v>1.357</v>
      </c>
      <c r="AE87" s="39">
        <v>1.5329999999999999</v>
      </c>
      <c r="AF87" s="36">
        <v>337</v>
      </c>
      <c r="AG87" s="36">
        <v>47</v>
      </c>
      <c r="AH87" s="45">
        <f t="shared" si="17"/>
        <v>1.6999999999999904E-2</v>
      </c>
      <c r="AI87" s="3">
        <f t="shared" si="13"/>
        <v>1130</v>
      </c>
      <c r="AJ87" s="44">
        <f t="shared" si="14"/>
        <v>0.113</v>
      </c>
      <c r="AP87" s="46">
        <f t="shared" si="15"/>
        <v>2.3E-2</v>
      </c>
    </row>
    <row r="88" spans="19:42" ht="18">
      <c r="S88" s="8">
        <f t="shared" si="16"/>
        <v>0</v>
      </c>
      <c r="W88" s="3">
        <v>114</v>
      </c>
      <c r="X88" s="30">
        <v>22.776</v>
      </c>
      <c r="Y88" s="33">
        <f t="shared" si="12"/>
        <v>2.3E-2</v>
      </c>
      <c r="AA88" s="36">
        <v>24</v>
      </c>
      <c r="AB88" s="40">
        <v>1.1399999999999999</v>
      </c>
      <c r="AC88" s="38">
        <v>2.82</v>
      </c>
      <c r="AD88" s="39">
        <v>1.36</v>
      </c>
      <c r="AE88" s="39">
        <v>1.5509999999999999</v>
      </c>
      <c r="AF88" s="36">
        <v>339</v>
      </c>
      <c r="AG88" s="36">
        <v>48</v>
      </c>
      <c r="AH88" s="45">
        <f t="shared" si="17"/>
        <v>1.8000000000000016E-2</v>
      </c>
      <c r="AI88" s="3">
        <f t="shared" si="13"/>
        <v>1140</v>
      </c>
      <c r="AJ88" s="44">
        <f t="shared" si="14"/>
        <v>0.114</v>
      </c>
      <c r="AP88" s="46">
        <f t="shared" si="15"/>
        <v>2.3E-2</v>
      </c>
    </row>
    <row r="89" spans="19:42" ht="18">
      <c r="S89" s="8">
        <f t="shared" si="16"/>
        <v>0</v>
      </c>
      <c r="W89" s="3">
        <v>115</v>
      </c>
      <c r="X89" s="30">
        <v>22.922000000000001</v>
      </c>
      <c r="Y89" s="33">
        <f t="shared" si="12"/>
        <v>2.3E-2</v>
      </c>
      <c r="AA89" s="36">
        <v>24</v>
      </c>
      <c r="AB89" s="40">
        <v>1.1499999999999999</v>
      </c>
      <c r="AC89" s="38">
        <v>2.82</v>
      </c>
      <c r="AD89" s="39">
        <v>1.363</v>
      </c>
      <c r="AE89" s="39">
        <v>1.573</v>
      </c>
      <c r="AF89" s="36">
        <v>348</v>
      </c>
      <c r="AG89" s="36">
        <v>48</v>
      </c>
      <c r="AH89" s="45">
        <f t="shared" si="17"/>
        <v>2.200000000000002E-2</v>
      </c>
      <c r="AI89" s="3">
        <f t="shared" si="13"/>
        <v>1150</v>
      </c>
      <c r="AJ89" s="44">
        <f t="shared" si="14"/>
        <v>0.115</v>
      </c>
      <c r="AP89" s="46">
        <f t="shared" si="15"/>
        <v>2.3E-2</v>
      </c>
    </row>
    <row r="90" spans="19:42" ht="18">
      <c r="S90" s="8">
        <f t="shared" si="16"/>
        <v>0</v>
      </c>
      <c r="W90" s="3">
        <v>116</v>
      </c>
      <c r="X90" s="30">
        <v>23.068000000000001</v>
      </c>
      <c r="Y90" s="33">
        <f t="shared" si="12"/>
        <v>2.3E-2</v>
      </c>
      <c r="AA90" s="36">
        <v>25</v>
      </c>
      <c r="AB90" s="40">
        <v>1.1599999999999999</v>
      </c>
      <c r="AC90" s="38">
        <v>2.93</v>
      </c>
      <c r="AD90" s="39">
        <v>1.367</v>
      </c>
      <c r="AE90" s="39">
        <v>1.5840000000000001</v>
      </c>
      <c r="AF90" s="36">
        <v>329</v>
      </c>
      <c r="AG90" s="36">
        <v>46</v>
      </c>
      <c r="AH90" s="45">
        <f t="shared" si="17"/>
        <v>1.1000000000000121E-2</v>
      </c>
      <c r="AI90" s="3">
        <f t="shared" si="13"/>
        <v>1160</v>
      </c>
      <c r="AJ90" s="44">
        <f t="shared" si="14"/>
        <v>0.11600000000000001</v>
      </c>
      <c r="AP90" s="46">
        <f t="shared" si="15"/>
        <v>2.3E-2</v>
      </c>
    </row>
    <row r="91" spans="19:42" ht="18">
      <c r="S91" s="8">
        <f t="shared" si="16"/>
        <v>0</v>
      </c>
      <c r="W91" s="3">
        <v>117</v>
      </c>
      <c r="X91" s="30">
        <v>23.213999999999999</v>
      </c>
      <c r="Y91" s="33">
        <f t="shared" si="12"/>
        <v>2.3E-2</v>
      </c>
      <c r="AA91" s="36">
        <v>25</v>
      </c>
      <c r="AB91" s="40">
        <v>1.17</v>
      </c>
      <c r="AC91" s="38">
        <v>2.93</v>
      </c>
      <c r="AD91" s="39">
        <v>1.37</v>
      </c>
      <c r="AE91" s="39">
        <v>1.603</v>
      </c>
      <c r="AF91" s="36">
        <v>332</v>
      </c>
      <c r="AG91" s="36">
        <v>47</v>
      </c>
      <c r="AH91" s="45">
        <f t="shared" si="17"/>
        <v>1.8999999999999906E-2</v>
      </c>
      <c r="AI91" s="3">
        <f t="shared" si="13"/>
        <v>1170</v>
      </c>
      <c r="AJ91" s="44">
        <f t="shared" si="14"/>
        <v>0.11700000000000001</v>
      </c>
      <c r="AP91" s="46">
        <f t="shared" si="15"/>
        <v>2.3E-2</v>
      </c>
    </row>
    <row r="92" spans="19:42" ht="18">
      <c r="S92" s="8">
        <f t="shared" si="16"/>
        <v>0</v>
      </c>
      <c r="W92" s="3">
        <v>118</v>
      </c>
      <c r="X92" s="30">
        <v>23.36</v>
      </c>
      <c r="Y92" s="33">
        <f t="shared" si="12"/>
        <v>2.3E-2</v>
      </c>
      <c r="AA92" s="36">
        <v>25</v>
      </c>
      <c r="AB92" s="40">
        <v>1.18</v>
      </c>
      <c r="AC92" s="38">
        <v>2.93</v>
      </c>
      <c r="AD92" s="39">
        <v>1.3740000000000001</v>
      </c>
      <c r="AE92" s="39">
        <v>1.621</v>
      </c>
      <c r="AF92" s="36">
        <v>334</v>
      </c>
      <c r="AG92" s="36">
        <v>47</v>
      </c>
      <c r="AH92" s="45">
        <f t="shared" si="17"/>
        <v>1.8000000000000016E-2</v>
      </c>
      <c r="AI92" s="3">
        <f t="shared" si="13"/>
        <v>1180</v>
      </c>
      <c r="AJ92" s="44">
        <f t="shared" si="14"/>
        <v>0.11799999999999999</v>
      </c>
      <c r="AP92" s="46">
        <f t="shared" si="15"/>
        <v>2.3E-2</v>
      </c>
    </row>
    <row r="93" spans="19:42" ht="18">
      <c r="S93" s="8">
        <f t="shared" si="16"/>
        <v>0</v>
      </c>
      <c r="W93" s="3">
        <v>119</v>
      </c>
      <c r="X93" s="30">
        <v>23.507000000000001</v>
      </c>
      <c r="Y93" s="33">
        <f t="shared" si="12"/>
        <v>2.4E-2</v>
      </c>
      <c r="AA93" s="36">
        <v>25</v>
      </c>
      <c r="AB93" s="40">
        <v>1.19</v>
      </c>
      <c r="AC93" s="38">
        <v>2.93</v>
      </c>
      <c r="AD93" s="39">
        <v>1.3779999999999999</v>
      </c>
      <c r="AE93" s="39">
        <v>1.627</v>
      </c>
      <c r="AF93" s="36">
        <v>338</v>
      </c>
      <c r="AG93" s="36">
        <v>48</v>
      </c>
      <c r="AH93" s="45">
        <f t="shared" si="17"/>
        <v>6.0000000000000053E-3</v>
      </c>
      <c r="AI93" s="3">
        <f t="shared" si="13"/>
        <v>1190</v>
      </c>
      <c r="AJ93" s="44">
        <f t="shared" si="14"/>
        <v>0.11899999999999999</v>
      </c>
      <c r="AP93" s="46">
        <f t="shared" si="15"/>
        <v>2.4E-2</v>
      </c>
    </row>
    <row r="94" spans="19:42" ht="18">
      <c r="S94" s="8">
        <f t="shared" si="16"/>
        <v>0</v>
      </c>
      <c r="W94" s="3">
        <v>120</v>
      </c>
      <c r="X94" s="30">
        <v>23.652999999999999</v>
      </c>
      <c r="Y94" s="33">
        <f t="shared" si="12"/>
        <v>2.4E-2</v>
      </c>
      <c r="AA94" s="36">
        <v>25</v>
      </c>
      <c r="AB94" s="40">
        <v>1.2</v>
      </c>
      <c r="AC94" s="38">
        <v>2.93</v>
      </c>
      <c r="AD94" s="39">
        <v>1.38</v>
      </c>
      <c r="AE94" s="39">
        <v>1.6559999999999999</v>
      </c>
      <c r="AF94" s="36">
        <v>338</v>
      </c>
      <c r="AG94" s="36">
        <v>48</v>
      </c>
      <c r="AH94" s="45">
        <f t="shared" si="17"/>
        <v>2.8999999999999915E-2</v>
      </c>
      <c r="AI94" s="3">
        <f t="shared" si="13"/>
        <v>1200</v>
      </c>
      <c r="AJ94" s="44">
        <f t="shared" si="14"/>
        <v>0.12</v>
      </c>
      <c r="AP94" s="46">
        <f t="shared" si="15"/>
        <v>2.4E-2</v>
      </c>
    </row>
    <row r="95" spans="19:42" ht="18">
      <c r="S95" s="8">
        <f t="shared" si="16"/>
        <v>0</v>
      </c>
      <c r="W95" s="3">
        <v>121</v>
      </c>
      <c r="X95" s="30">
        <v>23.798999999999999</v>
      </c>
      <c r="Y95" s="33">
        <f t="shared" si="12"/>
        <v>2.4E-2</v>
      </c>
      <c r="AA95" s="36">
        <v>25</v>
      </c>
      <c r="AB95" s="40">
        <v>1.21</v>
      </c>
      <c r="AC95" s="38">
        <v>2.93</v>
      </c>
      <c r="AD95" s="39">
        <v>1.383</v>
      </c>
      <c r="AE95" s="39">
        <v>1.6739999999999999</v>
      </c>
      <c r="AF95" s="36">
        <v>340</v>
      </c>
      <c r="AG95" s="36">
        <v>48</v>
      </c>
      <c r="AH95" s="45">
        <f t="shared" si="17"/>
        <v>1.8000000000000016E-2</v>
      </c>
      <c r="AI95" s="3">
        <f t="shared" si="13"/>
        <v>1210</v>
      </c>
      <c r="AJ95" s="44">
        <f t="shared" si="14"/>
        <v>0.121</v>
      </c>
      <c r="AP95" s="46">
        <f t="shared" si="15"/>
        <v>2.4E-2</v>
      </c>
    </row>
    <row r="96" spans="19:42" ht="18">
      <c r="S96" s="8">
        <f t="shared" si="16"/>
        <v>0</v>
      </c>
      <c r="W96" s="3">
        <v>122</v>
      </c>
      <c r="X96" s="30">
        <v>23.945</v>
      </c>
      <c r="Y96" s="33">
        <f t="shared" si="12"/>
        <v>2.4E-2</v>
      </c>
      <c r="AA96" s="36">
        <v>25</v>
      </c>
      <c r="AB96" s="40">
        <v>1.22</v>
      </c>
      <c r="AC96" s="38">
        <v>2.93</v>
      </c>
      <c r="AD96" s="39">
        <v>1.387</v>
      </c>
      <c r="AE96" s="39">
        <v>1.6919999999999999</v>
      </c>
      <c r="AF96" s="36">
        <v>342</v>
      </c>
      <c r="AG96" s="36">
        <v>49</v>
      </c>
      <c r="AH96" s="45">
        <f t="shared" si="17"/>
        <v>1.8000000000000016E-2</v>
      </c>
      <c r="AI96" s="3">
        <f t="shared" si="13"/>
        <v>1220</v>
      </c>
      <c r="AJ96" s="44">
        <f t="shared" si="14"/>
        <v>0.122</v>
      </c>
      <c r="AP96" s="46">
        <f t="shared" si="15"/>
        <v>2.4E-2</v>
      </c>
    </row>
    <row r="97" spans="19:42" ht="18">
      <c r="S97" s="8">
        <f t="shared" si="16"/>
        <v>0</v>
      </c>
      <c r="W97" s="3">
        <v>123</v>
      </c>
      <c r="X97" s="30">
        <v>24.091000000000001</v>
      </c>
      <c r="Y97" s="33">
        <f t="shared" si="12"/>
        <v>2.4E-2</v>
      </c>
      <c r="AA97" s="36">
        <v>25</v>
      </c>
      <c r="AB97" s="40">
        <v>1.23</v>
      </c>
      <c r="AC97" s="38">
        <v>2.93</v>
      </c>
      <c r="AD97" s="39">
        <v>1.39</v>
      </c>
      <c r="AE97" s="39">
        <v>1.7090000000000001</v>
      </c>
      <c r="AF97" s="36">
        <v>344</v>
      </c>
      <c r="AG97" s="36">
        <v>49</v>
      </c>
      <c r="AH97" s="45">
        <f t="shared" si="17"/>
        <v>1.7000000000000126E-2</v>
      </c>
      <c r="AI97" s="3">
        <f t="shared" si="13"/>
        <v>1230</v>
      </c>
      <c r="AJ97" s="44">
        <f t="shared" si="14"/>
        <v>0.123</v>
      </c>
      <c r="AP97" s="46">
        <f t="shared" si="15"/>
        <v>2.4E-2</v>
      </c>
    </row>
    <row r="98" spans="19:42" ht="18">
      <c r="S98" s="8">
        <f t="shared" si="16"/>
        <v>0</v>
      </c>
      <c r="W98" s="3">
        <v>124</v>
      </c>
      <c r="X98" s="30">
        <v>24.236999999999998</v>
      </c>
      <c r="Y98" s="33">
        <f t="shared" si="12"/>
        <v>2.4E-2</v>
      </c>
      <c r="AA98" s="36">
        <v>26</v>
      </c>
      <c r="AB98" s="40">
        <v>1.24</v>
      </c>
      <c r="AC98" s="38">
        <v>3.04</v>
      </c>
      <c r="AD98" s="39">
        <v>1.393</v>
      </c>
      <c r="AE98" s="39">
        <v>1.7250000000000001</v>
      </c>
      <c r="AF98" s="36">
        <v>331</v>
      </c>
      <c r="AG98" s="36">
        <v>48</v>
      </c>
      <c r="AH98" s="45">
        <f t="shared" si="17"/>
        <v>1.6000000000000014E-2</v>
      </c>
      <c r="AI98" s="3">
        <f t="shared" si="13"/>
        <v>1240</v>
      </c>
      <c r="AJ98" s="44">
        <f t="shared" si="14"/>
        <v>0.124</v>
      </c>
      <c r="AP98" s="46">
        <f t="shared" si="15"/>
        <v>2.4E-2</v>
      </c>
    </row>
    <row r="99" spans="19:42" ht="18">
      <c r="S99" s="8">
        <f t="shared" si="16"/>
        <v>0</v>
      </c>
      <c r="W99" s="3">
        <v>125</v>
      </c>
      <c r="X99" s="30">
        <v>24.382999999999999</v>
      </c>
      <c r="Y99" s="33">
        <f t="shared" si="12"/>
        <v>2.4E-2</v>
      </c>
      <c r="AA99" s="36">
        <v>26</v>
      </c>
      <c r="AB99" s="40">
        <v>1.25</v>
      </c>
      <c r="AC99" s="38">
        <v>3.04</v>
      </c>
      <c r="AD99" s="39">
        <v>1.3959999999999999</v>
      </c>
      <c r="AE99" s="39">
        <v>1.7450000000000001</v>
      </c>
      <c r="AF99" s="36">
        <v>334</v>
      </c>
      <c r="AG99" s="36">
        <v>48</v>
      </c>
      <c r="AH99" s="45">
        <f t="shared" si="17"/>
        <v>2.0000000000000018E-2</v>
      </c>
      <c r="AI99" s="3">
        <f t="shared" si="13"/>
        <v>1250</v>
      </c>
      <c r="AJ99" s="44">
        <f t="shared" si="14"/>
        <v>0.125</v>
      </c>
      <c r="AP99" s="46">
        <f t="shared" si="15"/>
        <v>2.4E-2</v>
      </c>
    </row>
    <row r="100" spans="19:42" ht="18">
      <c r="S100" s="8">
        <f t="shared" si="16"/>
        <v>0</v>
      </c>
      <c r="W100" s="3">
        <v>126</v>
      </c>
      <c r="X100" s="30">
        <v>24.529</v>
      </c>
      <c r="Y100" s="33">
        <f t="shared" si="12"/>
        <v>2.5000000000000001E-2</v>
      </c>
      <c r="AA100" s="36">
        <v>26</v>
      </c>
      <c r="AB100" s="40">
        <v>1.26</v>
      </c>
      <c r="AC100" s="38">
        <v>3.04</v>
      </c>
      <c r="AD100" s="39">
        <v>1.4</v>
      </c>
      <c r="AE100" s="39">
        <v>1.7629999999999999</v>
      </c>
      <c r="AF100" s="36">
        <v>336</v>
      </c>
      <c r="AG100" s="36">
        <v>48</v>
      </c>
      <c r="AH100" s="45">
        <f t="shared" si="17"/>
        <v>1.7999999999999794E-2</v>
      </c>
      <c r="AI100" s="3">
        <f t="shared" si="13"/>
        <v>1260</v>
      </c>
      <c r="AJ100" s="44">
        <f t="shared" si="14"/>
        <v>0.126</v>
      </c>
      <c r="AP100" s="46">
        <f t="shared" si="15"/>
        <v>2.5000000000000001E-2</v>
      </c>
    </row>
    <row r="101" spans="19:42" ht="18">
      <c r="S101" s="8">
        <f t="shared" si="16"/>
        <v>0</v>
      </c>
      <c r="W101" s="3">
        <v>127</v>
      </c>
      <c r="X101" s="30">
        <v>24.675000000000001</v>
      </c>
      <c r="Y101" s="33">
        <f t="shared" si="12"/>
        <v>2.5000000000000001E-2</v>
      </c>
      <c r="AA101" s="36">
        <v>26</v>
      </c>
      <c r="AB101" s="40">
        <v>1.27</v>
      </c>
      <c r="AC101" s="38">
        <v>3.04</v>
      </c>
      <c r="AD101" s="39">
        <v>1.403</v>
      </c>
      <c r="AE101" s="39">
        <v>1.7809999999999999</v>
      </c>
      <c r="AF101" s="36">
        <v>338</v>
      </c>
      <c r="AG101" s="36">
        <v>49</v>
      </c>
      <c r="AH101" s="45">
        <f t="shared" si="17"/>
        <v>1.8000000000000016E-2</v>
      </c>
      <c r="AI101" s="3">
        <f t="shared" si="13"/>
        <v>1270</v>
      </c>
      <c r="AJ101" s="44">
        <f t="shared" si="14"/>
        <v>0.127</v>
      </c>
      <c r="AP101" s="46">
        <f t="shared" si="15"/>
        <v>2.5000000000000001E-2</v>
      </c>
    </row>
    <row r="102" spans="19:42" ht="18">
      <c r="S102" s="8">
        <f t="shared" si="16"/>
        <v>0</v>
      </c>
      <c r="W102" s="3">
        <v>128</v>
      </c>
      <c r="X102" s="30">
        <v>24.821000000000002</v>
      </c>
      <c r="Y102" s="33">
        <f t="shared" si="12"/>
        <v>2.5000000000000001E-2</v>
      </c>
      <c r="AA102" s="36">
        <v>26</v>
      </c>
      <c r="AB102" s="40">
        <v>1.28</v>
      </c>
      <c r="AC102" s="38">
        <v>3.04</v>
      </c>
      <c r="AD102" s="39">
        <v>1.4059999999999999</v>
      </c>
      <c r="AE102" s="39">
        <v>1.8</v>
      </c>
      <c r="AF102" s="36">
        <v>340</v>
      </c>
      <c r="AG102" s="36">
        <v>49</v>
      </c>
      <c r="AH102" s="45">
        <f t="shared" si="17"/>
        <v>1.9000000000000128E-2</v>
      </c>
      <c r="AI102" s="3">
        <f t="shared" si="13"/>
        <v>1280</v>
      </c>
      <c r="AJ102" s="44">
        <f t="shared" si="14"/>
        <v>0.128</v>
      </c>
      <c r="AP102" s="46">
        <f t="shared" si="15"/>
        <v>2.5000000000000001E-2</v>
      </c>
    </row>
    <row r="103" spans="19:42" ht="18">
      <c r="S103" s="8">
        <f t="shared" si="16"/>
        <v>0</v>
      </c>
      <c r="W103" s="3">
        <v>129</v>
      </c>
      <c r="X103" s="30">
        <v>24.966999999999999</v>
      </c>
      <c r="Y103" s="33">
        <f t="shared" si="12"/>
        <v>2.5000000000000001E-2</v>
      </c>
      <c r="AA103" s="36">
        <v>26</v>
      </c>
      <c r="AB103" s="40">
        <v>1.29</v>
      </c>
      <c r="AC103" s="38">
        <v>3.04</v>
      </c>
      <c r="AD103" s="39">
        <v>1.409</v>
      </c>
      <c r="AE103" s="39">
        <v>1.8180000000000001</v>
      </c>
      <c r="AF103" s="36">
        <v>341</v>
      </c>
      <c r="AG103" s="36">
        <v>50</v>
      </c>
      <c r="AH103" s="45">
        <f t="shared" si="17"/>
        <v>1.8000000000000016E-2</v>
      </c>
      <c r="AI103" s="3">
        <f t="shared" si="13"/>
        <v>1290</v>
      </c>
      <c r="AJ103" s="44">
        <f t="shared" si="14"/>
        <v>0.129</v>
      </c>
      <c r="AP103" s="46">
        <f t="shared" si="15"/>
        <v>2.5000000000000001E-2</v>
      </c>
    </row>
    <row r="104" spans="19:42" ht="18">
      <c r="S104" s="8">
        <f t="shared" si="16"/>
        <v>0</v>
      </c>
      <c r="W104" s="3">
        <v>130</v>
      </c>
      <c r="X104" s="30">
        <v>25.113</v>
      </c>
      <c r="Y104" s="33">
        <f t="shared" si="12"/>
        <v>2.5000000000000001E-2</v>
      </c>
      <c r="AA104" s="36">
        <v>26</v>
      </c>
      <c r="AB104" s="40">
        <v>1.3</v>
      </c>
      <c r="AC104" s="38">
        <v>3.04</v>
      </c>
      <c r="AD104" s="39">
        <v>1.413</v>
      </c>
      <c r="AE104" s="39">
        <v>1.8360000000000001</v>
      </c>
      <c r="AF104" s="36">
        <v>343</v>
      </c>
      <c r="AG104" s="36">
        <v>50</v>
      </c>
      <c r="AH104" s="45">
        <f t="shared" si="17"/>
        <v>1.8000000000000016E-2</v>
      </c>
      <c r="AI104" s="3">
        <f t="shared" si="13"/>
        <v>1300</v>
      </c>
      <c r="AJ104" s="44">
        <f t="shared" si="14"/>
        <v>0.13</v>
      </c>
      <c r="AP104" s="46">
        <f t="shared" si="15"/>
        <v>2.5000000000000001E-2</v>
      </c>
    </row>
    <row r="105" spans="19:42" ht="18">
      <c r="S105" s="8">
        <f t="shared" si="16"/>
        <v>0</v>
      </c>
      <c r="W105" s="3">
        <v>131</v>
      </c>
      <c r="X105" s="30">
        <v>25.26</v>
      </c>
      <c r="Y105" s="33">
        <f t="shared" si="12"/>
        <v>2.5000000000000001E-2</v>
      </c>
      <c r="AA105" s="36">
        <v>26</v>
      </c>
      <c r="AB105" s="40">
        <v>1.31</v>
      </c>
      <c r="AC105" s="38">
        <v>3.04</v>
      </c>
      <c r="AD105" s="39">
        <v>1.4159999999999999</v>
      </c>
      <c r="AE105" s="39">
        <v>1.855</v>
      </c>
      <c r="AF105" s="36">
        <v>345</v>
      </c>
      <c r="AG105" s="36">
        <v>50</v>
      </c>
      <c r="AH105" s="45">
        <f t="shared" si="17"/>
        <v>1.8999999999999906E-2</v>
      </c>
      <c r="AI105" s="3">
        <f t="shared" si="13"/>
        <v>1310</v>
      </c>
      <c r="AJ105" s="44">
        <f t="shared" si="14"/>
        <v>0.13100000000000001</v>
      </c>
      <c r="AP105" s="46">
        <f t="shared" si="15"/>
        <v>2.5000000000000001E-2</v>
      </c>
    </row>
    <row r="106" spans="19:42" ht="18">
      <c r="S106" s="8">
        <f t="shared" si="16"/>
        <v>0</v>
      </c>
      <c r="W106" s="3">
        <v>132</v>
      </c>
      <c r="X106" s="30">
        <v>25.405999999999999</v>
      </c>
      <c r="Y106" s="33">
        <f t="shared" si="12"/>
        <v>2.5000000000000001E-2</v>
      </c>
      <c r="AA106" s="36">
        <v>27</v>
      </c>
      <c r="AB106" s="40">
        <v>1.32</v>
      </c>
      <c r="AC106" s="38">
        <v>3.14</v>
      </c>
      <c r="AD106" s="39">
        <v>1.419</v>
      </c>
      <c r="AE106" s="39">
        <v>1.869</v>
      </c>
      <c r="AF106" s="36">
        <v>333</v>
      </c>
      <c r="AG106" s="36">
        <v>49</v>
      </c>
      <c r="AH106" s="45">
        <f t="shared" si="17"/>
        <v>1.4000000000000012E-2</v>
      </c>
      <c r="AI106" s="3">
        <f t="shared" si="13"/>
        <v>1320</v>
      </c>
      <c r="AJ106" s="44">
        <f t="shared" si="14"/>
        <v>0.13200000000000001</v>
      </c>
      <c r="AP106" s="46">
        <f t="shared" si="15"/>
        <v>2.5000000000000001E-2</v>
      </c>
    </row>
    <row r="107" spans="19:42" ht="18">
      <c r="S107" s="8">
        <f t="shared" si="16"/>
        <v>0</v>
      </c>
      <c r="W107" s="3">
        <v>133</v>
      </c>
      <c r="X107" s="30">
        <v>25.552</v>
      </c>
      <c r="Y107" s="33">
        <f t="shared" si="12"/>
        <v>2.5999999999999999E-2</v>
      </c>
      <c r="AA107" s="36">
        <v>27</v>
      </c>
      <c r="AB107" s="40">
        <v>1.33</v>
      </c>
      <c r="AC107" s="38">
        <v>3.14</v>
      </c>
      <c r="AD107" s="39">
        <v>1.4219999999999999</v>
      </c>
      <c r="AE107" s="39">
        <v>1.8919999999999999</v>
      </c>
      <c r="AF107" s="36">
        <v>335</v>
      </c>
      <c r="AG107" s="36">
        <v>49</v>
      </c>
      <c r="AH107" s="45">
        <f t="shared" si="17"/>
        <v>2.2999999999999909E-2</v>
      </c>
      <c r="AI107" s="3">
        <f t="shared" si="13"/>
        <v>1330</v>
      </c>
      <c r="AJ107" s="44">
        <f t="shared" si="14"/>
        <v>0.13300000000000001</v>
      </c>
      <c r="AP107" s="46">
        <f t="shared" si="15"/>
        <v>2.5999999999999999E-2</v>
      </c>
    </row>
    <row r="108" spans="19:42" ht="18">
      <c r="S108" s="8">
        <f t="shared" si="16"/>
        <v>0</v>
      </c>
      <c r="W108" s="3">
        <v>134</v>
      </c>
      <c r="X108" s="30">
        <v>25.698</v>
      </c>
      <c r="Y108" s="33">
        <f t="shared" si="12"/>
        <v>2.5999999999999999E-2</v>
      </c>
      <c r="AA108" s="36">
        <v>27</v>
      </c>
      <c r="AB108" s="40">
        <v>1.34</v>
      </c>
      <c r="AC108" s="38">
        <v>3.14</v>
      </c>
      <c r="AD108" s="39">
        <v>1.4259999999999999</v>
      </c>
      <c r="AE108" s="39">
        <v>1.911</v>
      </c>
      <c r="AF108" s="36">
        <v>337</v>
      </c>
      <c r="AG108" s="36">
        <v>50</v>
      </c>
      <c r="AH108" s="45">
        <f t="shared" si="17"/>
        <v>1.9000000000000128E-2</v>
      </c>
      <c r="AI108" s="3">
        <f t="shared" si="13"/>
        <v>1340</v>
      </c>
      <c r="AJ108" s="44">
        <f t="shared" si="14"/>
        <v>0.13400000000000001</v>
      </c>
      <c r="AP108" s="46">
        <f t="shared" si="15"/>
        <v>2.5999999999999999E-2</v>
      </c>
    </row>
    <row r="109" spans="19:42" ht="18">
      <c r="S109" s="8">
        <f t="shared" si="16"/>
        <v>0</v>
      </c>
      <c r="W109" s="3">
        <v>135</v>
      </c>
      <c r="X109" s="30">
        <v>25.844000000000001</v>
      </c>
      <c r="Y109" s="33">
        <f t="shared" si="12"/>
        <v>2.5999999999999999E-2</v>
      </c>
      <c r="AA109" s="36">
        <v>27</v>
      </c>
      <c r="AB109" s="40">
        <v>1.35</v>
      </c>
      <c r="AC109" s="38">
        <v>3.14</v>
      </c>
      <c r="AD109" s="39">
        <v>1.429</v>
      </c>
      <c r="AE109" s="39">
        <v>1.929</v>
      </c>
      <c r="AF109" s="36">
        <v>339</v>
      </c>
      <c r="AG109" s="36">
        <v>50</v>
      </c>
      <c r="AH109" s="45">
        <f t="shared" si="17"/>
        <v>1.8000000000000016E-2</v>
      </c>
      <c r="AI109" s="3">
        <f t="shared" si="13"/>
        <v>1350</v>
      </c>
      <c r="AJ109" s="44">
        <f t="shared" si="14"/>
        <v>0.13500000000000001</v>
      </c>
      <c r="AP109" s="46">
        <f t="shared" si="15"/>
        <v>2.5999999999999999E-2</v>
      </c>
    </row>
    <row r="110" spans="19:42" ht="18">
      <c r="S110" s="8">
        <f t="shared" si="16"/>
        <v>0</v>
      </c>
      <c r="W110" s="3">
        <v>136</v>
      </c>
      <c r="X110" s="30">
        <v>25.99</v>
      </c>
      <c r="Y110" s="33">
        <f t="shared" si="12"/>
        <v>2.5999999999999999E-2</v>
      </c>
      <c r="AA110" s="36">
        <v>27</v>
      </c>
      <c r="AB110" s="40">
        <v>1.36</v>
      </c>
      <c r="AC110" s="38">
        <v>3.14</v>
      </c>
      <c r="AD110" s="39">
        <v>1.4330000000000001</v>
      </c>
      <c r="AE110" s="39">
        <v>1.948</v>
      </c>
      <c r="AF110" s="36">
        <v>341</v>
      </c>
      <c r="AG110" s="36">
        <v>50</v>
      </c>
      <c r="AH110" s="45">
        <f t="shared" si="17"/>
        <v>1.8999999999999906E-2</v>
      </c>
      <c r="AI110" s="3">
        <f t="shared" si="13"/>
        <v>1360</v>
      </c>
      <c r="AJ110" s="44">
        <f t="shared" si="14"/>
        <v>0.13600000000000001</v>
      </c>
      <c r="AP110" s="46">
        <f t="shared" si="15"/>
        <v>2.5999999999999999E-2</v>
      </c>
    </row>
    <row r="111" spans="19:42" ht="18">
      <c r="S111" s="8">
        <f t="shared" si="16"/>
        <v>0</v>
      </c>
      <c r="W111" s="3">
        <v>137</v>
      </c>
      <c r="X111" s="30">
        <v>26.13</v>
      </c>
      <c r="Y111" s="33">
        <f t="shared" si="12"/>
        <v>2.5999999999999999E-2</v>
      </c>
      <c r="AA111" s="36">
        <v>27</v>
      </c>
      <c r="AB111" s="40">
        <v>1.37</v>
      </c>
      <c r="AC111" s="38">
        <v>3.14</v>
      </c>
      <c r="AD111" s="39">
        <v>1.4359999999999999</v>
      </c>
      <c r="AE111" s="39">
        <v>1.9670000000000001</v>
      </c>
      <c r="AF111" s="36">
        <v>342</v>
      </c>
      <c r="AG111" s="36">
        <v>51</v>
      </c>
      <c r="AH111" s="45">
        <f t="shared" si="17"/>
        <v>1.9000000000000128E-2</v>
      </c>
      <c r="AI111" s="3">
        <f t="shared" si="13"/>
        <v>1370</v>
      </c>
      <c r="AJ111" s="44">
        <f t="shared" si="14"/>
        <v>0.13700000000000001</v>
      </c>
      <c r="AP111" s="46">
        <f t="shared" si="15"/>
        <v>2.5999999999999999E-2</v>
      </c>
    </row>
    <row r="112" spans="19:42" ht="18">
      <c r="S112" s="8">
        <f t="shared" si="16"/>
        <v>0</v>
      </c>
      <c r="W112" s="3">
        <v>138</v>
      </c>
      <c r="X112" s="30">
        <v>26.268999999999998</v>
      </c>
      <c r="Y112" s="33">
        <f t="shared" si="12"/>
        <v>2.5999999999999999E-2</v>
      </c>
      <c r="AA112" s="36">
        <v>27</v>
      </c>
      <c r="AB112" s="40">
        <v>1.38</v>
      </c>
      <c r="AC112" s="38">
        <v>3.14</v>
      </c>
      <c r="AD112" s="39">
        <v>1.4390000000000001</v>
      </c>
      <c r="AE112" s="39">
        <v>1.986</v>
      </c>
      <c r="AF112" s="36">
        <v>344</v>
      </c>
      <c r="AG112" s="36">
        <v>51</v>
      </c>
      <c r="AH112" s="45">
        <f t="shared" si="17"/>
        <v>1.8999999999999906E-2</v>
      </c>
      <c r="AI112" s="3">
        <f t="shared" si="13"/>
        <v>1380</v>
      </c>
      <c r="AJ112" s="44">
        <f t="shared" si="14"/>
        <v>0.13800000000000001</v>
      </c>
      <c r="AP112" s="46">
        <f t="shared" si="15"/>
        <v>2.5999999999999999E-2</v>
      </c>
    </row>
    <row r="113" spans="19:42" ht="18">
      <c r="S113" s="8">
        <f t="shared" si="16"/>
        <v>0</v>
      </c>
      <c r="W113" s="3">
        <v>139</v>
      </c>
      <c r="X113" s="30">
        <v>26.408999999999999</v>
      </c>
      <c r="Y113" s="33">
        <f t="shared" si="12"/>
        <v>2.5999999999999999E-2</v>
      </c>
      <c r="AA113" s="36">
        <v>27</v>
      </c>
      <c r="AB113" s="40">
        <v>1.39</v>
      </c>
      <c r="AC113" s="38">
        <v>3.14</v>
      </c>
      <c r="AD113" s="39">
        <v>1.4430000000000001</v>
      </c>
      <c r="AE113" s="39">
        <v>2.0049999999999999</v>
      </c>
      <c r="AF113" s="36">
        <v>346</v>
      </c>
      <c r="AG113" s="36">
        <v>51</v>
      </c>
      <c r="AH113" s="45">
        <f t="shared" si="17"/>
        <v>1.8999999999999906E-2</v>
      </c>
      <c r="AI113" s="3">
        <f t="shared" si="13"/>
        <v>1390</v>
      </c>
      <c r="AJ113" s="44">
        <f t="shared" si="14"/>
        <v>0.13900000000000001</v>
      </c>
      <c r="AP113" s="46">
        <f t="shared" si="15"/>
        <v>2.5999999999999999E-2</v>
      </c>
    </row>
    <row r="114" spans="19:42" ht="18">
      <c r="S114" s="8">
        <f t="shared" si="16"/>
        <v>0</v>
      </c>
      <c r="W114" s="3">
        <v>140</v>
      </c>
      <c r="X114" s="30">
        <v>26.547999999999998</v>
      </c>
      <c r="Y114" s="33">
        <f t="shared" si="12"/>
        <v>2.7E-2</v>
      </c>
      <c r="AA114" s="36">
        <v>28</v>
      </c>
      <c r="AB114" s="40">
        <v>1.4</v>
      </c>
      <c r="AC114" s="38">
        <v>3.25</v>
      </c>
      <c r="AD114" s="39">
        <v>1.446</v>
      </c>
      <c r="AE114" s="39">
        <v>2.02</v>
      </c>
      <c r="AF114" s="36">
        <v>334</v>
      </c>
      <c r="AG114" s="36">
        <v>50</v>
      </c>
      <c r="AH114" s="45">
        <f t="shared" si="17"/>
        <v>1.5000000000000124E-2</v>
      </c>
      <c r="AI114" s="3">
        <f t="shared" si="13"/>
        <v>1400</v>
      </c>
      <c r="AJ114" s="44">
        <f t="shared" si="14"/>
        <v>0.14000000000000001</v>
      </c>
      <c r="AP114" s="46">
        <f t="shared" si="15"/>
        <v>2.7E-2</v>
      </c>
    </row>
    <row r="115" spans="19:42" ht="18">
      <c r="S115" s="8">
        <f t="shared" si="16"/>
        <v>0</v>
      </c>
      <c r="W115" s="3">
        <v>141</v>
      </c>
      <c r="X115" s="30">
        <v>26.687999999999999</v>
      </c>
      <c r="Y115" s="33">
        <f t="shared" si="12"/>
        <v>2.7E-2</v>
      </c>
      <c r="AA115" s="36">
        <v>28</v>
      </c>
      <c r="AB115" s="40">
        <v>1.41</v>
      </c>
      <c r="AC115" s="38">
        <v>3.25</v>
      </c>
      <c r="AD115" s="39">
        <v>1.4490000000000001</v>
      </c>
      <c r="AE115" s="39">
        <v>2.0430000000000001</v>
      </c>
      <c r="AF115" s="36">
        <v>336</v>
      </c>
      <c r="AG115" s="36">
        <v>50</v>
      </c>
      <c r="AH115" s="45">
        <f t="shared" si="17"/>
        <v>2.3000000000000131E-2</v>
      </c>
      <c r="AI115" s="3">
        <f t="shared" si="13"/>
        <v>1410</v>
      </c>
      <c r="AJ115" s="44">
        <f t="shared" si="14"/>
        <v>0.14099999999999999</v>
      </c>
      <c r="AP115" s="46">
        <f t="shared" si="15"/>
        <v>2.7E-2</v>
      </c>
    </row>
    <row r="116" spans="19:42" ht="18">
      <c r="S116" s="8">
        <f t="shared" si="16"/>
        <v>0</v>
      </c>
      <c r="W116" s="3">
        <v>142</v>
      </c>
      <c r="X116" s="30">
        <v>26.827999999999999</v>
      </c>
      <c r="Y116" s="33">
        <f t="shared" si="12"/>
        <v>2.7E-2</v>
      </c>
      <c r="AA116" s="36">
        <v>28</v>
      </c>
      <c r="AB116" s="40">
        <v>1.42</v>
      </c>
      <c r="AC116" s="38">
        <v>3.25</v>
      </c>
      <c r="AD116" s="39">
        <v>1.4510000000000001</v>
      </c>
      <c r="AE116" s="39">
        <v>2.0609999999999999</v>
      </c>
      <c r="AF116" s="36">
        <v>338</v>
      </c>
      <c r="AG116" s="36">
        <v>51</v>
      </c>
      <c r="AH116" s="45">
        <f t="shared" si="17"/>
        <v>1.7999999999999794E-2</v>
      </c>
      <c r="AI116" s="3">
        <f t="shared" si="13"/>
        <v>1420</v>
      </c>
      <c r="AJ116" s="44">
        <f t="shared" si="14"/>
        <v>0.14199999999999999</v>
      </c>
      <c r="AP116" s="46">
        <f t="shared" si="15"/>
        <v>2.7E-2</v>
      </c>
    </row>
    <row r="117" spans="19:42" ht="18">
      <c r="S117" s="8">
        <f t="shared" si="16"/>
        <v>0</v>
      </c>
      <c r="W117" s="3">
        <v>143</v>
      </c>
      <c r="X117" s="30">
        <v>26.966999999999999</v>
      </c>
      <c r="Y117" s="33">
        <f t="shared" si="12"/>
        <v>2.7E-2</v>
      </c>
      <c r="AA117" s="36">
        <v>28</v>
      </c>
      <c r="AB117" s="40">
        <v>1.43</v>
      </c>
      <c r="AC117" s="38">
        <v>3.25</v>
      </c>
      <c r="AD117" s="39">
        <v>1.454</v>
      </c>
      <c r="AE117" s="39">
        <v>2.0790000000000002</v>
      </c>
      <c r="AF117" s="36">
        <v>340</v>
      </c>
      <c r="AG117" s="36">
        <v>51</v>
      </c>
      <c r="AH117" s="45">
        <f t="shared" si="17"/>
        <v>1.8000000000000238E-2</v>
      </c>
      <c r="AI117" s="3">
        <f t="shared" si="13"/>
        <v>1430</v>
      </c>
      <c r="AJ117" s="44">
        <f t="shared" si="14"/>
        <v>0.14299999999999999</v>
      </c>
      <c r="AP117" s="46">
        <f t="shared" si="15"/>
        <v>2.7E-2</v>
      </c>
    </row>
    <row r="118" spans="19:42" ht="18">
      <c r="S118" s="8">
        <f t="shared" si="16"/>
        <v>0</v>
      </c>
      <c r="W118" s="3">
        <v>144</v>
      </c>
      <c r="X118" s="30">
        <v>27.106999999999999</v>
      </c>
      <c r="Y118" s="33">
        <f t="shared" si="12"/>
        <v>2.7E-2</v>
      </c>
      <c r="AA118" s="36">
        <v>28</v>
      </c>
      <c r="AB118" s="40">
        <v>1.44</v>
      </c>
      <c r="AC118" s="38">
        <v>3.25</v>
      </c>
      <c r="AD118" s="39">
        <v>1.4570000000000001</v>
      </c>
      <c r="AE118" s="39">
        <v>2.0979999999999999</v>
      </c>
      <c r="AF118" s="36">
        <v>342</v>
      </c>
      <c r="AG118" s="36">
        <v>51</v>
      </c>
      <c r="AH118" s="45">
        <f t="shared" si="17"/>
        <v>1.8999999999999684E-2</v>
      </c>
      <c r="AI118" s="3">
        <f t="shared" si="13"/>
        <v>1440</v>
      </c>
      <c r="AJ118" s="44">
        <f t="shared" si="14"/>
        <v>0.14399999999999999</v>
      </c>
      <c r="AP118" s="46">
        <f t="shared" si="15"/>
        <v>2.7E-2</v>
      </c>
    </row>
    <row r="119" spans="19:42" ht="18">
      <c r="S119" s="8">
        <f t="shared" si="16"/>
        <v>0</v>
      </c>
      <c r="W119" s="3">
        <v>145</v>
      </c>
      <c r="X119" s="30">
        <v>27.245999999999999</v>
      </c>
      <c r="Y119" s="33">
        <f t="shared" si="12"/>
        <v>2.7E-2</v>
      </c>
      <c r="AA119" s="36">
        <v>28</v>
      </c>
      <c r="AB119" s="40">
        <v>1.45</v>
      </c>
      <c r="AC119" s="38">
        <v>3.25</v>
      </c>
      <c r="AD119" s="39">
        <v>1.4590000000000001</v>
      </c>
      <c r="AE119" s="39">
        <v>2.1160000000000001</v>
      </c>
      <c r="AF119" s="36">
        <v>343</v>
      </c>
      <c r="AG119" s="36">
        <v>52</v>
      </c>
      <c r="AH119" s="45">
        <f t="shared" si="17"/>
        <v>1.8000000000000238E-2</v>
      </c>
      <c r="AI119" s="3">
        <f t="shared" si="13"/>
        <v>1450</v>
      </c>
      <c r="AJ119" s="44">
        <f t="shared" si="14"/>
        <v>0.14499999999999999</v>
      </c>
      <c r="AP119" s="46">
        <f t="shared" si="15"/>
        <v>2.7E-2</v>
      </c>
    </row>
    <row r="120" spans="19:42" ht="18">
      <c r="S120" s="8">
        <f t="shared" si="16"/>
        <v>0</v>
      </c>
      <c r="W120" s="3">
        <v>146</v>
      </c>
      <c r="X120" s="30">
        <v>27.385999999999999</v>
      </c>
      <c r="Y120" s="33">
        <f t="shared" si="12"/>
        <v>2.7E-2</v>
      </c>
      <c r="AA120" s="36">
        <v>28</v>
      </c>
      <c r="AB120" s="40">
        <v>1.46</v>
      </c>
      <c r="AC120" s="38">
        <v>3.25</v>
      </c>
      <c r="AD120" s="39">
        <v>1.462</v>
      </c>
      <c r="AE120" s="39">
        <v>2.1339999999999999</v>
      </c>
      <c r="AF120" s="36">
        <v>345</v>
      </c>
      <c r="AG120" s="36">
        <v>52</v>
      </c>
      <c r="AH120" s="45">
        <f t="shared" si="17"/>
        <v>1.7999999999999794E-2</v>
      </c>
      <c r="AI120" s="3">
        <f t="shared" si="13"/>
        <v>1460</v>
      </c>
      <c r="AJ120" s="44">
        <f t="shared" si="14"/>
        <v>0.14599999999999999</v>
      </c>
      <c r="AP120" s="46">
        <f t="shared" si="15"/>
        <v>2.7E-2</v>
      </c>
    </row>
    <row r="121" spans="19:42" ht="18">
      <c r="S121" s="8">
        <f t="shared" si="16"/>
        <v>0</v>
      </c>
      <c r="W121" s="3">
        <v>147</v>
      </c>
      <c r="X121" s="30">
        <v>27.524999999999999</v>
      </c>
      <c r="Y121" s="33">
        <f t="shared" si="12"/>
        <v>2.8000000000000001E-2</v>
      </c>
      <c r="AA121" s="36">
        <v>28</v>
      </c>
      <c r="AB121" s="40">
        <v>1.47</v>
      </c>
      <c r="AC121" s="38">
        <v>3.25</v>
      </c>
      <c r="AD121" s="39">
        <v>1.4650000000000001</v>
      </c>
      <c r="AE121" s="39">
        <v>2.153</v>
      </c>
      <c r="AF121" s="36">
        <v>347</v>
      </c>
      <c r="AG121" s="36">
        <v>53</v>
      </c>
      <c r="AH121" s="45">
        <f t="shared" si="17"/>
        <v>1.9000000000000128E-2</v>
      </c>
      <c r="AI121" s="3">
        <f t="shared" si="13"/>
        <v>1470</v>
      </c>
      <c r="AJ121" s="44">
        <f t="shared" si="14"/>
        <v>0.14699999999999999</v>
      </c>
      <c r="AP121" s="46">
        <f t="shared" si="15"/>
        <v>2.8000000000000001E-2</v>
      </c>
    </row>
    <row r="122" spans="19:42" ht="18">
      <c r="S122" s="8">
        <f t="shared" si="16"/>
        <v>0</v>
      </c>
      <c r="W122" s="3">
        <v>148</v>
      </c>
      <c r="X122" s="30">
        <v>27.664999999999999</v>
      </c>
      <c r="Y122" s="33">
        <f t="shared" si="12"/>
        <v>2.8000000000000001E-2</v>
      </c>
      <c r="AA122" s="36">
        <v>28</v>
      </c>
      <c r="AB122" s="40">
        <v>1.48</v>
      </c>
      <c r="AC122" s="38">
        <v>3.25</v>
      </c>
      <c r="AD122" s="39">
        <v>1.4670000000000001</v>
      </c>
      <c r="AE122" s="39">
        <v>2.1720000000000002</v>
      </c>
      <c r="AF122" s="36">
        <v>349</v>
      </c>
      <c r="AG122" s="36">
        <v>53</v>
      </c>
      <c r="AH122" s="45">
        <f t="shared" si="17"/>
        <v>1.9000000000000128E-2</v>
      </c>
      <c r="AI122" s="3">
        <f t="shared" si="13"/>
        <v>1480</v>
      </c>
      <c r="AJ122" s="44">
        <f t="shared" si="14"/>
        <v>0.14799999999999999</v>
      </c>
      <c r="AP122" s="46">
        <f t="shared" si="15"/>
        <v>2.8000000000000001E-2</v>
      </c>
    </row>
    <row r="123" spans="19:42" ht="18">
      <c r="S123" s="8">
        <f t="shared" si="16"/>
        <v>0</v>
      </c>
      <c r="W123" s="3">
        <v>149</v>
      </c>
      <c r="X123" s="30">
        <v>27.805</v>
      </c>
      <c r="Y123" s="33">
        <f t="shared" si="12"/>
        <v>2.8000000000000001E-2</v>
      </c>
      <c r="AA123" s="36">
        <v>29</v>
      </c>
      <c r="AB123" s="40">
        <v>1.49</v>
      </c>
      <c r="AC123" s="38">
        <v>3.36</v>
      </c>
      <c r="AD123" s="39">
        <v>1.47</v>
      </c>
      <c r="AE123" s="39">
        <v>2.1829999999999998</v>
      </c>
      <c r="AF123" s="36">
        <v>337</v>
      </c>
      <c r="AG123" s="36">
        <v>51</v>
      </c>
      <c r="AH123" s="45">
        <f t="shared" si="17"/>
        <v>1.0999999999999677E-2</v>
      </c>
      <c r="AI123" s="3">
        <f t="shared" si="13"/>
        <v>1490</v>
      </c>
      <c r="AJ123" s="44">
        <f t="shared" si="14"/>
        <v>0.14899999999999999</v>
      </c>
      <c r="AP123" s="46">
        <f t="shared" si="15"/>
        <v>2.8000000000000001E-2</v>
      </c>
    </row>
    <row r="124" spans="19:42" ht="18">
      <c r="S124" s="8">
        <f t="shared" si="16"/>
        <v>0</v>
      </c>
      <c r="W124" s="3">
        <v>150</v>
      </c>
      <c r="X124" s="30">
        <v>27.943999999999999</v>
      </c>
      <c r="Y124" s="33">
        <f t="shared" si="12"/>
        <v>2.8000000000000001E-2</v>
      </c>
      <c r="AA124" s="36">
        <v>29</v>
      </c>
      <c r="AB124" s="40">
        <v>1.5</v>
      </c>
      <c r="AC124" s="38">
        <v>3.36</v>
      </c>
      <c r="AD124" s="39">
        <v>1.4730000000000001</v>
      </c>
      <c r="AE124" s="39">
        <v>2.2090000000000001</v>
      </c>
      <c r="AF124" s="36">
        <v>339</v>
      </c>
      <c r="AG124" s="36">
        <v>52</v>
      </c>
      <c r="AH124" s="45">
        <f t="shared" si="17"/>
        <v>2.6000000000000245E-2</v>
      </c>
      <c r="AI124" s="3">
        <f t="shared" si="13"/>
        <v>1500</v>
      </c>
      <c r="AJ124" s="44">
        <f t="shared" si="14"/>
        <v>0.15</v>
      </c>
      <c r="AP124" s="46">
        <f t="shared" si="15"/>
        <v>2.8000000000000001E-2</v>
      </c>
    </row>
    <row r="125" spans="19:42" ht="18">
      <c r="S125" s="8">
        <f t="shared" si="16"/>
        <v>0</v>
      </c>
      <c r="W125" s="3">
        <v>151</v>
      </c>
      <c r="X125" s="30">
        <v>28.084</v>
      </c>
      <c r="Y125" s="33">
        <f t="shared" si="12"/>
        <v>2.8000000000000001E-2</v>
      </c>
      <c r="AA125" s="36">
        <v>29</v>
      </c>
      <c r="AB125" s="40">
        <v>1.51</v>
      </c>
      <c r="AC125" s="38">
        <v>3.36</v>
      </c>
      <c r="AD125" s="39">
        <v>1.476</v>
      </c>
      <c r="AE125" s="39">
        <v>2.2280000000000002</v>
      </c>
      <c r="AF125" s="36">
        <v>341</v>
      </c>
      <c r="AG125" s="36">
        <v>52</v>
      </c>
      <c r="AH125" s="45">
        <f t="shared" si="17"/>
        <v>1.9000000000000128E-2</v>
      </c>
      <c r="AI125" s="3">
        <f t="shared" si="13"/>
        <v>1510</v>
      </c>
      <c r="AJ125" s="44">
        <f t="shared" si="14"/>
        <v>0.151</v>
      </c>
      <c r="AP125" s="46">
        <f t="shared" si="15"/>
        <v>2.8000000000000001E-2</v>
      </c>
    </row>
    <row r="126" spans="19:42" ht="18">
      <c r="S126" s="8">
        <f t="shared" si="16"/>
        <v>0</v>
      </c>
      <c r="W126" s="3">
        <v>152</v>
      </c>
      <c r="X126" s="30">
        <v>28.222999999999999</v>
      </c>
      <c r="Y126" s="33">
        <f t="shared" si="12"/>
        <v>2.8000000000000001E-2</v>
      </c>
      <c r="AA126" s="36">
        <v>29</v>
      </c>
      <c r="AB126" s="40">
        <v>1.52</v>
      </c>
      <c r="AC126" s="38">
        <v>3.36</v>
      </c>
      <c r="AD126" s="39">
        <v>1.4790000000000001</v>
      </c>
      <c r="AE126" s="39">
        <v>2.2480000000000002</v>
      </c>
      <c r="AF126" s="36">
        <v>343</v>
      </c>
      <c r="AG126" s="36">
        <v>52</v>
      </c>
      <c r="AH126" s="45">
        <f t="shared" si="17"/>
        <v>2.0000000000000018E-2</v>
      </c>
      <c r="AI126" s="3">
        <f t="shared" si="13"/>
        <v>1520</v>
      </c>
      <c r="AJ126" s="44">
        <f t="shared" si="14"/>
        <v>0.152</v>
      </c>
      <c r="AP126" s="46">
        <f t="shared" si="15"/>
        <v>2.8000000000000001E-2</v>
      </c>
    </row>
    <row r="127" spans="19:42" ht="18">
      <c r="S127" s="8">
        <f t="shared" si="16"/>
        <v>0</v>
      </c>
      <c r="W127" s="3">
        <v>153</v>
      </c>
      <c r="X127" s="30">
        <v>28.363</v>
      </c>
      <c r="Y127" s="33">
        <f t="shared" si="12"/>
        <v>2.8000000000000001E-2</v>
      </c>
      <c r="AA127" s="36">
        <v>29</v>
      </c>
      <c r="AB127" s="40">
        <v>1.53</v>
      </c>
      <c r="AC127" s="38">
        <v>3.36</v>
      </c>
      <c r="AD127" s="39">
        <v>1.482</v>
      </c>
      <c r="AE127" s="39">
        <v>2.2669999999999999</v>
      </c>
      <c r="AF127" s="36">
        <v>344</v>
      </c>
      <c r="AG127" s="36">
        <v>53</v>
      </c>
      <c r="AH127" s="45">
        <f t="shared" si="17"/>
        <v>1.8999999999999684E-2</v>
      </c>
      <c r="AI127" s="3">
        <f t="shared" si="13"/>
        <v>1530</v>
      </c>
      <c r="AJ127" s="44">
        <f t="shared" si="14"/>
        <v>0.153</v>
      </c>
      <c r="AP127" s="46">
        <f t="shared" si="15"/>
        <v>2.8000000000000001E-2</v>
      </c>
    </row>
    <row r="128" spans="19:42" ht="18">
      <c r="S128" s="8">
        <f t="shared" si="16"/>
        <v>0</v>
      </c>
      <c r="W128" s="3">
        <v>154</v>
      </c>
      <c r="X128" s="30">
        <v>28.503</v>
      </c>
      <c r="Y128" s="33">
        <f t="shared" si="12"/>
        <v>2.9000000000000001E-2</v>
      </c>
      <c r="AA128" s="36">
        <v>29</v>
      </c>
      <c r="AB128" s="40">
        <v>1.54</v>
      </c>
      <c r="AC128" s="38">
        <v>3.36</v>
      </c>
      <c r="AD128" s="39">
        <v>1.484</v>
      </c>
      <c r="AE128" s="39">
        <v>2.286</v>
      </c>
      <c r="AF128" s="36">
        <v>346</v>
      </c>
      <c r="AG128" s="36">
        <v>53</v>
      </c>
      <c r="AH128" s="45">
        <f t="shared" si="17"/>
        <v>1.9000000000000128E-2</v>
      </c>
      <c r="AI128" s="3">
        <f t="shared" si="13"/>
        <v>1540</v>
      </c>
      <c r="AJ128" s="44">
        <f t="shared" si="14"/>
        <v>0.154</v>
      </c>
      <c r="AP128" s="46">
        <f t="shared" si="15"/>
        <v>2.9000000000000001E-2</v>
      </c>
    </row>
    <row r="129" spans="19:42" ht="18">
      <c r="S129" s="8">
        <f t="shared" si="16"/>
        <v>0</v>
      </c>
      <c r="W129" s="3">
        <v>155</v>
      </c>
      <c r="X129" s="30">
        <v>28.641999999999999</v>
      </c>
      <c r="Y129" s="33">
        <f t="shared" si="12"/>
        <v>2.9000000000000001E-2</v>
      </c>
      <c r="AA129" s="36">
        <v>29</v>
      </c>
      <c r="AB129" s="40">
        <v>1.55</v>
      </c>
      <c r="AC129" s="38">
        <v>3.36</v>
      </c>
      <c r="AD129" s="39">
        <v>1.4870000000000001</v>
      </c>
      <c r="AE129" s="39">
        <v>2.3050000000000002</v>
      </c>
      <c r="AF129" s="36">
        <v>347</v>
      </c>
      <c r="AG129" s="36">
        <v>53</v>
      </c>
      <c r="AH129" s="45">
        <f t="shared" si="17"/>
        <v>1.9000000000000128E-2</v>
      </c>
      <c r="AI129" s="3">
        <f t="shared" si="13"/>
        <v>1550</v>
      </c>
      <c r="AJ129" s="44">
        <f t="shared" si="14"/>
        <v>0.155</v>
      </c>
      <c r="AP129" s="46">
        <f t="shared" si="15"/>
        <v>2.9000000000000001E-2</v>
      </c>
    </row>
    <row r="130" spans="19:42" ht="18">
      <c r="S130" s="8">
        <f t="shared" si="16"/>
        <v>0</v>
      </c>
      <c r="W130" s="3">
        <v>156</v>
      </c>
      <c r="X130" s="30">
        <v>28.782</v>
      </c>
      <c r="Y130" s="33">
        <f t="shared" si="12"/>
        <v>2.9000000000000001E-2</v>
      </c>
      <c r="AA130" s="36">
        <v>29</v>
      </c>
      <c r="AB130" s="40">
        <v>1.56</v>
      </c>
      <c r="AC130" s="38">
        <v>3.36</v>
      </c>
      <c r="AD130" s="39">
        <v>1.49</v>
      </c>
      <c r="AE130" s="39">
        <v>2.3250000000000002</v>
      </c>
      <c r="AF130" s="36">
        <v>349</v>
      </c>
      <c r="AG130" s="36">
        <v>54</v>
      </c>
      <c r="AH130" s="45">
        <f t="shared" si="17"/>
        <v>2.0000000000000018E-2</v>
      </c>
      <c r="AI130" s="3">
        <f t="shared" si="13"/>
        <v>1560</v>
      </c>
      <c r="AJ130" s="44">
        <f t="shared" si="14"/>
        <v>0.156</v>
      </c>
      <c r="AP130" s="46">
        <f t="shared" si="15"/>
        <v>2.9000000000000001E-2</v>
      </c>
    </row>
    <row r="131" spans="19:42" ht="18">
      <c r="S131" s="8">
        <f t="shared" si="16"/>
        <v>0</v>
      </c>
      <c r="W131" s="3">
        <v>157</v>
      </c>
      <c r="X131" s="30">
        <v>28.920999999999999</v>
      </c>
      <c r="Y131" s="33">
        <f t="shared" si="12"/>
        <v>2.9000000000000001E-2</v>
      </c>
      <c r="AA131" s="36">
        <v>30</v>
      </c>
      <c r="AB131" s="40">
        <v>1.57</v>
      </c>
      <c r="AC131" s="38">
        <v>3.46</v>
      </c>
      <c r="AD131" s="39">
        <v>1.4930000000000001</v>
      </c>
      <c r="AE131" s="39">
        <v>2.35</v>
      </c>
      <c r="AF131" s="36">
        <v>339</v>
      </c>
      <c r="AG131" s="36">
        <v>52</v>
      </c>
      <c r="AH131" s="45">
        <f t="shared" si="17"/>
        <v>2.4999999999999911E-2</v>
      </c>
      <c r="AI131" s="3">
        <f t="shared" si="13"/>
        <v>1570</v>
      </c>
      <c r="AJ131" s="44">
        <f t="shared" si="14"/>
        <v>0.157</v>
      </c>
      <c r="AP131" s="46">
        <f t="shared" si="15"/>
        <v>2.9000000000000001E-2</v>
      </c>
    </row>
    <row r="132" spans="19:42" ht="18">
      <c r="S132" s="8">
        <f t="shared" si="16"/>
        <v>0</v>
      </c>
      <c r="W132" s="3">
        <v>158</v>
      </c>
      <c r="X132" s="30">
        <v>29.061</v>
      </c>
      <c r="Y132" s="33">
        <f t="shared" si="12"/>
        <v>2.9000000000000001E-2</v>
      </c>
      <c r="AA132" s="36">
        <v>30</v>
      </c>
      <c r="AB132" s="40">
        <v>1.58</v>
      </c>
      <c r="AC132" s="38">
        <v>3.46</v>
      </c>
      <c r="AD132" s="39">
        <v>1.496</v>
      </c>
      <c r="AE132" s="39">
        <v>2.363</v>
      </c>
      <c r="AF132" s="36">
        <v>340</v>
      </c>
      <c r="AG132" s="36">
        <v>53</v>
      </c>
      <c r="AH132" s="45">
        <f t="shared" si="17"/>
        <v>1.2999999999999901E-2</v>
      </c>
      <c r="AI132" s="3">
        <f t="shared" si="13"/>
        <v>1580</v>
      </c>
      <c r="AJ132" s="44">
        <f t="shared" si="14"/>
        <v>0.158</v>
      </c>
      <c r="AP132" s="46">
        <f t="shared" si="15"/>
        <v>2.9000000000000001E-2</v>
      </c>
    </row>
    <row r="133" spans="19:42" ht="18">
      <c r="S133" s="8">
        <f t="shared" si="16"/>
        <v>0</v>
      </c>
      <c r="W133" s="3">
        <v>159</v>
      </c>
      <c r="X133" s="30">
        <v>29.2</v>
      </c>
      <c r="Y133" s="33">
        <f t="shared" ref="Y133:Y196" si="18">ROUND(X133/1000,3)</f>
        <v>2.9000000000000001E-2</v>
      </c>
      <c r="AA133" s="36">
        <v>30</v>
      </c>
      <c r="AB133" s="40">
        <v>1.59</v>
      </c>
      <c r="AC133" s="38">
        <v>3.46</v>
      </c>
      <c r="AD133" s="39">
        <v>1.498</v>
      </c>
      <c r="AE133" s="39">
        <v>2.3820000000000001</v>
      </c>
      <c r="AF133" s="36">
        <v>341</v>
      </c>
      <c r="AG133" s="36">
        <v>53</v>
      </c>
      <c r="AH133" s="45">
        <f t="shared" si="17"/>
        <v>1.9000000000000128E-2</v>
      </c>
      <c r="AI133" s="3">
        <f t="shared" ref="AI133:AI196" si="19">AB133*1000</f>
        <v>1590</v>
      </c>
      <c r="AJ133" s="44">
        <f t="shared" ref="AJ133:AJ196" si="20">ROUND(W133/1000,3)</f>
        <v>0.159</v>
      </c>
      <c r="AP133" s="46">
        <f t="shared" ref="AP133:AP196" si="21">ROUND(X133/1000,3)</f>
        <v>2.9000000000000001E-2</v>
      </c>
    </row>
    <row r="134" spans="19:42" ht="18">
      <c r="S134" s="8">
        <f t="shared" ref="S134:S197" si="22">CEILING(R134/50,0.5)</f>
        <v>0</v>
      </c>
      <c r="W134" s="3">
        <v>160</v>
      </c>
      <c r="X134" s="30">
        <v>29.34</v>
      </c>
      <c r="Y134" s="33">
        <f t="shared" si="18"/>
        <v>2.9000000000000001E-2</v>
      </c>
      <c r="AA134" s="36">
        <v>30</v>
      </c>
      <c r="AB134" s="40">
        <v>1.6</v>
      </c>
      <c r="AC134" s="38">
        <v>3.46</v>
      </c>
      <c r="AD134" s="39">
        <v>1.5009999999999999</v>
      </c>
      <c r="AE134" s="39">
        <v>2.4020000000000001</v>
      </c>
      <c r="AF134" s="36">
        <v>343</v>
      </c>
      <c r="AG134" s="36">
        <v>53</v>
      </c>
      <c r="AH134" s="45">
        <f t="shared" ref="AH134:AH197" si="23">AE134-AE133</f>
        <v>2.0000000000000018E-2</v>
      </c>
      <c r="AI134" s="3">
        <f t="shared" si="19"/>
        <v>1600</v>
      </c>
      <c r="AJ134" s="44">
        <f t="shared" si="20"/>
        <v>0.16</v>
      </c>
      <c r="AP134" s="46">
        <f t="shared" si="21"/>
        <v>2.9000000000000001E-2</v>
      </c>
    </row>
    <row r="135" spans="19:42" ht="18">
      <c r="S135" s="8">
        <f t="shared" si="22"/>
        <v>0</v>
      </c>
      <c r="W135" s="3">
        <v>161</v>
      </c>
      <c r="X135" s="30">
        <v>29.582000000000001</v>
      </c>
      <c r="Y135" s="33">
        <f t="shared" si="18"/>
        <v>0.03</v>
      </c>
      <c r="AA135" s="36">
        <v>30</v>
      </c>
      <c r="AB135" s="40">
        <v>1.61</v>
      </c>
      <c r="AC135" s="38">
        <v>3.46</v>
      </c>
      <c r="AD135" s="39">
        <v>1.504</v>
      </c>
      <c r="AE135" s="39">
        <v>2.4209999999999998</v>
      </c>
      <c r="AF135" s="36">
        <v>345</v>
      </c>
      <c r="AG135" s="36">
        <v>54</v>
      </c>
      <c r="AH135" s="45">
        <f t="shared" si="23"/>
        <v>1.8999999999999684E-2</v>
      </c>
      <c r="AI135" s="3">
        <f t="shared" si="19"/>
        <v>1610</v>
      </c>
      <c r="AJ135" s="44">
        <f t="shared" si="20"/>
        <v>0.161</v>
      </c>
      <c r="AP135" s="46">
        <f t="shared" si="21"/>
        <v>0.03</v>
      </c>
    </row>
    <row r="136" spans="19:42" ht="18">
      <c r="S136" s="8">
        <f t="shared" si="22"/>
        <v>0</v>
      </c>
      <c r="W136" s="3">
        <v>162</v>
      </c>
      <c r="X136" s="30">
        <v>29.823</v>
      </c>
      <c r="Y136" s="33">
        <f t="shared" si="18"/>
        <v>0.03</v>
      </c>
      <c r="AA136" s="36">
        <v>30</v>
      </c>
      <c r="AB136" s="40">
        <v>1.62</v>
      </c>
      <c r="AC136" s="38">
        <v>3.46</v>
      </c>
      <c r="AD136" s="39">
        <v>1.506</v>
      </c>
      <c r="AE136" s="39">
        <v>2.44</v>
      </c>
      <c r="AF136" s="36">
        <v>346</v>
      </c>
      <c r="AG136" s="36">
        <v>54</v>
      </c>
      <c r="AH136" s="45">
        <f t="shared" si="23"/>
        <v>1.9000000000000128E-2</v>
      </c>
      <c r="AI136" s="3">
        <f t="shared" si="19"/>
        <v>1620</v>
      </c>
      <c r="AJ136" s="44">
        <f t="shared" si="20"/>
        <v>0.16200000000000001</v>
      </c>
      <c r="AP136" s="46">
        <f t="shared" si="21"/>
        <v>0.03</v>
      </c>
    </row>
    <row r="137" spans="19:42" ht="18">
      <c r="S137" s="8">
        <f t="shared" si="22"/>
        <v>0</v>
      </c>
      <c r="W137" s="3">
        <v>163</v>
      </c>
      <c r="X137" s="30">
        <v>30.065000000000001</v>
      </c>
      <c r="Y137" s="33">
        <f t="shared" si="18"/>
        <v>0.03</v>
      </c>
      <c r="AA137" s="36">
        <v>30</v>
      </c>
      <c r="AB137" s="40">
        <v>1.63</v>
      </c>
      <c r="AC137" s="38">
        <v>3.46</v>
      </c>
      <c r="AD137" s="39">
        <v>1.5089999999999999</v>
      </c>
      <c r="AE137" s="39">
        <v>2.46</v>
      </c>
      <c r="AF137" s="36">
        <v>348</v>
      </c>
      <c r="AG137" s="36">
        <v>54</v>
      </c>
      <c r="AH137" s="45">
        <f t="shared" si="23"/>
        <v>2.0000000000000018E-2</v>
      </c>
      <c r="AI137" s="3">
        <f t="shared" si="19"/>
        <v>1630</v>
      </c>
      <c r="AJ137" s="44">
        <f t="shared" si="20"/>
        <v>0.16300000000000001</v>
      </c>
      <c r="AP137" s="46">
        <f t="shared" si="21"/>
        <v>0.03</v>
      </c>
    </row>
    <row r="138" spans="19:42" ht="18">
      <c r="S138" s="8">
        <f t="shared" si="22"/>
        <v>0</v>
      </c>
      <c r="W138" s="3">
        <v>164</v>
      </c>
      <c r="X138" s="30">
        <v>30.306000000000001</v>
      </c>
      <c r="Y138" s="33">
        <f t="shared" si="18"/>
        <v>0.03</v>
      </c>
      <c r="AA138" s="36">
        <v>30</v>
      </c>
      <c r="AB138" s="40">
        <v>1.64</v>
      </c>
      <c r="AC138" s="38">
        <v>3.46</v>
      </c>
      <c r="AD138" s="39">
        <v>1.512</v>
      </c>
      <c r="AE138" s="39">
        <v>2.4790000000000001</v>
      </c>
      <c r="AF138" s="36">
        <v>349</v>
      </c>
      <c r="AG138" s="36">
        <v>55</v>
      </c>
      <c r="AH138" s="45">
        <f t="shared" si="23"/>
        <v>1.9000000000000128E-2</v>
      </c>
      <c r="AI138" s="3">
        <f t="shared" si="19"/>
        <v>1640</v>
      </c>
      <c r="AJ138" s="44">
        <f t="shared" si="20"/>
        <v>0.16400000000000001</v>
      </c>
      <c r="AP138" s="46">
        <f t="shared" si="21"/>
        <v>0.03</v>
      </c>
    </row>
    <row r="139" spans="19:42" ht="18">
      <c r="S139" s="8">
        <f t="shared" si="22"/>
        <v>0</v>
      </c>
      <c r="W139" s="3">
        <v>165</v>
      </c>
      <c r="X139" s="30">
        <v>30.547999999999998</v>
      </c>
      <c r="Y139" s="33">
        <f t="shared" si="18"/>
        <v>3.1E-2</v>
      </c>
      <c r="AA139" s="36">
        <v>30</v>
      </c>
      <c r="AB139" s="40">
        <v>1.65</v>
      </c>
      <c r="AC139" s="38">
        <v>3.46</v>
      </c>
      <c r="AD139" s="39">
        <v>1.514</v>
      </c>
      <c r="AE139" s="39">
        <v>2.4990000000000001</v>
      </c>
      <c r="AF139" s="36">
        <v>351</v>
      </c>
      <c r="AG139" s="36">
        <v>55</v>
      </c>
      <c r="AH139" s="45">
        <f t="shared" si="23"/>
        <v>2.0000000000000018E-2</v>
      </c>
      <c r="AI139" s="3">
        <f t="shared" si="19"/>
        <v>1650</v>
      </c>
      <c r="AJ139" s="44">
        <f t="shared" si="20"/>
        <v>0.16500000000000001</v>
      </c>
      <c r="AP139" s="46">
        <f t="shared" si="21"/>
        <v>3.1E-2</v>
      </c>
    </row>
    <row r="140" spans="19:42" ht="18">
      <c r="S140" s="8">
        <f t="shared" si="22"/>
        <v>0</v>
      </c>
      <c r="W140" s="3">
        <v>166</v>
      </c>
      <c r="X140" s="30">
        <v>30.789000000000001</v>
      </c>
      <c r="Y140" s="33">
        <f t="shared" si="18"/>
        <v>3.1E-2</v>
      </c>
      <c r="AA140" s="36">
        <v>31</v>
      </c>
      <c r="AB140" s="40">
        <v>1.66</v>
      </c>
      <c r="AC140" s="38">
        <v>3.57</v>
      </c>
      <c r="AD140" s="39">
        <v>1.5169999999999999</v>
      </c>
      <c r="AE140" s="39">
        <v>2.5209999999999999</v>
      </c>
      <c r="AF140" s="36">
        <v>341</v>
      </c>
      <c r="AG140" s="36">
        <v>54</v>
      </c>
      <c r="AH140" s="45">
        <f t="shared" si="23"/>
        <v>2.1999999999999797E-2</v>
      </c>
      <c r="AI140" s="3">
        <f t="shared" si="19"/>
        <v>1660</v>
      </c>
      <c r="AJ140" s="44">
        <f t="shared" si="20"/>
        <v>0.16600000000000001</v>
      </c>
      <c r="AP140" s="46">
        <f t="shared" si="21"/>
        <v>3.1E-2</v>
      </c>
    </row>
    <row r="141" spans="19:42" ht="18">
      <c r="S141" s="8">
        <f t="shared" si="22"/>
        <v>0</v>
      </c>
      <c r="W141" s="3">
        <v>167</v>
      </c>
      <c r="X141" s="30">
        <v>31.030999999999999</v>
      </c>
      <c r="Y141" s="33">
        <f t="shared" si="18"/>
        <v>3.1E-2</v>
      </c>
      <c r="AA141" s="36">
        <v>31</v>
      </c>
      <c r="AB141" s="40">
        <v>1.67</v>
      </c>
      <c r="AC141" s="38">
        <v>3.57</v>
      </c>
      <c r="AD141" s="39">
        <v>1.52</v>
      </c>
      <c r="AE141" s="39">
        <v>2.5379999999999998</v>
      </c>
      <c r="AF141" s="36">
        <v>342</v>
      </c>
      <c r="AG141" s="36">
        <v>54</v>
      </c>
      <c r="AH141" s="45">
        <f t="shared" si="23"/>
        <v>1.6999999999999904E-2</v>
      </c>
      <c r="AI141" s="3">
        <f t="shared" si="19"/>
        <v>1670</v>
      </c>
      <c r="AJ141" s="44">
        <f t="shared" si="20"/>
        <v>0.16700000000000001</v>
      </c>
      <c r="AP141" s="46">
        <f t="shared" si="21"/>
        <v>3.1E-2</v>
      </c>
    </row>
    <row r="142" spans="19:42" ht="18">
      <c r="S142" s="8">
        <f t="shared" si="22"/>
        <v>0</v>
      </c>
      <c r="W142" s="3">
        <v>168</v>
      </c>
      <c r="X142" s="30">
        <v>31.271999999999998</v>
      </c>
      <c r="Y142" s="33">
        <f t="shared" si="18"/>
        <v>3.1E-2</v>
      </c>
      <c r="AA142" s="36">
        <v>31</v>
      </c>
      <c r="AB142" s="40">
        <v>1.68</v>
      </c>
      <c r="AC142" s="38">
        <v>3.57</v>
      </c>
      <c r="AD142" s="39">
        <v>1.522</v>
      </c>
      <c r="AE142" s="39">
        <v>2.5569999999999999</v>
      </c>
      <c r="AF142" s="36">
        <v>343</v>
      </c>
      <c r="AG142" s="36">
        <v>54</v>
      </c>
      <c r="AH142" s="45">
        <f t="shared" si="23"/>
        <v>1.9000000000000128E-2</v>
      </c>
      <c r="AI142" s="3">
        <f t="shared" si="19"/>
        <v>1680</v>
      </c>
      <c r="AJ142" s="44">
        <f t="shared" si="20"/>
        <v>0.16800000000000001</v>
      </c>
      <c r="AP142" s="46">
        <f t="shared" si="21"/>
        <v>3.1E-2</v>
      </c>
    </row>
    <row r="143" spans="19:42" ht="18">
      <c r="S143" s="8">
        <f t="shared" si="22"/>
        <v>0</v>
      </c>
      <c r="W143" s="3">
        <v>169</v>
      </c>
      <c r="X143" s="30">
        <v>31.513999999999999</v>
      </c>
      <c r="Y143" s="33">
        <f t="shared" si="18"/>
        <v>3.2000000000000001E-2</v>
      </c>
      <c r="AA143" s="36">
        <v>31</v>
      </c>
      <c r="AB143" s="40">
        <v>1.69</v>
      </c>
      <c r="AC143" s="38">
        <v>3.57</v>
      </c>
      <c r="AD143" s="39">
        <v>1.5249999999999999</v>
      </c>
      <c r="AE143" s="39">
        <v>2.577</v>
      </c>
      <c r="AF143" s="36">
        <v>345</v>
      </c>
      <c r="AG143" s="36">
        <v>55</v>
      </c>
      <c r="AH143" s="45">
        <f t="shared" si="23"/>
        <v>2.0000000000000018E-2</v>
      </c>
      <c r="AI143" s="3">
        <f t="shared" si="19"/>
        <v>1690</v>
      </c>
      <c r="AJ143" s="44">
        <f t="shared" si="20"/>
        <v>0.16900000000000001</v>
      </c>
      <c r="AP143" s="46">
        <f t="shared" si="21"/>
        <v>3.2000000000000001E-2</v>
      </c>
    </row>
    <row r="144" spans="19:42" ht="18">
      <c r="S144" s="8">
        <f t="shared" si="22"/>
        <v>0</v>
      </c>
      <c r="W144" s="3">
        <v>170</v>
      </c>
      <c r="X144" s="30">
        <v>31.754999999999999</v>
      </c>
      <c r="Y144" s="33">
        <f t="shared" si="18"/>
        <v>3.2000000000000001E-2</v>
      </c>
      <c r="AA144" s="36">
        <v>31</v>
      </c>
      <c r="AB144" s="40">
        <v>1.7</v>
      </c>
      <c r="AC144" s="38">
        <v>3.57</v>
      </c>
      <c r="AD144" s="39">
        <v>1.5269999999999999</v>
      </c>
      <c r="AE144" s="39">
        <v>2.5960000000000001</v>
      </c>
      <c r="AF144" s="36">
        <v>346</v>
      </c>
      <c r="AG144" s="36">
        <v>55</v>
      </c>
      <c r="AH144" s="45">
        <f t="shared" si="23"/>
        <v>1.9000000000000128E-2</v>
      </c>
      <c r="AI144" s="3">
        <f t="shared" si="19"/>
        <v>1700</v>
      </c>
      <c r="AJ144" s="44">
        <f t="shared" si="20"/>
        <v>0.17</v>
      </c>
      <c r="AP144" s="46">
        <f t="shared" si="21"/>
        <v>3.2000000000000001E-2</v>
      </c>
    </row>
    <row r="145" spans="19:42" ht="18">
      <c r="S145" s="8">
        <f t="shared" si="22"/>
        <v>0</v>
      </c>
      <c r="W145" s="3">
        <v>171</v>
      </c>
      <c r="X145" s="30">
        <v>31.997</v>
      </c>
      <c r="Y145" s="33">
        <f t="shared" si="18"/>
        <v>3.2000000000000001E-2</v>
      </c>
      <c r="AA145" s="36">
        <v>31</v>
      </c>
      <c r="AB145" s="40">
        <v>1.71</v>
      </c>
      <c r="AC145" s="38">
        <v>3.57</v>
      </c>
      <c r="AD145" s="39">
        <v>1.53</v>
      </c>
      <c r="AE145" s="39">
        <v>2.6160000000000001</v>
      </c>
      <c r="AF145" s="36">
        <v>348</v>
      </c>
      <c r="AG145" s="36">
        <v>55</v>
      </c>
      <c r="AH145" s="45">
        <f t="shared" si="23"/>
        <v>2.0000000000000018E-2</v>
      </c>
      <c r="AI145" s="3">
        <f t="shared" si="19"/>
        <v>1710</v>
      </c>
      <c r="AJ145" s="44">
        <f t="shared" si="20"/>
        <v>0.17100000000000001</v>
      </c>
      <c r="AP145" s="46">
        <f t="shared" si="21"/>
        <v>3.2000000000000001E-2</v>
      </c>
    </row>
    <row r="146" spans="19:42" ht="18">
      <c r="S146" s="8">
        <f t="shared" si="22"/>
        <v>0</v>
      </c>
      <c r="W146" s="3">
        <v>172</v>
      </c>
      <c r="X146" s="30">
        <v>32.238</v>
      </c>
      <c r="Y146" s="33">
        <f t="shared" si="18"/>
        <v>3.2000000000000001E-2</v>
      </c>
      <c r="AA146" s="36">
        <v>31</v>
      </c>
      <c r="AB146" s="40">
        <v>1.72</v>
      </c>
      <c r="AC146" s="38">
        <v>3.57</v>
      </c>
      <c r="AD146" s="39">
        <v>1.532</v>
      </c>
      <c r="AE146" s="39">
        <v>2.6360000000000001</v>
      </c>
      <c r="AF146" s="36">
        <v>349</v>
      </c>
      <c r="AG146" s="36">
        <v>55</v>
      </c>
      <c r="AH146" s="45">
        <f t="shared" si="23"/>
        <v>2.0000000000000018E-2</v>
      </c>
      <c r="AI146" s="3">
        <f t="shared" si="19"/>
        <v>1720</v>
      </c>
      <c r="AJ146" s="44">
        <f t="shared" si="20"/>
        <v>0.17199999999999999</v>
      </c>
      <c r="AP146" s="46">
        <f t="shared" si="21"/>
        <v>3.2000000000000001E-2</v>
      </c>
    </row>
    <row r="147" spans="19:42" ht="18">
      <c r="S147" s="8">
        <f t="shared" si="22"/>
        <v>0</v>
      </c>
      <c r="W147" s="3">
        <v>173</v>
      </c>
      <c r="X147" s="30">
        <v>32.479999999999997</v>
      </c>
      <c r="Y147" s="33">
        <f t="shared" si="18"/>
        <v>3.2000000000000001E-2</v>
      </c>
      <c r="AA147" s="36">
        <v>31</v>
      </c>
      <c r="AB147" s="40">
        <v>1.73</v>
      </c>
      <c r="AC147" s="38">
        <v>3.57</v>
      </c>
      <c r="AD147" s="39">
        <v>1.5349999999999999</v>
      </c>
      <c r="AE147" s="39">
        <v>2.6549999999999998</v>
      </c>
      <c r="AF147" s="36">
        <v>351</v>
      </c>
      <c r="AG147" s="36">
        <v>56</v>
      </c>
      <c r="AH147" s="45">
        <f t="shared" si="23"/>
        <v>1.8999999999999684E-2</v>
      </c>
      <c r="AI147" s="3">
        <f t="shared" si="19"/>
        <v>1730</v>
      </c>
      <c r="AJ147" s="44">
        <f t="shared" si="20"/>
        <v>0.17299999999999999</v>
      </c>
      <c r="AP147" s="46">
        <f t="shared" si="21"/>
        <v>3.2000000000000001E-2</v>
      </c>
    </row>
    <row r="148" spans="19:42" ht="18">
      <c r="S148" s="8">
        <f t="shared" si="22"/>
        <v>0</v>
      </c>
      <c r="W148" s="3">
        <v>174</v>
      </c>
      <c r="X148" s="30">
        <v>32.720999999999997</v>
      </c>
      <c r="Y148" s="33">
        <f t="shared" si="18"/>
        <v>3.3000000000000002E-2</v>
      </c>
      <c r="AA148" s="36">
        <v>31</v>
      </c>
      <c r="AB148" s="40">
        <v>1.74</v>
      </c>
      <c r="AC148" s="38">
        <v>3.57</v>
      </c>
      <c r="AD148" s="39">
        <v>1.5369999999999999</v>
      </c>
      <c r="AE148" s="39">
        <v>2.6749999999999998</v>
      </c>
      <c r="AF148" s="36">
        <v>352</v>
      </c>
      <c r="AG148" s="36">
        <v>56</v>
      </c>
      <c r="AH148" s="45">
        <f t="shared" si="23"/>
        <v>2.0000000000000018E-2</v>
      </c>
      <c r="AI148" s="3">
        <f t="shared" si="19"/>
        <v>1740</v>
      </c>
      <c r="AJ148" s="44">
        <f t="shared" si="20"/>
        <v>0.17399999999999999</v>
      </c>
      <c r="AP148" s="46">
        <f t="shared" si="21"/>
        <v>3.3000000000000002E-2</v>
      </c>
    </row>
    <row r="149" spans="19:42" ht="18">
      <c r="S149" s="8">
        <f t="shared" si="22"/>
        <v>0</v>
      </c>
      <c r="W149" s="3">
        <v>175</v>
      </c>
      <c r="X149" s="30">
        <v>32.963000000000001</v>
      </c>
      <c r="Y149" s="33">
        <f t="shared" si="18"/>
        <v>3.3000000000000002E-2</v>
      </c>
      <c r="AA149" s="36">
        <v>32</v>
      </c>
      <c r="AB149" s="40">
        <v>1.75</v>
      </c>
      <c r="AC149" s="38">
        <v>3.68</v>
      </c>
      <c r="AD149" s="39">
        <v>1.54</v>
      </c>
      <c r="AE149" s="39">
        <v>2.6970000000000001</v>
      </c>
      <c r="AF149" s="36">
        <v>342</v>
      </c>
      <c r="AG149" s="36">
        <v>55</v>
      </c>
      <c r="AH149" s="45">
        <f t="shared" si="23"/>
        <v>2.2000000000000242E-2</v>
      </c>
      <c r="AI149" s="3">
        <f t="shared" si="19"/>
        <v>1750</v>
      </c>
      <c r="AJ149" s="44">
        <f t="shared" si="20"/>
        <v>0.17499999999999999</v>
      </c>
      <c r="AP149" s="46">
        <f t="shared" si="21"/>
        <v>3.3000000000000002E-2</v>
      </c>
    </row>
    <row r="150" spans="19:42" ht="18">
      <c r="S150" s="8">
        <f t="shared" si="22"/>
        <v>0</v>
      </c>
      <c r="W150" s="3">
        <v>176</v>
      </c>
      <c r="X150" s="30">
        <v>33.204000000000001</v>
      </c>
      <c r="Y150" s="33">
        <f t="shared" si="18"/>
        <v>3.3000000000000002E-2</v>
      </c>
      <c r="AA150" s="36">
        <v>32</v>
      </c>
      <c r="AB150" s="40">
        <v>1.76</v>
      </c>
      <c r="AC150" s="38">
        <v>3.68</v>
      </c>
      <c r="AD150" s="39">
        <v>1.5429999999999999</v>
      </c>
      <c r="AE150" s="39">
        <v>2.7149999999999999</v>
      </c>
      <c r="AF150" s="36">
        <v>343</v>
      </c>
      <c r="AG150" s="36">
        <v>55</v>
      </c>
      <c r="AH150" s="45">
        <f t="shared" si="23"/>
        <v>1.7999999999999794E-2</v>
      </c>
      <c r="AI150" s="3">
        <f t="shared" si="19"/>
        <v>1760</v>
      </c>
      <c r="AJ150" s="44">
        <f t="shared" si="20"/>
        <v>0.17599999999999999</v>
      </c>
      <c r="AP150" s="46">
        <f t="shared" si="21"/>
        <v>3.3000000000000002E-2</v>
      </c>
    </row>
    <row r="151" spans="19:42" ht="18">
      <c r="S151" s="8">
        <f t="shared" si="22"/>
        <v>0</v>
      </c>
      <c r="W151" s="3">
        <v>177</v>
      </c>
      <c r="X151" s="30">
        <v>33.445999999999998</v>
      </c>
      <c r="Y151" s="33">
        <f t="shared" si="18"/>
        <v>3.3000000000000002E-2</v>
      </c>
      <c r="AA151" s="36">
        <v>32</v>
      </c>
      <c r="AB151" s="40">
        <v>1.77</v>
      </c>
      <c r="AC151" s="38">
        <v>3.68</v>
      </c>
      <c r="AD151" s="39">
        <v>1.5449999999999999</v>
      </c>
      <c r="AE151" s="39">
        <v>2.7349999999999999</v>
      </c>
      <c r="AF151" s="36">
        <v>345</v>
      </c>
      <c r="AG151" s="36">
        <v>55</v>
      </c>
      <c r="AH151" s="45">
        <f t="shared" si="23"/>
        <v>2.0000000000000018E-2</v>
      </c>
      <c r="AI151" s="3">
        <f t="shared" si="19"/>
        <v>1770</v>
      </c>
      <c r="AJ151" s="44">
        <f t="shared" si="20"/>
        <v>0.17699999999999999</v>
      </c>
      <c r="AP151" s="46">
        <f t="shared" si="21"/>
        <v>3.3000000000000002E-2</v>
      </c>
    </row>
    <row r="152" spans="19:42" ht="18">
      <c r="S152" s="8">
        <f t="shared" si="22"/>
        <v>0</v>
      </c>
      <c r="W152" s="3">
        <v>178</v>
      </c>
      <c r="X152" s="30">
        <v>33.686999999999998</v>
      </c>
      <c r="Y152" s="33">
        <f t="shared" si="18"/>
        <v>3.4000000000000002E-2</v>
      </c>
      <c r="AA152" s="36">
        <v>32</v>
      </c>
      <c r="AB152" s="40">
        <v>1.78</v>
      </c>
      <c r="AC152" s="38">
        <v>3.68</v>
      </c>
      <c r="AD152" s="39">
        <v>1.548</v>
      </c>
      <c r="AE152" s="39">
        <v>2.7349999999999999</v>
      </c>
      <c r="AF152" s="36">
        <v>346</v>
      </c>
      <c r="AG152" s="36">
        <v>56</v>
      </c>
      <c r="AH152" s="45">
        <f t="shared" si="23"/>
        <v>0</v>
      </c>
      <c r="AI152" s="3">
        <f t="shared" si="19"/>
        <v>1780</v>
      </c>
      <c r="AJ152" s="44">
        <f t="shared" si="20"/>
        <v>0.17799999999999999</v>
      </c>
      <c r="AP152" s="46">
        <f t="shared" si="21"/>
        <v>3.4000000000000002E-2</v>
      </c>
    </row>
    <row r="153" spans="19:42" ht="18">
      <c r="S153" s="8">
        <f t="shared" si="22"/>
        <v>0</v>
      </c>
      <c r="W153" s="3">
        <v>179</v>
      </c>
      <c r="X153" s="30">
        <v>33.929000000000002</v>
      </c>
      <c r="Y153" s="33">
        <f t="shared" si="18"/>
        <v>3.4000000000000002E-2</v>
      </c>
      <c r="AA153" s="36">
        <v>32</v>
      </c>
      <c r="AB153" s="40">
        <v>1.79</v>
      </c>
      <c r="AC153" s="38">
        <v>3.68</v>
      </c>
      <c r="AD153" s="39">
        <v>1.5509999999999999</v>
      </c>
      <c r="AE153" s="39">
        <v>2.7759999999999998</v>
      </c>
      <c r="AF153" s="36">
        <v>347</v>
      </c>
      <c r="AG153" s="36">
        <v>56</v>
      </c>
      <c r="AH153" s="45">
        <f t="shared" si="23"/>
        <v>4.0999999999999925E-2</v>
      </c>
      <c r="AI153" s="3">
        <f t="shared" si="19"/>
        <v>1790</v>
      </c>
      <c r="AJ153" s="44">
        <f t="shared" si="20"/>
        <v>0.17899999999999999</v>
      </c>
      <c r="AP153" s="46">
        <f t="shared" si="21"/>
        <v>3.4000000000000002E-2</v>
      </c>
    </row>
    <row r="154" spans="19:42" ht="18">
      <c r="S154" s="8">
        <f t="shared" si="22"/>
        <v>0</v>
      </c>
      <c r="W154" s="3">
        <v>180</v>
      </c>
      <c r="X154" s="30">
        <v>34.17</v>
      </c>
      <c r="Y154" s="33">
        <f t="shared" si="18"/>
        <v>3.4000000000000002E-2</v>
      </c>
      <c r="AA154" s="36">
        <v>32</v>
      </c>
      <c r="AB154" s="40">
        <v>1.8</v>
      </c>
      <c r="AC154" s="38">
        <v>3.68</v>
      </c>
      <c r="AD154" s="39">
        <v>1.5529999999999999</v>
      </c>
      <c r="AE154" s="39">
        <v>2.7959999999999998</v>
      </c>
      <c r="AF154" s="36">
        <v>349</v>
      </c>
      <c r="AG154" s="36">
        <v>56</v>
      </c>
      <c r="AH154" s="45">
        <f t="shared" si="23"/>
        <v>2.0000000000000018E-2</v>
      </c>
      <c r="AI154" s="3">
        <f t="shared" si="19"/>
        <v>1800</v>
      </c>
      <c r="AJ154" s="44">
        <f t="shared" si="20"/>
        <v>0.18</v>
      </c>
      <c r="AP154" s="46">
        <f t="shared" si="21"/>
        <v>3.4000000000000002E-2</v>
      </c>
    </row>
    <row r="155" spans="19:42" ht="18">
      <c r="S155" s="8">
        <f t="shared" si="22"/>
        <v>0</v>
      </c>
      <c r="W155" s="3">
        <v>181</v>
      </c>
      <c r="X155" s="30">
        <v>34.411999999999999</v>
      </c>
      <c r="Y155" s="33">
        <f t="shared" si="18"/>
        <v>3.4000000000000002E-2</v>
      </c>
      <c r="AA155" s="36">
        <v>32</v>
      </c>
      <c r="AB155" s="40">
        <v>1.81</v>
      </c>
      <c r="AC155" s="38">
        <v>3.68</v>
      </c>
      <c r="AD155" s="39">
        <v>1.556</v>
      </c>
      <c r="AE155" s="39">
        <v>2.8159999999999998</v>
      </c>
      <c r="AF155" s="36">
        <v>350</v>
      </c>
      <c r="AG155" s="36">
        <v>57</v>
      </c>
      <c r="AH155" s="45">
        <f t="shared" si="23"/>
        <v>2.0000000000000018E-2</v>
      </c>
      <c r="AI155" s="3">
        <f t="shared" si="19"/>
        <v>1810</v>
      </c>
      <c r="AJ155" s="44">
        <f t="shared" si="20"/>
        <v>0.18099999999999999</v>
      </c>
      <c r="AP155" s="46">
        <f t="shared" si="21"/>
        <v>3.4000000000000002E-2</v>
      </c>
    </row>
    <row r="156" spans="19:42" ht="18">
      <c r="S156" s="8">
        <f t="shared" si="22"/>
        <v>0</v>
      </c>
      <c r="W156" s="3">
        <v>182</v>
      </c>
      <c r="X156" s="30">
        <v>34.652999999999999</v>
      </c>
      <c r="Y156" s="33">
        <f t="shared" si="18"/>
        <v>3.5000000000000003E-2</v>
      </c>
      <c r="AA156" s="36">
        <v>32</v>
      </c>
      <c r="AB156" s="40">
        <v>1.82</v>
      </c>
      <c r="AC156" s="38">
        <v>3.68</v>
      </c>
      <c r="AD156" s="39">
        <v>1.5589999999999999</v>
      </c>
      <c r="AE156" s="39">
        <v>2.8370000000000002</v>
      </c>
      <c r="AF156" s="36">
        <v>351</v>
      </c>
      <c r="AG156" s="36">
        <v>57</v>
      </c>
      <c r="AH156" s="45">
        <f t="shared" si="23"/>
        <v>2.1000000000000352E-2</v>
      </c>
      <c r="AI156" s="3">
        <f t="shared" si="19"/>
        <v>1820</v>
      </c>
      <c r="AJ156" s="44">
        <f t="shared" si="20"/>
        <v>0.182</v>
      </c>
      <c r="AP156" s="46">
        <f t="shared" si="21"/>
        <v>3.5000000000000003E-2</v>
      </c>
    </row>
    <row r="157" spans="19:42" ht="18">
      <c r="S157" s="8">
        <f t="shared" si="22"/>
        <v>0</v>
      </c>
      <c r="W157" s="3">
        <v>183</v>
      </c>
      <c r="X157" s="30">
        <v>34.895000000000003</v>
      </c>
      <c r="Y157" s="33">
        <f t="shared" si="18"/>
        <v>3.5000000000000003E-2</v>
      </c>
      <c r="AA157" s="36">
        <v>32</v>
      </c>
      <c r="AB157" s="40">
        <v>1.83</v>
      </c>
      <c r="AC157" s="38">
        <v>3.68</v>
      </c>
      <c r="AD157" s="39">
        <v>1.5609999999999999</v>
      </c>
      <c r="AE157" s="39">
        <v>2.8570000000000002</v>
      </c>
      <c r="AF157" s="36">
        <v>353</v>
      </c>
      <c r="AG157" s="36">
        <v>57</v>
      </c>
      <c r="AH157" s="45">
        <f t="shared" si="23"/>
        <v>2.0000000000000018E-2</v>
      </c>
      <c r="AI157" s="3">
        <f t="shared" si="19"/>
        <v>1830</v>
      </c>
      <c r="AJ157" s="44">
        <f t="shared" si="20"/>
        <v>0.183</v>
      </c>
      <c r="AP157" s="46">
        <f t="shared" si="21"/>
        <v>3.5000000000000003E-2</v>
      </c>
    </row>
    <row r="158" spans="19:42" ht="18">
      <c r="S158" s="8">
        <f t="shared" si="22"/>
        <v>0</v>
      </c>
      <c r="W158" s="3">
        <v>184</v>
      </c>
      <c r="X158" s="30">
        <v>35.136000000000003</v>
      </c>
      <c r="Y158" s="33">
        <f t="shared" si="18"/>
        <v>3.5000000000000003E-2</v>
      </c>
      <c r="AA158" s="36">
        <v>33</v>
      </c>
      <c r="AB158" s="40">
        <v>1.84</v>
      </c>
      <c r="AC158" s="38">
        <v>3.79</v>
      </c>
      <c r="AD158" s="39">
        <v>1.5640000000000001</v>
      </c>
      <c r="AE158" s="39">
        <v>2.8759999999999999</v>
      </c>
      <c r="AF158" s="36">
        <v>343</v>
      </c>
      <c r="AG158" s="36">
        <v>56</v>
      </c>
      <c r="AH158" s="45">
        <f t="shared" si="23"/>
        <v>1.8999999999999684E-2</v>
      </c>
      <c r="AI158" s="3">
        <f t="shared" si="19"/>
        <v>1840</v>
      </c>
      <c r="AJ158" s="44">
        <f t="shared" si="20"/>
        <v>0.184</v>
      </c>
      <c r="AP158" s="46">
        <f t="shared" si="21"/>
        <v>3.5000000000000003E-2</v>
      </c>
    </row>
    <row r="159" spans="19:42" ht="18">
      <c r="S159" s="8">
        <f t="shared" si="22"/>
        <v>0</v>
      </c>
      <c r="W159" s="3">
        <v>185</v>
      </c>
      <c r="X159" s="30">
        <v>35.378</v>
      </c>
      <c r="Y159" s="33">
        <f t="shared" si="18"/>
        <v>3.5000000000000003E-2</v>
      </c>
      <c r="AA159" s="36">
        <v>33</v>
      </c>
      <c r="AB159" s="40">
        <v>1.85</v>
      </c>
      <c r="AC159" s="38">
        <v>3.79</v>
      </c>
      <c r="AD159" s="39">
        <v>1.5669999999999999</v>
      </c>
      <c r="AE159" s="39">
        <v>2.8980000000000001</v>
      </c>
      <c r="AF159" s="36">
        <v>344</v>
      </c>
      <c r="AG159" s="36">
        <v>56</v>
      </c>
      <c r="AH159" s="45">
        <f t="shared" si="23"/>
        <v>2.2000000000000242E-2</v>
      </c>
      <c r="AI159" s="3">
        <f t="shared" si="19"/>
        <v>1850</v>
      </c>
      <c r="AJ159" s="44">
        <f t="shared" si="20"/>
        <v>0.185</v>
      </c>
      <c r="AP159" s="46">
        <f t="shared" si="21"/>
        <v>3.5000000000000003E-2</v>
      </c>
    </row>
    <row r="160" spans="19:42" ht="18">
      <c r="S160" s="8">
        <f t="shared" si="22"/>
        <v>0</v>
      </c>
      <c r="W160" s="3">
        <v>186</v>
      </c>
      <c r="X160" s="30">
        <v>35.619</v>
      </c>
      <c r="Y160" s="33">
        <f t="shared" si="18"/>
        <v>3.5999999999999997E-2</v>
      </c>
      <c r="AA160" s="36">
        <v>33</v>
      </c>
      <c r="AB160" s="40">
        <v>1.86</v>
      </c>
      <c r="AC160" s="38">
        <v>3.79</v>
      </c>
      <c r="AD160" s="39">
        <v>1.569</v>
      </c>
      <c r="AE160" s="39">
        <v>2.919</v>
      </c>
      <c r="AF160" s="36">
        <v>346</v>
      </c>
      <c r="AG160" s="36">
        <v>56</v>
      </c>
      <c r="AH160" s="45">
        <f t="shared" si="23"/>
        <v>2.0999999999999908E-2</v>
      </c>
      <c r="AI160" s="3">
        <f t="shared" si="19"/>
        <v>1860</v>
      </c>
      <c r="AJ160" s="44">
        <f t="shared" si="20"/>
        <v>0.186</v>
      </c>
      <c r="AP160" s="46">
        <f t="shared" si="21"/>
        <v>3.5999999999999997E-2</v>
      </c>
    </row>
    <row r="161" spans="19:42" ht="18">
      <c r="S161" s="8">
        <f t="shared" si="22"/>
        <v>0</v>
      </c>
      <c r="W161" s="3">
        <v>187</v>
      </c>
      <c r="X161" s="30">
        <v>35.860999999999997</v>
      </c>
      <c r="Y161" s="33">
        <f t="shared" si="18"/>
        <v>3.5999999999999997E-2</v>
      </c>
      <c r="AA161" s="36">
        <v>33</v>
      </c>
      <c r="AB161" s="40">
        <v>1.87</v>
      </c>
      <c r="AC161" s="38">
        <v>3.79</v>
      </c>
      <c r="AD161" s="39">
        <v>1.5720000000000001</v>
      </c>
      <c r="AE161" s="39">
        <v>2.9390000000000001</v>
      </c>
      <c r="AF161" s="36">
        <v>347</v>
      </c>
      <c r="AG161" s="36">
        <v>57</v>
      </c>
      <c r="AH161" s="45">
        <f t="shared" si="23"/>
        <v>2.0000000000000018E-2</v>
      </c>
      <c r="AI161" s="3">
        <f t="shared" si="19"/>
        <v>1870</v>
      </c>
      <c r="AJ161" s="44">
        <f t="shared" si="20"/>
        <v>0.187</v>
      </c>
      <c r="AP161" s="46">
        <f t="shared" si="21"/>
        <v>3.5999999999999997E-2</v>
      </c>
    </row>
    <row r="162" spans="19:42" ht="18">
      <c r="S162" s="8">
        <f t="shared" si="22"/>
        <v>0</v>
      </c>
      <c r="W162" s="3">
        <v>188</v>
      </c>
      <c r="X162" s="30">
        <v>36.101999999999997</v>
      </c>
      <c r="Y162" s="33">
        <f t="shared" si="18"/>
        <v>3.5999999999999997E-2</v>
      </c>
      <c r="AA162" s="36">
        <v>33</v>
      </c>
      <c r="AB162" s="40">
        <v>1.88</v>
      </c>
      <c r="AC162" s="38">
        <v>3.79</v>
      </c>
      <c r="AD162" s="39">
        <v>1.5740000000000001</v>
      </c>
      <c r="AE162" s="39">
        <v>2.9590000000000001</v>
      </c>
      <c r="AF162" s="36">
        <v>348</v>
      </c>
      <c r="AG162" s="36">
        <v>57</v>
      </c>
      <c r="AH162" s="45">
        <f t="shared" si="23"/>
        <v>2.0000000000000018E-2</v>
      </c>
      <c r="AI162" s="3">
        <f t="shared" si="19"/>
        <v>1880</v>
      </c>
      <c r="AJ162" s="44">
        <f t="shared" si="20"/>
        <v>0.188</v>
      </c>
      <c r="AP162" s="46">
        <f t="shared" si="21"/>
        <v>3.5999999999999997E-2</v>
      </c>
    </row>
    <row r="163" spans="19:42" ht="18">
      <c r="S163" s="8">
        <f t="shared" si="22"/>
        <v>0</v>
      </c>
      <c r="W163" s="3">
        <v>189</v>
      </c>
      <c r="X163" s="30">
        <v>36.344000000000001</v>
      </c>
      <c r="Y163" s="33">
        <f t="shared" si="18"/>
        <v>3.5999999999999997E-2</v>
      </c>
      <c r="AA163" s="36">
        <v>33</v>
      </c>
      <c r="AB163" s="40">
        <v>1.89</v>
      </c>
      <c r="AC163" s="38">
        <v>3.79</v>
      </c>
      <c r="AD163" s="39">
        <v>1.577</v>
      </c>
      <c r="AE163" s="39">
        <v>2.98</v>
      </c>
      <c r="AF163" s="36">
        <v>349</v>
      </c>
      <c r="AG163" s="36">
        <v>57</v>
      </c>
      <c r="AH163" s="45">
        <f t="shared" si="23"/>
        <v>2.0999999999999908E-2</v>
      </c>
      <c r="AI163" s="3">
        <f t="shared" si="19"/>
        <v>1890</v>
      </c>
      <c r="AJ163" s="44">
        <f t="shared" si="20"/>
        <v>0.189</v>
      </c>
      <c r="AP163" s="46">
        <f t="shared" si="21"/>
        <v>3.5999999999999997E-2</v>
      </c>
    </row>
    <row r="164" spans="19:42" ht="18">
      <c r="S164" s="8">
        <f t="shared" si="22"/>
        <v>0</v>
      </c>
      <c r="W164" s="3">
        <v>190</v>
      </c>
      <c r="X164" s="30">
        <v>36.585000000000001</v>
      </c>
      <c r="Y164" s="33">
        <f t="shared" si="18"/>
        <v>3.6999999999999998E-2</v>
      </c>
      <c r="AA164" s="36">
        <v>33</v>
      </c>
      <c r="AB164" s="40">
        <v>1.9</v>
      </c>
      <c r="AC164" s="38">
        <v>3.79</v>
      </c>
      <c r="AD164" s="39">
        <v>1.579</v>
      </c>
      <c r="AE164" s="39">
        <v>3.0009999999999999</v>
      </c>
      <c r="AF164" s="36">
        <v>351</v>
      </c>
      <c r="AG164" s="36">
        <v>58</v>
      </c>
      <c r="AH164" s="45">
        <f t="shared" si="23"/>
        <v>2.0999999999999908E-2</v>
      </c>
      <c r="AI164" s="3">
        <f t="shared" si="19"/>
        <v>1900</v>
      </c>
      <c r="AJ164" s="44">
        <f t="shared" si="20"/>
        <v>0.19</v>
      </c>
      <c r="AP164" s="46">
        <f t="shared" si="21"/>
        <v>3.6999999999999998E-2</v>
      </c>
    </row>
    <row r="165" spans="19:42" ht="18">
      <c r="S165" s="8">
        <f t="shared" si="22"/>
        <v>0</v>
      </c>
      <c r="W165" s="3">
        <v>191</v>
      </c>
      <c r="X165" s="30">
        <v>36.826999999999998</v>
      </c>
      <c r="Y165" s="33">
        <f t="shared" si="18"/>
        <v>3.6999999999999998E-2</v>
      </c>
      <c r="AA165" s="36">
        <v>33</v>
      </c>
      <c r="AB165" s="40">
        <v>1.91</v>
      </c>
      <c r="AC165" s="38">
        <v>3.79</v>
      </c>
      <c r="AD165" s="39">
        <v>1.5820000000000001</v>
      </c>
      <c r="AE165" s="39">
        <v>3.0209999999999999</v>
      </c>
      <c r="AF165" s="36">
        <v>352</v>
      </c>
      <c r="AG165" s="36">
        <v>58</v>
      </c>
      <c r="AH165" s="45">
        <f t="shared" si="23"/>
        <v>2.0000000000000018E-2</v>
      </c>
      <c r="AI165" s="3">
        <f t="shared" si="19"/>
        <v>1910</v>
      </c>
      <c r="AJ165" s="44">
        <f t="shared" si="20"/>
        <v>0.191</v>
      </c>
      <c r="AP165" s="46">
        <f t="shared" si="21"/>
        <v>3.6999999999999998E-2</v>
      </c>
    </row>
    <row r="166" spans="19:42" ht="18">
      <c r="S166" s="8">
        <f t="shared" si="22"/>
        <v>0</v>
      </c>
      <c r="W166" s="3">
        <v>192</v>
      </c>
      <c r="X166" s="30">
        <v>37.067999999999998</v>
      </c>
      <c r="Y166" s="33">
        <f t="shared" si="18"/>
        <v>3.6999999999999998E-2</v>
      </c>
      <c r="AA166" s="36">
        <v>33</v>
      </c>
      <c r="AB166" s="40">
        <v>1.92</v>
      </c>
      <c r="AC166" s="38">
        <v>3.79</v>
      </c>
      <c r="AD166" s="39">
        <v>1.5840000000000001</v>
      </c>
      <c r="AE166" s="39">
        <v>3.0419999999999998</v>
      </c>
      <c r="AF166" s="36">
        <v>353</v>
      </c>
      <c r="AG166" s="36">
        <v>58</v>
      </c>
      <c r="AH166" s="45">
        <f t="shared" si="23"/>
        <v>2.0999999999999908E-2</v>
      </c>
      <c r="AI166" s="3">
        <f t="shared" si="19"/>
        <v>1920</v>
      </c>
      <c r="AJ166" s="44">
        <f t="shared" si="20"/>
        <v>0.192</v>
      </c>
      <c r="AP166" s="46">
        <f t="shared" si="21"/>
        <v>3.6999999999999998E-2</v>
      </c>
    </row>
    <row r="167" spans="19:42" ht="18">
      <c r="S167" s="8">
        <f t="shared" si="22"/>
        <v>0</v>
      </c>
      <c r="W167" s="3">
        <v>193</v>
      </c>
      <c r="X167" s="30">
        <v>37.31</v>
      </c>
      <c r="Y167" s="33">
        <f t="shared" si="18"/>
        <v>3.6999999999999998E-2</v>
      </c>
      <c r="AA167" s="36">
        <v>34</v>
      </c>
      <c r="AB167" s="40">
        <v>1.93</v>
      </c>
      <c r="AC167" s="38">
        <v>3.89</v>
      </c>
      <c r="AD167" s="39">
        <v>1.587</v>
      </c>
      <c r="AE167" s="39">
        <v>3.06</v>
      </c>
      <c r="AF167" s="36">
        <v>343</v>
      </c>
      <c r="AG167" s="36">
        <v>57</v>
      </c>
      <c r="AH167" s="45">
        <f t="shared" si="23"/>
        <v>1.8000000000000238E-2</v>
      </c>
      <c r="AI167" s="3">
        <f t="shared" si="19"/>
        <v>1930</v>
      </c>
      <c r="AJ167" s="44">
        <f t="shared" si="20"/>
        <v>0.193</v>
      </c>
      <c r="AP167" s="46">
        <f t="shared" si="21"/>
        <v>3.6999999999999998E-2</v>
      </c>
    </row>
    <row r="168" spans="19:42" ht="18">
      <c r="S168" s="8">
        <f t="shared" si="22"/>
        <v>0</v>
      </c>
      <c r="W168" s="3">
        <v>194</v>
      </c>
      <c r="X168" s="30">
        <v>37.551000000000002</v>
      </c>
      <c r="Y168" s="33">
        <f t="shared" si="18"/>
        <v>3.7999999999999999E-2</v>
      </c>
      <c r="AA168" s="36">
        <v>34</v>
      </c>
      <c r="AB168" s="40">
        <v>1.94</v>
      </c>
      <c r="AC168" s="38">
        <v>3.89</v>
      </c>
      <c r="AD168" s="39">
        <v>1.59</v>
      </c>
      <c r="AE168" s="39">
        <v>3.0840000000000001</v>
      </c>
      <c r="AF168" s="36">
        <v>345</v>
      </c>
      <c r="AG168" s="36">
        <v>57</v>
      </c>
      <c r="AH168" s="45">
        <f t="shared" si="23"/>
        <v>2.4000000000000021E-2</v>
      </c>
      <c r="AI168" s="3">
        <f t="shared" si="19"/>
        <v>1940</v>
      </c>
      <c r="AJ168" s="44">
        <f t="shared" si="20"/>
        <v>0.19400000000000001</v>
      </c>
      <c r="AP168" s="46">
        <f t="shared" si="21"/>
        <v>3.7999999999999999E-2</v>
      </c>
    </row>
    <row r="169" spans="19:42" ht="18">
      <c r="S169" s="8">
        <f t="shared" si="22"/>
        <v>0</v>
      </c>
      <c r="W169" s="3">
        <v>195</v>
      </c>
      <c r="X169" s="30">
        <v>37.792999999999999</v>
      </c>
      <c r="Y169" s="33">
        <f t="shared" si="18"/>
        <v>3.7999999999999999E-2</v>
      </c>
      <c r="AA169" s="36">
        <v>34</v>
      </c>
      <c r="AB169" s="40">
        <v>1.95</v>
      </c>
      <c r="AC169" s="38">
        <v>3.89</v>
      </c>
      <c r="AD169" s="39">
        <v>1.5920000000000001</v>
      </c>
      <c r="AE169" s="39">
        <v>3.105</v>
      </c>
      <c r="AF169" s="36">
        <v>346</v>
      </c>
      <c r="AG169" s="36">
        <v>57</v>
      </c>
      <c r="AH169" s="45">
        <f t="shared" si="23"/>
        <v>2.0999999999999908E-2</v>
      </c>
      <c r="AI169" s="3">
        <f t="shared" si="19"/>
        <v>1950</v>
      </c>
      <c r="AJ169" s="44">
        <f t="shared" si="20"/>
        <v>0.19500000000000001</v>
      </c>
      <c r="AP169" s="46">
        <f t="shared" si="21"/>
        <v>3.7999999999999999E-2</v>
      </c>
    </row>
    <row r="170" spans="19:42" ht="18">
      <c r="S170" s="8">
        <f t="shared" si="22"/>
        <v>0</v>
      </c>
      <c r="W170" s="3">
        <v>196</v>
      </c>
      <c r="X170" s="30">
        <v>38.033999999999999</v>
      </c>
      <c r="Y170" s="33">
        <f t="shared" si="18"/>
        <v>3.7999999999999999E-2</v>
      </c>
      <c r="AA170" s="36">
        <v>34</v>
      </c>
      <c r="AB170" s="40">
        <v>1.96</v>
      </c>
      <c r="AC170" s="38">
        <v>3.89</v>
      </c>
      <c r="AD170" s="39">
        <v>1.595</v>
      </c>
      <c r="AE170" s="39">
        <v>3.1259999999999999</v>
      </c>
      <c r="AF170" s="36">
        <v>347</v>
      </c>
      <c r="AG170" s="36">
        <v>58</v>
      </c>
      <c r="AH170" s="45">
        <f t="shared" si="23"/>
        <v>2.0999999999999908E-2</v>
      </c>
      <c r="AI170" s="3">
        <f t="shared" si="19"/>
        <v>1960</v>
      </c>
      <c r="AJ170" s="44">
        <f t="shared" si="20"/>
        <v>0.19600000000000001</v>
      </c>
      <c r="AP170" s="46">
        <f t="shared" si="21"/>
        <v>3.7999999999999999E-2</v>
      </c>
    </row>
    <row r="171" spans="19:42" ht="18">
      <c r="S171" s="8">
        <f t="shared" si="22"/>
        <v>0</v>
      </c>
      <c r="W171" s="3">
        <v>197</v>
      </c>
      <c r="X171" s="30">
        <v>38.276000000000003</v>
      </c>
      <c r="Y171" s="33">
        <f t="shared" si="18"/>
        <v>3.7999999999999999E-2</v>
      </c>
      <c r="AA171" s="36">
        <v>34</v>
      </c>
      <c r="AB171" s="40">
        <v>1.97</v>
      </c>
      <c r="AC171" s="38">
        <v>3.89</v>
      </c>
      <c r="AD171" s="39">
        <v>1.5980000000000001</v>
      </c>
      <c r="AE171" s="39">
        <v>3.1469999999999998</v>
      </c>
      <c r="AF171" s="36">
        <v>349</v>
      </c>
      <c r="AG171" s="36">
        <v>58</v>
      </c>
      <c r="AH171" s="45">
        <f t="shared" si="23"/>
        <v>2.0999999999999908E-2</v>
      </c>
      <c r="AI171" s="3">
        <f t="shared" si="19"/>
        <v>1970</v>
      </c>
      <c r="AJ171" s="44">
        <f t="shared" si="20"/>
        <v>0.19700000000000001</v>
      </c>
      <c r="AP171" s="46">
        <f t="shared" si="21"/>
        <v>3.7999999999999999E-2</v>
      </c>
    </row>
    <row r="172" spans="19:42" ht="18">
      <c r="S172" s="8">
        <f t="shared" si="22"/>
        <v>0</v>
      </c>
      <c r="W172" s="3">
        <v>198</v>
      </c>
      <c r="X172" s="30">
        <v>38.517000000000003</v>
      </c>
      <c r="Y172" s="33">
        <f t="shared" si="18"/>
        <v>3.9E-2</v>
      </c>
      <c r="AA172" s="36">
        <v>34</v>
      </c>
      <c r="AB172" s="40">
        <v>1.98</v>
      </c>
      <c r="AC172" s="38">
        <v>3.89</v>
      </c>
      <c r="AD172" s="39">
        <v>1.6</v>
      </c>
      <c r="AE172" s="39">
        <v>3.169</v>
      </c>
      <c r="AF172" s="36">
        <v>350</v>
      </c>
      <c r="AG172" s="36">
        <v>58</v>
      </c>
      <c r="AH172" s="45">
        <f t="shared" si="23"/>
        <v>2.2000000000000242E-2</v>
      </c>
      <c r="AI172" s="3">
        <f t="shared" si="19"/>
        <v>1980</v>
      </c>
      <c r="AJ172" s="44">
        <f t="shared" si="20"/>
        <v>0.19800000000000001</v>
      </c>
      <c r="AP172" s="46">
        <f t="shared" si="21"/>
        <v>3.9E-2</v>
      </c>
    </row>
    <row r="173" spans="19:42" ht="18">
      <c r="S173" s="8">
        <f t="shared" si="22"/>
        <v>0</v>
      </c>
      <c r="W173" s="3">
        <v>199</v>
      </c>
      <c r="X173" s="30">
        <v>38.759</v>
      </c>
      <c r="Y173" s="33">
        <f t="shared" si="18"/>
        <v>3.9E-2</v>
      </c>
      <c r="AA173" s="36">
        <v>34</v>
      </c>
      <c r="AB173" s="40">
        <v>1.99</v>
      </c>
      <c r="AC173" s="38">
        <v>3.89</v>
      </c>
      <c r="AD173" s="39">
        <v>1.603</v>
      </c>
      <c r="AE173" s="39">
        <v>3.19</v>
      </c>
      <c r="AF173" s="36">
        <v>351</v>
      </c>
      <c r="AG173" s="36">
        <v>59</v>
      </c>
      <c r="AH173" s="45">
        <f t="shared" si="23"/>
        <v>2.0999999999999908E-2</v>
      </c>
      <c r="AI173" s="3">
        <f t="shared" si="19"/>
        <v>1990</v>
      </c>
      <c r="AJ173" s="44">
        <f t="shared" si="20"/>
        <v>0.19900000000000001</v>
      </c>
      <c r="AP173" s="46">
        <f t="shared" si="21"/>
        <v>3.9E-2</v>
      </c>
    </row>
    <row r="174" spans="19:42" ht="18">
      <c r="S174" s="8">
        <f t="shared" si="22"/>
        <v>0</v>
      </c>
      <c r="W174" s="3">
        <v>200</v>
      </c>
      <c r="X174" s="30">
        <v>39</v>
      </c>
      <c r="Y174" s="33">
        <f t="shared" si="18"/>
        <v>3.9E-2</v>
      </c>
      <c r="AA174" s="36">
        <v>34</v>
      </c>
      <c r="AB174" s="40">
        <v>2</v>
      </c>
      <c r="AC174" s="38">
        <v>3.89</v>
      </c>
      <c r="AD174" s="39">
        <v>1.6060000000000001</v>
      </c>
      <c r="AE174" s="39">
        <v>3.2109999999999999</v>
      </c>
      <c r="AF174" s="36">
        <v>352</v>
      </c>
      <c r="AG174" s="36">
        <v>59</v>
      </c>
      <c r="AH174" s="45">
        <f t="shared" si="23"/>
        <v>2.0999999999999908E-2</v>
      </c>
      <c r="AI174" s="3">
        <f t="shared" si="19"/>
        <v>2000</v>
      </c>
      <c r="AJ174" s="44">
        <f t="shared" si="20"/>
        <v>0.2</v>
      </c>
      <c r="AP174" s="46">
        <f t="shared" si="21"/>
        <v>3.9E-2</v>
      </c>
    </row>
    <row r="175" spans="19:42" ht="18">
      <c r="S175" s="8">
        <f t="shared" si="22"/>
        <v>0</v>
      </c>
      <c r="W175" s="3">
        <v>201</v>
      </c>
      <c r="X175" s="30">
        <v>39.024999999999999</v>
      </c>
      <c r="Y175" s="33">
        <f t="shared" si="18"/>
        <v>3.9E-2</v>
      </c>
      <c r="AA175" s="36">
        <v>34</v>
      </c>
      <c r="AB175" s="40">
        <v>2.0099999999999998</v>
      </c>
      <c r="AC175" s="38">
        <v>3.89</v>
      </c>
      <c r="AD175" s="39">
        <v>1.6080000000000001</v>
      </c>
      <c r="AE175" s="39">
        <v>3.2330000000000001</v>
      </c>
      <c r="AF175" s="36">
        <v>353</v>
      </c>
      <c r="AG175" s="36">
        <v>59</v>
      </c>
      <c r="AH175" s="45">
        <f t="shared" si="23"/>
        <v>2.2000000000000242E-2</v>
      </c>
      <c r="AI175" s="3">
        <f t="shared" si="19"/>
        <v>2009.9999999999998</v>
      </c>
      <c r="AJ175" s="44">
        <f t="shared" si="20"/>
        <v>0.20100000000000001</v>
      </c>
      <c r="AP175" s="46">
        <f t="shared" si="21"/>
        <v>3.9E-2</v>
      </c>
    </row>
    <row r="176" spans="19:42" ht="18">
      <c r="S176" s="8">
        <f t="shared" si="22"/>
        <v>0</v>
      </c>
      <c r="W176" s="3">
        <v>202</v>
      </c>
      <c r="X176" s="30">
        <v>39.049999999999997</v>
      </c>
      <c r="Y176" s="33">
        <f t="shared" si="18"/>
        <v>3.9E-2</v>
      </c>
      <c r="AA176" s="36">
        <v>35</v>
      </c>
      <c r="AB176" s="40">
        <v>2.02</v>
      </c>
      <c r="AC176" s="38">
        <v>4</v>
      </c>
      <c r="AD176" s="39">
        <v>1.611</v>
      </c>
      <c r="AE176" s="39">
        <v>3.2490000000000001</v>
      </c>
      <c r="AF176" s="36">
        <v>343</v>
      </c>
      <c r="AG176" s="36">
        <v>58</v>
      </c>
      <c r="AH176" s="45">
        <f t="shared" si="23"/>
        <v>1.6000000000000014E-2</v>
      </c>
      <c r="AI176" s="3">
        <f t="shared" si="19"/>
        <v>2020</v>
      </c>
      <c r="AJ176" s="44">
        <f t="shared" si="20"/>
        <v>0.20200000000000001</v>
      </c>
      <c r="AP176" s="46">
        <f t="shared" si="21"/>
        <v>3.9E-2</v>
      </c>
    </row>
    <row r="177" spans="19:42" ht="18">
      <c r="S177" s="8">
        <f t="shared" si="22"/>
        <v>0</v>
      </c>
      <c r="W177" s="3">
        <v>203</v>
      </c>
      <c r="X177" s="30">
        <v>39.075000000000003</v>
      </c>
      <c r="Y177" s="33">
        <f t="shared" si="18"/>
        <v>3.9E-2</v>
      </c>
      <c r="AA177" s="36">
        <v>35</v>
      </c>
      <c r="AB177" s="40">
        <v>2.0299999999999998</v>
      </c>
      <c r="AC177" s="38">
        <v>4</v>
      </c>
      <c r="AD177" s="39">
        <v>1.6140000000000001</v>
      </c>
      <c r="AE177" s="39">
        <v>3.2759999999999998</v>
      </c>
      <c r="AF177" s="36">
        <v>345</v>
      </c>
      <c r="AG177" s="36">
        <v>58</v>
      </c>
      <c r="AH177" s="45">
        <f t="shared" si="23"/>
        <v>2.6999999999999691E-2</v>
      </c>
      <c r="AI177" s="3">
        <f t="shared" si="19"/>
        <v>2029.9999999999998</v>
      </c>
      <c r="AJ177" s="44">
        <f t="shared" si="20"/>
        <v>0.20300000000000001</v>
      </c>
      <c r="AP177" s="46">
        <f t="shared" si="21"/>
        <v>3.9E-2</v>
      </c>
    </row>
    <row r="178" spans="19:42" ht="18">
      <c r="S178" s="8">
        <f t="shared" si="22"/>
        <v>0</v>
      </c>
      <c r="W178" s="3">
        <v>204</v>
      </c>
      <c r="X178" s="30">
        <v>39.1</v>
      </c>
      <c r="Y178" s="33">
        <f t="shared" si="18"/>
        <v>3.9E-2</v>
      </c>
      <c r="AA178" s="36">
        <v>35</v>
      </c>
      <c r="AB178" s="40">
        <v>2.04</v>
      </c>
      <c r="AC178" s="38">
        <v>4</v>
      </c>
      <c r="AD178" s="39">
        <v>1.6160000000000001</v>
      </c>
      <c r="AE178" s="39">
        <v>3.2970000000000002</v>
      </c>
      <c r="AF178" s="36">
        <v>346</v>
      </c>
      <c r="AG178" s="36">
        <v>58</v>
      </c>
      <c r="AH178" s="45">
        <f t="shared" si="23"/>
        <v>2.1000000000000352E-2</v>
      </c>
      <c r="AI178" s="3">
        <f t="shared" si="19"/>
        <v>2040</v>
      </c>
      <c r="AJ178" s="44">
        <f t="shared" si="20"/>
        <v>0.20399999999999999</v>
      </c>
      <c r="AP178" s="46">
        <f t="shared" si="21"/>
        <v>3.9E-2</v>
      </c>
    </row>
    <row r="179" spans="19:42" ht="18">
      <c r="S179" s="8">
        <f t="shared" si="22"/>
        <v>0</v>
      </c>
      <c r="W179" s="3">
        <v>205</v>
      </c>
      <c r="X179" s="30">
        <v>39.125</v>
      </c>
      <c r="Y179" s="33">
        <f t="shared" si="18"/>
        <v>3.9E-2</v>
      </c>
      <c r="AA179" s="36">
        <v>35</v>
      </c>
      <c r="AB179" s="40">
        <v>2.0499999999999998</v>
      </c>
      <c r="AC179" s="38">
        <v>4</v>
      </c>
      <c r="AD179" s="39">
        <v>1.619</v>
      </c>
      <c r="AE179" s="39">
        <v>3.319</v>
      </c>
      <c r="AF179" s="36">
        <v>347</v>
      </c>
      <c r="AG179" s="36">
        <v>59</v>
      </c>
      <c r="AH179" s="45">
        <f t="shared" si="23"/>
        <v>2.1999999999999797E-2</v>
      </c>
      <c r="AI179" s="3">
        <f t="shared" si="19"/>
        <v>2050</v>
      </c>
      <c r="AJ179" s="44">
        <f t="shared" si="20"/>
        <v>0.20499999999999999</v>
      </c>
      <c r="AP179" s="46">
        <f t="shared" si="21"/>
        <v>3.9E-2</v>
      </c>
    </row>
    <row r="180" spans="19:42" ht="18">
      <c r="S180" s="8">
        <f t="shared" si="22"/>
        <v>0</v>
      </c>
      <c r="W180" s="3">
        <v>206</v>
      </c>
      <c r="X180" s="30">
        <v>39.15</v>
      </c>
      <c r="Y180" s="33">
        <f t="shared" si="18"/>
        <v>3.9E-2</v>
      </c>
      <c r="AA180" s="36">
        <v>35</v>
      </c>
      <c r="AB180" s="40">
        <v>2.06</v>
      </c>
      <c r="AC180" s="38">
        <v>4</v>
      </c>
      <c r="AD180" s="39">
        <v>1.6220000000000001</v>
      </c>
      <c r="AE180" s="39">
        <v>3.34</v>
      </c>
      <c r="AF180" s="36">
        <v>348</v>
      </c>
      <c r="AG180" s="36">
        <v>59</v>
      </c>
      <c r="AH180" s="45">
        <f t="shared" si="23"/>
        <v>2.0999999999999908E-2</v>
      </c>
      <c r="AI180" s="3">
        <f t="shared" si="19"/>
        <v>2060</v>
      </c>
      <c r="AJ180" s="44">
        <f t="shared" si="20"/>
        <v>0.20599999999999999</v>
      </c>
      <c r="AP180" s="46">
        <f t="shared" si="21"/>
        <v>3.9E-2</v>
      </c>
    </row>
    <row r="181" spans="19:42" ht="18">
      <c r="S181" s="8">
        <f t="shared" si="22"/>
        <v>0</v>
      </c>
      <c r="W181" s="3">
        <v>207</v>
      </c>
      <c r="X181" s="30">
        <v>39.174999999999997</v>
      </c>
      <c r="Y181" s="33">
        <f t="shared" si="18"/>
        <v>3.9E-2</v>
      </c>
      <c r="AA181" s="36">
        <v>35</v>
      </c>
      <c r="AB181" s="41">
        <v>2.0699999999999998</v>
      </c>
      <c r="AC181" s="42">
        <v>4</v>
      </c>
      <c r="AD181" s="43">
        <v>1.6240000000000001</v>
      </c>
      <c r="AE181" s="39">
        <v>3.3620000000000001</v>
      </c>
      <c r="AF181" s="36">
        <v>350</v>
      </c>
      <c r="AG181" s="36">
        <v>59</v>
      </c>
      <c r="AH181" s="45">
        <f t="shared" si="23"/>
        <v>2.2000000000000242E-2</v>
      </c>
      <c r="AI181" s="3">
        <f t="shared" si="19"/>
        <v>2070</v>
      </c>
      <c r="AJ181" s="44">
        <f t="shared" si="20"/>
        <v>0.20699999999999999</v>
      </c>
      <c r="AP181" s="46">
        <f t="shared" si="21"/>
        <v>3.9E-2</v>
      </c>
    </row>
    <row r="182" spans="19:42" ht="18">
      <c r="S182" s="8">
        <f t="shared" si="22"/>
        <v>0</v>
      </c>
      <c r="W182" s="3">
        <v>208</v>
      </c>
      <c r="X182" s="30">
        <v>39.200000000000003</v>
      </c>
      <c r="Y182" s="33">
        <f t="shared" si="18"/>
        <v>3.9E-2</v>
      </c>
      <c r="AA182" s="36">
        <v>35</v>
      </c>
      <c r="AB182" s="41">
        <v>2.08</v>
      </c>
      <c r="AC182" s="42">
        <v>4</v>
      </c>
      <c r="AD182" s="43">
        <v>1.627</v>
      </c>
      <c r="AE182" s="39">
        <v>3.3839999999999999</v>
      </c>
      <c r="AF182" s="36">
        <v>351</v>
      </c>
      <c r="AG182" s="36">
        <v>59</v>
      </c>
      <c r="AH182" s="45">
        <f t="shared" si="23"/>
        <v>2.1999999999999797E-2</v>
      </c>
      <c r="AI182" s="3">
        <f t="shared" si="19"/>
        <v>2080</v>
      </c>
      <c r="AJ182" s="44">
        <f t="shared" si="20"/>
        <v>0.20799999999999999</v>
      </c>
      <c r="AP182" s="46">
        <f t="shared" si="21"/>
        <v>3.9E-2</v>
      </c>
    </row>
    <row r="183" spans="19:42" ht="18">
      <c r="S183" s="8">
        <f t="shared" si="22"/>
        <v>0</v>
      </c>
      <c r="W183" s="3">
        <v>209</v>
      </c>
      <c r="X183" s="30">
        <v>39.225000000000001</v>
      </c>
      <c r="Y183" s="33">
        <f t="shared" si="18"/>
        <v>3.9E-2</v>
      </c>
      <c r="AA183" s="36">
        <v>35</v>
      </c>
      <c r="AB183" s="40">
        <v>2.09</v>
      </c>
      <c r="AC183" s="38">
        <v>4</v>
      </c>
      <c r="AD183" s="39">
        <v>1.629</v>
      </c>
      <c r="AE183" s="39">
        <v>3.4049999999999998</v>
      </c>
      <c r="AF183" s="36">
        <v>352</v>
      </c>
      <c r="AG183" s="36">
        <v>60</v>
      </c>
      <c r="AH183" s="45">
        <f t="shared" si="23"/>
        <v>2.0999999999999908E-2</v>
      </c>
      <c r="AI183" s="3">
        <f t="shared" si="19"/>
        <v>2090</v>
      </c>
      <c r="AJ183" s="44">
        <f t="shared" si="20"/>
        <v>0.20899999999999999</v>
      </c>
      <c r="AP183" s="46">
        <f t="shared" si="21"/>
        <v>3.9E-2</v>
      </c>
    </row>
    <row r="184" spans="19:42" ht="18">
      <c r="S184" s="8">
        <f t="shared" si="22"/>
        <v>0</v>
      </c>
      <c r="W184" s="3">
        <v>210</v>
      </c>
      <c r="X184" s="30">
        <v>39.25</v>
      </c>
      <c r="Y184" s="33">
        <f t="shared" si="18"/>
        <v>3.9E-2</v>
      </c>
      <c r="AA184" s="36">
        <v>36</v>
      </c>
      <c r="AB184" s="40">
        <v>2.1</v>
      </c>
      <c r="AC184" s="38">
        <v>4.1399999999999997</v>
      </c>
      <c r="AD184" s="39">
        <v>1.6319999999999999</v>
      </c>
      <c r="AE184" s="39">
        <v>3.4340000000000002</v>
      </c>
      <c r="AF184" s="36">
        <v>343</v>
      </c>
      <c r="AG184" s="36">
        <v>58</v>
      </c>
      <c r="AH184" s="45">
        <f t="shared" si="23"/>
        <v>2.9000000000000359E-2</v>
      </c>
      <c r="AI184" s="3">
        <f t="shared" si="19"/>
        <v>2100</v>
      </c>
      <c r="AJ184" s="44">
        <f t="shared" si="20"/>
        <v>0.21</v>
      </c>
      <c r="AP184" s="46">
        <f t="shared" si="21"/>
        <v>3.9E-2</v>
      </c>
    </row>
    <row r="185" spans="19:42" ht="18">
      <c r="S185" s="8">
        <f t="shared" si="22"/>
        <v>0</v>
      </c>
      <c r="W185" s="3">
        <v>211</v>
      </c>
      <c r="X185" s="30">
        <v>39.274999999999999</v>
      </c>
      <c r="Y185" s="33">
        <f t="shared" si="18"/>
        <v>3.9E-2</v>
      </c>
      <c r="AA185" s="36">
        <v>36</v>
      </c>
      <c r="AB185" s="40">
        <v>2.11</v>
      </c>
      <c r="AC185" s="38">
        <v>4.1399999999999997</v>
      </c>
      <c r="AD185" s="39">
        <v>1.6339999999999999</v>
      </c>
      <c r="AE185" s="39">
        <v>3.448</v>
      </c>
      <c r="AF185" s="36">
        <v>344</v>
      </c>
      <c r="AG185" s="36">
        <v>59</v>
      </c>
      <c r="AH185" s="45">
        <f t="shared" si="23"/>
        <v>1.399999999999979E-2</v>
      </c>
      <c r="AI185" s="3">
        <f t="shared" si="19"/>
        <v>2110</v>
      </c>
      <c r="AJ185" s="44">
        <f t="shared" si="20"/>
        <v>0.21099999999999999</v>
      </c>
      <c r="AP185" s="46">
        <f t="shared" si="21"/>
        <v>3.9E-2</v>
      </c>
    </row>
    <row r="186" spans="19:42" ht="18">
      <c r="S186" s="8">
        <f t="shared" si="22"/>
        <v>0</v>
      </c>
      <c r="W186" s="3">
        <v>212</v>
      </c>
      <c r="X186" s="30">
        <v>39.299999999999997</v>
      </c>
      <c r="Y186" s="33">
        <f t="shared" si="18"/>
        <v>3.9E-2</v>
      </c>
      <c r="AA186" s="36">
        <v>36</v>
      </c>
      <c r="AB186" s="40">
        <v>2.12</v>
      </c>
      <c r="AC186" s="38">
        <v>4.1399999999999997</v>
      </c>
      <c r="AD186" s="39">
        <v>1.637</v>
      </c>
      <c r="AE186" s="39">
        <v>3.47</v>
      </c>
      <c r="AF186" s="36">
        <v>345</v>
      </c>
      <c r="AG186" s="36">
        <v>59</v>
      </c>
      <c r="AH186" s="45">
        <f t="shared" si="23"/>
        <v>2.2000000000000242E-2</v>
      </c>
      <c r="AI186" s="3">
        <f t="shared" si="19"/>
        <v>2120</v>
      </c>
      <c r="AJ186" s="44">
        <f t="shared" si="20"/>
        <v>0.21199999999999999</v>
      </c>
      <c r="AP186" s="46">
        <f t="shared" si="21"/>
        <v>3.9E-2</v>
      </c>
    </row>
    <row r="187" spans="19:42" ht="18">
      <c r="S187" s="8">
        <f t="shared" si="22"/>
        <v>0</v>
      </c>
      <c r="W187" s="3">
        <v>213</v>
      </c>
      <c r="X187" s="30">
        <v>39.325000000000003</v>
      </c>
      <c r="Y187" s="33">
        <f t="shared" si="18"/>
        <v>3.9E-2</v>
      </c>
      <c r="AA187" s="36">
        <v>36</v>
      </c>
      <c r="AB187" s="40">
        <v>2.13</v>
      </c>
      <c r="AC187" s="38">
        <v>4.1399999999999997</v>
      </c>
      <c r="AD187" s="39">
        <v>1.639</v>
      </c>
      <c r="AE187" s="39">
        <v>3.4910000000000001</v>
      </c>
      <c r="AF187" s="36">
        <v>346</v>
      </c>
      <c r="AG187" s="36">
        <v>59</v>
      </c>
      <c r="AH187" s="45">
        <f t="shared" si="23"/>
        <v>2.0999999999999908E-2</v>
      </c>
      <c r="AI187" s="3">
        <f t="shared" si="19"/>
        <v>2130</v>
      </c>
      <c r="AJ187" s="44">
        <f t="shared" si="20"/>
        <v>0.21299999999999999</v>
      </c>
      <c r="AP187" s="46">
        <f t="shared" si="21"/>
        <v>3.9E-2</v>
      </c>
    </row>
    <row r="188" spans="19:42" ht="18">
      <c r="S188" s="8">
        <f t="shared" si="22"/>
        <v>0</v>
      </c>
      <c r="W188" s="3">
        <v>214</v>
      </c>
      <c r="X188" s="30">
        <v>39.35</v>
      </c>
      <c r="Y188" s="33">
        <f t="shared" si="18"/>
        <v>3.9E-2</v>
      </c>
      <c r="AA188" s="36">
        <v>36</v>
      </c>
      <c r="AB188" s="40">
        <v>2.14</v>
      </c>
      <c r="AC188" s="38">
        <v>4.1399999999999997</v>
      </c>
      <c r="AD188" s="39">
        <v>1.641</v>
      </c>
      <c r="AE188" s="39">
        <v>3.512</v>
      </c>
      <c r="AF188" s="36">
        <v>347</v>
      </c>
      <c r="AG188" s="36">
        <v>59</v>
      </c>
      <c r="AH188" s="45">
        <f t="shared" si="23"/>
        <v>2.0999999999999908E-2</v>
      </c>
      <c r="AI188" s="3">
        <f t="shared" si="19"/>
        <v>2140</v>
      </c>
      <c r="AJ188" s="44">
        <f t="shared" si="20"/>
        <v>0.214</v>
      </c>
      <c r="AP188" s="46">
        <f t="shared" si="21"/>
        <v>3.9E-2</v>
      </c>
    </row>
    <row r="189" spans="19:42" ht="18">
      <c r="S189" s="8">
        <f t="shared" si="22"/>
        <v>0</v>
      </c>
      <c r="W189" s="3">
        <v>215</v>
      </c>
      <c r="X189" s="30">
        <v>39.375</v>
      </c>
      <c r="Y189" s="33">
        <f t="shared" si="18"/>
        <v>3.9E-2</v>
      </c>
      <c r="AA189" s="36">
        <v>36</v>
      </c>
      <c r="AB189" s="40">
        <v>2.15</v>
      </c>
      <c r="AC189" s="38">
        <v>4.1399999999999997</v>
      </c>
      <c r="AD189" s="39">
        <v>1.6439999999999999</v>
      </c>
      <c r="AE189" s="39">
        <v>3.5339999999999998</v>
      </c>
      <c r="AF189" s="36">
        <v>348</v>
      </c>
      <c r="AG189" s="36">
        <v>60</v>
      </c>
      <c r="AH189" s="45">
        <f t="shared" si="23"/>
        <v>2.1999999999999797E-2</v>
      </c>
      <c r="AI189" s="3">
        <f t="shared" si="19"/>
        <v>2150</v>
      </c>
      <c r="AJ189" s="44">
        <f t="shared" si="20"/>
        <v>0.215</v>
      </c>
      <c r="AP189" s="46">
        <f t="shared" si="21"/>
        <v>3.9E-2</v>
      </c>
    </row>
    <row r="190" spans="19:42" ht="18">
      <c r="S190" s="8">
        <f t="shared" si="22"/>
        <v>0</v>
      </c>
      <c r="W190" s="3">
        <v>216</v>
      </c>
      <c r="X190" s="30">
        <v>39.4</v>
      </c>
      <c r="Y190" s="33">
        <f t="shared" si="18"/>
        <v>3.9E-2</v>
      </c>
      <c r="AA190" s="36">
        <v>36</v>
      </c>
      <c r="AB190" s="40">
        <v>2.16</v>
      </c>
      <c r="AC190" s="38">
        <v>4.1399999999999997</v>
      </c>
      <c r="AD190" s="39">
        <v>1.6459999999999999</v>
      </c>
      <c r="AE190" s="39">
        <v>3.5550000000000002</v>
      </c>
      <c r="AF190" s="36">
        <v>349</v>
      </c>
      <c r="AG190" s="36">
        <v>60</v>
      </c>
      <c r="AH190" s="45">
        <f t="shared" si="23"/>
        <v>2.1000000000000352E-2</v>
      </c>
      <c r="AI190" s="3">
        <f t="shared" si="19"/>
        <v>2160</v>
      </c>
      <c r="AJ190" s="44">
        <f t="shared" si="20"/>
        <v>0.216</v>
      </c>
      <c r="AP190" s="46">
        <f t="shared" si="21"/>
        <v>3.9E-2</v>
      </c>
    </row>
    <row r="191" spans="19:42" ht="18">
      <c r="S191" s="8">
        <f t="shared" si="22"/>
        <v>0</v>
      </c>
      <c r="W191" s="3">
        <v>217</v>
      </c>
      <c r="X191" s="30">
        <v>39.424999999999997</v>
      </c>
      <c r="Y191" s="33">
        <f t="shared" si="18"/>
        <v>3.9E-2</v>
      </c>
      <c r="AA191" s="36">
        <v>36</v>
      </c>
      <c r="AB191" s="40">
        <v>2.17</v>
      </c>
      <c r="AC191" s="38">
        <v>4.1399999999999997</v>
      </c>
      <c r="AD191" s="39">
        <v>1.6479999999999999</v>
      </c>
      <c r="AE191" s="39">
        <v>3.577</v>
      </c>
      <c r="AF191" s="36">
        <v>351</v>
      </c>
      <c r="AG191" s="36">
        <v>60</v>
      </c>
      <c r="AH191" s="45">
        <f t="shared" si="23"/>
        <v>2.1999999999999797E-2</v>
      </c>
      <c r="AI191" s="3">
        <f t="shared" si="19"/>
        <v>2170</v>
      </c>
      <c r="AJ191" s="44">
        <f t="shared" si="20"/>
        <v>0.217</v>
      </c>
      <c r="AP191" s="46">
        <f t="shared" si="21"/>
        <v>3.9E-2</v>
      </c>
    </row>
    <row r="192" spans="19:42" ht="18">
      <c r="S192" s="8">
        <f t="shared" si="22"/>
        <v>0</v>
      </c>
      <c r="W192" s="3">
        <v>218</v>
      </c>
      <c r="X192" s="30">
        <v>39.450000000000003</v>
      </c>
      <c r="Y192" s="33">
        <f t="shared" si="18"/>
        <v>3.9E-2</v>
      </c>
      <c r="AA192" s="36">
        <v>36</v>
      </c>
      <c r="AB192" s="40">
        <v>2.1800000000000002</v>
      </c>
      <c r="AC192" s="38">
        <v>4.1399999999999997</v>
      </c>
      <c r="AD192" s="39">
        <v>1.651</v>
      </c>
      <c r="AE192" s="39">
        <v>3.5979999999999999</v>
      </c>
      <c r="AF192" s="36">
        <v>352</v>
      </c>
      <c r="AG192" s="36">
        <v>61</v>
      </c>
      <c r="AH192" s="45">
        <f t="shared" si="23"/>
        <v>2.0999999999999908E-2</v>
      </c>
      <c r="AI192" s="3">
        <f t="shared" si="19"/>
        <v>2180</v>
      </c>
      <c r="AJ192" s="44">
        <f t="shared" si="20"/>
        <v>0.218</v>
      </c>
      <c r="AP192" s="46">
        <f t="shared" si="21"/>
        <v>3.9E-2</v>
      </c>
    </row>
    <row r="193" spans="19:42" ht="18">
      <c r="S193" s="8">
        <f t="shared" si="22"/>
        <v>0</v>
      </c>
      <c r="W193" s="3">
        <v>219</v>
      </c>
      <c r="X193" s="30">
        <v>39.475000000000001</v>
      </c>
      <c r="Y193" s="33">
        <f t="shared" si="18"/>
        <v>3.9E-2</v>
      </c>
      <c r="AA193" s="36">
        <v>37</v>
      </c>
      <c r="AB193" s="40">
        <v>2.19</v>
      </c>
      <c r="AC193" s="38">
        <v>4.28</v>
      </c>
      <c r="AD193" s="39">
        <v>1.653</v>
      </c>
      <c r="AE193" s="39">
        <v>3.6230000000000002</v>
      </c>
      <c r="AF193" s="36">
        <v>343</v>
      </c>
      <c r="AG193" s="36">
        <v>59</v>
      </c>
      <c r="AH193" s="45">
        <f t="shared" si="23"/>
        <v>2.5000000000000355E-2</v>
      </c>
      <c r="AI193" s="3">
        <f t="shared" si="19"/>
        <v>2190</v>
      </c>
      <c r="AJ193" s="44">
        <f t="shared" si="20"/>
        <v>0.219</v>
      </c>
      <c r="AP193" s="46">
        <f t="shared" si="21"/>
        <v>3.9E-2</v>
      </c>
    </row>
    <row r="194" spans="19:42" ht="18">
      <c r="S194" s="8">
        <f t="shared" si="22"/>
        <v>0</v>
      </c>
      <c r="W194" s="3">
        <v>220</v>
      </c>
      <c r="X194" s="30">
        <v>39.5</v>
      </c>
      <c r="Y194" s="33">
        <f t="shared" si="18"/>
        <v>0.04</v>
      </c>
      <c r="AA194" s="36">
        <v>37</v>
      </c>
      <c r="AB194" s="40">
        <v>2.2000000000000002</v>
      </c>
      <c r="AC194" s="38">
        <v>4.28</v>
      </c>
      <c r="AD194" s="39">
        <v>1.655</v>
      </c>
      <c r="AE194" s="39">
        <v>3.6419999999999999</v>
      </c>
      <c r="AF194" s="36">
        <v>344</v>
      </c>
      <c r="AG194" s="36">
        <v>59</v>
      </c>
      <c r="AH194" s="45">
        <f t="shared" si="23"/>
        <v>1.8999999999999684E-2</v>
      </c>
      <c r="AI194" s="3">
        <f t="shared" si="19"/>
        <v>2200</v>
      </c>
      <c r="AJ194" s="44">
        <f t="shared" si="20"/>
        <v>0.22</v>
      </c>
      <c r="AP194" s="46">
        <f t="shared" si="21"/>
        <v>0.04</v>
      </c>
    </row>
    <row r="195" spans="19:42" ht="18">
      <c r="S195" s="8">
        <f t="shared" si="22"/>
        <v>0</v>
      </c>
      <c r="W195" s="3">
        <v>221</v>
      </c>
      <c r="X195" s="30">
        <v>39.524999999999999</v>
      </c>
      <c r="Y195" s="33">
        <f t="shared" si="18"/>
        <v>0.04</v>
      </c>
      <c r="AA195" s="36">
        <v>37</v>
      </c>
      <c r="AB195" s="40">
        <v>2.21</v>
      </c>
      <c r="AC195" s="38">
        <v>4.28</v>
      </c>
      <c r="AD195" s="39">
        <v>1.6579999999999999</v>
      </c>
      <c r="AE195" s="39">
        <v>3.6640000000000001</v>
      </c>
      <c r="AF195" s="36">
        <v>345</v>
      </c>
      <c r="AG195" s="36">
        <v>60</v>
      </c>
      <c r="AH195" s="45">
        <f t="shared" si="23"/>
        <v>2.2000000000000242E-2</v>
      </c>
      <c r="AI195" s="3">
        <f t="shared" si="19"/>
        <v>2210</v>
      </c>
      <c r="AJ195" s="44">
        <f t="shared" si="20"/>
        <v>0.221</v>
      </c>
      <c r="AP195" s="46">
        <f t="shared" si="21"/>
        <v>0.04</v>
      </c>
    </row>
    <row r="196" spans="19:42" ht="18">
      <c r="S196" s="8">
        <f t="shared" si="22"/>
        <v>0</v>
      </c>
      <c r="W196" s="3">
        <v>222</v>
      </c>
      <c r="X196" s="30">
        <v>39.549999999999997</v>
      </c>
      <c r="Y196" s="33">
        <f t="shared" si="18"/>
        <v>0.04</v>
      </c>
      <c r="AA196" s="36">
        <v>37</v>
      </c>
      <c r="AB196" s="40">
        <v>2.2200000000000002</v>
      </c>
      <c r="AC196" s="38">
        <v>4.28</v>
      </c>
      <c r="AD196" s="39">
        <v>1.66</v>
      </c>
      <c r="AE196" s="39">
        <v>3.6859999999999999</v>
      </c>
      <c r="AF196" s="36">
        <v>346</v>
      </c>
      <c r="AG196" s="36">
        <v>60</v>
      </c>
      <c r="AH196" s="45">
        <f t="shared" si="23"/>
        <v>2.1999999999999797E-2</v>
      </c>
      <c r="AI196" s="3">
        <f t="shared" si="19"/>
        <v>2220</v>
      </c>
      <c r="AJ196" s="44">
        <f t="shared" si="20"/>
        <v>0.222</v>
      </c>
      <c r="AP196" s="46">
        <f t="shared" si="21"/>
        <v>0.04</v>
      </c>
    </row>
    <row r="197" spans="19:42" ht="18">
      <c r="S197" s="8">
        <f t="shared" si="22"/>
        <v>0</v>
      </c>
      <c r="W197" s="3">
        <v>223</v>
      </c>
      <c r="X197" s="30">
        <v>39.575000000000003</v>
      </c>
      <c r="Y197" s="33">
        <f t="shared" ref="Y197:Y260" si="24">ROUND(X197/1000,3)</f>
        <v>0.04</v>
      </c>
      <c r="AA197" s="36">
        <v>37</v>
      </c>
      <c r="AB197" s="40">
        <v>2.23</v>
      </c>
      <c r="AC197" s="38">
        <v>4.28</v>
      </c>
      <c r="AD197" s="39">
        <v>1.663</v>
      </c>
      <c r="AE197" s="39">
        <v>3.7080000000000002</v>
      </c>
      <c r="AF197" s="36">
        <v>347</v>
      </c>
      <c r="AG197" s="36">
        <v>60</v>
      </c>
      <c r="AH197" s="45">
        <f t="shared" si="23"/>
        <v>2.2000000000000242E-2</v>
      </c>
      <c r="AI197" s="3">
        <f t="shared" ref="AI197:AI260" si="25">AB197*1000</f>
        <v>2230</v>
      </c>
      <c r="AJ197" s="44">
        <f t="shared" ref="AJ197:AJ260" si="26">ROUND(W197/1000,3)</f>
        <v>0.223</v>
      </c>
      <c r="AP197" s="46">
        <f t="shared" ref="AP197:AP260" si="27">ROUND(X197/1000,3)</f>
        <v>0.04</v>
      </c>
    </row>
    <row r="198" spans="19:42" ht="18">
      <c r="S198" s="8">
        <f t="shared" ref="S198:S261" si="28">CEILING(R198/50,0.5)</f>
        <v>0</v>
      </c>
      <c r="W198" s="3">
        <v>224</v>
      </c>
      <c r="X198" s="30">
        <v>39.6</v>
      </c>
      <c r="Y198" s="33">
        <f t="shared" si="24"/>
        <v>0.04</v>
      </c>
      <c r="AA198" s="36">
        <v>37</v>
      </c>
      <c r="AB198" s="40">
        <v>2.2400000000000002</v>
      </c>
      <c r="AC198" s="38">
        <v>4.28</v>
      </c>
      <c r="AD198" s="39">
        <v>1.665</v>
      </c>
      <c r="AE198" s="39">
        <v>3.73</v>
      </c>
      <c r="AF198" s="36">
        <v>348</v>
      </c>
      <c r="AG198" s="36">
        <v>61</v>
      </c>
      <c r="AH198" s="45">
        <f t="shared" ref="AH198:AH261" si="29">AE198-AE197</f>
        <v>2.1999999999999797E-2</v>
      </c>
      <c r="AI198" s="3">
        <f t="shared" si="25"/>
        <v>2240</v>
      </c>
      <c r="AJ198" s="44">
        <f t="shared" si="26"/>
        <v>0.224</v>
      </c>
      <c r="AP198" s="46">
        <f t="shared" si="27"/>
        <v>0.04</v>
      </c>
    </row>
    <row r="199" spans="19:42" ht="18">
      <c r="S199" s="8">
        <f t="shared" si="28"/>
        <v>0</v>
      </c>
      <c r="W199" s="3">
        <v>225</v>
      </c>
      <c r="X199" s="30">
        <v>39.625</v>
      </c>
      <c r="Y199" s="33">
        <f t="shared" si="24"/>
        <v>0.04</v>
      </c>
      <c r="AA199" s="36">
        <v>37</v>
      </c>
      <c r="AB199" s="40">
        <v>2.25</v>
      </c>
      <c r="AC199" s="38">
        <v>4.28</v>
      </c>
      <c r="AD199" s="39">
        <v>1.6679999999999999</v>
      </c>
      <c r="AE199" s="39">
        <v>3.7519999999999998</v>
      </c>
      <c r="AF199" s="36">
        <v>349</v>
      </c>
      <c r="AG199" s="36">
        <v>61</v>
      </c>
      <c r="AH199" s="45">
        <f t="shared" si="29"/>
        <v>2.1999999999999797E-2</v>
      </c>
      <c r="AI199" s="3">
        <f t="shared" si="25"/>
        <v>2250</v>
      </c>
      <c r="AJ199" s="44">
        <f t="shared" si="26"/>
        <v>0.22500000000000001</v>
      </c>
      <c r="AP199" s="46">
        <f t="shared" si="27"/>
        <v>0.04</v>
      </c>
    </row>
    <row r="200" spans="19:42" ht="18">
      <c r="S200" s="8">
        <f t="shared" si="28"/>
        <v>0</v>
      </c>
      <c r="W200" s="3">
        <v>226</v>
      </c>
      <c r="X200" s="30">
        <v>39.65</v>
      </c>
      <c r="Y200" s="33">
        <f t="shared" si="24"/>
        <v>0.04</v>
      </c>
      <c r="AA200" s="36">
        <v>37</v>
      </c>
      <c r="AB200" s="40">
        <v>2.2599999999999998</v>
      </c>
      <c r="AC200" s="38">
        <v>4.28</v>
      </c>
      <c r="AD200" s="39">
        <v>1.67</v>
      </c>
      <c r="AE200" s="39">
        <v>3.774</v>
      </c>
      <c r="AF200" s="36">
        <v>350</v>
      </c>
      <c r="AG200" s="36">
        <v>61</v>
      </c>
      <c r="AH200" s="45">
        <f t="shared" si="29"/>
        <v>2.2000000000000242E-2</v>
      </c>
      <c r="AI200" s="3">
        <f t="shared" si="25"/>
        <v>2260</v>
      </c>
      <c r="AJ200" s="44">
        <f t="shared" si="26"/>
        <v>0.22600000000000001</v>
      </c>
      <c r="AP200" s="46">
        <f t="shared" si="27"/>
        <v>0.04</v>
      </c>
    </row>
    <row r="201" spans="19:42" ht="18">
      <c r="S201" s="8">
        <f t="shared" si="28"/>
        <v>0</v>
      </c>
      <c r="W201" s="3">
        <v>227</v>
      </c>
      <c r="X201" s="30">
        <v>39.674999999999997</v>
      </c>
      <c r="Y201" s="33">
        <f t="shared" si="24"/>
        <v>0.04</v>
      </c>
      <c r="AA201" s="36">
        <v>37</v>
      </c>
      <c r="AB201" s="40">
        <v>2.27</v>
      </c>
      <c r="AC201" s="38">
        <v>4.28</v>
      </c>
      <c r="AD201" s="39">
        <v>1.673</v>
      </c>
      <c r="AE201" s="39">
        <v>3.7970000000000002</v>
      </c>
      <c r="AF201" s="36">
        <v>351</v>
      </c>
      <c r="AG201" s="36">
        <v>61</v>
      </c>
      <c r="AH201" s="45">
        <f t="shared" si="29"/>
        <v>2.3000000000000131E-2</v>
      </c>
      <c r="AI201" s="3">
        <f t="shared" si="25"/>
        <v>2270</v>
      </c>
      <c r="AJ201" s="44">
        <f t="shared" si="26"/>
        <v>0.22700000000000001</v>
      </c>
      <c r="AP201" s="46">
        <f t="shared" si="27"/>
        <v>0.04</v>
      </c>
    </row>
    <row r="202" spans="19:42" ht="18">
      <c r="S202" s="8">
        <f t="shared" si="28"/>
        <v>0</v>
      </c>
      <c r="W202" s="3">
        <v>228</v>
      </c>
      <c r="X202" s="30">
        <v>39.700000000000003</v>
      </c>
      <c r="Y202" s="33">
        <f t="shared" si="24"/>
        <v>0.04</v>
      </c>
      <c r="AA202" s="36">
        <v>38</v>
      </c>
      <c r="AB202" s="40">
        <v>2.2799999999999998</v>
      </c>
      <c r="AC202" s="38">
        <v>4.43</v>
      </c>
      <c r="AD202" s="39">
        <v>1.675</v>
      </c>
      <c r="AE202" s="39">
        <v>3.8149999999999999</v>
      </c>
      <c r="AF202" s="36">
        <v>342</v>
      </c>
      <c r="AG202" s="36">
        <v>60</v>
      </c>
      <c r="AH202" s="45">
        <f t="shared" si="29"/>
        <v>1.7999999999999794E-2</v>
      </c>
      <c r="AI202" s="3">
        <f t="shared" si="25"/>
        <v>2280</v>
      </c>
      <c r="AJ202" s="44">
        <f t="shared" si="26"/>
        <v>0.22800000000000001</v>
      </c>
      <c r="AP202" s="46">
        <f t="shared" si="27"/>
        <v>0.04</v>
      </c>
    </row>
    <row r="203" spans="19:42" ht="18">
      <c r="S203" s="8">
        <f t="shared" si="28"/>
        <v>0</v>
      </c>
      <c r="W203" s="3">
        <v>229</v>
      </c>
      <c r="X203" s="30">
        <v>39.725000000000001</v>
      </c>
      <c r="Y203" s="33">
        <f t="shared" si="24"/>
        <v>0.04</v>
      </c>
      <c r="AA203" s="36">
        <v>38</v>
      </c>
      <c r="AB203" s="40">
        <v>2.29</v>
      </c>
      <c r="AC203" s="38">
        <v>4.43</v>
      </c>
      <c r="AD203" s="39">
        <v>1.677</v>
      </c>
      <c r="AE203" s="39">
        <v>3.8410000000000002</v>
      </c>
      <c r="AF203" s="36">
        <v>343</v>
      </c>
      <c r="AG203" s="36">
        <v>60</v>
      </c>
      <c r="AH203" s="45">
        <f t="shared" si="29"/>
        <v>2.6000000000000245E-2</v>
      </c>
      <c r="AI203" s="3">
        <f t="shared" si="25"/>
        <v>2290</v>
      </c>
      <c r="AJ203" s="44">
        <f t="shared" si="26"/>
        <v>0.22900000000000001</v>
      </c>
      <c r="AP203" s="46">
        <f t="shared" si="27"/>
        <v>0.04</v>
      </c>
    </row>
    <row r="204" spans="19:42" ht="18">
      <c r="S204" s="8">
        <f t="shared" si="28"/>
        <v>0</v>
      </c>
      <c r="W204" s="3">
        <v>230</v>
      </c>
      <c r="X204" s="30">
        <v>39.75</v>
      </c>
      <c r="Y204" s="33">
        <f t="shared" si="24"/>
        <v>0.04</v>
      </c>
      <c r="AA204" s="36">
        <v>38</v>
      </c>
      <c r="AB204" s="40">
        <v>2.2999999999999998</v>
      </c>
      <c r="AC204" s="38">
        <v>4.43</v>
      </c>
      <c r="AD204" s="39">
        <v>1.68</v>
      </c>
      <c r="AE204" s="39">
        <v>3.863</v>
      </c>
      <c r="AF204" s="36">
        <v>344</v>
      </c>
      <c r="AG204" s="36">
        <v>61</v>
      </c>
      <c r="AH204" s="45">
        <f t="shared" si="29"/>
        <v>2.1999999999999797E-2</v>
      </c>
      <c r="AI204" s="3">
        <f t="shared" si="25"/>
        <v>2300</v>
      </c>
      <c r="AJ204" s="44">
        <f t="shared" si="26"/>
        <v>0.23</v>
      </c>
      <c r="AP204" s="46">
        <f t="shared" si="27"/>
        <v>0.04</v>
      </c>
    </row>
    <row r="205" spans="19:42" ht="18">
      <c r="S205" s="8">
        <f t="shared" si="28"/>
        <v>0</v>
      </c>
      <c r="W205" s="3">
        <v>231</v>
      </c>
      <c r="X205" s="30">
        <v>39.774999999999999</v>
      </c>
      <c r="Y205" s="33">
        <f t="shared" si="24"/>
        <v>0.04</v>
      </c>
      <c r="AA205" s="36">
        <v>38</v>
      </c>
      <c r="AB205" s="40">
        <v>2.31</v>
      </c>
      <c r="AC205" s="38">
        <v>4.43</v>
      </c>
      <c r="AD205" s="39">
        <v>1.6819999999999999</v>
      </c>
      <c r="AE205" s="39">
        <v>3.8849999999999998</v>
      </c>
      <c r="AF205" s="36">
        <v>345</v>
      </c>
      <c r="AG205" s="36">
        <v>61</v>
      </c>
      <c r="AH205" s="45">
        <f t="shared" si="29"/>
        <v>2.1999999999999797E-2</v>
      </c>
      <c r="AI205" s="3">
        <f t="shared" si="25"/>
        <v>2310</v>
      </c>
      <c r="AJ205" s="44">
        <f t="shared" si="26"/>
        <v>0.23100000000000001</v>
      </c>
      <c r="AP205" s="46">
        <f t="shared" si="27"/>
        <v>0.04</v>
      </c>
    </row>
    <row r="206" spans="19:42" ht="18">
      <c r="S206" s="8">
        <f t="shared" si="28"/>
        <v>0</v>
      </c>
      <c r="W206" s="3">
        <v>232</v>
      </c>
      <c r="X206" s="30">
        <v>39.799999999999997</v>
      </c>
      <c r="Y206" s="33">
        <f t="shared" si="24"/>
        <v>0.04</v>
      </c>
      <c r="AA206" s="36">
        <v>38</v>
      </c>
      <c r="AB206" s="40">
        <v>2.3199999999999998</v>
      </c>
      <c r="AC206" s="38">
        <v>4.43</v>
      </c>
      <c r="AD206" s="39">
        <v>1.6839999999999999</v>
      </c>
      <c r="AE206" s="39">
        <v>3.9079999999999999</v>
      </c>
      <c r="AF206" s="36">
        <v>346</v>
      </c>
      <c r="AG206" s="36">
        <v>61</v>
      </c>
      <c r="AH206" s="45">
        <f t="shared" si="29"/>
        <v>2.3000000000000131E-2</v>
      </c>
      <c r="AI206" s="3">
        <f t="shared" si="25"/>
        <v>2320</v>
      </c>
      <c r="AJ206" s="44">
        <f t="shared" si="26"/>
        <v>0.23200000000000001</v>
      </c>
      <c r="AP206" s="46">
        <f t="shared" si="27"/>
        <v>0.04</v>
      </c>
    </row>
    <row r="207" spans="19:42" ht="18">
      <c r="S207" s="8">
        <f t="shared" si="28"/>
        <v>0</v>
      </c>
      <c r="W207" s="3">
        <v>233</v>
      </c>
      <c r="X207" s="30">
        <v>39.825000000000003</v>
      </c>
      <c r="Y207" s="33">
        <f t="shared" si="24"/>
        <v>0.04</v>
      </c>
      <c r="AA207" s="36">
        <v>38</v>
      </c>
      <c r="AB207" s="40">
        <v>2.33</v>
      </c>
      <c r="AC207" s="38">
        <v>4.43</v>
      </c>
      <c r="AD207" s="39">
        <v>1.6870000000000001</v>
      </c>
      <c r="AE207" s="39">
        <v>3.93</v>
      </c>
      <c r="AF207" s="36">
        <v>347</v>
      </c>
      <c r="AG207" s="36">
        <v>61</v>
      </c>
      <c r="AH207" s="45">
        <f t="shared" si="29"/>
        <v>2.2000000000000242E-2</v>
      </c>
      <c r="AI207" s="3">
        <f t="shared" si="25"/>
        <v>2330</v>
      </c>
      <c r="AJ207" s="44">
        <f t="shared" si="26"/>
        <v>0.23300000000000001</v>
      </c>
      <c r="AP207" s="46">
        <f t="shared" si="27"/>
        <v>0.04</v>
      </c>
    </row>
    <row r="208" spans="19:42" ht="18">
      <c r="S208" s="8">
        <f t="shared" si="28"/>
        <v>0</v>
      </c>
      <c r="W208" s="3">
        <v>234</v>
      </c>
      <c r="X208" s="30">
        <v>39.85</v>
      </c>
      <c r="Y208" s="33">
        <f t="shared" si="24"/>
        <v>0.04</v>
      </c>
      <c r="AA208" s="36">
        <v>38</v>
      </c>
      <c r="AB208" s="40">
        <v>2.34</v>
      </c>
      <c r="AC208" s="38">
        <v>4.43</v>
      </c>
      <c r="AD208" s="39">
        <v>1.6890000000000001</v>
      </c>
      <c r="AE208" s="39">
        <v>3.952</v>
      </c>
      <c r="AF208" s="36">
        <v>348</v>
      </c>
      <c r="AG208" s="36">
        <v>62</v>
      </c>
      <c r="AH208" s="45">
        <f t="shared" si="29"/>
        <v>2.1999999999999797E-2</v>
      </c>
      <c r="AI208" s="3">
        <f t="shared" si="25"/>
        <v>2340</v>
      </c>
      <c r="AJ208" s="44">
        <f t="shared" si="26"/>
        <v>0.23400000000000001</v>
      </c>
      <c r="AP208" s="46">
        <f t="shared" si="27"/>
        <v>0.04</v>
      </c>
    </row>
    <row r="209" spans="19:42" ht="18">
      <c r="S209" s="8">
        <f t="shared" si="28"/>
        <v>0</v>
      </c>
      <c r="W209" s="3">
        <v>235</v>
      </c>
      <c r="X209" s="30">
        <v>39.875</v>
      </c>
      <c r="Y209" s="33">
        <f t="shared" si="24"/>
        <v>0.04</v>
      </c>
      <c r="AA209" s="36">
        <v>38</v>
      </c>
      <c r="AB209" s="40">
        <v>2.35</v>
      </c>
      <c r="AC209" s="38">
        <v>4.43</v>
      </c>
      <c r="AD209" s="39">
        <v>1.6910000000000001</v>
      </c>
      <c r="AE209" s="39">
        <v>3.9750000000000001</v>
      </c>
      <c r="AF209" s="36">
        <v>349</v>
      </c>
      <c r="AG209" s="36">
        <v>62</v>
      </c>
      <c r="AH209" s="45">
        <f t="shared" si="29"/>
        <v>2.3000000000000131E-2</v>
      </c>
      <c r="AI209" s="3">
        <f t="shared" si="25"/>
        <v>2350</v>
      </c>
      <c r="AJ209" s="44">
        <f t="shared" si="26"/>
        <v>0.23499999999999999</v>
      </c>
      <c r="AP209" s="46">
        <f t="shared" si="27"/>
        <v>0.04</v>
      </c>
    </row>
    <row r="210" spans="19:42" ht="18">
      <c r="S210" s="8">
        <f t="shared" si="28"/>
        <v>0</v>
      </c>
      <c r="W210" s="3">
        <v>236</v>
      </c>
      <c r="X210" s="30">
        <v>39.9</v>
      </c>
      <c r="Y210" s="33">
        <f t="shared" si="24"/>
        <v>0.04</v>
      </c>
      <c r="AA210" s="36">
        <v>38</v>
      </c>
      <c r="AB210" s="40">
        <v>2.36</v>
      </c>
      <c r="AC210" s="38">
        <v>4.43</v>
      </c>
      <c r="AD210" s="39">
        <v>1.694</v>
      </c>
      <c r="AE210" s="39">
        <v>3.9969999999999999</v>
      </c>
      <c r="AF210" s="36">
        <v>350</v>
      </c>
      <c r="AG210" s="36">
        <v>62</v>
      </c>
      <c r="AH210" s="45">
        <f t="shared" si="29"/>
        <v>2.1999999999999797E-2</v>
      </c>
      <c r="AI210" s="3">
        <f t="shared" si="25"/>
        <v>2360</v>
      </c>
      <c r="AJ210" s="44">
        <f t="shared" si="26"/>
        <v>0.23599999999999999</v>
      </c>
      <c r="AP210" s="46">
        <f t="shared" si="27"/>
        <v>0.04</v>
      </c>
    </row>
    <row r="211" spans="19:42" ht="18">
      <c r="S211" s="8">
        <f t="shared" si="28"/>
        <v>0</v>
      </c>
      <c r="W211" s="3">
        <v>237</v>
      </c>
      <c r="X211" s="30">
        <v>39.924999999999997</v>
      </c>
      <c r="Y211" s="33">
        <f t="shared" si="24"/>
        <v>0.04</v>
      </c>
      <c r="AA211" s="36">
        <v>39</v>
      </c>
      <c r="AB211" s="40">
        <v>2.37</v>
      </c>
      <c r="AC211" s="38">
        <v>4.57</v>
      </c>
      <c r="AD211" s="39">
        <v>1.696</v>
      </c>
      <c r="AE211" s="39">
        <v>4.0110000000000001</v>
      </c>
      <c r="AF211" s="36">
        <v>341</v>
      </c>
      <c r="AG211" s="36">
        <v>61</v>
      </c>
      <c r="AH211" s="45">
        <f t="shared" si="29"/>
        <v>1.4000000000000234E-2</v>
      </c>
      <c r="AI211" s="3">
        <f t="shared" si="25"/>
        <v>2370</v>
      </c>
      <c r="AJ211" s="44">
        <f t="shared" si="26"/>
        <v>0.23699999999999999</v>
      </c>
      <c r="AP211" s="46">
        <f t="shared" si="27"/>
        <v>0.04</v>
      </c>
    </row>
    <row r="212" spans="19:42" ht="18">
      <c r="S212" s="8">
        <f t="shared" si="28"/>
        <v>0</v>
      </c>
      <c r="W212" s="3">
        <v>238</v>
      </c>
      <c r="X212" s="30">
        <v>39.950000000000003</v>
      </c>
      <c r="Y212" s="33">
        <f t="shared" si="24"/>
        <v>0.04</v>
      </c>
      <c r="AA212" s="36">
        <v>39</v>
      </c>
      <c r="AB212" s="40">
        <v>2.38</v>
      </c>
      <c r="AC212" s="38">
        <v>4.57</v>
      </c>
      <c r="AD212" s="39">
        <v>1.6990000000000001</v>
      </c>
      <c r="AE212" s="39">
        <v>4.0430000000000001</v>
      </c>
      <c r="AF212" s="36">
        <v>343</v>
      </c>
      <c r="AG212" s="36">
        <v>61</v>
      </c>
      <c r="AH212" s="45">
        <f t="shared" si="29"/>
        <v>3.2000000000000028E-2</v>
      </c>
      <c r="AI212" s="3">
        <f t="shared" si="25"/>
        <v>2380</v>
      </c>
      <c r="AJ212" s="44">
        <f t="shared" si="26"/>
        <v>0.23799999999999999</v>
      </c>
      <c r="AP212" s="46">
        <f t="shared" si="27"/>
        <v>0.04</v>
      </c>
    </row>
    <row r="213" spans="19:42" ht="18">
      <c r="S213" s="8">
        <f t="shared" si="28"/>
        <v>0</v>
      </c>
      <c r="W213" s="3">
        <v>239</v>
      </c>
      <c r="X213" s="30">
        <v>39.975000000000001</v>
      </c>
      <c r="Y213" s="33">
        <f t="shared" si="24"/>
        <v>0.04</v>
      </c>
      <c r="AA213" s="36">
        <v>39</v>
      </c>
      <c r="AB213" s="40">
        <v>2.39</v>
      </c>
      <c r="AC213" s="38">
        <v>4.57</v>
      </c>
      <c r="AD213" s="39">
        <v>1.7010000000000001</v>
      </c>
      <c r="AE213" s="39">
        <v>4.0659999999999998</v>
      </c>
      <c r="AF213" s="36">
        <v>344</v>
      </c>
      <c r="AG213" s="36">
        <v>61</v>
      </c>
      <c r="AH213" s="45">
        <f t="shared" si="29"/>
        <v>2.2999999999999687E-2</v>
      </c>
      <c r="AI213" s="3">
        <f t="shared" si="25"/>
        <v>2390</v>
      </c>
      <c r="AJ213" s="44">
        <f t="shared" si="26"/>
        <v>0.23899999999999999</v>
      </c>
      <c r="AP213" s="46">
        <f t="shared" si="27"/>
        <v>0.04</v>
      </c>
    </row>
    <row r="214" spans="19:42" ht="18">
      <c r="S214" s="8">
        <f t="shared" si="28"/>
        <v>0</v>
      </c>
      <c r="W214" s="3">
        <v>240</v>
      </c>
      <c r="X214" s="30">
        <v>40</v>
      </c>
      <c r="Y214" s="33">
        <f t="shared" si="24"/>
        <v>0.04</v>
      </c>
      <c r="AA214" s="36">
        <v>39</v>
      </c>
      <c r="AB214" s="40">
        <v>2.4</v>
      </c>
      <c r="AC214" s="38">
        <v>4.57</v>
      </c>
      <c r="AD214" s="39">
        <v>1.704</v>
      </c>
      <c r="AE214" s="39">
        <v>4.0890000000000004</v>
      </c>
      <c r="AF214" s="36">
        <v>345</v>
      </c>
      <c r="AG214" s="36">
        <v>62</v>
      </c>
      <c r="AH214" s="45">
        <f t="shared" si="29"/>
        <v>2.3000000000000576E-2</v>
      </c>
      <c r="AI214" s="3">
        <f t="shared" si="25"/>
        <v>2400</v>
      </c>
      <c r="AJ214" s="44">
        <f t="shared" si="26"/>
        <v>0.24</v>
      </c>
      <c r="AP214" s="46">
        <f t="shared" si="27"/>
        <v>0.04</v>
      </c>
    </row>
    <row r="215" spans="19:42" ht="18">
      <c r="S215" s="8">
        <f t="shared" si="28"/>
        <v>0</v>
      </c>
      <c r="W215" s="3">
        <v>241</v>
      </c>
      <c r="X215" s="30">
        <v>40.075000000000003</v>
      </c>
      <c r="Y215" s="33">
        <f t="shared" si="24"/>
        <v>0.04</v>
      </c>
      <c r="AA215" s="36">
        <v>39</v>
      </c>
      <c r="AB215" s="40">
        <v>2.41</v>
      </c>
      <c r="AC215" s="38">
        <v>4.57</v>
      </c>
      <c r="AD215" s="39">
        <v>1.7070000000000001</v>
      </c>
      <c r="AE215" s="39">
        <v>4.1130000000000004</v>
      </c>
      <c r="AF215" s="36">
        <v>346</v>
      </c>
      <c r="AG215" s="36">
        <v>62</v>
      </c>
      <c r="AH215" s="45">
        <f t="shared" si="29"/>
        <v>2.4000000000000021E-2</v>
      </c>
      <c r="AI215" s="3">
        <f t="shared" si="25"/>
        <v>2410</v>
      </c>
      <c r="AJ215" s="44">
        <f t="shared" si="26"/>
        <v>0.24099999999999999</v>
      </c>
      <c r="AP215" s="46">
        <f t="shared" si="27"/>
        <v>0.04</v>
      </c>
    </row>
    <row r="216" spans="19:42" ht="18">
      <c r="S216" s="8">
        <f t="shared" si="28"/>
        <v>0</v>
      </c>
      <c r="W216" s="3">
        <v>242</v>
      </c>
      <c r="X216" s="30">
        <v>40.15</v>
      </c>
      <c r="Y216" s="33">
        <f t="shared" si="24"/>
        <v>0.04</v>
      </c>
      <c r="AA216" s="36">
        <v>39</v>
      </c>
      <c r="AB216" s="40">
        <v>2.42</v>
      </c>
      <c r="AC216" s="38">
        <v>4.57</v>
      </c>
      <c r="AD216" s="39">
        <v>1.7090000000000001</v>
      </c>
      <c r="AE216" s="39">
        <v>4.1360000000000001</v>
      </c>
      <c r="AF216" s="36">
        <v>346</v>
      </c>
      <c r="AG216" s="36">
        <v>62</v>
      </c>
      <c r="AH216" s="45">
        <f t="shared" si="29"/>
        <v>2.2999999999999687E-2</v>
      </c>
      <c r="AI216" s="3">
        <f t="shared" si="25"/>
        <v>2420</v>
      </c>
      <c r="AJ216" s="44">
        <f t="shared" si="26"/>
        <v>0.24199999999999999</v>
      </c>
      <c r="AP216" s="46">
        <f t="shared" si="27"/>
        <v>0.04</v>
      </c>
    </row>
    <row r="217" spans="19:42" ht="18">
      <c r="S217" s="8">
        <f t="shared" si="28"/>
        <v>0</v>
      </c>
      <c r="W217" s="3">
        <v>243</v>
      </c>
      <c r="X217" s="30">
        <v>40.225000000000001</v>
      </c>
      <c r="Y217" s="33">
        <f t="shared" si="24"/>
        <v>0.04</v>
      </c>
      <c r="AA217" s="36">
        <v>39</v>
      </c>
      <c r="AB217" s="40">
        <v>2.4300000000000002</v>
      </c>
      <c r="AC217" s="38">
        <v>4.57</v>
      </c>
      <c r="AD217" s="39">
        <v>1.712</v>
      </c>
      <c r="AE217" s="39">
        <v>4.16</v>
      </c>
      <c r="AF217" s="36">
        <v>347</v>
      </c>
      <c r="AG217" s="36">
        <v>62</v>
      </c>
      <c r="AH217" s="45">
        <f t="shared" si="29"/>
        <v>2.4000000000000021E-2</v>
      </c>
      <c r="AI217" s="3">
        <f t="shared" si="25"/>
        <v>2430</v>
      </c>
      <c r="AJ217" s="44">
        <f t="shared" si="26"/>
        <v>0.24299999999999999</v>
      </c>
      <c r="AP217" s="46">
        <f t="shared" si="27"/>
        <v>0.04</v>
      </c>
    </row>
    <row r="218" spans="19:42" ht="18">
      <c r="S218" s="8">
        <f t="shared" si="28"/>
        <v>0</v>
      </c>
      <c r="W218" s="3">
        <v>244</v>
      </c>
      <c r="X218" s="30">
        <v>40.299999999999997</v>
      </c>
      <c r="Y218" s="33">
        <f t="shared" si="24"/>
        <v>0.04</v>
      </c>
      <c r="AA218" s="36">
        <v>39</v>
      </c>
      <c r="AB218" s="40">
        <v>2.44</v>
      </c>
      <c r="AC218" s="38">
        <v>4.57</v>
      </c>
      <c r="AD218" s="39">
        <v>1.714</v>
      </c>
      <c r="AE218" s="39">
        <v>4.1829999999999998</v>
      </c>
      <c r="AF218" s="36">
        <v>348</v>
      </c>
      <c r="AG218" s="36">
        <v>63</v>
      </c>
      <c r="AH218" s="45">
        <f t="shared" si="29"/>
        <v>2.2999999999999687E-2</v>
      </c>
      <c r="AI218" s="3">
        <f t="shared" si="25"/>
        <v>2440</v>
      </c>
      <c r="AJ218" s="44">
        <f t="shared" si="26"/>
        <v>0.24399999999999999</v>
      </c>
      <c r="AP218" s="46">
        <f t="shared" si="27"/>
        <v>0.04</v>
      </c>
    </row>
    <row r="219" spans="19:42" ht="18">
      <c r="S219" s="8">
        <f t="shared" si="28"/>
        <v>0</v>
      </c>
      <c r="W219" s="3">
        <v>245</v>
      </c>
      <c r="X219" s="30">
        <v>40.375</v>
      </c>
      <c r="Y219" s="33">
        <f t="shared" si="24"/>
        <v>0.04</v>
      </c>
      <c r="AA219" s="36">
        <v>40</v>
      </c>
      <c r="AB219" s="40">
        <v>2.4500000000000002</v>
      </c>
      <c r="AC219" s="38">
        <v>4.71</v>
      </c>
      <c r="AD219" s="39">
        <v>1.7170000000000001</v>
      </c>
      <c r="AE219" s="39">
        <v>4.21</v>
      </c>
      <c r="AF219" s="36">
        <v>340</v>
      </c>
      <c r="AG219" s="36">
        <v>61</v>
      </c>
      <c r="AH219" s="45">
        <f t="shared" si="29"/>
        <v>2.7000000000000135E-2</v>
      </c>
      <c r="AI219" s="3">
        <f t="shared" si="25"/>
        <v>2450</v>
      </c>
      <c r="AJ219" s="44">
        <f t="shared" si="26"/>
        <v>0.245</v>
      </c>
      <c r="AP219" s="46">
        <f t="shared" si="27"/>
        <v>0.04</v>
      </c>
    </row>
    <row r="220" spans="19:42" ht="18">
      <c r="S220" s="8">
        <f t="shared" si="28"/>
        <v>0</v>
      </c>
      <c r="W220" s="3">
        <v>246</v>
      </c>
      <c r="X220" s="30">
        <v>40.450000000000003</v>
      </c>
      <c r="Y220" s="33">
        <f t="shared" si="24"/>
        <v>0.04</v>
      </c>
      <c r="AA220" s="36">
        <v>40</v>
      </c>
      <c r="AB220" s="40">
        <v>2.46</v>
      </c>
      <c r="AC220" s="38">
        <v>4.71</v>
      </c>
      <c r="AD220" s="39">
        <v>1.7190000000000001</v>
      </c>
      <c r="AE220" s="39">
        <v>4.2300000000000004</v>
      </c>
      <c r="AF220" s="36">
        <v>341</v>
      </c>
      <c r="AG220" s="36">
        <v>62</v>
      </c>
      <c r="AH220" s="45">
        <f t="shared" si="29"/>
        <v>2.0000000000000462E-2</v>
      </c>
      <c r="AI220" s="3">
        <f t="shared" si="25"/>
        <v>2460</v>
      </c>
      <c r="AJ220" s="44">
        <f t="shared" si="26"/>
        <v>0.246</v>
      </c>
      <c r="AP220" s="46">
        <f t="shared" si="27"/>
        <v>0.04</v>
      </c>
    </row>
    <row r="221" spans="19:42" ht="18">
      <c r="S221" s="8">
        <f t="shared" si="28"/>
        <v>0</v>
      </c>
      <c r="W221" s="3">
        <v>247</v>
      </c>
      <c r="X221" s="30">
        <v>40.524999999999999</v>
      </c>
      <c r="Y221" s="33">
        <f t="shared" si="24"/>
        <v>4.1000000000000002E-2</v>
      </c>
      <c r="AA221" s="36">
        <v>40</v>
      </c>
      <c r="AB221" s="40">
        <v>2.4700000000000002</v>
      </c>
      <c r="AC221" s="38">
        <v>4.71</v>
      </c>
      <c r="AD221" s="39">
        <v>1.722</v>
      </c>
      <c r="AE221" s="39">
        <v>4.2530000000000001</v>
      </c>
      <c r="AF221" s="36">
        <v>342</v>
      </c>
      <c r="AG221" s="36">
        <v>62</v>
      </c>
      <c r="AH221" s="45">
        <f t="shared" si="29"/>
        <v>2.2999999999999687E-2</v>
      </c>
      <c r="AI221" s="3">
        <f t="shared" si="25"/>
        <v>2470</v>
      </c>
      <c r="AJ221" s="44">
        <f t="shared" si="26"/>
        <v>0.247</v>
      </c>
      <c r="AP221" s="46">
        <f t="shared" si="27"/>
        <v>4.1000000000000002E-2</v>
      </c>
    </row>
    <row r="222" spans="19:42" ht="18">
      <c r="S222" s="8">
        <f t="shared" si="28"/>
        <v>0</v>
      </c>
      <c r="W222" s="3">
        <v>248</v>
      </c>
      <c r="X222" s="30">
        <v>40.6</v>
      </c>
      <c r="Y222" s="33">
        <f t="shared" si="24"/>
        <v>4.1000000000000002E-2</v>
      </c>
      <c r="AA222" s="36">
        <v>40</v>
      </c>
      <c r="AB222" s="40">
        <v>2.48</v>
      </c>
      <c r="AC222" s="38">
        <v>4.71</v>
      </c>
      <c r="AD222" s="39">
        <v>1.724</v>
      </c>
      <c r="AE222" s="39">
        <v>4.2750000000000004</v>
      </c>
      <c r="AF222" s="36">
        <v>343</v>
      </c>
      <c r="AG222" s="36">
        <v>62</v>
      </c>
      <c r="AH222" s="45">
        <f t="shared" si="29"/>
        <v>2.2000000000000242E-2</v>
      </c>
      <c r="AI222" s="3">
        <f t="shared" si="25"/>
        <v>2480</v>
      </c>
      <c r="AJ222" s="44">
        <f t="shared" si="26"/>
        <v>0.248</v>
      </c>
      <c r="AP222" s="46">
        <f t="shared" si="27"/>
        <v>4.1000000000000002E-2</v>
      </c>
    </row>
    <row r="223" spans="19:42" ht="18">
      <c r="S223" s="8">
        <f t="shared" si="28"/>
        <v>0</v>
      </c>
      <c r="W223" s="3">
        <v>249</v>
      </c>
      <c r="X223" s="30">
        <v>40.674999999999997</v>
      </c>
      <c r="Y223" s="33">
        <f t="shared" si="24"/>
        <v>4.1000000000000002E-2</v>
      </c>
      <c r="AA223" s="36">
        <v>40</v>
      </c>
      <c r="AB223" s="40">
        <v>2.4900000000000002</v>
      </c>
      <c r="AC223" s="38">
        <v>4.71</v>
      </c>
      <c r="AD223" s="39">
        <v>1.726</v>
      </c>
      <c r="AE223" s="39">
        <v>4.2990000000000004</v>
      </c>
      <c r="AF223" s="36">
        <v>344</v>
      </c>
      <c r="AG223" s="36">
        <v>62</v>
      </c>
      <c r="AH223" s="45">
        <f t="shared" si="29"/>
        <v>2.4000000000000021E-2</v>
      </c>
      <c r="AI223" s="3">
        <f t="shared" si="25"/>
        <v>2490</v>
      </c>
      <c r="AJ223" s="44">
        <f t="shared" si="26"/>
        <v>0.249</v>
      </c>
      <c r="AP223" s="46">
        <f t="shared" si="27"/>
        <v>4.1000000000000002E-2</v>
      </c>
    </row>
    <row r="224" spans="19:42" ht="18">
      <c r="S224" s="8">
        <f t="shared" si="28"/>
        <v>0</v>
      </c>
      <c r="W224" s="3">
        <v>250</v>
      </c>
      <c r="X224" s="30">
        <v>40.75</v>
      </c>
      <c r="Y224" s="33">
        <f t="shared" si="24"/>
        <v>4.1000000000000002E-2</v>
      </c>
      <c r="AA224" s="36">
        <v>40</v>
      </c>
      <c r="AB224" s="40">
        <v>2.5</v>
      </c>
      <c r="AC224" s="38">
        <v>4.71</v>
      </c>
      <c r="AD224" s="39">
        <v>1.7290000000000001</v>
      </c>
      <c r="AE224" s="39">
        <v>4.3220000000000001</v>
      </c>
      <c r="AF224" s="36">
        <v>345</v>
      </c>
      <c r="AG224" s="36">
        <v>63</v>
      </c>
      <c r="AH224" s="45">
        <f t="shared" si="29"/>
        <v>2.2999999999999687E-2</v>
      </c>
      <c r="AI224" s="3">
        <f t="shared" si="25"/>
        <v>2500</v>
      </c>
      <c r="AJ224" s="44">
        <f t="shared" si="26"/>
        <v>0.25</v>
      </c>
      <c r="AP224" s="46">
        <f t="shared" si="27"/>
        <v>4.1000000000000002E-2</v>
      </c>
    </row>
    <row r="225" spans="19:42" ht="18">
      <c r="S225" s="8">
        <f t="shared" si="28"/>
        <v>0</v>
      </c>
      <c r="W225" s="3">
        <v>251</v>
      </c>
      <c r="X225" s="30">
        <v>40.825000000000003</v>
      </c>
      <c r="Y225" s="33">
        <f t="shared" si="24"/>
        <v>4.1000000000000002E-2</v>
      </c>
      <c r="AA225" s="36">
        <v>40</v>
      </c>
      <c r="AB225" s="40">
        <v>2.5099999999999998</v>
      </c>
      <c r="AC225" s="38">
        <v>4.71</v>
      </c>
      <c r="AD225" s="39">
        <v>1.7310000000000001</v>
      </c>
      <c r="AE225" s="39">
        <v>4.3449999999999998</v>
      </c>
      <c r="AF225" s="36">
        <v>345</v>
      </c>
      <c r="AG225" s="36">
        <v>63</v>
      </c>
      <c r="AH225" s="45">
        <f t="shared" si="29"/>
        <v>2.2999999999999687E-2</v>
      </c>
      <c r="AI225" s="3">
        <f t="shared" si="25"/>
        <v>2510</v>
      </c>
      <c r="AJ225" s="44">
        <f t="shared" si="26"/>
        <v>0.251</v>
      </c>
      <c r="AP225" s="46">
        <f t="shared" si="27"/>
        <v>4.1000000000000002E-2</v>
      </c>
    </row>
    <row r="226" spans="19:42" ht="18">
      <c r="S226" s="8">
        <f t="shared" si="28"/>
        <v>0</v>
      </c>
      <c r="W226" s="3">
        <v>252</v>
      </c>
      <c r="X226" s="30">
        <v>40.9</v>
      </c>
      <c r="Y226" s="33">
        <f t="shared" si="24"/>
        <v>4.1000000000000002E-2</v>
      </c>
      <c r="AA226" s="36">
        <v>40</v>
      </c>
      <c r="AB226" s="40">
        <v>2.52</v>
      </c>
      <c r="AC226" s="38">
        <v>4.71</v>
      </c>
      <c r="AD226" s="39">
        <v>1.7330000000000001</v>
      </c>
      <c r="AE226" s="39">
        <v>4.3680000000000003</v>
      </c>
      <c r="AF226" s="36">
        <v>346</v>
      </c>
      <c r="AG226" s="36">
        <v>63</v>
      </c>
      <c r="AH226" s="45">
        <f t="shared" si="29"/>
        <v>2.3000000000000576E-2</v>
      </c>
      <c r="AI226" s="3">
        <f t="shared" si="25"/>
        <v>2520</v>
      </c>
      <c r="AJ226" s="44">
        <f t="shared" si="26"/>
        <v>0.252</v>
      </c>
      <c r="AP226" s="46">
        <f t="shared" si="27"/>
        <v>4.1000000000000002E-2</v>
      </c>
    </row>
    <row r="227" spans="19:42" ht="18">
      <c r="S227" s="8">
        <f t="shared" si="28"/>
        <v>0</v>
      </c>
      <c r="W227" s="3">
        <v>253</v>
      </c>
      <c r="X227" s="30">
        <v>40.975000000000001</v>
      </c>
      <c r="Y227" s="33">
        <f t="shared" si="24"/>
        <v>4.1000000000000002E-2</v>
      </c>
      <c r="AA227" s="36">
        <v>40</v>
      </c>
      <c r="AB227" s="40">
        <v>2.5299999999999998</v>
      </c>
      <c r="AC227" s="38">
        <v>4.71</v>
      </c>
      <c r="AD227" s="39">
        <v>1.736</v>
      </c>
      <c r="AE227" s="39">
        <v>4.391</v>
      </c>
      <c r="AF227" s="36">
        <v>347</v>
      </c>
      <c r="AG227" s="36">
        <v>63</v>
      </c>
      <c r="AH227" s="45">
        <f t="shared" si="29"/>
        <v>2.2999999999999687E-2</v>
      </c>
      <c r="AI227" s="3">
        <f t="shared" si="25"/>
        <v>2530</v>
      </c>
      <c r="AJ227" s="44">
        <f t="shared" si="26"/>
        <v>0.253</v>
      </c>
      <c r="AP227" s="46">
        <f t="shared" si="27"/>
        <v>4.1000000000000002E-2</v>
      </c>
    </row>
    <row r="228" spans="19:42" ht="18">
      <c r="S228" s="8">
        <f t="shared" si="28"/>
        <v>0</v>
      </c>
      <c r="W228" s="3">
        <v>254</v>
      </c>
      <c r="X228" s="30">
        <v>41.05</v>
      </c>
      <c r="Y228" s="33">
        <f t="shared" si="24"/>
        <v>4.1000000000000002E-2</v>
      </c>
      <c r="AA228" s="36">
        <v>41</v>
      </c>
      <c r="AB228" s="40">
        <v>2.54</v>
      </c>
      <c r="AC228" s="38">
        <v>4.8499999999999996</v>
      </c>
      <c r="AD228" s="39">
        <v>1.738</v>
      </c>
      <c r="AE228" s="39">
        <v>4.4130000000000003</v>
      </c>
      <c r="AF228" s="36">
        <v>339</v>
      </c>
      <c r="AG228" s="36">
        <v>62</v>
      </c>
      <c r="AH228" s="45">
        <f t="shared" si="29"/>
        <v>2.2000000000000242E-2</v>
      </c>
      <c r="AI228" s="3">
        <f t="shared" si="25"/>
        <v>2540</v>
      </c>
      <c r="AJ228" s="44">
        <f t="shared" si="26"/>
        <v>0.254</v>
      </c>
      <c r="AP228" s="46">
        <f t="shared" si="27"/>
        <v>4.1000000000000002E-2</v>
      </c>
    </row>
    <row r="229" spans="19:42" ht="18">
      <c r="S229" s="8">
        <f t="shared" si="28"/>
        <v>0</v>
      </c>
      <c r="W229" s="3">
        <v>255</v>
      </c>
      <c r="X229" s="30">
        <v>41.125</v>
      </c>
      <c r="Y229" s="33">
        <f t="shared" si="24"/>
        <v>4.1000000000000002E-2</v>
      </c>
      <c r="AA229" s="36">
        <v>41</v>
      </c>
      <c r="AB229" s="40">
        <v>2.5499999999999998</v>
      </c>
      <c r="AC229" s="38">
        <v>4.8499999999999996</v>
      </c>
      <c r="AD229" s="39">
        <v>1.74</v>
      </c>
      <c r="AE229" s="39">
        <v>4.4379999999999997</v>
      </c>
      <c r="AF229" s="36">
        <v>340</v>
      </c>
      <c r="AG229" s="36">
        <v>62</v>
      </c>
      <c r="AH229" s="45">
        <f t="shared" si="29"/>
        <v>2.4999999999999467E-2</v>
      </c>
      <c r="AI229" s="3">
        <f t="shared" si="25"/>
        <v>2550</v>
      </c>
      <c r="AJ229" s="44">
        <f t="shared" si="26"/>
        <v>0.255</v>
      </c>
      <c r="AP229" s="46">
        <f t="shared" si="27"/>
        <v>4.1000000000000002E-2</v>
      </c>
    </row>
    <row r="230" spans="19:42" ht="18">
      <c r="S230" s="8">
        <f t="shared" si="28"/>
        <v>0</v>
      </c>
      <c r="W230" s="3">
        <v>256</v>
      </c>
      <c r="X230" s="30">
        <v>41.2</v>
      </c>
      <c r="Y230" s="33">
        <f t="shared" si="24"/>
        <v>4.1000000000000002E-2</v>
      </c>
      <c r="AA230" s="36">
        <v>41</v>
      </c>
      <c r="AB230" s="40">
        <v>2.56</v>
      </c>
      <c r="AC230" s="38">
        <v>4.8499999999999996</v>
      </c>
      <c r="AD230" s="39">
        <v>1.7430000000000001</v>
      </c>
      <c r="AE230" s="39">
        <v>4.4619999999999997</v>
      </c>
      <c r="AF230" s="36">
        <v>341</v>
      </c>
      <c r="AG230" s="36">
        <v>62</v>
      </c>
      <c r="AH230" s="45">
        <f t="shared" si="29"/>
        <v>2.4000000000000021E-2</v>
      </c>
      <c r="AI230" s="3">
        <f t="shared" si="25"/>
        <v>2560</v>
      </c>
      <c r="AJ230" s="44">
        <f t="shared" si="26"/>
        <v>0.25600000000000001</v>
      </c>
      <c r="AP230" s="46">
        <f t="shared" si="27"/>
        <v>4.1000000000000002E-2</v>
      </c>
    </row>
    <row r="231" spans="19:42" ht="18">
      <c r="S231" s="8">
        <f t="shared" si="28"/>
        <v>0</v>
      </c>
      <c r="W231" s="3">
        <v>257</v>
      </c>
      <c r="X231" s="30">
        <v>41.274999999999999</v>
      </c>
      <c r="Y231" s="33">
        <f t="shared" si="24"/>
        <v>4.1000000000000002E-2</v>
      </c>
      <c r="AA231" s="36">
        <v>41</v>
      </c>
      <c r="AB231" s="40">
        <v>2.57</v>
      </c>
      <c r="AC231" s="38">
        <v>4.8499999999999996</v>
      </c>
      <c r="AD231" s="39">
        <v>1.7450000000000001</v>
      </c>
      <c r="AE231" s="39">
        <v>4.4850000000000003</v>
      </c>
      <c r="AF231" s="36">
        <v>342</v>
      </c>
      <c r="AG231" s="36">
        <v>63</v>
      </c>
      <c r="AH231" s="45">
        <f t="shared" si="29"/>
        <v>2.3000000000000576E-2</v>
      </c>
      <c r="AI231" s="3">
        <f t="shared" si="25"/>
        <v>2570</v>
      </c>
      <c r="AJ231" s="44">
        <f t="shared" si="26"/>
        <v>0.25700000000000001</v>
      </c>
      <c r="AP231" s="46">
        <f t="shared" si="27"/>
        <v>4.1000000000000002E-2</v>
      </c>
    </row>
    <row r="232" spans="19:42" ht="18">
      <c r="S232" s="8">
        <f t="shared" si="28"/>
        <v>0</v>
      </c>
      <c r="W232" s="3">
        <v>258</v>
      </c>
      <c r="X232" s="30">
        <v>41.35</v>
      </c>
      <c r="Y232" s="33">
        <f t="shared" si="24"/>
        <v>4.1000000000000002E-2</v>
      </c>
      <c r="AA232" s="36">
        <v>41</v>
      </c>
      <c r="AB232" s="40">
        <v>2.58</v>
      </c>
      <c r="AC232" s="38">
        <v>4.8499999999999996</v>
      </c>
      <c r="AD232" s="39">
        <v>1.748</v>
      </c>
      <c r="AE232" s="39">
        <v>4.5090000000000003</v>
      </c>
      <c r="AF232" s="36">
        <v>343</v>
      </c>
      <c r="AG232" s="36">
        <v>63</v>
      </c>
      <c r="AH232" s="45">
        <f t="shared" si="29"/>
        <v>2.4000000000000021E-2</v>
      </c>
      <c r="AI232" s="3">
        <f t="shared" si="25"/>
        <v>2580</v>
      </c>
      <c r="AJ232" s="44">
        <f t="shared" si="26"/>
        <v>0.25800000000000001</v>
      </c>
      <c r="AP232" s="46">
        <f t="shared" si="27"/>
        <v>4.1000000000000002E-2</v>
      </c>
    </row>
    <row r="233" spans="19:42" ht="18">
      <c r="S233" s="8">
        <f t="shared" si="28"/>
        <v>0</v>
      </c>
      <c r="W233" s="3">
        <v>259</v>
      </c>
      <c r="X233" s="30">
        <v>41.424999999999997</v>
      </c>
      <c r="Y233" s="33">
        <f t="shared" si="24"/>
        <v>4.1000000000000002E-2</v>
      </c>
      <c r="AA233" s="36">
        <v>41</v>
      </c>
      <c r="AB233" s="40">
        <v>2.59</v>
      </c>
      <c r="AC233" s="38">
        <v>4.8499999999999996</v>
      </c>
      <c r="AD233" s="39">
        <v>1.75</v>
      </c>
      <c r="AE233" s="39">
        <v>4.5330000000000004</v>
      </c>
      <c r="AF233" s="36">
        <v>343</v>
      </c>
      <c r="AG233" s="36">
        <v>63</v>
      </c>
      <c r="AH233" s="45">
        <f t="shared" si="29"/>
        <v>2.4000000000000021E-2</v>
      </c>
      <c r="AI233" s="3">
        <f t="shared" si="25"/>
        <v>2590</v>
      </c>
      <c r="AJ233" s="44">
        <f t="shared" si="26"/>
        <v>0.25900000000000001</v>
      </c>
      <c r="AP233" s="46">
        <f t="shared" si="27"/>
        <v>4.1000000000000002E-2</v>
      </c>
    </row>
    <row r="234" spans="19:42" ht="18">
      <c r="S234" s="8">
        <f t="shared" si="28"/>
        <v>0</v>
      </c>
      <c r="W234" s="3">
        <v>260</v>
      </c>
      <c r="X234" s="30">
        <v>41.5</v>
      </c>
      <c r="Y234" s="33">
        <f t="shared" si="24"/>
        <v>4.2000000000000003E-2</v>
      </c>
      <c r="AA234" s="36">
        <v>41</v>
      </c>
      <c r="AB234" s="40">
        <v>2.6</v>
      </c>
      <c r="AC234" s="38">
        <v>4.8499999999999996</v>
      </c>
      <c r="AD234" s="39">
        <v>1.7529999999999999</v>
      </c>
      <c r="AE234" s="39">
        <v>4.5570000000000004</v>
      </c>
      <c r="AF234" s="36">
        <v>344</v>
      </c>
      <c r="AG234" s="36">
        <v>63</v>
      </c>
      <c r="AH234" s="45">
        <f t="shared" si="29"/>
        <v>2.4000000000000021E-2</v>
      </c>
      <c r="AI234" s="3">
        <f t="shared" si="25"/>
        <v>2600</v>
      </c>
      <c r="AJ234" s="44">
        <f t="shared" si="26"/>
        <v>0.26</v>
      </c>
      <c r="AP234" s="46">
        <f t="shared" si="27"/>
        <v>4.2000000000000003E-2</v>
      </c>
    </row>
    <row r="235" spans="19:42" ht="18">
      <c r="S235" s="8">
        <f t="shared" si="28"/>
        <v>0</v>
      </c>
      <c r="W235" s="3">
        <v>261</v>
      </c>
      <c r="X235" s="30">
        <v>41.575000000000003</v>
      </c>
      <c r="Y235" s="33">
        <f t="shared" si="24"/>
        <v>4.2000000000000003E-2</v>
      </c>
      <c r="AA235" s="36">
        <v>41</v>
      </c>
      <c r="AB235" s="40">
        <v>2.61</v>
      </c>
      <c r="AC235" s="38">
        <v>4.8499999999999996</v>
      </c>
      <c r="AD235" s="39">
        <v>1.7549999999999999</v>
      </c>
      <c r="AE235" s="39">
        <v>4.5810000000000004</v>
      </c>
      <c r="AF235" s="36">
        <v>345</v>
      </c>
      <c r="AG235" s="36">
        <v>64</v>
      </c>
      <c r="AH235" s="45">
        <f t="shared" si="29"/>
        <v>2.4000000000000021E-2</v>
      </c>
      <c r="AI235" s="3">
        <f t="shared" si="25"/>
        <v>2610</v>
      </c>
      <c r="AJ235" s="44">
        <f t="shared" si="26"/>
        <v>0.26100000000000001</v>
      </c>
      <c r="AP235" s="46">
        <f t="shared" si="27"/>
        <v>4.2000000000000003E-2</v>
      </c>
    </row>
    <row r="236" spans="19:42" ht="18">
      <c r="S236" s="8">
        <f t="shared" si="28"/>
        <v>0</v>
      </c>
      <c r="W236" s="3">
        <v>262</v>
      </c>
      <c r="X236" s="30">
        <v>41.65</v>
      </c>
      <c r="Y236" s="33">
        <f t="shared" si="24"/>
        <v>4.2000000000000003E-2</v>
      </c>
      <c r="AA236" s="36">
        <v>41</v>
      </c>
      <c r="AB236" s="40">
        <v>2.62</v>
      </c>
      <c r="AC236" s="38">
        <v>4.8499999999999996</v>
      </c>
      <c r="AD236" s="39">
        <v>1.758</v>
      </c>
      <c r="AE236" s="39">
        <v>4.6050000000000004</v>
      </c>
      <c r="AF236" s="36">
        <v>346</v>
      </c>
      <c r="AG236" s="36">
        <v>64</v>
      </c>
      <c r="AH236" s="45">
        <f t="shared" si="29"/>
        <v>2.4000000000000021E-2</v>
      </c>
      <c r="AI236" s="3">
        <f t="shared" si="25"/>
        <v>2620</v>
      </c>
      <c r="AJ236" s="44">
        <f t="shared" si="26"/>
        <v>0.26200000000000001</v>
      </c>
      <c r="AP236" s="46">
        <f t="shared" si="27"/>
        <v>4.2000000000000003E-2</v>
      </c>
    </row>
    <row r="237" spans="19:42" ht="18">
      <c r="S237" s="8">
        <f t="shared" si="28"/>
        <v>0</v>
      </c>
      <c r="W237" s="3">
        <v>263</v>
      </c>
      <c r="X237" s="30">
        <v>41.725000000000001</v>
      </c>
      <c r="Y237" s="33">
        <f t="shared" si="24"/>
        <v>4.2000000000000003E-2</v>
      </c>
      <c r="AA237" s="36">
        <v>42</v>
      </c>
      <c r="AB237" s="40">
        <v>2.63</v>
      </c>
      <c r="AC237" s="38">
        <v>5</v>
      </c>
      <c r="AD237" s="39">
        <v>1.76</v>
      </c>
      <c r="AE237" s="39">
        <v>4.6219999999999999</v>
      </c>
      <c r="AF237" s="36">
        <v>337</v>
      </c>
      <c r="AG237" s="36">
        <v>63</v>
      </c>
      <c r="AH237" s="45">
        <f t="shared" si="29"/>
        <v>1.699999999999946E-2</v>
      </c>
      <c r="AI237" s="3">
        <f t="shared" si="25"/>
        <v>2630</v>
      </c>
      <c r="AJ237" s="44">
        <f t="shared" si="26"/>
        <v>0.26300000000000001</v>
      </c>
      <c r="AP237" s="46">
        <f t="shared" si="27"/>
        <v>4.2000000000000003E-2</v>
      </c>
    </row>
    <row r="238" spans="19:42" ht="18">
      <c r="S238" s="8">
        <f t="shared" si="28"/>
        <v>0</v>
      </c>
      <c r="W238" s="3">
        <v>264</v>
      </c>
      <c r="X238" s="30">
        <v>41.8</v>
      </c>
      <c r="Y238" s="33">
        <f t="shared" si="24"/>
        <v>4.2000000000000003E-2</v>
      </c>
      <c r="AA238" s="36">
        <v>42</v>
      </c>
      <c r="AB238" s="40">
        <v>2.64</v>
      </c>
      <c r="AC238" s="38">
        <v>5</v>
      </c>
      <c r="AD238" s="39">
        <v>1.7629999999999999</v>
      </c>
      <c r="AE238" s="39">
        <v>4.6539999999999999</v>
      </c>
      <c r="AF238" s="36">
        <v>339</v>
      </c>
      <c r="AG238" s="36">
        <v>63</v>
      </c>
      <c r="AH238" s="45">
        <f t="shared" si="29"/>
        <v>3.2000000000000028E-2</v>
      </c>
      <c r="AI238" s="3">
        <f t="shared" si="25"/>
        <v>2640</v>
      </c>
      <c r="AJ238" s="44">
        <f t="shared" si="26"/>
        <v>0.26400000000000001</v>
      </c>
      <c r="AP238" s="46">
        <f t="shared" si="27"/>
        <v>4.2000000000000003E-2</v>
      </c>
    </row>
    <row r="239" spans="19:42" ht="18">
      <c r="S239" s="8">
        <f t="shared" si="28"/>
        <v>0</v>
      </c>
      <c r="W239" s="3">
        <v>265</v>
      </c>
      <c r="X239" s="30">
        <v>41.875</v>
      </c>
      <c r="Y239" s="33">
        <f t="shared" si="24"/>
        <v>4.2000000000000003E-2</v>
      </c>
      <c r="AA239" s="36">
        <v>42</v>
      </c>
      <c r="AB239" s="40">
        <v>2.65</v>
      </c>
      <c r="AC239" s="38">
        <v>5</v>
      </c>
      <c r="AD239" s="39">
        <v>1.766</v>
      </c>
      <c r="AE239" s="39">
        <v>4.6790000000000003</v>
      </c>
      <c r="AF239" s="36">
        <v>339</v>
      </c>
      <c r="AG239" s="36">
        <v>63</v>
      </c>
      <c r="AH239" s="45">
        <f t="shared" si="29"/>
        <v>2.5000000000000355E-2</v>
      </c>
      <c r="AI239" s="3">
        <f t="shared" si="25"/>
        <v>2650</v>
      </c>
      <c r="AJ239" s="44">
        <f t="shared" si="26"/>
        <v>0.26500000000000001</v>
      </c>
      <c r="AP239" s="46">
        <f t="shared" si="27"/>
        <v>4.2000000000000003E-2</v>
      </c>
    </row>
    <row r="240" spans="19:42" ht="18">
      <c r="S240" s="8">
        <f t="shared" si="28"/>
        <v>0</v>
      </c>
      <c r="W240" s="3">
        <v>266</v>
      </c>
      <c r="X240" s="30">
        <v>41.95</v>
      </c>
      <c r="Y240" s="33">
        <f t="shared" si="24"/>
        <v>4.2000000000000003E-2</v>
      </c>
      <c r="AA240" s="36">
        <v>42</v>
      </c>
      <c r="AB240" s="40">
        <v>2.66</v>
      </c>
      <c r="AC240" s="38">
        <v>5</v>
      </c>
      <c r="AD240" s="39">
        <v>1.7689999999999999</v>
      </c>
      <c r="AE240" s="39">
        <v>4.7039999999999997</v>
      </c>
      <c r="AF240" s="36">
        <v>340</v>
      </c>
      <c r="AG240" s="36">
        <v>63</v>
      </c>
      <c r="AH240" s="45">
        <f t="shared" si="29"/>
        <v>2.4999999999999467E-2</v>
      </c>
      <c r="AI240" s="3">
        <f t="shared" si="25"/>
        <v>2660</v>
      </c>
      <c r="AJ240" s="44">
        <f t="shared" si="26"/>
        <v>0.26600000000000001</v>
      </c>
      <c r="AP240" s="46">
        <f t="shared" si="27"/>
        <v>4.2000000000000003E-2</v>
      </c>
    </row>
    <row r="241" spans="19:42" ht="18">
      <c r="S241" s="8">
        <f t="shared" si="28"/>
        <v>0</v>
      </c>
      <c r="W241" s="3">
        <v>267</v>
      </c>
      <c r="X241" s="30">
        <v>42.024999999999999</v>
      </c>
      <c r="Y241" s="33">
        <f t="shared" si="24"/>
        <v>4.2000000000000003E-2</v>
      </c>
      <c r="AA241" s="36">
        <v>42</v>
      </c>
      <c r="AB241" s="40">
        <v>2.67</v>
      </c>
      <c r="AC241" s="38">
        <v>5</v>
      </c>
      <c r="AD241" s="39">
        <v>1.7709999999999999</v>
      </c>
      <c r="AE241" s="39">
        <v>4.7300000000000004</v>
      </c>
      <c r="AF241" s="36">
        <v>341</v>
      </c>
      <c r="AG241" s="36">
        <v>64</v>
      </c>
      <c r="AH241" s="45">
        <f t="shared" si="29"/>
        <v>2.6000000000000689E-2</v>
      </c>
      <c r="AI241" s="3">
        <f t="shared" si="25"/>
        <v>2670</v>
      </c>
      <c r="AJ241" s="44">
        <f t="shared" si="26"/>
        <v>0.26700000000000002</v>
      </c>
      <c r="AP241" s="46">
        <f t="shared" si="27"/>
        <v>4.2000000000000003E-2</v>
      </c>
    </row>
    <row r="242" spans="19:42" ht="18">
      <c r="S242" s="8">
        <f t="shared" si="28"/>
        <v>0</v>
      </c>
      <c r="W242" s="3">
        <v>268</v>
      </c>
      <c r="X242" s="30">
        <v>42.1</v>
      </c>
      <c r="Y242" s="33">
        <f t="shared" si="24"/>
        <v>4.2000000000000003E-2</v>
      </c>
      <c r="AA242" s="36">
        <v>42</v>
      </c>
      <c r="AB242" s="40">
        <v>2.68</v>
      </c>
      <c r="AC242" s="38">
        <v>5</v>
      </c>
      <c r="AD242" s="39">
        <v>1.774</v>
      </c>
      <c r="AE242" s="39">
        <v>4.7549999999999999</v>
      </c>
      <c r="AF242" s="36">
        <v>342</v>
      </c>
      <c r="AG242" s="36">
        <v>64</v>
      </c>
      <c r="AH242" s="45">
        <f t="shared" si="29"/>
        <v>2.4999999999999467E-2</v>
      </c>
      <c r="AI242" s="3">
        <f t="shared" si="25"/>
        <v>2680</v>
      </c>
      <c r="AJ242" s="44">
        <f t="shared" si="26"/>
        <v>0.26800000000000002</v>
      </c>
      <c r="AP242" s="46">
        <f t="shared" si="27"/>
        <v>4.2000000000000003E-2</v>
      </c>
    </row>
    <row r="243" spans="19:42" ht="18">
      <c r="S243" s="8">
        <f t="shared" si="28"/>
        <v>0</v>
      </c>
      <c r="W243" s="3">
        <v>269</v>
      </c>
      <c r="X243" s="30">
        <v>42.174999999999997</v>
      </c>
      <c r="Y243" s="33">
        <f t="shared" si="24"/>
        <v>4.2000000000000003E-2</v>
      </c>
      <c r="AA243" s="36">
        <v>42</v>
      </c>
      <c r="AB243" s="40">
        <v>2.69</v>
      </c>
      <c r="AC243" s="38">
        <v>5</v>
      </c>
      <c r="AD243" s="39">
        <v>1.7769999999999999</v>
      </c>
      <c r="AE243" s="39">
        <v>4.78</v>
      </c>
      <c r="AF243" s="36">
        <v>342</v>
      </c>
      <c r="AG243" s="36">
        <v>64</v>
      </c>
      <c r="AH243" s="45">
        <f t="shared" si="29"/>
        <v>2.5000000000000355E-2</v>
      </c>
      <c r="AI243" s="3">
        <f t="shared" si="25"/>
        <v>2690</v>
      </c>
      <c r="AJ243" s="44">
        <f t="shared" si="26"/>
        <v>0.26900000000000002</v>
      </c>
      <c r="AP243" s="46">
        <f t="shared" si="27"/>
        <v>4.2000000000000003E-2</v>
      </c>
    </row>
    <row r="244" spans="19:42" ht="18">
      <c r="S244" s="8">
        <f t="shared" si="28"/>
        <v>0</v>
      </c>
      <c r="W244" s="3">
        <v>270</v>
      </c>
      <c r="X244" s="30">
        <v>42.25</v>
      </c>
      <c r="Y244" s="33">
        <f t="shared" si="24"/>
        <v>4.2000000000000003E-2</v>
      </c>
      <c r="AA244" s="36">
        <v>43</v>
      </c>
      <c r="AB244" s="40">
        <v>2.7</v>
      </c>
      <c r="AC244" s="38">
        <v>5.14</v>
      </c>
      <c r="AD244" s="39">
        <v>1.78</v>
      </c>
      <c r="AE244" s="39">
        <v>4.8150000000000004</v>
      </c>
      <c r="AF244" s="36">
        <v>335</v>
      </c>
      <c r="AG244" s="36">
        <v>63</v>
      </c>
      <c r="AH244" s="45">
        <f t="shared" si="29"/>
        <v>3.5000000000000142E-2</v>
      </c>
      <c r="AI244" s="3">
        <f t="shared" si="25"/>
        <v>2700</v>
      </c>
      <c r="AJ244" s="44">
        <f t="shared" si="26"/>
        <v>0.27</v>
      </c>
      <c r="AP244" s="46">
        <f t="shared" si="27"/>
        <v>4.2000000000000003E-2</v>
      </c>
    </row>
    <row r="245" spans="19:42" ht="18">
      <c r="S245" s="8">
        <f t="shared" si="28"/>
        <v>0</v>
      </c>
      <c r="W245" s="3">
        <v>271</v>
      </c>
      <c r="X245" s="30">
        <v>42.325000000000003</v>
      </c>
      <c r="Y245" s="33">
        <f t="shared" si="24"/>
        <v>4.2000000000000003E-2</v>
      </c>
      <c r="AA245" s="36">
        <v>43</v>
      </c>
      <c r="AB245" s="40">
        <v>2.71</v>
      </c>
      <c r="AC245" s="38">
        <v>5.14</v>
      </c>
      <c r="AD245" s="39">
        <v>1.7829999999999999</v>
      </c>
      <c r="AE245" s="39">
        <v>4.8310000000000004</v>
      </c>
      <c r="AF245" s="36">
        <v>335</v>
      </c>
      <c r="AG245" s="36">
        <v>63</v>
      </c>
      <c r="AH245" s="45">
        <f t="shared" si="29"/>
        <v>1.6000000000000014E-2</v>
      </c>
      <c r="AI245" s="3">
        <f t="shared" si="25"/>
        <v>2710</v>
      </c>
      <c r="AJ245" s="44">
        <f t="shared" si="26"/>
        <v>0.27100000000000002</v>
      </c>
      <c r="AP245" s="46">
        <f t="shared" si="27"/>
        <v>4.2000000000000003E-2</v>
      </c>
    </row>
    <row r="246" spans="19:42" ht="18">
      <c r="S246" s="8">
        <f t="shared" si="28"/>
        <v>0</v>
      </c>
      <c r="W246" s="3">
        <v>272</v>
      </c>
      <c r="X246" s="30">
        <v>42.4</v>
      </c>
      <c r="Y246" s="33">
        <f t="shared" si="24"/>
        <v>4.2000000000000003E-2</v>
      </c>
      <c r="AA246" s="36">
        <v>43</v>
      </c>
      <c r="AB246" s="40">
        <v>2.72</v>
      </c>
      <c r="AC246" s="38">
        <v>5.14</v>
      </c>
      <c r="AD246" s="39">
        <v>1.7849999999999999</v>
      </c>
      <c r="AE246" s="39">
        <v>4.8550000000000004</v>
      </c>
      <c r="AF246" s="36">
        <v>336</v>
      </c>
      <c r="AG246" s="36">
        <v>63</v>
      </c>
      <c r="AH246" s="45">
        <f t="shared" si="29"/>
        <v>2.4000000000000021E-2</v>
      </c>
      <c r="AI246" s="3">
        <f t="shared" si="25"/>
        <v>2720</v>
      </c>
      <c r="AJ246" s="44">
        <f t="shared" si="26"/>
        <v>0.27200000000000002</v>
      </c>
      <c r="AP246" s="46">
        <f t="shared" si="27"/>
        <v>4.2000000000000003E-2</v>
      </c>
    </row>
    <row r="247" spans="19:42" ht="18">
      <c r="S247" s="8">
        <f t="shared" si="28"/>
        <v>0</v>
      </c>
      <c r="W247" s="3">
        <v>273</v>
      </c>
      <c r="X247" s="30">
        <v>42.475000000000001</v>
      </c>
      <c r="Y247" s="33">
        <f t="shared" si="24"/>
        <v>4.2000000000000003E-2</v>
      </c>
      <c r="AA247" s="36">
        <v>43</v>
      </c>
      <c r="AB247" s="40">
        <v>2.73</v>
      </c>
      <c r="AC247" s="38">
        <v>5.14</v>
      </c>
      <c r="AD247" s="39">
        <v>1.788</v>
      </c>
      <c r="AE247" s="39">
        <v>4.88</v>
      </c>
      <c r="AF247" s="36">
        <v>337</v>
      </c>
      <c r="AG247" s="36">
        <v>63</v>
      </c>
      <c r="AH247" s="45">
        <f t="shared" si="29"/>
        <v>2.4999999999999467E-2</v>
      </c>
      <c r="AI247" s="3">
        <f t="shared" si="25"/>
        <v>2730</v>
      </c>
      <c r="AJ247" s="44">
        <f t="shared" si="26"/>
        <v>0.27300000000000002</v>
      </c>
      <c r="AP247" s="46">
        <f t="shared" si="27"/>
        <v>4.2000000000000003E-2</v>
      </c>
    </row>
    <row r="248" spans="19:42" ht="18">
      <c r="S248" s="8">
        <f t="shared" si="28"/>
        <v>0</v>
      </c>
      <c r="W248" s="3">
        <v>274</v>
      </c>
      <c r="X248" s="30">
        <v>42.55</v>
      </c>
      <c r="Y248" s="33">
        <f t="shared" si="24"/>
        <v>4.2999999999999997E-2</v>
      </c>
      <c r="AA248" s="36">
        <v>43</v>
      </c>
      <c r="AB248" s="40">
        <v>2.74</v>
      </c>
      <c r="AC248" s="38">
        <v>5.14</v>
      </c>
      <c r="AD248" s="39">
        <v>1.79</v>
      </c>
      <c r="AE248" s="39">
        <v>4.9050000000000002</v>
      </c>
      <c r="AF248" s="36">
        <v>338</v>
      </c>
      <c r="AG248" s="36">
        <v>64</v>
      </c>
      <c r="AH248" s="45">
        <f t="shared" si="29"/>
        <v>2.5000000000000355E-2</v>
      </c>
      <c r="AI248" s="3">
        <f t="shared" si="25"/>
        <v>2740</v>
      </c>
      <c r="AJ248" s="44">
        <f t="shared" si="26"/>
        <v>0.27400000000000002</v>
      </c>
      <c r="AP248" s="46">
        <f t="shared" si="27"/>
        <v>4.2999999999999997E-2</v>
      </c>
    </row>
    <row r="249" spans="19:42" ht="18">
      <c r="S249" s="8">
        <f t="shared" si="28"/>
        <v>0</v>
      </c>
      <c r="W249" s="3">
        <v>275</v>
      </c>
      <c r="X249" s="30">
        <v>42.625</v>
      </c>
      <c r="Y249" s="33">
        <f t="shared" si="24"/>
        <v>4.2999999999999997E-2</v>
      </c>
      <c r="AA249" s="36">
        <v>43</v>
      </c>
      <c r="AB249" s="40">
        <v>2.75</v>
      </c>
      <c r="AC249" s="38">
        <v>5.14</v>
      </c>
      <c r="AD249" s="39">
        <v>1.7929999999999999</v>
      </c>
      <c r="AE249" s="39">
        <v>4.9290000000000003</v>
      </c>
      <c r="AF249" s="36">
        <v>338</v>
      </c>
      <c r="AG249" s="36">
        <v>64</v>
      </c>
      <c r="AH249" s="45">
        <f t="shared" si="29"/>
        <v>2.4000000000000021E-2</v>
      </c>
      <c r="AI249" s="3">
        <f t="shared" si="25"/>
        <v>2750</v>
      </c>
      <c r="AJ249" s="44">
        <f t="shared" si="26"/>
        <v>0.27500000000000002</v>
      </c>
      <c r="AP249" s="46">
        <f t="shared" si="27"/>
        <v>4.2999999999999997E-2</v>
      </c>
    </row>
    <row r="250" spans="19:42" ht="18">
      <c r="S250" s="8">
        <f t="shared" si="28"/>
        <v>0</v>
      </c>
      <c r="W250" s="3">
        <v>276</v>
      </c>
      <c r="X250" s="30">
        <v>42.7</v>
      </c>
      <c r="Y250" s="33">
        <f t="shared" si="24"/>
        <v>4.2999999999999997E-2</v>
      </c>
      <c r="AA250" s="36">
        <v>43</v>
      </c>
      <c r="AB250" s="40">
        <v>2.76</v>
      </c>
      <c r="AC250" s="38">
        <v>5.14</v>
      </c>
      <c r="AD250" s="39">
        <v>1.7949999999999999</v>
      </c>
      <c r="AE250" s="39">
        <v>4.9539999999999997</v>
      </c>
      <c r="AF250" s="36">
        <v>339</v>
      </c>
      <c r="AG250" s="36">
        <v>64</v>
      </c>
      <c r="AH250" s="45">
        <f t="shared" si="29"/>
        <v>2.4999999999999467E-2</v>
      </c>
      <c r="AI250" s="3">
        <f t="shared" si="25"/>
        <v>2760</v>
      </c>
      <c r="AJ250" s="44">
        <f t="shared" si="26"/>
        <v>0.27600000000000002</v>
      </c>
      <c r="AP250" s="46">
        <f t="shared" si="27"/>
        <v>4.2999999999999997E-2</v>
      </c>
    </row>
    <row r="251" spans="19:42" ht="18">
      <c r="S251" s="8">
        <f t="shared" si="28"/>
        <v>0</v>
      </c>
      <c r="W251" s="3">
        <v>277</v>
      </c>
      <c r="X251" s="30">
        <v>42.774999999999999</v>
      </c>
      <c r="Y251" s="33">
        <f t="shared" si="24"/>
        <v>4.2999999999999997E-2</v>
      </c>
      <c r="AA251" s="36">
        <v>43</v>
      </c>
      <c r="AB251" s="40">
        <v>2.77</v>
      </c>
      <c r="AC251" s="38">
        <v>5.14</v>
      </c>
      <c r="AD251" s="39">
        <v>1.798</v>
      </c>
      <c r="AE251" s="39">
        <v>4.9790000000000001</v>
      </c>
      <c r="AF251" s="36">
        <v>340</v>
      </c>
      <c r="AG251" s="36">
        <v>64</v>
      </c>
      <c r="AH251" s="45">
        <f t="shared" si="29"/>
        <v>2.5000000000000355E-2</v>
      </c>
      <c r="AI251" s="3">
        <f t="shared" si="25"/>
        <v>2770</v>
      </c>
      <c r="AJ251" s="44">
        <f t="shared" si="26"/>
        <v>0.27700000000000002</v>
      </c>
      <c r="AP251" s="46">
        <f t="shared" si="27"/>
        <v>4.2999999999999997E-2</v>
      </c>
    </row>
    <row r="252" spans="19:42" ht="18">
      <c r="S252" s="8">
        <f t="shared" si="28"/>
        <v>0</v>
      </c>
      <c r="W252" s="3">
        <v>278</v>
      </c>
      <c r="X252" s="30">
        <v>42.85</v>
      </c>
      <c r="Y252" s="33">
        <f t="shared" si="24"/>
        <v>4.2999999999999997E-2</v>
      </c>
      <c r="AA252" s="36">
        <v>44</v>
      </c>
      <c r="AB252" s="40">
        <v>2.78</v>
      </c>
      <c r="AC252" s="38">
        <v>5.28</v>
      </c>
      <c r="AD252" s="39">
        <v>1.8</v>
      </c>
      <c r="AE252" s="39">
        <v>5.0110000000000001</v>
      </c>
      <c r="AF252" s="36">
        <v>333</v>
      </c>
      <c r="AG252" s="36">
        <v>63</v>
      </c>
      <c r="AH252" s="45">
        <f t="shared" si="29"/>
        <v>3.2000000000000028E-2</v>
      </c>
      <c r="AI252" s="3">
        <f t="shared" si="25"/>
        <v>2780</v>
      </c>
      <c r="AJ252" s="44">
        <f t="shared" si="26"/>
        <v>0.27800000000000002</v>
      </c>
      <c r="AP252" s="46">
        <f t="shared" si="27"/>
        <v>4.2999999999999997E-2</v>
      </c>
    </row>
    <row r="253" spans="19:42" ht="18">
      <c r="S253" s="8">
        <f t="shared" si="28"/>
        <v>0</v>
      </c>
      <c r="W253" s="3">
        <v>279</v>
      </c>
      <c r="X253" s="30">
        <v>42.924999999999997</v>
      </c>
      <c r="Y253" s="33">
        <f t="shared" si="24"/>
        <v>4.2999999999999997E-2</v>
      </c>
      <c r="AA253" s="36">
        <v>44</v>
      </c>
      <c r="AB253" s="40">
        <v>2.79</v>
      </c>
      <c r="AC253" s="38">
        <v>5.28</v>
      </c>
      <c r="AD253" s="39">
        <v>1.8029999999999999</v>
      </c>
      <c r="AE253" s="39">
        <v>5.0289999999999999</v>
      </c>
      <c r="AF253" s="36">
        <v>333</v>
      </c>
      <c r="AG253" s="36">
        <v>63</v>
      </c>
      <c r="AH253" s="45">
        <f t="shared" si="29"/>
        <v>1.7999999999999794E-2</v>
      </c>
      <c r="AI253" s="3">
        <f t="shared" si="25"/>
        <v>2790</v>
      </c>
      <c r="AJ253" s="44">
        <f t="shared" si="26"/>
        <v>0.27900000000000003</v>
      </c>
      <c r="AP253" s="46">
        <f t="shared" si="27"/>
        <v>4.2999999999999997E-2</v>
      </c>
    </row>
    <row r="254" spans="19:42" ht="18">
      <c r="S254" s="8">
        <f t="shared" si="28"/>
        <v>0</v>
      </c>
      <c r="W254" s="3">
        <v>280</v>
      </c>
      <c r="X254" s="30">
        <v>43</v>
      </c>
      <c r="Y254" s="33">
        <f t="shared" si="24"/>
        <v>4.2999999999999997E-2</v>
      </c>
      <c r="AA254" s="36">
        <v>44</v>
      </c>
      <c r="AB254" s="40">
        <v>2.8</v>
      </c>
      <c r="AC254" s="38">
        <v>5.28</v>
      </c>
      <c r="AD254" s="39">
        <v>1.8049999999999999</v>
      </c>
      <c r="AE254" s="39">
        <v>5.0549999999999997</v>
      </c>
      <c r="AF254" s="36">
        <v>334</v>
      </c>
      <c r="AG254" s="36">
        <v>64</v>
      </c>
      <c r="AH254" s="45">
        <f t="shared" si="29"/>
        <v>2.5999999999999801E-2</v>
      </c>
      <c r="AI254" s="3">
        <f t="shared" si="25"/>
        <v>2800</v>
      </c>
      <c r="AJ254" s="44">
        <f t="shared" si="26"/>
        <v>0.28000000000000003</v>
      </c>
      <c r="AP254" s="46">
        <f t="shared" si="27"/>
        <v>4.2999999999999997E-2</v>
      </c>
    </row>
    <row r="255" spans="19:42" ht="18">
      <c r="S255" s="8">
        <f t="shared" si="28"/>
        <v>0</v>
      </c>
      <c r="W255" s="3">
        <v>281</v>
      </c>
      <c r="X255" s="30">
        <v>43.05</v>
      </c>
      <c r="Y255" s="33">
        <f t="shared" si="24"/>
        <v>4.2999999999999997E-2</v>
      </c>
      <c r="AA255" s="36">
        <v>44</v>
      </c>
      <c r="AB255" s="40">
        <v>2.81</v>
      </c>
      <c r="AC255" s="38">
        <v>5.28</v>
      </c>
      <c r="AD255" s="39">
        <v>1.8080000000000001</v>
      </c>
      <c r="AE255" s="39">
        <v>5.08</v>
      </c>
      <c r="AF255" s="36">
        <v>335</v>
      </c>
      <c r="AG255" s="36">
        <v>64</v>
      </c>
      <c r="AH255" s="45">
        <f t="shared" si="29"/>
        <v>2.5000000000000355E-2</v>
      </c>
      <c r="AI255" s="3">
        <f t="shared" si="25"/>
        <v>2810</v>
      </c>
      <c r="AJ255" s="44">
        <f t="shared" si="26"/>
        <v>0.28100000000000003</v>
      </c>
      <c r="AP255" s="46">
        <f t="shared" si="27"/>
        <v>4.2999999999999997E-2</v>
      </c>
    </row>
    <row r="256" spans="19:42" ht="18">
      <c r="S256" s="8">
        <f t="shared" si="28"/>
        <v>0</v>
      </c>
      <c r="W256" s="3">
        <v>282</v>
      </c>
      <c r="X256" s="30">
        <v>43.1</v>
      </c>
      <c r="Y256" s="33">
        <f t="shared" si="24"/>
        <v>4.2999999999999997E-2</v>
      </c>
      <c r="AA256" s="36">
        <v>44</v>
      </c>
      <c r="AB256" s="40">
        <v>2.82</v>
      </c>
      <c r="AC256" s="38">
        <v>5.28</v>
      </c>
      <c r="AD256" s="39">
        <v>1.8109999999999999</v>
      </c>
      <c r="AE256" s="39">
        <v>5.1059999999999999</v>
      </c>
      <c r="AF256" s="36">
        <v>335</v>
      </c>
      <c r="AG256" s="36">
        <v>64</v>
      </c>
      <c r="AH256" s="45">
        <f t="shared" si="29"/>
        <v>2.5999999999999801E-2</v>
      </c>
      <c r="AI256" s="3">
        <f t="shared" si="25"/>
        <v>2820</v>
      </c>
      <c r="AJ256" s="44">
        <f t="shared" si="26"/>
        <v>0.28199999999999997</v>
      </c>
      <c r="AP256" s="46">
        <f t="shared" si="27"/>
        <v>4.2999999999999997E-2</v>
      </c>
    </row>
    <row r="257" spans="19:42" ht="18">
      <c r="S257" s="8">
        <f t="shared" si="28"/>
        <v>0</v>
      </c>
      <c r="W257" s="3">
        <v>283</v>
      </c>
      <c r="X257" s="30">
        <v>43.15</v>
      </c>
      <c r="Y257" s="33">
        <f t="shared" si="24"/>
        <v>4.2999999999999997E-2</v>
      </c>
      <c r="AA257" s="36">
        <v>44</v>
      </c>
      <c r="AB257" s="40">
        <v>2.83</v>
      </c>
      <c r="AC257" s="38">
        <v>5.28</v>
      </c>
      <c r="AD257" s="39">
        <v>1.8129999999999999</v>
      </c>
      <c r="AE257" s="39">
        <v>5.1310000000000002</v>
      </c>
      <c r="AF257" s="36">
        <v>336</v>
      </c>
      <c r="AG257" s="36">
        <v>64</v>
      </c>
      <c r="AH257" s="45">
        <f t="shared" si="29"/>
        <v>2.5000000000000355E-2</v>
      </c>
      <c r="AI257" s="3">
        <f t="shared" si="25"/>
        <v>2830</v>
      </c>
      <c r="AJ257" s="44">
        <f t="shared" si="26"/>
        <v>0.28299999999999997</v>
      </c>
      <c r="AP257" s="46">
        <f t="shared" si="27"/>
        <v>4.2999999999999997E-2</v>
      </c>
    </row>
    <row r="258" spans="19:42" ht="18">
      <c r="S258" s="8">
        <f t="shared" si="28"/>
        <v>0</v>
      </c>
      <c r="W258" s="3">
        <v>284</v>
      </c>
      <c r="X258" s="30">
        <v>43.2</v>
      </c>
      <c r="Y258" s="33">
        <f t="shared" si="24"/>
        <v>4.2999999999999997E-2</v>
      </c>
      <c r="AA258" s="36">
        <v>44</v>
      </c>
      <c r="AB258" s="40">
        <v>2.84</v>
      </c>
      <c r="AC258" s="38">
        <v>5.28</v>
      </c>
      <c r="AD258" s="39">
        <v>1.8160000000000001</v>
      </c>
      <c r="AE258" s="39">
        <v>5.157</v>
      </c>
      <c r="AF258" s="36">
        <v>337</v>
      </c>
      <c r="AG258" s="36">
        <v>65</v>
      </c>
      <c r="AH258" s="45">
        <f t="shared" si="29"/>
        <v>2.5999999999999801E-2</v>
      </c>
      <c r="AI258" s="3">
        <f t="shared" si="25"/>
        <v>2840</v>
      </c>
      <c r="AJ258" s="44">
        <f t="shared" si="26"/>
        <v>0.28399999999999997</v>
      </c>
      <c r="AP258" s="46">
        <f t="shared" si="27"/>
        <v>4.2999999999999997E-2</v>
      </c>
    </row>
    <row r="259" spans="19:42" ht="18">
      <c r="S259" s="8">
        <f t="shared" si="28"/>
        <v>0</v>
      </c>
      <c r="W259" s="3">
        <v>285</v>
      </c>
      <c r="X259" s="30">
        <v>43.25</v>
      </c>
      <c r="Y259" s="33">
        <f t="shared" si="24"/>
        <v>4.2999999999999997E-2</v>
      </c>
      <c r="AA259" s="36">
        <v>44</v>
      </c>
      <c r="AB259" s="40">
        <v>2.85</v>
      </c>
      <c r="AC259" s="38">
        <v>5.28</v>
      </c>
      <c r="AD259" s="39">
        <v>1.8180000000000001</v>
      </c>
      <c r="AE259" s="39">
        <v>5.1820000000000004</v>
      </c>
      <c r="AF259" s="36">
        <v>337</v>
      </c>
      <c r="AG259" s="36">
        <v>65</v>
      </c>
      <c r="AH259" s="45">
        <f t="shared" si="29"/>
        <v>2.5000000000000355E-2</v>
      </c>
      <c r="AI259" s="3">
        <f t="shared" si="25"/>
        <v>2850</v>
      </c>
      <c r="AJ259" s="44">
        <f t="shared" si="26"/>
        <v>0.28499999999999998</v>
      </c>
      <c r="AP259" s="46">
        <f t="shared" si="27"/>
        <v>4.2999999999999997E-2</v>
      </c>
    </row>
    <row r="260" spans="19:42" ht="18">
      <c r="S260" s="8">
        <f t="shared" si="28"/>
        <v>0</v>
      </c>
      <c r="W260" s="3">
        <v>286</v>
      </c>
      <c r="X260" s="30">
        <v>43.3</v>
      </c>
      <c r="Y260" s="33">
        <f t="shared" si="24"/>
        <v>4.2999999999999997E-2</v>
      </c>
      <c r="AA260" s="36">
        <v>45</v>
      </c>
      <c r="AB260" s="40">
        <v>2.86</v>
      </c>
      <c r="AC260" s="38">
        <v>5.43</v>
      </c>
      <c r="AD260" s="39">
        <v>1.821</v>
      </c>
      <c r="AE260" s="39">
        <v>5.2110000000000003</v>
      </c>
      <c r="AF260" s="36">
        <v>330</v>
      </c>
      <c r="AG260" s="36">
        <v>64</v>
      </c>
      <c r="AH260" s="45">
        <f t="shared" si="29"/>
        <v>2.8999999999999915E-2</v>
      </c>
      <c r="AI260" s="3">
        <f t="shared" si="25"/>
        <v>2860</v>
      </c>
      <c r="AJ260" s="44">
        <f t="shared" si="26"/>
        <v>0.28599999999999998</v>
      </c>
      <c r="AP260" s="46">
        <f t="shared" si="27"/>
        <v>4.2999999999999997E-2</v>
      </c>
    </row>
    <row r="261" spans="19:42" ht="18">
      <c r="S261" s="8">
        <f t="shared" si="28"/>
        <v>0</v>
      </c>
      <c r="W261" s="3">
        <v>287</v>
      </c>
      <c r="X261" s="30">
        <v>43.35</v>
      </c>
      <c r="Y261" s="33">
        <f t="shared" ref="Y261:Y324" si="30">ROUND(X261/1000,3)</f>
        <v>4.2999999999999997E-2</v>
      </c>
      <c r="AA261" s="36">
        <v>45</v>
      </c>
      <c r="AB261" s="40">
        <v>2.87</v>
      </c>
      <c r="AC261" s="38">
        <v>5.43</v>
      </c>
      <c r="AD261" s="39">
        <v>1.8240000000000001</v>
      </c>
      <c r="AE261" s="39">
        <v>5.2329999999999997</v>
      </c>
      <c r="AF261" s="36">
        <v>331</v>
      </c>
      <c r="AG261" s="36">
        <v>64</v>
      </c>
      <c r="AH261" s="45">
        <f t="shared" si="29"/>
        <v>2.1999999999999353E-2</v>
      </c>
      <c r="AI261" s="3">
        <f t="shared" ref="AI261:AI324" si="31">AB261*1000</f>
        <v>2870</v>
      </c>
      <c r="AJ261" s="44">
        <f t="shared" ref="AJ261:AJ324" si="32">ROUND(W261/1000,3)</f>
        <v>0.28699999999999998</v>
      </c>
      <c r="AP261" s="46">
        <f t="shared" ref="AP261:AP324" si="33">ROUND(X261/1000,3)</f>
        <v>4.2999999999999997E-2</v>
      </c>
    </row>
    <row r="262" spans="19:42" ht="18">
      <c r="S262" s="8">
        <f t="shared" ref="S262:S325" si="34">CEILING(R262/50,0.5)</f>
        <v>0</v>
      </c>
      <c r="W262" s="3">
        <v>288</v>
      </c>
      <c r="X262" s="30">
        <v>43.4</v>
      </c>
      <c r="Y262" s="33">
        <f t="shared" si="30"/>
        <v>4.2999999999999997E-2</v>
      </c>
      <c r="AA262" s="36">
        <v>45</v>
      </c>
      <c r="AB262" s="40">
        <v>2.88</v>
      </c>
      <c r="AC262" s="38">
        <v>5.43</v>
      </c>
      <c r="AD262" s="39">
        <v>1.8260000000000001</v>
      </c>
      <c r="AE262" s="39">
        <v>5.2590000000000003</v>
      </c>
      <c r="AF262" s="36">
        <v>331</v>
      </c>
      <c r="AG262" s="36">
        <v>64</v>
      </c>
      <c r="AH262" s="45">
        <f t="shared" ref="AH262:AH325" si="35">AE262-AE261</f>
        <v>2.6000000000000689E-2</v>
      </c>
      <c r="AI262" s="3">
        <f t="shared" si="31"/>
        <v>2880</v>
      </c>
      <c r="AJ262" s="44">
        <f t="shared" si="32"/>
        <v>0.28799999999999998</v>
      </c>
      <c r="AP262" s="46">
        <f t="shared" si="33"/>
        <v>4.2999999999999997E-2</v>
      </c>
    </row>
    <row r="263" spans="19:42" ht="18">
      <c r="S263" s="8">
        <f t="shared" si="34"/>
        <v>0</v>
      </c>
      <c r="W263" s="3">
        <v>289</v>
      </c>
      <c r="X263" s="30">
        <v>43.45</v>
      </c>
      <c r="Y263" s="33">
        <f t="shared" si="30"/>
        <v>4.2999999999999997E-2</v>
      </c>
      <c r="AA263" s="36">
        <v>45</v>
      </c>
      <c r="AB263" s="40">
        <v>2.89</v>
      </c>
      <c r="AC263" s="38">
        <v>5.43</v>
      </c>
      <c r="AD263" s="39">
        <v>1.829</v>
      </c>
      <c r="AE263" s="39">
        <v>5.2839999999999998</v>
      </c>
      <c r="AF263" s="36">
        <v>332</v>
      </c>
      <c r="AG263" s="36">
        <v>64</v>
      </c>
      <c r="AH263" s="45">
        <f t="shared" si="35"/>
        <v>2.4999999999999467E-2</v>
      </c>
      <c r="AI263" s="3">
        <f t="shared" si="31"/>
        <v>2890</v>
      </c>
      <c r="AJ263" s="44">
        <f t="shared" si="32"/>
        <v>0.28899999999999998</v>
      </c>
      <c r="AP263" s="46">
        <f t="shared" si="33"/>
        <v>4.2999999999999997E-2</v>
      </c>
    </row>
    <row r="264" spans="19:42" ht="18">
      <c r="S264" s="8">
        <f t="shared" si="34"/>
        <v>0</v>
      </c>
      <c r="W264" s="3">
        <v>290</v>
      </c>
      <c r="X264" s="30">
        <v>43.5</v>
      </c>
      <c r="Y264" s="33">
        <f t="shared" si="30"/>
        <v>4.3999999999999997E-2</v>
      </c>
      <c r="AA264" s="36">
        <v>45</v>
      </c>
      <c r="AB264" s="40">
        <v>2.9</v>
      </c>
      <c r="AC264" s="38">
        <v>5.43</v>
      </c>
      <c r="AD264" s="39">
        <v>1.831</v>
      </c>
      <c r="AE264" s="39">
        <v>5.31</v>
      </c>
      <c r="AF264" s="36">
        <v>333</v>
      </c>
      <c r="AG264" s="36">
        <v>64</v>
      </c>
      <c r="AH264" s="45">
        <f t="shared" si="35"/>
        <v>2.5999999999999801E-2</v>
      </c>
      <c r="AI264" s="3">
        <f t="shared" si="31"/>
        <v>2900</v>
      </c>
      <c r="AJ264" s="44">
        <f t="shared" si="32"/>
        <v>0.28999999999999998</v>
      </c>
      <c r="AP264" s="46">
        <f t="shared" si="33"/>
        <v>4.3999999999999997E-2</v>
      </c>
    </row>
    <row r="265" spans="19:42" ht="18">
      <c r="S265" s="8">
        <f t="shared" si="34"/>
        <v>0</v>
      </c>
      <c r="W265" s="3">
        <v>291</v>
      </c>
      <c r="X265" s="30">
        <v>43.55</v>
      </c>
      <c r="Y265" s="33">
        <f t="shared" si="30"/>
        <v>4.3999999999999997E-2</v>
      </c>
      <c r="AA265" s="36">
        <v>45</v>
      </c>
      <c r="AB265" s="40">
        <v>2.91</v>
      </c>
      <c r="AC265" s="38">
        <v>5.43</v>
      </c>
      <c r="AD265" s="39">
        <v>1.8340000000000001</v>
      </c>
      <c r="AE265" s="39">
        <v>5.335</v>
      </c>
      <c r="AF265" s="36">
        <v>334</v>
      </c>
      <c r="AG265" s="36">
        <v>65</v>
      </c>
      <c r="AH265" s="45">
        <f t="shared" si="35"/>
        <v>2.5000000000000355E-2</v>
      </c>
      <c r="AI265" s="3">
        <f t="shared" si="31"/>
        <v>2910</v>
      </c>
      <c r="AJ265" s="44">
        <f t="shared" si="32"/>
        <v>0.29099999999999998</v>
      </c>
      <c r="AP265" s="46">
        <f t="shared" si="33"/>
        <v>4.3999999999999997E-2</v>
      </c>
    </row>
    <row r="266" spans="19:42" ht="18">
      <c r="S266" s="8">
        <f t="shared" si="34"/>
        <v>0</v>
      </c>
      <c r="W266" s="3">
        <v>292</v>
      </c>
      <c r="X266" s="30">
        <v>43.6</v>
      </c>
      <c r="Y266" s="33">
        <f t="shared" si="30"/>
        <v>4.3999999999999997E-2</v>
      </c>
      <c r="AA266" s="36">
        <v>45</v>
      </c>
      <c r="AB266" s="40">
        <v>2.92</v>
      </c>
      <c r="AC266" s="38">
        <v>5.43</v>
      </c>
      <c r="AD266" s="39">
        <v>1.8360000000000001</v>
      </c>
      <c r="AE266" s="39">
        <v>5.3609999999999998</v>
      </c>
      <c r="AF266" s="36">
        <v>334</v>
      </c>
      <c r="AG266" s="36">
        <v>65</v>
      </c>
      <c r="AH266" s="45">
        <f t="shared" si="35"/>
        <v>2.5999999999999801E-2</v>
      </c>
      <c r="AI266" s="3">
        <f t="shared" si="31"/>
        <v>2920</v>
      </c>
      <c r="AJ266" s="44">
        <f t="shared" si="32"/>
        <v>0.29199999999999998</v>
      </c>
      <c r="AP266" s="46">
        <f t="shared" si="33"/>
        <v>4.3999999999999997E-2</v>
      </c>
    </row>
    <row r="267" spans="19:42" ht="18">
      <c r="S267" s="8">
        <f t="shared" si="34"/>
        <v>0</v>
      </c>
      <c r="W267" s="3">
        <v>293</v>
      </c>
      <c r="X267" s="30">
        <v>43.65</v>
      </c>
      <c r="Y267" s="33">
        <f t="shared" si="30"/>
        <v>4.3999999999999997E-2</v>
      </c>
      <c r="AA267" s="36">
        <v>45</v>
      </c>
      <c r="AB267" s="40">
        <v>2.93</v>
      </c>
      <c r="AC267" s="38">
        <v>5.43</v>
      </c>
      <c r="AD267" s="39">
        <v>1.839</v>
      </c>
      <c r="AE267" s="39">
        <v>5.3869999999999996</v>
      </c>
      <c r="AF267" s="36">
        <v>335</v>
      </c>
      <c r="AG267" s="36">
        <v>65</v>
      </c>
      <c r="AH267" s="45">
        <f t="shared" si="35"/>
        <v>2.5999999999999801E-2</v>
      </c>
      <c r="AI267" s="3">
        <f t="shared" si="31"/>
        <v>2930</v>
      </c>
      <c r="AJ267" s="44">
        <f t="shared" si="32"/>
        <v>0.29299999999999998</v>
      </c>
      <c r="AP267" s="46">
        <f t="shared" si="33"/>
        <v>4.3999999999999997E-2</v>
      </c>
    </row>
    <row r="268" spans="19:42" ht="18">
      <c r="S268" s="8">
        <f t="shared" si="34"/>
        <v>0</v>
      </c>
      <c r="W268" s="3">
        <v>294</v>
      </c>
      <c r="X268" s="30">
        <v>43.7</v>
      </c>
      <c r="Y268" s="33">
        <f t="shared" si="30"/>
        <v>4.3999999999999997E-2</v>
      </c>
      <c r="AA268" s="36">
        <v>46</v>
      </c>
      <c r="AB268" s="40">
        <v>2.94</v>
      </c>
      <c r="AC268" s="38">
        <v>5.57</v>
      </c>
      <c r="AD268" s="39">
        <v>1.841</v>
      </c>
      <c r="AE268" s="39">
        <v>5.4130000000000003</v>
      </c>
      <c r="AF268" s="36">
        <v>328</v>
      </c>
      <c r="AG268" s="36">
        <v>64</v>
      </c>
      <c r="AH268" s="45">
        <f t="shared" si="35"/>
        <v>2.6000000000000689E-2</v>
      </c>
      <c r="AI268" s="3">
        <f t="shared" si="31"/>
        <v>2940</v>
      </c>
      <c r="AJ268" s="44">
        <f t="shared" si="32"/>
        <v>0.29399999999999998</v>
      </c>
      <c r="AP268" s="46">
        <f t="shared" si="33"/>
        <v>4.3999999999999997E-2</v>
      </c>
    </row>
    <row r="269" spans="19:42" ht="18">
      <c r="S269" s="8">
        <f t="shared" si="34"/>
        <v>0</v>
      </c>
      <c r="W269" s="3">
        <v>295</v>
      </c>
      <c r="X269" s="30">
        <v>43.75</v>
      </c>
      <c r="Y269" s="33">
        <f t="shared" si="30"/>
        <v>4.3999999999999997E-2</v>
      </c>
      <c r="AA269" s="36">
        <v>46</v>
      </c>
      <c r="AB269" s="40">
        <v>2.95</v>
      </c>
      <c r="AC269" s="38">
        <v>5.57</v>
      </c>
      <c r="AD269" s="39">
        <v>1.8440000000000001</v>
      </c>
      <c r="AE269" s="39">
        <v>5.4379999999999997</v>
      </c>
      <c r="AF269" s="36">
        <v>329</v>
      </c>
      <c r="AG269" s="36">
        <v>64</v>
      </c>
      <c r="AH269" s="45">
        <f t="shared" si="35"/>
        <v>2.4999999999999467E-2</v>
      </c>
      <c r="AI269" s="3">
        <f t="shared" si="31"/>
        <v>2950</v>
      </c>
      <c r="AJ269" s="44">
        <f t="shared" si="32"/>
        <v>0.29499999999999998</v>
      </c>
      <c r="AP269" s="46">
        <f t="shared" si="33"/>
        <v>4.3999999999999997E-2</v>
      </c>
    </row>
    <row r="270" spans="19:42" ht="18">
      <c r="S270" s="8">
        <f t="shared" si="34"/>
        <v>0</v>
      </c>
      <c r="W270" s="3">
        <v>296</v>
      </c>
      <c r="X270" s="30">
        <v>43.8</v>
      </c>
      <c r="Y270" s="33">
        <f t="shared" si="30"/>
        <v>4.3999999999999997E-2</v>
      </c>
      <c r="AA270" s="36">
        <v>46</v>
      </c>
      <c r="AB270" s="40">
        <v>2.96</v>
      </c>
      <c r="AC270" s="38">
        <v>5.57</v>
      </c>
      <c r="AD270" s="39">
        <v>1.8460000000000001</v>
      </c>
      <c r="AE270" s="39">
        <v>5.4640000000000004</v>
      </c>
      <c r="AF270" s="36">
        <v>329</v>
      </c>
      <c r="AG270" s="36">
        <v>64</v>
      </c>
      <c r="AH270" s="45">
        <f t="shared" si="35"/>
        <v>2.6000000000000689E-2</v>
      </c>
      <c r="AI270" s="3">
        <f t="shared" si="31"/>
        <v>2960</v>
      </c>
      <c r="AJ270" s="44">
        <f t="shared" si="32"/>
        <v>0.29599999999999999</v>
      </c>
      <c r="AP270" s="46">
        <f t="shared" si="33"/>
        <v>4.3999999999999997E-2</v>
      </c>
    </row>
    <row r="271" spans="19:42" ht="18">
      <c r="S271" s="8">
        <f t="shared" si="34"/>
        <v>0</v>
      </c>
      <c r="W271" s="3">
        <v>297</v>
      </c>
      <c r="X271" s="30">
        <v>43.85</v>
      </c>
      <c r="Y271" s="33">
        <f t="shared" si="30"/>
        <v>4.3999999999999997E-2</v>
      </c>
      <c r="AA271" s="36">
        <v>46</v>
      </c>
      <c r="AB271" s="40">
        <v>2.97</v>
      </c>
      <c r="AC271" s="38">
        <v>5.57</v>
      </c>
      <c r="AD271" s="39">
        <v>1.849</v>
      </c>
      <c r="AE271" s="39">
        <v>5.49</v>
      </c>
      <c r="AF271" s="36">
        <v>330</v>
      </c>
      <c r="AG271" s="36">
        <v>65</v>
      </c>
      <c r="AH271" s="45">
        <f t="shared" si="35"/>
        <v>2.5999999999999801E-2</v>
      </c>
      <c r="AI271" s="3">
        <f t="shared" si="31"/>
        <v>2970</v>
      </c>
      <c r="AJ271" s="44">
        <f t="shared" si="32"/>
        <v>0.29699999999999999</v>
      </c>
      <c r="AP271" s="46">
        <f t="shared" si="33"/>
        <v>4.3999999999999997E-2</v>
      </c>
    </row>
    <row r="272" spans="19:42" ht="18">
      <c r="S272" s="8">
        <f t="shared" si="34"/>
        <v>0</v>
      </c>
      <c r="W272" s="3">
        <v>298</v>
      </c>
      <c r="X272" s="30">
        <v>43.9</v>
      </c>
      <c r="Y272" s="33">
        <f t="shared" si="30"/>
        <v>4.3999999999999997E-2</v>
      </c>
      <c r="AA272" s="36">
        <v>46</v>
      </c>
      <c r="AB272" s="40">
        <v>2.98</v>
      </c>
      <c r="AC272" s="38">
        <v>5.57</v>
      </c>
      <c r="AD272" s="39">
        <v>1.851</v>
      </c>
      <c r="AE272" s="39">
        <v>5.516</v>
      </c>
      <c r="AF272" s="36">
        <v>330</v>
      </c>
      <c r="AG272" s="36">
        <v>65</v>
      </c>
      <c r="AH272" s="45">
        <f t="shared" si="35"/>
        <v>2.5999999999999801E-2</v>
      </c>
      <c r="AI272" s="3">
        <f t="shared" si="31"/>
        <v>2980</v>
      </c>
      <c r="AJ272" s="44">
        <f t="shared" si="32"/>
        <v>0.29799999999999999</v>
      </c>
      <c r="AP272" s="46">
        <f t="shared" si="33"/>
        <v>4.3999999999999997E-2</v>
      </c>
    </row>
    <row r="273" spans="19:42" ht="18">
      <c r="S273" s="8">
        <f t="shared" si="34"/>
        <v>0</v>
      </c>
      <c r="W273" s="3">
        <v>299</v>
      </c>
      <c r="X273" s="30">
        <v>43.95</v>
      </c>
      <c r="Y273" s="33">
        <f t="shared" si="30"/>
        <v>4.3999999999999997E-2</v>
      </c>
      <c r="AA273" s="36">
        <v>46</v>
      </c>
      <c r="AB273" s="40">
        <v>2.99</v>
      </c>
      <c r="AC273" s="38">
        <v>5.57</v>
      </c>
      <c r="AD273" s="39">
        <v>1.8540000000000001</v>
      </c>
      <c r="AE273" s="39">
        <v>5.5419999999999998</v>
      </c>
      <c r="AF273" s="36">
        <v>331</v>
      </c>
      <c r="AG273" s="36">
        <v>65</v>
      </c>
      <c r="AH273" s="45">
        <f t="shared" si="35"/>
        <v>2.5999999999999801E-2</v>
      </c>
      <c r="AI273" s="3">
        <f t="shared" si="31"/>
        <v>2990</v>
      </c>
      <c r="AJ273" s="44">
        <f t="shared" si="32"/>
        <v>0.29899999999999999</v>
      </c>
      <c r="AP273" s="46">
        <f t="shared" si="33"/>
        <v>4.3999999999999997E-2</v>
      </c>
    </row>
    <row r="274" spans="19:42" ht="18">
      <c r="S274" s="8">
        <f t="shared" si="34"/>
        <v>0</v>
      </c>
      <c r="W274" s="3">
        <v>300</v>
      </c>
      <c r="X274" s="30">
        <v>44</v>
      </c>
      <c r="Y274" s="33">
        <f t="shared" si="30"/>
        <v>4.3999999999999997E-2</v>
      </c>
      <c r="AA274" s="36">
        <v>46</v>
      </c>
      <c r="AB274" s="40">
        <v>3</v>
      </c>
      <c r="AC274" s="38">
        <v>5.57</v>
      </c>
      <c r="AD274" s="39">
        <v>1.8560000000000001</v>
      </c>
      <c r="AE274" s="39">
        <v>5.5679999999999996</v>
      </c>
      <c r="AF274" s="36">
        <v>332</v>
      </c>
      <c r="AG274" s="36">
        <v>65</v>
      </c>
      <c r="AH274" s="45">
        <f t="shared" si="35"/>
        <v>2.5999999999999801E-2</v>
      </c>
      <c r="AI274" s="3">
        <f t="shared" si="31"/>
        <v>3000</v>
      </c>
      <c r="AJ274" s="44">
        <f t="shared" si="32"/>
        <v>0.3</v>
      </c>
      <c r="AP274" s="46">
        <f t="shared" si="33"/>
        <v>4.3999999999999997E-2</v>
      </c>
    </row>
    <row r="275" spans="19:42" ht="18">
      <c r="S275" s="8">
        <f t="shared" si="34"/>
        <v>0</v>
      </c>
      <c r="W275" s="3">
        <v>301</v>
      </c>
      <c r="X275" s="30">
        <v>44.05</v>
      </c>
      <c r="Y275" s="33">
        <f t="shared" si="30"/>
        <v>4.3999999999999997E-2</v>
      </c>
      <c r="AA275" s="36">
        <v>46</v>
      </c>
      <c r="AB275" s="40">
        <v>3.01</v>
      </c>
      <c r="AC275" s="38">
        <v>5.57</v>
      </c>
      <c r="AD275" s="39">
        <v>1.859</v>
      </c>
      <c r="AE275" s="39">
        <v>5.5940000000000003</v>
      </c>
      <c r="AF275" s="36">
        <v>332</v>
      </c>
      <c r="AG275" s="36">
        <v>65</v>
      </c>
      <c r="AH275" s="45">
        <f t="shared" si="35"/>
        <v>2.6000000000000689E-2</v>
      </c>
      <c r="AI275" s="3">
        <f t="shared" si="31"/>
        <v>3010</v>
      </c>
      <c r="AJ275" s="44">
        <f t="shared" si="32"/>
        <v>0.30099999999999999</v>
      </c>
      <c r="AP275" s="46">
        <f t="shared" si="33"/>
        <v>4.3999999999999997E-2</v>
      </c>
    </row>
    <row r="276" spans="19:42" ht="18">
      <c r="S276" s="8">
        <f t="shared" si="34"/>
        <v>0</v>
      </c>
      <c r="W276" s="3">
        <v>302</v>
      </c>
      <c r="X276" s="30">
        <v>44.1</v>
      </c>
      <c r="Y276" s="33">
        <f t="shared" si="30"/>
        <v>4.3999999999999997E-2</v>
      </c>
      <c r="AA276" s="36">
        <v>47</v>
      </c>
      <c r="AB276" s="40">
        <v>3.02</v>
      </c>
      <c r="AC276" s="38">
        <v>5.71</v>
      </c>
      <c r="AD276" s="39">
        <v>1.861</v>
      </c>
      <c r="AE276" s="39">
        <v>5.6189999999999998</v>
      </c>
      <c r="AF276" s="36">
        <v>326</v>
      </c>
      <c r="AG276" s="36">
        <v>64</v>
      </c>
      <c r="AH276" s="45">
        <f t="shared" si="35"/>
        <v>2.4999999999999467E-2</v>
      </c>
      <c r="AI276" s="3">
        <f t="shared" si="31"/>
        <v>3020</v>
      </c>
      <c r="AJ276" s="44">
        <f t="shared" si="32"/>
        <v>0.30199999999999999</v>
      </c>
      <c r="AP276" s="46">
        <f t="shared" si="33"/>
        <v>4.3999999999999997E-2</v>
      </c>
    </row>
    <row r="277" spans="19:42" ht="18">
      <c r="S277" s="8">
        <f t="shared" si="34"/>
        <v>0</v>
      </c>
      <c r="W277" s="3">
        <v>303</v>
      </c>
      <c r="X277" s="30">
        <v>44.15</v>
      </c>
      <c r="Y277" s="33">
        <f t="shared" si="30"/>
        <v>4.3999999999999997E-2</v>
      </c>
      <c r="AA277" s="36">
        <v>47</v>
      </c>
      <c r="AB277" s="40">
        <v>3.03</v>
      </c>
      <c r="AC277" s="38">
        <v>5.71</v>
      </c>
      <c r="AD277" s="39">
        <v>1.8640000000000001</v>
      </c>
      <c r="AE277" s="39">
        <v>5.6459999999999999</v>
      </c>
      <c r="AF277" s="36">
        <v>326</v>
      </c>
      <c r="AG277" s="36">
        <v>64</v>
      </c>
      <c r="AH277" s="45">
        <f t="shared" si="35"/>
        <v>2.7000000000000135E-2</v>
      </c>
      <c r="AI277" s="3">
        <f t="shared" si="31"/>
        <v>3030</v>
      </c>
      <c r="AJ277" s="44">
        <f t="shared" si="32"/>
        <v>0.30299999999999999</v>
      </c>
      <c r="AP277" s="46">
        <f t="shared" si="33"/>
        <v>4.3999999999999997E-2</v>
      </c>
    </row>
    <row r="278" spans="19:42" ht="18">
      <c r="S278" s="8">
        <f t="shared" si="34"/>
        <v>0</v>
      </c>
      <c r="W278" s="3">
        <v>304</v>
      </c>
      <c r="X278" s="30">
        <v>44.2</v>
      </c>
      <c r="Y278" s="33">
        <f t="shared" si="30"/>
        <v>4.3999999999999997E-2</v>
      </c>
      <c r="AA278" s="36">
        <v>47</v>
      </c>
      <c r="AB278" s="40">
        <v>3.04</v>
      </c>
      <c r="AC278" s="38">
        <v>5.71</v>
      </c>
      <c r="AD278" s="39">
        <v>1.8660000000000001</v>
      </c>
      <c r="AE278" s="39">
        <v>5.673</v>
      </c>
      <c r="AF278" s="36">
        <v>327</v>
      </c>
      <c r="AG278" s="36">
        <v>65</v>
      </c>
      <c r="AH278" s="45">
        <f t="shared" si="35"/>
        <v>2.7000000000000135E-2</v>
      </c>
      <c r="AI278" s="3">
        <f t="shared" si="31"/>
        <v>3040</v>
      </c>
      <c r="AJ278" s="44">
        <f t="shared" si="32"/>
        <v>0.30399999999999999</v>
      </c>
      <c r="AP278" s="46">
        <f t="shared" si="33"/>
        <v>4.3999999999999997E-2</v>
      </c>
    </row>
    <row r="279" spans="19:42" ht="18">
      <c r="S279" s="8">
        <f t="shared" si="34"/>
        <v>0</v>
      </c>
      <c r="W279" s="3">
        <v>305</v>
      </c>
      <c r="X279" s="30">
        <v>44.25</v>
      </c>
      <c r="Y279" s="33">
        <f t="shared" si="30"/>
        <v>4.3999999999999997E-2</v>
      </c>
      <c r="AA279" s="36">
        <v>47</v>
      </c>
      <c r="AB279" s="40">
        <v>3.05</v>
      </c>
      <c r="AC279" s="38">
        <v>5.71</v>
      </c>
      <c r="AD279" s="39">
        <v>1.869</v>
      </c>
      <c r="AE279" s="39">
        <v>5.6989999999999998</v>
      </c>
      <c r="AF279" s="36">
        <v>327</v>
      </c>
      <c r="AG279" s="36">
        <v>65</v>
      </c>
      <c r="AH279" s="45">
        <f t="shared" si="35"/>
        <v>2.5999999999999801E-2</v>
      </c>
      <c r="AI279" s="3">
        <f t="shared" si="31"/>
        <v>3050</v>
      </c>
      <c r="AJ279" s="44">
        <f t="shared" si="32"/>
        <v>0.30499999999999999</v>
      </c>
      <c r="AP279" s="46">
        <f t="shared" si="33"/>
        <v>4.3999999999999997E-2</v>
      </c>
    </row>
    <row r="280" spans="19:42" ht="18">
      <c r="S280" s="8">
        <f t="shared" si="34"/>
        <v>0</v>
      </c>
      <c r="W280" s="3">
        <v>306</v>
      </c>
      <c r="X280" s="30">
        <v>44.3</v>
      </c>
      <c r="Y280" s="33">
        <f t="shared" si="30"/>
        <v>4.3999999999999997E-2</v>
      </c>
      <c r="AA280" s="36">
        <v>47</v>
      </c>
      <c r="AB280" s="40">
        <v>3.06</v>
      </c>
      <c r="AC280" s="38">
        <v>5.71</v>
      </c>
      <c r="AD280" s="39">
        <v>1.871</v>
      </c>
      <c r="AE280" s="39">
        <v>5.7249999999999996</v>
      </c>
      <c r="AF280" s="36">
        <v>328</v>
      </c>
      <c r="AG280" s="36">
        <v>65</v>
      </c>
      <c r="AH280" s="45">
        <f t="shared" si="35"/>
        <v>2.5999999999999801E-2</v>
      </c>
      <c r="AI280" s="3">
        <f t="shared" si="31"/>
        <v>3060</v>
      </c>
      <c r="AJ280" s="44">
        <f t="shared" si="32"/>
        <v>0.30599999999999999</v>
      </c>
      <c r="AP280" s="46">
        <f t="shared" si="33"/>
        <v>4.3999999999999997E-2</v>
      </c>
    </row>
    <row r="281" spans="19:42" ht="18">
      <c r="S281" s="8">
        <f t="shared" si="34"/>
        <v>0</v>
      </c>
      <c r="W281" s="3">
        <v>307</v>
      </c>
      <c r="X281" s="30">
        <v>44.35</v>
      </c>
      <c r="Y281" s="33">
        <f t="shared" si="30"/>
        <v>4.3999999999999997E-2</v>
      </c>
      <c r="AA281" s="36">
        <v>47</v>
      </c>
      <c r="AB281" s="40">
        <v>3.07</v>
      </c>
      <c r="AC281" s="38">
        <v>5.71</v>
      </c>
      <c r="AD281" s="39">
        <v>1.8740000000000001</v>
      </c>
      <c r="AE281" s="39">
        <v>5.7519999999999998</v>
      </c>
      <c r="AF281" s="36">
        <v>329</v>
      </c>
      <c r="AG281" s="36">
        <v>65</v>
      </c>
      <c r="AH281" s="45">
        <f t="shared" si="35"/>
        <v>2.7000000000000135E-2</v>
      </c>
      <c r="AI281" s="3">
        <f t="shared" si="31"/>
        <v>3070</v>
      </c>
      <c r="AJ281" s="44">
        <f t="shared" si="32"/>
        <v>0.307</v>
      </c>
      <c r="AP281" s="46">
        <f t="shared" si="33"/>
        <v>4.3999999999999997E-2</v>
      </c>
    </row>
    <row r="282" spans="19:42" ht="18">
      <c r="S282" s="8">
        <f t="shared" si="34"/>
        <v>0</v>
      </c>
      <c r="W282" s="3">
        <v>308</v>
      </c>
      <c r="X282" s="30">
        <v>44.4</v>
      </c>
      <c r="Y282" s="33">
        <f t="shared" si="30"/>
        <v>4.3999999999999997E-2</v>
      </c>
      <c r="AA282" s="36">
        <v>47</v>
      </c>
      <c r="AB282" s="40">
        <v>3.08</v>
      </c>
      <c r="AC282" s="38">
        <v>5.71</v>
      </c>
      <c r="AD282" s="39">
        <v>1.8759999999999999</v>
      </c>
      <c r="AE282" s="39">
        <v>5.7779999999999996</v>
      </c>
      <c r="AF282" s="36">
        <v>329</v>
      </c>
      <c r="AG282" s="36">
        <v>66</v>
      </c>
      <c r="AH282" s="45">
        <f t="shared" si="35"/>
        <v>2.5999999999999801E-2</v>
      </c>
      <c r="AI282" s="3">
        <f t="shared" si="31"/>
        <v>3080</v>
      </c>
      <c r="AJ282" s="44">
        <f t="shared" si="32"/>
        <v>0.308</v>
      </c>
      <c r="AP282" s="46">
        <f t="shared" si="33"/>
        <v>4.3999999999999997E-2</v>
      </c>
    </row>
    <row r="283" spans="19:42" ht="18">
      <c r="S283" s="8">
        <f t="shared" si="34"/>
        <v>0</v>
      </c>
      <c r="W283" s="3">
        <v>309</v>
      </c>
      <c r="X283" s="30">
        <v>44.45</v>
      </c>
      <c r="Y283" s="33">
        <f t="shared" si="30"/>
        <v>4.3999999999999997E-2</v>
      </c>
      <c r="AA283" s="36">
        <v>47</v>
      </c>
      <c r="AB283" s="40">
        <v>3.09</v>
      </c>
      <c r="AC283" s="38">
        <v>5.71</v>
      </c>
      <c r="AD283" s="39">
        <v>1.879</v>
      </c>
      <c r="AE283" s="39">
        <v>5.8049999999999997</v>
      </c>
      <c r="AF283" s="36">
        <v>330</v>
      </c>
      <c r="AG283" s="36">
        <v>66</v>
      </c>
      <c r="AH283" s="45">
        <f t="shared" si="35"/>
        <v>2.7000000000000135E-2</v>
      </c>
      <c r="AI283" s="3">
        <f t="shared" si="31"/>
        <v>3090</v>
      </c>
      <c r="AJ283" s="44">
        <f t="shared" si="32"/>
        <v>0.309</v>
      </c>
      <c r="AP283" s="46">
        <f t="shared" si="33"/>
        <v>4.3999999999999997E-2</v>
      </c>
    </row>
    <row r="284" spans="19:42" ht="18">
      <c r="S284" s="8">
        <f t="shared" si="34"/>
        <v>0</v>
      </c>
      <c r="W284" s="3">
        <v>310</v>
      </c>
      <c r="X284" s="30">
        <v>44.5</v>
      </c>
      <c r="Y284" s="33">
        <f t="shared" si="30"/>
        <v>4.4999999999999998E-2</v>
      </c>
      <c r="AA284" s="36">
        <v>48</v>
      </c>
      <c r="AB284" s="40">
        <v>3.1</v>
      </c>
      <c r="AC284" s="38">
        <v>5.85</v>
      </c>
      <c r="AD284" s="39">
        <v>1.881</v>
      </c>
      <c r="AE284" s="39">
        <v>5.8280000000000003</v>
      </c>
      <c r="AF284" s="36">
        <v>323</v>
      </c>
      <c r="AG284" s="36">
        <v>65</v>
      </c>
      <c r="AH284" s="45">
        <f t="shared" si="35"/>
        <v>2.3000000000000576E-2</v>
      </c>
      <c r="AI284" s="3">
        <f t="shared" si="31"/>
        <v>3100</v>
      </c>
      <c r="AJ284" s="44">
        <f t="shared" si="32"/>
        <v>0.31</v>
      </c>
      <c r="AP284" s="46">
        <f t="shared" si="33"/>
        <v>4.4999999999999998E-2</v>
      </c>
    </row>
    <row r="285" spans="19:42" ht="18">
      <c r="S285" s="8">
        <f t="shared" si="34"/>
        <v>0</v>
      </c>
      <c r="W285" s="3">
        <v>311</v>
      </c>
      <c r="X285" s="30">
        <v>44.55</v>
      </c>
      <c r="Y285" s="33">
        <f t="shared" si="30"/>
        <v>4.4999999999999998E-2</v>
      </c>
      <c r="AA285" s="36">
        <v>48</v>
      </c>
      <c r="AB285" s="40">
        <v>3.11</v>
      </c>
      <c r="AC285" s="38">
        <v>5.85</v>
      </c>
      <c r="AD285" s="39">
        <v>1.8839999999999999</v>
      </c>
      <c r="AE285" s="39">
        <v>5.8579999999999997</v>
      </c>
      <c r="AF285" s="36">
        <v>324</v>
      </c>
      <c r="AG285" s="36">
        <v>65</v>
      </c>
      <c r="AH285" s="45">
        <f t="shared" si="35"/>
        <v>2.9999999999999361E-2</v>
      </c>
      <c r="AI285" s="3">
        <f t="shared" si="31"/>
        <v>3110</v>
      </c>
      <c r="AJ285" s="44">
        <f t="shared" si="32"/>
        <v>0.311</v>
      </c>
      <c r="AP285" s="46">
        <f t="shared" si="33"/>
        <v>4.4999999999999998E-2</v>
      </c>
    </row>
    <row r="286" spans="19:42" ht="18">
      <c r="S286" s="8">
        <f t="shared" si="34"/>
        <v>0</v>
      </c>
      <c r="W286" s="3">
        <v>312</v>
      </c>
      <c r="X286" s="30">
        <v>44.6</v>
      </c>
      <c r="Y286" s="33">
        <f t="shared" si="30"/>
        <v>4.4999999999999998E-2</v>
      </c>
      <c r="AA286" s="36">
        <v>48</v>
      </c>
      <c r="AB286" s="40">
        <v>3.12</v>
      </c>
      <c r="AC286" s="38">
        <v>5.85</v>
      </c>
      <c r="AD286" s="39">
        <v>1.8859999999999999</v>
      </c>
      <c r="AE286" s="39">
        <v>5.8849999999999998</v>
      </c>
      <c r="AF286" s="36">
        <v>324</v>
      </c>
      <c r="AG286" s="36">
        <v>65</v>
      </c>
      <c r="AH286" s="45">
        <f t="shared" si="35"/>
        <v>2.7000000000000135E-2</v>
      </c>
      <c r="AI286" s="3">
        <f t="shared" si="31"/>
        <v>3120</v>
      </c>
      <c r="AJ286" s="44">
        <f t="shared" si="32"/>
        <v>0.312</v>
      </c>
      <c r="AP286" s="46">
        <f t="shared" si="33"/>
        <v>4.4999999999999998E-2</v>
      </c>
    </row>
    <row r="287" spans="19:42" ht="18">
      <c r="S287" s="8">
        <f t="shared" si="34"/>
        <v>0</v>
      </c>
      <c r="W287" s="3">
        <v>313</v>
      </c>
      <c r="X287" s="30">
        <v>44.65</v>
      </c>
      <c r="Y287" s="33">
        <f t="shared" si="30"/>
        <v>4.4999999999999998E-2</v>
      </c>
      <c r="AA287" s="36">
        <v>48</v>
      </c>
      <c r="AB287" s="40">
        <v>3.13</v>
      </c>
      <c r="AC287" s="38">
        <v>5.85</v>
      </c>
      <c r="AD287" s="39">
        <v>1.889</v>
      </c>
      <c r="AE287" s="39">
        <v>5.9119999999999999</v>
      </c>
      <c r="AF287" s="36">
        <v>325</v>
      </c>
      <c r="AG287" s="36">
        <v>65</v>
      </c>
      <c r="AH287" s="45">
        <f t="shared" si="35"/>
        <v>2.7000000000000135E-2</v>
      </c>
      <c r="AI287" s="3">
        <f t="shared" si="31"/>
        <v>3130</v>
      </c>
      <c r="AJ287" s="44">
        <f t="shared" si="32"/>
        <v>0.313</v>
      </c>
      <c r="AP287" s="46">
        <f t="shared" si="33"/>
        <v>4.4999999999999998E-2</v>
      </c>
    </row>
    <row r="288" spans="19:42" ht="18">
      <c r="S288" s="8">
        <f t="shared" si="34"/>
        <v>0</v>
      </c>
      <c r="W288" s="3">
        <v>314</v>
      </c>
      <c r="X288" s="30">
        <v>44.7</v>
      </c>
      <c r="Y288" s="33">
        <f t="shared" si="30"/>
        <v>4.4999999999999998E-2</v>
      </c>
      <c r="AA288" s="36">
        <v>48</v>
      </c>
      <c r="AB288" s="40">
        <v>3.14</v>
      </c>
      <c r="AC288" s="38">
        <v>5.85</v>
      </c>
      <c r="AD288" s="39">
        <v>1.8919999999999999</v>
      </c>
      <c r="AE288" s="39">
        <v>5.9390000000000001</v>
      </c>
      <c r="AF288" s="36">
        <v>326</v>
      </c>
      <c r="AG288" s="36">
        <v>65</v>
      </c>
      <c r="AH288" s="45">
        <f t="shared" si="35"/>
        <v>2.7000000000000135E-2</v>
      </c>
      <c r="AI288" s="3">
        <f t="shared" si="31"/>
        <v>3140</v>
      </c>
      <c r="AJ288" s="44">
        <f t="shared" si="32"/>
        <v>0.314</v>
      </c>
      <c r="AP288" s="46">
        <f t="shared" si="33"/>
        <v>4.4999999999999998E-2</v>
      </c>
    </row>
    <row r="289" spans="19:42" ht="18">
      <c r="S289" s="8">
        <f t="shared" si="34"/>
        <v>0</v>
      </c>
      <c r="W289" s="3">
        <v>315</v>
      </c>
      <c r="X289" s="30">
        <v>44.75</v>
      </c>
      <c r="Y289" s="33">
        <f t="shared" si="30"/>
        <v>4.4999999999999998E-2</v>
      </c>
      <c r="AA289" s="36">
        <v>48</v>
      </c>
      <c r="AB289" s="40">
        <v>3.15</v>
      </c>
      <c r="AC289" s="38">
        <v>5.85</v>
      </c>
      <c r="AD289" s="39">
        <v>1.8939999999999999</v>
      </c>
      <c r="AE289" s="39">
        <v>5.9660000000000002</v>
      </c>
      <c r="AF289" s="36">
        <v>326</v>
      </c>
      <c r="AG289" s="36">
        <v>66</v>
      </c>
      <c r="AH289" s="45">
        <f t="shared" si="35"/>
        <v>2.7000000000000135E-2</v>
      </c>
      <c r="AI289" s="3">
        <f t="shared" si="31"/>
        <v>3150</v>
      </c>
      <c r="AJ289" s="44">
        <f t="shared" si="32"/>
        <v>0.315</v>
      </c>
      <c r="AP289" s="46">
        <f t="shared" si="33"/>
        <v>4.4999999999999998E-2</v>
      </c>
    </row>
    <row r="290" spans="19:42" ht="18">
      <c r="S290" s="8">
        <f t="shared" si="34"/>
        <v>0</v>
      </c>
      <c r="W290" s="3">
        <v>316</v>
      </c>
      <c r="X290" s="30">
        <v>44.8</v>
      </c>
      <c r="Y290" s="33">
        <f t="shared" si="30"/>
        <v>4.4999999999999998E-2</v>
      </c>
      <c r="AA290" s="36">
        <v>48</v>
      </c>
      <c r="AB290" s="40">
        <v>3.16</v>
      </c>
      <c r="AC290" s="38">
        <v>5.85</v>
      </c>
      <c r="AD290" s="39">
        <v>1.897</v>
      </c>
      <c r="AE290" s="39">
        <v>5.9939999999999998</v>
      </c>
      <c r="AF290" s="36">
        <v>327</v>
      </c>
      <c r="AG290" s="36">
        <v>66</v>
      </c>
      <c r="AH290" s="45">
        <f t="shared" si="35"/>
        <v>2.7999999999999581E-2</v>
      </c>
      <c r="AI290" s="3">
        <f t="shared" si="31"/>
        <v>3160</v>
      </c>
      <c r="AJ290" s="44">
        <f t="shared" si="32"/>
        <v>0.316</v>
      </c>
      <c r="AP290" s="46">
        <f t="shared" si="33"/>
        <v>4.4999999999999998E-2</v>
      </c>
    </row>
    <row r="291" spans="19:42" ht="18">
      <c r="S291" s="8">
        <f t="shared" si="34"/>
        <v>0</v>
      </c>
      <c r="W291" s="3">
        <v>317</v>
      </c>
      <c r="X291" s="30">
        <v>44.85</v>
      </c>
      <c r="Y291" s="33">
        <f t="shared" si="30"/>
        <v>4.4999999999999998E-2</v>
      </c>
      <c r="AA291" s="36">
        <v>48</v>
      </c>
      <c r="AB291" s="40">
        <v>3.17</v>
      </c>
      <c r="AC291" s="38">
        <v>5.85</v>
      </c>
      <c r="AD291" s="39">
        <v>1.899</v>
      </c>
      <c r="AE291" s="39">
        <v>6.0209999999999999</v>
      </c>
      <c r="AF291" s="36">
        <v>327</v>
      </c>
      <c r="AG291" s="36">
        <v>66</v>
      </c>
      <c r="AH291" s="45">
        <f t="shared" si="35"/>
        <v>2.7000000000000135E-2</v>
      </c>
      <c r="AI291" s="3">
        <f t="shared" si="31"/>
        <v>3170</v>
      </c>
      <c r="AJ291" s="44">
        <f t="shared" si="32"/>
        <v>0.317</v>
      </c>
      <c r="AP291" s="46">
        <f t="shared" si="33"/>
        <v>4.4999999999999998E-2</v>
      </c>
    </row>
    <row r="292" spans="19:42" ht="18">
      <c r="S292" s="8">
        <f t="shared" si="34"/>
        <v>0</v>
      </c>
      <c r="W292" s="3">
        <v>318</v>
      </c>
      <c r="X292" s="30">
        <v>44.9</v>
      </c>
      <c r="Y292" s="33">
        <f t="shared" si="30"/>
        <v>4.4999999999999998E-2</v>
      </c>
      <c r="AA292" s="36">
        <v>49</v>
      </c>
      <c r="AB292" s="40">
        <v>3.18</v>
      </c>
      <c r="AC292" s="38">
        <v>6</v>
      </c>
      <c r="AD292" s="39">
        <v>1.9019999999999999</v>
      </c>
      <c r="AE292" s="39">
        <v>6.0430000000000001</v>
      </c>
      <c r="AF292" s="36">
        <v>320</v>
      </c>
      <c r="AG292" s="36">
        <v>65</v>
      </c>
      <c r="AH292" s="45">
        <f t="shared" si="35"/>
        <v>2.2000000000000242E-2</v>
      </c>
      <c r="AI292" s="3">
        <f t="shared" si="31"/>
        <v>3180</v>
      </c>
      <c r="AJ292" s="44">
        <f t="shared" si="32"/>
        <v>0.318</v>
      </c>
      <c r="AP292" s="46">
        <f t="shared" si="33"/>
        <v>4.4999999999999998E-2</v>
      </c>
    </row>
    <row r="293" spans="19:42" ht="18">
      <c r="S293" s="8">
        <f t="shared" si="34"/>
        <v>0</v>
      </c>
      <c r="W293" s="3">
        <v>319</v>
      </c>
      <c r="X293" s="30">
        <v>44.95</v>
      </c>
      <c r="Y293" s="33">
        <f t="shared" si="30"/>
        <v>4.4999999999999998E-2</v>
      </c>
      <c r="AA293" s="36">
        <v>49</v>
      </c>
      <c r="AB293" s="40">
        <v>3.19</v>
      </c>
      <c r="AC293" s="38">
        <v>6</v>
      </c>
      <c r="AD293" s="39">
        <v>1.905</v>
      </c>
      <c r="AE293" s="39">
        <v>6.0780000000000003</v>
      </c>
      <c r="AF293" s="36">
        <v>321</v>
      </c>
      <c r="AG293" s="36">
        <v>65</v>
      </c>
      <c r="AH293" s="45">
        <f t="shared" si="35"/>
        <v>3.5000000000000142E-2</v>
      </c>
      <c r="AI293" s="3">
        <f t="shared" si="31"/>
        <v>3190</v>
      </c>
      <c r="AJ293" s="44">
        <f t="shared" si="32"/>
        <v>0.31900000000000001</v>
      </c>
      <c r="AP293" s="46">
        <f t="shared" si="33"/>
        <v>4.4999999999999998E-2</v>
      </c>
    </row>
    <row r="294" spans="19:42" ht="18">
      <c r="S294" s="8">
        <f t="shared" si="34"/>
        <v>0</v>
      </c>
      <c r="W294" s="3">
        <v>320</v>
      </c>
      <c r="X294" s="30">
        <v>45</v>
      </c>
      <c r="Y294" s="33">
        <f t="shared" si="30"/>
        <v>4.4999999999999998E-2</v>
      </c>
      <c r="AA294" s="36">
        <v>49</v>
      </c>
      <c r="AB294" s="40">
        <v>3.2</v>
      </c>
      <c r="AC294" s="38">
        <v>6</v>
      </c>
      <c r="AD294" s="39">
        <v>1.909</v>
      </c>
      <c r="AE294" s="39">
        <v>6.1079999999999997</v>
      </c>
      <c r="AF294" s="36">
        <v>322</v>
      </c>
      <c r="AG294" s="36">
        <v>65</v>
      </c>
      <c r="AH294" s="45">
        <f t="shared" si="35"/>
        <v>2.9999999999999361E-2</v>
      </c>
      <c r="AI294" s="3">
        <f t="shared" si="31"/>
        <v>3200</v>
      </c>
      <c r="AJ294" s="44">
        <f t="shared" si="32"/>
        <v>0.32</v>
      </c>
      <c r="AP294" s="46">
        <f t="shared" si="33"/>
        <v>4.4999999999999998E-2</v>
      </c>
    </row>
    <row r="295" spans="19:42" ht="18">
      <c r="S295" s="8">
        <f t="shared" si="34"/>
        <v>0</v>
      </c>
      <c r="W295" s="3">
        <v>321</v>
      </c>
      <c r="X295" s="30">
        <v>45.067</v>
      </c>
      <c r="Y295" s="33">
        <f t="shared" si="30"/>
        <v>4.4999999999999998E-2</v>
      </c>
      <c r="AA295" s="36">
        <v>49</v>
      </c>
      <c r="AB295" s="40">
        <v>3.21</v>
      </c>
      <c r="AC295" s="38">
        <v>6</v>
      </c>
      <c r="AD295" s="39">
        <v>1.9119999999999999</v>
      </c>
      <c r="AE295" s="39">
        <v>6.1369999999999996</v>
      </c>
      <c r="AF295" s="36">
        <v>322</v>
      </c>
      <c r="AG295" s="36">
        <v>66</v>
      </c>
      <c r="AH295" s="45">
        <f t="shared" si="35"/>
        <v>2.8999999999999915E-2</v>
      </c>
      <c r="AI295" s="3">
        <f t="shared" si="31"/>
        <v>3210</v>
      </c>
      <c r="AJ295" s="44">
        <f t="shared" si="32"/>
        <v>0.32100000000000001</v>
      </c>
      <c r="AP295" s="46">
        <f t="shared" si="33"/>
        <v>4.4999999999999998E-2</v>
      </c>
    </row>
    <row r="296" spans="19:42" ht="18">
      <c r="S296" s="8">
        <f t="shared" si="34"/>
        <v>0</v>
      </c>
      <c r="W296" s="3">
        <v>322</v>
      </c>
      <c r="X296" s="30">
        <v>45.133000000000003</v>
      </c>
      <c r="Y296" s="33">
        <f t="shared" si="30"/>
        <v>4.4999999999999998E-2</v>
      </c>
      <c r="AA296" s="36">
        <v>49</v>
      </c>
      <c r="AB296" s="40">
        <v>3.22</v>
      </c>
      <c r="AC296" s="38">
        <v>6</v>
      </c>
      <c r="AD296" s="39">
        <v>1.915</v>
      </c>
      <c r="AE296" s="39">
        <v>6.1669999999999998</v>
      </c>
      <c r="AF296" s="36">
        <v>323</v>
      </c>
      <c r="AG296" s="36">
        <v>66</v>
      </c>
      <c r="AH296" s="45">
        <f t="shared" si="35"/>
        <v>3.0000000000000249E-2</v>
      </c>
      <c r="AI296" s="3">
        <f t="shared" si="31"/>
        <v>3220</v>
      </c>
      <c r="AJ296" s="44">
        <f t="shared" si="32"/>
        <v>0.32200000000000001</v>
      </c>
      <c r="AP296" s="46">
        <f t="shared" si="33"/>
        <v>4.4999999999999998E-2</v>
      </c>
    </row>
    <row r="297" spans="19:42" ht="18">
      <c r="S297" s="8">
        <f t="shared" si="34"/>
        <v>0</v>
      </c>
      <c r="W297" s="3">
        <v>323</v>
      </c>
      <c r="X297" s="30">
        <v>45.2</v>
      </c>
      <c r="Y297" s="33">
        <f t="shared" si="30"/>
        <v>4.4999999999999998E-2</v>
      </c>
      <c r="AA297" s="36">
        <v>49</v>
      </c>
      <c r="AB297" s="40">
        <v>3.23</v>
      </c>
      <c r="AC297" s="38">
        <v>6</v>
      </c>
      <c r="AD297" s="39">
        <v>1.919</v>
      </c>
      <c r="AE297" s="39">
        <v>6.1970000000000001</v>
      </c>
      <c r="AF297" s="36">
        <v>323</v>
      </c>
      <c r="AG297" s="36">
        <v>66</v>
      </c>
      <c r="AH297" s="45">
        <f t="shared" si="35"/>
        <v>3.0000000000000249E-2</v>
      </c>
      <c r="AI297" s="3">
        <f t="shared" si="31"/>
        <v>3230</v>
      </c>
      <c r="AJ297" s="44">
        <f t="shared" si="32"/>
        <v>0.32300000000000001</v>
      </c>
      <c r="AP297" s="46">
        <f t="shared" si="33"/>
        <v>4.4999999999999998E-2</v>
      </c>
    </row>
    <row r="298" spans="19:42" ht="18">
      <c r="S298" s="8">
        <f t="shared" si="34"/>
        <v>0</v>
      </c>
      <c r="W298" s="3">
        <v>324</v>
      </c>
      <c r="X298" s="30">
        <v>45.267000000000003</v>
      </c>
      <c r="Y298" s="33">
        <f t="shared" si="30"/>
        <v>4.4999999999999998E-2</v>
      </c>
      <c r="AA298" s="36">
        <v>50</v>
      </c>
      <c r="AB298" s="40">
        <v>3.24</v>
      </c>
      <c r="AC298" s="38">
        <v>6.14</v>
      </c>
      <c r="AD298" s="39">
        <v>1.9219999999999999</v>
      </c>
      <c r="AE298" s="39">
        <v>6.2359999999999998</v>
      </c>
      <c r="AF298" s="36">
        <v>317</v>
      </c>
      <c r="AG298" s="36">
        <v>65</v>
      </c>
      <c r="AH298" s="45">
        <f t="shared" si="35"/>
        <v>3.8999999999999702E-2</v>
      </c>
      <c r="AI298" s="3">
        <f t="shared" si="31"/>
        <v>3240</v>
      </c>
      <c r="AJ298" s="44">
        <f t="shared" si="32"/>
        <v>0.32400000000000001</v>
      </c>
      <c r="AP298" s="46">
        <f t="shared" si="33"/>
        <v>4.4999999999999998E-2</v>
      </c>
    </row>
    <row r="299" spans="19:42" ht="18">
      <c r="S299" s="8">
        <f t="shared" si="34"/>
        <v>0</v>
      </c>
      <c r="W299" s="3">
        <v>325</v>
      </c>
      <c r="X299" s="30">
        <v>45.332999999999998</v>
      </c>
      <c r="Y299" s="33">
        <f t="shared" si="30"/>
        <v>4.4999999999999998E-2</v>
      </c>
      <c r="AA299" s="36">
        <v>50</v>
      </c>
      <c r="AB299" s="40">
        <v>3.25</v>
      </c>
      <c r="AC299" s="38">
        <v>6.14</v>
      </c>
      <c r="AD299" s="39">
        <v>1.925</v>
      </c>
      <c r="AE299" s="39">
        <v>6.2560000000000002</v>
      </c>
      <c r="AF299" s="36">
        <v>317</v>
      </c>
      <c r="AG299" s="36">
        <v>65</v>
      </c>
      <c r="AH299" s="45">
        <f t="shared" si="35"/>
        <v>2.0000000000000462E-2</v>
      </c>
      <c r="AI299" s="3">
        <f t="shared" si="31"/>
        <v>3250</v>
      </c>
      <c r="AJ299" s="44">
        <f t="shared" si="32"/>
        <v>0.32500000000000001</v>
      </c>
      <c r="AP299" s="46">
        <f t="shared" si="33"/>
        <v>4.4999999999999998E-2</v>
      </c>
    </row>
    <row r="300" spans="19:42" ht="18">
      <c r="S300" s="8">
        <f t="shared" si="34"/>
        <v>0</v>
      </c>
      <c r="W300" s="3">
        <v>326</v>
      </c>
      <c r="X300" s="30">
        <v>45.4</v>
      </c>
      <c r="Y300" s="33">
        <f t="shared" si="30"/>
        <v>4.4999999999999998E-2</v>
      </c>
      <c r="AA300" s="36">
        <v>50</v>
      </c>
      <c r="AB300" s="40">
        <v>3.26</v>
      </c>
      <c r="AC300" s="38">
        <v>6.14</v>
      </c>
      <c r="AD300" s="39">
        <v>1.9279999999999999</v>
      </c>
      <c r="AE300" s="39">
        <v>6.2850000000000001</v>
      </c>
      <c r="AF300" s="36">
        <v>317</v>
      </c>
      <c r="AG300" s="36">
        <v>65</v>
      </c>
      <c r="AH300" s="45">
        <f t="shared" si="35"/>
        <v>2.8999999999999915E-2</v>
      </c>
      <c r="AI300" s="3">
        <f t="shared" si="31"/>
        <v>3260</v>
      </c>
      <c r="AJ300" s="44">
        <f t="shared" si="32"/>
        <v>0.32600000000000001</v>
      </c>
      <c r="AP300" s="46">
        <f t="shared" si="33"/>
        <v>4.4999999999999998E-2</v>
      </c>
    </row>
    <row r="301" spans="19:42" ht="18">
      <c r="S301" s="8">
        <f t="shared" si="34"/>
        <v>0</v>
      </c>
      <c r="W301" s="3">
        <v>327</v>
      </c>
      <c r="X301" s="30">
        <v>45.466999999999999</v>
      </c>
      <c r="Y301" s="33">
        <f t="shared" si="30"/>
        <v>4.4999999999999998E-2</v>
      </c>
      <c r="AA301" s="36">
        <v>50</v>
      </c>
      <c r="AB301" s="40">
        <v>3.27</v>
      </c>
      <c r="AC301" s="38">
        <v>6.14</v>
      </c>
      <c r="AD301" s="39">
        <v>1.931</v>
      </c>
      <c r="AE301" s="39">
        <v>6.3140000000000001</v>
      </c>
      <c r="AF301" s="36">
        <v>318</v>
      </c>
      <c r="AG301" s="36">
        <v>65</v>
      </c>
      <c r="AH301" s="45">
        <f t="shared" si="35"/>
        <v>2.8999999999999915E-2</v>
      </c>
      <c r="AI301" s="3">
        <f t="shared" si="31"/>
        <v>3270</v>
      </c>
      <c r="AJ301" s="44">
        <f t="shared" si="32"/>
        <v>0.32700000000000001</v>
      </c>
      <c r="AP301" s="46">
        <f t="shared" si="33"/>
        <v>4.4999999999999998E-2</v>
      </c>
    </row>
    <row r="302" spans="19:42" ht="18">
      <c r="S302" s="8">
        <f t="shared" si="34"/>
        <v>0</v>
      </c>
      <c r="W302" s="3">
        <v>328</v>
      </c>
      <c r="X302" s="30">
        <v>45.533000000000001</v>
      </c>
      <c r="Y302" s="33">
        <f t="shared" si="30"/>
        <v>4.5999999999999999E-2</v>
      </c>
      <c r="AA302" s="36">
        <v>50</v>
      </c>
      <c r="AB302" s="40">
        <v>3.28</v>
      </c>
      <c r="AC302" s="38">
        <v>6.14</v>
      </c>
      <c r="AD302" s="39">
        <v>1.9339999999999999</v>
      </c>
      <c r="AE302" s="39">
        <v>6.3440000000000003</v>
      </c>
      <c r="AF302" s="36">
        <v>318</v>
      </c>
      <c r="AG302" s="36">
        <v>66</v>
      </c>
      <c r="AH302" s="45">
        <f t="shared" si="35"/>
        <v>3.0000000000000249E-2</v>
      </c>
      <c r="AI302" s="3">
        <f t="shared" si="31"/>
        <v>3280</v>
      </c>
      <c r="AJ302" s="44">
        <f t="shared" si="32"/>
        <v>0.32800000000000001</v>
      </c>
      <c r="AP302" s="46">
        <f t="shared" si="33"/>
        <v>4.5999999999999999E-2</v>
      </c>
    </row>
    <row r="303" spans="19:42" ht="18">
      <c r="S303" s="8">
        <f t="shared" si="34"/>
        <v>0</v>
      </c>
      <c r="W303" s="3">
        <v>329</v>
      </c>
      <c r="X303" s="30">
        <v>45.6</v>
      </c>
      <c r="Y303" s="33">
        <f t="shared" si="30"/>
        <v>4.5999999999999999E-2</v>
      </c>
      <c r="AA303" s="36">
        <v>50</v>
      </c>
      <c r="AB303" s="40">
        <v>3.29</v>
      </c>
      <c r="AC303" s="38">
        <v>6.14</v>
      </c>
      <c r="AD303" s="39">
        <v>1.9370000000000001</v>
      </c>
      <c r="AE303" s="39">
        <v>6.3730000000000002</v>
      </c>
      <c r="AF303" s="36">
        <v>319</v>
      </c>
      <c r="AG303" s="36">
        <v>66</v>
      </c>
      <c r="AH303" s="45">
        <f t="shared" si="35"/>
        <v>2.8999999999999915E-2</v>
      </c>
      <c r="AI303" s="3">
        <f t="shared" si="31"/>
        <v>3290</v>
      </c>
      <c r="AJ303" s="44">
        <f t="shared" si="32"/>
        <v>0.32900000000000001</v>
      </c>
      <c r="AP303" s="46">
        <f t="shared" si="33"/>
        <v>4.5999999999999999E-2</v>
      </c>
    </row>
    <row r="304" spans="19:42" ht="18">
      <c r="S304" s="8">
        <f t="shared" si="34"/>
        <v>0</v>
      </c>
      <c r="W304" s="3">
        <v>330</v>
      </c>
      <c r="X304" s="30">
        <v>45.667000000000002</v>
      </c>
      <c r="Y304" s="33">
        <f t="shared" si="30"/>
        <v>4.5999999999999999E-2</v>
      </c>
      <c r="AA304" s="36">
        <v>50</v>
      </c>
      <c r="AB304" s="40">
        <v>3.3</v>
      </c>
      <c r="AC304" s="38">
        <v>6.14</v>
      </c>
      <c r="AD304" s="39">
        <v>1.94</v>
      </c>
      <c r="AE304" s="39">
        <v>6.4020000000000001</v>
      </c>
      <c r="AF304" s="36">
        <v>319</v>
      </c>
      <c r="AG304" s="36">
        <v>66</v>
      </c>
      <c r="AH304" s="45">
        <f t="shared" si="35"/>
        <v>2.8999999999999915E-2</v>
      </c>
      <c r="AI304" s="3">
        <f t="shared" si="31"/>
        <v>3300</v>
      </c>
      <c r="AJ304" s="44">
        <f t="shared" si="32"/>
        <v>0.33</v>
      </c>
      <c r="AP304" s="46">
        <f t="shared" si="33"/>
        <v>4.5999999999999999E-2</v>
      </c>
    </row>
    <row r="305" spans="19:42" ht="18">
      <c r="S305" s="8">
        <f t="shared" si="34"/>
        <v>0</v>
      </c>
      <c r="W305" s="3">
        <v>331</v>
      </c>
      <c r="X305" s="30">
        <v>45.732999999999997</v>
      </c>
      <c r="Y305" s="33">
        <f t="shared" si="30"/>
        <v>4.5999999999999999E-2</v>
      </c>
      <c r="AA305" s="36">
        <v>51</v>
      </c>
      <c r="AB305" s="40">
        <v>3.31</v>
      </c>
      <c r="AC305" s="38">
        <v>6.28</v>
      </c>
      <c r="AD305" s="39">
        <v>1.9430000000000001</v>
      </c>
      <c r="AE305" s="39">
        <v>6.431</v>
      </c>
      <c r="AF305" s="36">
        <v>313</v>
      </c>
      <c r="AG305" s="36">
        <v>65</v>
      </c>
      <c r="AH305" s="45">
        <f t="shared" si="35"/>
        <v>2.8999999999999915E-2</v>
      </c>
      <c r="AI305" s="3">
        <f t="shared" si="31"/>
        <v>3310</v>
      </c>
      <c r="AJ305" s="44">
        <f t="shared" si="32"/>
        <v>0.33100000000000002</v>
      </c>
      <c r="AP305" s="46">
        <f t="shared" si="33"/>
        <v>4.5999999999999999E-2</v>
      </c>
    </row>
    <row r="306" spans="19:42" ht="18">
      <c r="S306" s="8">
        <f t="shared" si="34"/>
        <v>0</v>
      </c>
      <c r="W306" s="3">
        <v>332</v>
      </c>
      <c r="X306" s="30">
        <v>45.8</v>
      </c>
      <c r="Y306" s="33">
        <f t="shared" si="30"/>
        <v>4.5999999999999999E-2</v>
      </c>
      <c r="AA306" s="36">
        <v>51</v>
      </c>
      <c r="AB306" s="40">
        <v>3.32</v>
      </c>
      <c r="AC306" s="38">
        <v>6.28</v>
      </c>
      <c r="AD306" s="39">
        <v>1.946</v>
      </c>
      <c r="AE306" s="39">
        <v>6.46</v>
      </c>
      <c r="AF306" s="36">
        <v>314</v>
      </c>
      <c r="AG306" s="36">
        <v>65</v>
      </c>
      <c r="AH306" s="45">
        <f t="shared" si="35"/>
        <v>2.8999999999999915E-2</v>
      </c>
      <c r="AI306" s="3">
        <f t="shared" si="31"/>
        <v>3320</v>
      </c>
      <c r="AJ306" s="44">
        <f t="shared" si="32"/>
        <v>0.33200000000000002</v>
      </c>
      <c r="AP306" s="46">
        <f t="shared" si="33"/>
        <v>4.5999999999999999E-2</v>
      </c>
    </row>
    <row r="307" spans="19:42" ht="18">
      <c r="S307" s="8">
        <f t="shared" si="34"/>
        <v>0</v>
      </c>
      <c r="W307" s="3">
        <v>333</v>
      </c>
      <c r="X307" s="30">
        <v>45.866999999999997</v>
      </c>
      <c r="Y307" s="33">
        <f t="shared" si="30"/>
        <v>4.5999999999999999E-2</v>
      </c>
      <c r="AA307" s="36">
        <v>51</v>
      </c>
      <c r="AB307" s="40">
        <v>3.33</v>
      </c>
      <c r="AC307" s="38">
        <v>6.28</v>
      </c>
      <c r="AD307" s="39">
        <v>1.9490000000000001</v>
      </c>
      <c r="AE307" s="39">
        <v>6.4889999999999999</v>
      </c>
      <c r="AF307" s="36">
        <v>314</v>
      </c>
      <c r="AG307" s="36">
        <v>65</v>
      </c>
      <c r="AH307" s="45">
        <f t="shared" si="35"/>
        <v>2.8999999999999915E-2</v>
      </c>
      <c r="AI307" s="3">
        <f t="shared" si="31"/>
        <v>3330</v>
      </c>
      <c r="AJ307" s="44">
        <f t="shared" si="32"/>
        <v>0.33300000000000002</v>
      </c>
      <c r="AP307" s="46">
        <f t="shared" si="33"/>
        <v>4.5999999999999999E-2</v>
      </c>
    </row>
    <row r="308" spans="19:42" ht="18">
      <c r="S308" s="8">
        <f t="shared" si="34"/>
        <v>0</v>
      </c>
      <c r="W308" s="3">
        <v>334</v>
      </c>
      <c r="X308" s="30">
        <v>45.933</v>
      </c>
      <c r="Y308" s="33">
        <f t="shared" si="30"/>
        <v>4.5999999999999999E-2</v>
      </c>
      <c r="AA308" s="36">
        <v>51</v>
      </c>
      <c r="AB308" s="40">
        <v>3.34</v>
      </c>
      <c r="AC308" s="38">
        <v>6.28</v>
      </c>
      <c r="AD308" s="39">
        <v>1.952</v>
      </c>
      <c r="AE308" s="39">
        <v>6.5179999999999998</v>
      </c>
      <c r="AF308" s="36">
        <v>314</v>
      </c>
      <c r="AG308" s="36">
        <v>65</v>
      </c>
      <c r="AH308" s="45">
        <f t="shared" si="35"/>
        <v>2.8999999999999915E-2</v>
      </c>
      <c r="AI308" s="3">
        <f t="shared" si="31"/>
        <v>3340</v>
      </c>
      <c r="AJ308" s="44">
        <f t="shared" si="32"/>
        <v>0.33400000000000002</v>
      </c>
      <c r="AP308" s="46">
        <f t="shared" si="33"/>
        <v>4.5999999999999999E-2</v>
      </c>
    </row>
    <row r="309" spans="19:42" ht="18">
      <c r="S309" s="8">
        <f t="shared" si="34"/>
        <v>0</v>
      </c>
      <c r="W309" s="3">
        <v>335</v>
      </c>
      <c r="X309" s="30">
        <v>46</v>
      </c>
      <c r="Y309" s="33">
        <f t="shared" si="30"/>
        <v>4.5999999999999999E-2</v>
      </c>
      <c r="AA309" s="36">
        <v>51</v>
      </c>
      <c r="AB309" s="40">
        <v>3.35</v>
      </c>
      <c r="AC309" s="38">
        <v>6.28</v>
      </c>
      <c r="AD309" s="39">
        <v>1.954</v>
      </c>
      <c r="AE309" s="39">
        <v>6.5469999999999997</v>
      </c>
      <c r="AF309" s="36">
        <v>315</v>
      </c>
      <c r="AG309" s="36">
        <v>66</v>
      </c>
      <c r="AH309" s="45">
        <f t="shared" si="35"/>
        <v>2.8999999999999915E-2</v>
      </c>
      <c r="AI309" s="3">
        <f t="shared" si="31"/>
        <v>3350</v>
      </c>
      <c r="AJ309" s="44">
        <f t="shared" si="32"/>
        <v>0.33500000000000002</v>
      </c>
      <c r="AP309" s="46">
        <f t="shared" si="33"/>
        <v>4.5999999999999999E-2</v>
      </c>
    </row>
    <row r="310" spans="19:42" ht="18">
      <c r="S310" s="8">
        <f t="shared" si="34"/>
        <v>0</v>
      </c>
      <c r="W310" s="3">
        <v>336</v>
      </c>
      <c r="X310" s="30">
        <v>46.067</v>
      </c>
      <c r="Y310" s="33">
        <f t="shared" si="30"/>
        <v>4.5999999999999999E-2</v>
      </c>
      <c r="AA310" s="36">
        <v>51</v>
      </c>
      <c r="AB310" s="40">
        <v>3.36</v>
      </c>
      <c r="AC310" s="38">
        <v>6.28</v>
      </c>
      <c r="AD310" s="39">
        <v>1.9570000000000001</v>
      </c>
      <c r="AE310" s="39">
        <v>6.5759999999999996</v>
      </c>
      <c r="AF310" s="36">
        <v>315</v>
      </c>
      <c r="AG310" s="36">
        <v>66</v>
      </c>
      <c r="AH310" s="45">
        <f t="shared" si="35"/>
        <v>2.8999999999999915E-2</v>
      </c>
      <c r="AI310" s="3">
        <f t="shared" si="31"/>
        <v>3360</v>
      </c>
      <c r="AJ310" s="44">
        <f t="shared" si="32"/>
        <v>0.33600000000000002</v>
      </c>
      <c r="AP310" s="46">
        <f t="shared" si="33"/>
        <v>4.5999999999999999E-2</v>
      </c>
    </row>
    <row r="311" spans="19:42" ht="18">
      <c r="S311" s="8">
        <f t="shared" si="34"/>
        <v>0</v>
      </c>
      <c r="W311" s="3">
        <v>337</v>
      </c>
      <c r="X311" s="30">
        <v>46.133000000000003</v>
      </c>
      <c r="Y311" s="33">
        <f t="shared" si="30"/>
        <v>4.5999999999999999E-2</v>
      </c>
      <c r="AA311" s="36">
        <v>51</v>
      </c>
      <c r="AB311" s="40">
        <v>3.37</v>
      </c>
      <c r="AC311" s="38">
        <v>6.28</v>
      </c>
      <c r="AD311" s="39">
        <v>1.96</v>
      </c>
      <c r="AE311" s="39">
        <v>6.6059999999999999</v>
      </c>
      <c r="AF311" s="36">
        <v>316</v>
      </c>
      <c r="AG311" s="36">
        <v>66</v>
      </c>
      <c r="AH311" s="45">
        <f t="shared" si="35"/>
        <v>3.0000000000000249E-2</v>
      </c>
      <c r="AI311" s="3">
        <f t="shared" si="31"/>
        <v>3370</v>
      </c>
      <c r="AJ311" s="44">
        <f t="shared" si="32"/>
        <v>0.33700000000000002</v>
      </c>
      <c r="AP311" s="46">
        <f t="shared" si="33"/>
        <v>4.5999999999999999E-2</v>
      </c>
    </row>
    <row r="312" spans="19:42" ht="18">
      <c r="S312" s="8">
        <f t="shared" si="34"/>
        <v>0</v>
      </c>
      <c r="W312" s="3">
        <v>338</v>
      </c>
      <c r="X312" s="30">
        <v>46.2</v>
      </c>
      <c r="Y312" s="33">
        <f t="shared" si="30"/>
        <v>4.5999999999999999E-2</v>
      </c>
      <c r="AA312" s="36">
        <v>52</v>
      </c>
      <c r="AB312" s="40">
        <v>3.38</v>
      </c>
      <c r="AC312" s="38">
        <v>6.43</v>
      </c>
      <c r="AD312" s="39">
        <v>1.9630000000000001</v>
      </c>
      <c r="AE312" s="39">
        <v>6.63</v>
      </c>
      <c r="AF312" s="36">
        <v>310</v>
      </c>
      <c r="AG312" s="36">
        <v>65</v>
      </c>
      <c r="AH312" s="45">
        <f t="shared" si="35"/>
        <v>2.4000000000000021E-2</v>
      </c>
      <c r="AI312" s="3">
        <f t="shared" si="31"/>
        <v>3380</v>
      </c>
      <c r="AJ312" s="44">
        <f t="shared" si="32"/>
        <v>0.33800000000000002</v>
      </c>
      <c r="AP312" s="46">
        <f t="shared" si="33"/>
        <v>4.5999999999999999E-2</v>
      </c>
    </row>
    <row r="313" spans="19:42" ht="18">
      <c r="S313" s="8">
        <f t="shared" si="34"/>
        <v>0</v>
      </c>
      <c r="W313" s="3">
        <v>339</v>
      </c>
      <c r="X313" s="30">
        <v>46.267000000000003</v>
      </c>
      <c r="Y313" s="33">
        <f t="shared" si="30"/>
        <v>4.5999999999999999E-2</v>
      </c>
      <c r="AA313" s="36">
        <v>52</v>
      </c>
      <c r="AB313" s="40">
        <v>3.39</v>
      </c>
      <c r="AC313" s="38">
        <v>6.43</v>
      </c>
      <c r="AD313" s="39">
        <v>1.9670000000000001</v>
      </c>
      <c r="AE313" s="39">
        <v>6.6660000000000004</v>
      </c>
      <c r="AF313" s="36">
        <v>310</v>
      </c>
      <c r="AG313" s="36">
        <v>65</v>
      </c>
      <c r="AH313" s="45">
        <f t="shared" si="35"/>
        <v>3.6000000000000476E-2</v>
      </c>
      <c r="AI313" s="3">
        <f t="shared" si="31"/>
        <v>3390</v>
      </c>
      <c r="AJ313" s="44">
        <f t="shared" si="32"/>
        <v>0.33900000000000002</v>
      </c>
      <c r="AP313" s="46">
        <f t="shared" si="33"/>
        <v>4.5999999999999999E-2</v>
      </c>
    </row>
    <row r="314" spans="19:42" ht="18">
      <c r="S314" s="8">
        <f t="shared" si="34"/>
        <v>0</v>
      </c>
      <c r="W314" s="3">
        <v>340</v>
      </c>
      <c r="X314" s="30">
        <v>46.332999999999998</v>
      </c>
      <c r="Y314" s="33">
        <f t="shared" si="30"/>
        <v>4.5999999999999999E-2</v>
      </c>
      <c r="AA314" s="36">
        <v>52</v>
      </c>
      <c r="AB314" s="40">
        <v>3.4</v>
      </c>
      <c r="AC314" s="38">
        <v>6.43</v>
      </c>
      <c r="AD314" s="39">
        <v>1.97</v>
      </c>
      <c r="AE314" s="39">
        <v>6.6980000000000004</v>
      </c>
      <c r="AF314" s="36">
        <v>311</v>
      </c>
      <c r="AG314" s="36">
        <v>65</v>
      </c>
      <c r="AH314" s="45">
        <f t="shared" si="35"/>
        <v>3.2000000000000028E-2</v>
      </c>
      <c r="AI314" s="3">
        <f t="shared" si="31"/>
        <v>3400</v>
      </c>
      <c r="AJ314" s="44">
        <f t="shared" si="32"/>
        <v>0.34</v>
      </c>
      <c r="AP314" s="46">
        <f t="shared" si="33"/>
        <v>4.5999999999999999E-2</v>
      </c>
    </row>
    <row r="315" spans="19:42" ht="18">
      <c r="S315" s="8">
        <f t="shared" si="34"/>
        <v>0</v>
      </c>
      <c r="W315" s="3">
        <v>341</v>
      </c>
      <c r="X315" s="30">
        <v>46.4</v>
      </c>
      <c r="Y315" s="33">
        <f t="shared" si="30"/>
        <v>4.5999999999999999E-2</v>
      </c>
      <c r="AA315" s="36">
        <v>52</v>
      </c>
      <c r="AB315" s="40">
        <v>3.41</v>
      </c>
      <c r="AC315" s="38">
        <v>6.43</v>
      </c>
      <c r="AD315" s="39">
        <v>1.974</v>
      </c>
      <c r="AE315" s="39">
        <v>6.73</v>
      </c>
      <c r="AF315" s="36">
        <v>311</v>
      </c>
      <c r="AG315" s="36">
        <v>66</v>
      </c>
      <c r="AH315" s="45">
        <f t="shared" si="35"/>
        <v>3.2000000000000028E-2</v>
      </c>
      <c r="AI315" s="3">
        <f t="shared" si="31"/>
        <v>3410</v>
      </c>
      <c r="AJ315" s="44">
        <f t="shared" si="32"/>
        <v>0.34100000000000003</v>
      </c>
      <c r="AP315" s="46">
        <f t="shared" si="33"/>
        <v>4.5999999999999999E-2</v>
      </c>
    </row>
    <row r="316" spans="19:42" ht="18">
      <c r="S316" s="8">
        <f t="shared" si="34"/>
        <v>0</v>
      </c>
      <c r="W316" s="3">
        <v>342</v>
      </c>
      <c r="X316" s="30">
        <v>46.466999999999999</v>
      </c>
      <c r="Y316" s="33">
        <f t="shared" si="30"/>
        <v>4.5999999999999999E-2</v>
      </c>
      <c r="AA316" s="36">
        <v>52</v>
      </c>
      <c r="AB316" s="40">
        <v>3.42</v>
      </c>
      <c r="AC316" s="38">
        <v>6.43</v>
      </c>
      <c r="AD316" s="39">
        <v>1.9770000000000001</v>
      </c>
      <c r="AE316" s="39">
        <v>6.7610000000000001</v>
      </c>
      <c r="AF316" s="36">
        <v>311</v>
      </c>
      <c r="AG316" s="36">
        <v>66</v>
      </c>
      <c r="AH316" s="45">
        <f t="shared" si="35"/>
        <v>3.0999999999999694E-2</v>
      </c>
      <c r="AI316" s="3">
        <f t="shared" si="31"/>
        <v>3420</v>
      </c>
      <c r="AJ316" s="44">
        <f t="shared" si="32"/>
        <v>0.34200000000000003</v>
      </c>
      <c r="AP316" s="46">
        <f t="shared" si="33"/>
        <v>4.5999999999999999E-2</v>
      </c>
    </row>
    <row r="317" spans="19:42" ht="18">
      <c r="S317" s="8">
        <f t="shared" si="34"/>
        <v>0</v>
      </c>
      <c r="W317" s="3">
        <v>343</v>
      </c>
      <c r="X317" s="30">
        <v>46.533000000000001</v>
      </c>
      <c r="Y317" s="33">
        <f t="shared" si="30"/>
        <v>4.7E-2</v>
      </c>
      <c r="AA317" s="36">
        <v>52</v>
      </c>
      <c r="AB317" s="40">
        <v>3.43</v>
      </c>
      <c r="AC317" s="38">
        <v>6.43</v>
      </c>
      <c r="AD317" s="39">
        <v>1.9810000000000001</v>
      </c>
      <c r="AE317" s="39">
        <v>6.7930000000000001</v>
      </c>
      <c r="AF317" s="36">
        <v>312</v>
      </c>
      <c r="AG317" s="36">
        <v>66</v>
      </c>
      <c r="AH317" s="45">
        <f t="shared" si="35"/>
        <v>3.2000000000000028E-2</v>
      </c>
      <c r="AI317" s="3">
        <f t="shared" si="31"/>
        <v>3430</v>
      </c>
      <c r="AJ317" s="44">
        <f t="shared" si="32"/>
        <v>0.34300000000000003</v>
      </c>
      <c r="AP317" s="46">
        <f t="shared" si="33"/>
        <v>4.7E-2</v>
      </c>
    </row>
    <row r="318" spans="19:42" ht="18">
      <c r="S318" s="8">
        <f t="shared" si="34"/>
        <v>0</v>
      </c>
      <c r="W318" s="3">
        <v>344</v>
      </c>
      <c r="X318" s="30">
        <v>46.6</v>
      </c>
      <c r="Y318" s="33">
        <f t="shared" si="30"/>
        <v>4.7E-2</v>
      </c>
      <c r="AA318" s="36">
        <v>53</v>
      </c>
      <c r="AB318" s="40">
        <v>3.44</v>
      </c>
      <c r="AC318" s="38">
        <v>6.57</v>
      </c>
      <c r="AD318" s="39">
        <v>1.984</v>
      </c>
      <c r="AE318" s="39">
        <v>6.8310000000000004</v>
      </c>
      <c r="AF318" s="36">
        <v>306</v>
      </c>
      <c r="AG318" s="36">
        <v>65</v>
      </c>
      <c r="AH318" s="45">
        <f t="shared" si="35"/>
        <v>3.8000000000000256E-2</v>
      </c>
      <c r="AI318" s="3">
        <f t="shared" si="31"/>
        <v>3440</v>
      </c>
      <c r="AJ318" s="44">
        <f t="shared" si="32"/>
        <v>0.34399999999999997</v>
      </c>
      <c r="AP318" s="46">
        <f t="shared" si="33"/>
        <v>4.7E-2</v>
      </c>
    </row>
    <row r="319" spans="19:42" ht="18">
      <c r="S319" s="8">
        <f t="shared" si="34"/>
        <v>0</v>
      </c>
      <c r="W319" s="3">
        <v>345</v>
      </c>
      <c r="X319" s="30">
        <v>46.667000000000002</v>
      </c>
      <c r="Y319" s="33">
        <f t="shared" si="30"/>
        <v>4.7E-2</v>
      </c>
      <c r="AA319" s="36">
        <v>53</v>
      </c>
      <c r="AB319" s="40">
        <v>3.45</v>
      </c>
      <c r="AC319" s="38">
        <v>6.57</v>
      </c>
      <c r="AD319" s="39">
        <v>1.9870000000000001</v>
      </c>
      <c r="AE319" s="39">
        <v>6.8550000000000004</v>
      </c>
      <c r="AF319" s="36">
        <v>306</v>
      </c>
      <c r="AG319" s="36">
        <v>65</v>
      </c>
      <c r="AH319" s="45">
        <f t="shared" si="35"/>
        <v>2.4000000000000021E-2</v>
      </c>
      <c r="AI319" s="3">
        <f t="shared" si="31"/>
        <v>3450</v>
      </c>
      <c r="AJ319" s="44">
        <f t="shared" si="32"/>
        <v>0.34499999999999997</v>
      </c>
      <c r="AP319" s="46">
        <f t="shared" si="33"/>
        <v>4.7E-2</v>
      </c>
    </row>
    <row r="320" spans="19:42" ht="18">
      <c r="S320" s="8">
        <f t="shared" si="34"/>
        <v>0</v>
      </c>
      <c r="W320" s="3">
        <v>346</v>
      </c>
      <c r="X320" s="30">
        <v>46.732999999999997</v>
      </c>
      <c r="Y320" s="33">
        <f t="shared" si="30"/>
        <v>4.7E-2</v>
      </c>
      <c r="AA320" s="36">
        <v>53</v>
      </c>
      <c r="AB320" s="40">
        <v>3.46</v>
      </c>
      <c r="AC320" s="38">
        <v>6.57</v>
      </c>
      <c r="AD320" s="39">
        <v>1.99</v>
      </c>
      <c r="AE320" s="39">
        <v>6.8840000000000003</v>
      </c>
      <c r="AF320" s="36">
        <v>307</v>
      </c>
      <c r="AG320" s="36">
        <v>65</v>
      </c>
      <c r="AH320" s="45">
        <f t="shared" si="35"/>
        <v>2.8999999999999915E-2</v>
      </c>
      <c r="AI320" s="3">
        <f t="shared" si="31"/>
        <v>3460</v>
      </c>
      <c r="AJ320" s="44">
        <f t="shared" si="32"/>
        <v>0.34599999999999997</v>
      </c>
      <c r="AP320" s="46">
        <f t="shared" si="33"/>
        <v>4.7E-2</v>
      </c>
    </row>
    <row r="321" spans="19:42" ht="18">
      <c r="S321" s="8">
        <f t="shared" si="34"/>
        <v>0</v>
      </c>
      <c r="W321" s="3">
        <v>347</v>
      </c>
      <c r="X321" s="30">
        <v>46.8</v>
      </c>
      <c r="Y321" s="33">
        <f t="shared" si="30"/>
        <v>4.7E-2</v>
      </c>
      <c r="AA321" s="36">
        <v>53</v>
      </c>
      <c r="AB321" s="40">
        <v>3.47</v>
      </c>
      <c r="AC321" s="38">
        <v>6.57</v>
      </c>
      <c r="AD321" s="39">
        <v>1.9930000000000001</v>
      </c>
      <c r="AE321" s="39">
        <v>6.9139999999999997</v>
      </c>
      <c r="AF321" s="36">
        <v>307</v>
      </c>
      <c r="AG321" s="36">
        <v>65</v>
      </c>
      <c r="AH321" s="45">
        <f t="shared" si="35"/>
        <v>2.9999999999999361E-2</v>
      </c>
      <c r="AI321" s="3">
        <f t="shared" si="31"/>
        <v>3470</v>
      </c>
      <c r="AJ321" s="44">
        <f t="shared" si="32"/>
        <v>0.34699999999999998</v>
      </c>
      <c r="AP321" s="46">
        <f t="shared" si="33"/>
        <v>4.7E-2</v>
      </c>
    </row>
    <row r="322" spans="19:42" ht="18">
      <c r="S322" s="8">
        <f t="shared" si="34"/>
        <v>0</v>
      </c>
      <c r="W322" s="3">
        <v>348</v>
      </c>
      <c r="X322" s="30">
        <v>46.866999999999997</v>
      </c>
      <c r="Y322" s="33">
        <f t="shared" si="30"/>
        <v>4.7E-2</v>
      </c>
      <c r="AA322" s="36">
        <v>53</v>
      </c>
      <c r="AB322" s="40">
        <v>3.48</v>
      </c>
      <c r="AC322" s="38">
        <v>6.57</v>
      </c>
      <c r="AD322" s="39">
        <v>1.9950000000000001</v>
      </c>
      <c r="AE322" s="39">
        <v>6.944</v>
      </c>
      <c r="AF322" s="36">
        <v>307</v>
      </c>
      <c r="AG322" s="36">
        <v>66</v>
      </c>
      <c r="AH322" s="45">
        <f t="shared" si="35"/>
        <v>3.0000000000000249E-2</v>
      </c>
      <c r="AI322" s="3">
        <f t="shared" si="31"/>
        <v>3480</v>
      </c>
      <c r="AJ322" s="44">
        <f t="shared" si="32"/>
        <v>0.34799999999999998</v>
      </c>
      <c r="AP322" s="46">
        <f t="shared" si="33"/>
        <v>4.7E-2</v>
      </c>
    </row>
    <row r="323" spans="19:42" ht="18">
      <c r="S323" s="8">
        <f t="shared" si="34"/>
        <v>0</v>
      </c>
      <c r="W323" s="3">
        <v>349</v>
      </c>
      <c r="X323" s="30">
        <v>46.933</v>
      </c>
      <c r="Y323" s="33">
        <f t="shared" si="30"/>
        <v>4.7E-2</v>
      </c>
      <c r="AA323" s="36">
        <v>53</v>
      </c>
      <c r="AB323" s="40">
        <v>3.49</v>
      </c>
      <c r="AC323" s="38">
        <v>6.57</v>
      </c>
      <c r="AD323" s="39">
        <v>1.998</v>
      </c>
      <c r="AE323" s="39">
        <v>6.9740000000000002</v>
      </c>
      <c r="AF323" s="36">
        <v>308</v>
      </c>
      <c r="AG323" s="36">
        <v>66</v>
      </c>
      <c r="AH323" s="45">
        <f t="shared" si="35"/>
        <v>3.0000000000000249E-2</v>
      </c>
      <c r="AI323" s="3">
        <f t="shared" si="31"/>
        <v>3490</v>
      </c>
      <c r="AJ323" s="44">
        <f t="shared" si="32"/>
        <v>0.34899999999999998</v>
      </c>
      <c r="AP323" s="46">
        <f t="shared" si="33"/>
        <v>4.7E-2</v>
      </c>
    </row>
    <row r="324" spans="19:42" ht="18">
      <c r="S324" s="8">
        <f t="shared" si="34"/>
        <v>0</v>
      </c>
      <c r="W324" s="3">
        <v>350</v>
      </c>
      <c r="X324" s="30">
        <v>47</v>
      </c>
      <c r="Y324" s="33">
        <f t="shared" si="30"/>
        <v>4.7E-2</v>
      </c>
      <c r="AA324" s="36">
        <v>53</v>
      </c>
      <c r="AB324" s="40">
        <v>3.5</v>
      </c>
      <c r="AC324" s="38">
        <v>6.57</v>
      </c>
      <c r="AD324" s="39">
        <v>2.0009999999999999</v>
      </c>
      <c r="AE324" s="39">
        <v>7.0039999999999996</v>
      </c>
      <c r="AF324" s="36">
        <v>308</v>
      </c>
      <c r="AG324" s="36">
        <v>66</v>
      </c>
      <c r="AH324" s="45">
        <f t="shared" si="35"/>
        <v>2.9999999999999361E-2</v>
      </c>
      <c r="AI324" s="3">
        <f t="shared" si="31"/>
        <v>3500</v>
      </c>
      <c r="AJ324" s="44">
        <f t="shared" si="32"/>
        <v>0.35</v>
      </c>
      <c r="AP324" s="46">
        <f t="shared" si="33"/>
        <v>4.7E-2</v>
      </c>
    </row>
    <row r="325" spans="19:42" ht="18">
      <c r="S325" s="8">
        <f t="shared" si="34"/>
        <v>0</v>
      </c>
      <c r="W325" s="3">
        <v>351</v>
      </c>
      <c r="X325" s="30">
        <v>47.075000000000003</v>
      </c>
      <c r="Y325" s="33">
        <f t="shared" ref="Y325:Y388" si="36">ROUND(X325/1000,3)</f>
        <v>4.7E-2</v>
      </c>
      <c r="AA325" s="36">
        <v>54</v>
      </c>
      <c r="AB325" s="40">
        <v>3.51</v>
      </c>
      <c r="AC325" s="38">
        <v>6.71</v>
      </c>
      <c r="AD325" s="39">
        <v>2.004</v>
      </c>
      <c r="AE325" s="39">
        <v>7.0350000000000001</v>
      </c>
      <c r="AF325" s="36">
        <v>303</v>
      </c>
      <c r="AG325" s="36">
        <v>65</v>
      </c>
      <c r="AH325" s="45">
        <f t="shared" si="35"/>
        <v>3.1000000000000583E-2</v>
      </c>
      <c r="AI325" s="3">
        <f t="shared" ref="AI325:AI338" si="37">AB325*1000</f>
        <v>3510</v>
      </c>
      <c r="AJ325" s="44">
        <f t="shared" ref="AJ325:AJ388" si="38">ROUND(W325/1000,3)</f>
        <v>0.35099999999999998</v>
      </c>
      <c r="AP325" s="46">
        <f t="shared" ref="AP325:AP388" si="39">ROUND(X325/1000,3)</f>
        <v>4.7E-2</v>
      </c>
    </row>
    <row r="326" spans="19:42" ht="18">
      <c r="S326" s="8">
        <f t="shared" ref="S326:S389" si="40">CEILING(R326/50,0.5)</f>
        <v>0</v>
      </c>
      <c r="W326" s="3">
        <v>352</v>
      </c>
      <c r="X326" s="30">
        <v>47.15</v>
      </c>
      <c r="Y326" s="33">
        <f t="shared" si="36"/>
        <v>4.7E-2</v>
      </c>
      <c r="AA326" s="36">
        <v>54</v>
      </c>
      <c r="AB326" s="40">
        <v>3.52</v>
      </c>
      <c r="AC326" s="38">
        <v>6.71</v>
      </c>
      <c r="AD326" s="39">
        <v>2.0070000000000001</v>
      </c>
      <c r="AE326" s="39">
        <v>7.0640000000000001</v>
      </c>
      <c r="AF326" s="36">
        <v>303</v>
      </c>
      <c r="AG326" s="36">
        <v>65</v>
      </c>
      <c r="AH326" s="45">
        <f t="shared" ref="AH326:AH389" si="41">AE326-AE325</f>
        <v>2.8999999999999915E-2</v>
      </c>
      <c r="AI326" s="3">
        <f t="shared" si="37"/>
        <v>3520</v>
      </c>
      <c r="AJ326" s="44">
        <f t="shared" si="38"/>
        <v>0.35199999999999998</v>
      </c>
      <c r="AP326" s="46">
        <f t="shared" si="39"/>
        <v>4.7E-2</v>
      </c>
    </row>
    <row r="327" spans="19:42" ht="18">
      <c r="S327" s="8">
        <f t="shared" si="40"/>
        <v>0</v>
      </c>
      <c r="W327" s="3">
        <v>353</v>
      </c>
      <c r="X327" s="30">
        <v>47.225000000000001</v>
      </c>
      <c r="Y327" s="33">
        <f t="shared" si="36"/>
        <v>4.7E-2</v>
      </c>
      <c r="AA327" s="36">
        <v>54</v>
      </c>
      <c r="AB327" s="40">
        <v>3.53</v>
      </c>
      <c r="AC327" s="38">
        <v>6.71</v>
      </c>
      <c r="AD327" s="39">
        <v>2.0099999999999998</v>
      </c>
      <c r="AE327" s="39">
        <v>7.0940000000000003</v>
      </c>
      <c r="AF327" s="36">
        <v>303</v>
      </c>
      <c r="AG327" s="36">
        <v>65</v>
      </c>
      <c r="AH327" s="45">
        <f t="shared" si="41"/>
        <v>3.0000000000000249E-2</v>
      </c>
      <c r="AI327" s="3">
        <f t="shared" si="37"/>
        <v>3530</v>
      </c>
      <c r="AJ327" s="44">
        <f t="shared" si="38"/>
        <v>0.35299999999999998</v>
      </c>
      <c r="AP327" s="46">
        <f t="shared" si="39"/>
        <v>4.7E-2</v>
      </c>
    </row>
    <row r="328" spans="19:42" ht="18">
      <c r="S328" s="8">
        <f t="shared" si="40"/>
        <v>0</v>
      </c>
      <c r="W328" s="3">
        <v>354</v>
      </c>
      <c r="X328" s="30">
        <v>47.3</v>
      </c>
      <c r="Y328" s="33">
        <f t="shared" si="36"/>
        <v>4.7E-2</v>
      </c>
      <c r="AA328" s="36">
        <v>54</v>
      </c>
      <c r="AB328" s="40">
        <v>3.54</v>
      </c>
      <c r="AC328" s="38">
        <v>6.71</v>
      </c>
      <c r="AD328" s="39">
        <v>2.0129999999999999</v>
      </c>
      <c r="AE328" s="39">
        <v>7.1239999999999997</v>
      </c>
      <c r="AF328" s="36">
        <v>304</v>
      </c>
      <c r="AG328" s="36">
        <v>66</v>
      </c>
      <c r="AH328" s="45">
        <f t="shared" si="41"/>
        <v>2.9999999999999361E-2</v>
      </c>
      <c r="AI328" s="3">
        <f t="shared" si="37"/>
        <v>3540</v>
      </c>
      <c r="AJ328" s="44">
        <f t="shared" si="38"/>
        <v>0.35399999999999998</v>
      </c>
      <c r="AP328" s="46">
        <f t="shared" si="39"/>
        <v>4.7E-2</v>
      </c>
    </row>
    <row r="329" spans="19:42" ht="18">
      <c r="S329" s="8">
        <f t="shared" si="40"/>
        <v>0</v>
      </c>
      <c r="W329" s="3">
        <v>355</v>
      </c>
      <c r="X329" s="30">
        <v>47.375</v>
      </c>
      <c r="Y329" s="33">
        <f t="shared" si="36"/>
        <v>4.7E-2</v>
      </c>
      <c r="AA329" s="36">
        <v>54</v>
      </c>
      <c r="AB329" s="40">
        <v>3.55</v>
      </c>
      <c r="AC329" s="38">
        <v>6.71</v>
      </c>
      <c r="AD329" s="39">
        <v>2.0150000000000001</v>
      </c>
      <c r="AE329" s="39">
        <v>7.1550000000000002</v>
      </c>
      <c r="AF329" s="36">
        <v>304</v>
      </c>
      <c r="AG329" s="36">
        <v>66</v>
      </c>
      <c r="AH329" s="45">
        <f t="shared" si="41"/>
        <v>3.1000000000000583E-2</v>
      </c>
      <c r="AI329" s="3">
        <f t="shared" si="37"/>
        <v>3550</v>
      </c>
      <c r="AJ329" s="44">
        <f t="shared" si="38"/>
        <v>0.35499999999999998</v>
      </c>
      <c r="AP329" s="46">
        <f t="shared" si="39"/>
        <v>4.7E-2</v>
      </c>
    </row>
    <row r="330" spans="19:42" ht="18">
      <c r="S330" s="8">
        <f t="shared" si="40"/>
        <v>0</v>
      </c>
      <c r="W330" s="3">
        <v>356</v>
      </c>
      <c r="X330" s="30">
        <v>47.45</v>
      </c>
      <c r="Y330" s="33">
        <f t="shared" si="36"/>
        <v>4.7E-2</v>
      </c>
      <c r="AA330" s="36">
        <v>54</v>
      </c>
      <c r="AB330" s="40">
        <v>3.56</v>
      </c>
      <c r="AC330" s="38">
        <v>6.71</v>
      </c>
      <c r="AD330" s="39">
        <v>2.0179999999999998</v>
      </c>
      <c r="AE330" s="39">
        <v>7.1849999999999996</v>
      </c>
      <c r="AF330" s="36">
        <v>305</v>
      </c>
      <c r="AG330" s="36">
        <v>66</v>
      </c>
      <c r="AH330" s="45">
        <f t="shared" si="41"/>
        <v>2.9999999999999361E-2</v>
      </c>
      <c r="AI330" s="3">
        <f t="shared" si="37"/>
        <v>3560</v>
      </c>
      <c r="AJ330" s="44">
        <f t="shared" si="38"/>
        <v>0.35599999999999998</v>
      </c>
      <c r="AP330" s="46">
        <f t="shared" si="39"/>
        <v>4.7E-2</v>
      </c>
    </row>
    <row r="331" spans="19:42" ht="18">
      <c r="S331" s="8">
        <f t="shared" si="40"/>
        <v>0</v>
      </c>
      <c r="W331" s="3">
        <v>357</v>
      </c>
      <c r="X331" s="30">
        <v>47.524999999999999</v>
      </c>
      <c r="Y331" s="33">
        <f t="shared" si="36"/>
        <v>4.8000000000000001E-2</v>
      </c>
      <c r="AA331" s="36">
        <v>54</v>
      </c>
      <c r="AB331" s="40">
        <v>3.57</v>
      </c>
      <c r="AC331" s="38">
        <v>6.71</v>
      </c>
      <c r="AD331" s="39">
        <v>2.0209999999999999</v>
      </c>
      <c r="AE331" s="39">
        <v>7.2149999999999999</v>
      </c>
      <c r="AF331" s="36">
        <v>305</v>
      </c>
      <c r="AG331" s="36">
        <v>66</v>
      </c>
      <c r="AH331" s="45">
        <f t="shared" si="41"/>
        <v>3.0000000000000249E-2</v>
      </c>
      <c r="AI331" s="3">
        <f t="shared" si="37"/>
        <v>3570</v>
      </c>
      <c r="AJ331" s="44">
        <f t="shared" si="38"/>
        <v>0.35699999999999998</v>
      </c>
      <c r="AP331" s="46">
        <f t="shared" si="39"/>
        <v>4.8000000000000001E-2</v>
      </c>
    </row>
    <row r="332" spans="19:42" ht="18">
      <c r="S332" s="8">
        <f t="shared" si="40"/>
        <v>0</v>
      </c>
      <c r="W332" s="3">
        <v>358</v>
      </c>
      <c r="X332" s="30">
        <v>47.6</v>
      </c>
      <c r="Y332" s="33">
        <f t="shared" si="36"/>
        <v>4.8000000000000001E-2</v>
      </c>
      <c r="AA332" s="36">
        <v>55</v>
      </c>
      <c r="AB332" s="40">
        <v>3.58</v>
      </c>
      <c r="AC332" s="38">
        <v>6.85</v>
      </c>
      <c r="AD332" s="39">
        <v>2.024</v>
      </c>
      <c r="AE332" s="39">
        <v>7.242</v>
      </c>
      <c r="AF332" s="36">
        <v>299</v>
      </c>
      <c r="AG332" s="36">
        <v>65</v>
      </c>
      <c r="AH332" s="45">
        <f t="shared" si="41"/>
        <v>2.7000000000000135E-2</v>
      </c>
      <c r="AI332" s="3">
        <f t="shared" si="37"/>
        <v>3580</v>
      </c>
      <c r="AJ332" s="44">
        <f t="shared" si="38"/>
        <v>0.35799999999999998</v>
      </c>
      <c r="AP332" s="46">
        <f t="shared" si="39"/>
        <v>4.8000000000000001E-2</v>
      </c>
    </row>
    <row r="333" spans="19:42" ht="18">
      <c r="S333" s="8">
        <f t="shared" si="40"/>
        <v>0</v>
      </c>
      <c r="W333" s="3">
        <v>359</v>
      </c>
      <c r="X333" s="30">
        <v>47.674999999999997</v>
      </c>
      <c r="Y333" s="33">
        <f t="shared" si="36"/>
        <v>4.8000000000000001E-2</v>
      </c>
      <c r="AA333" s="36">
        <v>55</v>
      </c>
      <c r="AB333" s="40">
        <v>3.59</v>
      </c>
      <c r="AC333" s="38">
        <v>6.85</v>
      </c>
      <c r="AD333" s="39">
        <v>2.028</v>
      </c>
      <c r="AE333" s="39">
        <v>7.2789999999999999</v>
      </c>
      <c r="AF333" s="36">
        <v>300</v>
      </c>
      <c r="AG333" s="36">
        <v>65</v>
      </c>
      <c r="AH333" s="45">
        <f t="shared" si="41"/>
        <v>3.6999999999999922E-2</v>
      </c>
      <c r="AI333" s="3">
        <f t="shared" si="37"/>
        <v>3590</v>
      </c>
      <c r="AJ333" s="44">
        <f t="shared" si="38"/>
        <v>0.35899999999999999</v>
      </c>
      <c r="AP333" s="46">
        <f t="shared" si="39"/>
        <v>4.8000000000000001E-2</v>
      </c>
    </row>
    <row r="334" spans="19:42" ht="18">
      <c r="S334" s="8">
        <f t="shared" si="40"/>
        <v>0</v>
      </c>
      <c r="W334" s="3">
        <v>360</v>
      </c>
      <c r="X334" s="30">
        <v>47.75</v>
      </c>
      <c r="Y334" s="33">
        <f t="shared" si="36"/>
        <v>4.8000000000000001E-2</v>
      </c>
      <c r="AA334" s="36">
        <v>55</v>
      </c>
      <c r="AB334" s="40">
        <v>3.6</v>
      </c>
      <c r="AC334" s="38">
        <v>6.85</v>
      </c>
      <c r="AD334" s="39">
        <v>2.0310000000000001</v>
      </c>
      <c r="AE334" s="39">
        <v>7.3120000000000003</v>
      </c>
      <c r="AF334" s="36">
        <v>300</v>
      </c>
      <c r="AG334" s="36">
        <v>65</v>
      </c>
      <c r="AH334" s="45">
        <f t="shared" si="41"/>
        <v>3.3000000000000362E-2</v>
      </c>
      <c r="AI334" s="3">
        <f t="shared" si="37"/>
        <v>3600</v>
      </c>
      <c r="AJ334" s="44">
        <f t="shared" si="38"/>
        <v>0.36</v>
      </c>
      <c r="AP334" s="46">
        <f t="shared" si="39"/>
        <v>4.8000000000000001E-2</v>
      </c>
    </row>
    <row r="335" spans="19:42" ht="18">
      <c r="S335" s="8">
        <f t="shared" si="40"/>
        <v>0</v>
      </c>
      <c r="W335" s="3">
        <v>361</v>
      </c>
      <c r="X335" s="30">
        <v>47.825000000000003</v>
      </c>
      <c r="Y335" s="33">
        <f t="shared" si="36"/>
        <v>4.8000000000000001E-2</v>
      </c>
      <c r="AA335" s="36">
        <v>55</v>
      </c>
      <c r="AB335" s="40">
        <v>3.61</v>
      </c>
      <c r="AC335" s="38">
        <v>6.85</v>
      </c>
      <c r="AD335" s="39">
        <v>2.0350000000000001</v>
      </c>
      <c r="AE335" s="39">
        <v>7.3449999999999998</v>
      </c>
      <c r="AF335" s="36">
        <v>301</v>
      </c>
      <c r="AG335" s="36">
        <v>66</v>
      </c>
      <c r="AH335" s="45">
        <f t="shared" si="41"/>
        <v>3.2999999999999474E-2</v>
      </c>
      <c r="AI335" s="3">
        <f t="shared" si="37"/>
        <v>3610</v>
      </c>
      <c r="AJ335" s="44">
        <f t="shared" si="38"/>
        <v>0.36099999999999999</v>
      </c>
      <c r="AP335" s="46">
        <f t="shared" si="39"/>
        <v>4.8000000000000001E-2</v>
      </c>
    </row>
    <row r="336" spans="19:42" ht="18">
      <c r="S336" s="8">
        <f t="shared" si="40"/>
        <v>0</v>
      </c>
      <c r="W336" s="3">
        <v>362</v>
      </c>
      <c r="X336" s="30">
        <v>47.9</v>
      </c>
      <c r="Y336" s="33">
        <f t="shared" si="36"/>
        <v>4.8000000000000001E-2</v>
      </c>
      <c r="AA336" s="36">
        <v>55</v>
      </c>
      <c r="AB336" s="40">
        <v>3.62</v>
      </c>
      <c r="AC336" s="38">
        <v>6.85</v>
      </c>
      <c r="AD336" s="39">
        <v>2.0379999999999998</v>
      </c>
      <c r="AE336" s="39">
        <v>7.3780000000000001</v>
      </c>
      <c r="AF336" s="36">
        <v>301</v>
      </c>
      <c r="AG336" s="36">
        <v>66</v>
      </c>
      <c r="AH336" s="45">
        <f t="shared" si="41"/>
        <v>3.3000000000000362E-2</v>
      </c>
      <c r="AI336" s="3">
        <f t="shared" si="37"/>
        <v>3620</v>
      </c>
      <c r="AJ336" s="44">
        <f t="shared" si="38"/>
        <v>0.36199999999999999</v>
      </c>
      <c r="AP336" s="46">
        <f t="shared" si="39"/>
        <v>4.8000000000000001E-2</v>
      </c>
    </row>
    <row r="337" spans="19:42" ht="18">
      <c r="S337" s="8">
        <f t="shared" si="40"/>
        <v>0</v>
      </c>
      <c r="W337" s="3">
        <v>363</v>
      </c>
      <c r="X337" s="30">
        <v>47.975000000000001</v>
      </c>
      <c r="Y337" s="33">
        <f t="shared" si="36"/>
        <v>4.8000000000000001E-2</v>
      </c>
      <c r="AA337" s="36">
        <v>55</v>
      </c>
      <c r="AB337" s="40">
        <v>3.63</v>
      </c>
      <c r="AC337" s="38">
        <v>6.85</v>
      </c>
      <c r="AD337" s="39">
        <v>2.0419999999999998</v>
      </c>
      <c r="AE337" s="39">
        <v>7.4109999999999996</v>
      </c>
      <c r="AF337" s="36">
        <v>301</v>
      </c>
      <c r="AG337" s="36">
        <v>66</v>
      </c>
      <c r="AH337" s="45">
        <f t="shared" si="41"/>
        <v>3.2999999999999474E-2</v>
      </c>
      <c r="AI337" s="3">
        <f t="shared" si="37"/>
        <v>3630</v>
      </c>
      <c r="AJ337" s="44">
        <f t="shared" si="38"/>
        <v>0.36299999999999999</v>
      </c>
      <c r="AP337" s="46">
        <f t="shared" si="39"/>
        <v>4.8000000000000001E-2</v>
      </c>
    </row>
    <row r="338" spans="19:42" ht="18">
      <c r="S338" s="8">
        <f t="shared" si="40"/>
        <v>0</v>
      </c>
      <c r="W338" s="3">
        <v>364</v>
      </c>
      <c r="X338" s="30">
        <v>48.05</v>
      </c>
      <c r="Y338" s="33">
        <f t="shared" si="36"/>
        <v>4.8000000000000001E-2</v>
      </c>
      <c r="AA338" s="36">
        <v>56</v>
      </c>
      <c r="AB338" s="40">
        <v>3.64</v>
      </c>
      <c r="AC338" s="38">
        <v>7</v>
      </c>
      <c r="AD338" s="39">
        <v>2.0449999999999999</v>
      </c>
      <c r="AE338" s="39">
        <v>7.452</v>
      </c>
      <c r="AF338" s="36">
        <v>296</v>
      </c>
      <c r="AG338" s="36">
        <v>65</v>
      </c>
      <c r="AH338" s="45">
        <f t="shared" si="41"/>
        <v>4.1000000000000369E-2</v>
      </c>
      <c r="AI338" s="3">
        <f t="shared" si="37"/>
        <v>3640</v>
      </c>
      <c r="AJ338" s="44">
        <f t="shared" si="38"/>
        <v>0.36399999999999999</v>
      </c>
      <c r="AP338" s="46">
        <f t="shared" si="39"/>
        <v>4.8000000000000001E-2</v>
      </c>
    </row>
    <row r="339" spans="19:42" ht="18">
      <c r="S339" s="8">
        <f t="shared" si="40"/>
        <v>0</v>
      </c>
      <c r="W339" s="3">
        <v>365</v>
      </c>
      <c r="X339" s="30">
        <v>48.125</v>
      </c>
      <c r="Y339" s="33">
        <f t="shared" si="36"/>
        <v>4.8000000000000001E-2</v>
      </c>
      <c r="AH339" s="45">
        <f t="shared" si="41"/>
        <v>-7.452</v>
      </c>
      <c r="AJ339" s="44">
        <f t="shared" si="38"/>
        <v>0.36499999999999999</v>
      </c>
      <c r="AP339" s="46">
        <f t="shared" si="39"/>
        <v>4.8000000000000001E-2</v>
      </c>
    </row>
    <row r="340" spans="19:42" ht="18">
      <c r="S340" s="8">
        <f t="shared" si="40"/>
        <v>0</v>
      </c>
      <c r="W340" s="3">
        <v>366</v>
      </c>
      <c r="X340" s="30">
        <v>48.2</v>
      </c>
      <c r="Y340" s="33">
        <f t="shared" si="36"/>
        <v>4.8000000000000001E-2</v>
      </c>
      <c r="AH340" s="45">
        <f t="shared" si="41"/>
        <v>0</v>
      </c>
      <c r="AJ340" s="44">
        <f t="shared" si="38"/>
        <v>0.36599999999999999</v>
      </c>
      <c r="AP340" s="46">
        <f t="shared" si="39"/>
        <v>4.8000000000000001E-2</v>
      </c>
    </row>
    <row r="341" spans="19:42" ht="18">
      <c r="S341" s="8">
        <f t="shared" si="40"/>
        <v>0</v>
      </c>
      <c r="W341" s="3">
        <v>367</v>
      </c>
      <c r="X341" s="30">
        <v>48.274999999999999</v>
      </c>
      <c r="Y341" s="33">
        <f t="shared" si="36"/>
        <v>4.8000000000000001E-2</v>
      </c>
      <c r="AH341" s="45">
        <f t="shared" si="41"/>
        <v>0</v>
      </c>
      <c r="AJ341" s="44">
        <f t="shared" si="38"/>
        <v>0.36699999999999999</v>
      </c>
      <c r="AP341" s="46">
        <f t="shared" si="39"/>
        <v>4.8000000000000001E-2</v>
      </c>
    </row>
    <row r="342" spans="19:42" ht="18">
      <c r="S342" s="8">
        <f t="shared" si="40"/>
        <v>0</v>
      </c>
      <c r="W342" s="3">
        <v>368</v>
      </c>
      <c r="X342" s="30">
        <v>48.35</v>
      </c>
      <c r="Y342" s="33">
        <f t="shared" si="36"/>
        <v>4.8000000000000001E-2</v>
      </c>
      <c r="AH342" s="45">
        <f t="shared" si="41"/>
        <v>0</v>
      </c>
      <c r="AJ342" s="44">
        <f t="shared" si="38"/>
        <v>0.36799999999999999</v>
      </c>
      <c r="AP342" s="46">
        <f t="shared" si="39"/>
        <v>4.8000000000000001E-2</v>
      </c>
    </row>
    <row r="343" spans="19:42" ht="18">
      <c r="S343" s="8">
        <f t="shared" si="40"/>
        <v>0</v>
      </c>
      <c r="W343" s="3">
        <v>369</v>
      </c>
      <c r="X343" s="30">
        <v>48.424999999999997</v>
      </c>
      <c r="Y343" s="33">
        <f t="shared" si="36"/>
        <v>4.8000000000000001E-2</v>
      </c>
      <c r="AH343" s="45">
        <f t="shared" si="41"/>
        <v>0</v>
      </c>
      <c r="AJ343" s="44">
        <f t="shared" si="38"/>
        <v>0.36899999999999999</v>
      </c>
      <c r="AP343" s="46">
        <f t="shared" si="39"/>
        <v>4.8000000000000001E-2</v>
      </c>
    </row>
    <row r="344" spans="19:42" ht="18">
      <c r="S344" s="8">
        <f t="shared" si="40"/>
        <v>0</v>
      </c>
      <c r="W344" s="3">
        <v>370</v>
      </c>
      <c r="X344" s="30">
        <v>48.5</v>
      </c>
      <c r="Y344" s="33">
        <f t="shared" si="36"/>
        <v>4.9000000000000002E-2</v>
      </c>
      <c r="AH344" s="45">
        <f t="shared" si="41"/>
        <v>0</v>
      </c>
      <c r="AJ344" s="44">
        <f t="shared" si="38"/>
        <v>0.37</v>
      </c>
      <c r="AP344" s="46">
        <f t="shared" si="39"/>
        <v>4.9000000000000002E-2</v>
      </c>
    </row>
    <row r="345" spans="19:42" ht="18">
      <c r="S345" s="8">
        <f t="shared" si="40"/>
        <v>0</v>
      </c>
      <c r="W345" s="3">
        <v>371</v>
      </c>
      <c r="X345" s="30">
        <v>48.575000000000003</v>
      </c>
      <c r="Y345" s="33">
        <f t="shared" si="36"/>
        <v>4.9000000000000002E-2</v>
      </c>
      <c r="AH345" s="45">
        <f t="shared" si="41"/>
        <v>0</v>
      </c>
      <c r="AJ345" s="44">
        <f t="shared" si="38"/>
        <v>0.371</v>
      </c>
      <c r="AP345" s="46">
        <f t="shared" si="39"/>
        <v>4.9000000000000002E-2</v>
      </c>
    </row>
    <row r="346" spans="19:42" ht="18">
      <c r="S346" s="8">
        <f t="shared" si="40"/>
        <v>0</v>
      </c>
      <c r="W346" s="3">
        <v>372</v>
      </c>
      <c r="X346" s="30">
        <v>48.65</v>
      </c>
      <c r="Y346" s="33">
        <f t="shared" si="36"/>
        <v>4.9000000000000002E-2</v>
      </c>
      <c r="AH346" s="45">
        <f t="shared" si="41"/>
        <v>0</v>
      </c>
      <c r="AJ346" s="44">
        <f t="shared" si="38"/>
        <v>0.372</v>
      </c>
      <c r="AP346" s="46">
        <f t="shared" si="39"/>
        <v>4.9000000000000002E-2</v>
      </c>
    </row>
    <row r="347" spans="19:42" ht="18">
      <c r="S347" s="8">
        <f t="shared" si="40"/>
        <v>0</v>
      </c>
      <c r="W347" s="3">
        <v>373</v>
      </c>
      <c r="X347" s="30">
        <v>48.725000000000001</v>
      </c>
      <c r="Y347" s="33">
        <f t="shared" si="36"/>
        <v>4.9000000000000002E-2</v>
      </c>
      <c r="AH347" s="45">
        <f t="shared" si="41"/>
        <v>0</v>
      </c>
      <c r="AJ347" s="44">
        <f t="shared" si="38"/>
        <v>0.373</v>
      </c>
      <c r="AP347" s="46">
        <f t="shared" si="39"/>
        <v>4.9000000000000002E-2</v>
      </c>
    </row>
    <row r="348" spans="19:42" ht="18">
      <c r="S348" s="8">
        <f t="shared" si="40"/>
        <v>0</v>
      </c>
      <c r="W348" s="3">
        <v>374</v>
      </c>
      <c r="X348" s="30">
        <v>48.8</v>
      </c>
      <c r="Y348" s="33">
        <f t="shared" si="36"/>
        <v>4.9000000000000002E-2</v>
      </c>
      <c r="AH348" s="45">
        <f t="shared" si="41"/>
        <v>0</v>
      </c>
      <c r="AJ348" s="44">
        <f t="shared" si="38"/>
        <v>0.374</v>
      </c>
      <c r="AP348" s="46">
        <f t="shared" si="39"/>
        <v>4.9000000000000002E-2</v>
      </c>
    </row>
    <row r="349" spans="19:42" ht="18">
      <c r="S349" s="8">
        <f t="shared" si="40"/>
        <v>0</v>
      </c>
      <c r="W349" s="3">
        <v>375</v>
      </c>
      <c r="X349" s="30">
        <v>48.875</v>
      </c>
      <c r="Y349" s="33">
        <f t="shared" si="36"/>
        <v>4.9000000000000002E-2</v>
      </c>
      <c r="AH349" s="45">
        <f t="shared" si="41"/>
        <v>0</v>
      </c>
      <c r="AJ349" s="44">
        <f t="shared" si="38"/>
        <v>0.375</v>
      </c>
      <c r="AP349" s="46">
        <f t="shared" si="39"/>
        <v>4.9000000000000002E-2</v>
      </c>
    </row>
    <row r="350" spans="19:42" ht="18">
      <c r="S350" s="8">
        <f t="shared" si="40"/>
        <v>0</v>
      </c>
      <c r="W350" s="3">
        <v>376</v>
      </c>
      <c r="X350" s="30">
        <v>48.95</v>
      </c>
      <c r="Y350" s="33">
        <f t="shared" si="36"/>
        <v>4.9000000000000002E-2</v>
      </c>
      <c r="AH350" s="45">
        <f t="shared" si="41"/>
        <v>0</v>
      </c>
      <c r="AJ350" s="44">
        <f t="shared" si="38"/>
        <v>0.376</v>
      </c>
      <c r="AP350" s="46">
        <f t="shared" si="39"/>
        <v>4.9000000000000002E-2</v>
      </c>
    </row>
    <row r="351" spans="19:42" ht="18">
      <c r="S351" s="8">
        <f t="shared" si="40"/>
        <v>0</v>
      </c>
      <c r="W351" s="3">
        <v>377</v>
      </c>
      <c r="X351" s="30">
        <v>49.024999999999999</v>
      </c>
      <c r="Y351" s="33">
        <f t="shared" si="36"/>
        <v>4.9000000000000002E-2</v>
      </c>
      <c r="AH351" s="45">
        <f t="shared" si="41"/>
        <v>0</v>
      </c>
      <c r="AJ351" s="44">
        <f t="shared" si="38"/>
        <v>0.377</v>
      </c>
      <c r="AP351" s="46">
        <f t="shared" si="39"/>
        <v>4.9000000000000002E-2</v>
      </c>
    </row>
    <row r="352" spans="19:42" ht="18">
      <c r="S352" s="8">
        <f t="shared" si="40"/>
        <v>0</v>
      </c>
      <c r="W352" s="3">
        <v>378</v>
      </c>
      <c r="X352" s="30">
        <v>49.1</v>
      </c>
      <c r="Y352" s="33">
        <f t="shared" si="36"/>
        <v>4.9000000000000002E-2</v>
      </c>
      <c r="AH352" s="45">
        <f t="shared" si="41"/>
        <v>0</v>
      </c>
      <c r="AJ352" s="44">
        <f t="shared" si="38"/>
        <v>0.378</v>
      </c>
      <c r="AP352" s="46">
        <f t="shared" si="39"/>
        <v>4.9000000000000002E-2</v>
      </c>
    </row>
    <row r="353" spans="19:42" ht="18">
      <c r="S353" s="8">
        <f t="shared" si="40"/>
        <v>0</v>
      </c>
      <c r="W353" s="3">
        <v>379</v>
      </c>
      <c r="X353" s="30">
        <v>49.174999999999997</v>
      </c>
      <c r="Y353" s="33">
        <f t="shared" si="36"/>
        <v>4.9000000000000002E-2</v>
      </c>
      <c r="AH353" s="45">
        <f t="shared" si="41"/>
        <v>0</v>
      </c>
      <c r="AJ353" s="44">
        <f t="shared" si="38"/>
        <v>0.379</v>
      </c>
      <c r="AP353" s="46">
        <f t="shared" si="39"/>
        <v>4.9000000000000002E-2</v>
      </c>
    </row>
    <row r="354" spans="19:42" ht="18">
      <c r="S354" s="8">
        <f t="shared" si="40"/>
        <v>0</v>
      </c>
      <c r="W354" s="3">
        <v>380</v>
      </c>
      <c r="X354" s="30">
        <v>49.25</v>
      </c>
      <c r="Y354" s="33">
        <f t="shared" si="36"/>
        <v>4.9000000000000002E-2</v>
      </c>
      <c r="AH354" s="45">
        <f t="shared" si="41"/>
        <v>0</v>
      </c>
      <c r="AJ354" s="44">
        <f t="shared" si="38"/>
        <v>0.38</v>
      </c>
      <c r="AP354" s="46">
        <f t="shared" si="39"/>
        <v>4.9000000000000002E-2</v>
      </c>
    </row>
    <row r="355" spans="19:42" ht="18">
      <c r="S355" s="8">
        <f t="shared" si="40"/>
        <v>0</v>
      </c>
      <c r="W355" s="3">
        <v>381</v>
      </c>
      <c r="X355" s="30">
        <v>49.325000000000003</v>
      </c>
      <c r="Y355" s="33">
        <f t="shared" si="36"/>
        <v>4.9000000000000002E-2</v>
      </c>
      <c r="AH355" s="45">
        <f t="shared" si="41"/>
        <v>0</v>
      </c>
      <c r="AJ355" s="44">
        <f t="shared" si="38"/>
        <v>0.38100000000000001</v>
      </c>
      <c r="AP355" s="46">
        <f t="shared" si="39"/>
        <v>4.9000000000000002E-2</v>
      </c>
    </row>
    <row r="356" spans="19:42" ht="18">
      <c r="S356" s="8">
        <f t="shared" si="40"/>
        <v>0</v>
      </c>
      <c r="W356" s="3">
        <v>382</v>
      </c>
      <c r="X356" s="30">
        <v>49.4</v>
      </c>
      <c r="Y356" s="33">
        <f t="shared" si="36"/>
        <v>4.9000000000000002E-2</v>
      </c>
      <c r="AH356" s="45">
        <f t="shared" si="41"/>
        <v>0</v>
      </c>
      <c r="AJ356" s="44">
        <f t="shared" si="38"/>
        <v>0.38200000000000001</v>
      </c>
      <c r="AP356" s="46">
        <f t="shared" si="39"/>
        <v>4.9000000000000002E-2</v>
      </c>
    </row>
    <row r="357" spans="19:42" ht="18">
      <c r="S357" s="8">
        <f t="shared" si="40"/>
        <v>0</v>
      </c>
      <c r="W357" s="3">
        <v>383</v>
      </c>
      <c r="X357" s="30">
        <v>49.475000000000001</v>
      </c>
      <c r="Y357" s="33">
        <f t="shared" si="36"/>
        <v>4.9000000000000002E-2</v>
      </c>
      <c r="AH357" s="45">
        <f t="shared" si="41"/>
        <v>0</v>
      </c>
      <c r="AJ357" s="44">
        <f t="shared" si="38"/>
        <v>0.38300000000000001</v>
      </c>
      <c r="AP357" s="46">
        <f t="shared" si="39"/>
        <v>4.9000000000000002E-2</v>
      </c>
    </row>
    <row r="358" spans="19:42" ht="18">
      <c r="S358" s="8">
        <f t="shared" si="40"/>
        <v>0</v>
      </c>
      <c r="W358" s="3">
        <v>384</v>
      </c>
      <c r="X358" s="30">
        <v>49.55</v>
      </c>
      <c r="Y358" s="33">
        <f t="shared" si="36"/>
        <v>0.05</v>
      </c>
      <c r="AH358" s="45">
        <f t="shared" si="41"/>
        <v>0</v>
      </c>
      <c r="AJ358" s="44">
        <f t="shared" si="38"/>
        <v>0.38400000000000001</v>
      </c>
      <c r="AP358" s="46">
        <f t="shared" si="39"/>
        <v>0.05</v>
      </c>
    </row>
    <row r="359" spans="19:42" ht="18">
      <c r="S359" s="8">
        <f t="shared" si="40"/>
        <v>0</v>
      </c>
      <c r="W359" s="3">
        <v>385</v>
      </c>
      <c r="X359" s="30">
        <v>49.625</v>
      </c>
      <c r="Y359" s="33">
        <f t="shared" si="36"/>
        <v>0.05</v>
      </c>
      <c r="AH359" s="45">
        <f t="shared" si="41"/>
        <v>0</v>
      </c>
      <c r="AJ359" s="44">
        <f t="shared" si="38"/>
        <v>0.38500000000000001</v>
      </c>
      <c r="AP359" s="46">
        <f t="shared" si="39"/>
        <v>0.05</v>
      </c>
    </row>
    <row r="360" spans="19:42" ht="18">
      <c r="S360" s="8">
        <f t="shared" si="40"/>
        <v>0</v>
      </c>
      <c r="W360" s="3">
        <v>386</v>
      </c>
      <c r="X360" s="30">
        <v>49.7</v>
      </c>
      <c r="Y360" s="33">
        <f t="shared" si="36"/>
        <v>0.05</v>
      </c>
      <c r="AH360" s="45">
        <f t="shared" si="41"/>
        <v>0</v>
      </c>
      <c r="AJ360" s="44">
        <f t="shared" si="38"/>
        <v>0.38600000000000001</v>
      </c>
      <c r="AP360" s="46">
        <f t="shared" si="39"/>
        <v>0.05</v>
      </c>
    </row>
    <row r="361" spans="19:42" ht="18">
      <c r="S361" s="8">
        <f t="shared" si="40"/>
        <v>0</v>
      </c>
      <c r="W361" s="3">
        <v>387</v>
      </c>
      <c r="X361" s="30">
        <v>49.774999999999999</v>
      </c>
      <c r="Y361" s="33">
        <f t="shared" si="36"/>
        <v>0.05</v>
      </c>
      <c r="AH361" s="45">
        <f t="shared" si="41"/>
        <v>0</v>
      </c>
      <c r="AJ361" s="44">
        <f t="shared" si="38"/>
        <v>0.38700000000000001</v>
      </c>
      <c r="AP361" s="46">
        <f t="shared" si="39"/>
        <v>0.05</v>
      </c>
    </row>
    <row r="362" spans="19:42" ht="18">
      <c r="S362" s="8">
        <f t="shared" si="40"/>
        <v>0</v>
      </c>
      <c r="W362" s="3">
        <v>388</v>
      </c>
      <c r="X362" s="30">
        <v>49.85</v>
      </c>
      <c r="Y362" s="33">
        <f t="shared" si="36"/>
        <v>0.05</v>
      </c>
      <c r="AH362" s="45">
        <f t="shared" si="41"/>
        <v>0</v>
      </c>
      <c r="AJ362" s="44">
        <f t="shared" si="38"/>
        <v>0.38800000000000001</v>
      </c>
      <c r="AP362" s="46">
        <f t="shared" si="39"/>
        <v>0.05</v>
      </c>
    </row>
    <row r="363" spans="19:42" ht="18">
      <c r="S363" s="8">
        <f t="shared" si="40"/>
        <v>0</v>
      </c>
      <c r="W363" s="3">
        <v>389</v>
      </c>
      <c r="X363" s="30">
        <v>49.924999999999997</v>
      </c>
      <c r="Y363" s="33">
        <f t="shared" si="36"/>
        <v>0.05</v>
      </c>
      <c r="AH363" s="45">
        <f t="shared" si="41"/>
        <v>0</v>
      </c>
      <c r="AJ363" s="44">
        <f t="shared" si="38"/>
        <v>0.38900000000000001</v>
      </c>
      <c r="AP363" s="46">
        <f t="shared" si="39"/>
        <v>0.05</v>
      </c>
    </row>
    <row r="364" spans="19:42" ht="18">
      <c r="S364" s="8">
        <f t="shared" si="40"/>
        <v>0</v>
      </c>
      <c r="W364" s="3">
        <v>390</v>
      </c>
      <c r="X364" s="30">
        <v>50</v>
      </c>
      <c r="Y364" s="33">
        <f t="shared" si="36"/>
        <v>0.05</v>
      </c>
      <c r="AH364" s="45">
        <f t="shared" si="41"/>
        <v>0</v>
      </c>
      <c r="AJ364" s="44">
        <f t="shared" si="38"/>
        <v>0.39</v>
      </c>
      <c r="AP364" s="46">
        <f t="shared" si="39"/>
        <v>0.05</v>
      </c>
    </row>
    <row r="365" spans="19:42" ht="18">
      <c r="S365" s="8">
        <f t="shared" si="40"/>
        <v>0</v>
      </c>
      <c r="W365" s="3">
        <v>391</v>
      </c>
      <c r="X365" s="30">
        <v>50.024999999999999</v>
      </c>
      <c r="Y365" s="33">
        <f t="shared" si="36"/>
        <v>0.05</v>
      </c>
      <c r="AH365" s="45">
        <f t="shared" si="41"/>
        <v>0</v>
      </c>
      <c r="AJ365" s="44">
        <f t="shared" si="38"/>
        <v>0.39100000000000001</v>
      </c>
      <c r="AP365" s="46">
        <f t="shared" si="39"/>
        <v>0.05</v>
      </c>
    </row>
    <row r="366" spans="19:42" ht="18">
      <c r="S366" s="8">
        <f t="shared" si="40"/>
        <v>0</v>
      </c>
      <c r="W366" s="3">
        <v>392</v>
      </c>
      <c r="X366" s="30">
        <v>50.05</v>
      </c>
      <c r="Y366" s="33">
        <f t="shared" si="36"/>
        <v>0.05</v>
      </c>
      <c r="AH366" s="45">
        <f t="shared" si="41"/>
        <v>0</v>
      </c>
      <c r="AJ366" s="44">
        <f t="shared" si="38"/>
        <v>0.39200000000000002</v>
      </c>
      <c r="AP366" s="46">
        <f t="shared" si="39"/>
        <v>0.05</v>
      </c>
    </row>
    <row r="367" spans="19:42" ht="18">
      <c r="S367" s="8">
        <f t="shared" si="40"/>
        <v>0</v>
      </c>
      <c r="W367" s="3">
        <v>393</v>
      </c>
      <c r="X367" s="30">
        <v>50.075000000000003</v>
      </c>
      <c r="Y367" s="33">
        <f t="shared" si="36"/>
        <v>0.05</v>
      </c>
      <c r="AH367" s="45">
        <f t="shared" si="41"/>
        <v>0</v>
      </c>
      <c r="AJ367" s="44">
        <f t="shared" si="38"/>
        <v>0.39300000000000002</v>
      </c>
      <c r="AP367" s="46">
        <f t="shared" si="39"/>
        <v>0.05</v>
      </c>
    </row>
    <row r="368" spans="19:42" ht="18">
      <c r="S368" s="8">
        <f t="shared" si="40"/>
        <v>0</v>
      </c>
      <c r="W368" s="3">
        <v>394</v>
      </c>
      <c r="X368" s="30">
        <v>50.1</v>
      </c>
      <c r="Y368" s="33">
        <f t="shared" si="36"/>
        <v>0.05</v>
      </c>
      <c r="AH368" s="45">
        <f t="shared" si="41"/>
        <v>0</v>
      </c>
      <c r="AJ368" s="44">
        <f t="shared" si="38"/>
        <v>0.39400000000000002</v>
      </c>
      <c r="AP368" s="46">
        <f t="shared" si="39"/>
        <v>0.05</v>
      </c>
    </row>
    <row r="369" spans="19:42" ht="18">
      <c r="S369" s="8">
        <f t="shared" si="40"/>
        <v>0</v>
      </c>
      <c r="W369" s="3">
        <v>395</v>
      </c>
      <c r="X369" s="30">
        <v>50.125</v>
      </c>
      <c r="Y369" s="33">
        <f t="shared" si="36"/>
        <v>0.05</v>
      </c>
      <c r="AH369" s="45">
        <f t="shared" si="41"/>
        <v>0</v>
      </c>
      <c r="AJ369" s="44">
        <f t="shared" si="38"/>
        <v>0.39500000000000002</v>
      </c>
      <c r="AP369" s="46">
        <f t="shared" si="39"/>
        <v>0.05</v>
      </c>
    </row>
    <row r="370" spans="19:42" ht="18">
      <c r="S370" s="8">
        <f t="shared" si="40"/>
        <v>0</v>
      </c>
      <c r="W370" s="3">
        <v>396</v>
      </c>
      <c r="X370" s="30">
        <v>50.15</v>
      </c>
      <c r="Y370" s="33">
        <f t="shared" si="36"/>
        <v>0.05</v>
      </c>
      <c r="AH370" s="45">
        <f t="shared" si="41"/>
        <v>0</v>
      </c>
      <c r="AJ370" s="44">
        <f t="shared" si="38"/>
        <v>0.39600000000000002</v>
      </c>
      <c r="AP370" s="46">
        <f t="shared" si="39"/>
        <v>0.05</v>
      </c>
    </row>
    <row r="371" spans="19:42" ht="18">
      <c r="S371" s="8">
        <f t="shared" si="40"/>
        <v>0</v>
      </c>
      <c r="W371" s="3">
        <v>397</v>
      </c>
      <c r="X371" s="30">
        <v>50.174999999999997</v>
      </c>
      <c r="Y371" s="33">
        <f t="shared" si="36"/>
        <v>0.05</v>
      </c>
      <c r="AH371" s="45">
        <f t="shared" si="41"/>
        <v>0</v>
      </c>
      <c r="AJ371" s="44">
        <f t="shared" si="38"/>
        <v>0.39700000000000002</v>
      </c>
      <c r="AP371" s="46">
        <f t="shared" si="39"/>
        <v>0.05</v>
      </c>
    </row>
    <row r="372" spans="19:42" ht="18">
      <c r="S372" s="8">
        <f t="shared" si="40"/>
        <v>0</v>
      </c>
      <c r="W372" s="3">
        <v>398</v>
      </c>
      <c r="X372" s="30">
        <v>50.2</v>
      </c>
      <c r="Y372" s="33">
        <f t="shared" si="36"/>
        <v>0.05</v>
      </c>
      <c r="AH372" s="45">
        <f t="shared" si="41"/>
        <v>0</v>
      </c>
      <c r="AJ372" s="44">
        <f t="shared" si="38"/>
        <v>0.39800000000000002</v>
      </c>
      <c r="AP372" s="46">
        <f t="shared" si="39"/>
        <v>0.05</v>
      </c>
    </row>
    <row r="373" spans="19:42" ht="18">
      <c r="S373" s="8">
        <f t="shared" si="40"/>
        <v>0</v>
      </c>
      <c r="W373" s="3">
        <v>399</v>
      </c>
      <c r="X373" s="30">
        <v>50.225000000000001</v>
      </c>
      <c r="Y373" s="33">
        <f t="shared" si="36"/>
        <v>0.05</v>
      </c>
      <c r="AH373" s="45">
        <f t="shared" si="41"/>
        <v>0</v>
      </c>
      <c r="AJ373" s="44">
        <f t="shared" si="38"/>
        <v>0.39900000000000002</v>
      </c>
      <c r="AP373" s="46">
        <f t="shared" si="39"/>
        <v>0.05</v>
      </c>
    </row>
    <row r="374" spans="19:42" ht="18">
      <c r="S374" s="8">
        <f t="shared" si="40"/>
        <v>0</v>
      </c>
      <c r="W374" s="3">
        <v>400</v>
      </c>
      <c r="X374" s="30">
        <v>50.25</v>
      </c>
      <c r="Y374" s="33">
        <f t="shared" si="36"/>
        <v>0.05</v>
      </c>
      <c r="AH374" s="45">
        <f t="shared" si="41"/>
        <v>0</v>
      </c>
      <c r="AJ374" s="44">
        <f t="shared" si="38"/>
        <v>0.4</v>
      </c>
      <c r="AP374" s="46">
        <f t="shared" si="39"/>
        <v>0.05</v>
      </c>
    </row>
    <row r="375" spans="19:42" ht="18">
      <c r="S375" s="8">
        <f t="shared" si="40"/>
        <v>0</v>
      </c>
      <c r="W375" s="3">
        <v>401</v>
      </c>
      <c r="X375" s="30">
        <v>50.274999999999999</v>
      </c>
      <c r="Y375" s="33">
        <f t="shared" si="36"/>
        <v>0.05</v>
      </c>
      <c r="AH375" s="45">
        <f t="shared" si="41"/>
        <v>0</v>
      </c>
      <c r="AJ375" s="44">
        <f t="shared" si="38"/>
        <v>0.40100000000000002</v>
      </c>
      <c r="AP375" s="46">
        <f t="shared" si="39"/>
        <v>0.05</v>
      </c>
    </row>
    <row r="376" spans="19:42" ht="18">
      <c r="S376" s="8">
        <f t="shared" si="40"/>
        <v>0</v>
      </c>
      <c r="W376" s="3">
        <v>402</v>
      </c>
      <c r="X376" s="30">
        <v>50.3</v>
      </c>
      <c r="Y376" s="33">
        <f t="shared" si="36"/>
        <v>0.05</v>
      </c>
      <c r="AH376" s="45">
        <f t="shared" si="41"/>
        <v>0</v>
      </c>
      <c r="AJ376" s="44">
        <f t="shared" si="38"/>
        <v>0.40200000000000002</v>
      </c>
      <c r="AP376" s="46">
        <f t="shared" si="39"/>
        <v>0.05</v>
      </c>
    </row>
    <row r="377" spans="19:42" ht="18">
      <c r="S377" s="8">
        <f t="shared" si="40"/>
        <v>0</v>
      </c>
      <c r="W377" s="3">
        <v>403</v>
      </c>
      <c r="X377" s="30">
        <v>50.325000000000003</v>
      </c>
      <c r="Y377" s="33">
        <f t="shared" si="36"/>
        <v>0.05</v>
      </c>
      <c r="AH377" s="45">
        <f t="shared" si="41"/>
        <v>0</v>
      </c>
      <c r="AJ377" s="44">
        <f t="shared" si="38"/>
        <v>0.40300000000000002</v>
      </c>
      <c r="AP377" s="46">
        <f t="shared" si="39"/>
        <v>0.05</v>
      </c>
    </row>
    <row r="378" spans="19:42" ht="18">
      <c r="S378" s="8">
        <f t="shared" si="40"/>
        <v>0</v>
      </c>
      <c r="W378" s="3">
        <v>404</v>
      </c>
      <c r="X378" s="30">
        <v>50.35</v>
      </c>
      <c r="Y378" s="33">
        <f t="shared" si="36"/>
        <v>0.05</v>
      </c>
      <c r="AH378" s="45">
        <f t="shared" si="41"/>
        <v>0</v>
      </c>
      <c r="AJ378" s="44">
        <f t="shared" si="38"/>
        <v>0.40400000000000003</v>
      </c>
      <c r="AP378" s="46">
        <f t="shared" si="39"/>
        <v>0.05</v>
      </c>
    </row>
    <row r="379" spans="19:42" ht="18">
      <c r="S379" s="8">
        <f t="shared" si="40"/>
        <v>0</v>
      </c>
      <c r="W379" s="3">
        <v>405</v>
      </c>
      <c r="X379" s="30">
        <v>50.375</v>
      </c>
      <c r="Y379" s="33">
        <f t="shared" si="36"/>
        <v>0.05</v>
      </c>
      <c r="AH379" s="45">
        <f t="shared" si="41"/>
        <v>0</v>
      </c>
      <c r="AJ379" s="44">
        <f t="shared" si="38"/>
        <v>0.40500000000000003</v>
      </c>
      <c r="AP379" s="46">
        <f t="shared" si="39"/>
        <v>0.05</v>
      </c>
    </row>
    <row r="380" spans="19:42" ht="18">
      <c r="S380" s="8">
        <f t="shared" si="40"/>
        <v>0</v>
      </c>
      <c r="W380" s="3">
        <v>406</v>
      </c>
      <c r="X380" s="30">
        <v>50.4</v>
      </c>
      <c r="Y380" s="33">
        <f t="shared" si="36"/>
        <v>0.05</v>
      </c>
      <c r="AH380" s="45">
        <f t="shared" si="41"/>
        <v>0</v>
      </c>
      <c r="AJ380" s="44">
        <f t="shared" si="38"/>
        <v>0.40600000000000003</v>
      </c>
      <c r="AP380" s="46">
        <f t="shared" si="39"/>
        <v>0.05</v>
      </c>
    </row>
    <row r="381" spans="19:42" ht="18">
      <c r="S381" s="8">
        <f t="shared" si="40"/>
        <v>0</v>
      </c>
      <c r="W381" s="3">
        <v>407</v>
      </c>
      <c r="X381" s="30">
        <v>50.424999999999997</v>
      </c>
      <c r="Y381" s="33">
        <f t="shared" si="36"/>
        <v>0.05</v>
      </c>
      <c r="AH381" s="45">
        <f t="shared" si="41"/>
        <v>0</v>
      </c>
      <c r="AJ381" s="44">
        <f t="shared" si="38"/>
        <v>0.40699999999999997</v>
      </c>
      <c r="AP381" s="46">
        <f t="shared" si="39"/>
        <v>0.05</v>
      </c>
    </row>
    <row r="382" spans="19:42" ht="18">
      <c r="S382" s="8">
        <f t="shared" si="40"/>
        <v>0</v>
      </c>
      <c r="W382" s="3">
        <v>408</v>
      </c>
      <c r="X382" s="30">
        <v>50.45</v>
      </c>
      <c r="Y382" s="33">
        <f t="shared" si="36"/>
        <v>0.05</v>
      </c>
      <c r="AH382" s="45">
        <f t="shared" si="41"/>
        <v>0</v>
      </c>
      <c r="AJ382" s="44">
        <f t="shared" si="38"/>
        <v>0.40799999999999997</v>
      </c>
      <c r="AP382" s="46">
        <f t="shared" si="39"/>
        <v>0.05</v>
      </c>
    </row>
    <row r="383" spans="19:42" ht="18">
      <c r="S383" s="8">
        <f t="shared" si="40"/>
        <v>0</v>
      </c>
      <c r="W383" s="3">
        <v>409</v>
      </c>
      <c r="X383" s="30">
        <v>50.475000000000001</v>
      </c>
      <c r="Y383" s="33">
        <f t="shared" si="36"/>
        <v>0.05</v>
      </c>
      <c r="AH383" s="45">
        <f t="shared" si="41"/>
        <v>0</v>
      </c>
      <c r="AJ383" s="44">
        <f t="shared" si="38"/>
        <v>0.40899999999999997</v>
      </c>
      <c r="AP383" s="46">
        <f t="shared" si="39"/>
        <v>0.05</v>
      </c>
    </row>
    <row r="384" spans="19:42" ht="18">
      <c r="S384" s="8">
        <f t="shared" si="40"/>
        <v>0</v>
      </c>
      <c r="W384" s="3">
        <v>410</v>
      </c>
      <c r="X384" s="30">
        <v>50.5</v>
      </c>
      <c r="Y384" s="33">
        <f t="shared" si="36"/>
        <v>5.0999999999999997E-2</v>
      </c>
      <c r="AH384" s="45">
        <f t="shared" si="41"/>
        <v>0</v>
      </c>
      <c r="AJ384" s="44">
        <f t="shared" si="38"/>
        <v>0.41</v>
      </c>
      <c r="AP384" s="46">
        <f t="shared" si="39"/>
        <v>5.0999999999999997E-2</v>
      </c>
    </row>
    <row r="385" spans="19:42" ht="18">
      <c r="S385" s="8">
        <f t="shared" si="40"/>
        <v>0</v>
      </c>
      <c r="W385" s="3">
        <v>411</v>
      </c>
      <c r="X385" s="30">
        <v>50.524999999999999</v>
      </c>
      <c r="Y385" s="33">
        <f t="shared" si="36"/>
        <v>5.0999999999999997E-2</v>
      </c>
      <c r="AH385" s="45">
        <f t="shared" si="41"/>
        <v>0</v>
      </c>
      <c r="AJ385" s="44">
        <f t="shared" si="38"/>
        <v>0.41099999999999998</v>
      </c>
      <c r="AP385" s="46">
        <f t="shared" si="39"/>
        <v>5.0999999999999997E-2</v>
      </c>
    </row>
    <row r="386" spans="19:42" ht="18">
      <c r="S386" s="8">
        <f t="shared" si="40"/>
        <v>0</v>
      </c>
      <c r="W386" s="3">
        <v>412</v>
      </c>
      <c r="X386" s="30">
        <v>50.55</v>
      </c>
      <c r="Y386" s="33">
        <f t="shared" si="36"/>
        <v>5.0999999999999997E-2</v>
      </c>
      <c r="AH386" s="45">
        <f t="shared" si="41"/>
        <v>0</v>
      </c>
      <c r="AJ386" s="44">
        <f t="shared" si="38"/>
        <v>0.41199999999999998</v>
      </c>
      <c r="AP386" s="46">
        <f t="shared" si="39"/>
        <v>5.0999999999999997E-2</v>
      </c>
    </row>
    <row r="387" spans="19:42" ht="18">
      <c r="S387" s="8">
        <f t="shared" si="40"/>
        <v>0</v>
      </c>
      <c r="W387" s="3">
        <v>413</v>
      </c>
      <c r="X387" s="30">
        <v>50.575000000000003</v>
      </c>
      <c r="Y387" s="33">
        <f t="shared" si="36"/>
        <v>5.0999999999999997E-2</v>
      </c>
      <c r="AH387" s="45">
        <f t="shared" si="41"/>
        <v>0</v>
      </c>
      <c r="AJ387" s="44">
        <f t="shared" si="38"/>
        <v>0.41299999999999998</v>
      </c>
      <c r="AP387" s="46">
        <f t="shared" si="39"/>
        <v>5.0999999999999997E-2</v>
      </c>
    </row>
    <row r="388" spans="19:42" ht="18">
      <c r="S388" s="8">
        <f t="shared" si="40"/>
        <v>0</v>
      </c>
      <c r="W388" s="3">
        <v>414</v>
      </c>
      <c r="X388" s="30">
        <v>50.6</v>
      </c>
      <c r="Y388" s="33">
        <f t="shared" si="36"/>
        <v>5.0999999999999997E-2</v>
      </c>
      <c r="AH388" s="45">
        <f t="shared" si="41"/>
        <v>0</v>
      </c>
      <c r="AJ388" s="44">
        <f t="shared" si="38"/>
        <v>0.41399999999999998</v>
      </c>
      <c r="AP388" s="46">
        <f t="shared" si="39"/>
        <v>5.0999999999999997E-2</v>
      </c>
    </row>
    <row r="389" spans="19:42" ht="18">
      <c r="S389" s="8">
        <f t="shared" si="40"/>
        <v>0</v>
      </c>
      <c r="W389" s="3">
        <v>415</v>
      </c>
      <c r="X389" s="30">
        <v>50.625</v>
      </c>
      <c r="Y389" s="33">
        <f t="shared" ref="Y389:Y452" si="42">ROUND(X389/1000,3)</f>
        <v>5.0999999999999997E-2</v>
      </c>
      <c r="AH389" s="45">
        <f t="shared" si="41"/>
        <v>0</v>
      </c>
      <c r="AJ389" s="44">
        <f t="shared" ref="AJ389:AJ452" si="43">ROUND(W389/1000,3)</f>
        <v>0.41499999999999998</v>
      </c>
      <c r="AP389" s="46">
        <f t="shared" ref="AP389:AP452" si="44">ROUND(X389/1000,3)</f>
        <v>5.0999999999999997E-2</v>
      </c>
    </row>
    <row r="390" spans="19:42" ht="18">
      <c r="S390" s="8">
        <f t="shared" ref="S390:S453" si="45">CEILING(R390/50,0.5)</f>
        <v>0</v>
      </c>
      <c r="W390" s="3">
        <v>416</v>
      </c>
      <c r="X390" s="30">
        <v>50.65</v>
      </c>
      <c r="Y390" s="33">
        <f t="shared" si="42"/>
        <v>5.0999999999999997E-2</v>
      </c>
      <c r="AH390" s="45">
        <f t="shared" ref="AH390:AH453" si="46">AE390-AE389</f>
        <v>0</v>
      </c>
      <c r="AJ390" s="44">
        <f t="shared" si="43"/>
        <v>0.41599999999999998</v>
      </c>
      <c r="AP390" s="46">
        <f t="shared" si="44"/>
        <v>5.0999999999999997E-2</v>
      </c>
    </row>
    <row r="391" spans="19:42" ht="18">
      <c r="S391" s="8">
        <f t="shared" si="45"/>
        <v>0</v>
      </c>
      <c r="W391" s="3">
        <v>417</v>
      </c>
      <c r="X391" s="30">
        <v>50.674999999999997</v>
      </c>
      <c r="Y391" s="33">
        <f t="shared" si="42"/>
        <v>5.0999999999999997E-2</v>
      </c>
      <c r="AH391" s="45">
        <f t="shared" si="46"/>
        <v>0</v>
      </c>
      <c r="AJ391" s="44">
        <f t="shared" si="43"/>
        <v>0.41699999999999998</v>
      </c>
      <c r="AP391" s="46">
        <f t="shared" si="44"/>
        <v>5.0999999999999997E-2</v>
      </c>
    </row>
    <row r="392" spans="19:42" ht="18">
      <c r="S392" s="8">
        <f t="shared" si="45"/>
        <v>0</v>
      </c>
      <c r="W392" s="3">
        <v>418</v>
      </c>
      <c r="X392" s="30">
        <v>50.7</v>
      </c>
      <c r="Y392" s="33">
        <f t="shared" si="42"/>
        <v>5.0999999999999997E-2</v>
      </c>
      <c r="AH392" s="45">
        <f t="shared" si="46"/>
        <v>0</v>
      </c>
      <c r="AJ392" s="44">
        <f t="shared" si="43"/>
        <v>0.41799999999999998</v>
      </c>
      <c r="AP392" s="46">
        <f t="shared" si="44"/>
        <v>5.0999999999999997E-2</v>
      </c>
    </row>
    <row r="393" spans="19:42" ht="18">
      <c r="S393" s="8">
        <f t="shared" si="45"/>
        <v>0</v>
      </c>
      <c r="W393" s="3">
        <v>419</v>
      </c>
      <c r="X393" s="30">
        <v>50.725000000000001</v>
      </c>
      <c r="Y393" s="33">
        <f t="shared" si="42"/>
        <v>5.0999999999999997E-2</v>
      </c>
      <c r="AH393" s="45">
        <f t="shared" si="46"/>
        <v>0</v>
      </c>
      <c r="AJ393" s="44">
        <f t="shared" si="43"/>
        <v>0.41899999999999998</v>
      </c>
      <c r="AP393" s="46">
        <f t="shared" si="44"/>
        <v>5.0999999999999997E-2</v>
      </c>
    </row>
    <row r="394" spans="19:42" ht="18">
      <c r="S394" s="8">
        <f t="shared" si="45"/>
        <v>0</v>
      </c>
      <c r="W394" s="3">
        <v>420</v>
      </c>
      <c r="X394" s="30">
        <v>50.75</v>
      </c>
      <c r="Y394" s="33">
        <f t="shared" si="42"/>
        <v>5.0999999999999997E-2</v>
      </c>
      <c r="AH394" s="45">
        <f t="shared" si="46"/>
        <v>0</v>
      </c>
      <c r="AJ394" s="44">
        <f t="shared" si="43"/>
        <v>0.42</v>
      </c>
      <c r="AP394" s="46">
        <f t="shared" si="44"/>
        <v>5.0999999999999997E-2</v>
      </c>
    </row>
    <row r="395" spans="19:42" ht="18">
      <c r="S395" s="8">
        <f t="shared" si="45"/>
        <v>0</v>
      </c>
      <c r="W395" s="3">
        <v>421</v>
      </c>
      <c r="X395" s="30">
        <v>50.774999999999999</v>
      </c>
      <c r="Y395" s="33">
        <f t="shared" si="42"/>
        <v>5.0999999999999997E-2</v>
      </c>
      <c r="AH395" s="45">
        <f t="shared" si="46"/>
        <v>0</v>
      </c>
      <c r="AJ395" s="44">
        <f t="shared" si="43"/>
        <v>0.42099999999999999</v>
      </c>
      <c r="AP395" s="46">
        <f t="shared" si="44"/>
        <v>5.0999999999999997E-2</v>
      </c>
    </row>
    <row r="396" spans="19:42" ht="18">
      <c r="S396" s="8">
        <f t="shared" si="45"/>
        <v>0</v>
      </c>
      <c r="W396" s="3">
        <v>422</v>
      </c>
      <c r="X396" s="30">
        <v>50.8</v>
      </c>
      <c r="Y396" s="33">
        <f t="shared" si="42"/>
        <v>5.0999999999999997E-2</v>
      </c>
      <c r="AH396" s="45">
        <f t="shared" si="46"/>
        <v>0</v>
      </c>
      <c r="AJ396" s="44">
        <f t="shared" si="43"/>
        <v>0.42199999999999999</v>
      </c>
      <c r="AP396" s="46">
        <f t="shared" si="44"/>
        <v>5.0999999999999997E-2</v>
      </c>
    </row>
    <row r="397" spans="19:42" ht="18">
      <c r="S397" s="8">
        <f t="shared" si="45"/>
        <v>0</v>
      </c>
      <c r="W397" s="3">
        <v>423</v>
      </c>
      <c r="X397" s="30">
        <v>50.825000000000003</v>
      </c>
      <c r="Y397" s="33">
        <f t="shared" si="42"/>
        <v>5.0999999999999997E-2</v>
      </c>
      <c r="AH397" s="45">
        <f t="shared" si="46"/>
        <v>0</v>
      </c>
      <c r="AJ397" s="44">
        <f t="shared" si="43"/>
        <v>0.42299999999999999</v>
      </c>
      <c r="AP397" s="46">
        <f t="shared" si="44"/>
        <v>5.0999999999999997E-2</v>
      </c>
    </row>
    <row r="398" spans="19:42" ht="18">
      <c r="S398" s="8">
        <f t="shared" si="45"/>
        <v>0</v>
      </c>
      <c r="W398" s="3">
        <v>424</v>
      </c>
      <c r="X398" s="30">
        <v>50.85</v>
      </c>
      <c r="Y398" s="33">
        <f t="shared" si="42"/>
        <v>5.0999999999999997E-2</v>
      </c>
      <c r="AH398" s="45">
        <f t="shared" si="46"/>
        <v>0</v>
      </c>
      <c r="AJ398" s="44">
        <f t="shared" si="43"/>
        <v>0.42399999999999999</v>
      </c>
      <c r="AP398" s="46">
        <f t="shared" si="44"/>
        <v>5.0999999999999997E-2</v>
      </c>
    </row>
    <row r="399" spans="19:42" ht="18">
      <c r="S399" s="8">
        <f t="shared" si="45"/>
        <v>0</v>
      </c>
      <c r="W399" s="3">
        <v>425</v>
      </c>
      <c r="X399" s="30">
        <v>50.875</v>
      </c>
      <c r="Y399" s="33">
        <f t="shared" si="42"/>
        <v>5.0999999999999997E-2</v>
      </c>
      <c r="AH399" s="45">
        <f t="shared" si="46"/>
        <v>0</v>
      </c>
      <c r="AJ399" s="44">
        <f t="shared" si="43"/>
        <v>0.42499999999999999</v>
      </c>
      <c r="AP399" s="46">
        <f t="shared" si="44"/>
        <v>5.0999999999999997E-2</v>
      </c>
    </row>
    <row r="400" spans="19:42" ht="18">
      <c r="S400" s="8">
        <f t="shared" si="45"/>
        <v>0</v>
      </c>
      <c r="W400" s="3">
        <v>426</v>
      </c>
      <c r="X400" s="30">
        <v>50.9</v>
      </c>
      <c r="Y400" s="33">
        <f t="shared" si="42"/>
        <v>5.0999999999999997E-2</v>
      </c>
      <c r="AH400" s="45">
        <f t="shared" si="46"/>
        <v>0</v>
      </c>
      <c r="AJ400" s="44">
        <f t="shared" si="43"/>
        <v>0.42599999999999999</v>
      </c>
      <c r="AP400" s="46">
        <f t="shared" si="44"/>
        <v>5.0999999999999997E-2</v>
      </c>
    </row>
    <row r="401" spans="19:42" ht="18">
      <c r="S401" s="8">
        <f t="shared" si="45"/>
        <v>0</v>
      </c>
      <c r="W401" s="3">
        <v>427</v>
      </c>
      <c r="X401" s="30">
        <v>50.924999999999997</v>
      </c>
      <c r="Y401" s="33">
        <f t="shared" si="42"/>
        <v>5.0999999999999997E-2</v>
      </c>
      <c r="AH401" s="45">
        <f t="shared" si="46"/>
        <v>0</v>
      </c>
      <c r="AJ401" s="44">
        <f t="shared" si="43"/>
        <v>0.42699999999999999</v>
      </c>
      <c r="AP401" s="46">
        <f t="shared" si="44"/>
        <v>5.0999999999999997E-2</v>
      </c>
    </row>
    <row r="402" spans="19:42" ht="18">
      <c r="S402" s="8">
        <f t="shared" si="45"/>
        <v>0</v>
      </c>
      <c r="W402" s="3">
        <v>428</v>
      </c>
      <c r="X402" s="30">
        <v>50.95</v>
      </c>
      <c r="Y402" s="33">
        <f t="shared" si="42"/>
        <v>5.0999999999999997E-2</v>
      </c>
      <c r="AH402" s="45">
        <f t="shared" si="46"/>
        <v>0</v>
      </c>
      <c r="AJ402" s="44">
        <f t="shared" si="43"/>
        <v>0.42799999999999999</v>
      </c>
      <c r="AP402" s="46">
        <f t="shared" si="44"/>
        <v>5.0999999999999997E-2</v>
      </c>
    </row>
    <row r="403" spans="19:42" ht="18">
      <c r="S403" s="8">
        <f t="shared" si="45"/>
        <v>0</v>
      </c>
      <c r="W403" s="3">
        <v>429</v>
      </c>
      <c r="X403" s="30">
        <v>50.975000000000001</v>
      </c>
      <c r="Y403" s="33">
        <f t="shared" si="42"/>
        <v>5.0999999999999997E-2</v>
      </c>
      <c r="AH403" s="45">
        <f t="shared" si="46"/>
        <v>0</v>
      </c>
      <c r="AJ403" s="44">
        <f t="shared" si="43"/>
        <v>0.42899999999999999</v>
      </c>
      <c r="AP403" s="46">
        <f t="shared" si="44"/>
        <v>5.0999999999999997E-2</v>
      </c>
    </row>
    <row r="404" spans="19:42" ht="18">
      <c r="S404" s="8">
        <f t="shared" si="45"/>
        <v>0</v>
      </c>
      <c r="W404" s="3">
        <v>430</v>
      </c>
      <c r="X404" s="30">
        <v>51</v>
      </c>
      <c r="Y404" s="33">
        <f t="shared" si="42"/>
        <v>5.0999999999999997E-2</v>
      </c>
      <c r="AH404" s="45">
        <f t="shared" si="46"/>
        <v>0</v>
      </c>
      <c r="AJ404" s="44">
        <f t="shared" si="43"/>
        <v>0.43</v>
      </c>
      <c r="AP404" s="46">
        <f t="shared" si="44"/>
        <v>5.0999999999999997E-2</v>
      </c>
    </row>
    <row r="405" spans="19:42" ht="18">
      <c r="S405" s="8">
        <f t="shared" si="45"/>
        <v>0</v>
      </c>
      <c r="W405" s="3">
        <v>431</v>
      </c>
      <c r="X405" s="30">
        <v>51.433</v>
      </c>
      <c r="Y405" s="33">
        <f t="shared" si="42"/>
        <v>5.0999999999999997E-2</v>
      </c>
      <c r="AH405" s="45">
        <f t="shared" si="46"/>
        <v>0</v>
      </c>
      <c r="AJ405" s="44">
        <f t="shared" si="43"/>
        <v>0.43099999999999999</v>
      </c>
      <c r="AP405" s="46">
        <f t="shared" si="44"/>
        <v>5.0999999999999997E-2</v>
      </c>
    </row>
    <row r="406" spans="19:42" ht="18">
      <c r="S406" s="8">
        <f t="shared" si="45"/>
        <v>0</v>
      </c>
      <c r="W406" s="3">
        <v>432</v>
      </c>
      <c r="X406" s="30">
        <v>51.866999999999997</v>
      </c>
      <c r="Y406" s="33">
        <f t="shared" si="42"/>
        <v>5.1999999999999998E-2</v>
      </c>
      <c r="AH406" s="45">
        <f t="shared" si="46"/>
        <v>0</v>
      </c>
      <c r="AJ406" s="44">
        <f t="shared" si="43"/>
        <v>0.432</v>
      </c>
      <c r="AP406" s="46">
        <f t="shared" si="44"/>
        <v>5.1999999999999998E-2</v>
      </c>
    </row>
    <row r="407" spans="19:42" ht="18">
      <c r="S407" s="8">
        <f t="shared" si="45"/>
        <v>0</v>
      </c>
      <c r="W407" s="3">
        <v>433</v>
      </c>
      <c r="X407" s="30">
        <v>52.3</v>
      </c>
      <c r="Y407" s="33">
        <f t="shared" si="42"/>
        <v>5.1999999999999998E-2</v>
      </c>
      <c r="AH407" s="45">
        <f t="shared" si="46"/>
        <v>0</v>
      </c>
      <c r="AJ407" s="44">
        <f t="shared" si="43"/>
        <v>0.433</v>
      </c>
      <c r="AP407" s="46">
        <f t="shared" si="44"/>
        <v>5.1999999999999998E-2</v>
      </c>
    </row>
    <row r="408" spans="19:42" ht="18">
      <c r="S408" s="8">
        <f t="shared" si="45"/>
        <v>0</v>
      </c>
      <c r="W408" s="3">
        <v>434</v>
      </c>
      <c r="X408" s="30">
        <v>52.732999999999997</v>
      </c>
      <c r="Y408" s="33">
        <f t="shared" si="42"/>
        <v>5.2999999999999999E-2</v>
      </c>
      <c r="AH408" s="45">
        <f t="shared" si="46"/>
        <v>0</v>
      </c>
      <c r="AJ408" s="44">
        <f t="shared" si="43"/>
        <v>0.434</v>
      </c>
      <c r="AP408" s="46">
        <f t="shared" si="44"/>
        <v>5.2999999999999999E-2</v>
      </c>
    </row>
    <row r="409" spans="19:42" ht="18">
      <c r="S409" s="8">
        <f t="shared" si="45"/>
        <v>0</v>
      </c>
      <c r="W409" s="3">
        <v>435</v>
      </c>
      <c r="X409" s="30">
        <v>53.167000000000002</v>
      </c>
      <c r="Y409" s="33">
        <f t="shared" si="42"/>
        <v>5.2999999999999999E-2</v>
      </c>
      <c r="AH409" s="45">
        <f t="shared" si="46"/>
        <v>0</v>
      </c>
      <c r="AJ409" s="44">
        <f t="shared" si="43"/>
        <v>0.435</v>
      </c>
      <c r="AP409" s="46">
        <f t="shared" si="44"/>
        <v>5.2999999999999999E-2</v>
      </c>
    </row>
    <row r="410" spans="19:42" ht="18">
      <c r="S410" s="8">
        <f t="shared" si="45"/>
        <v>0</v>
      </c>
      <c r="W410" s="3">
        <v>436</v>
      </c>
      <c r="X410" s="30">
        <v>53.6</v>
      </c>
      <c r="Y410" s="33">
        <f t="shared" si="42"/>
        <v>5.3999999999999999E-2</v>
      </c>
      <c r="AH410" s="45">
        <f t="shared" si="46"/>
        <v>0</v>
      </c>
      <c r="AJ410" s="44">
        <f t="shared" si="43"/>
        <v>0.436</v>
      </c>
      <c r="AP410" s="46">
        <f t="shared" si="44"/>
        <v>5.3999999999999999E-2</v>
      </c>
    </row>
    <row r="411" spans="19:42" ht="18">
      <c r="S411" s="8">
        <f t="shared" si="45"/>
        <v>0</v>
      </c>
      <c r="W411" s="3">
        <v>437</v>
      </c>
      <c r="X411" s="30">
        <v>54.033000000000001</v>
      </c>
      <c r="Y411" s="33">
        <f t="shared" si="42"/>
        <v>5.3999999999999999E-2</v>
      </c>
      <c r="AH411" s="45">
        <f t="shared" si="46"/>
        <v>0</v>
      </c>
      <c r="AJ411" s="44">
        <f t="shared" si="43"/>
        <v>0.437</v>
      </c>
      <c r="AP411" s="46">
        <f t="shared" si="44"/>
        <v>5.3999999999999999E-2</v>
      </c>
    </row>
    <row r="412" spans="19:42" ht="18">
      <c r="S412" s="8">
        <f t="shared" si="45"/>
        <v>0</v>
      </c>
      <c r="W412" s="3">
        <v>438</v>
      </c>
      <c r="X412" s="30">
        <v>54.466999999999999</v>
      </c>
      <c r="Y412" s="33">
        <f t="shared" si="42"/>
        <v>5.3999999999999999E-2</v>
      </c>
      <c r="AH412" s="45">
        <f t="shared" si="46"/>
        <v>0</v>
      </c>
      <c r="AJ412" s="44">
        <f t="shared" si="43"/>
        <v>0.438</v>
      </c>
      <c r="AP412" s="46">
        <f t="shared" si="44"/>
        <v>5.3999999999999999E-2</v>
      </c>
    </row>
    <row r="413" spans="19:42" ht="18">
      <c r="S413" s="8">
        <f t="shared" si="45"/>
        <v>0</v>
      </c>
      <c r="W413" s="3">
        <v>439</v>
      </c>
      <c r="X413" s="30">
        <v>54.9</v>
      </c>
      <c r="Y413" s="33">
        <f t="shared" si="42"/>
        <v>5.5E-2</v>
      </c>
      <c r="AH413" s="45">
        <f t="shared" si="46"/>
        <v>0</v>
      </c>
      <c r="AJ413" s="44">
        <f t="shared" si="43"/>
        <v>0.439</v>
      </c>
      <c r="AP413" s="46">
        <f t="shared" si="44"/>
        <v>5.5E-2</v>
      </c>
    </row>
    <row r="414" spans="19:42" ht="18">
      <c r="S414" s="8">
        <f t="shared" si="45"/>
        <v>0</v>
      </c>
      <c r="W414" s="3">
        <v>440</v>
      </c>
      <c r="X414" s="30">
        <v>55.332999999999998</v>
      </c>
      <c r="Y414" s="33">
        <f t="shared" si="42"/>
        <v>5.5E-2</v>
      </c>
      <c r="AH414" s="45">
        <f t="shared" si="46"/>
        <v>0</v>
      </c>
      <c r="AJ414" s="44">
        <f t="shared" si="43"/>
        <v>0.44</v>
      </c>
      <c r="AP414" s="46">
        <f t="shared" si="44"/>
        <v>5.5E-2</v>
      </c>
    </row>
    <row r="415" spans="19:42" ht="18">
      <c r="S415" s="8">
        <f t="shared" si="45"/>
        <v>0</v>
      </c>
      <c r="W415" s="3">
        <v>441</v>
      </c>
      <c r="X415" s="30">
        <v>55.767000000000003</v>
      </c>
      <c r="Y415" s="33">
        <f t="shared" si="42"/>
        <v>5.6000000000000001E-2</v>
      </c>
      <c r="AH415" s="45">
        <f t="shared" si="46"/>
        <v>0</v>
      </c>
      <c r="AJ415" s="44">
        <f t="shared" si="43"/>
        <v>0.441</v>
      </c>
      <c r="AP415" s="46">
        <f t="shared" si="44"/>
        <v>5.6000000000000001E-2</v>
      </c>
    </row>
    <row r="416" spans="19:42" ht="18">
      <c r="S416" s="8">
        <f t="shared" si="45"/>
        <v>0</v>
      </c>
      <c r="W416" s="3">
        <v>442</v>
      </c>
      <c r="X416" s="30">
        <v>56.2</v>
      </c>
      <c r="Y416" s="33">
        <f t="shared" si="42"/>
        <v>5.6000000000000001E-2</v>
      </c>
      <c r="AH416" s="45">
        <f t="shared" si="46"/>
        <v>0</v>
      </c>
      <c r="AJ416" s="44">
        <f t="shared" si="43"/>
        <v>0.442</v>
      </c>
      <c r="AP416" s="46">
        <f t="shared" si="44"/>
        <v>5.6000000000000001E-2</v>
      </c>
    </row>
    <row r="417" spans="19:42" ht="18">
      <c r="S417" s="8">
        <f t="shared" si="45"/>
        <v>0</v>
      </c>
      <c r="W417" s="3">
        <v>443</v>
      </c>
      <c r="X417" s="30">
        <v>56.633000000000003</v>
      </c>
      <c r="Y417" s="33">
        <f t="shared" si="42"/>
        <v>5.7000000000000002E-2</v>
      </c>
      <c r="AH417" s="45">
        <f t="shared" si="46"/>
        <v>0</v>
      </c>
      <c r="AJ417" s="44">
        <f t="shared" si="43"/>
        <v>0.443</v>
      </c>
      <c r="AP417" s="46">
        <f t="shared" si="44"/>
        <v>5.7000000000000002E-2</v>
      </c>
    </row>
    <row r="418" spans="19:42" ht="18">
      <c r="S418" s="8">
        <f t="shared" si="45"/>
        <v>0</v>
      </c>
      <c r="W418" s="3">
        <v>444</v>
      </c>
      <c r="X418" s="30">
        <v>57.067</v>
      </c>
      <c r="Y418" s="33">
        <f t="shared" si="42"/>
        <v>5.7000000000000002E-2</v>
      </c>
      <c r="AH418" s="45">
        <f t="shared" si="46"/>
        <v>0</v>
      </c>
      <c r="AJ418" s="44">
        <f t="shared" si="43"/>
        <v>0.44400000000000001</v>
      </c>
      <c r="AP418" s="46">
        <f t="shared" si="44"/>
        <v>5.7000000000000002E-2</v>
      </c>
    </row>
    <row r="419" spans="19:42" ht="18">
      <c r="S419" s="8">
        <f t="shared" si="45"/>
        <v>0</v>
      </c>
      <c r="W419" s="3">
        <v>445</v>
      </c>
      <c r="X419" s="30">
        <v>57.5</v>
      </c>
      <c r="Y419" s="33">
        <f t="shared" si="42"/>
        <v>5.8000000000000003E-2</v>
      </c>
      <c r="AH419" s="45">
        <f t="shared" si="46"/>
        <v>0</v>
      </c>
      <c r="AJ419" s="44">
        <f t="shared" si="43"/>
        <v>0.44500000000000001</v>
      </c>
      <c r="AP419" s="46">
        <f t="shared" si="44"/>
        <v>5.8000000000000003E-2</v>
      </c>
    </row>
    <row r="420" spans="19:42" ht="18">
      <c r="S420" s="8">
        <f t="shared" si="45"/>
        <v>0</v>
      </c>
      <c r="W420" s="3">
        <v>446</v>
      </c>
      <c r="X420" s="30">
        <v>57.933</v>
      </c>
      <c r="Y420" s="33">
        <f t="shared" si="42"/>
        <v>5.8000000000000003E-2</v>
      </c>
      <c r="AH420" s="45">
        <f t="shared" si="46"/>
        <v>0</v>
      </c>
      <c r="AJ420" s="44">
        <f t="shared" si="43"/>
        <v>0.44600000000000001</v>
      </c>
      <c r="AP420" s="46">
        <f t="shared" si="44"/>
        <v>5.8000000000000003E-2</v>
      </c>
    </row>
    <row r="421" spans="19:42" ht="18">
      <c r="S421" s="8">
        <f t="shared" si="45"/>
        <v>0</v>
      </c>
      <c r="W421" s="3">
        <v>447</v>
      </c>
      <c r="X421" s="30">
        <v>58.366999999999997</v>
      </c>
      <c r="Y421" s="33">
        <f t="shared" si="42"/>
        <v>5.8000000000000003E-2</v>
      </c>
      <c r="AH421" s="45">
        <f t="shared" si="46"/>
        <v>0</v>
      </c>
      <c r="AJ421" s="44">
        <f t="shared" si="43"/>
        <v>0.44700000000000001</v>
      </c>
      <c r="AP421" s="46">
        <f t="shared" si="44"/>
        <v>5.8000000000000003E-2</v>
      </c>
    </row>
    <row r="422" spans="19:42" ht="18">
      <c r="S422" s="8">
        <f t="shared" si="45"/>
        <v>0</v>
      </c>
      <c r="W422" s="3">
        <v>448</v>
      </c>
      <c r="X422" s="30">
        <v>58.8</v>
      </c>
      <c r="Y422" s="33">
        <f t="shared" si="42"/>
        <v>5.8999999999999997E-2</v>
      </c>
      <c r="AH422" s="45">
        <f t="shared" si="46"/>
        <v>0</v>
      </c>
      <c r="AJ422" s="44">
        <f t="shared" si="43"/>
        <v>0.44800000000000001</v>
      </c>
      <c r="AP422" s="46">
        <f t="shared" si="44"/>
        <v>5.8999999999999997E-2</v>
      </c>
    </row>
    <row r="423" spans="19:42" ht="18">
      <c r="S423" s="8">
        <f t="shared" si="45"/>
        <v>0</v>
      </c>
      <c r="W423" s="3">
        <v>449</v>
      </c>
      <c r="X423" s="30">
        <v>59.232999999999997</v>
      </c>
      <c r="Y423" s="33">
        <f t="shared" si="42"/>
        <v>5.8999999999999997E-2</v>
      </c>
      <c r="AH423" s="45">
        <f t="shared" si="46"/>
        <v>0</v>
      </c>
      <c r="AJ423" s="44">
        <f t="shared" si="43"/>
        <v>0.44900000000000001</v>
      </c>
      <c r="AP423" s="46">
        <f t="shared" si="44"/>
        <v>5.8999999999999997E-2</v>
      </c>
    </row>
    <row r="424" spans="19:42" ht="18">
      <c r="S424" s="8">
        <f t="shared" si="45"/>
        <v>0</v>
      </c>
      <c r="W424" s="3">
        <v>450</v>
      </c>
      <c r="X424" s="30">
        <v>59.667000000000002</v>
      </c>
      <c r="Y424" s="33">
        <f t="shared" si="42"/>
        <v>0.06</v>
      </c>
      <c r="AH424" s="45">
        <f t="shared" si="46"/>
        <v>0</v>
      </c>
      <c r="AJ424" s="44">
        <f t="shared" si="43"/>
        <v>0.45</v>
      </c>
      <c r="AP424" s="46">
        <f t="shared" si="44"/>
        <v>0.06</v>
      </c>
    </row>
    <row r="425" spans="19:42" ht="18">
      <c r="S425" s="8">
        <f t="shared" si="45"/>
        <v>0</v>
      </c>
      <c r="W425" s="3">
        <v>451</v>
      </c>
      <c r="X425" s="30">
        <v>60.1</v>
      </c>
      <c r="Y425" s="33">
        <f t="shared" si="42"/>
        <v>0.06</v>
      </c>
      <c r="AH425" s="45">
        <f t="shared" si="46"/>
        <v>0</v>
      </c>
      <c r="AJ425" s="44">
        <f t="shared" si="43"/>
        <v>0.45100000000000001</v>
      </c>
      <c r="AP425" s="46">
        <f t="shared" si="44"/>
        <v>0.06</v>
      </c>
    </row>
    <row r="426" spans="19:42" ht="18">
      <c r="S426" s="8">
        <f t="shared" si="45"/>
        <v>0</v>
      </c>
      <c r="W426" s="3">
        <v>452</v>
      </c>
      <c r="X426" s="30">
        <v>60.533000000000001</v>
      </c>
      <c r="Y426" s="33">
        <f t="shared" si="42"/>
        <v>6.0999999999999999E-2</v>
      </c>
      <c r="AH426" s="45">
        <f t="shared" si="46"/>
        <v>0</v>
      </c>
      <c r="AJ426" s="44">
        <f t="shared" si="43"/>
        <v>0.45200000000000001</v>
      </c>
      <c r="AP426" s="46">
        <f t="shared" si="44"/>
        <v>6.0999999999999999E-2</v>
      </c>
    </row>
    <row r="427" spans="19:42" ht="18">
      <c r="S427" s="8">
        <f t="shared" si="45"/>
        <v>0</v>
      </c>
      <c r="W427" s="3">
        <v>453</v>
      </c>
      <c r="X427" s="30">
        <v>60.966999999999999</v>
      </c>
      <c r="Y427" s="33">
        <f t="shared" si="42"/>
        <v>6.0999999999999999E-2</v>
      </c>
      <c r="AH427" s="45">
        <f t="shared" si="46"/>
        <v>0</v>
      </c>
      <c r="AJ427" s="44">
        <f t="shared" si="43"/>
        <v>0.45300000000000001</v>
      </c>
      <c r="AP427" s="46">
        <f t="shared" si="44"/>
        <v>6.0999999999999999E-2</v>
      </c>
    </row>
    <row r="428" spans="19:42" ht="18">
      <c r="S428" s="8">
        <f t="shared" si="45"/>
        <v>0</v>
      </c>
      <c r="W428" s="3">
        <v>454</v>
      </c>
      <c r="X428" s="30">
        <v>61.4</v>
      </c>
      <c r="Y428" s="33">
        <f t="shared" si="42"/>
        <v>6.0999999999999999E-2</v>
      </c>
      <c r="AH428" s="45">
        <f t="shared" si="46"/>
        <v>0</v>
      </c>
      <c r="AJ428" s="44">
        <f t="shared" si="43"/>
        <v>0.45400000000000001</v>
      </c>
      <c r="AP428" s="46">
        <f t="shared" si="44"/>
        <v>6.0999999999999999E-2</v>
      </c>
    </row>
    <row r="429" spans="19:42" ht="18">
      <c r="S429" s="8">
        <f t="shared" si="45"/>
        <v>0</v>
      </c>
      <c r="W429" s="3">
        <v>455</v>
      </c>
      <c r="X429" s="30">
        <v>61.832999999999998</v>
      </c>
      <c r="Y429" s="33">
        <f t="shared" si="42"/>
        <v>6.2E-2</v>
      </c>
      <c r="AH429" s="45">
        <f t="shared" si="46"/>
        <v>0</v>
      </c>
      <c r="AJ429" s="44">
        <f t="shared" si="43"/>
        <v>0.45500000000000002</v>
      </c>
      <c r="AP429" s="46">
        <f t="shared" si="44"/>
        <v>6.2E-2</v>
      </c>
    </row>
    <row r="430" spans="19:42" ht="18">
      <c r="S430" s="8">
        <f t="shared" si="45"/>
        <v>0</v>
      </c>
      <c r="W430" s="3">
        <v>456</v>
      </c>
      <c r="X430" s="30">
        <v>62.267000000000003</v>
      </c>
      <c r="Y430" s="33">
        <f t="shared" si="42"/>
        <v>6.2E-2</v>
      </c>
      <c r="AH430" s="45">
        <f t="shared" si="46"/>
        <v>0</v>
      </c>
      <c r="AJ430" s="44">
        <f t="shared" si="43"/>
        <v>0.45600000000000002</v>
      </c>
      <c r="AP430" s="46">
        <f t="shared" si="44"/>
        <v>6.2E-2</v>
      </c>
    </row>
    <row r="431" spans="19:42" ht="18">
      <c r="S431" s="8">
        <f t="shared" si="45"/>
        <v>0</v>
      </c>
      <c r="W431" s="3">
        <v>457</v>
      </c>
      <c r="X431" s="30">
        <v>62.7</v>
      </c>
      <c r="Y431" s="33">
        <f t="shared" si="42"/>
        <v>6.3E-2</v>
      </c>
      <c r="AH431" s="45">
        <f t="shared" si="46"/>
        <v>0</v>
      </c>
      <c r="AJ431" s="44">
        <f t="shared" si="43"/>
        <v>0.45700000000000002</v>
      </c>
      <c r="AP431" s="46">
        <f t="shared" si="44"/>
        <v>6.3E-2</v>
      </c>
    </row>
    <row r="432" spans="19:42" ht="18">
      <c r="S432" s="8">
        <f t="shared" si="45"/>
        <v>0</v>
      </c>
      <c r="W432" s="3">
        <v>458</v>
      </c>
      <c r="X432" s="30">
        <v>63.133000000000003</v>
      </c>
      <c r="Y432" s="33">
        <f t="shared" si="42"/>
        <v>6.3E-2</v>
      </c>
      <c r="AH432" s="45">
        <f t="shared" si="46"/>
        <v>0</v>
      </c>
      <c r="AJ432" s="44">
        <f t="shared" si="43"/>
        <v>0.45800000000000002</v>
      </c>
      <c r="AP432" s="46">
        <f t="shared" si="44"/>
        <v>6.3E-2</v>
      </c>
    </row>
    <row r="433" spans="19:42" ht="18">
      <c r="S433" s="8">
        <f t="shared" si="45"/>
        <v>0</v>
      </c>
      <c r="W433" s="3">
        <v>459</v>
      </c>
      <c r="X433" s="30">
        <v>63.567</v>
      </c>
      <c r="Y433" s="33">
        <f t="shared" si="42"/>
        <v>6.4000000000000001E-2</v>
      </c>
      <c r="AH433" s="45">
        <f t="shared" si="46"/>
        <v>0</v>
      </c>
      <c r="AJ433" s="44">
        <f t="shared" si="43"/>
        <v>0.45900000000000002</v>
      </c>
      <c r="AP433" s="46">
        <f t="shared" si="44"/>
        <v>6.4000000000000001E-2</v>
      </c>
    </row>
    <row r="434" spans="19:42" ht="18">
      <c r="S434" s="8">
        <f t="shared" si="45"/>
        <v>0</v>
      </c>
      <c r="W434" s="3">
        <v>460</v>
      </c>
      <c r="X434" s="30">
        <v>64</v>
      </c>
      <c r="Y434" s="33">
        <f t="shared" si="42"/>
        <v>6.4000000000000001E-2</v>
      </c>
      <c r="AH434" s="45">
        <f t="shared" si="46"/>
        <v>0</v>
      </c>
      <c r="AJ434" s="44">
        <f t="shared" si="43"/>
        <v>0.46</v>
      </c>
      <c r="AP434" s="46">
        <f t="shared" si="44"/>
        <v>6.4000000000000001E-2</v>
      </c>
    </row>
    <row r="435" spans="19:42" ht="18">
      <c r="S435" s="8">
        <f t="shared" si="45"/>
        <v>0</v>
      </c>
      <c r="W435" s="3">
        <v>461</v>
      </c>
      <c r="X435" s="30">
        <v>64.433000000000007</v>
      </c>
      <c r="Y435" s="33">
        <f t="shared" si="42"/>
        <v>6.4000000000000001E-2</v>
      </c>
      <c r="AH435" s="45">
        <f t="shared" si="46"/>
        <v>0</v>
      </c>
      <c r="AJ435" s="44">
        <f t="shared" si="43"/>
        <v>0.46100000000000002</v>
      </c>
      <c r="AP435" s="46">
        <f t="shared" si="44"/>
        <v>6.4000000000000001E-2</v>
      </c>
    </row>
    <row r="436" spans="19:42" ht="18">
      <c r="S436" s="8">
        <f t="shared" si="45"/>
        <v>0</v>
      </c>
      <c r="W436" s="3">
        <v>462</v>
      </c>
      <c r="X436" s="30">
        <v>64.867000000000004</v>
      </c>
      <c r="Y436" s="33">
        <f t="shared" si="42"/>
        <v>6.5000000000000002E-2</v>
      </c>
      <c r="AH436" s="45">
        <f t="shared" si="46"/>
        <v>0</v>
      </c>
      <c r="AJ436" s="44">
        <f t="shared" si="43"/>
        <v>0.46200000000000002</v>
      </c>
      <c r="AP436" s="46">
        <f t="shared" si="44"/>
        <v>6.5000000000000002E-2</v>
      </c>
    </row>
    <row r="437" spans="19:42" ht="18">
      <c r="S437" s="8">
        <f t="shared" si="45"/>
        <v>0</v>
      </c>
      <c r="W437" s="3">
        <v>463</v>
      </c>
      <c r="X437" s="30">
        <v>65.3</v>
      </c>
      <c r="Y437" s="33">
        <f t="shared" si="42"/>
        <v>6.5000000000000002E-2</v>
      </c>
      <c r="AH437" s="45">
        <f t="shared" si="46"/>
        <v>0</v>
      </c>
      <c r="AJ437" s="44">
        <f t="shared" si="43"/>
        <v>0.46300000000000002</v>
      </c>
      <c r="AP437" s="46">
        <f t="shared" si="44"/>
        <v>6.5000000000000002E-2</v>
      </c>
    </row>
    <row r="438" spans="19:42" ht="18">
      <c r="S438" s="8">
        <f t="shared" si="45"/>
        <v>0</v>
      </c>
      <c r="W438" s="3">
        <v>464</v>
      </c>
      <c r="X438" s="30">
        <v>65.733000000000004</v>
      </c>
      <c r="Y438" s="33">
        <f t="shared" si="42"/>
        <v>6.6000000000000003E-2</v>
      </c>
      <c r="AH438" s="45">
        <f t="shared" si="46"/>
        <v>0</v>
      </c>
      <c r="AJ438" s="44">
        <f t="shared" si="43"/>
        <v>0.46400000000000002</v>
      </c>
      <c r="AP438" s="46">
        <f t="shared" si="44"/>
        <v>6.6000000000000003E-2</v>
      </c>
    </row>
    <row r="439" spans="19:42" ht="18">
      <c r="S439" s="8">
        <f t="shared" si="45"/>
        <v>0</v>
      </c>
      <c r="W439" s="3">
        <v>465</v>
      </c>
      <c r="X439" s="30">
        <v>66.167000000000002</v>
      </c>
      <c r="Y439" s="33">
        <f t="shared" si="42"/>
        <v>6.6000000000000003E-2</v>
      </c>
      <c r="AH439" s="45">
        <f t="shared" si="46"/>
        <v>0</v>
      </c>
      <c r="AJ439" s="44">
        <f t="shared" si="43"/>
        <v>0.46500000000000002</v>
      </c>
      <c r="AP439" s="46">
        <f t="shared" si="44"/>
        <v>6.6000000000000003E-2</v>
      </c>
    </row>
    <row r="440" spans="19:42" ht="18">
      <c r="S440" s="8">
        <f t="shared" si="45"/>
        <v>0</v>
      </c>
      <c r="W440" s="3">
        <v>466</v>
      </c>
      <c r="X440" s="30">
        <v>66.599999999999994</v>
      </c>
      <c r="Y440" s="33">
        <f t="shared" si="42"/>
        <v>6.7000000000000004E-2</v>
      </c>
      <c r="AH440" s="45">
        <f t="shared" si="46"/>
        <v>0</v>
      </c>
      <c r="AJ440" s="44">
        <f t="shared" si="43"/>
        <v>0.46600000000000003</v>
      </c>
      <c r="AP440" s="46">
        <f t="shared" si="44"/>
        <v>6.7000000000000004E-2</v>
      </c>
    </row>
    <row r="441" spans="19:42" ht="18">
      <c r="S441" s="8">
        <f t="shared" si="45"/>
        <v>0</v>
      </c>
      <c r="W441" s="3">
        <v>467</v>
      </c>
      <c r="X441" s="30">
        <v>67.033000000000001</v>
      </c>
      <c r="Y441" s="33">
        <f t="shared" si="42"/>
        <v>6.7000000000000004E-2</v>
      </c>
      <c r="AH441" s="45">
        <f t="shared" si="46"/>
        <v>0</v>
      </c>
      <c r="AJ441" s="44">
        <f t="shared" si="43"/>
        <v>0.46700000000000003</v>
      </c>
      <c r="AP441" s="46">
        <f t="shared" si="44"/>
        <v>6.7000000000000004E-2</v>
      </c>
    </row>
    <row r="442" spans="19:42" ht="18">
      <c r="S442" s="8">
        <f t="shared" si="45"/>
        <v>0</v>
      </c>
      <c r="W442" s="3">
        <v>468</v>
      </c>
      <c r="X442" s="30">
        <v>67.466999999999999</v>
      </c>
      <c r="Y442" s="33">
        <f t="shared" si="42"/>
        <v>6.7000000000000004E-2</v>
      </c>
      <c r="AH442" s="45">
        <f t="shared" si="46"/>
        <v>0</v>
      </c>
      <c r="AJ442" s="44">
        <f t="shared" si="43"/>
        <v>0.46800000000000003</v>
      </c>
      <c r="AP442" s="46">
        <f t="shared" si="44"/>
        <v>6.7000000000000004E-2</v>
      </c>
    </row>
    <row r="443" spans="19:42" ht="18">
      <c r="S443" s="8">
        <f t="shared" si="45"/>
        <v>0</v>
      </c>
      <c r="W443" s="3">
        <v>469</v>
      </c>
      <c r="X443" s="30">
        <v>67.900000000000006</v>
      </c>
      <c r="Y443" s="33">
        <f t="shared" si="42"/>
        <v>6.8000000000000005E-2</v>
      </c>
      <c r="AH443" s="45">
        <f t="shared" si="46"/>
        <v>0</v>
      </c>
      <c r="AJ443" s="44">
        <f t="shared" si="43"/>
        <v>0.46899999999999997</v>
      </c>
      <c r="AP443" s="46">
        <f t="shared" si="44"/>
        <v>6.8000000000000005E-2</v>
      </c>
    </row>
    <row r="444" spans="19:42" ht="18">
      <c r="S444" s="8">
        <f t="shared" si="45"/>
        <v>0</v>
      </c>
      <c r="W444" s="3">
        <v>470</v>
      </c>
      <c r="X444" s="30">
        <v>68.332999999999998</v>
      </c>
      <c r="Y444" s="33">
        <f t="shared" si="42"/>
        <v>6.8000000000000005E-2</v>
      </c>
      <c r="AH444" s="45">
        <f t="shared" si="46"/>
        <v>0</v>
      </c>
      <c r="AJ444" s="44">
        <f t="shared" si="43"/>
        <v>0.47</v>
      </c>
      <c r="AP444" s="46">
        <f t="shared" si="44"/>
        <v>6.8000000000000005E-2</v>
      </c>
    </row>
    <row r="445" spans="19:42" ht="18">
      <c r="S445" s="8">
        <f t="shared" si="45"/>
        <v>0</v>
      </c>
      <c r="W445" s="3">
        <v>471</v>
      </c>
      <c r="X445" s="30">
        <v>68.766999999999996</v>
      </c>
      <c r="Y445" s="33">
        <f t="shared" si="42"/>
        <v>6.9000000000000006E-2</v>
      </c>
      <c r="AH445" s="45">
        <f t="shared" si="46"/>
        <v>0</v>
      </c>
      <c r="AJ445" s="44">
        <f t="shared" si="43"/>
        <v>0.47099999999999997</v>
      </c>
      <c r="AP445" s="46">
        <f t="shared" si="44"/>
        <v>6.9000000000000006E-2</v>
      </c>
    </row>
    <row r="446" spans="19:42" ht="18">
      <c r="S446" s="8">
        <f t="shared" si="45"/>
        <v>0</v>
      </c>
      <c r="W446" s="3">
        <v>472</v>
      </c>
      <c r="X446" s="30">
        <v>69.2</v>
      </c>
      <c r="Y446" s="33">
        <f t="shared" si="42"/>
        <v>6.9000000000000006E-2</v>
      </c>
      <c r="AH446" s="45">
        <f t="shared" si="46"/>
        <v>0</v>
      </c>
      <c r="AJ446" s="44">
        <f t="shared" si="43"/>
        <v>0.47199999999999998</v>
      </c>
      <c r="AP446" s="46">
        <f t="shared" si="44"/>
        <v>6.9000000000000006E-2</v>
      </c>
    </row>
    <row r="447" spans="19:42" ht="18">
      <c r="S447" s="8">
        <f t="shared" si="45"/>
        <v>0</v>
      </c>
      <c r="W447" s="3">
        <v>473</v>
      </c>
      <c r="X447" s="30">
        <v>69.632999999999996</v>
      </c>
      <c r="Y447" s="33">
        <f t="shared" si="42"/>
        <v>7.0000000000000007E-2</v>
      </c>
      <c r="AH447" s="45">
        <f t="shared" si="46"/>
        <v>0</v>
      </c>
      <c r="AJ447" s="44">
        <f t="shared" si="43"/>
        <v>0.47299999999999998</v>
      </c>
      <c r="AP447" s="46">
        <f t="shared" si="44"/>
        <v>7.0000000000000007E-2</v>
      </c>
    </row>
    <row r="448" spans="19:42" ht="18">
      <c r="S448" s="8">
        <f t="shared" si="45"/>
        <v>0</v>
      </c>
      <c r="W448" s="3">
        <v>474</v>
      </c>
      <c r="X448" s="30">
        <v>70.066999999999993</v>
      </c>
      <c r="Y448" s="33">
        <f t="shared" si="42"/>
        <v>7.0000000000000007E-2</v>
      </c>
      <c r="AH448" s="45">
        <f t="shared" si="46"/>
        <v>0</v>
      </c>
      <c r="AJ448" s="44">
        <f t="shared" si="43"/>
        <v>0.47399999999999998</v>
      </c>
      <c r="AP448" s="46">
        <f t="shared" si="44"/>
        <v>7.0000000000000007E-2</v>
      </c>
    </row>
    <row r="449" spans="19:42" ht="18">
      <c r="S449" s="8">
        <f t="shared" si="45"/>
        <v>0</v>
      </c>
      <c r="W449" s="3">
        <v>475</v>
      </c>
      <c r="X449" s="30">
        <v>70.5</v>
      </c>
      <c r="Y449" s="33">
        <f t="shared" si="42"/>
        <v>7.0999999999999994E-2</v>
      </c>
      <c r="AH449" s="45">
        <f t="shared" si="46"/>
        <v>0</v>
      </c>
      <c r="AJ449" s="44">
        <f t="shared" si="43"/>
        <v>0.47499999999999998</v>
      </c>
      <c r="AP449" s="46">
        <f t="shared" si="44"/>
        <v>7.0999999999999994E-2</v>
      </c>
    </row>
    <row r="450" spans="19:42" ht="18">
      <c r="S450" s="8">
        <f t="shared" si="45"/>
        <v>0</v>
      </c>
      <c r="W450" s="3">
        <v>476</v>
      </c>
      <c r="X450" s="30">
        <v>70.933000000000007</v>
      </c>
      <c r="Y450" s="33">
        <f t="shared" si="42"/>
        <v>7.0999999999999994E-2</v>
      </c>
      <c r="AH450" s="45">
        <f t="shared" si="46"/>
        <v>0</v>
      </c>
      <c r="AJ450" s="44">
        <f t="shared" si="43"/>
        <v>0.47599999999999998</v>
      </c>
      <c r="AP450" s="46">
        <f t="shared" si="44"/>
        <v>7.0999999999999994E-2</v>
      </c>
    </row>
    <row r="451" spans="19:42" ht="18">
      <c r="S451" s="8">
        <f t="shared" si="45"/>
        <v>0</v>
      </c>
      <c r="W451" s="3">
        <v>477</v>
      </c>
      <c r="X451" s="30">
        <v>71.367000000000004</v>
      </c>
      <c r="Y451" s="33">
        <f t="shared" si="42"/>
        <v>7.0999999999999994E-2</v>
      </c>
      <c r="AH451" s="45">
        <f t="shared" si="46"/>
        <v>0</v>
      </c>
      <c r="AJ451" s="44">
        <f t="shared" si="43"/>
        <v>0.47699999999999998</v>
      </c>
      <c r="AP451" s="46">
        <f t="shared" si="44"/>
        <v>7.0999999999999994E-2</v>
      </c>
    </row>
    <row r="452" spans="19:42" ht="18">
      <c r="S452" s="8">
        <f t="shared" si="45"/>
        <v>0</v>
      </c>
      <c r="W452" s="3">
        <v>478</v>
      </c>
      <c r="X452" s="30">
        <v>71.8</v>
      </c>
      <c r="Y452" s="33">
        <f t="shared" si="42"/>
        <v>7.1999999999999995E-2</v>
      </c>
      <c r="AH452" s="45">
        <f t="shared" si="46"/>
        <v>0</v>
      </c>
      <c r="AJ452" s="44">
        <f t="shared" si="43"/>
        <v>0.47799999999999998</v>
      </c>
      <c r="AP452" s="46">
        <f t="shared" si="44"/>
        <v>7.1999999999999995E-2</v>
      </c>
    </row>
    <row r="453" spans="19:42" ht="18">
      <c r="S453" s="8">
        <f t="shared" si="45"/>
        <v>0</v>
      </c>
      <c r="W453" s="3">
        <v>479</v>
      </c>
      <c r="X453" s="30">
        <v>72.233000000000004</v>
      </c>
      <c r="Y453" s="33">
        <f t="shared" ref="Y453:Y516" si="47">ROUND(X453/1000,3)</f>
        <v>7.1999999999999995E-2</v>
      </c>
      <c r="AH453" s="45">
        <f t="shared" si="46"/>
        <v>0</v>
      </c>
      <c r="AJ453" s="44">
        <f t="shared" ref="AJ453:AJ516" si="48">ROUND(W453/1000,3)</f>
        <v>0.47899999999999998</v>
      </c>
      <c r="AP453" s="46">
        <f t="shared" ref="AP453:AP516" si="49">ROUND(X453/1000,3)</f>
        <v>7.1999999999999995E-2</v>
      </c>
    </row>
    <row r="454" spans="19:42" ht="18">
      <c r="S454" s="8">
        <f t="shared" ref="S454:S517" si="50">CEILING(R454/50,0.5)</f>
        <v>0</v>
      </c>
      <c r="W454" s="3">
        <v>480</v>
      </c>
      <c r="X454" s="30">
        <v>72.667000000000002</v>
      </c>
      <c r="Y454" s="33">
        <f t="shared" si="47"/>
        <v>7.2999999999999995E-2</v>
      </c>
      <c r="AH454" s="45">
        <f t="shared" ref="AH454:AH517" si="51">AE454-AE453</f>
        <v>0</v>
      </c>
      <c r="AJ454" s="44">
        <f t="shared" si="48"/>
        <v>0.48</v>
      </c>
      <c r="AP454" s="46">
        <f t="shared" si="49"/>
        <v>7.2999999999999995E-2</v>
      </c>
    </row>
    <row r="455" spans="19:42" ht="18">
      <c r="S455" s="8">
        <f t="shared" si="50"/>
        <v>0</v>
      </c>
      <c r="W455" s="3">
        <v>481</v>
      </c>
      <c r="X455" s="30">
        <v>73.099999999999994</v>
      </c>
      <c r="Y455" s="33">
        <f t="shared" si="47"/>
        <v>7.2999999999999995E-2</v>
      </c>
      <c r="AH455" s="45">
        <f t="shared" si="51"/>
        <v>0</v>
      </c>
      <c r="AJ455" s="44">
        <f t="shared" si="48"/>
        <v>0.48099999999999998</v>
      </c>
      <c r="AP455" s="46">
        <f t="shared" si="49"/>
        <v>7.2999999999999995E-2</v>
      </c>
    </row>
    <row r="456" spans="19:42" ht="18">
      <c r="S456" s="8">
        <f t="shared" si="50"/>
        <v>0</v>
      </c>
      <c r="W456" s="3">
        <v>482</v>
      </c>
      <c r="X456" s="30">
        <v>73.533000000000001</v>
      </c>
      <c r="Y456" s="33">
        <f t="shared" si="47"/>
        <v>7.3999999999999996E-2</v>
      </c>
      <c r="AH456" s="45">
        <f t="shared" si="51"/>
        <v>0</v>
      </c>
      <c r="AJ456" s="44">
        <f t="shared" si="48"/>
        <v>0.48199999999999998</v>
      </c>
      <c r="AP456" s="46">
        <f t="shared" si="49"/>
        <v>7.3999999999999996E-2</v>
      </c>
    </row>
    <row r="457" spans="19:42" ht="18">
      <c r="S457" s="8">
        <f t="shared" si="50"/>
        <v>0</v>
      </c>
      <c r="W457" s="3">
        <v>483</v>
      </c>
      <c r="X457" s="30">
        <v>73.966999999999999</v>
      </c>
      <c r="Y457" s="33">
        <f t="shared" si="47"/>
        <v>7.3999999999999996E-2</v>
      </c>
      <c r="AH457" s="45">
        <f t="shared" si="51"/>
        <v>0</v>
      </c>
      <c r="AJ457" s="44">
        <f t="shared" si="48"/>
        <v>0.48299999999999998</v>
      </c>
      <c r="AP457" s="46">
        <f t="shared" si="49"/>
        <v>7.3999999999999996E-2</v>
      </c>
    </row>
    <row r="458" spans="19:42" ht="18">
      <c r="S458" s="8">
        <f t="shared" si="50"/>
        <v>0</v>
      </c>
      <c r="W458" s="3">
        <v>484</v>
      </c>
      <c r="X458" s="30">
        <v>74.400000000000006</v>
      </c>
      <c r="Y458" s="33">
        <f t="shared" si="47"/>
        <v>7.3999999999999996E-2</v>
      </c>
      <c r="AH458" s="45">
        <f t="shared" si="51"/>
        <v>0</v>
      </c>
      <c r="AJ458" s="44">
        <f t="shared" si="48"/>
        <v>0.48399999999999999</v>
      </c>
      <c r="AP458" s="46">
        <f t="shared" si="49"/>
        <v>7.3999999999999996E-2</v>
      </c>
    </row>
    <row r="459" spans="19:42" ht="18">
      <c r="S459" s="8">
        <f t="shared" si="50"/>
        <v>0</v>
      </c>
      <c r="W459" s="3">
        <v>485</v>
      </c>
      <c r="X459" s="30">
        <v>74.832999999999998</v>
      </c>
      <c r="Y459" s="33">
        <f t="shared" si="47"/>
        <v>7.4999999999999997E-2</v>
      </c>
      <c r="AH459" s="45">
        <f t="shared" si="51"/>
        <v>0</v>
      </c>
      <c r="AJ459" s="44">
        <f t="shared" si="48"/>
        <v>0.48499999999999999</v>
      </c>
      <c r="AP459" s="46">
        <f t="shared" si="49"/>
        <v>7.4999999999999997E-2</v>
      </c>
    </row>
    <row r="460" spans="19:42" ht="18">
      <c r="S460" s="8">
        <f t="shared" si="50"/>
        <v>0</v>
      </c>
      <c r="W460" s="3">
        <v>486</v>
      </c>
      <c r="X460" s="30">
        <v>75.266999999999996</v>
      </c>
      <c r="Y460" s="33">
        <f t="shared" si="47"/>
        <v>7.4999999999999997E-2</v>
      </c>
      <c r="AH460" s="45">
        <f t="shared" si="51"/>
        <v>0</v>
      </c>
      <c r="AJ460" s="44">
        <f t="shared" si="48"/>
        <v>0.48599999999999999</v>
      </c>
      <c r="AP460" s="46">
        <f t="shared" si="49"/>
        <v>7.4999999999999997E-2</v>
      </c>
    </row>
    <row r="461" spans="19:42" ht="18">
      <c r="S461" s="8">
        <f t="shared" si="50"/>
        <v>0</v>
      </c>
      <c r="W461" s="3">
        <v>487</v>
      </c>
      <c r="X461" s="30">
        <v>75.7</v>
      </c>
      <c r="Y461" s="33">
        <f t="shared" si="47"/>
        <v>7.5999999999999998E-2</v>
      </c>
      <c r="AH461" s="45">
        <f t="shared" si="51"/>
        <v>0</v>
      </c>
      <c r="AJ461" s="44">
        <f t="shared" si="48"/>
        <v>0.48699999999999999</v>
      </c>
      <c r="AP461" s="46">
        <f t="shared" si="49"/>
        <v>7.5999999999999998E-2</v>
      </c>
    </row>
    <row r="462" spans="19:42" ht="18">
      <c r="S462" s="8">
        <f t="shared" si="50"/>
        <v>0</v>
      </c>
      <c r="W462" s="3">
        <v>488</v>
      </c>
      <c r="X462" s="30">
        <v>76.132999999999996</v>
      </c>
      <c r="Y462" s="33">
        <f t="shared" si="47"/>
        <v>7.5999999999999998E-2</v>
      </c>
      <c r="AH462" s="45">
        <f t="shared" si="51"/>
        <v>0</v>
      </c>
      <c r="AJ462" s="44">
        <f t="shared" si="48"/>
        <v>0.48799999999999999</v>
      </c>
      <c r="AP462" s="46">
        <f t="shared" si="49"/>
        <v>7.5999999999999998E-2</v>
      </c>
    </row>
    <row r="463" spans="19:42" ht="18">
      <c r="S463" s="8">
        <f t="shared" si="50"/>
        <v>0</v>
      </c>
      <c r="W463" s="3">
        <v>489</v>
      </c>
      <c r="X463" s="30">
        <v>76.566999999999993</v>
      </c>
      <c r="Y463" s="33">
        <f t="shared" si="47"/>
        <v>7.6999999999999999E-2</v>
      </c>
      <c r="AH463" s="45">
        <f t="shared" si="51"/>
        <v>0</v>
      </c>
      <c r="AJ463" s="44">
        <f t="shared" si="48"/>
        <v>0.48899999999999999</v>
      </c>
      <c r="AP463" s="46">
        <f t="shared" si="49"/>
        <v>7.6999999999999999E-2</v>
      </c>
    </row>
    <row r="464" spans="19:42" ht="18">
      <c r="S464" s="8">
        <f t="shared" si="50"/>
        <v>0</v>
      </c>
      <c r="W464" s="3">
        <v>490</v>
      </c>
      <c r="X464" s="30">
        <v>77</v>
      </c>
      <c r="Y464" s="33">
        <f t="shared" si="47"/>
        <v>7.6999999999999999E-2</v>
      </c>
      <c r="AH464" s="45">
        <f t="shared" si="51"/>
        <v>0</v>
      </c>
      <c r="AJ464" s="44">
        <f t="shared" si="48"/>
        <v>0.49</v>
      </c>
      <c r="AP464" s="46">
        <f t="shared" si="49"/>
        <v>7.6999999999999999E-2</v>
      </c>
    </row>
    <row r="465" spans="19:42" ht="18">
      <c r="S465" s="8">
        <f t="shared" si="50"/>
        <v>0</v>
      </c>
      <c r="W465" s="3">
        <v>491</v>
      </c>
      <c r="X465" s="30">
        <v>77.05</v>
      </c>
      <c r="Y465" s="33">
        <f t="shared" si="47"/>
        <v>7.6999999999999999E-2</v>
      </c>
      <c r="AH465" s="45">
        <f t="shared" si="51"/>
        <v>0</v>
      </c>
      <c r="AJ465" s="44">
        <f t="shared" si="48"/>
        <v>0.49099999999999999</v>
      </c>
      <c r="AP465" s="46">
        <f t="shared" si="49"/>
        <v>7.6999999999999999E-2</v>
      </c>
    </row>
    <row r="466" spans="19:42" ht="18">
      <c r="S466" s="8">
        <f t="shared" si="50"/>
        <v>0</v>
      </c>
      <c r="W466" s="3">
        <v>492</v>
      </c>
      <c r="X466" s="30">
        <v>77.099999999999994</v>
      </c>
      <c r="Y466" s="33">
        <f t="shared" si="47"/>
        <v>7.6999999999999999E-2</v>
      </c>
      <c r="AH466" s="45">
        <f t="shared" si="51"/>
        <v>0</v>
      </c>
      <c r="AJ466" s="44">
        <f t="shared" si="48"/>
        <v>0.49199999999999999</v>
      </c>
      <c r="AP466" s="46">
        <f t="shared" si="49"/>
        <v>7.6999999999999999E-2</v>
      </c>
    </row>
    <row r="467" spans="19:42" ht="18">
      <c r="S467" s="8">
        <f t="shared" si="50"/>
        <v>0</v>
      </c>
      <c r="W467" s="3">
        <v>493</v>
      </c>
      <c r="X467" s="30">
        <v>77.150000000000006</v>
      </c>
      <c r="Y467" s="33">
        <f t="shared" si="47"/>
        <v>7.6999999999999999E-2</v>
      </c>
      <c r="AH467" s="45">
        <f t="shared" si="51"/>
        <v>0</v>
      </c>
      <c r="AJ467" s="44">
        <f t="shared" si="48"/>
        <v>0.49299999999999999</v>
      </c>
      <c r="AP467" s="46">
        <f t="shared" si="49"/>
        <v>7.6999999999999999E-2</v>
      </c>
    </row>
    <row r="468" spans="19:42" ht="18">
      <c r="S468" s="8">
        <f t="shared" si="50"/>
        <v>0</v>
      </c>
      <c r="W468" s="3">
        <v>494</v>
      </c>
      <c r="X468" s="30">
        <v>77.2</v>
      </c>
      <c r="Y468" s="33">
        <f t="shared" si="47"/>
        <v>7.6999999999999999E-2</v>
      </c>
      <c r="AH468" s="45">
        <f t="shared" si="51"/>
        <v>0</v>
      </c>
      <c r="AJ468" s="44">
        <f t="shared" si="48"/>
        <v>0.49399999999999999</v>
      </c>
      <c r="AP468" s="46">
        <f t="shared" si="49"/>
        <v>7.6999999999999999E-2</v>
      </c>
    </row>
    <row r="469" spans="19:42" ht="18">
      <c r="S469" s="8">
        <f t="shared" si="50"/>
        <v>0</v>
      </c>
      <c r="W469" s="3">
        <v>495</v>
      </c>
      <c r="X469" s="30">
        <v>77.25</v>
      </c>
      <c r="Y469" s="33">
        <f t="shared" si="47"/>
        <v>7.6999999999999999E-2</v>
      </c>
      <c r="AH469" s="45">
        <f t="shared" si="51"/>
        <v>0</v>
      </c>
      <c r="AJ469" s="44">
        <f t="shared" si="48"/>
        <v>0.495</v>
      </c>
      <c r="AP469" s="46">
        <f t="shared" si="49"/>
        <v>7.6999999999999999E-2</v>
      </c>
    </row>
    <row r="470" spans="19:42" ht="18">
      <c r="S470" s="8">
        <f t="shared" si="50"/>
        <v>0</v>
      </c>
      <c r="W470" s="3">
        <v>496</v>
      </c>
      <c r="X470" s="30">
        <v>77.3</v>
      </c>
      <c r="Y470" s="33">
        <f t="shared" si="47"/>
        <v>7.6999999999999999E-2</v>
      </c>
      <c r="AH470" s="45">
        <f t="shared" si="51"/>
        <v>0</v>
      </c>
      <c r="AJ470" s="44">
        <f t="shared" si="48"/>
        <v>0.496</v>
      </c>
      <c r="AP470" s="46">
        <f t="shared" si="49"/>
        <v>7.6999999999999999E-2</v>
      </c>
    </row>
    <row r="471" spans="19:42" ht="18">
      <c r="S471" s="8">
        <f t="shared" si="50"/>
        <v>0</v>
      </c>
      <c r="W471" s="3">
        <v>497</v>
      </c>
      <c r="X471" s="30">
        <v>77.349999999999994</v>
      </c>
      <c r="Y471" s="33">
        <f t="shared" si="47"/>
        <v>7.6999999999999999E-2</v>
      </c>
      <c r="AH471" s="45">
        <f t="shared" si="51"/>
        <v>0</v>
      </c>
      <c r="AJ471" s="44">
        <f t="shared" si="48"/>
        <v>0.497</v>
      </c>
      <c r="AP471" s="46">
        <f t="shared" si="49"/>
        <v>7.6999999999999999E-2</v>
      </c>
    </row>
    <row r="472" spans="19:42" ht="18">
      <c r="S472" s="8">
        <f t="shared" si="50"/>
        <v>0</v>
      </c>
      <c r="W472" s="3">
        <v>498</v>
      </c>
      <c r="X472" s="30">
        <v>77.400000000000006</v>
      </c>
      <c r="Y472" s="33">
        <f t="shared" si="47"/>
        <v>7.6999999999999999E-2</v>
      </c>
      <c r="AH472" s="45">
        <f t="shared" si="51"/>
        <v>0</v>
      </c>
      <c r="AJ472" s="44">
        <f t="shared" si="48"/>
        <v>0.498</v>
      </c>
      <c r="AP472" s="46">
        <f t="shared" si="49"/>
        <v>7.6999999999999999E-2</v>
      </c>
    </row>
    <row r="473" spans="19:42" ht="18">
      <c r="S473" s="8">
        <f t="shared" si="50"/>
        <v>0</v>
      </c>
      <c r="W473" s="3">
        <v>499</v>
      </c>
      <c r="X473" s="30">
        <v>77.45</v>
      </c>
      <c r="Y473" s="33">
        <f t="shared" si="47"/>
        <v>7.6999999999999999E-2</v>
      </c>
      <c r="AH473" s="45">
        <f t="shared" si="51"/>
        <v>0</v>
      </c>
      <c r="AJ473" s="44">
        <f t="shared" si="48"/>
        <v>0.499</v>
      </c>
      <c r="AP473" s="46">
        <f t="shared" si="49"/>
        <v>7.6999999999999999E-2</v>
      </c>
    </row>
    <row r="474" spans="19:42" ht="18">
      <c r="S474" s="8">
        <f t="shared" si="50"/>
        <v>0</v>
      </c>
      <c r="W474" s="3">
        <v>500</v>
      </c>
      <c r="X474" s="30">
        <v>77.5</v>
      </c>
      <c r="Y474" s="33">
        <f t="shared" si="47"/>
        <v>7.8E-2</v>
      </c>
      <c r="AH474" s="45">
        <f t="shared" si="51"/>
        <v>0</v>
      </c>
      <c r="AJ474" s="44">
        <f t="shared" si="48"/>
        <v>0.5</v>
      </c>
      <c r="AP474" s="46">
        <f t="shared" si="49"/>
        <v>7.8E-2</v>
      </c>
    </row>
    <row r="475" spans="19:42" ht="18">
      <c r="S475" s="8">
        <f t="shared" si="50"/>
        <v>0</v>
      </c>
      <c r="W475" s="3">
        <v>501</v>
      </c>
      <c r="X475" s="30">
        <v>77.55</v>
      </c>
      <c r="Y475" s="33">
        <f t="shared" si="47"/>
        <v>7.8E-2</v>
      </c>
      <c r="AH475" s="45">
        <f t="shared" si="51"/>
        <v>0</v>
      </c>
      <c r="AJ475" s="44">
        <f t="shared" si="48"/>
        <v>0.501</v>
      </c>
      <c r="AP475" s="46">
        <f t="shared" si="49"/>
        <v>7.8E-2</v>
      </c>
    </row>
    <row r="476" spans="19:42" ht="18">
      <c r="S476" s="8">
        <f t="shared" si="50"/>
        <v>0</v>
      </c>
      <c r="W476" s="3">
        <v>502</v>
      </c>
      <c r="X476" s="30">
        <v>77.599999999999994</v>
      </c>
      <c r="Y476" s="33">
        <f t="shared" si="47"/>
        <v>7.8E-2</v>
      </c>
      <c r="AH476" s="45">
        <f t="shared" si="51"/>
        <v>0</v>
      </c>
      <c r="AJ476" s="44">
        <f t="shared" si="48"/>
        <v>0.502</v>
      </c>
      <c r="AP476" s="46">
        <f t="shared" si="49"/>
        <v>7.8E-2</v>
      </c>
    </row>
    <row r="477" spans="19:42" ht="18">
      <c r="S477" s="8">
        <f t="shared" si="50"/>
        <v>0</v>
      </c>
      <c r="W477" s="3">
        <v>503</v>
      </c>
      <c r="X477" s="30">
        <v>77.650000000000006</v>
      </c>
      <c r="Y477" s="33">
        <f t="shared" si="47"/>
        <v>7.8E-2</v>
      </c>
      <c r="AH477" s="45">
        <f t="shared" si="51"/>
        <v>0</v>
      </c>
      <c r="AJ477" s="44">
        <f t="shared" si="48"/>
        <v>0.503</v>
      </c>
      <c r="AP477" s="46">
        <f t="shared" si="49"/>
        <v>7.8E-2</v>
      </c>
    </row>
    <row r="478" spans="19:42" ht="18">
      <c r="S478" s="8">
        <f t="shared" si="50"/>
        <v>0</v>
      </c>
      <c r="W478" s="3">
        <v>504</v>
      </c>
      <c r="X478" s="30">
        <v>77.7</v>
      </c>
      <c r="Y478" s="33">
        <f t="shared" si="47"/>
        <v>7.8E-2</v>
      </c>
      <c r="AH478" s="45">
        <f t="shared" si="51"/>
        <v>0</v>
      </c>
      <c r="AJ478" s="44">
        <f t="shared" si="48"/>
        <v>0.504</v>
      </c>
      <c r="AP478" s="46">
        <f t="shared" si="49"/>
        <v>7.8E-2</v>
      </c>
    </row>
    <row r="479" spans="19:42" ht="18">
      <c r="S479" s="8">
        <f t="shared" si="50"/>
        <v>0</v>
      </c>
      <c r="W479" s="3">
        <v>505</v>
      </c>
      <c r="X479" s="30">
        <v>77.75</v>
      </c>
      <c r="Y479" s="33">
        <f t="shared" si="47"/>
        <v>7.8E-2</v>
      </c>
      <c r="AH479" s="45">
        <f t="shared" si="51"/>
        <v>0</v>
      </c>
      <c r="AJ479" s="44">
        <f t="shared" si="48"/>
        <v>0.505</v>
      </c>
      <c r="AP479" s="46">
        <f t="shared" si="49"/>
        <v>7.8E-2</v>
      </c>
    </row>
    <row r="480" spans="19:42" ht="18">
      <c r="S480" s="8">
        <f t="shared" si="50"/>
        <v>0</v>
      </c>
      <c r="W480" s="3">
        <v>506</v>
      </c>
      <c r="X480" s="30">
        <v>77.8</v>
      </c>
      <c r="Y480" s="33">
        <f t="shared" si="47"/>
        <v>7.8E-2</v>
      </c>
      <c r="AH480" s="45">
        <f t="shared" si="51"/>
        <v>0</v>
      </c>
      <c r="AJ480" s="44">
        <f t="shared" si="48"/>
        <v>0.50600000000000001</v>
      </c>
      <c r="AP480" s="46">
        <f t="shared" si="49"/>
        <v>7.8E-2</v>
      </c>
    </row>
    <row r="481" spans="19:42" ht="18">
      <c r="S481" s="8">
        <f t="shared" si="50"/>
        <v>0</v>
      </c>
      <c r="W481" s="3">
        <v>507</v>
      </c>
      <c r="X481" s="30">
        <v>77.849999999999994</v>
      </c>
      <c r="Y481" s="33">
        <f t="shared" si="47"/>
        <v>7.8E-2</v>
      </c>
      <c r="AH481" s="45">
        <f t="shared" si="51"/>
        <v>0</v>
      </c>
      <c r="AJ481" s="44">
        <f t="shared" si="48"/>
        <v>0.50700000000000001</v>
      </c>
      <c r="AP481" s="46">
        <f t="shared" si="49"/>
        <v>7.8E-2</v>
      </c>
    </row>
    <row r="482" spans="19:42" ht="18">
      <c r="S482" s="8">
        <f t="shared" si="50"/>
        <v>0</v>
      </c>
      <c r="W482" s="3">
        <v>508</v>
      </c>
      <c r="X482" s="30">
        <v>77.900000000000006</v>
      </c>
      <c r="Y482" s="33">
        <f t="shared" si="47"/>
        <v>7.8E-2</v>
      </c>
      <c r="AH482" s="45">
        <f t="shared" si="51"/>
        <v>0</v>
      </c>
      <c r="AJ482" s="44">
        <f t="shared" si="48"/>
        <v>0.50800000000000001</v>
      </c>
      <c r="AP482" s="46">
        <f t="shared" si="49"/>
        <v>7.8E-2</v>
      </c>
    </row>
    <row r="483" spans="19:42" ht="18">
      <c r="S483" s="8">
        <f t="shared" si="50"/>
        <v>0</v>
      </c>
      <c r="W483" s="3">
        <v>509</v>
      </c>
      <c r="X483" s="30">
        <v>77.95</v>
      </c>
      <c r="Y483" s="33">
        <f t="shared" si="47"/>
        <v>7.8E-2</v>
      </c>
      <c r="AH483" s="45">
        <f t="shared" si="51"/>
        <v>0</v>
      </c>
      <c r="AJ483" s="44">
        <f t="shared" si="48"/>
        <v>0.50900000000000001</v>
      </c>
      <c r="AP483" s="46">
        <f t="shared" si="49"/>
        <v>7.8E-2</v>
      </c>
    </row>
    <row r="484" spans="19:42" ht="18">
      <c r="S484" s="8">
        <f t="shared" si="50"/>
        <v>0</v>
      </c>
      <c r="W484" s="3">
        <v>510</v>
      </c>
      <c r="X484" s="30">
        <v>78</v>
      </c>
      <c r="Y484" s="33">
        <f t="shared" si="47"/>
        <v>7.8E-2</v>
      </c>
      <c r="AH484" s="45">
        <f t="shared" si="51"/>
        <v>0</v>
      </c>
      <c r="AJ484" s="44">
        <f t="shared" si="48"/>
        <v>0.51</v>
      </c>
      <c r="AP484" s="46">
        <f t="shared" si="49"/>
        <v>7.8E-2</v>
      </c>
    </row>
    <row r="485" spans="19:42" ht="18">
      <c r="S485" s="8">
        <f t="shared" si="50"/>
        <v>0</v>
      </c>
      <c r="W485" s="3">
        <v>511</v>
      </c>
      <c r="X485" s="30">
        <v>78.05</v>
      </c>
      <c r="Y485" s="33">
        <f t="shared" si="47"/>
        <v>7.8E-2</v>
      </c>
      <c r="AH485" s="45">
        <f t="shared" si="51"/>
        <v>0</v>
      </c>
      <c r="AJ485" s="44">
        <f t="shared" si="48"/>
        <v>0.51100000000000001</v>
      </c>
      <c r="AP485" s="46">
        <f t="shared" si="49"/>
        <v>7.8E-2</v>
      </c>
    </row>
    <row r="486" spans="19:42" ht="18">
      <c r="S486" s="8">
        <f t="shared" si="50"/>
        <v>0</v>
      </c>
      <c r="W486" s="3">
        <v>512</v>
      </c>
      <c r="X486" s="30">
        <v>78.099999999999994</v>
      </c>
      <c r="Y486" s="33">
        <f t="shared" si="47"/>
        <v>7.8E-2</v>
      </c>
      <c r="AH486" s="45">
        <f t="shared" si="51"/>
        <v>0</v>
      </c>
      <c r="AJ486" s="44">
        <f t="shared" si="48"/>
        <v>0.51200000000000001</v>
      </c>
      <c r="AP486" s="46">
        <f t="shared" si="49"/>
        <v>7.8E-2</v>
      </c>
    </row>
    <row r="487" spans="19:42" ht="18">
      <c r="S487" s="8">
        <f t="shared" si="50"/>
        <v>0</v>
      </c>
      <c r="W487" s="3">
        <v>513</v>
      </c>
      <c r="X487" s="30">
        <v>78.150000000000006</v>
      </c>
      <c r="Y487" s="33">
        <f t="shared" si="47"/>
        <v>7.8E-2</v>
      </c>
      <c r="AH487" s="45">
        <f t="shared" si="51"/>
        <v>0</v>
      </c>
      <c r="AJ487" s="44">
        <f t="shared" si="48"/>
        <v>0.51300000000000001</v>
      </c>
      <c r="AP487" s="46">
        <f t="shared" si="49"/>
        <v>7.8E-2</v>
      </c>
    </row>
    <row r="488" spans="19:42" ht="18">
      <c r="S488" s="8">
        <f t="shared" si="50"/>
        <v>0</v>
      </c>
      <c r="W488" s="3">
        <v>514</v>
      </c>
      <c r="X488" s="30">
        <v>78.2</v>
      </c>
      <c r="Y488" s="33">
        <f t="shared" si="47"/>
        <v>7.8E-2</v>
      </c>
      <c r="AH488" s="45">
        <f t="shared" si="51"/>
        <v>0</v>
      </c>
      <c r="AJ488" s="44">
        <f t="shared" si="48"/>
        <v>0.51400000000000001</v>
      </c>
      <c r="AP488" s="46">
        <f t="shared" si="49"/>
        <v>7.8E-2</v>
      </c>
    </row>
    <row r="489" spans="19:42" ht="18">
      <c r="S489" s="8">
        <f t="shared" si="50"/>
        <v>0</v>
      </c>
      <c r="W489" s="3">
        <v>515</v>
      </c>
      <c r="X489" s="30">
        <v>78.25</v>
      </c>
      <c r="Y489" s="33">
        <f t="shared" si="47"/>
        <v>7.8E-2</v>
      </c>
      <c r="AH489" s="45">
        <f t="shared" si="51"/>
        <v>0</v>
      </c>
      <c r="AJ489" s="44">
        <f t="shared" si="48"/>
        <v>0.51500000000000001</v>
      </c>
      <c r="AP489" s="46">
        <f t="shared" si="49"/>
        <v>7.8E-2</v>
      </c>
    </row>
    <row r="490" spans="19:42" ht="18">
      <c r="S490" s="8">
        <f t="shared" si="50"/>
        <v>0</v>
      </c>
      <c r="W490" s="3">
        <v>516</v>
      </c>
      <c r="X490" s="30">
        <v>78.3</v>
      </c>
      <c r="Y490" s="33">
        <f t="shared" si="47"/>
        <v>7.8E-2</v>
      </c>
      <c r="AH490" s="45">
        <f t="shared" si="51"/>
        <v>0</v>
      </c>
      <c r="AJ490" s="44">
        <f t="shared" si="48"/>
        <v>0.51600000000000001</v>
      </c>
      <c r="AP490" s="46">
        <f t="shared" si="49"/>
        <v>7.8E-2</v>
      </c>
    </row>
    <row r="491" spans="19:42" ht="18">
      <c r="S491" s="8">
        <f t="shared" si="50"/>
        <v>0</v>
      </c>
      <c r="W491" s="3">
        <v>517</v>
      </c>
      <c r="X491" s="30">
        <v>78.349999999999994</v>
      </c>
      <c r="Y491" s="33">
        <f t="shared" si="47"/>
        <v>7.8E-2</v>
      </c>
      <c r="AH491" s="45">
        <f t="shared" si="51"/>
        <v>0</v>
      </c>
      <c r="AJ491" s="44">
        <f t="shared" si="48"/>
        <v>0.51700000000000002</v>
      </c>
      <c r="AP491" s="46">
        <f t="shared" si="49"/>
        <v>7.8E-2</v>
      </c>
    </row>
    <row r="492" spans="19:42" ht="18">
      <c r="S492" s="8">
        <f t="shared" si="50"/>
        <v>0</v>
      </c>
      <c r="W492" s="3">
        <v>518</v>
      </c>
      <c r="X492" s="30">
        <v>78.400000000000006</v>
      </c>
      <c r="Y492" s="33">
        <f t="shared" si="47"/>
        <v>7.8E-2</v>
      </c>
      <c r="AH492" s="45">
        <f t="shared" si="51"/>
        <v>0</v>
      </c>
      <c r="AJ492" s="44">
        <f t="shared" si="48"/>
        <v>0.51800000000000002</v>
      </c>
      <c r="AP492" s="46">
        <f t="shared" si="49"/>
        <v>7.8E-2</v>
      </c>
    </row>
    <row r="493" spans="19:42" ht="18">
      <c r="S493" s="8">
        <f t="shared" si="50"/>
        <v>0</v>
      </c>
      <c r="W493" s="3">
        <v>519</v>
      </c>
      <c r="X493" s="30">
        <v>78.45</v>
      </c>
      <c r="Y493" s="33">
        <f t="shared" si="47"/>
        <v>7.8E-2</v>
      </c>
      <c r="AH493" s="45">
        <f t="shared" si="51"/>
        <v>0</v>
      </c>
      <c r="AJ493" s="44">
        <f t="shared" si="48"/>
        <v>0.51900000000000002</v>
      </c>
      <c r="AP493" s="46">
        <f t="shared" si="49"/>
        <v>7.8E-2</v>
      </c>
    </row>
    <row r="494" spans="19:42" ht="18">
      <c r="S494" s="8">
        <f t="shared" si="50"/>
        <v>0</v>
      </c>
      <c r="W494" s="3">
        <v>520</v>
      </c>
      <c r="X494" s="30">
        <v>78.5</v>
      </c>
      <c r="Y494" s="33">
        <f t="shared" si="47"/>
        <v>7.9000000000000001E-2</v>
      </c>
      <c r="AH494" s="45">
        <f t="shared" si="51"/>
        <v>0</v>
      </c>
      <c r="AJ494" s="44">
        <f t="shared" si="48"/>
        <v>0.52</v>
      </c>
      <c r="AP494" s="46">
        <f t="shared" si="49"/>
        <v>7.9000000000000001E-2</v>
      </c>
    </row>
    <row r="495" spans="19:42" ht="18">
      <c r="S495" s="8">
        <f t="shared" si="50"/>
        <v>0</v>
      </c>
      <c r="W495" s="3">
        <v>521</v>
      </c>
      <c r="X495" s="30">
        <v>78.55</v>
      </c>
      <c r="Y495" s="33">
        <f t="shared" si="47"/>
        <v>7.9000000000000001E-2</v>
      </c>
      <c r="AH495" s="45">
        <f t="shared" si="51"/>
        <v>0</v>
      </c>
      <c r="AJ495" s="44">
        <f t="shared" si="48"/>
        <v>0.52100000000000002</v>
      </c>
      <c r="AP495" s="46">
        <f t="shared" si="49"/>
        <v>7.9000000000000001E-2</v>
      </c>
    </row>
    <row r="496" spans="19:42" ht="18">
      <c r="S496" s="8">
        <f t="shared" si="50"/>
        <v>0</v>
      </c>
      <c r="W496" s="3">
        <v>522</v>
      </c>
      <c r="X496" s="30">
        <v>78.599999999999994</v>
      </c>
      <c r="Y496" s="33">
        <f t="shared" si="47"/>
        <v>7.9000000000000001E-2</v>
      </c>
      <c r="AH496" s="45">
        <f t="shared" si="51"/>
        <v>0</v>
      </c>
      <c r="AJ496" s="44">
        <f t="shared" si="48"/>
        <v>0.52200000000000002</v>
      </c>
      <c r="AP496" s="46">
        <f t="shared" si="49"/>
        <v>7.9000000000000001E-2</v>
      </c>
    </row>
    <row r="497" spans="19:42" ht="18">
      <c r="S497" s="8">
        <f t="shared" si="50"/>
        <v>0</v>
      </c>
      <c r="W497" s="3">
        <v>523</v>
      </c>
      <c r="X497" s="30">
        <v>78.650000000000006</v>
      </c>
      <c r="Y497" s="33">
        <f t="shared" si="47"/>
        <v>7.9000000000000001E-2</v>
      </c>
      <c r="AH497" s="45">
        <f t="shared" si="51"/>
        <v>0</v>
      </c>
      <c r="AJ497" s="44">
        <f t="shared" si="48"/>
        <v>0.52300000000000002</v>
      </c>
      <c r="AP497" s="46">
        <f t="shared" si="49"/>
        <v>7.9000000000000001E-2</v>
      </c>
    </row>
    <row r="498" spans="19:42" ht="18">
      <c r="S498" s="8">
        <f t="shared" si="50"/>
        <v>0</v>
      </c>
      <c r="W498" s="3">
        <v>524</v>
      </c>
      <c r="X498" s="30">
        <v>78.7</v>
      </c>
      <c r="Y498" s="33">
        <f t="shared" si="47"/>
        <v>7.9000000000000001E-2</v>
      </c>
      <c r="AH498" s="45">
        <f t="shared" si="51"/>
        <v>0</v>
      </c>
      <c r="AJ498" s="44">
        <f t="shared" si="48"/>
        <v>0.52400000000000002</v>
      </c>
      <c r="AP498" s="46">
        <f t="shared" si="49"/>
        <v>7.9000000000000001E-2</v>
      </c>
    </row>
    <row r="499" spans="19:42" ht="18">
      <c r="S499" s="8">
        <f t="shared" si="50"/>
        <v>0</v>
      </c>
      <c r="W499" s="3">
        <v>525</v>
      </c>
      <c r="X499" s="30">
        <v>78.75</v>
      </c>
      <c r="Y499" s="33">
        <f t="shared" si="47"/>
        <v>7.9000000000000001E-2</v>
      </c>
      <c r="AH499" s="45">
        <f t="shared" si="51"/>
        <v>0</v>
      </c>
      <c r="AJ499" s="44">
        <f t="shared" si="48"/>
        <v>0.52500000000000002</v>
      </c>
      <c r="AP499" s="46">
        <f t="shared" si="49"/>
        <v>7.9000000000000001E-2</v>
      </c>
    </row>
    <row r="500" spans="19:42" ht="18">
      <c r="S500" s="8">
        <f t="shared" si="50"/>
        <v>0</v>
      </c>
      <c r="W500" s="3">
        <v>526</v>
      </c>
      <c r="X500" s="30">
        <v>78.8</v>
      </c>
      <c r="Y500" s="33">
        <f t="shared" si="47"/>
        <v>7.9000000000000001E-2</v>
      </c>
      <c r="AH500" s="45">
        <f t="shared" si="51"/>
        <v>0</v>
      </c>
      <c r="AJ500" s="44">
        <f t="shared" si="48"/>
        <v>0.52600000000000002</v>
      </c>
      <c r="AP500" s="46">
        <f t="shared" si="49"/>
        <v>7.9000000000000001E-2</v>
      </c>
    </row>
    <row r="501" spans="19:42" ht="18">
      <c r="S501" s="8">
        <f t="shared" si="50"/>
        <v>0</v>
      </c>
      <c r="W501" s="3">
        <v>527</v>
      </c>
      <c r="X501" s="30">
        <v>78.849999999999994</v>
      </c>
      <c r="Y501" s="33">
        <f t="shared" si="47"/>
        <v>7.9000000000000001E-2</v>
      </c>
      <c r="AH501" s="45">
        <f t="shared" si="51"/>
        <v>0</v>
      </c>
      <c r="AJ501" s="44">
        <f t="shared" si="48"/>
        <v>0.52700000000000002</v>
      </c>
      <c r="AP501" s="46">
        <f t="shared" si="49"/>
        <v>7.9000000000000001E-2</v>
      </c>
    </row>
    <row r="502" spans="19:42" ht="18">
      <c r="S502" s="8">
        <f t="shared" si="50"/>
        <v>0</v>
      </c>
      <c r="W502" s="3">
        <v>528</v>
      </c>
      <c r="X502" s="30">
        <v>78.900000000000006</v>
      </c>
      <c r="Y502" s="33">
        <f t="shared" si="47"/>
        <v>7.9000000000000001E-2</v>
      </c>
      <c r="AH502" s="45">
        <f t="shared" si="51"/>
        <v>0</v>
      </c>
      <c r="AJ502" s="44">
        <f t="shared" si="48"/>
        <v>0.52800000000000002</v>
      </c>
      <c r="AP502" s="46">
        <f t="shared" si="49"/>
        <v>7.9000000000000001E-2</v>
      </c>
    </row>
    <row r="503" spans="19:42" ht="18">
      <c r="S503" s="8">
        <f t="shared" si="50"/>
        <v>0</v>
      </c>
      <c r="W503" s="3">
        <v>529</v>
      </c>
      <c r="X503" s="30">
        <v>78.95</v>
      </c>
      <c r="Y503" s="33">
        <f t="shared" si="47"/>
        <v>7.9000000000000001E-2</v>
      </c>
      <c r="AH503" s="45">
        <f t="shared" si="51"/>
        <v>0</v>
      </c>
      <c r="AJ503" s="44">
        <f t="shared" si="48"/>
        <v>0.52900000000000003</v>
      </c>
      <c r="AP503" s="46">
        <f t="shared" si="49"/>
        <v>7.9000000000000001E-2</v>
      </c>
    </row>
    <row r="504" spans="19:42" ht="18">
      <c r="S504" s="8">
        <f t="shared" si="50"/>
        <v>0</v>
      </c>
      <c r="W504" s="3">
        <v>530</v>
      </c>
      <c r="X504" s="30">
        <v>79</v>
      </c>
      <c r="Y504" s="33">
        <f t="shared" si="47"/>
        <v>7.9000000000000001E-2</v>
      </c>
      <c r="AH504" s="45">
        <f t="shared" si="51"/>
        <v>0</v>
      </c>
      <c r="AJ504" s="44">
        <f t="shared" si="48"/>
        <v>0.53</v>
      </c>
      <c r="AP504" s="46">
        <f t="shared" si="49"/>
        <v>7.9000000000000001E-2</v>
      </c>
    </row>
    <row r="505" spans="19:42" ht="18">
      <c r="S505" s="8">
        <f t="shared" si="50"/>
        <v>0</v>
      </c>
      <c r="W505" s="3">
        <v>531</v>
      </c>
      <c r="X505" s="30">
        <v>79.05</v>
      </c>
      <c r="Y505" s="33">
        <f t="shared" si="47"/>
        <v>7.9000000000000001E-2</v>
      </c>
      <c r="AH505" s="45">
        <f t="shared" si="51"/>
        <v>0</v>
      </c>
      <c r="AJ505" s="44">
        <f t="shared" si="48"/>
        <v>0.53100000000000003</v>
      </c>
      <c r="AP505" s="46">
        <f t="shared" si="49"/>
        <v>7.9000000000000001E-2</v>
      </c>
    </row>
    <row r="506" spans="19:42" ht="18">
      <c r="S506" s="8">
        <f t="shared" si="50"/>
        <v>0</v>
      </c>
      <c r="W506" s="3">
        <v>532</v>
      </c>
      <c r="X506" s="30">
        <v>79.099999999999994</v>
      </c>
      <c r="Y506" s="33">
        <f t="shared" si="47"/>
        <v>7.9000000000000001E-2</v>
      </c>
      <c r="AH506" s="45">
        <f t="shared" si="51"/>
        <v>0</v>
      </c>
      <c r="AJ506" s="44">
        <f t="shared" si="48"/>
        <v>0.53200000000000003</v>
      </c>
      <c r="AP506" s="46">
        <f t="shared" si="49"/>
        <v>7.9000000000000001E-2</v>
      </c>
    </row>
    <row r="507" spans="19:42" ht="18">
      <c r="S507" s="8">
        <f t="shared" si="50"/>
        <v>0</v>
      </c>
      <c r="W507" s="3">
        <v>533</v>
      </c>
      <c r="X507" s="30">
        <v>79.150000000000006</v>
      </c>
      <c r="Y507" s="33">
        <f t="shared" si="47"/>
        <v>7.9000000000000001E-2</v>
      </c>
      <c r="AH507" s="45">
        <f t="shared" si="51"/>
        <v>0</v>
      </c>
      <c r="AJ507" s="44">
        <f t="shared" si="48"/>
        <v>0.53300000000000003</v>
      </c>
      <c r="AP507" s="46">
        <f t="shared" si="49"/>
        <v>7.9000000000000001E-2</v>
      </c>
    </row>
    <row r="508" spans="19:42" ht="18">
      <c r="S508" s="8">
        <f t="shared" si="50"/>
        <v>0</v>
      </c>
      <c r="W508" s="3">
        <v>534</v>
      </c>
      <c r="X508" s="30">
        <v>79.2</v>
      </c>
      <c r="Y508" s="33">
        <f t="shared" si="47"/>
        <v>7.9000000000000001E-2</v>
      </c>
      <c r="AH508" s="45">
        <f t="shared" si="51"/>
        <v>0</v>
      </c>
      <c r="AJ508" s="44">
        <f t="shared" si="48"/>
        <v>0.53400000000000003</v>
      </c>
      <c r="AP508" s="46">
        <f t="shared" si="49"/>
        <v>7.9000000000000001E-2</v>
      </c>
    </row>
    <row r="509" spans="19:42" ht="18">
      <c r="S509" s="8">
        <f t="shared" si="50"/>
        <v>0</v>
      </c>
      <c r="W509" s="3">
        <v>535</v>
      </c>
      <c r="X509" s="30">
        <v>79.25</v>
      </c>
      <c r="Y509" s="33">
        <f t="shared" si="47"/>
        <v>7.9000000000000001E-2</v>
      </c>
      <c r="AH509" s="45">
        <f t="shared" si="51"/>
        <v>0</v>
      </c>
      <c r="AJ509" s="44">
        <f t="shared" si="48"/>
        <v>0.53500000000000003</v>
      </c>
      <c r="AP509" s="46">
        <f t="shared" si="49"/>
        <v>7.9000000000000001E-2</v>
      </c>
    </row>
    <row r="510" spans="19:42" ht="18">
      <c r="S510" s="8">
        <f t="shared" si="50"/>
        <v>0</v>
      </c>
      <c r="W510" s="3">
        <v>536</v>
      </c>
      <c r="X510" s="30">
        <v>79.3</v>
      </c>
      <c r="Y510" s="33">
        <f t="shared" si="47"/>
        <v>7.9000000000000001E-2</v>
      </c>
      <c r="AH510" s="45">
        <f t="shared" si="51"/>
        <v>0</v>
      </c>
      <c r="AJ510" s="44">
        <f t="shared" si="48"/>
        <v>0.53600000000000003</v>
      </c>
      <c r="AP510" s="46">
        <f t="shared" si="49"/>
        <v>7.9000000000000001E-2</v>
      </c>
    </row>
    <row r="511" spans="19:42" ht="18">
      <c r="S511" s="8">
        <f t="shared" si="50"/>
        <v>0</v>
      </c>
      <c r="W511" s="3">
        <v>537</v>
      </c>
      <c r="X511" s="30">
        <v>79.349999999999994</v>
      </c>
      <c r="Y511" s="33">
        <f t="shared" si="47"/>
        <v>7.9000000000000001E-2</v>
      </c>
      <c r="AH511" s="45">
        <f t="shared" si="51"/>
        <v>0</v>
      </c>
      <c r="AJ511" s="44">
        <f t="shared" si="48"/>
        <v>0.53700000000000003</v>
      </c>
      <c r="AP511" s="46">
        <f t="shared" si="49"/>
        <v>7.9000000000000001E-2</v>
      </c>
    </row>
    <row r="512" spans="19:42" ht="18">
      <c r="S512" s="8">
        <f t="shared" si="50"/>
        <v>0</v>
      </c>
      <c r="W512" s="3">
        <v>538</v>
      </c>
      <c r="X512" s="30">
        <v>79.400000000000006</v>
      </c>
      <c r="Y512" s="33">
        <f t="shared" si="47"/>
        <v>7.9000000000000001E-2</v>
      </c>
      <c r="AH512" s="45">
        <f t="shared" si="51"/>
        <v>0</v>
      </c>
      <c r="AJ512" s="44">
        <f t="shared" si="48"/>
        <v>0.53800000000000003</v>
      </c>
      <c r="AP512" s="46">
        <f t="shared" si="49"/>
        <v>7.9000000000000001E-2</v>
      </c>
    </row>
    <row r="513" spans="19:42" ht="18">
      <c r="S513" s="8">
        <f t="shared" si="50"/>
        <v>0</v>
      </c>
      <c r="W513" s="3">
        <v>539</v>
      </c>
      <c r="X513" s="30">
        <v>79.45</v>
      </c>
      <c r="Y513" s="33">
        <f t="shared" si="47"/>
        <v>7.9000000000000001E-2</v>
      </c>
      <c r="AH513" s="45">
        <f t="shared" si="51"/>
        <v>0</v>
      </c>
      <c r="AJ513" s="44">
        <f t="shared" si="48"/>
        <v>0.53900000000000003</v>
      </c>
      <c r="AP513" s="46">
        <f t="shared" si="49"/>
        <v>7.9000000000000001E-2</v>
      </c>
    </row>
    <row r="514" spans="19:42" ht="18">
      <c r="S514" s="8">
        <f t="shared" si="50"/>
        <v>0</v>
      </c>
      <c r="W514" s="3">
        <v>540</v>
      </c>
      <c r="X514" s="30">
        <v>79.5</v>
      </c>
      <c r="Y514" s="33">
        <f t="shared" si="47"/>
        <v>0.08</v>
      </c>
      <c r="AH514" s="45">
        <f t="shared" si="51"/>
        <v>0</v>
      </c>
      <c r="AJ514" s="44">
        <f t="shared" si="48"/>
        <v>0.54</v>
      </c>
      <c r="AP514" s="46">
        <f t="shared" si="49"/>
        <v>0.08</v>
      </c>
    </row>
    <row r="515" spans="19:42" ht="18">
      <c r="S515" s="8">
        <f t="shared" si="50"/>
        <v>0</v>
      </c>
      <c r="W515" s="3">
        <v>541</v>
      </c>
      <c r="X515" s="30">
        <v>79.55</v>
      </c>
      <c r="Y515" s="33">
        <f t="shared" si="47"/>
        <v>0.08</v>
      </c>
      <c r="AH515" s="45">
        <f t="shared" si="51"/>
        <v>0</v>
      </c>
      <c r="AJ515" s="44">
        <f t="shared" si="48"/>
        <v>0.54100000000000004</v>
      </c>
      <c r="AP515" s="46">
        <f t="shared" si="49"/>
        <v>0.08</v>
      </c>
    </row>
    <row r="516" spans="19:42" ht="18">
      <c r="S516" s="8">
        <f t="shared" si="50"/>
        <v>0</v>
      </c>
      <c r="W516" s="3">
        <v>542</v>
      </c>
      <c r="X516" s="30">
        <v>79.599999999999994</v>
      </c>
      <c r="Y516" s="33">
        <f t="shared" si="47"/>
        <v>0.08</v>
      </c>
      <c r="AH516" s="45">
        <f t="shared" si="51"/>
        <v>0</v>
      </c>
      <c r="AJ516" s="44">
        <f t="shared" si="48"/>
        <v>0.54200000000000004</v>
      </c>
      <c r="AP516" s="46">
        <f t="shared" si="49"/>
        <v>0.08</v>
      </c>
    </row>
    <row r="517" spans="19:42" ht="18">
      <c r="S517" s="8">
        <f t="shared" si="50"/>
        <v>0</v>
      </c>
      <c r="W517" s="3">
        <v>543</v>
      </c>
      <c r="X517" s="30">
        <v>79.650000000000006</v>
      </c>
      <c r="Y517" s="33">
        <f t="shared" ref="Y517:Y580" si="52">ROUND(X517/1000,3)</f>
        <v>0.08</v>
      </c>
      <c r="AH517" s="45">
        <f t="shared" si="51"/>
        <v>0</v>
      </c>
      <c r="AJ517" s="44">
        <f t="shared" ref="AJ517:AJ580" si="53">ROUND(W517/1000,3)</f>
        <v>0.54300000000000004</v>
      </c>
      <c r="AP517" s="46">
        <f t="shared" ref="AP517:AP580" si="54">ROUND(X517/1000,3)</f>
        <v>0.08</v>
      </c>
    </row>
    <row r="518" spans="19:42" ht="18">
      <c r="S518" s="8">
        <f t="shared" ref="S518:S581" si="55">CEILING(R518/50,0.5)</f>
        <v>0</v>
      </c>
      <c r="W518" s="3">
        <v>544</v>
      </c>
      <c r="X518" s="30">
        <v>79.7</v>
      </c>
      <c r="Y518" s="33">
        <f t="shared" si="52"/>
        <v>0.08</v>
      </c>
      <c r="AH518" s="45">
        <f t="shared" ref="AH518:AH581" si="56">AE518-AE517</f>
        <v>0</v>
      </c>
      <c r="AJ518" s="44">
        <f t="shared" si="53"/>
        <v>0.54400000000000004</v>
      </c>
      <c r="AP518" s="46">
        <f t="shared" si="54"/>
        <v>0.08</v>
      </c>
    </row>
    <row r="519" spans="19:42" ht="18">
      <c r="S519" s="8">
        <f t="shared" si="55"/>
        <v>0</v>
      </c>
      <c r="W519" s="3">
        <v>545</v>
      </c>
      <c r="X519" s="30">
        <v>79.75</v>
      </c>
      <c r="Y519" s="33">
        <f t="shared" si="52"/>
        <v>0.08</v>
      </c>
      <c r="AH519" s="45">
        <f t="shared" si="56"/>
        <v>0</v>
      </c>
      <c r="AJ519" s="44">
        <f t="shared" si="53"/>
        <v>0.54500000000000004</v>
      </c>
      <c r="AP519" s="46">
        <f t="shared" si="54"/>
        <v>0.08</v>
      </c>
    </row>
    <row r="520" spans="19:42" ht="18">
      <c r="S520" s="8">
        <f t="shared" si="55"/>
        <v>0</v>
      </c>
      <c r="W520" s="3">
        <v>546</v>
      </c>
      <c r="X520" s="30">
        <v>79.8</v>
      </c>
      <c r="Y520" s="33">
        <f t="shared" si="52"/>
        <v>0.08</v>
      </c>
      <c r="AH520" s="45">
        <f t="shared" si="56"/>
        <v>0</v>
      </c>
      <c r="AJ520" s="44">
        <f t="shared" si="53"/>
        <v>0.54600000000000004</v>
      </c>
      <c r="AP520" s="46">
        <f t="shared" si="54"/>
        <v>0.08</v>
      </c>
    </row>
    <row r="521" spans="19:42" ht="18">
      <c r="S521" s="8">
        <f t="shared" si="55"/>
        <v>0</v>
      </c>
      <c r="W521" s="3">
        <v>547</v>
      </c>
      <c r="X521" s="30">
        <v>79.849999999999994</v>
      </c>
      <c r="Y521" s="33">
        <f t="shared" si="52"/>
        <v>0.08</v>
      </c>
      <c r="AH521" s="45">
        <f t="shared" si="56"/>
        <v>0</v>
      </c>
      <c r="AJ521" s="44">
        <f t="shared" si="53"/>
        <v>0.54700000000000004</v>
      </c>
      <c r="AP521" s="46">
        <f t="shared" si="54"/>
        <v>0.08</v>
      </c>
    </row>
    <row r="522" spans="19:42" ht="18">
      <c r="S522" s="8">
        <f t="shared" si="55"/>
        <v>0</v>
      </c>
      <c r="W522" s="3">
        <v>548</v>
      </c>
      <c r="X522" s="30">
        <v>79.900000000000006</v>
      </c>
      <c r="Y522" s="33">
        <f t="shared" si="52"/>
        <v>0.08</v>
      </c>
      <c r="AH522" s="45">
        <f t="shared" si="56"/>
        <v>0</v>
      </c>
      <c r="AJ522" s="44">
        <f t="shared" si="53"/>
        <v>0.54800000000000004</v>
      </c>
      <c r="AP522" s="46">
        <f t="shared" si="54"/>
        <v>0.08</v>
      </c>
    </row>
    <row r="523" spans="19:42" ht="18">
      <c r="S523" s="8">
        <f t="shared" si="55"/>
        <v>0</v>
      </c>
      <c r="W523" s="3">
        <v>549</v>
      </c>
      <c r="X523" s="30">
        <v>79.95</v>
      </c>
      <c r="Y523" s="33">
        <f t="shared" si="52"/>
        <v>0.08</v>
      </c>
      <c r="AH523" s="45">
        <f t="shared" si="56"/>
        <v>0</v>
      </c>
      <c r="AJ523" s="44">
        <f t="shared" si="53"/>
        <v>0.54900000000000004</v>
      </c>
      <c r="AP523" s="46">
        <f t="shared" si="54"/>
        <v>0.08</v>
      </c>
    </row>
    <row r="524" spans="19:42" ht="18">
      <c r="S524" s="8">
        <f t="shared" si="55"/>
        <v>0</v>
      </c>
      <c r="W524" s="3">
        <v>550</v>
      </c>
      <c r="X524" s="30">
        <v>80</v>
      </c>
      <c r="Y524" s="33">
        <f t="shared" si="52"/>
        <v>0.08</v>
      </c>
      <c r="AH524" s="45">
        <f t="shared" si="56"/>
        <v>0</v>
      </c>
      <c r="AJ524" s="44">
        <f t="shared" si="53"/>
        <v>0.55000000000000004</v>
      </c>
      <c r="AP524" s="46">
        <f t="shared" si="54"/>
        <v>0.08</v>
      </c>
    </row>
    <row r="525" spans="19:42" ht="18">
      <c r="S525" s="8">
        <f t="shared" si="55"/>
        <v>0</v>
      </c>
      <c r="W525" s="3">
        <v>551</v>
      </c>
      <c r="X525" s="30">
        <v>80.05</v>
      </c>
      <c r="Y525" s="33">
        <f t="shared" si="52"/>
        <v>0.08</v>
      </c>
      <c r="AH525" s="45">
        <f t="shared" si="56"/>
        <v>0</v>
      </c>
      <c r="AJ525" s="44">
        <f t="shared" si="53"/>
        <v>0.55100000000000005</v>
      </c>
      <c r="AP525" s="46">
        <f t="shared" si="54"/>
        <v>0.08</v>
      </c>
    </row>
    <row r="526" spans="19:42" ht="18">
      <c r="S526" s="8">
        <f t="shared" si="55"/>
        <v>0</v>
      </c>
      <c r="W526" s="3">
        <v>552</v>
      </c>
      <c r="X526" s="30">
        <v>80.099999999999994</v>
      </c>
      <c r="Y526" s="33">
        <f t="shared" si="52"/>
        <v>0.08</v>
      </c>
      <c r="AH526" s="45">
        <f t="shared" si="56"/>
        <v>0</v>
      </c>
      <c r="AJ526" s="44">
        <f t="shared" si="53"/>
        <v>0.55200000000000005</v>
      </c>
      <c r="AP526" s="46">
        <f t="shared" si="54"/>
        <v>0.08</v>
      </c>
    </row>
    <row r="527" spans="19:42" ht="18">
      <c r="S527" s="8">
        <f t="shared" si="55"/>
        <v>0</v>
      </c>
      <c r="W527" s="3">
        <v>553</v>
      </c>
      <c r="X527" s="30">
        <v>80.150000000000006</v>
      </c>
      <c r="Y527" s="33">
        <f t="shared" si="52"/>
        <v>0.08</v>
      </c>
      <c r="AH527" s="45">
        <f t="shared" si="56"/>
        <v>0</v>
      </c>
      <c r="AJ527" s="44">
        <f t="shared" si="53"/>
        <v>0.55300000000000005</v>
      </c>
      <c r="AP527" s="46">
        <f t="shared" si="54"/>
        <v>0.08</v>
      </c>
    </row>
    <row r="528" spans="19:42" ht="18">
      <c r="S528" s="8">
        <f t="shared" si="55"/>
        <v>0</v>
      </c>
      <c r="W528" s="3">
        <v>554</v>
      </c>
      <c r="X528" s="30">
        <v>80.2</v>
      </c>
      <c r="Y528" s="33">
        <f t="shared" si="52"/>
        <v>0.08</v>
      </c>
      <c r="AH528" s="45">
        <f t="shared" si="56"/>
        <v>0</v>
      </c>
      <c r="AJ528" s="44">
        <f t="shared" si="53"/>
        <v>0.55400000000000005</v>
      </c>
      <c r="AP528" s="46">
        <f t="shared" si="54"/>
        <v>0.08</v>
      </c>
    </row>
    <row r="529" spans="19:42" ht="18">
      <c r="S529" s="8">
        <f t="shared" si="55"/>
        <v>0</v>
      </c>
      <c r="W529" s="3">
        <v>555</v>
      </c>
      <c r="X529" s="30">
        <v>80.25</v>
      </c>
      <c r="Y529" s="33">
        <f t="shared" si="52"/>
        <v>0.08</v>
      </c>
      <c r="AH529" s="45">
        <f t="shared" si="56"/>
        <v>0</v>
      </c>
      <c r="AJ529" s="44">
        <f t="shared" si="53"/>
        <v>0.55500000000000005</v>
      </c>
      <c r="AP529" s="46">
        <f t="shared" si="54"/>
        <v>0.08</v>
      </c>
    </row>
    <row r="530" spans="19:42" ht="18">
      <c r="S530" s="8">
        <f t="shared" si="55"/>
        <v>0</v>
      </c>
      <c r="W530" s="3">
        <v>556</v>
      </c>
      <c r="X530" s="30">
        <v>80.3</v>
      </c>
      <c r="Y530" s="33">
        <f t="shared" si="52"/>
        <v>0.08</v>
      </c>
      <c r="AH530" s="45">
        <f t="shared" si="56"/>
        <v>0</v>
      </c>
      <c r="AJ530" s="44">
        <f t="shared" si="53"/>
        <v>0.55600000000000005</v>
      </c>
      <c r="AP530" s="46">
        <f t="shared" si="54"/>
        <v>0.08</v>
      </c>
    </row>
    <row r="531" spans="19:42" ht="18">
      <c r="S531" s="8">
        <f t="shared" si="55"/>
        <v>0</v>
      </c>
      <c r="W531" s="3">
        <v>557</v>
      </c>
      <c r="X531" s="30">
        <v>80.349999999999994</v>
      </c>
      <c r="Y531" s="33">
        <f t="shared" si="52"/>
        <v>0.08</v>
      </c>
      <c r="AH531" s="45">
        <f t="shared" si="56"/>
        <v>0</v>
      </c>
      <c r="AJ531" s="44">
        <f t="shared" si="53"/>
        <v>0.55700000000000005</v>
      </c>
      <c r="AP531" s="46">
        <f t="shared" si="54"/>
        <v>0.08</v>
      </c>
    </row>
    <row r="532" spans="19:42" ht="18">
      <c r="S532" s="8">
        <f t="shared" si="55"/>
        <v>0</v>
      </c>
      <c r="W532" s="3">
        <v>558</v>
      </c>
      <c r="X532" s="30">
        <v>80.400000000000006</v>
      </c>
      <c r="Y532" s="33">
        <f t="shared" si="52"/>
        <v>0.08</v>
      </c>
      <c r="AH532" s="45">
        <f t="shared" si="56"/>
        <v>0</v>
      </c>
      <c r="AJ532" s="44">
        <f t="shared" si="53"/>
        <v>0.55800000000000005</v>
      </c>
      <c r="AP532" s="46">
        <f t="shared" si="54"/>
        <v>0.08</v>
      </c>
    </row>
    <row r="533" spans="19:42" ht="18">
      <c r="S533" s="8">
        <f t="shared" si="55"/>
        <v>0</v>
      </c>
      <c r="W533" s="3">
        <v>559</v>
      </c>
      <c r="X533" s="30">
        <v>80.45</v>
      </c>
      <c r="Y533" s="33">
        <f t="shared" si="52"/>
        <v>0.08</v>
      </c>
      <c r="AH533" s="45">
        <f t="shared" si="56"/>
        <v>0</v>
      </c>
      <c r="AJ533" s="44">
        <f t="shared" si="53"/>
        <v>0.55900000000000005</v>
      </c>
      <c r="AP533" s="46">
        <f t="shared" si="54"/>
        <v>0.08</v>
      </c>
    </row>
    <row r="534" spans="19:42" ht="18">
      <c r="S534" s="8">
        <f t="shared" si="55"/>
        <v>0</v>
      </c>
      <c r="W534" s="3">
        <v>560</v>
      </c>
      <c r="X534" s="30">
        <v>80.5</v>
      </c>
      <c r="Y534" s="33">
        <f t="shared" si="52"/>
        <v>8.1000000000000003E-2</v>
      </c>
      <c r="AH534" s="45">
        <f t="shared" si="56"/>
        <v>0</v>
      </c>
      <c r="AJ534" s="44">
        <f t="shared" si="53"/>
        <v>0.56000000000000005</v>
      </c>
      <c r="AP534" s="46">
        <f t="shared" si="54"/>
        <v>8.1000000000000003E-2</v>
      </c>
    </row>
    <row r="535" spans="19:42" ht="18">
      <c r="S535" s="8">
        <f t="shared" si="55"/>
        <v>0</v>
      </c>
      <c r="W535" s="3">
        <v>561</v>
      </c>
      <c r="X535" s="30">
        <v>80.55</v>
      </c>
      <c r="Y535" s="33">
        <f t="shared" si="52"/>
        <v>8.1000000000000003E-2</v>
      </c>
      <c r="AH535" s="45">
        <f t="shared" si="56"/>
        <v>0</v>
      </c>
      <c r="AJ535" s="44">
        <f t="shared" si="53"/>
        <v>0.56100000000000005</v>
      </c>
      <c r="AP535" s="46">
        <f t="shared" si="54"/>
        <v>8.1000000000000003E-2</v>
      </c>
    </row>
    <row r="536" spans="19:42" ht="18">
      <c r="S536" s="8">
        <f t="shared" si="55"/>
        <v>0</v>
      </c>
      <c r="W536" s="3">
        <v>562</v>
      </c>
      <c r="X536" s="30">
        <v>80.599999999999994</v>
      </c>
      <c r="Y536" s="33">
        <f t="shared" si="52"/>
        <v>8.1000000000000003E-2</v>
      </c>
      <c r="AH536" s="45">
        <f t="shared" si="56"/>
        <v>0</v>
      </c>
      <c r="AJ536" s="44">
        <f t="shared" si="53"/>
        <v>0.56200000000000006</v>
      </c>
      <c r="AP536" s="46">
        <f t="shared" si="54"/>
        <v>8.1000000000000003E-2</v>
      </c>
    </row>
    <row r="537" spans="19:42" ht="18">
      <c r="S537" s="8">
        <f t="shared" si="55"/>
        <v>0</v>
      </c>
      <c r="W537" s="3">
        <v>563</v>
      </c>
      <c r="X537" s="30">
        <v>80.650000000000006</v>
      </c>
      <c r="Y537" s="33">
        <f t="shared" si="52"/>
        <v>8.1000000000000003E-2</v>
      </c>
      <c r="AH537" s="45">
        <f t="shared" si="56"/>
        <v>0</v>
      </c>
      <c r="AJ537" s="44">
        <f t="shared" si="53"/>
        <v>0.56299999999999994</v>
      </c>
      <c r="AP537" s="46">
        <f t="shared" si="54"/>
        <v>8.1000000000000003E-2</v>
      </c>
    </row>
    <row r="538" spans="19:42" ht="18">
      <c r="S538" s="8">
        <f t="shared" si="55"/>
        <v>0</v>
      </c>
      <c r="W538" s="3">
        <v>564</v>
      </c>
      <c r="X538" s="30">
        <v>80.7</v>
      </c>
      <c r="Y538" s="33">
        <f t="shared" si="52"/>
        <v>8.1000000000000003E-2</v>
      </c>
      <c r="AH538" s="45">
        <f t="shared" si="56"/>
        <v>0</v>
      </c>
      <c r="AJ538" s="44">
        <f t="shared" si="53"/>
        <v>0.56399999999999995</v>
      </c>
      <c r="AP538" s="46">
        <f t="shared" si="54"/>
        <v>8.1000000000000003E-2</v>
      </c>
    </row>
    <row r="539" spans="19:42" ht="18">
      <c r="S539" s="8">
        <f t="shared" si="55"/>
        <v>0</v>
      </c>
      <c r="W539" s="3">
        <v>565</v>
      </c>
      <c r="X539" s="30">
        <v>80.75</v>
      </c>
      <c r="Y539" s="33">
        <f t="shared" si="52"/>
        <v>8.1000000000000003E-2</v>
      </c>
      <c r="AH539" s="45">
        <f t="shared" si="56"/>
        <v>0</v>
      </c>
      <c r="AJ539" s="44">
        <f t="shared" si="53"/>
        <v>0.56499999999999995</v>
      </c>
      <c r="AP539" s="46">
        <f t="shared" si="54"/>
        <v>8.1000000000000003E-2</v>
      </c>
    </row>
    <row r="540" spans="19:42" ht="18">
      <c r="S540" s="8">
        <f t="shared" si="55"/>
        <v>0</v>
      </c>
      <c r="W540" s="3">
        <v>566</v>
      </c>
      <c r="X540" s="30">
        <v>80.8</v>
      </c>
      <c r="Y540" s="33">
        <f t="shared" si="52"/>
        <v>8.1000000000000003E-2</v>
      </c>
      <c r="AH540" s="45">
        <f t="shared" si="56"/>
        <v>0</v>
      </c>
      <c r="AJ540" s="44">
        <f t="shared" si="53"/>
        <v>0.56599999999999995</v>
      </c>
      <c r="AP540" s="46">
        <f t="shared" si="54"/>
        <v>8.1000000000000003E-2</v>
      </c>
    </row>
    <row r="541" spans="19:42" ht="18">
      <c r="S541" s="8">
        <f t="shared" si="55"/>
        <v>0</v>
      </c>
      <c r="W541" s="3">
        <v>567</v>
      </c>
      <c r="X541" s="30">
        <v>80.849999999999994</v>
      </c>
      <c r="Y541" s="33">
        <f t="shared" si="52"/>
        <v>8.1000000000000003E-2</v>
      </c>
      <c r="AH541" s="45">
        <f t="shared" si="56"/>
        <v>0</v>
      </c>
      <c r="AJ541" s="44">
        <f t="shared" si="53"/>
        <v>0.56699999999999995</v>
      </c>
      <c r="AP541" s="46">
        <f t="shared" si="54"/>
        <v>8.1000000000000003E-2</v>
      </c>
    </row>
    <row r="542" spans="19:42" ht="18">
      <c r="S542" s="8">
        <f t="shared" si="55"/>
        <v>0</v>
      </c>
      <c r="W542" s="3">
        <v>568</v>
      </c>
      <c r="X542" s="30">
        <v>80.900000000000006</v>
      </c>
      <c r="Y542" s="33">
        <f t="shared" si="52"/>
        <v>8.1000000000000003E-2</v>
      </c>
      <c r="AH542" s="45">
        <f t="shared" si="56"/>
        <v>0</v>
      </c>
      <c r="AJ542" s="44">
        <f t="shared" si="53"/>
        <v>0.56799999999999995</v>
      </c>
      <c r="AP542" s="46">
        <f t="shared" si="54"/>
        <v>8.1000000000000003E-2</v>
      </c>
    </row>
    <row r="543" spans="19:42" ht="18">
      <c r="S543" s="8">
        <f t="shared" si="55"/>
        <v>0</v>
      </c>
      <c r="W543" s="3">
        <v>569</v>
      </c>
      <c r="X543" s="30">
        <v>80.95</v>
      </c>
      <c r="Y543" s="33">
        <f t="shared" si="52"/>
        <v>8.1000000000000003E-2</v>
      </c>
      <c r="AH543" s="45">
        <f t="shared" si="56"/>
        <v>0</v>
      </c>
      <c r="AJ543" s="44">
        <f t="shared" si="53"/>
        <v>0.56899999999999995</v>
      </c>
      <c r="AP543" s="46">
        <f t="shared" si="54"/>
        <v>8.1000000000000003E-2</v>
      </c>
    </row>
    <row r="544" spans="19:42" ht="18">
      <c r="S544" s="8">
        <f t="shared" si="55"/>
        <v>0</v>
      </c>
      <c r="W544" s="3">
        <v>570</v>
      </c>
      <c r="X544" s="30">
        <v>81</v>
      </c>
      <c r="Y544" s="33">
        <f t="shared" si="52"/>
        <v>8.1000000000000003E-2</v>
      </c>
      <c r="AH544" s="45">
        <f t="shared" si="56"/>
        <v>0</v>
      </c>
      <c r="AJ544" s="44">
        <f t="shared" si="53"/>
        <v>0.56999999999999995</v>
      </c>
      <c r="AP544" s="46">
        <f t="shared" si="54"/>
        <v>8.1000000000000003E-2</v>
      </c>
    </row>
    <row r="545" spans="19:42" ht="18">
      <c r="S545" s="8">
        <f t="shared" si="55"/>
        <v>0</v>
      </c>
      <c r="W545" s="3">
        <v>571</v>
      </c>
      <c r="X545" s="30">
        <v>81.05</v>
      </c>
      <c r="Y545" s="33">
        <f t="shared" si="52"/>
        <v>8.1000000000000003E-2</v>
      </c>
      <c r="AH545" s="45">
        <f t="shared" si="56"/>
        <v>0</v>
      </c>
      <c r="AJ545" s="44">
        <f t="shared" si="53"/>
        <v>0.57099999999999995</v>
      </c>
      <c r="AP545" s="46">
        <f t="shared" si="54"/>
        <v>8.1000000000000003E-2</v>
      </c>
    </row>
    <row r="546" spans="19:42" ht="18">
      <c r="S546" s="8">
        <f t="shared" si="55"/>
        <v>0</v>
      </c>
      <c r="W546" s="3">
        <v>572</v>
      </c>
      <c r="X546" s="30">
        <v>81.099999999999994</v>
      </c>
      <c r="Y546" s="33">
        <f t="shared" si="52"/>
        <v>8.1000000000000003E-2</v>
      </c>
      <c r="AH546" s="45">
        <f t="shared" si="56"/>
        <v>0</v>
      </c>
      <c r="AJ546" s="44">
        <f t="shared" si="53"/>
        <v>0.57199999999999995</v>
      </c>
      <c r="AP546" s="46">
        <f t="shared" si="54"/>
        <v>8.1000000000000003E-2</v>
      </c>
    </row>
    <row r="547" spans="19:42" ht="18">
      <c r="S547" s="8">
        <f t="shared" si="55"/>
        <v>0</v>
      </c>
      <c r="W547" s="3">
        <v>573</v>
      </c>
      <c r="X547" s="30">
        <v>81.150000000000006</v>
      </c>
      <c r="Y547" s="33">
        <f t="shared" si="52"/>
        <v>8.1000000000000003E-2</v>
      </c>
      <c r="AH547" s="45">
        <f t="shared" si="56"/>
        <v>0</v>
      </c>
      <c r="AJ547" s="44">
        <f t="shared" si="53"/>
        <v>0.57299999999999995</v>
      </c>
      <c r="AP547" s="46">
        <f t="shared" si="54"/>
        <v>8.1000000000000003E-2</v>
      </c>
    </row>
    <row r="548" spans="19:42" ht="18">
      <c r="S548" s="8">
        <f t="shared" si="55"/>
        <v>0</v>
      </c>
      <c r="W548" s="3">
        <v>574</v>
      </c>
      <c r="X548" s="30">
        <v>81.2</v>
      </c>
      <c r="Y548" s="33">
        <f t="shared" si="52"/>
        <v>8.1000000000000003E-2</v>
      </c>
      <c r="AH548" s="45">
        <f t="shared" si="56"/>
        <v>0</v>
      </c>
      <c r="AJ548" s="44">
        <f t="shared" si="53"/>
        <v>0.57399999999999995</v>
      </c>
      <c r="AP548" s="46">
        <f t="shared" si="54"/>
        <v>8.1000000000000003E-2</v>
      </c>
    </row>
    <row r="549" spans="19:42" ht="18">
      <c r="S549" s="8">
        <f t="shared" si="55"/>
        <v>0</v>
      </c>
      <c r="W549" s="3">
        <v>575</v>
      </c>
      <c r="X549" s="30">
        <v>81.25</v>
      </c>
      <c r="Y549" s="33">
        <f t="shared" si="52"/>
        <v>8.1000000000000003E-2</v>
      </c>
      <c r="AH549" s="45">
        <f t="shared" si="56"/>
        <v>0</v>
      </c>
      <c r="AJ549" s="44">
        <f t="shared" si="53"/>
        <v>0.57499999999999996</v>
      </c>
      <c r="AP549" s="46">
        <f t="shared" si="54"/>
        <v>8.1000000000000003E-2</v>
      </c>
    </row>
    <row r="550" spans="19:42" ht="18">
      <c r="S550" s="8">
        <f t="shared" si="55"/>
        <v>0</v>
      </c>
      <c r="W550" s="3">
        <v>576</v>
      </c>
      <c r="X550" s="30">
        <v>81.3</v>
      </c>
      <c r="Y550" s="33">
        <f t="shared" si="52"/>
        <v>8.1000000000000003E-2</v>
      </c>
      <c r="AH550" s="45">
        <f t="shared" si="56"/>
        <v>0</v>
      </c>
      <c r="AJ550" s="44">
        <f t="shared" si="53"/>
        <v>0.57599999999999996</v>
      </c>
      <c r="AP550" s="46">
        <f t="shared" si="54"/>
        <v>8.1000000000000003E-2</v>
      </c>
    </row>
    <row r="551" spans="19:42" ht="18">
      <c r="S551" s="8">
        <f t="shared" si="55"/>
        <v>0</v>
      </c>
      <c r="W551" s="3">
        <v>577</v>
      </c>
      <c r="X551" s="30">
        <v>81.349999999999994</v>
      </c>
      <c r="Y551" s="33">
        <f t="shared" si="52"/>
        <v>8.1000000000000003E-2</v>
      </c>
      <c r="AH551" s="45">
        <f t="shared" si="56"/>
        <v>0</v>
      </c>
      <c r="AJ551" s="44">
        <f t="shared" si="53"/>
        <v>0.57699999999999996</v>
      </c>
      <c r="AP551" s="46">
        <f t="shared" si="54"/>
        <v>8.1000000000000003E-2</v>
      </c>
    </row>
    <row r="552" spans="19:42" ht="18">
      <c r="S552" s="8">
        <f t="shared" si="55"/>
        <v>0</v>
      </c>
      <c r="W552" s="3">
        <v>578</v>
      </c>
      <c r="X552" s="30">
        <v>81.400000000000006</v>
      </c>
      <c r="Y552" s="33">
        <f t="shared" si="52"/>
        <v>8.1000000000000003E-2</v>
      </c>
      <c r="AH552" s="45">
        <f t="shared" si="56"/>
        <v>0</v>
      </c>
      <c r="AJ552" s="44">
        <f t="shared" si="53"/>
        <v>0.57799999999999996</v>
      </c>
      <c r="AP552" s="46">
        <f t="shared" si="54"/>
        <v>8.1000000000000003E-2</v>
      </c>
    </row>
    <row r="553" spans="19:42" ht="18">
      <c r="S553" s="8">
        <f t="shared" si="55"/>
        <v>0</v>
      </c>
      <c r="W553" s="3">
        <v>579</v>
      </c>
      <c r="X553" s="30">
        <v>81.45</v>
      </c>
      <c r="Y553" s="33">
        <f t="shared" si="52"/>
        <v>8.1000000000000003E-2</v>
      </c>
      <c r="AH553" s="45">
        <f t="shared" si="56"/>
        <v>0</v>
      </c>
      <c r="AJ553" s="44">
        <f t="shared" si="53"/>
        <v>0.57899999999999996</v>
      </c>
      <c r="AP553" s="46">
        <f t="shared" si="54"/>
        <v>8.1000000000000003E-2</v>
      </c>
    </row>
    <row r="554" spans="19:42" ht="18">
      <c r="S554" s="8">
        <f t="shared" si="55"/>
        <v>0</v>
      </c>
      <c r="W554" s="3">
        <v>580</v>
      </c>
      <c r="X554" s="30">
        <v>81.5</v>
      </c>
      <c r="Y554" s="33">
        <f t="shared" si="52"/>
        <v>8.2000000000000003E-2</v>
      </c>
      <c r="AH554" s="45">
        <f t="shared" si="56"/>
        <v>0</v>
      </c>
      <c r="AJ554" s="44">
        <f t="shared" si="53"/>
        <v>0.57999999999999996</v>
      </c>
      <c r="AP554" s="46">
        <f t="shared" si="54"/>
        <v>8.2000000000000003E-2</v>
      </c>
    </row>
    <row r="555" spans="19:42" ht="18">
      <c r="S555" s="8">
        <f t="shared" si="55"/>
        <v>0</v>
      </c>
      <c r="W555" s="3">
        <v>581</v>
      </c>
      <c r="X555" s="30">
        <v>81.55</v>
      </c>
      <c r="Y555" s="33">
        <f t="shared" si="52"/>
        <v>8.2000000000000003E-2</v>
      </c>
      <c r="AH555" s="45">
        <f t="shared" si="56"/>
        <v>0</v>
      </c>
      <c r="AJ555" s="44">
        <f t="shared" si="53"/>
        <v>0.58099999999999996</v>
      </c>
      <c r="AP555" s="46">
        <f t="shared" si="54"/>
        <v>8.2000000000000003E-2</v>
      </c>
    </row>
    <row r="556" spans="19:42" ht="18">
      <c r="S556" s="8">
        <f t="shared" si="55"/>
        <v>0</v>
      </c>
      <c r="W556" s="3">
        <v>582</v>
      </c>
      <c r="X556" s="30">
        <v>81.599999999999994</v>
      </c>
      <c r="Y556" s="33">
        <f t="shared" si="52"/>
        <v>8.2000000000000003E-2</v>
      </c>
      <c r="AH556" s="45">
        <f t="shared" si="56"/>
        <v>0</v>
      </c>
      <c r="AJ556" s="44">
        <f t="shared" si="53"/>
        <v>0.58199999999999996</v>
      </c>
      <c r="AP556" s="46">
        <f t="shared" si="54"/>
        <v>8.2000000000000003E-2</v>
      </c>
    </row>
    <row r="557" spans="19:42" ht="18">
      <c r="S557" s="8">
        <f t="shared" si="55"/>
        <v>0</v>
      </c>
      <c r="W557" s="3">
        <v>583</v>
      </c>
      <c r="X557" s="30">
        <v>81.650000000000006</v>
      </c>
      <c r="Y557" s="33">
        <f t="shared" si="52"/>
        <v>8.2000000000000003E-2</v>
      </c>
      <c r="AH557" s="45">
        <f t="shared" si="56"/>
        <v>0</v>
      </c>
      <c r="AJ557" s="44">
        <f t="shared" si="53"/>
        <v>0.58299999999999996</v>
      </c>
      <c r="AP557" s="46">
        <f t="shared" si="54"/>
        <v>8.2000000000000003E-2</v>
      </c>
    </row>
    <row r="558" spans="19:42" ht="18">
      <c r="S558" s="8">
        <f t="shared" si="55"/>
        <v>0</v>
      </c>
      <c r="W558" s="3">
        <v>584</v>
      </c>
      <c r="X558" s="30">
        <v>81.7</v>
      </c>
      <c r="Y558" s="33">
        <f t="shared" si="52"/>
        <v>8.2000000000000003E-2</v>
      </c>
      <c r="AH558" s="45">
        <f t="shared" si="56"/>
        <v>0</v>
      </c>
      <c r="AJ558" s="44">
        <f t="shared" si="53"/>
        <v>0.58399999999999996</v>
      </c>
      <c r="AP558" s="46">
        <f t="shared" si="54"/>
        <v>8.2000000000000003E-2</v>
      </c>
    </row>
    <row r="559" spans="19:42" ht="18">
      <c r="S559" s="8">
        <f t="shared" si="55"/>
        <v>0</v>
      </c>
      <c r="W559" s="3">
        <v>585</v>
      </c>
      <c r="X559" s="30">
        <v>81.75</v>
      </c>
      <c r="Y559" s="33">
        <f t="shared" si="52"/>
        <v>8.2000000000000003E-2</v>
      </c>
      <c r="AH559" s="45">
        <f t="shared" si="56"/>
        <v>0</v>
      </c>
      <c r="AJ559" s="44">
        <f t="shared" si="53"/>
        <v>0.58499999999999996</v>
      </c>
      <c r="AP559" s="46">
        <f t="shared" si="54"/>
        <v>8.2000000000000003E-2</v>
      </c>
    </row>
    <row r="560" spans="19:42" ht="18">
      <c r="S560" s="8">
        <f t="shared" si="55"/>
        <v>0</v>
      </c>
      <c r="W560" s="3">
        <v>586</v>
      </c>
      <c r="X560" s="30">
        <v>81.8</v>
      </c>
      <c r="Y560" s="33">
        <f t="shared" si="52"/>
        <v>8.2000000000000003E-2</v>
      </c>
      <c r="AH560" s="45">
        <f t="shared" si="56"/>
        <v>0</v>
      </c>
      <c r="AJ560" s="44">
        <f t="shared" si="53"/>
        <v>0.58599999999999997</v>
      </c>
      <c r="AP560" s="46">
        <f t="shared" si="54"/>
        <v>8.2000000000000003E-2</v>
      </c>
    </row>
    <row r="561" spans="19:42" ht="18">
      <c r="S561" s="8">
        <f t="shared" si="55"/>
        <v>0</v>
      </c>
      <c r="W561" s="3">
        <v>587</v>
      </c>
      <c r="X561" s="30">
        <v>81.849999999999994</v>
      </c>
      <c r="Y561" s="33">
        <f t="shared" si="52"/>
        <v>8.2000000000000003E-2</v>
      </c>
      <c r="AH561" s="45">
        <f t="shared" si="56"/>
        <v>0</v>
      </c>
      <c r="AJ561" s="44">
        <f t="shared" si="53"/>
        <v>0.58699999999999997</v>
      </c>
      <c r="AP561" s="46">
        <f t="shared" si="54"/>
        <v>8.2000000000000003E-2</v>
      </c>
    </row>
    <row r="562" spans="19:42" ht="18">
      <c r="S562" s="8">
        <f t="shared" si="55"/>
        <v>0</v>
      </c>
      <c r="W562" s="3">
        <v>588</v>
      </c>
      <c r="X562" s="30">
        <v>81.900000000000006</v>
      </c>
      <c r="Y562" s="33">
        <f t="shared" si="52"/>
        <v>8.2000000000000003E-2</v>
      </c>
      <c r="AH562" s="45">
        <f t="shared" si="56"/>
        <v>0</v>
      </c>
      <c r="AJ562" s="44">
        <f t="shared" si="53"/>
        <v>0.58799999999999997</v>
      </c>
      <c r="AP562" s="46">
        <f t="shared" si="54"/>
        <v>8.2000000000000003E-2</v>
      </c>
    </row>
    <row r="563" spans="19:42" ht="18">
      <c r="S563" s="8">
        <f t="shared" si="55"/>
        <v>0</v>
      </c>
      <c r="W563" s="3">
        <v>589</v>
      </c>
      <c r="X563" s="30">
        <v>81.95</v>
      </c>
      <c r="Y563" s="33">
        <f t="shared" si="52"/>
        <v>8.2000000000000003E-2</v>
      </c>
      <c r="AH563" s="45">
        <f t="shared" si="56"/>
        <v>0</v>
      </c>
      <c r="AJ563" s="44">
        <f t="shared" si="53"/>
        <v>0.58899999999999997</v>
      </c>
      <c r="AP563" s="46">
        <f t="shared" si="54"/>
        <v>8.2000000000000003E-2</v>
      </c>
    </row>
    <row r="564" spans="19:42" ht="18">
      <c r="S564" s="8">
        <f t="shared" si="55"/>
        <v>0</v>
      </c>
      <c r="W564" s="3">
        <v>590</v>
      </c>
      <c r="X564" s="30">
        <v>82</v>
      </c>
      <c r="Y564" s="33">
        <f t="shared" si="52"/>
        <v>8.2000000000000003E-2</v>
      </c>
      <c r="AH564" s="45">
        <f t="shared" si="56"/>
        <v>0</v>
      </c>
      <c r="AJ564" s="44">
        <f t="shared" si="53"/>
        <v>0.59</v>
      </c>
      <c r="AP564" s="46">
        <f t="shared" si="54"/>
        <v>8.2000000000000003E-2</v>
      </c>
    </row>
    <row r="565" spans="19:42" ht="18">
      <c r="S565" s="8">
        <f t="shared" si="55"/>
        <v>0</v>
      </c>
      <c r="W565" s="3">
        <v>591</v>
      </c>
      <c r="X565" s="30">
        <v>82.05</v>
      </c>
      <c r="Y565" s="33">
        <f t="shared" si="52"/>
        <v>8.2000000000000003E-2</v>
      </c>
      <c r="AH565" s="45">
        <f t="shared" si="56"/>
        <v>0</v>
      </c>
      <c r="AJ565" s="44">
        <f t="shared" si="53"/>
        <v>0.59099999999999997</v>
      </c>
      <c r="AP565" s="46">
        <f t="shared" si="54"/>
        <v>8.2000000000000003E-2</v>
      </c>
    </row>
    <row r="566" spans="19:42" ht="18">
      <c r="S566" s="8">
        <f t="shared" si="55"/>
        <v>0</v>
      </c>
      <c r="W566" s="3">
        <v>592</v>
      </c>
      <c r="X566" s="30">
        <v>82.1</v>
      </c>
      <c r="Y566" s="33">
        <f t="shared" si="52"/>
        <v>8.2000000000000003E-2</v>
      </c>
      <c r="AH566" s="45">
        <f t="shared" si="56"/>
        <v>0</v>
      </c>
      <c r="AJ566" s="44">
        <f t="shared" si="53"/>
        <v>0.59199999999999997</v>
      </c>
      <c r="AP566" s="46">
        <f t="shared" si="54"/>
        <v>8.2000000000000003E-2</v>
      </c>
    </row>
    <row r="567" spans="19:42" ht="18">
      <c r="S567" s="8">
        <f t="shared" si="55"/>
        <v>0</v>
      </c>
      <c r="W567" s="3">
        <v>593</v>
      </c>
      <c r="X567" s="30">
        <v>82.15</v>
      </c>
      <c r="Y567" s="33">
        <f t="shared" si="52"/>
        <v>8.2000000000000003E-2</v>
      </c>
      <c r="AH567" s="45">
        <f t="shared" si="56"/>
        <v>0</v>
      </c>
      <c r="AJ567" s="44">
        <f t="shared" si="53"/>
        <v>0.59299999999999997</v>
      </c>
      <c r="AP567" s="46">
        <f t="shared" si="54"/>
        <v>8.2000000000000003E-2</v>
      </c>
    </row>
    <row r="568" spans="19:42" ht="18">
      <c r="S568" s="8">
        <f t="shared" si="55"/>
        <v>0</v>
      </c>
      <c r="W568" s="3">
        <v>594</v>
      </c>
      <c r="X568" s="30">
        <v>82.2</v>
      </c>
      <c r="Y568" s="33">
        <f t="shared" si="52"/>
        <v>8.2000000000000003E-2</v>
      </c>
      <c r="AH568" s="45">
        <f t="shared" si="56"/>
        <v>0</v>
      </c>
      <c r="AJ568" s="44">
        <f t="shared" si="53"/>
        <v>0.59399999999999997</v>
      </c>
      <c r="AP568" s="46">
        <f t="shared" si="54"/>
        <v>8.2000000000000003E-2</v>
      </c>
    </row>
    <row r="569" spans="19:42" ht="18">
      <c r="S569" s="8">
        <f t="shared" si="55"/>
        <v>0</v>
      </c>
      <c r="W569" s="3">
        <v>595</v>
      </c>
      <c r="X569" s="30">
        <v>82.25</v>
      </c>
      <c r="Y569" s="33">
        <f t="shared" si="52"/>
        <v>8.2000000000000003E-2</v>
      </c>
      <c r="AH569" s="45">
        <f t="shared" si="56"/>
        <v>0</v>
      </c>
      <c r="AJ569" s="44">
        <f t="shared" si="53"/>
        <v>0.59499999999999997</v>
      </c>
      <c r="AP569" s="46">
        <f t="shared" si="54"/>
        <v>8.2000000000000003E-2</v>
      </c>
    </row>
    <row r="570" spans="19:42" ht="18">
      <c r="S570" s="8">
        <f t="shared" si="55"/>
        <v>0</v>
      </c>
      <c r="W570" s="3">
        <v>596</v>
      </c>
      <c r="X570" s="30">
        <v>82.3</v>
      </c>
      <c r="Y570" s="33">
        <f t="shared" si="52"/>
        <v>8.2000000000000003E-2</v>
      </c>
      <c r="AH570" s="45">
        <f t="shared" si="56"/>
        <v>0</v>
      </c>
      <c r="AJ570" s="44">
        <f t="shared" si="53"/>
        <v>0.59599999999999997</v>
      </c>
      <c r="AP570" s="46">
        <f t="shared" si="54"/>
        <v>8.2000000000000003E-2</v>
      </c>
    </row>
    <row r="571" spans="19:42" ht="18">
      <c r="S571" s="8">
        <f t="shared" si="55"/>
        <v>0</v>
      </c>
      <c r="W571" s="3">
        <v>597</v>
      </c>
      <c r="X571" s="30">
        <v>82.35</v>
      </c>
      <c r="Y571" s="33">
        <f t="shared" si="52"/>
        <v>8.2000000000000003E-2</v>
      </c>
      <c r="AH571" s="45">
        <f t="shared" si="56"/>
        <v>0</v>
      </c>
      <c r="AJ571" s="44">
        <f t="shared" si="53"/>
        <v>0.59699999999999998</v>
      </c>
      <c r="AP571" s="46">
        <f t="shared" si="54"/>
        <v>8.2000000000000003E-2</v>
      </c>
    </row>
    <row r="572" spans="19:42" ht="18">
      <c r="S572" s="8">
        <f t="shared" si="55"/>
        <v>0</v>
      </c>
      <c r="W572" s="3">
        <v>598</v>
      </c>
      <c r="X572" s="30">
        <v>82.4</v>
      </c>
      <c r="Y572" s="33">
        <f t="shared" si="52"/>
        <v>8.2000000000000003E-2</v>
      </c>
      <c r="AH572" s="45">
        <f t="shared" si="56"/>
        <v>0</v>
      </c>
      <c r="AJ572" s="44">
        <f t="shared" si="53"/>
        <v>0.59799999999999998</v>
      </c>
      <c r="AP572" s="46">
        <f t="shared" si="54"/>
        <v>8.2000000000000003E-2</v>
      </c>
    </row>
    <row r="573" spans="19:42" ht="18">
      <c r="S573" s="8">
        <f t="shared" si="55"/>
        <v>0</v>
      </c>
      <c r="W573" s="3">
        <v>599</v>
      </c>
      <c r="X573" s="30">
        <v>82.45</v>
      </c>
      <c r="Y573" s="33">
        <f t="shared" si="52"/>
        <v>8.2000000000000003E-2</v>
      </c>
      <c r="AH573" s="45">
        <f t="shared" si="56"/>
        <v>0</v>
      </c>
      <c r="AJ573" s="44">
        <f t="shared" si="53"/>
        <v>0.59899999999999998</v>
      </c>
      <c r="AP573" s="46">
        <f t="shared" si="54"/>
        <v>8.2000000000000003E-2</v>
      </c>
    </row>
    <row r="574" spans="19:42" ht="18">
      <c r="S574" s="8">
        <f t="shared" si="55"/>
        <v>0</v>
      </c>
      <c r="W574" s="3">
        <v>600</v>
      </c>
      <c r="X574" s="30">
        <v>82.5</v>
      </c>
      <c r="Y574" s="33">
        <f t="shared" si="52"/>
        <v>8.3000000000000004E-2</v>
      </c>
      <c r="AH574" s="45">
        <f t="shared" si="56"/>
        <v>0</v>
      </c>
      <c r="AJ574" s="44">
        <f t="shared" si="53"/>
        <v>0.6</v>
      </c>
      <c r="AP574" s="46">
        <f t="shared" si="54"/>
        <v>8.3000000000000004E-2</v>
      </c>
    </row>
    <row r="575" spans="19:42" ht="18">
      <c r="S575" s="8">
        <f t="shared" si="55"/>
        <v>0</v>
      </c>
      <c r="W575" s="3">
        <v>601</v>
      </c>
      <c r="X575" s="30">
        <v>82.55</v>
      </c>
      <c r="Y575" s="33">
        <f t="shared" si="52"/>
        <v>8.3000000000000004E-2</v>
      </c>
      <c r="AH575" s="45">
        <f t="shared" si="56"/>
        <v>0</v>
      </c>
      <c r="AJ575" s="44">
        <f t="shared" si="53"/>
        <v>0.60099999999999998</v>
      </c>
      <c r="AP575" s="46">
        <f t="shared" si="54"/>
        <v>8.3000000000000004E-2</v>
      </c>
    </row>
    <row r="576" spans="19:42" ht="18">
      <c r="S576" s="8">
        <f t="shared" si="55"/>
        <v>0</v>
      </c>
      <c r="W576" s="3">
        <v>602</v>
      </c>
      <c r="X576" s="30">
        <v>82.6</v>
      </c>
      <c r="Y576" s="33">
        <f t="shared" si="52"/>
        <v>8.3000000000000004E-2</v>
      </c>
      <c r="AH576" s="45">
        <f t="shared" si="56"/>
        <v>0</v>
      </c>
      <c r="AJ576" s="44">
        <f t="shared" si="53"/>
        <v>0.60199999999999998</v>
      </c>
      <c r="AP576" s="46">
        <f t="shared" si="54"/>
        <v>8.3000000000000004E-2</v>
      </c>
    </row>
    <row r="577" spans="19:42" ht="18">
      <c r="S577" s="8">
        <f t="shared" si="55"/>
        <v>0</v>
      </c>
      <c r="W577" s="3">
        <v>603</v>
      </c>
      <c r="X577" s="30">
        <v>82.65</v>
      </c>
      <c r="Y577" s="33">
        <f t="shared" si="52"/>
        <v>8.3000000000000004E-2</v>
      </c>
      <c r="AH577" s="45">
        <f t="shared" si="56"/>
        <v>0</v>
      </c>
      <c r="AJ577" s="44">
        <f t="shared" si="53"/>
        <v>0.60299999999999998</v>
      </c>
      <c r="AP577" s="46">
        <f t="shared" si="54"/>
        <v>8.3000000000000004E-2</v>
      </c>
    </row>
    <row r="578" spans="19:42" ht="18">
      <c r="S578" s="8">
        <f t="shared" si="55"/>
        <v>0</v>
      </c>
      <c r="W578" s="3">
        <v>604</v>
      </c>
      <c r="X578" s="30">
        <v>82.7</v>
      </c>
      <c r="Y578" s="33">
        <f t="shared" si="52"/>
        <v>8.3000000000000004E-2</v>
      </c>
      <c r="AH578" s="45">
        <f t="shared" si="56"/>
        <v>0</v>
      </c>
      <c r="AJ578" s="44">
        <f t="shared" si="53"/>
        <v>0.60399999999999998</v>
      </c>
      <c r="AP578" s="46">
        <f t="shared" si="54"/>
        <v>8.3000000000000004E-2</v>
      </c>
    </row>
    <row r="579" spans="19:42" ht="18">
      <c r="S579" s="8">
        <f t="shared" si="55"/>
        <v>0</v>
      </c>
      <c r="W579" s="3">
        <v>605</v>
      </c>
      <c r="X579" s="30">
        <v>82.75</v>
      </c>
      <c r="Y579" s="33">
        <f t="shared" si="52"/>
        <v>8.3000000000000004E-2</v>
      </c>
      <c r="AH579" s="45">
        <f t="shared" si="56"/>
        <v>0</v>
      </c>
      <c r="AJ579" s="44">
        <f t="shared" si="53"/>
        <v>0.60499999999999998</v>
      </c>
      <c r="AP579" s="46">
        <f t="shared" si="54"/>
        <v>8.3000000000000004E-2</v>
      </c>
    </row>
    <row r="580" spans="19:42" ht="18">
      <c r="S580" s="8">
        <f t="shared" si="55"/>
        <v>0</v>
      </c>
      <c r="W580" s="3">
        <v>606</v>
      </c>
      <c r="X580" s="30">
        <v>82.8</v>
      </c>
      <c r="Y580" s="33">
        <f t="shared" si="52"/>
        <v>8.3000000000000004E-2</v>
      </c>
      <c r="AH580" s="45">
        <f t="shared" si="56"/>
        <v>0</v>
      </c>
      <c r="AJ580" s="44">
        <f t="shared" si="53"/>
        <v>0.60599999999999998</v>
      </c>
      <c r="AP580" s="46">
        <f t="shared" si="54"/>
        <v>8.3000000000000004E-2</v>
      </c>
    </row>
    <row r="581" spans="19:42" ht="18">
      <c r="S581" s="8">
        <f t="shared" si="55"/>
        <v>0</v>
      </c>
      <c r="W581" s="3">
        <v>607</v>
      </c>
      <c r="X581" s="30">
        <v>82.85</v>
      </c>
      <c r="Y581" s="33">
        <f t="shared" ref="Y581:Y644" si="57">ROUND(X581/1000,3)</f>
        <v>8.3000000000000004E-2</v>
      </c>
      <c r="AH581" s="45">
        <f t="shared" si="56"/>
        <v>0</v>
      </c>
      <c r="AJ581" s="44">
        <f t="shared" ref="AJ581:AJ644" si="58">ROUND(W581/1000,3)</f>
        <v>0.60699999999999998</v>
      </c>
      <c r="AP581" s="46">
        <f t="shared" ref="AP581:AP644" si="59">ROUND(X581/1000,3)</f>
        <v>8.3000000000000004E-2</v>
      </c>
    </row>
    <row r="582" spans="19:42" ht="18">
      <c r="S582" s="8">
        <f t="shared" ref="S582:S645" si="60">CEILING(R582/50,0.5)</f>
        <v>0</v>
      </c>
      <c r="W582" s="3">
        <v>608</v>
      </c>
      <c r="X582" s="30">
        <v>82.9</v>
      </c>
      <c r="Y582" s="33">
        <f t="shared" si="57"/>
        <v>8.3000000000000004E-2</v>
      </c>
      <c r="AH582" s="45">
        <f t="shared" ref="AH582:AH645" si="61">AE582-AE581</f>
        <v>0</v>
      </c>
      <c r="AJ582" s="44">
        <f t="shared" si="58"/>
        <v>0.60799999999999998</v>
      </c>
      <c r="AP582" s="46">
        <f t="shared" si="59"/>
        <v>8.3000000000000004E-2</v>
      </c>
    </row>
    <row r="583" spans="19:42" ht="18">
      <c r="S583" s="8">
        <f t="shared" si="60"/>
        <v>0</v>
      </c>
      <c r="W583" s="3">
        <v>609</v>
      </c>
      <c r="X583" s="30">
        <v>82.95</v>
      </c>
      <c r="Y583" s="33">
        <f t="shared" si="57"/>
        <v>8.3000000000000004E-2</v>
      </c>
      <c r="AH583" s="45">
        <f t="shared" si="61"/>
        <v>0</v>
      </c>
      <c r="AJ583" s="44">
        <f t="shared" si="58"/>
        <v>0.60899999999999999</v>
      </c>
      <c r="AP583" s="46">
        <f t="shared" si="59"/>
        <v>8.3000000000000004E-2</v>
      </c>
    </row>
    <row r="584" spans="19:42" ht="18">
      <c r="S584" s="8">
        <f t="shared" si="60"/>
        <v>0</v>
      </c>
      <c r="W584" s="3">
        <v>610</v>
      </c>
      <c r="X584" s="30">
        <v>83</v>
      </c>
      <c r="Y584" s="33">
        <f t="shared" si="57"/>
        <v>8.3000000000000004E-2</v>
      </c>
      <c r="AH584" s="45">
        <f t="shared" si="61"/>
        <v>0</v>
      </c>
      <c r="AJ584" s="44">
        <f t="shared" si="58"/>
        <v>0.61</v>
      </c>
      <c r="AP584" s="46">
        <f t="shared" si="59"/>
        <v>8.3000000000000004E-2</v>
      </c>
    </row>
    <row r="585" spans="19:42" ht="18">
      <c r="S585" s="8">
        <f t="shared" si="60"/>
        <v>0</v>
      </c>
      <c r="W585" s="3">
        <v>611</v>
      </c>
      <c r="X585" s="30">
        <v>83.066999999999993</v>
      </c>
      <c r="Y585" s="33">
        <f t="shared" si="57"/>
        <v>8.3000000000000004E-2</v>
      </c>
      <c r="AH585" s="45">
        <f t="shared" si="61"/>
        <v>0</v>
      </c>
      <c r="AJ585" s="44">
        <f t="shared" si="58"/>
        <v>0.61099999999999999</v>
      </c>
      <c r="AP585" s="46">
        <f t="shared" si="59"/>
        <v>8.3000000000000004E-2</v>
      </c>
    </row>
    <row r="586" spans="19:42" ht="18">
      <c r="S586" s="8">
        <f t="shared" si="60"/>
        <v>0</v>
      </c>
      <c r="W586" s="3">
        <v>612</v>
      </c>
      <c r="X586" s="30">
        <v>83.132999999999996</v>
      </c>
      <c r="Y586" s="33">
        <f t="shared" si="57"/>
        <v>8.3000000000000004E-2</v>
      </c>
      <c r="AH586" s="45">
        <f t="shared" si="61"/>
        <v>0</v>
      </c>
      <c r="AJ586" s="44">
        <f t="shared" si="58"/>
        <v>0.61199999999999999</v>
      </c>
      <c r="AP586" s="46">
        <f t="shared" si="59"/>
        <v>8.3000000000000004E-2</v>
      </c>
    </row>
    <row r="587" spans="19:42" ht="18">
      <c r="S587" s="8">
        <f t="shared" si="60"/>
        <v>0</v>
      </c>
      <c r="W587" s="3">
        <v>613</v>
      </c>
      <c r="X587" s="30">
        <v>83.2</v>
      </c>
      <c r="Y587" s="33">
        <f t="shared" si="57"/>
        <v>8.3000000000000004E-2</v>
      </c>
      <c r="AH587" s="45">
        <f t="shared" si="61"/>
        <v>0</v>
      </c>
      <c r="AJ587" s="44">
        <f t="shared" si="58"/>
        <v>0.61299999999999999</v>
      </c>
      <c r="AP587" s="46">
        <f t="shared" si="59"/>
        <v>8.3000000000000004E-2</v>
      </c>
    </row>
    <row r="588" spans="19:42" ht="18">
      <c r="S588" s="8">
        <f t="shared" si="60"/>
        <v>0</v>
      </c>
      <c r="W588" s="3">
        <v>614</v>
      </c>
      <c r="X588" s="30">
        <v>83.266999999999996</v>
      </c>
      <c r="Y588" s="33">
        <f t="shared" si="57"/>
        <v>8.3000000000000004E-2</v>
      </c>
      <c r="AH588" s="45">
        <f t="shared" si="61"/>
        <v>0</v>
      </c>
      <c r="AJ588" s="44">
        <f t="shared" si="58"/>
        <v>0.61399999999999999</v>
      </c>
      <c r="AP588" s="46">
        <f t="shared" si="59"/>
        <v>8.3000000000000004E-2</v>
      </c>
    </row>
    <row r="589" spans="19:42" ht="18">
      <c r="S589" s="8">
        <f t="shared" si="60"/>
        <v>0</v>
      </c>
      <c r="W589" s="3">
        <v>615</v>
      </c>
      <c r="X589" s="30">
        <v>83.332999999999998</v>
      </c>
      <c r="Y589" s="33">
        <f t="shared" si="57"/>
        <v>8.3000000000000004E-2</v>
      </c>
      <c r="AH589" s="45">
        <f t="shared" si="61"/>
        <v>0</v>
      </c>
      <c r="AJ589" s="44">
        <f t="shared" si="58"/>
        <v>0.61499999999999999</v>
      </c>
      <c r="AP589" s="46">
        <f t="shared" si="59"/>
        <v>8.3000000000000004E-2</v>
      </c>
    </row>
    <row r="590" spans="19:42" ht="18">
      <c r="S590" s="8">
        <f t="shared" si="60"/>
        <v>0</v>
      </c>
      <c r="W590" s="3">
        <v>616</v>
      </c>
      <c r="X590" s="30">
        <v>83.4</v>
      </c>
      <c r="Y590" s="33">
        <f t="shared" si="57"/>
        <v>8.3000000000000004E-2</v>
      </c>
      <c r="AH590" s="45">
        <f t="shared" si="61"/>
        <v>0</v>
      </c>
      <c r="AJ590" s="44">
        <f t="shared" si="58"/>
        <v>0.61599999999999999</v>
      </c>
      <c r="AP590" s="46">
        <f t="shared" si="59"/>
        <v>8.3000000000000004E-2</v>
      </c>
    </row>
    <row r="591" spans="19:42" ht="18">
      <c r="S591" s="8">
        <f t="shared" si="60"/>
        <v>0</v>
      </c>
      <c r="W591" s="3">
        <v>617</v>
      </c>
      <c r="X591" s="30">
        <v>83.466999999999999</v>
      </c>
      <c r="Y591" s="33">
        <f t="shared" si="57"/>
        <v>8.3000000000000004E-2</v>
      </c>
      <c r="AH591" s="45">
        <f t="shared" si="61"/>
        <v>0</v>
      </c>
      <c r="AJ591" s="44">
        <f t="shared" si="58"/>
        <v>0.61699999999999999</v>
      </c>
      <c r="AP591" s="46">
        <f t="shared" si="59"/>
        <v>8.3000000000000004E-2</v>
      </c>
    </row>
    <row r="592" spans="19:42" ht="18">
      <c r="S592" s="8">
        <f t="shared" si="60"/>
        <v>0</v>
      </c>
      <c r="W592" s="3">
        <v>618</v>
      </c>
      <c r="X592" s="30">
        <v>83.533000000000001</v>
      </c>
      <c r="Y592" s="33">
        <f t="shared" si="57"/>
        <v>8.4000000000000005E-2</v>
      </c>
      <c r="AH592" s="45">
        <f t="shared" si="61"/>
        <v>0</v>
      </c>
      <c r="AJ592" s="44">
        <f t="shared" si="58"/>
        <v>0.61799999999999999</v>
      </c>
      <c r="AP592" s="46">
        <f t="shared" si="59"/>
        <v>8.4000000000000005E-2</v>
      </c>
    </row>
    <row r="593" spans="19:42" ht="18">
      <c r="S593" s="8">
        <f t="shared" si="60"/>
        <v>0</v>
      </c>
      <c r="W593" s="3">
        <v>619</v>
      </c>
      <c r="X593" s="30">
        <v>83.6</v>
      </c>
      <c r="Y593" s="33">
        <f t="shared" si="57"/>
        <v>8.4000000000000005E-2</v>
      </c>
      <c r="AH593" s="45">
        <f t="shared" si="61"/>
        <v>0</v>
      </c>
      <c r="AJ593" s="44">
        <f t="shared" si="58"/>
        <v>0.61899999999999999</v>
      </c>
      <c r="AP593" s="46">
        <f t="shared" si="59"/>
        <v>8.4000000000000005E-2</v>
      </c>
    </row>
    <row r="594" spans="19:42" ht="18">
      <c r="S594" s="8">
        <f t="shared" si="60"/>
        <v>0</v>
      </c>
      <c r="W594" s="3">
        <v>620</v>
      </c>
      <c r="X594" s="30">
        <v>83.667000000000002</v>
      </c>
      <c r="Y594" s="33">
        <f t="shared" si="57"/>
        <v>8.4000000000000005E-2</v>
      </c>
      <c r="AH594" s="45">
        <f t="shared" si="61"/>
        <v>0</v>
      </c>
      <c r="AJ594" s="44">
        <f t="shared" si="58"/>
        <v>0.62</v>
      </c>
      <c r="AP594" s="46">
        <f t="shared" si="59"/>
        <v>8.4000000000000005E-2</v>
      </c>
    </row>
    <row r="595" spans="19:42" ht="18">
      <c r="S595" s="8">
        <f t="shared" si="60"/>
        <v>0</v>
      </c>
      <c r="W595" s="3">
        <v>621</v>
      </c>
      <c r="X595" s="30">
        <v>83.733000000000004</v>
      </c>
      <c r="Y595" s="33">
        <f t="shared" si="57"/>
        <v>8.4000000000000005E-2</v>
      </c>
      <c r="AH595" s="45">
        <f t="shared" si="61"/>
        <v>0</v>
      </c>
      <c r="AJ595" s="44">
        <f t="shared" si="58"/>
        <v>0.621</v>
      </c>
      <c r="AP595" s="46">
        <f t="shared" si="59"/>
        <v>8.4000000000000005E-2</v>
      </c>
    </row>
    <row r="596" spans="19:42" ht="18">
      <c r="S596" s="8">
        <f t="shared" si="60"/>
        <v>0</v>
      </c>
      <c r="W596" s="3">
        <v>622</v>
      </c>
      <c r="X596" s="30">
        <v>83.8</v>
      </c>
      <c r="Y596" s="33">
        <f t="shared" si="57"/>
        <v>8.4000000000000005E-2</v>
      </c>
      <c r="AH596" s="45">
        <f t="shared" si="61"/>
        <v>0</v>
      </c>
      <c r="AJ596" s="44">
        <f t="shared" si="58"/>
        <v>0.622</v>
      </c>
      <c r="AP596" s="46">
        <f t="shared" si="59"/>
        <v>8.4000000000000005E-2</v>
      </c>
    </row>
    <row r="597" spans="19:42" ht="18">
      <c r="S597" s="8">
        <f t="shared" si="60"/>
        <v>0</v>
      </c>
      <c r="W597" s="3">
        <v>623</v>
      </c>
      <c r="X597" s="30">
        <v>83.867000000000004</v>
      </c>
      <c r="Y597" s="33">
        <f t="shared" si="57"/>
        <v>8.4000000000000005E-2</v>
      </c>
      <c r="AH597" s="45">
        <f t="shared" si="61"/>
        <v>0</v>
      </c>
      <c r="AJ597" s="44">
        <f t="shared" si="58"/>
        <v>0.623</v>
      </c>
      <c r="AP597" s="46">
        <f t="shared" si="59"/>
        <v>8.4000000000000005E-2</v>
      </c>
    </row>
    <row r="598" spans="19:42" ht="18">
      <c r="S598" s="8">
        <f t="shared" si="60"/>
        <v>0</v>
      </c>
      <c r="W598" s="3">
        <v>624</v>
      </c>
      <c r="X598" s="30">
        <v>83.933000000000007</v>
      </c>
      <c r="Y598" s="33">
        <f t="shared" si="57"/>
        <v>8.4000000000000005E-2</v>
      </c>
      <c r="AH598" s="45">
        <f t="shared" si="61"/>
        <v>0</v>
      </c>
      <c r="AJ598" s="44">
        <f t="shared" si="58"/>
        <v>0.624</v>
      </c>
      <c r="AP598" s="46">
        <f t="shared" si="59"/>
        <v>8.4000000000000005E-2</v>
      </c>
    </row>
    <row r="599" spans="19:42" ht="18">
      <c r="S599" s="8">
        <f t="shared" si="60"/>
        <v>0</v>
      </c>
      <c r="W599" s="3">
        <v>625</v>
      </c>
      <c r="X599" s="30">
        <v>84</v>
      </c>
      <c r="Y599" s="33">
        <f t="shared" si="57"/>
        <v>8.4000000000000005E-2</v>
      </c>
      <c r="AH599" s="45">
        <f t="shared" si="61"/>
        <v>0</v>
      </c>
      <c r="AJ599" s="44">
        <f t="shared" si="58"/>
        <v>0.625</v>
      </c>
      <c r="AP599" s="46">
        <f t="shared" si="59"/>
        <v>8.4000000000000005E-2</v>
      </c>
    </row>
    <row r="600" spans="19:42" ht="18">
      <c r="S600" s="8">
        <f t="shared" si="60"/>
        <v>0</v>
      </c>
      <c r="W600" s="3">
        <v>626</v>
      </c>
      <c r="X600" s="30">
        <v>84.066999999999993</v>
      </c>
      <c r="Y600" s="33">
        <f t="shared" si="57"/>
        <v>8.4000000000000005E-2</v>
      </c>
      <c r="AH600" s="45">
        <f t="shared" si="61"/>
        <v>0</v>
      </c>
      <c r="AJ600" s="44">
        <f t="shared" si="58"/>
        <v>0.626</v>
      </c>
      <c r="AP600" s="46">
        <f t="shared" si="59"/>
        <v>8.4000000000000005E-2</v>
      </c>
    </row>
    <row r="601" spans="19:42" ht="18">
      <c r="S601" s="8">
        <f t="shared" si="60"/>
        <v>0</v>
      </c>
      <c r="W601" s="3">
        <v>627</v>
      </c>
      <c r="X601" s="30">
        <v>84.132999999999996</v>
      </c>
      <c r="Y601" s="33">
        <f t="shared" si="57"/>
        <v>8.4000000000000005E-2</v>
      </c>
      <c r="AH601" s="45">
        <f t="shared" si="61"/>
        <v>0</v>
      </c>
      <c r="AJ601" s="44">
        <f t="shared" si="58"/>
        <v>0.627</v>
      </c>
      <c r="AP601" s="46">
        <f t="shared" si="59"/>
        <v>8.4000000000000005E-2</v>
      </c>
    </row>
    <row r="602" spans="19:42" ht="18">
      <c r="S602" s="8">
        <f t="shared" si="60"/>
        <v>0</v>
      </c>
      <c r="W602" s="3">
        <v>628</v>
      </c>
      <c r="X602" s="30">
        <v>84.2</v>
      </c>
      <c r="Y602" s="33">
        <f t="shared" si="57"/>
        <v>8.4000000000000005E-2</v>
      </c>
      <c r="AH602" s="45">
        <f t="shared" si="61"/>
        <v>0</v>
      </c>
      <c r="AJ602" s="44">
        <f t="shared" si="58"/>
        <v>0.628</v>
      </c>
      <c r="AP602" s="46">
        <f t="shared" si="59"/>
        <v>8.4000000000000005E-2</v>
      </c>
    </row>
    <row r="603" spans="19:42" ht="18">
      <c r="S603" s="8">
        <f t="shared" si="60"/>
        <v>0</v>
      </c>
      <c r="W603" s="3">
        <v>629</v>
      </c>
      <c r="X603" s="30">
        <v>84.266999999999996</v>
      </c>
      <c r="Y603" s="33">
        <f t="shared" si="57"/>
        <v>8.4000000000000005E-2</v>
      </c>
      <c r="AH603" s="45">
        <f t="shared" si="61"/>
        <v>0</v>
      </c>
      <c r="AJ603" s="44">
        <f t="shared" si="58"/>
        <v>0.629</v>
      </c>
      <c r="AP603" s="46">
        <f t="shared" si="59"/>
        <v>8.4000000000000005E-2</v>
      </c>
    </row>
    <row r="604" spans="19:42" ht="18">
      <c r="S604" s="8">
        <f t="shared" si="60"/>
        <v>0</v>
      </c>
      <c r="W604" s="3">
        <v>630</v>
      </c>
      <c r="X604" s="30">
        <v>84.332999999999998</v>
      </c>
      <c r="Y604" s="33">
        <f t="shared" si="57"/>
        <v>8.4000000000000005E-2</v>
      </c>
      <c r="AH604" s="45">
        <f t="shared" si="61"/>
        <v>0</v>
      </c>
      <c r="AJ604" s="44">
        <f t="shared" si="58"/>
        <v>0.63</v>
      </c>
      <c r="AP604" s="46">
        <f t="shared" si="59"/>
        <v>8.4000000000000005E-2</v>
      </c>
    </row>
    <row r="605" spans="19:42" ht="18">
      <c r="S605" s="8">
        <f t="shared" si="60"/>
        <v>0</v>
      </c>
      <c r="W605" s="3">
        <v>631</v>
      </c>
      <c r="X605" s="30">
        <v>84.4</v>
      </c>
      <c r="Y605" s="33">
        <f t="shared" si="57"/>
        <v>8.4000000000000005E-2</v>
      </c>
      <c r="AH605" s="45">
        <f t="shared" si="61"/>
        <v>0</v>
      </c>
      <c r="AJ605" s="44">
        <f t="shared" si="58"/>
        <v>0.63100000000000001</v>
      </c>
      <c r="AP605" s="46">
        <f t="shared" si="59"/>
        <v>8.4000000000000005E-2</v>
      </c>
    </row>
    <row r="606" spans="19:42" ht="18">
      <c r="S606" s="8">
        <f t="shared" si="60"/>
        <v>0</v>
      </c>
      <c r="W606" s="3">
        <v>632</v>
      </c>
      <c r="X606" s="30">
        <v>84.466999999999999</v>
      </c>
      <c r="Y606" s="33">
        <f t="shared" si="57"/>
        <v>8.4000000000000005E-2</v>
      </c>
      <c r="AH606" s="45">
        <f t="shared" si="61"/>
        <v>0</v>
      </c>
      <c r="AJ606" s="44">
        <f t="shared" si="58"/>
        <v>0.63200000000000001</v>
      </c>
      <c r="AP606" s="46">
        <f t="shared" si="59"/>
        <v>8.4000000000000005E-2</v>
      </c>
    </row>
    <row r="607" spans="19:42" ht="18">
      <c r="S607" s="8">
        <f t="shared" si="60"/>
        <v>0</v>
      </c>
      <c r="W607" s="3">
        <v>633</v>
      </c>
      <c r="X607" s="30">
        <v>84.533000000000001</v>
      </c>
      <c r="Y607" s="33">
        <f t="shared" si="57"/>
        <v>8.5000000000000006E-2</v>
      </c>
      <c r="AH607" s="45">
        <f t="shared" si="61"/>
        <v>0</v>
      </c>
      <c r="AJ607" s="44">
        <f t="shared" si="58"/>
        <v>0.63300000000000001</v>
      </c>
      <c r="AP607" s="46">
        <f t="shared" si="59"/>
        <v>8.5000000000000006E-2</v>
      </c>
    </row>
    <row r="608" spans="19:42" ht="18">
      <c r="S608" s="8">
        <f t="shared" si="60"/>
        <v>0</v>
      </c>
      <c r="W608" s="3">
        <v>634</v>
      </c>
      <c r="X608" s="30">
        <v>84.6</v>
      </c>
      <c r="Y608" s="33">
        <f t="shared" si="57"/>
        <v>8.5000000000000006E-2</v>
      </c>
      <c r="AH608" s="45">
        <f t="shared" si="61"/>
        <v>0</v>
      </c>
      <c r="AJ608" s="44">
        <f t="shared" si="58"/>
        <v>0.63400000000000001</v>
      </c>
      <c r="AP608" s="46">
        <f t="shared" si="59"/>
        <v>8.5000000000000006E-2</v>
      </c>
    </row>
    <row r="609" spans="19:42" ht="18">
      <c r="S609" s="8">
        <f t="shared" si="60"/>
        <v>0</v>
      </c>
      <c r="W609" s="3">
        <v>635</v>
      </c>
      <c r="X609" s="30">
        <v>84.667000000000002</v>
      </c>
      <c r="Y609" s="33">
        <f t="shared" si="57"/>
        <v>8.5000000000000006E-2</v>
      </c>
      <c r="AH609" s="45">
        <f t="shared" si="61"/>
        <v>0</v>
      </c>
      <c r="AJ609" s="44">
        <f t="shared" si="58"/>
        <v>0.63500000000000001</v>
      </c>
      <c r="AP609" s="46">
        <f t="shared" si="59"/>
        <v>8.5000000000000006E-2</v>
      </c>
    </row>
    <row r="610" spans="19:42" ht="18">
      <c r="S610" s="8">
        <f t="shared" si="60"/>
        <v>0</v>
      </c>
      <c r="W610" s="3">
        <v>636</v>
      </c>
      <c r="X610" s="30">
        <v>84.733000000000004</v>
      </c>
      <c r="Y610" s="33">
        <f t="shared" si="57"/>
        <v>8.5000000000000006E-2</v>
      </c>
      <c r="AH610" s="45">
        <f t="shared" si="61"/>
        <v>0</v>
      </c>
      <c r="AJ610" s="44">
        <f t="shared" si="58"/>
        <v>0.63600000000000001</v>
      </c>
      <c r="AP610" s="46">
        <f t="shared" si="59"/>
        <v>8.5000000000000006E-2</v>
      </c>
    </row>
    <row r="611" spans="19:42" ht="18">
      <c r="S611" s="8">
        <f t="shared" si="60"/>
        <v>0</v>
      </c>
      <c r="W611" s="3">
        <v>637</v>
      </c>
      <c r="X611" s="30">
        <v>84.8</v>
      </c>
      <c r="Y611" s="33">
        <f t="shared" si="57"/>
        <v>8.5000000000000006E-2</v>
      </c>
      <c r="AH611" s="45">
        <f t="shared" si="61"/>
        <v>0</v>
      </c>
      <c r="AJ611" s="44">
        <f t="shared" si="58"/>
        <v>0.63700000000000001</v>
      </c>
      <c r="AP611" s="46">
        <f t="shared" si="59"/>
        <v>8.5000000000000006E-2</v>
      </c>
    </row>
    <row r="612" spans="19:42" ht="18">
      <c r="S612" s="8">
        <f t="shared" si="60"/>
        <v>0</v>
      </c>
      <c r="W612" s="3">
        <v>638</v>
      </c>
      <c r="X612" s="30">
        <v>84.867000000000004</v>
      </c>
      <c r="Y612" s="33">
        <f t="shared" si="57"/>
        <v>8.5000000000000006E-2</v>
      </c>
      <c r="AH612" s="45">
        <f t="shared" si="61"/>
        <v>0</v>
      </c>
      <c r="AJ612" s="44">
        <f t="shared" si="58"/>
        <v>0.63800000000000001</v>
      </c>
      <c r="AP612" s="46">
        <f t="shared" si="59"/>
        <v>8.5000000000000006E-2</v>
      </c>
    </row>
    <row r="613" spans="19:42" ht="18">
      <c r="S613" s="8">
        <f t="shared" si="60"/>
        <v>0</v>
      </c>
      <c r="W613" s="3">
        <v>639</v>
      </c>
      <c r="X613" s="30">
        <v>84.933000000000007</v>
      </c>
      <c r="Y613" s="33">
        <f t="shared" si="57"/>
        <v>8.5000000000000006E-2</v>
      </c>
      <c r="AH613" s="45">
        <f t="shared" si="61"/>
        <v>0</v>
      </c>
      <c r="AJ613" s="44">
        <f t="shared" si="58"/>
        <v>0.63900000000000001</v>
      </c>
      <c r="AP613" s="46">
        <f t="shared" si="59"/>
        <v>8.5000000000000006E-2</v>
      </c>
    </row>
    <row r="614" spans="19:42" ht="18">
      <c r="S614" s="8">
        <f t="shared" si="60"/>
        <v>0</v>
      </c>
      <c r="W614" s="3">
        <v>640</v>
      </c>
      <c r="X614" s="30">
        <v>85</v>
      </c>
      <c r="Y614" s="33">
        <f t="shared" si="57"/>
        <v>8.5000000000000006E-2</v>
      </c>
      <c r="AH614" s="45">
        <f t="shared" si="61"/>
        <v>0</v>
      </c>
      <c r="AJ614" s="44">
        <f t="shared" si="58"/>
        <v>0.64</v>
      </c>
      <c r="AP614" s="46">
        <f t="shared" si="59"/>
        <v>8.5000000000000006E-2</v>
      </c>
    </row>
    <row r="615" spans="19:42" ht="18">
      <c r="S615" s="8">
        <f t="shared" si="60"/>
        <v>0</v>
      </c>
      <c r="W615" s="3">
        <v>641</v>
      </c>
      <c r="X615" s="30">
        <v>85.066999999999993</v>
      </c>
      <c r="Y615" s="33">
        <f t="shared" si="57"/>
        <v>8.5000000000000006E-2</v>
      </c>
      <c r="AH615" s="45">
        <f t="shared" si="61"/>
        <v>0</v>
      </c>
      <c r="AJ615" s="44">
        <f t="shared" si="58"/>
        <v>0.64100000000000001</v>
      </c>
      <c r="AP615" s="46">
        <f t="shared" si="59"/>
        <v>8.5000000000000006E-2</v>
      </c>
    </row>
    <row r="616" spans="19:42" ht="18">
      <c r="S616" s="8">
        <f t="shared" si="60"/>
        <v>0</v>
      </c>
      <c r="W616" s="3">
        <v>642</v>
      </c>
      <c r="X616" s="30">
        <v>85.132999999999996</v>
      </c>
      <c r="Y616" s="33">
        <f t="shared" si="57"/>
        <v>8.5000000000000006E-2</v>
      </c>
      <c r="AH616" s="45">
        <f t="shared" si="61"/>
        <v>0</v>
      </c>
      <c r="AJ616" s="44">
        <f t="shared" si="58"/>
        <v>0.64200000000000002</v>
      </c>
      <c r="AP616" s="46">
        <f t="shared" si="59"/>
        <v>8.5000000000000006E-2</v>
      </c>
    </row>
    <row r="617" spans="19:42" ht="18">
      <c r="S617" s="8">
        <f t="shared" si="60"/>
        <v>0</v>
      </c>
      <c r="W617" s="3">
        <v>643</v>
      </c>
      <c r="X617" s="30">
        <v>85.2</v>
      </c>
      <c r="Y617" s="33">
        <f t="shared" si="57"/>
        <v>8.5000000000000006E-2</v>
      </c>
      <c r="AH617" s="45">
        <f t="shared" si="61"/>
        <v>0</v>
      </c>
      <c r="AJ617" s="44">
        <f t="shared" si="58"/>
        <v>0.64300000000000002</v>
      </c>
      <c r="AP617" s="46">
        <f t="shared" si="59"/>
        <v>8.5000000000000006E-2</v>
      </c>
    </row>
    <row r="618" spans="19:42" ht="18">
      <c r="S618" s="8">
        <f t="shared" si="60"/>
        <v>0</v>
      </c>
      <c r="W618" s="3">
        <v>644</v>
      </c>
      <c r="X618" s="30">
        <v>85.266999999999996</v>
      </c>
      <c r="Y618" s="33">
        <f t="shared" si="57"/>
        <v>8.5000000000000006E-2</v>
      </c>
      <c r="AH618" s="45">
        <f t="shared" si="61"/>
        <v>0</v>
      </c>
      <c r="AJ618" s="44">
        <f t="shared" si="58"/>
        <v>0.64400000000000002</v>
      </c>
      <c r="AP618" s="46">
        <f t="shared" si="59"/>
        <v>8.5000000000000006E-2</v>
      </c>
    </row>
    <row r="619" spans="19:42" ht="18">
      <c r="S619" s="8">
        <f t="shared" si="60"/>
        <v>0</v>
      </c>
      <c r="W619" s="3">
        <v>645</v>
      </c>
      <c r="X619" s="30">
        <v>85.332999999999998</v>
      </c>
      <c r="Y619" s="33">
        <f t="shared" si="57"/>
        <v>8.5000000000000006E-2</v>
      </c>
      <c r="AH619" s="45">
        <f t="shared" si="61"/>
        <v>0</v>
      </c>
      <c r="AJ619" s="44">
        <f t="shared" si="58"/>
        <v>0.64500000000000002</v>
      </c>
      <c r="AP619" s="46">
        <f t="shared" si="59"/>
        <v>8.5000000000000006E-2</v>
      </c>
    </row>
    <row r="620" spans="19:42" ht="18">
      <c r="S620" s="8">
        <f t="shared" si="60"/>
        <v>0</v>
      </c>
      <c r="W620" s="3">
        <v>646</v>
      </c>
      <c r="X620" s="30">
        <v>85.4</v>
      </c>
      <c r="Y620" s="33">
        <f t="shared" si="57"/>
        <v>8.5000000000000006E-2</v>
      </c>
      <c r="AH620" s="45">
        <f t="shared" si="61"/>
        <v>0</v>
      </c>
      <c r="AJ620" s="44">
        <f t="shared" si="58"/>
        <v>0.64600000000000002</v>
      </c>
      <c r="AP620" s="46">
        <f t="shared" si="59"/>
        <v>8.5000000000000006E-2</v>
      </c>
    </row>
    <row r="621" spans="19:42" ht="18">
      <c r="S621" s="8">
        <f t="shared" si="60"/>
        <v>0</v>
      </c>
      <c r="W621" s="3">
        <v>647</v>
      </c>
      <c r="X621" s="30">
        <v>85.466999999999999</v>
      </c>
      <c r="Y621" s="33">
        <f t="shared" si="57"/>
        <v>8.5000000000000006E-2</v>
      </c>
      <c r="AH621" s="45">
        <f t="shared" si="61"/>
        <v>0</v>
      </c>
      <c r="AJ621" s="44">
        <f t="shared" si="58"/>
        <v>0.64700000000000002</v>
      </c>
      <c r="AP621" s="46">
        <f t="shared" si="59"/>
        <v>8.5000000000000006E-2</v>
      </c>
    </row>
    <row r="622" spans="19:42" ht="18">
      <c r="S622" s="8">
        <f t="shared" si="60"/>
        <v>0</v>
      </c>
      <c r="W622" s="3">
        <v>648</v>
      </c>
      <c r="X622" s="30">
        <v>85.533000000000001</v>
      </c>
      <c r="Y622" s="33">
        <f t="shared" si="57"/>
        <v>8.5999999999999993E-2</v>
      </c>
      <c r="AH622" s="45">
        <f t="shared" si="61"/>
        <v>0</v>
      </c>
      <c r="AJ622" s="44">
        <f t="shared" si="58"/>
        <v>0.64800000000000002</v>
      </c>
      <c r="AP622" s="46">
        <f t="shared" si="59"/>
        <v>8.5999999999999993E-2</v>
      </c>
    </row>
    <row r="623" spans="19:42" ht="18">
      <c r="S623" s="8">
        <f t="shared" si="60"/>
        <v>0</v>
      </c>
      <c r="W623" s="3">
        <v>649</v>
      </c>
      <c r="X623" s="30">
        <v>85.6</v>
      </c>
      <c r="Y623" s="33">
        <f t="shared" si="57"/>
        <v>8.5999999999999993E-2</v>
      </c>
      <c r="AH623" s="45">
        <f t="shared" si="61"/>
        <v>0</v>
      </c>
      <c r="AJ623" s="44">
        <f t="shared" si="58"/>
        <v>0.64900000000000002</v>
      </c>
      <c r="AP623" s="46">
        <f t="shared" si="59"/>
        <v>8.5999999999999993E-2</v>
      </c>
    </row>
    <row r="624" spans="19:42" ht="18">
      <c r="S624" s="8">
        <f t="shared" si="60"/>
        <v>0</v>
      </c>
      <c r="W624" s="3">
        <v>650</v>
      </c>
      <c r="X624" s="30">
        <v>85.667000000000002</v>
      </c>
      <c r="Y624" s="33">
        <f t="shared" si="57"/>
        <v>8.5999999999999993E-2</v>
      </c>
      <c r="AH624" s="45">
        <f t="shared" si="61"/>
        <v>0</v>
      </c>
      <c r="AJ624" s="44">
        <f t="shared" si="58"/>
        <v>0.65</v>
      </c>
      <c r="AP624" s="46">
        <f t="shared" si="59"/>
        <v>8.5999999999999993E-2</v>
      </c>
    </row>
    <row r="625" spans="19:42" ht="18">
      <c r="S625" s="8">
        <f t="shared" si="60"/>
        <v>0</v>
      </c>
      <c r="W625" s="3">
        <v>651</v>
      </c>
      <c r="X625" s="30">
        <v>85.733000000000004</v>
      </c>
      <c r="Y625" s="33">
        <f t="shared" si="57"/>
        <v>8.5999999999999993E-2</v>
      </c>
      <c r="AH625" s="45">
        <f t="shared" si="61"/>
        <v>0</v>
      </c>
      <c r="AJ625" s="44">
        <f t="shared" si="58"/>
        <v>0.65100000000000002</v>
      </c>
      <c r="AP625" s="46">
        <f t="shared" si="59"/>
        <v>8.5999999999999993E-2</v>
      </c>
    </row>
    <row r="626" spans="19:42" ht="18">
      <c r="S626" s="8">
        <f t="shared" si="60"/>
        <v>0</v>
      </c>
      <c r="W626" s="3">
        <v>652</v>
      </c>
      <c r="X626" s="30">
        <v>85.8</v>
      </c>
      <c r="Y626" s="33">
        <f t="shared" si="57"/>
        <v>8.5999999999999993E-2</v>
      </c>
      <c r="AH626" s="45">
        <f t="shared" si="61"/>
        <v>0</v>
      </c>
      <c r="AJ626" s="44">
        <f t="shared" si="58"/>
        <v>0.65200000000000002</v>
      </c>
      <c r="AP626" s="46">
        <f t="shared" si="59"/>
        <v>8.5999999999999993E-2</v>
      </c>
    </row>
    <row r="627" spans="19:42" ht="18">
      <c r="S627" s="8">
        <f t="shared" si="60"/>
        <v>0</v>
      </c>
      <c r="W627" s="3">
        <v>653</v>
      </c>
      <c r="X627" s="30">
        <v>85.867000000000004</v>
      </c>
      <c r="Y627" s="33">
        <f t="shared" si="57"/>
        <v>8.5999999999999993E-2</v>
      </c>
      <c r="AH627" s="45">
        <f t="shared" si="61"/>
        <v>0</v>
      </c>
      <c r="AJ627" s="44">
        <f t="shared" si="58"/>
        <v>0.65300000000000002</v>
      </c>
      <c r="AP627" s="46">
        <f t="shared" si="59"/>
        <v>8.5999999999999993E-2</v>
      </c>
    </row>
    <row r="628" spans="19:42" ht="18">
      <c r="S628" s="8">
        <f t="shared" si="60"/>
        <v>0</v>
      </c>
      <c r="W628" s="3">
        <v>654</v>
      </c>
      <c r="X628" s="30">
        <v>85.933000000000007</v>
      </c>
      <c r="Y628" s="33">
        <f t="shared" si="57"/>
        <v>8.5999999999999993E-2</v>
      </c>
      <c r="AH628" s="45">
        <f t="shared" si="61"/>
        <v>0</v>
      </c>
      <c r="AJ628" s="44">
        <f t="shared" si="58"/>
        <v>0.65400000000000003</v>
      </c>
      <c r="AP628" s="46">
        <f t="shared" si="59"/>
        <v>8.5999999999999993E-2</v>
      </c>
    </row>
    <row r="629" spans="19:42" ht="18">
      <c r="S629" s="8">
        <f t="shared" si="60"/>
        <v>0</v>
      </c>
      <c r="W629" s="3">
        <v>655</v>
      </c>
      <c r="X629" s="30">
        <v>86</v>
      </c>
      <c r="Y629" s="33">
        <f t="shared" si="57"/>
        <v>8.5999999999999993E-2</v>
      </c>
      <c r="AH629" s="45">
        <f t="shared" si="61"/>
        <v>0</v>
      </c>
      <c r="AJ629" s="44">
        <f t="shared" si="58"/>
        <v>0.65500000000000003</v>
      </c>
      <c r="AP629" s="46">
        <f t="shared" si="59"/>
        <v>8.5999999999999993E-2</v>
      </c>
    </row>
    <row r="630" spans="19:42" ht="18">
      <c r="S630" s="8">
        <f t="shared" si="60"/>
        <v>0</v>
      </c>
      <c r="W630" s="3">
        <v>656</v>
      </c>
      <c r="X630" s="30">
        <v>86.066999999999993</v>
      </c>
      <c r="Y630" s="33">
        <f t="shared" si="57"/>
        <v>8.5999999999999993E-2</v>
      </c>
      <c r="AH630" s="45">
        <f t="shared" si="61"/>
        <v>0</v>
      </c>
      <c r="AJ630" s="44">
        <f t="shared" si="58"/>
        <v>0.65600000000000003</v>
      </c>
      <c r="AP630" s="46">
        <f t="shared" si="59"/>
        <v>8.5999999999999993E-2</v>
      </c>
    </row>
    <row r="631" spans="19:42" ht="18">
      <c r="S631" s="8">
        <f t="shared" si="60"/>
        <v>0</v>
      </c>
      <c r="W631" s="3">
        <v>657</v>
      </c>
      <c r="X631" s="30">
        <v>86.132999999999996</v>
      </c>
      <c r="Y631" s="33">
        <f t="shared" si="57"/>
        <v>8.5999999999999993E-2</v>
      </c>
      <c r="AH631" s="45">
        <f t="shared" si="61"/>
        <v>0</v>
      </c>
      <c r="AJ631" s="44">
        <f t="shared" si="58"/>
        <v>0.65700000000000003</v>
      </c>
      <c r="AP631" s="46">
        <f t="shared" si="59"/>
        <v>8.5999999999999993E-2</v>
      </c>
    </row>
    <row r="632" spans="19:42" ht="18">
      <c r="S632" s="8">
        <f t="shared" si="60"/>
        <v>0</v>
      </c>
      <c r="W632" s="3">
        <v>658</v>
      </c>
      <c r="X632" s="30">
        <v>86.2</v>
      </c>
      <c r="Y632" s="33">
        <f t="shared" si="57"/>
        <v>8.5999999999999993E-2</v>
      </c>
      <c r="AH632" s="45">
        <f t="shared" si="61"/>
        <v>0</v>
      </c>
      <c r="AJ632" s="44">
        <f t="shared" si="58"/>
        <v>0.65800000000000003</v>
      </c>
      <c r="AP632" s="46">
        <f t="shared" si="59"/>
        <v>8.5999999999999993E-2</v>
      </c>
    </row>
    <row r="633" spans="19:42" ht="18">
      <c r="S633" s="8">
        <f t="shared" si="60"/>
        <v>0</v>
      </c>
      <c r="W633" s="3">
        <v>659</v>
      </c>
      <c r="X633" s="30">
        <v>86.266999999999996</v>
      </c>
      <c r="Y633" s="33">
        <f t="shared" si="57"/>
        <v>8.5999999999999993E-2</v>
      </c>
      <c r="AH633" s="45">
        <f t="shared" si="61"/>
        <v>0</v>
      </c>
      <c r="AJ633" s="44">
        <f t="shared" si="58"/>
        <v>0.65900000000000003</v>
      </c>
      <c r="AP633" s="46">
        <f t="shared" si="59"/>
        <v>8.5999999999999993E-2</v>
      </c>
    </row>
    <row r="634" spans="19:42" ht="18">
      <c r="S634" s="8">
        <f t="shared" si="60"/>
        <v>0</v>
      </c>
      <c r="W634" s="3">
        <v>660</v>
      </c>
      <c r="X634" s="30">
        <v>86.332999999999998</v>
      </c>
      <c r="Y634" s="33">
        <f t="shared" si="57"/>
        <v>8.5999999999999993E-2</v>
      </c>
      <c r="AH634" s="45">
        <f t="shared" si="61"/>
        <v>0</v>
      </c>
      <c r="AJ634" s="44">
        <f t="shared" si="58"/>
        <v>0.66</v>
      </c>
      <c r="AP634" s="46">
        <f t="shared" si="59"/>
        <v>8.5999999999999993E-2</v>
      </c>
    </row>
    <row r="635" spans="19:42" ht="18">
      <c r="S635" s="8">
        <f t="shared" si="60"/>
        <v>0</v>
      </c>
      <c r="W635" s="3">
        <v>661</v>
      </c>
      <c r="X635" s="30">
        <v>86.4</v>
      </c>
      <c r="Y635" s="33">
        <f t="shared" si="57"/>
        <v>8.5999999999999993E-2</v>
      </c>
      <c r="AH635" s="45">
        <f t="shared" si="61"/>
        <v>0</v>
      </c>
      <c r="AJ635" s="44">
        <f t="shared" si="58"/>
        <v>0.66100000000000003</v>
      </c>
      <c r="AP635" s="46">
        <f t="shared" si="59"/>
        <v>8.5999999999999993E-2</v>
      </c>
    </row>
    <row r="636" spans="19:42" ht="18">
      <c r="S636" s="8">
        <f t="shared" si="60"/>
        <v>0</v>
      </c>
      <c r="W636" s="3">
        <v>662</v>
      </c>
      <c r="X636" s="30">
        <v>86.466999999999999</v>
      </c>
      <c r="Y636" s="33">
        <f t="shared" si="57"/>
        <v>8.5999999999999993E-2</v>
      </c>
      <c r="AH636" s="45">
        <f t="shared" si="61"/>
        <v>0</v>
      </c>
      <c r="AJ636" s="44">
        <f t="shared" si="58"/>
        <v>0.66200000000000003</v>
      </c>
      <c r="AP636" s="46">
        <f t="shared" si="59"/>
        <v>8.5999999999999993E-2</v>
      </c>
    </row>
    <row r="637" spans="19:42" ht="18">
      <c r="S637" s="8">
        <f t="shared" si="60"/>
        <v>0</v>
      </c>
      <c r="W637" s="3">
        <v>663</v>
      </c>
      <c r="X637" s="30">
        <v>86.533000000000001</v>
      </c>
      <c r="Y637" s="33">
        <f t="shared" si="57"/>
        <v>8.6999999999999994E-2</v>
      </c>
      <c r="AH637" s="45">
        <f t="shared" si="61"/>
        <v>0</v>
      </c>
      <c r="AJ637" s="44">
        <f t="shared" si="58"/>
        <v>0.66300000000000003</v>
      </c>
      <c r="AP637" s="46">
        <f t="shared" si="59"/>
        <v>8.6999999999999994E-2</v>
      </c>
    </row>
    <row r="638" spans="19:42" ht="18">
      <c r="S638" s="8">
        <f t="shared" si="60"/>
        <v>0</v>
      </c>
      <c r="W638" s="3">
        <v>664</v>
      </c>
      <c r="X638" s="30">
        <v>86.6</v>
      </c>
      <c r="Y638" s="33">
        <f t="shared" si="57"/>
        <v>8.6999999999999994E-2</v>
      </c>
      <c r="AH638" s="45">
        <f t="shared" si="61"/>
        <v>0</v>
      </c>
      <c r="AJ638" s="44">
        <f t="shared" si="58"/>
        <v>0.66400000000000003</v>
      </c>
      <c r="AP638" s="46">
        <f t="shared" si="59"/>
        <v>8.6999999999999994E-2</v>
      </c>
    </row>
    <row r="639" spans="19:42" ht="18">
      <c r="S639" s="8">
        <f t="shared" si="60"/>
        <v>0</v>
      </c>
      <c r="W639" s="3">
        <v>665</v>
      </c>
      <c r="X639" s="30">
        <v>86.667000000000002</v>
      </c>
      <c r="Y639" s="33">
        <f t="shared" si="57"/>
        <v>8.6999999999999994E-2</v>
      </c>
      <c r="AH639" s="45">
        <f t="shared" si="61"/>
        <v>0</v>
      </c>
      <c r="AJ639" s="44">
        <f t="shared" si="58"/>
        <v>0.66500000000000004</v>
      </c>
      <c r="AP639" s="46">
        <f t="shared" si="59"/>
        <v>8.6999999999999994E-2</v>
      </c>
    </row>
    <row r="640" spans="19:42" ht="18">
      <c r="S640" s="8">
        <f t="shared" si="60"/>
        <v>0</v>
      </c>
      <c r="W640" s="3">
        <v>666</v>
      </c>
      <c r="X640" s="30">
        <v>86.733000000000004</v>
      </c>
      <c r="Y640" s="33">
        <f t="shared" si="57"/>
        <v>8.6999999999999994E-2</v>
      </c>
      <c r="AH640" s="45">
        <f t="shared" si="61"/>
        <v>0</v>
      </c>
      <c r="AJ640" s="44">
        <f t="shared" si="58"/>
        <v>0.66600000000000004</v>
      </c>
      <c r="AP640" s="46">
        <f t="shared" si="59"/>
        <v>8.6999999999999994E-2</v>
      </c>
    </row>
    <row r="641" spans="19:42" ht="18">
      <c r="S641" s="8">
        <f t="shared" si="60"/>
        <v>0</v>
      </c>
      <c r="W641" s="3">
        <v>667</v>
      </c>
      <c r="X641" s="30">
        <v>86.8</v>
      </c>
      <c r="Y641" s="33">
        <f t="shared" si="57"/>
        <v>8.6999999999999994E-2</v>
      </c>
      <c r="AH641" s="45">
        <f t="shared" si="61"/>
        <v>0</v>
      </c>
      <c r="AJ641" s="44">
        <f t="shared" si="58"/>
        <v>0.66700000000000004</v>
      </c>
      <c r="AP641" s="46">
        <f t="shared" si="59"/>
        <v>8.6999999999999994E-2</v>
      </c>
    </row>
    <row r="642" spans="19:42" ht="18">
      <c r="S642" s="8">
        <f t="shared" si="60"/>
        <v>0</v>
      </c>
      <c r="W642" s="3">
        <v>668</v>
      </c>
      <c r="X642" s="30">
        <v>86.867000000000004</v>
      </c>
      <c r="Y642" s="33">
        <f t="shared" si="57"/>
        <v>8.6999999999999994E-2</v>
      </c>
      <c r="AH642" s="45">
        <f t="shared" si="61"/>
        <v>0</v>
      </c>
      <c r="AJ642" s="44">
        <f t="shared" si="58"/>
        <v>0.66800000000000004</v>
      </c>
      <c r="AP642" s="46">
        <f t="shared" si="59"/>
        <v>8.6999999999999994E-2</v>
      </c>
    </row>
    <row r="643" spans="19:42" ht="18">
      <c r="S643" s="8">
        <f t="shared" si="60"/>
        <v>0</v>
      </c>
      <c r="W643" s="3">
        <v>669</v>
      </c>
      <c r="X643" s="30">
        <v>86.933000000000007</v>
      </c>
      <c r="Y643" s="33">
        <f t="shared" si="57"/>
        <v>8.6999999999999994E-2</v>
      </c>
      <c r="AH643" s="45">
        <f t="shared" si="61"/>
        <v>0</v>
      </c>
      <c r="AJ643" s="44">
        <f t="shared" si="58"/>
        <v>0.66900000000000004</v>
      </c>
      <c r="AP643" s="46">
        <f t="shared" si="59"/>
        <v>8.6999999999999994E-2</v>
      </c>
    </row>
    <row r="644" spans="19:42" ht="18">
      <c r="S644" s="8">
        <f t="shared" si="60"/>
        <v>0</v>
      </c>
      <c r="W644" s="3">
        <v>670</v>
      </c>
      <c r="X644" s="30">
        <v>87</v>
      </c>
      <c r="Y644" s="33">
        <f t="shared" si="57"/>
        <v>8.6999999999999994E-2</v>
      </c>
      <c r="AH644" s="45">
        <f t="shared" si="61"/>
        <v>0</v>
      </c>
      <c r="AJ644" s="44">
        <f t="shared" si="58"/>
        <v>0.67</v>
      </c>
      <c r="AP644" s="46">
        <f t="shared" si="59"/>
        <v>8.6999999999999994E-2</v>
      </c>
    </row>
    <row r="645" spans="19:42" ht="18">
      <c r="S645" s="8">
        <f t="shared" si="60"/>
        <v>0</v>
      </c>
      <c r="W645" s="3">
        <v>671</v>
      </c>
      <c r="X645" s="30">
        <v>87.05</v>
      </c>
      <c r="Y645" s="33">
        <f t="shared" ref="Y645:Y708" si="62">ROUND(X645/1000,3)</f>
        <v>8.6999999999999994E-2</v>
      </c>
      <c r="AH645" s="45">
        <f t="shared" si="61"/>
        <v>0</v>
      </c>
      <c r="AJ645" s="44">
        <f t="shared" ref="AJ645:AJ708" si="63">ROUND(W645/1000,3)</f>
        <v>0.67100000000000004</v>
      </c>
      <c r="AP645" s="46">
        <f t="shared" ref="AP645:AP708" si="64">ROUND(X645/1000,3)</f>
        <v>8.6999999999999994E-2</v>
      </c>
    </row>
    <row r="646" spans="19:42" ht="18">
      <c r="S646" s="8">
        <f t="shared" ref="S646:S709" si="65">CEILING(R646/50,0.5)</f>
        <v>0</v>
      </c>
      <c r="W646" s="3">
        <v>672</v>
      </c>
      <c r="X646" s="30">
        <v>87.1</v>
      </c>
      <c r="Y646" s="33">
        <f t="shared" si="62"/>
        <v>8.6999999999999994E-2</v>
      </c>
      <c r="AH646" s="45">
        <f t="shared" ref="AH646:AH709" si="66">AE646-AE645</f>
        <v>0</v>
      </c>
      <c r="AJ646" s="44">
        <f t="shared" si="63"/>
        <v>0.67200000000000004</v>
      </c>
      <c r="AP646" s="46">
        <f t="shared" si="64"/>
        <v>8.6999999999999994E-2</v>
      </c>
    </row>
    <row r="647" spans="19:42" ht="18">
      <c r="S647" s="8">
        <f t="shared" si="65"/>
        <v>0</v>
      </c>
      <c r="W647" s="3">
        <v>673</v>
      </c>
      <c r="X647" s="30">
        <v>87.15</v>
      </c>
      <c r="Y647" s="33">
        <f t="shared" si="62"/>
        <v>8.6999999999999994E-2</v>
      </c>
      <c r="AH647" s="45">
        <f t="shared" si="66"/>
        <v>0</v>
      </c>
      <c r="AJ647" s="44">
        <f t="shared" si="63"/>
        <v>0.67300000000000004</v>
      </c>
      <c r="AP647" s="46">
        <f t="shared" si="64"/>
        <v>8.6999999999999994E-2</v>
      </c>
    </row>
    <row r="648" spans="19:42" ht="18">
      <c r="S648" s="8">
        <f t="shared" si="65"/>
        <v>0</v>
      </c>
      <c r="W648" s="3">
        <v>674</v>
      </c>
      <c r="X648" s="30">
        <v>87.2</v>
      </c>
      <c r="Y648" s="33">
        <f t="shared" si="62"/>
        <v>8.6999999999999994E-2</v>
      </c>
      <c r="AH648" s="45">
        <f t="shared" si="66"/>
        <v>0</v>
      </c>
      <c r="AJ648" s="44">
        <f t="shared" si="63"/>
        <v>0.67400000000000004</v>
      </c>
      <c r="AP648" s="46">
        <f t="shared" si="64"/>
        <v>8.6999999999999994E-2</v>
      </c>
    </row>
    <row r="649" spans="19:42" ht="18">
      <c r="S649" s="8">
        <f t="shared" si="65"/>
        <v>0</v>
      </c>
      <c r="W649" s="3">
        <v>675</v>
      </c>
      <c r="X649" s="30">
        <v>87.25</v>
      </c>
      <c r="Y649" s="33">
        <f t="shared" si="62"/>
        <v>8.6999999999999994E-2</v>
      </c>
      <c r="AH649" s="45">
        <f t="shared" si="66"/>
        <v>0</v>
      </c>
      <c r="AJ649" s="44">
        <f t="shared" si="63"/>
        <v>0.67500000000000004</v>
      </c>
      <c r="AP649" s="46">
        <f t="shared" si="64"/>
        <v>8.6999999999999994E-2</v>
      </c>
    </row>
    <row r="650" spans="19:42" ht="18">
      <c r="S650" s="8">
        <f t="shared" si="65"/>
        <v>0</v>
      </c>
      <c r="W650" s="3">
        <v>676</v>
      </c>
      <c r="X650" s="30">
        <v>87.3</v>
      </c>
      <c r="Y650" s="33">
        <f t="shared" si="62"/>
        <v>8.6999999999999994E-2</v>
      </c>
      <c r="AH650" s="45">
        <f t="shared" si="66"/>
        <v>0</v>
      </c>
      <c r="AJ650" s="44">
        <f t="shared" si="63"/>
        <v>0.67600000000000005</v>
      </c>
      <c r="AP650" s="46">
        <f t="shared" si="64"/>
        <v>8.6999999999999994E-2</v>
      </c>
    </row>
    <row r="651" spans="19:42" ht="18">
      <c r="S651" s="8">
        <f t="shared" si="65"/>
        <v>0</v>
      </c>
      <c r="W651" s="3">
        <v>677</v>
      </c>
      <c r="X651" s="30">
        <v>87.35</v>
      </c>
      <c r="Y651" s="33">
        <f t="shared" si="62"/>
        <v>8.6999999999999994E-2</v>
      </c>
      <c r="AH651" s="45">
        <f t="shared" si="66"/>
        <v>0</v>
      </c>
      <c r="AJ651" s="44">
        <f t="shared" si="63"/>
        <v>0.67700000000000005</v>
      </c>
      <c r="AP651" s="46">
        <f t="shared" si="64"/>
        <v>8.6999999999999994E-2</v>
      </c>
    </row>
    <row r="652" spans="19:42" ht="18">
      <c r="S652" s="8">
        <f t="shared" si="65"/>
        <v>0</v>
      </c>
      <c r="W652" s="3">
        <v>678</v>
      </c>
      <c r="X652" s="30">
        <v>87.4</v>
      </c>
      <c r="Y652" s="33">
        <f t="shared" si="62"/>
        <v>8.6999999999999994E-2</v>
      </c>
      <c r="AH652" s="45">
        <f t="shared" si="66"/>
        <v>0</v>
      </c>
      <c r="AJ652" s="44">
        <f t="shared" si="63"/>
        <v>0.67800000000000005</v>
      </c>
      <c r="AP652" s="46">
        <f t="shared" si="64"/>
        <v>8.6999999999999994E-2</v>
      </c>
    </row>
    <row r="653" spans="19:42" ht="18">
      <c r="S653" s="8">
        <f t="shared" si="65"/>
        <v>0</v>
      </c>
      <c r="W653" s="3">
        <v>679</v>
      </c>
      <c r="X653" s="30">
        <v>87.45</v>
      </c>
      <c r="Y653" s="33">
        <f t="shared" si="62"/>
        <v>8.6999999999999994E-2</v>
      </c>
      <c r="AH653" s="45">
        <f t="shared" si="66"/>
        <v>0</v>
      </c>
      <c r="AJ653" s="44">
        <f t="shared" si="63"/>
        <v>0.67900000000000005</v>
      </c>
      <c r="AP653" s="46">
        <f t="shared" si="64"/>
        <v>8.6999999999999994E-2</v>
      </c>
    </row>
    <row r="654" spans="19:42" ht="18">
      <c r="S654" s="8">
        <f t="shared" si="65"/>
        <v>0</v>
      </c>
      <c r="W654" s="3">
        <v>680</v>
      </c>
      <c r="X654" s="30">
        <v>87.5</v>
      </c>
      <c r="Y654" s="33">
        <f t="shared" si="62"/>
        <v>8.7999999999999995E-2</v>
      </c>
      <c r="AH654" s="45">
        <f t="shared" si="66"/>
        <v>0</v>
      </c>
      <c r="AJ654" s="44">
        <f t="shared" si="63"/>
        <v>0.68</v>
      </c>
      <c r="AP654" s="46">
        <f t="shared" si="64"/>
        <v>8.7999999999999995E-2</v>
      </c>
    </row>
    <row r="655" spans="19:42" ht="18">
      <c r="S655" s="8">
        <f t="shared" si="65"/>
        <v>0</v>
      </c>
      <c r="W655" s="3">
        <v>681</v>
      </c>
      <c r="X655" s="30">
        <v>87.55</v>
      </c>
      <c r="Y655" s="33">
        <f t="shared" si="62"/>
        <v>8.7999999999999995E-2</v>
      </c>
      <c r="AH655" s="45">
        <f t="shared" si="66"/>
        <v>0</v>
      </c>
      <c r="AJ655" s="44">
        <f t="shared" si="63"/>
        <v>0.68100000000000005</v>
      </c>
      <c r="AP655" s="46">
        <f t="shared" si="64"/>
        <v>8.7999999999999995E-2</v>
      </c>
    </row>
    <row r="656" spans="19:42" ht="18">
      <c r="S656" s="8">
        <f t="shared" si="65"/>
        <v>0</v>
      </c>
      <c r="W656" s="3">
        <v>682</v>
      </c>
      <c r="X656" s="30">
        <v>87.6</v>
      </c>
      <c r="Y656" s="33">
        <f t="shared" si="62"/>
        <v>8.7999999999999995E-2</v>
      </c>
      <c r="AH656" s="45">
        <f t="shared" si="66"/>
        <v>0</v>
      </c>
      <c r="AJ656" s="44">
        <f t="shared" si="63"/>
        <v>0.68200000000000005</v>
      </c>
      <c r="AP656" s="46">
        <f t="shared" si="64"/>
        <v>8.7999999999999995E-2</v>
      </c>
    </row>
    <row r="657" spans="19:42" ht="18">
      <c r="S657" s="8">
        <f t="shared" si="65"/>
        <v>0</v>
      </c>
      <c r="W657" s="3">
        <v>683</v>
      </c>
      <c r="X657" s="30">
        <v>87.65</v>
      </c>
      <c r="Y657" s="33">
        <f t="shared" si="62"/>
        <v>8.7999999999999995E-2</v>
      </c>
      <c r="AH657" s="45">
        <f t="shared" si="66"/>
        <v>0</v>
      </c>
      <c r="AJ657" s="44">
        <f t="shared" si="63"/>
        <v>0.68300000000000005</v>
      </c>
      <c r="AP657" s="46">
        <f t="shared" si="64"/>
        <v>8.7999999999999995E-2</v>
      </c>
    </row>
    <row r="658" spans="19:42" ht="18">
      <c r="S658" s="8">
        <f t="shared" si="65"/>
        <v>0</v>
      </c>
      <c r="W658" s="3">
        <v>684</v>
      </c>
      <c r="X658" s="30">
        <v>87.7</v>
      </c>
      <c r="Y658" s="33">
        <f t="shared" si="62"/>
        <v>8.7999999999999995E-2</v>
      </c>
      <c r="AH658" s="45">
        <f t="shared" si="66"/>
        <v>0</v>
      </c>
      <c r="AJ658" s="44">
        <f t="shared" si="63"/>
        <v>0.68400000000000005</v>
      </c>
      <c r="AP658" s="46">
        <f t="shared" si="64"/>
        <v>8.7999999999999995E-2</v>
      </c>
    </row>
    <row r="659" spans="19:42" ht="18">
      <c r="S659" s="8">
        <f t="shared" si="65"/>
        <v>0</v>
      </c>
      <c r="W659" s="3">
        <v>685</v>
      </c>
      <c r="X659" s="30">
        <v>87.75</v>
      </c>
      <c r="Y659" s="33">
        <f t="shared" si="62"/>
        <v>8.7999999999999995E-2</v>
      </c>
      <c r="AH659" s="45">
        <f t="shared" si="66"/>
        <v>0</v>
      </c>
      <c r="AJ659" s="44">
        <f t="shared" si="63"/>
        <v>0.68500000000000005</v>
      </c>
      <c r="AP659" s="46">
        <f t="shared" si="64"/>
        <v>8.7999999999999995E-2</v>
      </c>
    </row>
    <row r="660" spans="19:42" ht="18">
      <c r="S660" s="8">
        <f t="shared" si="65"/>
        <v>0</v>
      </c>
      <c r="W660" s="3">
        <v>686</v>
      </c>
      <c r="X660" s="30">
        <v>87.8</v>
      </c>
      <c r="Y660" s="33">
        <f t="shared" si="62"/>
        <v>8.7999999999999995E-2</v>
      </c>
      <c r="AH660" s="45">
        <f t="shared" si="66"/>
        <v>0</v>
      </c>
      <c r="AJ660" s="44">
        <f t="shared" si="63"/>
        <v>0.68600000000000005</v>
      </c>
      <c r="AP660" s="46">
        <f t="shared" si="64"/>
        <v>8.7999999999999995E-2</v>
      </c>
    </row>
    <row r="661" spans="19:42" ht="18">
      <c r="S661" s="8">
        <f t="shared" si="65"/>
        <v>0</v>
      </c>
      <c r="W661" s="3">
        <v>687</v>
      </c>
      <c r="X661" s="30">
        <v>87.85</v>
      </c>
      <c r="Y661" s="33">
        <f t="shared" si="62"/>
        <v>8.7999999999999995E-2</v>
      </c>
      <c r="AH661" s="45">
        <f t="shared" si="66"/>
        <v>0</v>
      </c>
      <c r="AJ661" s="44">
        <f t="shared" si="63"/>
        <v>0.68700000000000006</v>
      </c>
      <c r="AP661" s="46">
        <f t="shared" si="64"/>
        <v>8.7999999999999995E-2</v>
      </c>
    </row>
    <row r="662" spans="19:42" ht="18">
      <c r="S662" s="8">
        <f t="shared" si="65"/>
        <v>0</v>
      </c>
      <c r="W662" s="3">
        <v>688</v>
      </c>
      <c r="X662" s="30">
        <v>87.9</v>
      </c>
      <c r="Y662" s="33">
        <f t="shared" si="62"/>
        <v>8.7999999999999995E-2</v>
      </c>
      <c r="AH662" s="45">
        <f t="shared" si="66"/>
        <v>0</v>
      </c>
      <c r="AJ662" s="44">
        <f t="shared" si="63"/>
        <v>0.68799999999999994</v>
      </c>
      <c r="AP662" s="46">
        <f t="shared" si="64"/>
        <v>8.7999999999999995E-2</v>
      </c>
    </row>
    <row r="663" spans="19:42" ht="18">
      <c r="S663" s="8">
        <f t="shared" si="65"/>
        <v>0</v>
      </c>
      <c r="W663" s="3">
        <v>689</v>
      </c>
      <c r="X663" s="30">
        <v>87.95</v>
      </c>
      <c r="Y663" s="33">
        <f t="shared" si="62"/>
        <v>8.7999999999999995E-2</v>
      </c>
      <c r="AH663" s="45">
        <f t="shared" si="66"/>
        <v>0</v>
      </c>
      <c r="AJ663" s="44">
        <f t="shared" si="63"/>
        <v>0.68899999999999995</v>
      </c>
      <c r="AP663" s="46">
        <f t="shared" si="64"/>
        <v>8.7999999999999995E-2</v>
      </c>
    </row>
    <row r="664" spans="19:42" ht="18">
      <c r="S664" s="8">
        <f t="shared" si="65"/>
        <v>0</v>
      </c>
      <c r="W664" s="3">
        <v>690</v>
      </c>
      <c r="X664" s="30">
        <v>88</v>
      </c>
      <c r="Y664" s="33">
        <f t="shared" si="62"/>
        <v>8.7999999999999995E-2</v>
      </c>
      <c r="AH664" s="45">
        <f t="shared" si="66"/>
        <v>0</v>
      </c>
      <c r="AJ664" s="44">
        <f t="shared" si="63"/>
        <v>0.69</v>
      </c>
      <c r="AP664" s="46">
        <f t="shared" si="64"/>
        <v>8.7999999999999995E-2</v>
      </c>
    </row>
    <row r="665" spans="19:42" ht="18">
      <c r="S665" s="8">
        <f t="shared" si="65"/>
        <v>0</v>
      </c>
      <c r="W665" s="3">
        <v>691</v>
      </c>
      <c r="X665" s="30">
        <v>88.05</v>
      </c>
      <c r="Y665" s="33">
        <f t="shared" si="62"/>
        <v>8.7999999999999995E-2</v>
      </c>
      <c r="AH665" s="45">
        <f t="shared" si="66"/>
        <v>0</v>
      </c>
      <c r="AJ665" s="44">
        <f t="shared" si="63"/>
        <v>0.69099999999999995</v>
      </c>
      <c r="AP665" s="46">
        <f t="shared" si="64"/>
        <v>8.7999999999999995E-2</v>
      </c>
    </row>
    <row r="666" spans="19:42" ht="18">
      <c r="S666" s="8">
        <f t="shared" si="65"/>
        <v>0</v>
      </c>
      <c r="W666" s="3">
        <v>692</v>
      </c>
      <c r="X666" s="30">
        <v>88.1</v>
      </c>
      <c r="Y666" s="33">
        <f t="shared" si="62"/>
        <v>8.7999999999999995E-2</v>
      </c>
      <c r="AH666" s="45">
        <f t="shared" si="66"/>
        <v>0</v>
      </c>
      <c r="AJ666" s="44">
        <f t="shared" si="63"/>
        <v>0.69199999999999995</v>
      </c>
      <c r="AP666" s="46">
        <f t="shared" si="64"/>
        <v>8.7999999999999995E-2</v>
      </c>
    </row>
    <row r="667" spans="19:42" ht="18">
      <c r="S667" s="8">
        <f t="shared" si="65"/>
        <v>0</v>
      </c>
      <c r="W667" s="3">
        <v>693</v>
      </c>
      <c r="X667" s="30">
        <v>88.15</v>
      </c>
      <c r="Y667" s="33">
        <f t="shared" si="62"/>
        <v>8.7999999999999995E-2</v>
      </c>
      <c r="AH667" s="45">
        <f t="shared" si="66"/>
        <v>0</v>
      </c>
      <c r="AJ667" s="44">
        <f t="shared" si="63"/>
        <v>0.69299999999999995</v>
      </c>
      <c r="AP667" s="46">
        <f t="shared" si="64"/>
        <v>8.7999999999999995E-2</v>
      </c>
    </row>
    <row r="668" spans="19:42" ht="18">
      <c r="S668" s="8">
        <f t="shared" si="65"/>
        <v>0</v>
      </c>
      <c r="W668" s="3">
        <v>694</v>
      </c>
      <c r="X668" s="30">
        <v>88.2</v>
      </c>
      <c r="Y668" s="33">
        <f t="shared" si="62"/>
        <v>8.7999999999999995E-2</v>
      </c>
      <c r="AH668" s="45">
        <f t="shared" si="66"/>
        <v>0</v>
      </c>
      <c r="AJ668" s="44">
        <f t="shared" si="63"/>
        <v>0.69399999999999995</v>
      </c>
      <c r="AP668" s="46">
        <f t="shared" si="64"/>
        <v>8.7999999999999995E-2</v>
      </c>
    </row>
    <row r="669" spans="19:42" ht="18">
      <c r="S669" s="8">
        <f t="shared" si="65"/>
        <v>0</v>
      </c>
      <c r="W669" s="3">
        <v>695</v>
      </c>
      <c r="X669" s="30">
        <v>88.25</v>
      </c>
      <c r="Y669" s="33">
        <f t="shared" si="62"/>
        <v>8.7999999999999995E-2</v>
      </c>
      <c r="AH669" s="45">
        <f t="shared" si="66"/>
        <v>0</v>
      </c>
      <c r="AJ669" s="44">
        <f t="shared" si="63"/>
        <v>0.69499999999999995</v>
      </c>
      <c r="AP669" s="46">
        <f t="shared" si="64"/>
        <v>8.7999999999999995E-2</v>
      </c>
    </row>
    <row r="670" spans="19:42" ht="18">
      <c r="S670" s="8">
        <f t="shared" si="65"/>
        <v>0</v>
      </c>
      <c r="W670" s="3">
        <v>696</v>
      </c>
      <c r="X670" s="30">
        <v>88.3</v>
      </c>
      <c r="Y670" s="33">
        <f t="shared" si="62"/>
        <v>8.7999999999999995E-2</v>
      </c>
      <c r="AH670" s="45">
        <f t="shared" si="66"/>
        <v>0</v>
      </c>
      <c r="AJ670" s="44">
        <f t="shared" si="63"/>
        <v>0.69599999999999995</v>
      </c>
      <c r="AP670" s="46">
        <f t="shared" si="64"/>
        <v>8.7999999999999995E-2</v>
      </c>
    </row>
    <row r="671" spans="19:42" ht="18">
      <c r="S671" s="8">
        <f t="shared" si="65"/>
        <v>0</v>
      </c>
      <c r="W671" s="3">
        <v>697</v>
      </c>
      <c r="X671" s="30">
        <v>88.35</v>
      </c>
      <c r="Y671" s="33">
        <f t="shared" si="62"/>
        <v>8.7999999999999995E-2</v>
      </c>
      <c r="AH671" s="45">
        <f t="shared" si="66"/>
        <v>0</v>
      </c>
      <c r="AJ671" s="44">
        <f t="shared" si="63"/>
        <v>0.69699999999999995</v>
      </c>
      <c r="AP671" s="46">
        <f t="shared" si="64"/>
        <v>8.7999999999999995E-2</v>
      </c>
    </row>
    <row r="672" spans="19:42" ht="18">
      <c r="S672" s="8">
        <f t="shared" si="65"/>
        <v>0</v>
      </c>
      <c r="W672" s="3">
        <v>698</v>
      </c>
      <c r="X672" s="30">
        <v>88.4</v>
      </c>
      <c r="Y672" s="33">
        <f t="shared" si="62"/>
        <v>8.7999999999999995E-2</v>
      </c>
      <c r="AH672" s="45">
        <f t="shared" si="66"/>
        <v>0</v>
      </c>
      <c r="AJ672" s="44">
        <f t="shared" si="63"/>
        <v>0.69799999999999995</v>
      </c>
      <c r="AP672" s="46">
        <f t="shared" si="64"/>
        <v>8.7999999999999995E-2</v>
      </c>
    </row>
    <row r="673" spans="19:42" ht="18">
      <c r="S673" s="8">
        <f t="shared" si="65"/>
        <v>0</v>
      </c>
      <c r="W673" s="3">
        <v>699</v>
      </c>
      <c r="X673" s="30">
        <v>88.45</v>
      </c>
      <c r="Y673" s="33">
        <f t="shared" si="62"/>
        <v>8.7999999999999995E-2</v>
      </c>
      <c r="AH673" s="45">
        <f t="shared" si="66"/>
        <v>0</v>
      </c>
      <c r="AJ673" s="44">
        <f t="shared" si="63"/>
        <v>0.69899999999999995</v>
      </c>
      <c r="AP673" s="46">
        <f t="shared" si="64"/>
        <v>8.7999999999999995E-2</v>
      </c>
    </row>
    <row r="674" spans="19:42" ht="18">
      <c r="S674" s="8">
        <f t="shared" si="65"/>
        <v>0</v>
      </c>
      <c r="W674" s="3">
        <v>700</v>
      </c>
      <c r="X674" s="30">
        <v>88.5</v>
      </c>
      <c r="Y674" s="33">
        <f t="shared" si="62"/>
        <v>8.8999999999999996E-2</v>
      </c>
      <c r="AH674" s="45">
        <f t="shared" si="66"/>
        <v>0</v>
      </c>
      <c r="AJ674" s="44">
        <f t="shared" si="63"/>
        <v>0.7</v>
      </c>
      <c r="AP674" s="46">
        <f t="shared" si="64"/>
        <v>8.8999999999999996E-2</v>
      </c>
    </row>
    <row r="675" spans="19:42" ht="18">
      <c r="S675" s="8">
        <f t="shared" si="65"/>
        <v>0</v>
      </c>
      <c r="W675" s="3">
        <v>701</v>
      </c>
      <c r="X675" s="30">
        <v>88.55</v>
      </c>
      <c r="Y675" s="33">
        <f t="shared" si="62"/>
        <v>8.8999999999999996E-2</v>
      </c>
      <c r="AH675" s="45">
        <f t="shared" si="66"/>
        <v>0</v>
      </c>
      <c r="AJ675" s="44">
        <f t="shared" si="63"/>
        <v>0.70099999999999996</v>
      </c>
      <c r="AP675" s="46">
        <f t="shared" si="64"/>
        <v>8.8999999999999996E-2</v>
      </c>
    </row>
    <row r="676" spans="19:42" ht="18">
      <c r="S676" s="8">
        <f t="shared" si="65"/>
        <v>0</v>
      </c>
      <c r="W676" s="3">
        <v>702</v>
      </c>
      <c r="X676" s="30">
        <v>88.6</v>
      </c>
      <c r="Y676" s="33">
        <f t="shared" si="62"/>
        <v>8.8999999999999996E-2</v>
      </c>
      <c r="AH676" s="45">
        <f t="shared" si="66"/>
        <v>0</v>
      </c>
      <c r="AJ676" s="44">
        <f t="shared" si="63"/>
        <v>0.70199999999999996</v>
      </c>
      <c r="AP676" s="46">
        <f t="shared" si="64"/>
        <v>8.8999999999999996E-2</v>
      </c>
    </row>
    <row r="677" spans="19:42" ht="18">
      <c r="S677" s="8">
        <f t="shared" si="65"/>
        <v>0</v>
      </c>
      <c r="W677" s="3">
        <v>703</v>
      </c>
      <c r="X677" s="30">
        <v>88.65</v>
      </c>
      <c r="Y677" s="33">
        <f t="shared" si="62"/>
        <v>8.8999999999999996E-2</v>
      </c>
      <c r="AH677" s="45">
        <f t="shared" si="66"/>
        <v>0</v>
      </c>
      <c r="AJ677" s="44">
        <f t="shared" si="63"/>
        <v>0.70299999999999996</v>
      </c>
      <c r="AP677" s="46">
        <f t="shared" si="64"/>
        <v>8.8999999999999996E-2</v>
      </c>
    </row>
    <row r="678" spans="19:42" ht="18">
      <c r="S678" s="8">
        <f t="shared" si="65"/>
        <v>0</v>
      </c>
      <c r="W678" s="3">
        <v>704</v>
      </c>
      <c r="X678" s="30">
        <v>88.7</v>
      </c>
      <c r="Y678" s="33">
        <f t="shared" si="62"/>
        <v>8.8999999999999996E-2</v>
      </c>
      <c r="AH678" s="45">
        <f t="shared" si="66"/>
        <v>0</v>
      </c>
      <c r="AJ678" s="44">
        <f t="shared" si="63"/>
        <v>0.70399999999999996</v>
      </c>
      <c r="AP678" s="46">
        <f t="shared" si="64"/>
        <v>8.8999999999999996E-2</v>
      </c>
    </row>
    <row r="679" spans="19:42" ht="18">
      <c r="S679" s="8">
        <f t="shared" si="65"/>
        <v>0</v>
      </c>
      <c r="W679" s="3">
        <v>705</v>
      </c>
      <c r="X679" s="30">
        <v>88.75</v>
      </c>
      <c r="Y679" s="33">
        <f t="shared" si="62"/>
        <v>8.8999999999999996E-2</v>
      </c>
      <c r="AH679" s="45">
        <f t="shared" si="66"/>
        <v>0</v>
      </c>
      <c r="AJ679" s="44">
        <f t="shared" si="63"/>
        <v>0.70499999999999996</v>
      </c>
      <c r="AP679" s="46">
        <f t="shared" si="64"/>
        <v>8.8999999999999996E-2</v>
      </c>
    </row>
    <row r="680" spans="19:42" ht="18">
      <c r="S680" s="8">
        <f t="shared" si="65"/>
        <v>0</v>
      </c>
      <c r="W680" s="3">
        <v>706</v>
      </c>
      <c r="X680" s="30">
        <v>88.8</v>
      </c>
      <c r="Y680" s="33">
        <f t="shared" si="62"/>
        <v>8.8999999999999996E-2</v>
      </c>
      <c r="AH680" s="45">
        <f t="shared" si="66"/>
        <v>0</v>
      </c>
      <c r="AJ680" s="44">
        <f t="shared" si="63"/>
        <v>0.70599999999999996</v>
      </c>
      <c r="AP680" s="46">
        <f t="shared" si="64"/>
        <v>8.8999999999999996E-2</v>
      </c>
    </row>
    <row r="681" spans="19:42" ht="18">
      <c r="S681" s="8">
        <f t="shared" si="65"/>
        <v>0</v>
      </c>
      <c r="W681" s="3">
        <v>707</v>
      </c>
      <c r="X681" s="30">
        <v>88.85</v>
      </c>
      <c r="Y681" s="33">
        <f t="shared" si="62"/>
        <v>8.8999999999999996E-2</v>
      </c>
      <c r="AH681" s="45">
        <f t="shared" si="66"/>
        <v>0</v>
      </c>
      <c r="AJ681" s="44">
        <f t="shared" si="63"/>
        <v>0.70699999999999996</v>
      </c>
      <c r="AP681" s="46">
        <f t="shared" si="64"/>
        <v>8.8999999999999996E-2</v>
      </c>
    </row>
    <row r="682" spans="19:42" ht="18">
      <c r="S682" s="8">
        <f t="shared" si="65"/>
        <v>0</v>
      </c>
      <c r="W682" s="3">
        <v>708</v>
      </c>
      <c r="X682" s="30">
        <v>88.9</v>
      </c>
      <c r="Y682" s="33">
        <f t="shared" si="62"/>
        <v>8.8999999999999996E-2</v>
      </c>
      <c r="AH682" s="45">
        <f t="shared" si="66"/>
        <v>0</v>
      </c>
      <c r="AJ682" s="44">
        <f t="shared" si="63"/>
        <v>0.70799999999999996</v>
      </c>
      <c r="AP682" s="46">
        <f t="shared" si="64"/>
        <v>8.8999999999999996E-2</v>
      </c>
    </row>
    <row r="683" spans="19:42" ht="18">
      <c r="S683" s="8">
        <f t="shared" si="65"/>
        <v>0</v>
      </c>
      <c r="W683" s="3">
        <v>709</v>
      </c>
      <c r="X683" s="30">
        <v>88.95</v>
      </c>
      <c r="Y683" s="33">
        <f t="shared" si="62"/>
        <v>8.8999999999999996E-2</v>
      </c>
      <c r="AH683" s="45">
        <f t="shared" si="66"/>
        <v>0</v>
      </c>
      <c r="AJ683" s="44">
        <f t="shared" si="63"/>
        <v>0.70899999999999996</v>
      </c>
      <c r="AP683" s="46">
        <f t="shared" si="64"/>
        <v>8.8999999999999996E-2</v>
      </c>
    </row>
    <row r="684" spans="19:42" ht="18">
      <c r="S684" s="8">
        <f t="shared" si="65"/>
        <v>0</v>
      </c>
      <c r="W684" s="3">
        <v>710</v>
      </c>
      <c r="X684" s="30">
        <v>89</v>
      </c>
      <c r="Y684" s="33">
        <f t="shared" si="62"/>
        <v>8.8999999999999996E-2</v>
      </c>
      <c r="AH684" s="45">
        <f t="shared" si="66"/>
        <v>0</v>
      </c>
      <c r="AJ684" s="44">
        <f t="shared" si="63"/>
        <v>0.71</v>
      </c>
      <c r="AP684" s="46">
        <f t="shared" si="64"/>
        <v>8.8999999999999996E-2</v>
      </c>
    </row>
    <row r="685" spans="19:42" ht="18">
      <c r="S685" s="8">
        <f t="shared" si="65"/>
        <v>0</v>
      </c>
      <c r="W685" s="3">
        <v>711</v>
      </c>
      <c r="X685" s="30">
        <v>89.05</v>
      </c>
      <c r="Y685" s="33">
        <f t="shared" si="62"/>
        <v>8.8999999999999996E-2</v>
      </c>
      <c r="AH685" s="45">
        <f t="shared" si="66"/>
        <v>0</v>
      </c>
      <c r="AJ685" s="44">
        <f t="shared" si="63"/>
        <v>0.71099999999999997</v>
      </c>
      <c r="AP685" s="46">
        <f t="shared" si="64"/>
        <v>8.8999999999999996E-2</v>
      </c>
    </row>
    <row r="686" spans="19:42" ht="18">
      <c r="S686" s="8">
        <f t="shared" si="65"/>
        <v>0</v>
      </c>
      <c r="W686" s="3">
        <v>712</v>
      </c>
      <c r="X686" s="30">
        <v>89.1</v>
      </c>
      <c r="Y686" s="33">
        <f t="shared" si="62"/>
        <v>8.8999999999999996E-2</v>
      </c>
      <c r="AH686" s="45">
        <f t="shared" si="66"/>
        <v>0</v>
      </c>
      <c r="AJ686" s="44">
        <f t="shared" si="63"/>
        <v>0.71199999999999997</v>
      </c>
      <c r="AP686" s="46">
        <f t="shared" si="64"/>
        <v>8.8999999999999996E-2</v>
      </c>
    </row>
    <row r="687" spans="19:42" ht="18">
      <c r="S687" s="8">
        <f t="shared" si="65"/>
        <v>0</v>
      </c>
      <c r="W687" s="3">
        <v>713</v>
      </c>
      <c r="X687" s="30">
        <v>89.15</v>
      </c>
      <c r="Y687" s="33">
        <f t="shared" si="62"/>
        <v>8.8999999999999996E-2</v>
      </c>
      <c r="AH687" s="45">
        <f t="shared" si="66"/>
        <v>0</v>
      </c>
      <c r="AJ687" s="44">
        <f t="shared" si="63"/>
        <v>0.71299999999999997</v>
      </c>
      <c r="AP687" s="46">
        <f t="shared" si="64"/>
        <v>8.8999999999999996E-2</v>
      </c>
    </row>
    <row r="688" spans="19:42" ht="18">
      <c r="S688" s="8">
        <f t="shared" si="65"/>
        <v>0</v>
      </c>
      <c r="W688" s="3">
        <v>714</v>
      </c>
      <c r="X688" s="30">
        <v>89.2</v>
      </c>
      <c r="Y688" s="33">
        <f t="shared" si="62"/>
        <v>8.8999999999999996E-2</v>
      </c>
      <c r="AH688" s="45">
        <f t="shared" si="66"/>
        <v>0</v>
      </c>
      <c r="AJ688" s="44">
        <f t="shared" si="63"/>
        <v>0.71399999999999997</v>
      </c>
      <c r="AP688" s="46">
        <f t="shared" si="64"/>
        <v>8.8999999999999996E-2</v>
      </c>
    </row>
    <row r="689" spans="19:42" ht="18">
      <c r="S689" s="8">
        <f t="shared" si="65"/>
        <v>0</v>
      </c>
      <c r="W689" s="3">
        <v>715</v>
      </c>
      <c r="X689" s="30">
        <v>89.25</v>
      </c>
      <c r="Y689" s="33">
        <f t="shared" si="62"/>
        <v>8.8999999999999996E-2</v>
      </c>
      <c r="AH689" s="45">
        <f t="shared" si="66"/>
        <v>0</v>
      </c>
      <c r="AJ689" s="44">
        <f t="shared" si="63"/>
        <v>0.71499999999999997</v>
      </c>
      <c r="AP689" s="46">
        <f t="shared" si="64"/>
        <v>8.8999999999999996E-2</v>
      </c>
    </row>
    <row r="690" spans="19:42" ht="18">
      <c r="S690" s="8">
        <f t="shared" si="65"/>
        <v>0</v>
      </c>
      <c r="W690" s="3">
        <v>716</v>
      </c>
      <c r="X690" s="30">
        <v>89.3</v>
      </c>
      <c r="Y690" s="33">
        <f t="shared" si="62"/>
        <v>8.8999999999999996E-2</v>
      </c>
      <c r="AH690" s="45">
        <f t="shared" si="66"/>
        <v>0</v>
      </c>
      <c r="AJ690" s="44">
        <f t="shared" si="63"/>
        <v>0.71599999999999997</v>
      </c>
      <c r="AP690" s="46">
        <f t="shared" si="64"/>
        <v>8.8999999999999996E-2</v>
      </c>
    </row>
    <row r="691" spans="19:42" ht="18">
      <c r="S691" s="8">
        <f t="shared" si="65"/>
        <v>0</v>
      </c>
      <c r="W691" s="3">
        <v>717</v>
      </c>
      <c r="X691" s="30">
        <v>89.35</v>
      </c>
      <c r="Y691" s="33">
        <f t="shared" si="62"/>
        <v>8.8999999999999996E-2</v>
      </c>
      <c r="AH691" s="45">
        <f t="shared" si="66"/>
        <v>0</v>
      </c>
      <c r="AJ691" s="44">
        <f t="shared" si="63"/>
        <v>0.71699999999999997</v>
      </c>
      <c r="AP691" s="46">
        <f t="shared" si="64"/>
        <v>8.8999999999999996E-2</v>
      </c>
    </row>
    <row r="692" spans="19:42" ht="18">
      <c r="S692" s="8">
        <f t="shared" si="65"/>
        <v>0</v>
      </c>
      <c r="W692" s="3">
        <v>718</v>
      </c>
      <c r="X692" s="30">
        <v>89.4</v>
      </c>
      <c r="Y692" s="33">
        <f t="shared" si="62"/>
        <v>8.8999999999999996E-2</v>
      </c>
      <c r="AH692" s="45">
        <f t="shared" si="66"/>
        <v>0</v>
      </c>
      <c r="AJ692" s="44">
        <f t="shared" si="63"/>
        <v>0.71799999999999997</v>
      </c>
      <c r="AP692" s="46">
        <f t="shared" si="64"/>
        <v>8.8999999999999996E-2</v>
      </c>
    </row>
    <row r="693" spans="19:42" ht="18">
      <c r="S693" s="8">
        <f t="shared" si="65"/>
        <v>0</v>
      </c>
      <c r="W693" s="3">
        <v>719</v>
      </c>
      <c r="X693" s="30">
        <v>89.45</v>
      </c>
      <c r="Y693" s="33">
        <f t="shared" si="62"/>
        <v>8.8999999999999996E-2</v>
      </c>
      <c r="AH693" s="45">
        <f t="shared" si="66"/>
        <v>0</v>
      </c>
      <c r="AJ693" s="44">
        <f t="shared" si="63"/>
        <v>0.71899999999999997</v>
      </c>
      <c r="AP693" s="46">
        <f t="shared" si="64"/>
        <v>8.8999999999999996E-2</v>
      </c>
    </row>
    <row r="694" spans="19:42" ht="18">
      <c r="S694" s="8">
        <f t="shared" si="65"/>
        <v>0</v>
      </c>
      <c r="W694" s="3">
        <v>720</v>
      </c>
      <c r="X694" s="30">
        <v>89.5</v>
      </c>
      <c r="Y694" s="33">
        <f t="shared" si="62"/>
        <v>0.09</v>
      </c>
      <c r="AH694" s="45">
        <f t="shared" si="66"/>
        <v>0</v>
      </c>
      <c r="AJ694" s="44">
        <f t="shared" si="63"/>
        <v>0.72</v>
      </c>
      <c r="AP694" s="46">
        <f t="shared" si="64"/>
        <v>0.09</v>
      </c>
    </row>
    <row r="695" spans="19:42" ht="18">
      <c r="S695" s="8">
        <f t="shared" si="65"/>
        <v>0</v>
      </c>
      <c r="W695" s="3">
        <v>721</v>
      </c>
      <c r="X695" s="30">
        <v>89.55</v>
      </c>
      <c r="Y695" s="33">
        <f t="shared" si="62"/>
        <v>0.09</v>
      </c>
      <c r="AH695" s="45">
        <f t="shared" si="66"/>
        <v>0</v>
      </c>
      <c r="AJ695" s="44">
        <f t="shared" si="63"/>
        <v>0.72099999999999997</v>
      </c>
      <c r="AP695" s="46">
        <f t="shared" si="64"/>
        <v>0.09</v>
      </c>
    </row>
    <row r="696" spans="19:42" ht="18">
      <c r="S696" s="8">
        <f t="shared" si="65"/>
        <v>0</v>
      </c>
      <c r="W696" s="3">
        <v>722</v>
      </c>
      <c r="X696" s="30">
        <v>89.6</v>
      </c>
      <c r="Y696" s="33">
        <f t="shared" si="62"/>
        <v>0.09</v>
      </c>
      <c r="AH696" s="45">
        <f t="shared" si="66"/>
        <v>0</v>
      </c>
      <c r="AJ696" s="44">
        <f t="shared" si="63"/>
        <v>0.72199999999999998</v>
      </c>
      <c r="AP696" s="46">
        <f t="shared" si="64"/>
        <v>0.09</v>
      </c>
    </row>
    <row r="697" spans="19:42" ht="18">
      <c r="S697" s="8">
        <f t="shared" si="65"/>
        <v>0</v>
      </c>
      <c r="W697" s="3">
        <v>723</v>
      </c>
      <c r="X697" s="30">
        <v>89.65</v>
      </c>
      <c r="Y697" s="33">
        <f t="shared" si="62"/>
        <v>0.09</v>
      </c>
      <c r="AH697" s="45">
        <f t="shared" si="66"/>
        <v>0</v>
      </c>
      <c r="AJ697" s="44">
        <f t="shared" si="63"/>
        <v>0.72299999999999998</v>
      </c>
      <c r="AP697" s="46">
        <f t="shared" si="64"/>
        <v>0.09</v>
      </c>
    </row>
    <row r="698" spans="19:42" ht="18">
      <c r="S698" s="8">
        <f t="shared" si="65"/>
        <v>0</v>
      </c>
      <c r="W698" s="3">
        <v>724</v>
      </c>
      <c r="X698" s="30">
        <v>89.7</v>
      </c>
      <c r="Y698" s="33">
        <f t="shared" si="62"/>
        <v>0.09</v>
      </c>
      <c r="AH698" s="45">
        <f t="shared" si="66"/>
        <v>0</v>
      </c>
      <c r="AJ698" s="44">
        <f t="shared" si="63"/>
        <v>0.72399999999999998</v>
      </c>
      <c r="AP698" s="46">
        <f t="shared" si="64"/>
        <v>0.09</v>
      </c>
    </row>
    <row r="699" spans="19:42" ht="18">
      <c r="S699" s="8">
        <f t="shared" si="65"/>
        <v>0</v>
      </c>
      <c r="W699" s="3">
        <v>725</v>
      </c>
      <c r="X699" s="30">
        <v>89.75</v>
      </c>
      <c r="Y699" s="33">
        <f t="shared" si="62"/>
        <v>0.09</v>
      </c>
      <c r="AH699" s="45">
        <f t="shared" si="66"/>
        <v>0</v>
      </c>
      <c r="AJ699" s="44">
        <f t="shared" si="63"/>
        <v>0.72499999999999998</v>
      </c>
      <c r="AP699" s="46">
        <f t="shared" si="64"/>
        <v>0.09</v>
      </c>
    </row>
    <row r="700" spans="19:42" ht="18">
      <c r="S700" s="8">
        <f t="shared" si="65"/>
        <v>0</v>
      </c>
      <c r="W700" s="3">
        <v>726</v>
      </c>
      <c r="X700" s="30">
        <v>89.8</v>
      </c>
      <c r="Y700" s="33">
        <f t="shared" si="62"/>
        <v>0.09</v>
      </c>
      <c r="AH700" s="45">
        <f t="shared" si="66"/>
        <v>0</v>
      </c>
      <c r="AJ700" s="44">
        <f t="shared" si="63"/>
        <v>0.72599999999999998</v>
      </c>
      <c r="AP700" s="46">
        <f t="shared" si="64"/>
        <v>0.09</v>
      </c>
    </row>
    <row r="701" spans="19:42" ht="18">
      <c r="S701" s="8">
        <f t="shared" si="65"/>
        <v>0</v>
      </c>
      <c r="W701" s="3">
        <v>727</v>
      </c>
      <c r="X701" s="30">
        <v>89.85</v>
      </c>
      <c r="Y701" s="33">
        <f t="shared" si="62"/>
        <v>0.09</v>
      </c>
      <c r="AH701" s="45">
        <f t="shared" si="66"/>
        <v>0</v>
      </c>
      <c r="AJ701" s="44">
        <f t="shared" si="63"/>
        <v>0.72699999999999998</v>
      </c>
      <c r="AP701" s="46">
        <f t="shared" si="64"/>
        <v>0.09</v>
      </c>
    </row>
    <row r="702" spans="19:42" ht="18">
      <c r="S702" s="8">
        <f t="shared" si="65"/>
        <v>0</v>
      </c>
      <c r="W702" s="3">
        <v>728</v>
      </c>
      <c r="X702" s="30">
        <v>89.9</v>
      </c>
      <c r="Y702" s="33">
        <f t="shared" si="62"/>
        <v>0.09</v>
      </c>
      <c r="AH702" s="45">
        <f t="shared" si="66"/>
        <v>0</v>
      </c>
      <c r="AJ702" s="44">
        <f t="shared" si="63"/>
        <v>0.72799999999999998</v>
      </c>
      <c r="AP702" s="46">
        <f t="shared" si="64"/>
        <v>0.09</v>
      </c>
    </row>
    <row r="703" spans="19:42" ht="18">
      <c r="S703" s="8">
        <f t="shared" si="65"/>
        <v>0</v>
      </c>
      <c r="W703" s="3">
        <v>729</v>
      </c>
      <c r="X703" s="30">
        <v>89.95</v>
      </c>
      <c r="Y703" s="33">
        <f t="shared" si="62"/>
        <v>0.09</v>
      </c>
      <c r="AH703" s="45">
        <f t="shared" si="66"/>
        <v>0</v>
      </c>
      <c r="AJ703" s="44">
        <f t="shared" si="63"/>
        <v>0.72899999999999998</v>
      </c>
      <c r="AP703" s="46">
        <f t="shared" si="64"/>
        <v>0.09</v>
      </c>
    </row>
    <row r="704" spans="19:42" ht="18">
      <c r="S704" s="8">
        <f t="shared" si="65"/>
        <v>0</v>
      </c>
      <c r="W704" s="3">
        <v>730</v>
      </c>
      <c r="X704" s="30">
        <v>90</v>
      </c>
      <c r="Y704" s="33">
        <f t="shared" si="62"/>
        <v>0.09</v>
      </c>
      <c r="AH704" s="45">
        <f t="shared" si="66"/>
        <v>0</v>
      </c>
      <c r="AJ704" s="44">
        <f t="shared" si="63"/>
        <v>0.73</v>
      </c>
      <c r="AP704" s="46">
        <f t="shared" si="64"/>
        <v>0.09</v>
      </c>
    </row>
    <row r="705" spans="19:42" ht="18">
      <c r="S705" s="8">
        <f t="shared" si="65"/>
        <v>0</v>
      </c>
      <c r="W705" s="3">
        <v>731</v>
      </c>
      <c r="X705" s="30">
        <v>90.08</v>
      </c>
      <c r="Y705" s="33">
        <f t="shared" si="62"/>
        <v>0.09</v>
      </c>
      <c r="AH705" s="45">
        <f t="shared" si="66"/>
        <v>0</v>
      </c>
      <c r="AJ705" s="44">
        <f t="shared" si="63"/>
        <v>0.73099999999999998</v>
      </c>
      <c r="AP705" s="46">
        <f t="shared" si="64"/>
        <v>0.09</v>
      </c>
    </row>
    <row r="706" spans="19:42" ht="18">
      <c r="S706" s="8">
        <f t="shared" si="65"/>
        <v>0</v>
      </c>
      <c r="W706" s="3">
        <v>732</v>
      </c>
      <c r="X706" s="30">
        <v>90.16</v>
      </c>
      <c r="Y706" s="33">
        <f t="shared" si="62"/>
        <v>0.09</v>
      </c>
      <c r="AH706" s="45">
        <f t="shared" si="66"/>
        <v>0</v>
      </c>
      <c r="AJ706" s="44">
        <f t="shared" si="63"/>
        <v>0.73199999999999998</v>
      </c>
      <c r="AP706" s="46">
        <f t="shared" si="64"/>
        <v>0.09</v>
      </c>
    </row>
    <row r="707" spans="19:42" ht="18">
      <c r="S707" s="8">
        <f t="shared" si="65"/>
        <v>0</v>
      </c>
      <c r="W707" s="3">
        <v>733</v>
      </c>
      <c r="X707" s="30">
        <v>90.24</v>
      </c>
      <c r="Y707" s="33">
        <f t="shared" si="62"/>
        <v>0.09</v>
      </c>
      <c r="AH707" s="45">
        <f t="shared" si="66"/>
        <v>0</v>
      </c>
      <c r="AJ707" s="44">
        <f t="shared" si="63"/>
        <v>0.73299999999999998</v>
      </c>
      <c r="AP707" s="46">
        <f t="shared" si="64"/>
        <v>0.09</v>
      </c>
    </row>
    <row r="708" spans="19:42" ht="18">
      <c r="S708" s="8">
        <f t="shared" si="65"/>
        <v>0</v>
      </c>
      <c r="W708" s="3">
        <v>734</v>
      </c>
      <c r="X708" s="30">
        <v>90.32</v>
      </c>
      <c r="Y708" s="33">
        <f t="shared" si="62"/>
        <v>0.09</v>
      </c>
      <c r="AH708" s="45">
        <f t="shared" si="66"/>
        <v>0</v>
      </c>
      <c r="AJ708" s="44">
        <f t="shared" si="63"/>
        <v>0.73399999999999999</v>
      </c>
      <c r="AP708" s="46">
        <f t="shared" si="64"/>
        <v>0.09</v>
      </c>
    </row>
    <row r="709" spans="19:42" ht="18">
      <c r="S709" s="8">
        <f t="shared" si="65"/>
        <v>0</v>
      </c>
      <c r="W709" s="3">
        <v>735</v>
      </c>
      <c r="X709" s="30">
        <v>90.4</v>
      </c>
      <c r="Y709" s="33">
        <f t="shared" ref="Y709:Y772" si="67">ROUND(X709/1000,3)</f>
        <v>0.09</v>
      </c>
      <c r="AH709" s="45">
        <f t="shared" si="66"/>
        <v>0</v>
      </c>
      <c r="AJ709" s="44">
        <f t="shared" ref="AJ709:AJ772" si="68">ROUND(W709/1000,3)</f>
        <v>0.73499999999999999</v>
      </c>
      <c r="AP709" s="46">
        <f t="shared" ref="AP709:AP772" si="69">ROUND(X709/1000,3)</f>
        <v>0.09</v>
      </c>
    </row>
    <row r="710" spans="19:42" ht="18">
      <c r="S710" s="8">
        <f t="shared" ref="S710:S773" si="70">CEILING(R710/50,0.5)</f>
        <v>0</v>
      </c>
      <c r="W710" s="3">
        <v>736</v>
      </c>
      <c r="X710" s="30">
        <v>90.48</v>
      </c>
      <c r="Y710" s="33">
        <f t="shared" si="67"/>
        <v>0.09</v>
      </c>
      <c r="AH710" s="45">
        <f t="shared" ref="AH710:AH773" si="71">AE710-AE709</f>
        <v>0</v>
      </c>
      <c r="AJ710" s="44">
        <f t="shared" si="68"/>
        <v>0.73599999999999999</v>
      </c>
      <c r="AP710" s="46">
        <f t="shared" si="69"/>
        <v>0.09</v>
      </c>
    </row>
    <row r="711" spans="19:42" ht="18">
      <c r="S711" s="8">
        <f t="shared" si="70"/>
        <v>0</v>
      </c>
      <c r="W711" s="3">
        <v>737</v>
      </c>
      <c r="X711" s="30">
        <v>90.56</v>
      </c>
      <c r="Y711" s="33">
        <f t="shared" si="67"/>
        <v>9.0999999999999998E-2</v>
      </c>
      <c r="AH711" s="45">
        <f t="shared" si="71"/>
        <v>0</v>
      </c>
      <c r="AJ711" s="44">
        <f t="shared" si="68"/>
        <v>0.73699999999999999</v>
      </c>
      <c r="AP711" s="46">
        <f t="shared" si="69"/>
        <v>9.0999999999999998E-2</v>
      </c>
    </row>
    <row r="712" spans="19:42" ht="18">
      <c r="S712" s="8">
        <f t="shared" si="70"/>
        <v>0</v>
      </c>
      <c r="W712" s="3">
        <v>738</v>
      </c>
      <c r="X712" s="30">
        <v>90.64</v>
      </c>
      <c r="Y712" s="33">
        <f t="shared" si="67"/>
        <v>9.0999999999999998E-2</v>
      </c>
      <c r="AH712" s="45">
        <f t="shared" si="71"/>
        <v>0</v>
      </c>
      <c r="AJ712" s="44">
        <f t="shared" si="68"/>
        <v>0.73799999999999999</v>
      </c>
      <c r="AP712" s="46">
        <f t="shared" si="69"/>
        <v>9.0999999999999998E-2</v>
      </c>
    </row>
    <row r="713" spans="19:42" ht="18">
      <c r="S713" s="8">
        <f t="shared" si="70"/>
        <v>0</v>
      </c>
      <c r="W713" s="3">
        <v>739</v>
      </c>
      <c r="X713" s="30">
        <v>90.72</v>
      </c>
      <c r="Y713" s="33">
        <f t="shared" si="67"/>
        <v>9.0999999999999998E-2</v>
      </c>
      <c r="AH713" s="45">
        <f t="shared" si="71"/>
        <v>0</v>
      </c>
      <c r="AJ713" s="44">
        <f t="shared" si="68"/>
        <v>0.73899999999999999</v>
      </c>
      <c r="AP713" s="46">
        <f t="shared" si="69"/>
        <v>9.0999999999999998E-2</v>
      </c>
    </row>
    <row r="714" spans="19:42" ht="18">
      <c r="S714" s="8">
        <f t="shared" si="70"/>
        <v>0</v>
      </c>
      <c r="W714" s="3">
        <v>740</v>
      </c>
      <c r="X714" s="30">
        <v>90.8</v>
      </c>
      <c r="Y714" s="33">
        <f t="shared" si="67"/>
        <v>9.0999999999999998E-2</v>
      </c>
      <c r="AH714" s="45">
        <f t="shared" si="71"/>
        <v>0</v>
      </c>
      <c r="AJ714" s="44">
        <f t="shared" si="68"/>
        <v>0.74</v>
      </c>
      <c r="AP714" s="46">
        <f t="shared" si="69"/>
        <v>9.0999999999999998E-2</v>
      </c>
    </row>
    <row r="715" spans="19:42" ht="18">
      <c r="S715" s="8">
        <f t="shared" si="70"/>
        <v>0</v>
      </c>
      <c r="W715" s="3">
        <v>741</v>
      </c>
      <c r="X715" s="30">
        <v>90.88</v>
      </c>
      <c r="Y715" s="33">
        <f t="shared" si="67"/>
        <v>9.0999999999999998E-2</v>
      </c>
      <c r="AH715" s="45">
        <f t="shared" si="71"/>
        <v>0</v>
      </c>
      <c r="AJ715" s="44">
        <f t="shared" si="68"/>
        <v>0.74099999999999999</v>
      </c>
      <c r="AP715" s="46">
        <f t="shared" si="69"/>
        <v>9.0999999999999998E-2</v>
      </c>
    </row>
    <row r="716" spans="19:42" ht="18">
      <c r="S716" s="8">
        <f t="shared" si="70"/>
        <v>0</v>
      </c>
      <c r="W716" s="3">
        <v>742</v>
      </c>
      <c r="X716" s="30">
        <v>90.96</v>
      </c>
      <c r="Y716" s="33">
        <f t="shared" si="67"/>
        <v>9.0999999999999998E-2</v>
      </c>
      <c r="AH716" s="45">
        <f t="shared" si="71"/>
        <v>0</v>
      </c>
      <c r="AJ716" s="44">
        <f t="shared" si="68"/>
        <v>0.74199999999999999</v>
      </c>
      <c r="AP716" s="46">
        <f t="shared" si="69"/>
        <v>9.0999999999999998E-2</v>
      </c>
    </row>
    <row r="717" spans="19:42" ht="18">
      <c r="S717" s="8">
        <f t="shared" si="70"/>
        <v>0</v>
      </c>
      <c r="W717" s="3">
        <v>743</v>
      </c>
      <c r="X717" s="30">
        <v>91.04</v>
      </c>
      <c r="Y717" s="33">
        <f t="shared" si="67"/>
        <v>9.0999999999999998E-2</v>
      </c>
      <c r="AH717" s="45">
        <f t="shared" si="71"/>
        <v>0</v>
      </c>
      <c r="AJ717" s="44">
        <f t="shared" si="68"/>
        <v>0.74299999999999999</v>
      </c>
      <c r="AP717" s="46">
        <f t="shared" si="69"/>
        <v>9.0999999999999998E-2</v>
      </c>
    </row>
    <row r="718" spans="19:42" ht="18">
      <c r="S718" s="8">
        <f t="shared" si="70"/>
        <v>0</v>
      </c>
      <c r="W718" s="3">
        <v>744</v>
      </c>
      <c r="X718" s="30">
        <v>91.12</v>
      </c>
      <c r="Y718" s="33">
        <f t="shared" si="67"/>
        <v>9.0999999999999998E-2</v>
      </c>
      <c r="AH718" s="45">
        <f t="shared" si="71"/>
        <v>0</v>
      </c>
      <c r="AJ718" s="44">
        <f t="shared" si="68"/>
        <v>0.74399999999999999</v>
      </c>
      <c r="AP718" s="46">
        <f t="shared" si="69"/>
        <v>9.0999999999999998E-2</v>
      </c>
    </row>
    <row r="719" spans="19:42" ht="18">
      <c r="S719" s="8">
        <f t="shared" si="70"/>
        <v>0</v>
      </c>
      <c r="W719" s="3">
        <v>745</v>
      </c>
      <c r="X719" s="30">
        <v>91.2</v>
      </c>
      <c r="Y719" s="33">
        <f t="shared" si="67"/>
        <v>9.0999999999999998E-2</v>
      </c>
      <c r="AH719" s="45">
        <f t="shared" si="71"/>
        <v>0</v>
      </c>
      <c r="AJ719" s="44">
        <f t="shared" si="68"/>
        <v>0.745</v>
      </c>
      <c r="AP719" s="46">
        <f t="shared" si="69"/>
        <v>9.0999999999999998E-2</v>
      </c>
    </row>
    <row r="720" spans="19:42" ht="18">
      <c r="S720" s="8">
        <f t="shared" si="70"/>
        <v>0</v>
      </c>
      <c r="W720" s="3">
        <v>746</v>
      </c>
      <c r="X720" s="30">
        <v>91.28</v>
      </c>
      <c r="Y720" s="33">
        <f t="shared" si="67"/>
        <v>9.0999999999999998E-2</v>
      </c>
      <c r="AH720" s="45">
        <f t="shared" si="71"/>
        <v>0</v>
      </c>
      <c r="AJ720" s="44">
        <f t="shared" si="68"/>
        <v>0.746</v>
      </c>
      <c r="AP720" s="46">
        <f t="shared" si="69"/>
        <v>9.0999999999999998E-2</v>
      </c>
    </row>
    <row r="721" spans="19:42" ht="18">
      <c r="S721" s="8">
        <f t="shared" si="70"/>
        <v>0</v>
      </c>
      <c r="W721" s="3">
        <v>747</v>
      </c>
      <c r="X721" s="30">
        <v>91.36</v>
      </c>
      <c r="Y721" s="33">
        <f t="shared" si="67"/>
        <v>9.0999999999999998E-2</v>
      </c>
      <c r="AH721" s="45">
        <f t="shared" si="71"/>
        <v>0</v>
      </c>
      <c r="AJ721" s="44">
        <f t="shared" si="68"/>
        <v>0.747</v>
      </c>
      <c r="AP721" s="46">
        <f t="shared" si="69"/>
        <v>9.0999999999999998E-2</v>
      </c>
    </row>
    <row r="722" spans="19:42" ht="18">
      <c r="S722" s="8">
        <f t="shared" si="70"/>
        <v>0</v>
      </c>
      <c r="W722" s="3">
        <v>748</v>
      </c>
      <c r="X722" s="30">
        <v>91.44</v>
      </c>
      <c r="Y722" s="33">
        <f t="shared" si="67"/>
        <v>9.0999999999999998E-2</v>
      </c>
      <c r="AH722" s="45">
        <f t="shared" si="71"/>
        <v>0</v>
      </c>
      <c r="AJ722" s="44">
        <f t="shared" si="68"/>
        <v>0.748</v>
      </c>
      <c r="AP722" s="46">
        <f t="shared" si="69"/>
        <v>9.0999999999999998E-2</v>
      </c>
    </row>
    <row r="723" spans="19:42" ht="18">
      <c r="S723" s="8">
        <f t="shared" si="70"/>
        <v>0</v>
      </c>
      <c r="W723" s="3">
        <v>749</v>
      </c>
      <c r="X723" s="30">
        <v>91.52</v>
      </c>
      <c r="Y723" s="33">
        <f t="shared" si="67"/>
        <v>9.1999999999999998E-2</v>
      </c>
      <c r="AH723" s="45">
        <f t="shared" si="71"/>
        <v>0</v>
      </c>
      <c r="AJ723" s="44">
        <f t="shared" si="68"/>
        <v>0.749</v>
      </c>
      <c r="AP723" s="46">
        <f t="shared" si="69"/>
        <v>9.1999999999999998E-2</v>
      </c>
    </row>
    <row r="724" spans="19:42" ht="18">
      <c r="S724" s="8">
        <f t="shared" si="70"/>
        <v>0</v>
      </c>
      <c r="W724" s="3">
        <v>750</v>
      </c>
      <c r="X724" s="30">
        <v>91.6</v>
      </c>
      <c r="Y724" s="33">
        <f t="shared" si="67"/>
        <v>9.1999999999999998E-2</v>
      </c>
      <c r="AH724" s="45">
        <f t="shared" si="71"/>
        <v>0</v>
      </c>
      <c r="AJ724" s="44">
        <f t="shared" si="68"/>
        <v>0.75</v>
      </c>
      <c r="AP724" s="46">
        <f t="shared" si="69"/>
        <v>9.1999999999999998E-2</v>
      </c>
    </row>
    <row r="725" spans="19:42" ht="18">
      <c r="S725" s="8">
        <f t="shared" si="70"/>
        <v>0</v>
      </c>
      <c r="W725" s="3">
        <v>751</v>
      </c>
      <c r="X725" s="30">
        <v>91.68</v>
      </c>
      <c r="Y725" s="33">
        <f t="shared" si="67"/>
        <v>9.1999999999999998E-2</v>
      </c>
      <c r="AH725" s="45">
        <f t="shared" si="71"/>
        <v>0</v>
      </c>
      <c r="AJ725" s="44">
        <f t="shared" si="68"/>
        <v>0.751</v>
      </c>
      <c r="AP725" s="46">
        <f t="shared" si="69"/>
        <v>9.1999999999999998E-2</v>
      </c>
    </row>
    <row r="726" spans="19:42" ht="18">
      <c r="S726" s="8">
        <f t="shared" si="70"/>
        <v>0</v>
      </c>
      <c r="W726" s="3">
        <v>752</v>
      </c>
      <c r="X726" s="30">
        <v>91.76</v>
      </c>
      <c r="Y726" s="33">
        <f t="shared" si="67"/>
        <v>9.1999999999999998E-2</v>
      </c>
      <c r="AH726" s="45">
        <f t="shared" si="71"/>
        <v>0</v>
      </c>
      <c r="AJ726" s="44">
        <f t="shared" si="68"/>
        <v>0.752</v>
      </c>
      <c r="AP726" s="46">
        <f t="shared" si="69"/>
        <v>9.1999999999999998E-2</v>
      </c>
    </row>
    <row r="727" spans="19:42" ht="18">
      <c r="S727" s="8">
        <f t="shared" si="70"/>
        <v>0</v>
      </c>
      <c r="W727" s="3">
        <v>753</v>
      </c>
      <c r="X727" s="30">
        <v>91.84</v>
      </c>
      <c r="Y727" s="33">
        <f t="shared" si="67"/>
        <v>9.1999999999999998E-2</v>
      </c>
      <c r="AH727" s="45">
        <f t="shared" si="71"/>
        <v>0</v>
      </c>
      <c r="AJ727" s="44">
        <f t="shared" si="68"/>
        <v>0.753</v>
      </c>
      <c r="AP727" s="46">
        <f t="shared" si="69"/>
        <v>9.1999999999999998E-2</v>
      </c>
    </row>
    <row r="728" spans="19:42" ht="18">
      <c r="S728" s="8">
        <f t="shared" si="70"/>
        <v>0</v>
      </c>
      <c r="W728" s="3">
        <v>754</v>
      </c>
      <c r="X728" s="30">
        <v>91.92</v>
      </c>
      <c r="Y728" s="33">
        <f t="shared" si="67"/>
        <v>9.1999999999999998E-2</v>
      </c>
      <c r="AH728" s="45">
        <f t="shared" si="71"/>
        <v>0</v>
      </c>
      <c r="AJ728" s="44">
        <f t="shared" si="68"/>
        <v>0.754</v>
      </c>
      <c r="AP728" s="46">
        <f t="shared" si="69"/>
        <v>9.1999999999999998E-2</v>
      </c>
    </row>
    <row r="729" spans="19:42" ht="18">
      <c r="S729" s="8">
        <f t="shared" si="70"/>
        <v>0</v>
      </c>
      <c r="W729" s="3">
        <v>755</v>
      </c>
      <c r="X729" s="30">
        <v>92</v>
      </c>
      <c r="Y729" s="33">
        <f t="shared" si="67"/>
        <v>9.1999999999999998E-2</v>
      </c>
      <c r="AH729" s="45">
        <f t="shared" si="71"/>
        <v>0</v>
      </c>
      <c r="AJ729" s="44">
        <f t="shared" si="68"/>
        <v>0.755</v>
      </c>
      <c r="AP729" s="46">
        <f t="shared" si="69"/>
        <v>9.1999999999999998E-2</v>
      </c>
    </row>
    <row r="730" spans="19:42" ht="18">
      <c r="S730" s="8">
        <f t="shared" si="70"/>
        <v>0</v>
      </c>
      <c r="W730" s="3">
        <v>756</v>
      </c>
      <c r="X730" s="30">
        <v>92.08</v>
      </c>
      <c r="Y730" s="33">
        <f t="shared" si="67"/>
        <v>9.1999999999999998E-2</v>
      </c>
      <c r="AH730" s="45">
        <f t="shared" si="71"/>
        <v>0</v>
      </c>
      <c r="AJ730" s="44">
        <f t="shared" si="68"/>
        <v>0.75600000000000001</v>
      </c>
      <c r="AP730" s="46">
        <f t="shared" si="69"/>
        <v>9.1999999999999998E-2</v>
      </c>
    </row>
    <row r="731" spans="19:42" ht="18">
      <c r="S731" s="8">
        <f t="shared" si="70"/>
        <v>0</v>
      </c>
      <c r="W731" s="3">
        <v>757</v>
      </c>
      <c r="X731" s="30">
        <v>92.16</v>
      </c>
      <c r="Y731" s="33">
        <f t="shared" si="67"/>
        <v>9.1999999999999998E-2</v>
      </c>
      <c r="AH731" s="45">
        <f t="shared" si="71"/>
        <v>0</v>
      </c>
      <c r="AJ731" s="44">
        <f t="shared" si="68"/>
        <v>0.75700000000000001</v>
      </c>
      <c r="AP731" s="46">
        <f t="shared" si="69"/>
        <v>9.1999999999999998E-2</v>
      </c>
    </row>
    <row r="732" spans="19:42" ht="18">
      <c r="S732" s="8">
        <f t="shared" si="70"/>
        <v>0</v>
      </c>
      <c r="W732" s="3">
        <v>758</v>
      </c>
      <c r="X732" s="30">
        <v>92.24</v>
      </c>
      <c r="Y732" s="33">
        <f t="shared" si="67"/>
        <v>9.1999999999999998E-2</v>
      </c>
      <c r="AH732" s="45">
        <f t="shared" si="71"/>
        <v>0</v>
      </c>
      <c r="AJ732" s="44">
        <f t="shared" si="68"/>
        <v>0.75800000000000001</v>
      </c>
      <c r="AP732" s="46">
        <f t="shared" si="69"/>
        <v>9.1999999999999998E-2</v>
      </c>
    </row>
    <row r="733" spans="19:42" ht="18">
      <c r="S733" s="8">
        <f t="shared" si="70"/>
        <v>0</v>
      </c>
      <c r="W733" s="3">
        <v>759</v>
      </c>
      <c r="X733" s="30">
        <v>92.32</v>
      </c>
      <c r="Y733" s="33">
        <f t="shared" si="67"/>
        <v>9.1999999999999998E-2</v>
      </c>
      <c r="AH733" s="45">
        <f t="shared" si="71"/>
        <v>0</v>
      </c>
      <c r="AJ733" s="44">
        <f t="shared" si="68"/>
        <v>0.75900000000000001</v>
      </c>
      <c r="AP733" s="46">
        <f t="shared" si="69"/>
        <v>9.1999999999999998E-2</v>
      </c>
    </row>
    <row r="734" spans="19:42" ht="18">
      <c r="S734" s="8">
        <f t="shared" si="70"/>
        <v>0</v>
      </c>
      <c r="W734" s="3">
        <v>760</v>
      </c>
      <c r="X734" s="30">
        <v>92.4</v>
      </c>
      <c r="Y734" s="33">
        <f t="shared" si="67"/>
        <v>9.1999999999999998E-2</v>
      </c>
      <c r="AH734" s="45">
        <f t="shared" si="71"/>
        <v>0</v>
      </c>
      <c r="AJ734" s="44">
        <f t="shared" si="68"/>
        <v>0.76</v>
      </c>
      <c r="AP734" s="46">
        <f t="shared" si="69"/>
        <v>9.1999999999999998E-2</v>
      </c>
    </row>
    <row r="735" spans="19:42" ht="18">
      <c r="S735" s="8">
        <f t="shared" si="70"/>
        <v>0</v>
      </c>
      <c r="W735" s="3">
        <v>761</v>
      </c>
      <c r="X735" s="30">
        <v>92.48</v>
      </c>
      <c r="Y735" s="33">
        <f t="shared" si="67"/>
        <v>9.1999999999999998E-2</v>
      </c>
      <c r="AH735" s="45">
        <f t="shared" si="71"/>
        <v>0</v>
      </c>
      <c r="AJ735" s="44">
        <f t="shared" si="68"/>
        <v>0.76100000000000001</v>
      </c>
      <c r="AP735" s="46">
        <f t="shared" si="69"/>
        <v>9.1999999999999998E-2</v>
      </c>
    </row>
    <row r="736" spans="19:42" ht="18">
      <c r="S736" s="8">
        <f t="shared" si="70"/>
        <v>0</v>
      </c>
      <c r="W736" s="3">
        <v>762</v>
      </c>
      <c r="X736" s="30">
        <v>92.56</v>
      </c>
      <c r="Y736" s="33">
        <f t="shared" si="67"/>
        <v>9.2999999999999999E-2</v>
      </c>
      <c r="AH736" s="45">
        <f t="shared" si="71"/>
        <v>0</v>
      </c>
      <c r="AJ736" s="44">
        <f t="shared" si="68"/>
        <v>0.76200000000000001</v>
      </c>
      <c r="AP736" s="46">
        <f t="shared" si="69"/>
        <v>9.2999999999999999E-2</v>
      </c>
    </row>
    <row r="737" spans="19:42" ht="18">
      <c r="S737" s="8">
        <f t="shared" si="70"/>
        <v>0</v>
      </c>
      <c r="W737" s="3">
        <v>763</v>
      </c>
      <c r="X737" s="30">
        <v>92.64</v>
      </c>
      <c r="Y737" s="33">
        <f t="shared" si="67"/>
        <v>9.2999999999999999E-2</v>
      </c>
      <c r="AH737" s="45">
        <f t="shared" si="71"/>
        <v>0</v>
      </c>
      <c r="AJ737" s="44">
        <f t="shared" si="68"/>
        <v>0.76300000000000001</v>
      </c>
      <c r="AP737" s="46">
        <f t="shared" si="69"/>
        <v>9.2999999999999999E-2</v>
      </c>
    </row>
    <row r="738" spans="19:42" ht="18">
      <c r="S738" s="8">
        <f t="shared" si="70"/>
        <v>0</v>
      </c>
      <c r="W738" s="3">
        <v>764</v>
      </c>
      <c r="X738" s="30">
        <v>92.72</v>
      </c>
      <c r="Y738" s="33">
        <f t="shared" si="67"/>
        <v>9.2999999999999999E-2</v>
      </c>
      <c r="AH738" s="45">
        <f t="shared" si="71"/>
        <v>0</v>
      </c>
      <c r="AJ738" s="44">
        <f t="shared" si="68"/>
        <v>0.76400000000000001</v>
      </c>
      <c r="AP738" s="46">
        <f t="shared" si="69"/>
        <v>9.2999999999999999E-2</v>
      </c>
    </row>
    <row r="739" spans="19:42" ht="18">
      <c r="S739" s="8">
        <f t="shared" si="70"/>
        <v>0</v>
      </c>
      <c r="W739" s="3">
        <v>765</v>
      </c>
      <c r="X739" s="30">
        <v>92.8</v>
      </c>
      <c r="Y739" s="33">
        <f t="shared" si="67"/>
        <v>9.2999999999999999E-2</v>
      </c>
      <c r="AH739" s="45">
        <f t="shared" si="71"/>
        <v>0</v>
      </c>
      <c r="AJ739" s="44">
        <f t="shared" si="68"/>
        <v>0.76500000000000001</v>
      </c>
      <c r="AP739" s="46">
        <f t="shared" si="69"/>
        <v>9.2999999999999999E-2</v>
      </c>
    </row>
    <row r="740" spans="19:42" ht="18">
      <c r="S740" s="8">
        <f t="shared" si="70"/>
        <v>0</v>
      </c>
      <c r="W740" s="3">
        <v>766</v>
      </c>
      <c r="X740" s="30">
        <v>92.88</v>
      </c>
      <c r="Y740" s="33">
        <f t="shared" si="67"/>
        <v>9.2999999999999999E-2</v>
      </c>
      <c r="AH740" s="45">
        <f t="shared" si="71"/>
        <v>0</v>
      </c>
      <c r="AJ740" s="44">
        <f t="shared" si="68"/>
        <v>0.76600000000000001</v>
      </c>
      <c r="AP740" s="46">
        <f t="shared" si="69"/>
        <v>9.2999999999999999E-2</v>
      </c>
    </row>
    <row r="741" spans="19:42" ht="18">
      <c r="S741" s="8">
        <f t="shared" si="70"/>
        <v>0</v>
      </c>
      <c r="W741" s="3">
        <v>767</v>
      </c>
      <c r="X741" s="30">
        <v>92.96</v>
      </c>
      <c r="Y741" s="33">
        <f t="shared" si="67"/>
        <v>9.2999999999999999E-2</v>
      </c>
      <c r="AH741" s="45">
        <f t="shared" si="71"/>
        <v>0</v>
      </c>
      <c r="AJ741" s="44">
        <f t="shared" si="68"/>
        <v>0.76700000000000002</v>
      </c>
      <c r="AP741" s="46">
        <f t="shared" si="69"/>
        <v>9.2999999999999999E-2</v>
      </c>
    </row>
    <row r="742" spans="19:42" ht="18">
      <c r="S742" s="8">
        <f t="shared" si="70"/>
        <v>0</v>
      </c>
      <c r="W742" s="3">
        <v>768</v>
      </c>
      <c r="X742" s="30">
        <v>93.04</v>
      </c>
      <c r="Y742" s="33">
        <f t="shared" si="67"/>
        <v>9.2999999999999999E-2</v>
      </c>
      <c r="AH742" s="45">
        <f t="shared" si="71"/>
        <v>0</v>
      </c>
      <c r="AJ742" s="44">
        <f t="shared" si="68"/>
        <v>0.76800000000000002</v>
      </c>
      <c r="AP742" s="46">
        <f t="shared" si="69"/>
        <v>9.2999999999999999E-2</v>
      </c>
    </row>
    <row r="743" spans="19:42" ht="18">
      <c r="S743" s="8">
        <f t="shared" si="70"/>
        <v>0</v>
      </c>
      <c r="W743" s="3">
        <v>769</v>
      </c>
      <c r="X743" s="30">
        <v>93.12</v>
      </c>
      <c r="Y743" s="33">
        <f t="shared" si="67"/>
        <v>9.2999999999999999E-2</v>
      </c>
      <c r="AH743" s="45">
        <f t="shared" si="71"/>
        <v>0</v>
      </c>
      <c r="AJ743" s="44">
        <f t="shared" si="68"/>
        <v>0.76900000000000002</v>
      </c>
      <c r="AP743" s="46">
        <f t="shared" si="69"/>
        <v>9.2999999999999999E-2</v>
      </c>
    </row>
    <row r="744" spans="19:42" ht="18">
      <c r="S744" s="8">
        <f t="shared" si="70"/>
        <v>0</v>
      </c>
      <c r="W744" s="3">
        <v>770</v>
      </c>
      <c r="X744" s="30">
        <v>93.2</v>
      </c>
      <c r="Y744" s="33">
        <f t="shared" si="67"/>
        <v>9.2999999999999999E-2</v>
      </c>
      <c r="AH744" s="45">
        <f t="shared" si="71"/>
        <v>0</v>
      </c>
      <c r="AJ744" s="44">
        <f t="shared" si="68"/>
        <v>0.77</v>
      </c>
      <c r="AP744" s="46">
        <f t="shared" si="69"/>
        <v>9.2999999999999999E-2</v>
      </c>
    </row>
    <row r="745" spans="19:42" ht="18">
      <c r="S745" s="8">
        <f t="shared" si="70"/>
        <v>0</v>
      </c>
      <c r="W745" s="3">
        <v>771</v>
      </c>
      <c r="X745" s="30">
        <v>93.28</v>
      </c>
      <c r="Y745" s="33">
        <f t="shared" si="67"/>
        <v>9.2999999999999999E-2</v>
      </c>
      <c r="AH745" s="45">
        <f t="shared" si="71"/>
        <v>0</v>
      </c>
      <c r="AJ745" s="44">
        <f t="shared" si="68"/>
        <v>0.77100000000000002</v>
      </c>
      <c r="AP745" s="46">
        <f t="shared" si="69"/>
        <v>9.2999999999999999E-2</v>
      </c>
    </row>
    <row r="746" spans="19:42" ht="18">
      <c r="S746" s="8">
        <f t="shared" si="70"/>
        <v>0</v>
      </c>
      <c r="W746" s="3">
        <v>772</v>
      </c>
      <c r="X746" s="30">
        <v>93.36</v>
      </c>
      <c r="Y746" s="33">
        <f t="shared" si="67"/>
        <v>9.2999999999999999E-2</v>
      </c>
      <c r="AH746" s="45">
        <f t="shared" si="71"/>
        <v>0</v>
      </c>
      <c r="AJ746" s="44">
        <f t="shared" si="68"/>
        <v>0.77200000000000002</v>
      </c>
      <c r="AP746" s="46">
        <f t="shared" si="69"/>
        <v>9.2999999999999999E-2</v>
      </c>
    </row>
    <row r="747" spans="19:42" ht="18">
      <c r="S747" s="8">
        <f t="shared" si="70"/>
        <v>0</v>
      </c>
      <c r="W747" s="3">
        <v>773</v>
      </c>
      <c r="X747" s="30">
        <v>93.44</v>
      </c>
      <c r="Y747" s="33">
        <f t="shared" si="67"/>
        <v>9.2999999999999999E-2</v>
      </c>
      <c r="AH747" s="45">
        <f t="shared" si="71"/>
        <v>0</v>
      </c>
      <c r="AJ747" s="44">
        <f t="shared" si="68"/>
        <v>0.77300000000000002</v>
      </c>
      <c r="AP747" s="46">
        <f t="shared" si="69"/>
        <v>9.2999999999999999E-2</v>
      </c>
    </row>
    <row r="748" spans="19:42" ht="18">
      <c r="S748" s="8">
        <f t="shared" si="70"/>
        <v>0</v>
      </c>
      <c r="W748" s="3">
        <v>774</v>
      </c>
      <c r="X748" s="30">
        <v>93.52</v>
      </c>
      <c r="Y748" s="33">
        <f t="shared" si="67"/>
        <v>9.4E-2</v>
      </c>
      <c r="AH748" s="45">
        <f t="shared" si="71"/>
        <v>0</v>
      </c>
      <c r="AJ748" s="44">
        <f t="shared" si="68"/>
        <v>0.77400000000000002</v>
      </c>
      <c r="AP748" s="46">
        <f t="shared" si="69"/>
        <v>9.4E-2</v>
      </c>
    </row>
    <row r="749" spans="19:42" ht="18">
      <c r="S749" s="8">
        <f t="shared" si="70"/>
        <v>0</v>
      </c>
      <c r="W749" s="3">
        <v>775</v>
      </c>
      <c r="X749" s="30">
        <v>93.6</v>
      </c>
      <c r="Y749" s="33">
        <f t="shared" si="67"/>
        <v>9.4E-2</v>
      </c>
      <c r="AH749" s="45">
        <f t="shared" si="71"/>
        <v>0</v>
      </c>
      <c r="AJ749" s="44">
        <f t="shared" si="68"/>
        <v>0.77500000000000002</v>
      </c>
      <c r="AP749" s="46">
        <f t="shared" si="69"/>
        <v>9.4E-2</v>
      </c>
    </row>
    <row r="750" spans="19:42" ht="18">
      <c r="S750" s="8">
        <f t="shared" si="70"/>
        <v>0</v>
      </c>
      <c r="W750" s="3">
        <v>776</v>
      </c>
      <c r="X750" s="30">
        <v>93.68</v>
      </c>
      <c r="Y750" s="33">
        <f t="shared" si="67"/>
        <v>9.4E-2</v>
      </c>
      <c r="AH750" s="45">
        <f t="shared" si="71"/>
        <v>0</v>
      </c>
      <c r="AJ750" s="44">
        <f t="shared" si="68"/>
        <v>0.77600000000000002</v>
      </c>
      <c r="AP750" s="46">
        <f t="shared" si="69"/>
        <v>9.4E-2</v>
      </c>
    </row>
    <row r="751" spans="19:42" ht="18">
      <c r="S751" s="8">
        <f t="shared" si="70"/>
        <v>0</v>
      </c>
      <c r="W751" s="3">
        <v>777</v>
      </c>
      <c r="X751" s="30">
        <v>93.76</v>
      </c>
      <c r="Y751" s="33">
        <f t="shared" si="67"/>
        <v>9.4E-2</v>
      </c>
      <c r="AH751" s="45">
        <f t="shared" si="71"/>
        <v>0</v>
      </c>
      <c r="AJ751" s="44">
        <f t="shared" si="68"/>
        <v>0.77700000000000002</v>
      </c>
      <c r="AP751" s="46">
        <f t="shared" si="69"/>
        <v>9.4E-2</v>
      </c>
    </row>
    <row r="752" spans="19:42" ht="18">
      <c r="S752" s="8">
        <f t="shared" si="70"/>
        <v>0</v>
      </c>
      <c r="W752" s="3">
        <v>778</v>
      </c>
      <c r="X752" s="30">
        <v>93.84</v>
      </c>
      <c r="Y752" s="33">
        <f t="shared" si="67"/>
        <v>9.4E-2</v>
      </c>
      <c r="AH752" s="45">
        <f t="shared" si="71"/>
        <v>0</v>
      </c>
      <c r="AJ752" s="44">
        <f t="shared" si="68"/>
        <v>0.77800000000000002</v>
      </c>
      <c r="AP752" s="46">
        <f t="shared" si="69"/>
        <v>9.4E-2</v>
      </c>
    </row>
    <row r="753" spans="19:42" ht="18">
      <c r="S753" s="8">
        <f t="shared" si="70"/>
        <v>0</v>
      </c>
      <c r="W753" s="3">
        <v>779</v>
      </c>
      <c r="X753" s="30">
        <v>93.92</v>
      </c>
      <c r="Y753" s="33">
        <f t="shared" si="67"/>
        <v>9.4E-2</v>
      </c>
      <c r="AH753" s="45">
        <f t="shared" si="71"/>
        <v>0</v>
      </c>
      <c r="AJ753" s="44">
        <f t="shared" si="68"/>
        <v>0.77900000000000003</v>
      </c>
      <c r="AP753" s="46">
        <f t="shared" si="69"/>
        <v>9.4E-2</v>
      </c>
    </row>
    <row r="754" spans="19:42" ht="18">
      <c r="S754" s="8">
        <f t="shared" si="70"/>
        <v>0</v>
      </c>
      <c r="W754" s="3">
        <v>780</v>
      </c>
      <c r="X754" s="30">
        <v>94</v>
      </c>
      <c r="Y754" s="33">
        <f t="shared" si="67"/>
        <v>9.4E-2</v>
      </c>
      <c r="AH754" s="45">
        <f t="shared" si="71"/>
        <v>0</v>
      </c>
      <c r="AJ754" s="44">
        <f t="shared" si="68"/>
        <v>0.78</v>
      </c>
      <c r="AP754" s="46">
        <f t="shared" si="69"/>
        <v>9.4E-2</v>
      </c>
    </row>
    <row r="755" spans="19:42" ht="18">
      <c r="S755" s="8">
        <f t="shared" si="70"/>
        <v>0</v>
      </c>
      <c r="W755" s="3">
        <v>781</v>
      </c>
      <c r="X755" s="30">
        <v>94.05</v>
      </c>
      <c r="Y755" s="33">
        <f t="shared" si="67"/>
        <v>9.4E-2</v>
      </c>
      <c r="AH755" s="45">
        <f t="shared" si="71"/>
        <v>0</v>
      </c>
      <c r="AJ755" s="44">
        <f t="shared" si="68"/>
        <v>0.78100000000000003</v>
      </c>
      <c r="AP755" s="46">
        <f t="shared" si="69"/>
        <v>9.4E-2</v>
      </c>
    </row>
    <row r="756" spans="19:42" ht="18">
      <c r="S756" s="8">
        <f t="shared" si="70"/>
        <v>0</v>
      </c>
      <c r="W756" s="3">
        <v>782</v>
      </c>
      <c r="X756" s="30">
        <v>94.1</v>
      </c>
      <c r="Y756" s="33">
        <f t="shared" si="67"/>
        <v>9.4E-2</v>
      </c>
      <c r="AH756" s="45">
        <f t="shared" si="71"/>
        <v>0</v>
      </c>
      <c r="AJ756" s="44">
        <f t="shared" si="68"/>
        <v>0.78200000000000003</v>
      </c>
      <c r="AP756" s="46">
        <f t="shared" si="69"/>
        <v>9.4E-2</v>
      </c>
    </row>
    <row r="757" spans="19:42" ht="18">
      <c r="S757" s="8">
        <f t="shared" si="70"/>
        <v>0</v>
      </c>
      <c r="W757" s="3">
        <v>783</v>
      </c>
      <c r="X757" s="30">
        <v>94.15</v>
      </c>
      <c r="Y757" s="33">
        <f t="shared" si="67"/>
        <v>9.4E-2</v>
      </c>
      <c r="AH757" s="45">
        <f t="shared" si="71"/>
        <v>0</v>
      </c>
      <c r="AJ757" s="44">
        <f t="shared" si="68"/>
        <v>0.78300000000000003</v>
      </c>
      <c r="AP757" s="46">
        <f t="shared" si="69"/>
        <v>9.4E-2</v>
      </c>
    </row>
    <row r="758" spans="19:42" ht="18">
      <c r="S758" s="8">
        <f t="shared" si="70"/>
        <v>0</v>
      </c>
      <c r="W758" s="3">
        <v>784</v>
      </c>
      <c r="X758" s="30">
        <v>94.2</v>
      </c>
      <c r="Y758" s="33">
        <f t="shared" si="67"/>
        <v>9.4E-2</v>
      </c>
      <c r="AH758" s="45">
        <f t="shared" si="71"/>
        <v>0</v>
      </c>
      <c r="AJ758" s="44">
        <f t="shared" si="68"/>
        <v>0.78400000000000003</v>
      </c>
      <c r="AP758" s="46">
        <f t="shared" si="69"/>
        <v>9.4E-2</v>
      </c>
    </row>
    <row r="759" spans="19:42" ht="18">
      <c r="S759" s="8">
        <f t="shared" si="70"/>
        <v>0</v>
      </c>
      <c r="W759" s="3">
        <v>785</v>
      </c>
      <c r="X759" s="30">
        <v>94.25</v>
      </c>
      <c r="Y759" s="33">
        <f t="shared" si="67"/>
        <v>9.4E-2</v>
      </c>
      <c r="AH759" s="45">
        <f t="shared" si="71"/>
        <v>0</v>
      </c>
      <c r="AJ759" s="44">
        <f t="shared" si="68"/>
        <v>0.78500000000000003</v>
      </c>
      <c r="AP759" s="46">
        <f t="shared" si="69"/>
        <v>9.4E-2</v>
      </c>
    </row>
    <row r="760" spans="19:42" ht="18">
      <c r="S760" s="8">
        <f t="shared" si="70"/>
        <v>0</v>
      </c>
      <c r="W760" s="3">
        <v>786</v>
      </c>
      <c r="X760" s="30">
        <v>94.3</v>
      </c>
      <c r="Y760" s="33">
        <f t="shared" si="67"/>
        <v>9.4E-2</v>
      </c>
      <c r="AH760" s="45">
        <f t="shared" si="71"/>
        <v>0</v>
      </c>
      <c r="AJ760" s="44">
        <f t="shared" si="68"/>
        <v>0.78600000000000003</v>
      </c>
      <c r="AP760" s="46">
        <f t="shared" si="69"/>
        <v>9.4E-2</v>
      </c>
    </row>
    <row r="761" spans="19:42" ht="18">
      <c r="S761" s="8">
        <f t="shared" si="70"/>
        <v>0</v>
      </c>
      <c r="W761" s="3">
        <v>787</v>
      </c>
      <c r="X761" s="30">
        <v>94.35</v>
      </c>
      <c r="Y761" s="33">
        <f t="shared" si="67"/>
        <v>9.4E-2</v>
      </c>
      <c r="AH761" s="45">
        <f t="shared" si="71"/>
        <v>0</v>
      </c>
      <c r="AJ761" s="44">
        <f t="shared" si="68"/>
        <v>0.78700000000000003</v>
      </c>
      <c r="AP761" s="46">
        <f t="shared" si="69"/>
        <v>9.4E-2</v>
      </c>
    </row>
    <row r="762" spans="19:42" ht="18">
      <c r="S762" s="8">
        <f t="shared" si="70"/>
        <v>0</v>
      </c>
      <c r="W762" s="3">
        <v>788</v>
      </c>
      <c r="X762" s="30">
        <v>94.4</v>
      </c>
      <c r="Y762" s="33">
        <f t="shared" si="67"/>
        <v>9.4E-2</v>
      </c>
      <c r="AH762" s="45">
        <f t="shared" si="71"/>
        <v>0</v>
      </c>
      <c r="AJ762" s="44">
        <f t="shared" si="68"/>
        <v>0.78800000000000003</v>
      </c>
      <c r="AP762" s="46">
        <f t="shared" si="69"/>
        <v>9.4E-2</v>
      </c>
    </row>
    <row r="763" spans="19:42" ht="18">
      <c r="S763" s="8">
        <f t="shared" si="70"/>
        <v>0</v>
      </c>
      <c r="W763" s="3">
        <v>789</v>
      </c>
      <c r="X763" s="30">
        <v>94.45</v>
      </c>
      <c r="Y763" s="33">
        <f t="shared" si="67"/>
        <v>9.4E-2</v>
      </c>
      <c r="AH763" s="45">
        <f t="shared" si="71"/>
        <v>0</v>
      </c>
      <c r="AJ763" s="44">
        <f t="shared" si="68"/>
        <v>0.78900000000000003</v>
      </c>
      <c r="AP763" s="46">
        <f t="shared" si="69"/>
        <v>9.4E-2</v>
      </c>
    </row>
    <row r="764" spans="19:42" ht="18">
      <c r="S764" s="8">
        <f t="shared" si="70"/>
        <v>0</v>
      </c>
      <c r="W764" s="3">
        <v>790</v>
      </c>
      <c r="X764" s="30">
        <v>94.5</v>
      </c>
      <c r="Y764" s="33">
        <f t="shared" si="67"/>
        <v>9.5000000000000001E-2</v>
      </c>
      <c r="AH764" s="45">
        <f t="shared" si="71"/>
        <v>0</v>
      </c>
      <c r="AJ764" s="44">
        <f t="shared" si="68"/>
        <v>0.79</v>
      </c>
      <c r="AP764" s="46">
        <f t="shared" si="69"/>
        <v>9.5000000000000001E-2</v>
      </c>
    </row>
    <row r="765" spans="19:42" ht="18">
      <c r="S765" s="8">
        <f t="shared" si="70"/>
        <v>0</v>
      </c>
      <c r="W765" s="3">
        <v>791</v>
      </c>
      <c r="X765" s="30">
        <v>94.55</v>
      </c>
      <c r="Y765" s="33">
        <f t="shared" si="67"/>
        <v>9.5000000000000001E-2</v>
      </c>
      <c r="AH765" s="45">
        <f t="shared" si="71"/>
        <v>0</v>
      </c>
      <c r="AJ765" s="44">
        <f t="shared" si="68"/>
        <v>0.79100000000000004</v>
      </c>
      <c r="AP765" s="46">
        <f t="shared" si="69"/>
        <v>9.5000000000000001E-2</v>
      </c>
    </row>
    <row r="766" spans="19:42" ht="18">
      <c r="S766" s="8">
        <f t="shared" si="70"/>
        <v>0</v>
      </c>
      <c r="W766" s="3">
        <v>792</v>
      </c>
      <c r="X766" s="30">
        <v>94.6</v>
      </c>
      <c r="Y766" s="33">
        <f t="shared" si="67"/>
        <v>9.5000000000000001E-2</v>
      </c>
      <c r="AH766" s="45">
        <f t="shared" si="71"/>
        <v>0</v>
      </c>
      <c r="AJ766" s="44">
        <f t="shared" si="68"/>
        <v>0.79200000000000004</v>
      </c>
      <c r="AP766" s="46">
        <f t="shared" si="69"/>
        <v>9.5000000000000001E-2</v>
      </c>
    </row>
    <row r="767" spans="19:42" ht="18">
      <c r="S767" s="8">
        <f t="shared" si="70"/>
        <v>0</v>
      </c>
      <c r="W767" s="3">
        <v>793</v>
      </c>
      <c r="X767" s="30">
        <v>94.65</v>
      </c>
      <c r="Y767" s="33">
        <f t="shared" si="67"/>
        <v>9.5000000000000001E-2</v>
      </c>
      <c r="AH767" s="45">
        <f t="shared" si="71"/>
        <v>0</v>
      </c>
      <c r="AJ767" s="44">
        <f t="shared" si="68"/>
        <v>0.79300000000000004</v>
      </c>
      <c r="AP767" s="46">
        <f t="shared" si="69"/>
        <v>9.5000000000000001E-2</v>
      </c>
    </row>
    <row r="768" spans="19:42" ht="18">
      <c r="S768" s="8">
        <f t="shared" si="70"/>
        <v>0</v>
      </c>
      <c r="W768" s="3">
        <v>794</v>
      </c>
      <c r="X768" s="30">
        <v>94.7</v>
      </c>
      <c r="Y768" s="33">
        <f t="shared" si="67"/>
        <v>9.5000000000000001E-2</v>
      </c>
      <c r="AH768" s="45">
        <f t="shared" si="71"/>
        <v>0</v>
      </c>
      <c r="AJ768" s="44">
        <f t="shared" si="68"/>
        <v>0.79400000000000004</v>
      </c>
      <c r="AP768" s="46">
        <f t="shared" si="69"/>
        <v>9.5000000000000001E-2</v>
      </c>
    </row>
    <row r="769" spans="19:42" ht="18">
      <c r="S769" s="8">
        <f t="shared" si="70"/>
        <v>0</v>
      </c>
      <c r="W769" s="3">
        <v>795</v>
      </c>
      <c r="X769" s="30">
        <v>94.75</v>
      </c>
      <c r="Y769" s="33">
        <f t="shared" si="67"/>
        <v>9.5000000000000001E-2</v>
      </c>
      <c r="AH769" s="45">
        <f t="shared" si="71"/>
        <v>0</v>
      </c>
      <c r="AJ769" s="44">
        <f t="shared" si="68"/>
        <v>0.79500000000000004</v>
      </c>
      <c r="AP769" s="46">
        <f t="shared" si="69"/>
        <v>9.5000000000000001E-2</v>
      </c>
    </row>
    <row r="770" spans="19:42" ht="18">
      <c r="S770" s="8">
        <f t="shared" si="70"/>
        <v>0</v>
      </c>
      <c r="W770" s="3">
        <v>796</v>
      </c>
      <c r="X770" s="30">
        <v>94.8</v>
      </c>
      <c r="Y770" s="33">
        <f t="shared" si="67"/>
        <v>9.5000000000000001E-2</v>
      </c>
      <c r="AH770" s="45">
        <f t="shared" si="71"/>
        <v>0</v>
      </c>
      <c r="AJ770" s="44">
        <f t="shared" si="68"/>
        <v>0.79600000000000004</v>
      </c>
      <c r="AP770" s="46">
        <f t="shared" si="69"/>
        <v>9.5000000000000001E-2</v>
      </c>
    </row>
    <row r="771" spans="19:42" ht="18">
      <c r="S771" s="8">
        <f t="shared" si="70"/>
        <v>0</v>
      </c>
      <c r="W771" s="3">
        <v>797</v>
      </c>
      <c r="X771" s="30">
        <v>94.85</v>
      </c>
      <c r="Y771" s="33">
        <f t="shared" si="67"/>
        <v>9.5000000000000001E-2</v>
      </c>
      <c r="AH771" s="45">
        <f t="shared" si="71"/>
        <v>0</v>
      </c>
      <c r="AJ771" s="44">
        <f t="shared" si="68"/>
        <v>0.79700000000000004</v>
      </c>
      <c r="AP771" s="46">
        <f t="shared" si="69"/>
        <v>9.5000000000000001E-2</v>
      </c>
    </row>
    <row r="772" spans="19:42" ht="18">
      <c r="S772" s="8">
        <f t="shared" si="70"/>
        <v>0</v>
      </c>
      <c r="W772" s="3">
        <v>798</v>
      </c>
      <c r="X772" s="30">
        <v>94.9</v>
      </c>
      <c r="Y772" s="33">
        <f t="shared" si="67"/>
        <v>9.5000000000000001E-2</v>
      </c>
      <c r="AH772" s="45">
        <f t="shared" si="71"/>
        <v>0</v>
      </c>
      <c r="AJ772" s="44">
        <f t="shared" si="68"/>
        <v>0.79800000000000004</v>
      </c>
      <c r="AP772" s="46">
        <f t="shared" si="69"/>
        <v>9.5000000000000001E-2</v>
      </c>
    </row>
    <row r="773" spans="19:42" ht="18">
      <c r="S773" s="8">
        <f t="shared" si="70"/>
        <v>0</v>
      </c>
      <c r="W773" s="3">
        <v>799</v>
      </c>
      <c r="X773" s="30">
        <v>94.95</v>
      </c>
      <c r="Y773" s="33">
        <f t="shared" ref="Y773:Y836" si="72">ROUND(X773/1000,3)</f>
        <v>9.5000000000000001E-2</v>
      </c>
      <c r="AH773" s="45">
        <f t="shared" si="71"/>
        <v>0</v>
      </c>
      <c r="AJ773" s="44">
        <f t="shared" ref="AJ773:AJ836" si="73">ROUND(W773/1000,3)</f>
        <v>0.79900000000000004</v>
      </c>
      <c r="AP773" s="46">
        <f t="shared" ref="AP773:AP836" si="74">ROUND(X773/1000,3)</f>
        <v>9.5000000000000001E-2</v>
      </c>
    </row>
    <row r="774" spans="19:42" ht="18">
      <c r="S774" s="8">
        <f t="shared" ref="S774:S837" si="75">CEILING(R774/50,0.5)</f>
        <v>0</v>
      </c>
      <c r="W774" s="3">
        <v>800</v>
      </c>
      <c r="X774" s="30">
        <v>95</v>
      </c>
      <c r="Y774" s="33">
        <f t="shared" si="72"/>
        <v>9.5000000000000001E-2</v>
      </c>
      <c r="AH774" s="45">
        <f t="shared" ref="AH774:AH837" si="76">AE774-AE773</f>
        <v>0</v>
      </c>
      <c r="AJ774" s="44">
        <f t="shared" si="73"/>
        <v>0.8</v>
      </c>
      <c r="AP774" s="46">
        <f t="shared" si="74"/>
        <v>9.5000000000000001E-2</v>
      </c>
    </row>
    <row r="775" spans="19:42" ht="18">
      <c r="S775" s="8">
        <f t="shared" si="75"/>
        <v>0</v>
      </c>
      <c r="W775" s="3">
        <v>801</v>
      </c>
      <c r="X775" s="30">
        <v>95.05</v>
      </c>
      <c r="Y775" s="33">
        <f t="shared" si="72"/>
        <v>9.5000000000000001E-2</v>
      </c>
      <c r="AH775" s="45">
        <f t="shared" si="76"/>
        <v>0</v>
      </c>
      <c r="AJ775" s="44">
        <f t="shared" si="73"/>
        <v>0.80100000000000005</v>
      </c>
      <c r="AP775" s="46">
        <f t="shared" si="74"/>
        <v>9.5000000000000001E-2</v>
      </c>
    </row>
    <row r="776" spans="19:42" ht="18">
      <c r="S776" s="8">
        <f t="shared" si="75"/>
        <v>0</v>
      </c>
      <c r="W776" s="3">
        <v>802</v>
      </c>
      <c r="X776" s="30">
        <v>95.1</v>
      </c>
      <c r="Y776" s="33">
        <f t="shared" si="72"/>
        <v>9.5000000000000001E-2</v>
      </c>
      <c r="AH776" s="45">
        <f t="shared" si="76"/>
        <v>0</v>
      </c>
      <c r="AJ776" s="44">
        <f t="shared" si="73"/>
        <v>0.80200000000000005</v>
      </c>
      <c r="AP776" s="46">
        <f t="shared" si="74"/>
        <v>9.5000000000000001E-2</v>
      </c>
    </row>
    <row r="777" spans="19:42" ht="18">
      <c r="S777" s="8">
        <f t="shared" si="75"/>
        <v>0</v>
      </c>
      <c r="W777" s="3">
        <v>803</v>
      </c>
      <c r="X777" s="30">
        <v>95.15</v>
      </c>
      <c r="Y777" s="33">
        <f t="shared" si="72"/>
        <v>9.5000000000000001E-2</v>
      </c>
      <c r="AH777" s="45">
        <f t="shared" si="76"/>
        <v>0</v>
      </c>
      <c r="AJ777" s="44">
        <f t="shared" si="73"/>
        <v>0.80300000000000005</v>
      </c>
      <c r="AP777" s="46">
        <f t="shared" si="74"/>
        <v>9.5000000000000001E-2</v>
      </c>
    </row>
    <row r="778" spans="19:42" ht="18">
      <c r="S778" s="8">
        <f t="shared" si="75"/>
        <v>0</v>
      </c>
      <c r="W778" s="3">
        <v>804</v>
      </c>
      <c r="X778" s="30">
        <v>95.2</v>
      </c>
      <c r="Y778" s="33">
        <f t="shared" si="72"/>
        <v>9.5000000000000001E-2</v>
      </c>
      <c r="AH778" s="45">
        <f t="shared" si="76"/>
        <v>0</v>
      </c>
      <c r="AJ778" s="44">
        <f t="shared" si="73"/>
        <v>0.80400000000000005</v>
      </c>
      <c r="AP778" s="46">
        <f t="shared" si="74"/>
        <v>9.5000000000000001E-2</v>
      </c>
    </row>
    <row r="779" spans="19:42" ht="18">
      <c r="S779" s="8">
        <f t="shared" si="75"/>
        <v>0</v>
      </c>
      <c r="W779" s="3">
        <v>805</v>
      </c>
      <c r="X779" s="30">
        <v>95.25</v>
      </c>
      <c r="Y779" s="33">
        <f t="shared" si="72"/>
        <v>9.5000000000000001E-2</v>
      </c>
      <c r="AH779" s="45">
        <f t="shared" si="76"/>
        <v>0</v>
      </c>
      <c r="AJ779" s="44">
        <f t="shared" si="73"/>
        <v>0.80500000000000005</v>
      </c>
      <c r="AP779" s="46">
        <f t="shared" si="74"/>
        <v>9.5000000000000001E-2</v>
      </c>
    </row>
    <row r="780" spans="19:42" ht="18">
      <c r="S780" s="8">
        <f t="shared" si="75"/>
        <v>0</v>
      </c>
      <c r="W780" s="3">
        <v>806</v>
      </c>
      <c r="X780" s="30">
        <v>95.3</v>
      </c>
      <c r="Y780" s="33">
        <f t="shared" si="72"/>
        <v>9.5000000000000001E-2</v>
      </c>
      <c r="AH780" s="45">
        <f t="shared" si="76"/>
        <v>0</v>
      </c>
      <c r="AJ780" s="44">
        <f t="shared" si="73"/>
        <v>0.80600000000000005</v>
      </c>
      <c r="AP780" s="46">
        <f t="shared" si="74"/>
        <v>9.5000000000000001E-2</v>
      </c>
    </row>
    <row r="781" spans="19:42" ht="18">
      <c r="S781" s="8">
        <f t="shared" si="75"/>
        <v>0</v>
      </c>
      <c r="W781" s="3">
        <v>807</v>
      </c>
      <c r="X781" s="30">
        <v>95.35</v>
      </c>
      <c r="Y781" s="33">
        <f t="shared" si="72"/>
        <v>9.5000000000000001E-2</v>
      </c>
      <c r="AH781" s="45">
        <f t="shared" si="76"/>
        <v>0</v>
      </c>
      <c r="AJ781" s="44">
        <f t="shared" si="73"/>
        <v>0.80700000000000005</v>
      </c>
      <c r="AP781" s="46">
        <f t="shared" si="74"/>
        <v>9.5000000000000001E-2</v>
      </c>
    </row>
    <row r="782" spans="19:42" ht="18">
      <c r="S782" s="8">
        <f t="shared" si="75"/>
        <v>0</v>
      </c>
      <c r="W782" s="3">
        <v>808</v>
      </c>
      <c r="X782" s="30">
        <v>95.4</v>
      </c>
      <c r="Y782" s="33">
        <f t="shared" si="72"/>
        <v>9.5000000000000001E-2</v>
      </c>
      <c r="AH782" s="45">
        <f t="shared" si="76"/>
        <v>0</v>
      </c>
      <c r="AJ782" s="44">
        <f t="shared" si="73"/>
        <v>0.80800000000000005</v>
      </c>
      <c r="AP782" s="46">
        <f t="shared" si="74"/>
        <v>9.5000000000000001E-2</v>
      </c>
    </row>
    <row r="783" spans="19:42" ht="18">
      <c r="S783" s="8">
        <f t="shared" si="75"/>
        <v>0</v>
      </c>
      <c r="W783" s="3">
        <v>809</v>
      </c>
      <c r="X783" s="30">
        <v>95.45</v>
      </c>
      <c r="Y783" s="33">
        <f t="shared" si="72"/>
        <v>9.5000000000000001E-2</v>
      </c>
      <c r="AH783" s="45">
        <f t="shared" si="76"/>
        <v>0</v>
      </c>
      <c r="AJ783" s="44">
        <f t="shared" si="73"/>
        <v>0.80900000000000005</v>
      </c>
      <c r="AP783" s="46">
        <f t="shared" si="74"/>
        <v>9.5000000000000001E-2</v>
      </c>
    </row>
    <row r="784" spans="19:42" ht="18">
      <c r="S784" s="8">
        <f t="shared" si="75"/>
        <v>0</v>
      </c>
      <c r="W784" s="3">
        <v>810</v>
      </c>
      <c r="X784" s="30">
        <v>95.5</v>
      </c>
      <c r="Y784" s="33">
        <f t="shared" si="72"/>
        <v>9.6000000000000002E-2</v>
      </c>
      <c r="AH784" s="45">
        <f t="shared" si="76"/>
        <v>0</v>
      </c>
      <c r="AJ784" s="44">
        <f t="shared" si="73"/>
        <v>0.81</v>
      </c>
      <c r="AP784" s="46">
        <f t="shared" si="74"/>
        <v>9.6000000000000002E-2</v>
      </c>
    </row>
    <row r="785" spans="19:42" ht="18">
      <c r="S785" s="8">
        <f t="shared" si="75"/>
        <v>0</v>
      </c>
      <c r="W785" s="3">
        <v>811</v>
      </c>
      <c r="X785" s="30">
        <v>95.55</v>
      </c>
      <c r="Y785" s="33">
        <f t="shared" si="72"/>
        <v>9.6000000000000002E-2</v>
      </c>
      <c r="AH785" s="45">
        <f t="shared" si="76"/>
        <v>0</v>
      </c>
      <c r="AJ785" s="44">
        <f t="shared" si="73"/>
        <v>0.81100000000000005</v>
      </c>
      <c r="AP785" s="46">
        <f t="shared" si="74"/>
        <v>9.6000000000000002E-2</v>
      </c>
    </row>
    <row r="786" spans="19:42" ht="18">
      <c r="S786" s="8">
        <f t="shared" si="75"/>
        <v>0</v>
      </c>
      <c r="W786" s="3">
        <v>812</v>
      </c>
      <c r="X786" s="30">
        <v>95.6</v>
      </c>
      <c r="Y786" s="33">
        <f t="shared" si="72"/>
        <v>9.6000000000000002E-2</v>
      </c>
      <c r="AH786" s="45">
        <f t="shared" si="76"/>
        <v>0</v>
      </c>
      <c r="AJ786" s="44">
        <f t="shared" si="73"/>
        <v>0.81200000000000006</v>
      </c>
      <c r="AP786" s="46">
        <f t="shared" si="74"/>
        <v>9.6000000000000002E-2</v>
      </c>
    </row>
    <row r="787" spans="19:42" ht="18">
      <c r="S787" s="8">
        <f t="shared" si="75"/>
        <v>0</v>
      </c>
      <c r="W787" s="3">
        <v>813</v>
      </c>
      <c r="X787" s="30">
        <v>95.65</v>
      </c>
      <c r="Y787" s="33">
        <f t="shared" si="72"/>
        <v>9.6000000000000002E-2</v>
      </c>
      <c r="AH787" s="45">
        <f t="shared" si="76"/>
        <v>0</v>
      </c>
      <c r="AJ787" s="44">
        <f t="shared" si="73"/>
        <v>0.81299999999999994</v>
      </c>
      <c r="AP787" s="46">
        <f t="shared" si="74"/>
        <v>9.6000000000000002E-2</v>
      </c>
    </row>
    <row r="788" spans="19:42" ht="18">
      <c r="S788" s="8">
        <f t="shared" si="75"/>
        <v>0</v>
      </c>
      <c r="W788" s="3">
        <v>814</v>
      </c>
      <c r="X788" s="30">
        <v>95.7</v>
      </c>
      <c r="Y788" s="33">
        <f t="shared" si="72"/>
        <v>9.6000000000000002E-2</v>
      </c>
      <c r="AH788" s="45">
        <f t="shared" si="76"/>
        <v>0</v>
      </c>
      <c r="AJ788" s="44">
        <f t="shared" si="73"/>
        <v>0.81399999999999995</v>
      </c>
      <c r="AP788" s="46">
        <f t="shared" si="74"/>
        <v>9.6000000000000002E-2</v>
      </c>
    </row>
    <row r="789" spans="19:42" ht="18">
      <c r="S789" s="8">
        <f t="shared" si="75"/>
        <v>0</v>
      </c>
      <c r="W789" s="3">
        <v>815</v>
      </c>
      <c r="X789" s="30">
        <v>95.75</v>
      </c>
      <c r="Y789" s="33">
        <f t="shared" si="72"/>
        <v>9.6000000000000002E-2</v>
      </c>
      <c r="AH789" s="45">
        <f t="shared" si="76"/>
        <v>0</v>
      </c>
      <c r="AJ789" s="44">
        <f t="shared" si="73"/>
        <v>0.81499999999999995</v>
      </c>
      <c r="AP789" s="46">
        <f t="shared" si="74"/>
        <v>9.6000000000000002E-2</v>
      </c>
    </row>
    <row r="790" spans="19:42" ht="18">
      <c r="S790" s="8">
        <f t="shared" si="75"/>
        <v>0</v>
      </c>
      <c r="W790" s="3">
        <v>816</v>
      </c>
      <c r="X790" s="30">
        <v>95.8</v>
      </c>
      <c r="Y790" s="33">
        <f t="shared" si="72"/>
        <v>9.6000000000000002E-2</v>
      </c>
      <c r="AH790" s="45">
        <f t="shared" si="76"/>
        <v>0</v>
      </c>
      <c r="AJ790" s="44">
        <f t="shared" si="73"/>
        <v>0.81599999999999995</v>
      </c>
      <c r="AP790" s="46">
        <f t="shared" si="74"/>
        <v>9.6000000000000002E-2</v>
      </c>
    </row>
    <row r="791" spans="19:42" ht="18">
      <c r="S791" s="8">
        <f t="shared" si="75"/>
        <v>0</v>
      </c>
      <c r="W791" s="3">
        <v>817</v>
      </c>
      <c r="X791" s="30">
        <v>95.85</v>
      </c>
      <c r="Y791" s="33">
        <f t="shared" si="72"/>
        <v>9.6000000000000002E-2</v>
      </c>
      <c r="AH791" s="45">
        <f t="shared" si="76"/>
        <v>0</v>
      </c>
      <c r="AJ791" s="44">
        <f t="shared" si="73"/>
        <v>0.81699999999999995</v>
      </c>
      <c r="AP791" s="46">
        <f t="shared" si="74"/>
        <v>9.6000000000000002E-2</v>
      </c>
    </row>
    <row r="792" spans="19:42" ht="18">
      <c r="S792" s="8">
        <f t="shared" si="75"/>
        <v>0</v>
      </c>
      <c r="W792" s="3">
        <v>818</v>
      </c>
      <c r="X792" s="30">
        <v>95.9</v>
      </c>
      <c r="Y792" s="33">
        <f t="shared" si="72"/>
        <v>9.6000000000000002E-2</v>
      </c>
      <c r="AH792" s="45">
        <f t="shared" si="76"/>
        <v>0</v>
      </c>
      <c r="AJ792" s="44">
        <f t="shared" si="73"/>
        <v>0.81799999999999995</v>
      </c>
      <c r="AP792" s="46">
        <f t="shared" si="74"/>
        <v>9.6000000000000002E-2</v>
      </c>
    </row>
    <row r="793" spans="19:42" ht="18">
      <c r="S793" s="8">
        <f t="shared" si="75"/>
        <v>0</v>
      </c>
      <c r="W793" s="3">
        <v>819</v>
      </c>
      <c r="X793" s="30">
        <v>95.95</v>
      </c>
      <c r="Y793" s="33">
        <f t="shared" si="72"/>
        <v>9.6000000000000002E-2</v>
      </c>
      <c r="AH793" s="45">
        <f t="shared" si="76"/>
        <v>0</v>
      </c>
      <c r="AJ793" s="44">
        <f t="shared" si="73"/>
        <v>0.81899999999999995</v>
      </c>
      <c r="AP793" s="46">
        <f t="shared" si="74"/>
        <v>9.6000000000000002E-2</v>
      </c>
    </row>
    <row r="794" spans="19:42" ht="18">
      <c r="S794" s="8">
        <f t="shared" si="75"/>
        <v>0</v>
      </c>
      <c r="W794" s="3">
        <v>820</v>
      </c>
      <c r="X794" s="30">
        <v>96</v>
      </c>
      <c r="Y794" s="33">
        <f t="shared" si="72"/>
        <v>9.6000000000000002E-2</v>
      </c>
      <c r="AH794" s="45">
        <f t="shared" si="76"/>
        <v>0</v>
      </c>
      <c r="AJ794" s="44">
        <f t="shared" si="73"/>
        <v>0.82</v>
      </c>
      <c r="AP794" s="46">
        <f t="shared" si="74"/>
        <v>9.6000000000000002E-2</v>
      </c>
    </row>
    <row r="795" spans="19:42" ht="18">
      <c r="S795" s="8">
        <f t="shared" si="75"/>
        <v>0</v>
      </c>
      <c r="W795" s="3">
        <v>821</v>
      </c>
      <c r="X795" s="30">
        <v>96.05</v>
      </c>
      <c r="Y795" s="33">
        <f t="shared" si="72"/>
        <v>9.6000000000000002E-2</v>
      </c>
      <c r="AH795" s="45">
        <f t="shared" si="76"/>
        <v>0</v>
      </c>
      <c r="AJ795" s="44">
        <f t="shared" si="73"/>
        <v>0.82099999999999995</v>
      </c>
      <c r="AP795" s="46">
        <f t="shared" si="74"/>
        <v>9.6000000000000002E-2</v>
      </c>
    </row>
    <row r="796" spans="19:42" ht="18">
      <c r="S796" s="8">
        <f t="shared" si="75"/>
        <v>0</v>
      </c>
      <c r="W796" s="3">
        <v>822</v>
      </c>
      <c r="X796" s="30">
        <v>96.1</v>
      </c>
      <c r="Y796" s="33">
        <f t="shared" si="72"/>
        <v>9.6000000000000002E-2</v>
      </c>
      <c r="AH796" s="45">
        <f t="shared" si="76"/>
        <v>0</v>
      </c>
      <c r="AJ796" s="44">
        <f t="shared" si="73"/>
        <v>0.82199999999999995</v>
      </c>
      <c r="AP796" s="46">
        <f t="shared" si="74"/>
        <v>9.6000000000000002E-2</v>
      </c>
    </row>
    <row r="797" spans="19:42" ht="18">
      <c r="S797" s="8">
        <f t="shared" si="75"/>
        <v>0</v>
      </c>
      <c r="W797" s="3">
        <v>823</v>
      </c>
      <c r="X797" s="30">
        <v>96.15</v>
      </c>
      <c r="Y797" s="33">
        <f t="shared" si="72"/>
        <v>9.6000000000000002E-2</v>
      </c>
      <c r="AH797" s="45">
        <f t="shared" si="76"/>
        <v>0</v>
      </c>
      <c r="AJ797" s="44">
        <f t="shared" si="73"/>
        <v>0.82299999999999995</v>
      </c>
      <c r="AP797" s="46">
        <f t="shared" si="74"/>
        <v>9.6000000000000002E-2</v>
      </c>
    </row>
    <row r="798" spans="19:42" ht="18">
      <c r="S798" s="8">
        <f t="shared" si="75"/>
        <v>0</v>
      </c>
      <c r="W798" s="3">
        <v>824</v>
      </c>
      <c r="X798" s="30">
        <v>96.2</v>
      </c>
      <c r="Y798" s="33">
        <f t="shared" si="72"/>
        <v>9.6000000000000002E-2</v>
      </c>
      <c r="AH798" s="45">
        <f t="shared" si="76"/>
        <v>0</v>
      </c>
      <c r="AJ798" s="44">
        <f t="shared" si="73"/>
        <v>0.82399999999999995</v>
      </c>
      <c r="AP798" s="46">
        <f t="shared" si="74"/>
        <v>9.6000000000000002E-2</v>
      </c>
    </row>
    <row r="799" spans="19:42" ht="18">
      <c r="S799" s="8">
        <f t="shared" si="75"/>
        <v>0</v>
      </c>
      <c r="W799" s="3">
        <v>825</v>
      </c>
      <c r="X799" s="30">
        <v>96.25</v>
      </c>
      <c r="Y799" s="33">
        <f t="shared" si="72"/>
        <v>9.6000000000000002E-2</v>
      </c>
      <c r="AH799" s="45">
        <f t="shared" si="76"/>
        <v>0</v>
      </c>
      <c r="AJ799" s="44">
        <f t="shared" si="73"/>
        <v>0.82499999999999996</v>
      </c>
      <c r="AP799" s="46">
        <f t="shared" si="74"/>
        <v>9.6000000000000002E-2</v>
      </c>
    </row>
    <row r="800" spans="19:42" ht="18">
      <c r="S800" s="8">
        <f t="shared" si="75"/>
        <v>0</v>
      </c>
      <c r="W800" s="3">
        <v>826</v>
      </c>
      <c r="X800" s="30">
        <v>96.3</v>
      </c>
      <c r="Y800" s="33">
        <f t="shared" si="72"/>
        <v>9.6000000000000002E-2</v>
      </c>
      <c r="AH800" s="45">
        <f t="shared" si="76"/>
        <v>0</v>
      </c>
      <c r="AJ800" s="44">
        <f t="shared" si="73"/>
        <v>0.82599999999999996</v>
      </c>
      <c r="AP800" s="46">
        <f t="shared" si="74"/>
        <v>9.6000000000000002E-2</v>
      </c>
    </row>
    <row r="801" spans="19:42" ht="18">
      <c r="S801" s="8">
        <f t="shared" si="75"/>
        <v>0</v>
      </c>
      <c r="W801" s="3">
        <v>827</v>
      </c>
      <c r="X801" s="30">
        <v>96.35</v>
      </c>
      <c r="Y801" s="33">
        <f t="shared" si="72"/>
        <v>9.6000000000000002E-2</v>
      </c>
      <c r="AH801" s="45">
        <f t="shared" si="76"/>
        <v>0</v>
      </c>
      <c r="AJ801" s="44">
        <f t="shared" si="73"/>
        <v>0.82699999999999996</v>
      </c>
      <c r="AP801" s="46">
        <f t="shared" si="74"/>
        <v>9.6000000000000002E-2</v>
      </c>
    </row>
    <row r="802" spans="19:42" ht="18">
      <c r="S802" s="8">
        <f t="shared" si="75"/>
        <v>0</v>
      </c>
      <c r="W802" s="3">
        <v>828</v>
      </c>
      <c r="X802" s="30">
        <v>96.4</v>
      </c>
      <c r="Y802" s="33">
        <f t="shared" si="72"/>
        <v>9.6000000000000002E-2</v>
      </c>
      <c r="AH802" s="45">
        <f t="shared" si="76"/>
        <v>0</v>
      </c>
      <c r="AJ802" s="44">
        <f t="shared" si="73"/>
        <v>0.82799999999999996</v>
      </c>
      <c r="AP802" s="46">
        <f t="shared" si="74"/>
        <v>9.6000000000000002E-2</v>
      </c>
    </row>
    <row r="803" spans="19:42" ht="18">
      <c r="S803" s="8">
        <f t="shared" si="75"/>
        <v>0</v>
      </c>
      <c r="W803" s="3">
        <v>829</v>
      </c>
      <c r="X803" s="30">
        <v>96.45</v>
      </c>
      <c r="Y803" s="33">
        <f t="shared" si="72"/>
        <v>9.6000000000000002E-2</v>
      </c>
      <c r="AH803" s="45">
        <f t="shared" si="76"/>
        <v>0</v>
      </c>
      <c r="AJ803" s="44">
        <f t="shared" si="73"/>
        <v>0.82899999999999996</v>
      </c>
      <c r="AP803" s="46">
        <f t="shared" si="74"/>
        <v>9.6000000000000002E-2</v>
      </c>
    </row>
    <row r="804" spans="19:42" ht="18">
      <c r="S804" s="8">
        <f t="shared" si="75"/>
        <v>0</v>
      </c>
      <c r="W804" s="3">
        <v>830</v>
      </c>
      <c r="X804" s="30">
        <v>96.5</v>
      </c>
      <c r="Y804" s="33">
        <f t="shared" si="72"/>
        <v>9.7000000000000003E-2</v>
      </c>
      <c r="AH804" s="45">
        <f t="shared" si="76"/>
        <v>0</v>
      </c>
      <c r="AJ804" s="44">
        <f t="shared" si="73"/>
        <v>0.83</v>
      </c>
      <c r="AP804" s="46">
        <f t="shared" si="74"/>
        <v>9.7000000000000003E-2</v>
      </c>
    </row>
    <row r="805" spans="19:42" ht="18">
      <c r="S805" s="8">
        <f t="shared" si="75"/>
        <v>0</v>
      </c>
      <c r="W805" s="3">
        <v>831</v>
      </c>
      <c r="X805" s="30">
        <v>96.55</v>
      </c>
      <c r="Y805" s="33">
        <f t="shared" si="72"/>
        <v>9.7000000000000003E-2</v>
      </c>
      <c r="AH805" s="45">
        <f t="shared" si="76"/>
        <v>0</v>
      </c>
      <c r="AJ805" s="44">
        <f t="shared" si="73"/>
        <v>0.83099999999999996</v>
      </c>
      <c r="AP805" s="46">
        <f t="shared" si="74"/>
        <v>9.7000000000000003E-2</v>
      </c>
    </row>
    <row r="806" spans="19:42" ht="18">
      <c r="S806" s="8">
        <f t="shared" si="75"/>
        <v>0</v>
      </c>
      <c r="W806" s="3">
        <v>832</v>
      </c>
      <c r="X806" s="30">
        <v>96.6</v>
      </c>
      <c r="Y806" s="33">
        <f t="shared" si="72"/>
        <v>9.7000000000000003E-2</v>
      </c>
      <c r="AH806" s="45">
        <f t="shared" si="76"/>
        <v>0</v>
      </c>
      <c r="AJ806" s="44">
        <f t="shared" si="73"/>
        <v>0.83199999999999996</v>
      </c>
      <c r="AP806" s="46">
        <f t="shared" si="74"/>
        <v>9.7000000000000003E-2</v>
      </c>
    </row>
    <row r="807" spans="19:42" ht="18">
      <c r="S807" s="8">
        <f t="shared" si="75"/>
        <v>0</v>
      </c>
      <c r="W807" s="3">
        <v>833</v>
      </c>
      <c r="X807" s="30">
        <v>96.65</v>
      </c>
      <c r="Y807" s="33">
        <f t="shared" si="72"/>
        <v>9.7000000000000003E-2</v>
      </c>
      <c r="AH807" s="45">
        <f t="shared" si="76"/>
        <v>0</v>
      </c>
      <c r="AJ807" s="44">
        <f t="shared" si="73"/>
        <v>0.83299999999999996</v>
      </c>
      <c r="AP807" s="46">
        <f t="shared" si="74"/>
        <v>9.7000000000000003E-2</v>
      </c>
    </row>
    <row r="808" spans="19:42" ht="18">
      <c r="S808" s="8">
        <f t="shared" si="75"/>
        <v>0</v>
      </c>
      <c r="W808" s="3">
        <v>834</v>
      </c>
      <c r="X808" s="30">
        <v>96.7</v>
      </c>
      <c r="Y808" s="33">
        <f t="shared" si="72"/>
        <v>9.7000000000000003E-2</v>
      </c>
      <c r="AH808" s="45">
        <f t="shared" si="76"/>
        <v>0</v>
      </c>
      <c r="AJ808" s="44">
        <f t="shared" si="73"/>
        <v>0.83399999999999996</v>
      </c>
      <c r="AP808" s="46">
        <f t="shared" si="74"/>
        <v>9.7000000000000003E-2</v>
      </c>
    </row>
    <row r="809" spans="19:42" ht="18">
      <c r="S809" s="8">
        <f t="shared" si="75"/>
        <v>0</v>
      </c>
      <c r="W809" s="3">
        <v>835</v>
      </c>
      <c r="X809" s="30">
        <v>96.75</v>
      </c>
      <c r="Y809" s="33">
        <f t="shared" si="72"/>
        <v>9.7000000000000003E-2</v>
      </c>
      <c r="AH809" s="45">
        <f t="shared" si="76"/>
        <v>0</v>
      </c>
      <c r="AJ809" s="44">
        <f t="shared" si="73"/>
        <v>0.83499999999999996</v>
      </c>
      <c r="AP809" s="46">
        <f t="shared" si="74"/>
        <v>9.7000000000000003E-2</v>
      </c>
    </row>
    <row r="810" spans="19:42" ht="18">
      <c r="S810" s="8">
        <f t="shared" si="75"/>
        <v>0</v>
      </c>
      <c r="W810" s="3">
        <v>836</v>
      </c>
      <c r="X810" s="30">
        <v>96.8</v>
      </c>
      <c r="Y810" s="33">
        <f t="shared" si="72"/>
        <v>9.7000000000000003E-2</v>
      </c>
      <c r="AH810" s="45">
        <f t="shared" si="76"/>
        <v>0</v>
      </c>
      <c r="AJ810" s="44">
        <f t="shared" si="73"/>
        <v>0.83599999999999997</v>
      </c>
      <c r="AP810" s="46">
        <f t="shared" si="74"/>
        <v>9.7000000000000003E-2</v>
      </c>
    </row>
    <row r="811" spans="19:42" ht="18">
      <c r="S811" s="8">
        <f t="shared" si="75"/>
        <v>0</v>
      </c>
      <c r="W811" s="3">
        <v>837</v>
      </c>
      <c r="X811" s="30">
        <v>96.85</v>
      </c>
      <c r="Y811" s="33">
        <f t="shared" si="72"/>
        <v>9.7000000000000003E-2</v>
      </c>
      <c r="AH811" s="45">
        <f t="shared" si="76"/>
        <v>0</v>
      </c>
      <c r="AJ811" s="44">
        <f t="shared" si="73"/>
        <v>0.83699999999999997</v>
      </c>
      <c r="AP811" s="46">
        <f t="shared" si="74"/>
        <v>9.7000000000000003E-2</v>
      </c>
    </row>
    <row r="812" spans="19:42" ht="18">
      <c r="S812" s="8">
        <f t="shared" si="75"/>
        <v>0</v>
      </c>
      <c r="W812" s="3">
        <v>838</v>
      </c>
      <c r="X812" s="30">
        <v>96.9</v>
      </c>
      <c r="Y812" s="33">
        <f t="shared" si="72"/>
        <v>9.7000000000000003E-2</v>
      </c>
      <c r="AH812" s="45">
        <f t="shared" si="76"/>
        <v>0</v>
      </c>
      <c r="AJ812" s="44">
        <f t="shared" si="73"/>
        <v>0.83799999999999997</v>
      </c>
      <c r="AP812" s="46">
        <f t="shared" si="74"/>
        <v>9.7000000000000003E-2</v>
      </c>
    </row>
    <row r="813" spans="19:42" ht="18">
      <c r="S813" s="8">
        <f t="shared" si="75"/>
        <v>0</v>
      </c>
      <c r="W813" s="3">
        <v>839</v>
      </c>
      <c r="X813" s="30">
        <v>96.95</v>
      </c>
      <c r="Y813" s="33">
        <f t="shared" si="72"/>
        <v>9.7000000000000003E-2</v>
      </c>
      <c r="AH813" s="45">
        <f t="shared" si="76"/>
        <v>0</v>
      </c>
      <c r="AJ813" s="44">
        <f t="shared" si="73"/>
        <v>0.83899999999999997</v>
      </c>
      <c r="AP813" s="46">
        <f t="shared" si="74"/>
        <v>9.7000000000000003E-2</v>
      </c>
    </row>
    <row r="814" spans="19:42" ht="18">
      <c r="S814" s="8">
        <f t="shared" si="75"/>
        <v>0</v>
      </c>
      <c r="W814" s="3">
        <v>840</v>
      </c>
      <c r="X814" s="30">
        <v>97</v>
      </c>
      <c r="Y814" s="33">
        <f t="shared" si="72"/>
        <v>9.7000000000000003E-2</v>
      </c>
      <c r="AH814" s="45">
        <f t="shared" si="76"/>
        <v>0</v>
      </c>
      <c r="AJ814" s="44">
        <f t="shared" si="73"/>
        <v>0.84</v>
      </c>
      <c r="AP814" s="46">
        <f t="shared" si="74"/>
        <v>9.7000000000000003E-2</v>
      </c>
    </row>
    <row r="815" spans="19:42" ht="18">
      <c r="S815" s="8">
        <f t="shared" si="75"/>
        <v>0</v>
      </c>
      <c r="W815" s="3">
        <v>841</v>
      </c>
      <c r="X815" s="30">
        <v>97.337999999999994</v>
      </c>
      <c r="Y815" s="33">
        <f t="shared" si="72"/>
        <v>9.7000000000000003E-2</v>
      </c>
      <c r="AH815" s="45">
        <f t="shared" si="76"/>
        <v>0</v>
      </c>
      <c r="AJ815" s="44">
        <f t="shared" si="73"/>
        <v>0.84099999999999997</v>
      </c>
      <c r="AP815" s="46">
        <f t="shared" si="74"/>
        <v>9.7000000000000003E-2</v>
      </c>
    </row>
    <row r="816" spans="19:42" ht="18">
      <c r="S816" s="8">
        <f t="shared" si="75"/>
        <v>0</v>
      </c>
      <c r="W816" s="3">
        <v>842</v>
      </c>
      <c r="X816" s="30">
        <v>97.674999999999997</v>
      </c>
      <c r="Y816" s="33">
        <f t="shared" si="72"/>
        <v>9.8000000000000004E-2</v>
      </c>
      <c r="AH816" s="45">
        <f t="shared" si="76"/>
        <v>0</v>
      </c>
      <c r="AJ816" s="44">
        <f t="shared" si="73"/>
        <v>0.84199999999999997</v>
      </c>
      <c r="AP816" s="46">
        <f t="shared" si="74"/>
        <v>9.8000000000000004E-2</v>
      </c>
    </row>
    <row r="817" spans="19:42" ht="18">
      <c r="S817" s="8">
        <f t="shared" si="75"/>
        <v>0</v>
      </c>
      <c r="W817" s="3">
        <v>843</v>
      </c>
      <c r="X817" s="30">
        <v>98.013000000000005</v>
      </c>
      <c r="Y817" s="33">
        <f t="shared" si="72"/>
        <v>9.8000000000000004E-2</v>
      </c>
      <c r="AH817" s="45">
        <f t="shared" si="76"/>
        <v>0</v>
      </c>
      <c r="AJ817" s="44">
        <f t="shared" si="73"/>
        <v>0.84299999999999997</v>
      </c>
      <c r="AP817" s="46">
        <f t="shared" si="74"/>
        <v>9.8000000000000004E-2</v>
      </c>
    </row>
    <row r="818" spans="19:42" ht="18">
      <c r="S818" s="8">
        <f t="shared" si="75"/>
        <v>0</v>
      </c>
      <c r="W818" s="3">
        <v>844</v>
      </c>
      <c r="X818" s="30">
        <v>98.35</v>
      </c>
      <c r="Y818" s="33">
        <f t="shared" si="72"/>
        <v>9.8000000000000004E-2</v>
      </c>
      <c r="AH818" s="45">
        <f t="shared" si="76"/>
        <v>0</v>
      </c>
      <c r="AJ818" s="44">
        <f t="shared" si="73"/>
        <v>0.84399999999999997</v>
      </c>
      <c r="AP818" s="46">
        <f t="shared" si="74"/>
        <v>9.8000000000000004E-2</v>
      </c>
    </row>
    <row r="819" spans="19:42" ht="18">
      <c r="S819" s="8">
        <f t="shared" si="75"/>
        <v>0</v>
      </c>
      <c r="W819" s="3">
        <v>845</v>
      </c>
      <c r="X819" s="30">
        <v>98.688000000000002</v>
      </c>
      <c r="Y819" s="33">
        <f t="shared" si="72"/>
        <v>9.9000000000000005E-2</v>
      </c>
      <c r="AH819" s="45">
        <f t="shared" si="76"/>
        <v>0</v>
      </c>
      <c r="AJ819" s="44">
        <f t="shared" si="73"/>
        <v>0.84499999999999997</v>
      </c>
      <c r="AP819" s="46">
        <f t="shared" si="74"/>
        <v>9.9000000000000005E-2</v>
      </c>
    </row>
    <row r="820" spans="19:42" ht="18">
      <c r="S820" s="8">
        <f t="shared" si="75"/>
        <v>0</v>
      </c>
      <c r="W820" s="3">
        <v>846</v>
      </c>
      <c r="X820" s="30">
        <v>99.025000000000006</v>
      </c>
      <c r="Y820" s="33">
        <f t="shared" si="72"/>
        <v>9.9000000000000005E-2</v>
      </c>
      <c r="AH820" s="45">
        <f t="shared" si="76"/>
        <v>0</v>
      </c>
      <c r="AJ820" s="44">
        <f t="shared" si="73"/>
        <v>0.84599999999999997</v>
      </c>
      <c r="AP820" s="46">
        <f t="shared" si="74"/>
        <v>9.9000000000000005E-2</v>
      </c>
    </row>
    <row r="821" spans="19:42" ht="18">
      <c r="S821" s="8">
        <f t="shared" si="75"/>
        <v>0</v>
      </c>
      <c r="W821" s="3">
        <v>847</v>
      </c>
      <c r="X821" s="30">
        <v>99.363</v>
      </c>
      <c r="Y821" s="33">
        <f t="shared" si="72"/>
        <v>9.9000000000000005E-2</v>
      </c>
      <c r="AH821" s="45">
        <f t="shared" si="76"/>
        <v>0</v>
      </c>
      <c r="AJ821" s="44">
        <f t="shared" si="73"/>
        <v>0.84699999999999998</v>
      </c>
      <c r="AP821" s="46">
        <f t="shared" si="74"/>
        <v>9.9000000000000005E-2</v>
      </c>
    </row>
    <row r="822" spans="19:42" ht="18">
      <c r="S822" s="8">
        <f t="shared" si="75"/>
        <v>0</v>
      </c>
      <c r="W822" s="3">
        <v>848</v>
      </c>
      <c r="X822" s="30">
        <v>99.7</v>
      </c>
      <c r="Y822" s="33">
        <f t="shared" si="72"/>
        <v>0.1</v>
      </c>
      <c r="AH822" s="45">
        <f t="shared" si="76"/>
        <v>0</v>
      </c>
      <c r="AJ822" s="44">
        <f t="shared" si="73"/>
        <v>0.84799999999999998</v>
      </c>
      <c r="AP822" s="46">
        <f t="shared" si="74"/>
        <v>0.1</v>
      </c>
    </row>
    <row r="823" spans="19:42" ht="18">
      <c r="S823" s="8">
        <f t="shared" si="75"/>
        <v>0</v>
      </c>
      <c r="W823" s="3">
        <v>849</v>
      </c>
      <c r="X823" s="30">
        <v>100.038</v>
      </c>
      <c r="Y823" s="33">
        <f t="shared" si="72"/>
        <v>0.1</v>
      </c>
      <c r="AH823" s="45">
        <f t="shared" si="76"/>
        <v>0</v>
      </c>
      <c r="AJ823" s="44">
        <f t="shared" si="73"/>
        <v>0.84899999999999998</v>
      </c>
      <c r="AP823" s="46">
        <f t="shared" si="74"/>
        <v>0.1</v>
      </c>
    </row>
    <row r="824" spans="19:42" ht="18">
      <c r="S824" s="8">
        <f t="shared" si="75"/>
        <v>0</v>
      </c>
      <c r="W824" s="3">
        <v>850</v>
      </c>
      <c r="X824" s="30">
        <v>100.375</v>
      </c>
      <c r="Y824" s="33">
        <f t="shared" si="72"/>
        <v>0.1</v>
      </c>
      <c r="AH824" s="45">
        <f t="shared" si="76"/>
        <v>0</v>
      </c>
      <c r="AJ824" s="44">
        <f t="shared" si="73"/>
        <v>0.85</v>
      </c>
      <c r="AP824" s="46">
        <f t="shared" si="74"/>
        <v>0.1</v>
      </c>
    </row>
    <row r="825" spans="19:42" ht="18">
      <c r="S825" s="8">
        <f t="shared" si="75"/>
        <v>0</v>
      </c>
      <c r="W825" s="3">
        <v>851</v>
      </c>
      <c r="X825" s="30">
        <v>100.71299999999999</v>
      </c>
      <c r="Y825" s="33">
        <f t="shared" si="72"/>
        <v>0.10100000000000001</v>
      </c>
      <c r="AH825" s="45">
        <f t="shared" si="76"/>
        <v>0</v>
      </c>
      <c r="AJ825" s="44">
        <f t="shared" si="73"/>
        <v>0.85099999999999998</v>
      </c>
      <c r="AP825" s="46">
        <f t="shared" si="74"/>
        <v>0.10100000000000001</v>
      </c>
    </row>
    <row r="826" spans="19:42" ht="18">
      <c r="S826" s="8">
        <f t="shared" si="75"/>
        <v>0</v>
      </c>
      <c r="W826" s="3">
        <v>852</v>
      </c>
      <c r="X826" s="30">
        <v>101.05</v>
      </c>
      <c r="Y826" s="33">
        <f t="shared" si="72"/>
        <v>0.10100000000000001</v>
      </c>
      <c r="AH826" s="45">
        <f t="shared" si="76"/>
        <v>0</v>
      </c>
      <c r="AJ826" s="44">
        <f t="shared" si="73"/>
        <v>0.85199999999999998</v>
      </c>
      <c r="AP826" s="46">
        <f t="shared" si="74"/>
        <v>0.10100000000000001</v>
      </c>
    </row>
    <row r="827" spans="19:42" ht="18">
      <c r="S827" s="8">
        <f t="shared" si="75"/>
        <v>0</v>
      </c>
      <c r="W827" s="3">
        <v>853</v>
      </c>
      <c r="X827" s="30">
        <v>101.38800000000001</v>
      </c>
      <c r="Y827" s="33">
        <f t="shared" si="72"/>
        <v>0.10100000000000001</v>
      </c>
      <c r="AH827" s="45">
        <f t="shared" si="76"/>
        <v>0</v>
      </c>
      <c r="AJ827" s="44">
        <f t="shared" si="73"/>
        <v>0.85299999999999998</v>
      </c>
      <c r="AP827" s="46">
        <f t="shared" si="74"/>
        <v>0.10100000000000001</v>
      </c>
    </row>
    <row r="828" spans="19:42" ht="18">
      <c r="S828" s="8">
        <f t="shared" si="75"/>
        <v>0</v>
      </c>
      <c r="W828" s="3">
        <v>854</v>
      </c>
      <c r="X828" s="30">
        <v>101.72499999999999</v>
      </c>
      <c r="Y828" s="33">
        <f t="shared" si="72"/>
        <v>0.10199999999999999</v>
      </c>
      <c r="AH828" s="45">
        <f t="shared" si="76"/>
        <v>0</v>
      </c>
      <c r="AJ828" s="44">
        <f t="shared" si="73"/>
        <v>0.85399999999999998</v>
      </c>
      <c r="AP828" s="46">
        <f t="shared" si="74"/>
        <v>0.10199999999999999</v>
      </c>
    </row>
    <row r="829" spans="19:42" ht="18">
      <c r="S829" s="8">
        <f t="shared" si="75"/>
        <v>0</v>
      </c>
      <c r="W829" s="3">
        <v>855</v>
      </c>
      <c r="X829" s="30">
        <v>102.063</v>
      </c>
      <c r="Y829" s="33">
        <f t="shared" si="72"/>
        <v>0.10199999999999999</v>
      </c>
      <c r="AH829" s="45">
        <f t="shared" si="76"/>
        <v>0</v>
      </c>
      <c r="AJ829" s="44">
        <f t="shared" si="73"/>
        <v>0.85499999999999998</v>
      </c>
      <c r="AP829" s="46">
        <f t="shared" si="74"/>
        <v>0.10199999999999999</v>
      </c>
    </row>
    <row r="830" spans="19:42" ht="18">
      <c r="S830" s="8">
        <f t="shared" si="75"/>
        <v>0</v>
      </c>
      <c r="W830" s="3">
        <v>856</v>
      </c>
      <c r="X830" s="30">
        <v>102.4</v>
      </c>
      <c r="Y830" s="33">
        <f t="shared" si="72"/>
        <v>0.10199999999999999</v>
      </c>
      <c r="AH830" s="45">
        <f t="shared" si="76"/>
        <v>0</v>
      </c>
      <c r="AJ830" s="44">
        <f t="shared" si="73"/>
        <v>0.85599999999999998</v>
      </c>
      <c r="AP830" s="46">
        <f t="shared" si="74"/>
        <v>0.10199999999999999</v>
      </c>
    </row>
    <row r="831" spans="19:42" ht="18">
      <c r="S831" s="8">
        <f t="shared" si="75"/>
        <v>0</v>
      </c>
      <c r="W831" s="3">
        <v>857</v>
      </c>
      <c r="X831" s="30">
        <v>102.738</v>
      </c>
      <c r="Y831" s="33">
        <f t="shared" si="72"/>
        <v>0.10299999999999999</v>
      </c>
      <c r="AH831" s="45">
        <f t="shared" si="76"/>
        <v>0</v>
      </c>
      <c r="AJ831" s="44">
        <f t="shared" si="73"/>
        <v>0.85699999999999998</v>
      </c>
      <c r="AP831" s="46">
        <f t="shared" si="74"/>
        <v>0.10299999999999999</v>
      </c>
    </row>
    <row r="832" spans="19:42" ht="18">
      <c r="S832" s="8">
        <f t="shared" si="75"/>
        <v>0</v>
      </c>
      <c r="W832" s="3">
        <v>858</v>
      </c>
      <c r="X832" s="30">
        <v>103.075</v>
      </c>
      <c r="Y832" s="33">
        <f t="shared" si="72"/>
        <v>0.10299999999999999</v>
      </c>
      <c r="AH832" s="45">
        <f t="shared" si="76"/>
        <v>0</v>
      </c>
      <c r="AJ832" s="44">
        <f t="shared" si="73"/>
        <v>0.85799999999999998</v>
      </c>
      <c r="AP832" s="46">
        <f t="shared" si="74"/>
        <v>0.10299999999999999</v>
      </c>
    </row>
    <row r="833" spans="19:42" ht="18">
      <c r="S833" s="8">
        <f t="shared" si="75"/>
        <v>0</v>
      </c>
      <c r="W833" s="3">
        <v>859</v>
      </c>
      <c r="X833" s="30">
        <v>103.413</v>
      </c>
      <c r="Y833" s="33">
        <f t="shared" si="72"/>
        <v>0.10299999999999999</v>
      </c>
      <c r="AH833" s="45">
        <f t="shared" si="76"/>
        <v>0</v>
      </c>
      <c r="AJ833" s="44">
        <f t="shared" si="73"/>
        <v>0.85899999999999999</v>
      </c>
      <c r="AP833" s="46">
        <f t="shared" si="74"/>
        <v>0.10299999999999999</v>
      </c>
    </row>
    <row r="834" spans="19:42" ht="18">
      <c r="S834" s="8">
        <f t="shared" si="75"/>
        <v>0</v>
      </c>
      <c r="W834" s="3">
        <v>860</v>
      </c>
      <c r="X834" s="30">
        <v>103.75</v>
      </c>
      <c r="Y834" s="33">
        <f t="shared" si="72"/>
        <v>0.104</v>
      </c>
      <c r="AH834" s="45">
        <f t="shared" si="76"/>
        <v>0</v>
      </c>
      <c r="AJ834" s="44">
        <f t="shared" si="73"/>
        <v>0.86</v>
      </c>
      <c r="AP834" s="46">
        <f t="shared" si="74"/>
        <v>0.104</v>
      </c>
    </row>
    <row r="835" spans="19:42" ht="18">
      <c r="S835" s="8">
        <f t="shared" si="75"/>
        <v>0</v>
      </c>
      <c r="W835" s="3">
        <v>861</v>
      </c>
      <c r="X835" s="30">
        <v>104.08799999999999</v>
      </c>
      <c r="Y835" s="33">
        <f t="shared" si="72"/>
        <v>0.104</v>
      </c>
      <c r="AH835" s="45">
        <f t="shared" si="76"/>
        <v>0</v>
      </c>
      <c r="AJ835" s="44">
        <f t="shared" si="73"/>
        <v>0.86099999999999999</v>
      </c>
      <c r="AP835" s="46">
        <f t="shared" si="74"/>
        <v>0.104</v>
      </c>
    </row>
    <row r="836" spans="19:42" ht="18">
      <c r="S836" s="8">
        <f t="shared" si="75"/>
        <v>0</v>
      </c>
      <c r="W836" s="3">
        <v>862</v>
      </c>
      <c r="X836" s="30">
        <v>104.425</v>
      </c>
      <c r="Y836" s="33">
        <f t="shared" si="72"/>
        <v>0.104</v>
      </c>
      <c r="AH836" s="45">
        <f t="shared" si="76"/>
        <v>0</v>
      </c>
      <c r="AJ836" s="44">
        <f t="shared" si="73"/>
        <v>0.86199999999999999</v>
      </c>
      <c r="AP836" s="46">
        <f t="shared" si="74"/>
        <v>0.104</v>
      </c>
    </row>
    <row r="837" spans="19:42" ht="18">
      <c r="S837" s="8">
        <f t="shared" si="75"/>
        <v>0</v>
      </c>
      <c r="W837" s="3">
        <v>863</v>
      </c>
      <c r="X837" s="30">
        <v>104.76300000000001</v>
      </c>
      <c r="Y837" s="33">
        <f t="shared" ref="Y837:Y900" si="77">ROUND(X837/1000,3)</f>
        <v>0.105</v>
      </c>
      <c r="AH837" s="45">
        <f t="shared" si="76"/>
        <v>0</v>
      </c>
      <c r="AJ837" s="44">
        <f t="shared" ref="AJ837:AJ900" si="78">ROUND(W837/1000,3)</f>
        <v>0.86299999999999999</v>
      </c>
      <c r="AP837" s="46">
        <f t="shared" ref="AP837:AP900" si="79">ROUND(X837/1000,3)</f>
        <v>0.105</v>
      </c>
    </row>
    <row r="838" spans="19:42" ht="18">
      <c r="S838" s="8">
        <f t="shared" ref="S838:S901" si="80">CEILING(R838/50,0.5)</f>
        <v>0</v>
      </c>
      <c r="W838" s="3">
        <v>864</v>
      </c>
      <c r="X838" s="30">
        <v>105.1</v>
      </c>
      <c r="Y838" s="33">
        <f t="shared" si="77"/>
        <v>0.105</v>
      </c>
      <c r="AH838" s="45">
        <f t="shared" ref="AH838:AH901" si="81">AE838-AE837</f>
        <v>0</v>
      </c>
      <c r="AJ838" s="44">
        <f t="shared" si="78"/>
        <v>0.86399999999999999</v>
      </c>
      <c r="AP838" s="46">
        <f t="shared" si="79"/>
        <v>0.105</v>
      </c>
    </row>
    <row r="839" spans="19:42" ht="18">
      <c r="S839" s="8">
        <f t="shared" si="80"/>
        <v>0</v>
      </c>
      <c r="W839" s="3">
        <v>865</v>
      </c>
      <c r="X839" s="30">
        <v>105.438</v>
      </c>
      <c r="Y839" s="33">
        <f t="shared" si="77"/>
        <v>0.105</v>
      </c>
      <c r="AH839" s="45">
        <f t="shared" si="81"/>
        <v>0</v>
      </c>
      <c r="AJ839" s="44">
        <f t="shared" si="78"/>
        <v>0.86499999999999999</v>
      </c>
      <c r="AP839" s="46">
        <f t="shared" si="79"/>
        <v>0.105</v>
      </c>
    </row>
    <row r="840" spans="19:42" ht="18">
      <c r="S840" s="8">
        <f t="shared" si="80"/>
        <v>0</v>
      </c>
      <c r="W840" s="3">
        <v>866</v>
      </c>
      <c r="X840" s="30">
        <v>105.77500000000001</v>
      </c>
      <c r="Y840" s="33">
        <f t="shared" si="77"/>
        <v>0.106</v>
      </c>
      <c r="AH840" s="45">
        <f t="shared" si="81"/>
        <v>0</v>
      </c>
      <c r="AJ840" s="44">
        <f t="shared" si="78"/>
        <v>0.86599999999999999</v>
      </c>
      <c r="AP840" s="46">
        <f t="shared" si="79"/>
        <v>0.106</v>
      </c>
    </row>
    <row r="841" spans="19:42" ht="18">
      <c r="S841" s="8">
        <f t="shared" si="80"/>
        <v>0</v>
      </c>
      <c r="W841" s="3">
        <v>867</v>
      </c>
      <c r="X841" s="30">
        <v>106.113</v>
      </c>
      <c r="Y841" s="33">
        <f t="shared" si="77"/>
        <v>0.106</v>
      </c>
      <c r="AH841" s="45">
        <f t="shared" si="81"/>
        <v>0</v>
      </c>
      <c r="AJ841" s="44">
        <f t="shared" si="78"/>
        <v>0.86699999999999999</v>
      </c>
      <c r="AP841" s="46">
        <f t="shared" si="79"/>
        <v>0.106</v>
      </c>
    </row>
    <row r="842" spans="19:42" ht="18">
      <c r="S842" s="8">
        <f t="shared" si="80"/>
        <v>0</v>
      </c>
      <c r="W842" s="3">
        <v>868</v>
      </c>
      <c r="X842" s="30">
        <v>106.45</v>
      </c>
      <c r="Y842" s="33">
        <f t="shared" si="77"/>
        <v>0.106</v>
      </c>
      <c r="AH842" s="45">
        <f t="shared" si="81"/>
        <v>0</v>
      </c>
      <c r="AJ842" s="44">
        <f t="shared" si="78"/>
        <v>0.86799999999999999</v>
      </c>
      <c r="AP842" s="46">
        <f t="shared" si="79"/>
        <v>0.106</v>
      </c>
    </row>
    <row r="843" spans="19:42" ht="18">
      <c r="S843" s="8">
        <f t="shared" si="80"/>
        <v>0</v>
      </c>
      <c r="W843" s="3">
        <v>869</v>
      </c>
      <c r="X843" s="30">
        <v>106.788</v>
      </c>
      <c r="Y843" s="33">
        <f t="shared" si="77"/>
        <v>0.107</v>
      </c>
      <c r="AH843" s="45">
        <f t="shared" si="81"/>
        <v>0</v>
      </c>
      <c r="AJ843" s="44">
        <f t="shared" si="78"/>
        <v>0.86899999999999999</v>
      </c>
      <c r="AP843" s="46">
        <f t="shared" si="79"/>
        <v>0.107</v>
      </c>
    </row>
    <row r="844" spans="19:42" ht="18">
      <c r="S844" s="8">
        <f t="shared" si="80"/>
        <v>0</v>
      </c>
      <c r="W844" s="3">
        <v>870</v>
      </c>
      <c r="X844" s="30">
        <v>107.125</v>
      </c>
      <c r="Y844" s="33">
        <f t="shared" si="77"/>
        <v>0.107</v>
      </c>
      <c r="AH844" s="45">
        <f t="shared" si="81"/>
        <v>0</v>
      </c>
      <c r="AJ844" s="44">
        <f t="shared" si="78"/>
        <v>0.87</v>
      </c>
      <c r="AP844" s="46">
        <f t="shared" si="79"/>
        <v>0.107</v>
      </c>
    </row>
    <row r="845" spans="19:42" ht="18">
      <c r="S845" s="8">
        <f t="shared" si="80"/>
        <v>0</v>
      </c>
      <c r="W845" s="3">
        <v>871</v>
      </c>
      <c r="X845" s="30">
        <v>107.46299999999999</v>
      </c>
      <c r="Y845" s="33">
        <f t="shared" si="77"/>
        <v>0.107</v>
      </c>
      <c r="AH845" s="45">
        <f t="shared" si="81"/>
        <v>0</v>
      </c>
      <c r="AJ845" s="44">
        <f t="shared" si="78"/>
        <v>0.871</v>
      </c>
      <c r="AP845" s="46">
        <f t="shared" si="79"/>
        <v>0.107</v>
      </c>
    </row>
    <row r="846" spans="19:42" ht="18">
      <c r="S846" s="8">
        <f t="shared" si="80"/>
        <v>0</v>
      </c>
      <c r="W846" s="3">
        <v>872</v>
      </c>
      <c r="X846" s="30">
        <v>107.8</v>
      </c>
      <c r="Y846" s="33">
        <f t="shared" si="77"/>
        <v>0.108</v>
      </c>
      <c r="AH846" s="45">
        <f t="shared" si="81"/>
        <v>0</v>
      </c>
      <c r="AJ846" s="44">
        <f t="shared" si="78"/>
        <v>0.872</v>
      </c>
      <c r="AP846" s="46">
        <f t="shared" si="79"/>
        <v>0.108</v>
      </c>
    </row>
    <row r="847" spans="19:42" ht="18">
      <c r="S847" s="8">
        <f t="shared" si="80"/>
        <v>0</v>
      </c>
      <c r="W847" s="3">
        <v>873</v>
      </c>
      <c r="X847" s="30">
        <v>108.13800000000001</v>
      </c>
      <c r="Y847" s="33">
        <f t="shared" si="77"/>
        <v>0.108</v>
      </c>
      <c r="AH847" s="45">
        <f t="shared" si="81"/>
        <v>0</v>
      </c>
      <c r="AJ847" s="44">
        <f t="shared" si="78"/>
        <v>0.873</v>
      </c>
      <c r="AP847" s="46">
        <f t="shared" si="79"/>
        <v>0.108</v>
      </c>
    </row>
    <row r="848" spans="19:42" ht="18">
      <c r="S848" s="8">
        <f t="shared" si="80"/>
        <v>0</v>
      </c>
      <c r="W848" s="3">
        <v>874</v>
      </c>
      <c r="X848" s="30">
        <v>108.47499999999999</v>
      </c>
      <c r="Y848" s="33">
        <f t="shared" si="77"/>
        <v>0.108</v>
      </c>
      <c r="AH848" s="45">
        <f t="shared" si="81"/>
        <v>0</v>
      </c>
      <c r="AJ848" s="44">
        <f t="shared" si="78"/>
        <v>0.874</v>
      </c>
      <c r="AP848" s="46">
        <f t="shared" si="79"/>
        <v>0.108</v>
      </c>
    </row>
    <row r="849" spans="19:42" ht="18">
      <c r="S849" s="8">
        <f t="shared" si="80"/>
        <v>0</v>
      </c>
      <c r="W849" s="3">
        <v>875</v>
      </c>
      <c r="X849" s="30">
        <v>108.813</v>
      </c>
      <c r="Y849" s="33">
        <f t="shared" si="77"/>
        <v>0.109</v>
      </c>
      <c r="AH849" s="45">
        <f t="shared" si="81"/>
        <v>0</v>
      </c>
      <c r="AJ849" s="44">
        <f t="shared" si="78"/>
        <v>0.875</v>
      </c>
      <c r="AP849" s="46">
        <f t="shared" si="79"/>
        <v>0.109</v>
      </c>
    </row>
    <row r="850" spans="19:42" ht="18">
      <c r="S850" s="8">
        <f t="shared" si="80"/>
        <v>0</v>
      </c>
      <c r="W850" s="3">
        <v>876</v>
      </c>
      <c r="X850" s="30">
        <v>109.15</v>
      </c>
      <c r="Y850" s="33">
        <f t="shared" si="77"/>
        <v>0.109</v>
      </c>
      <c r="AH850" s="45">
        <f t="shared" si="81"/>
        <v>0</v>
      </c>
      <c r="AJ850" s="44">
        <f t="shared" si="78"/>
        <v>0.876</v>
      </c>
      <c r="AP850" s="46">
        <f t="shared" si="79"/>
        <v>0.109</v>
      </c>
    </row>
    <row r="851" spans="19:42" ht="18">
      <c r="S851" s="8">
        <f t="shared" si="80"/>
        <v>0</v>
      </c>
      <c r="W851" s="3">
        <v>877</v>
      </c>
      <c r="X851" s="30">
        <v>109.488</v>
      </c>
      <c r="Y851" s="33">
        <f t="shared" si="77"/>
        <v>0.109</v>
      </c>
      <c r="AH851" s="45">
        <f t="shared" si="81"/>
        <v>0</v>
      </c>
      <c r="AJ851" s="44">
        <f t="shared" si="78"/>
        <v>0.877</v>
      </c>
      <c r="AP851" s="46">
        <f t="shared" si="79"/>
        <v>0.109</v>
      </c>
    </row>
    <row r="852" spans="19:42" ht="18">
      <c r="S852" s="8">
        <f t="shared" si="80"/>
        <v>0</v>
      </c>
      <c r="W852" s="3">
        <v>878</v>
      </c>
      <c r="X852" s="30">
        <v>109.825</v>
      </c>
      <c r="Y852" s="33">
        <f t="shared" si="77"/>
        <v>0.11</v>
      </c>
      <c r="AH852" s="45">
        <f t="shared" si="81"/>
        <v>0</v>
      </c>
      <c r="AJ852" s="44">
        <f t="shared" si="78"/>
        <v>0.878</v>
      </c>
      <c r="AP852" s="46">
        <f t="shared" si="79"/>
        <v>0.11</v>
      </c>
    </row>
    <row r="853" spans="19:42" ht="18">
      <c r="S853" s="8">
        <f t="shared" si="80"/>
        <v>0</v>
      </c>
      <c r="W853" s="3">
        <v>879</v>
      </c>
      <c r="X853" s="30">
        <v>110.163</v>
      </c>
      <c r="Y853" s="33">
        <f t="shared" si="77"/>
        <v>0.11</v>
      </c>
      <c r="AH853" s="45">
        <f t="shared" si="81"/>
        <v>0</v>
      </c>
      <c r="AJ853" s="44">
        <f t="shared" si="78"/>
        <v>0.879</v>
      </c>
      <c r="AP853" s="46">
        <f t="shared" si="79"/>
        <v>0.11</v>
      </c>
    </row>
    <row r="854" spans="19:42" ht="18">
      <c r="S854" s="8">
        <f t="shared" si="80"/>
        <v>0</v>
      </c>
      <c r="W854" s="3">
        <v>880</v>
      </c>
      <c r="X854" s="30">
        <v>110.5</v>
      </c>
      <c r="Y854" s="33">
        <f t="shared" si="77"/>
        <v>0.111</v>
      </c>
      <c r="AH854" s="45">
        <f t="shared" si="81"/>
        <v>0</v>
      </c>
      <c r="AJ854" s="44">
        <f t="shared" si="78"/>
        <v>0.88</v>
      </c>
      <c r="AP854" s="46">
        <f t="shared" si="79"/>
        <v>0.111</v>
      </c>
    </row>
    <row r="855" spans="19:42" ht="18">
      <c r="S855" s="8">
        <f t="shared" si="80"/>
        <v>0</v>
      </c>
      <c r="W855" s="3">
        <v>881</v>
      </c>
      <c r="X855" s="30">
        <v>110.83799999999999</v>
      </c>
      <c r="Y855" s="33">
        <f t="shared" si="77"/>
        <v>0.111</v>
      </c>
      <c r="AH855" s="45">
        <f t="shared" si="81"/>
        <v>0</v>
      </c>
      <c r="AJ855" s="44">
        <f t="shared" si="78"/>
        <v>0.88100000000000001</v>
      </c>
      <c r="AP855" s="46">
        <f t="shared" si="79"/>
        <v>0.111</v>
      </c>
    </row>
    <row r="856" spans="19:42" ht="18">
      <c r="S856" s="8">
        <f t="shared" si="80"/>
        <v>0</v>
      </c>
      <c r="W856" s="3">
        <v>882</v>
      </c>
      <c r="X856" s="30">
        <v>111.175</v>
      </c>
      <c r="Y856" s="33">
        <f t="shared" si="77"/>
        <v>0.111</v>
      </c>
      <c r="AH856" s="45">
        <f t="shared" si="81"/>
        <v>0</v>
      </c>
      <c r="AJ856" s="44">
        <f t="shared" si="78"/>
        <v>0.88200000000000001</v>
      </c>
      <c r="AP856" s="46">
        <f t="shared" si="79"/>
        <v>0.111</v>
      </c>
    </row>
    <row r="857" spans="19:42" ht="18">
      <c r="S857" s="8">
        <f t="shared" si="80"/>
        <v>0</v>
      </c>
      <c r="W857" s="3">
        <v>883</v>
      </c>
      <c r="X857" s="30">
        <v>111.51300000000001</v>
      </c>
      <c r="Y857" s="33">
        <f t="shared" si="77"/>
        <v>0.112</v>
      </c>
      <c r="AH857" s="45">
        <f t="shared" si="81"/>
        <v>0</v>
      </c>
      <c r="AJ857" s="44">
        <f t="shared" si="78"/>
        <v>0.88300000000000001</v>
      </c>
      <c r="AP857" s="46">
        <f t="shared" si="79"/>
        <v>0.112</v>
      </c>
    </row>
    <row r="858" spans="19:42" ht="18">
      <c r="S858" s="8">
        <f t="shared" si="80"/>
        <v>0</v>
      </c>
      <c r="W858" s="3">
        <v>884</v>
      </c>
      <c r="X858" s="30">
        <v>111.85</v>
      </c>
      <c r="Y858" s="33">
        <f t="shared" si="77"/>
        <v>0.112</v>
      </c>
      <c r="AH858" s="45">
        <f t="shared" si="81"/>
        <v>0</v>
      </c>
      <c r="AJ858" s="44">
        <f t="shared" si="78"/>
        <v>0.88400000000000001</v>
      </c>
      <c r="AP858" s="46">
        <f t="shared" si="79"/>
        <v>0.112</v>
      </c>
    </row>
    <row r="859" spans="19:42" ht="18">
      <c r="S859" s="8">
        <f t="shared" si="80"/>
        <v>0</v>
      </c>
      <c r="W859" s="3">
        <v>885</v>
      </c>
      <c r="X859" s="30">
        <v>112.188</v>
      </c>
      <c r="Y859" s="33">
        <f t="shared" si="77"/>
        <v>0.112</v>
      </c>
      <c r="AH859" s="45">
        <f t="shared" si="81"/>
        <v>0</v>
      </c>
      <c r="AJ859" s="44">
        <f t="shared" si="78"/>
        <v>0.88500000000000001</v>
      </c>
      <c r="AP859" s="46">
        <f t="shared" si="79"/>
        <v>0.112</v>
      </c>
    </row>
    <row r="860" spans="19:42" ht="18">
      <c r="S860" s="8">
        <f t="shared" si="80"/>
        <v>0</v>
      </c>
      <c r="W860" s="3">
        <v>886</v>
      </c>
      <c r="X860" s="30">
        <v>112.52500000000001</v>
      </c>
      <c r="Y860" s="33">
        <f t="shared" si="77"/>
        <v>0.113</v>
      </c>
      <c r="AH860" s="45">
        <f t="shared" si="81"/>
        <v>0</v>
      </c>
      <c r="AJ860" s="44">
        <f t="shared" si="78"/>
        <v>0.88600000000000001</v>
      </c>
      <c r="AP860" s="46">
        <f t="shared" si="79"/>
        <v>0.113</v>
      </c>
    </row>
    <row r="861" spans="19:42" ht="18">
      <c r="S861" s="8">
        <f t="shared" si="80"/>
        <v>0</v>
      </c>
      <c r="W861" s="3">
        <v>887</v>
      </c>
      <c r="X861" s="30">
        <v>112.863</v>
      </c>
      <c r="Y861" s="33">
        <f t="shared" si="77"/>
        <v>0.113</v>
      </c>
      <c r="AH861" s="45">
        <f t="shared" si="81"/>
        <v>0</v>
      </c>
      <c r="AJ861" s="44">
        <f t="shared" si="78"/>
        <v>0.88700000000000001</v>
      </c>
      <c r="AP861" s="46">
        <f t="shared" si="79"/>
        <v>0.113</v>
      </c>
    </row>
    <row r="862" spans="19:42" ht="18">
      <c r="S862" s="8">
        <f t="shared" si="80"/>
        <v>0</v>
      </c>
      <c r="W862" s="3">
        <v>888</v>
      </c>
      <c r="X862" s="30">
        <v>113.2</v>
      </c>
      <c r="Y862" s="33">
        <f t="shared" si="77"/>
        <v>0.113</v>
      </c>
      <c r="AH862" s="45">
        <f t="shared" si="81"/>
        <v>0</v>
      </c>
      <c r="AJ862" s="44">
        <f t="shared" si="78"/>
        <v>0.88800000000000001</v>
      </c>
      <c r="AP862" s="46">
        <f t="shared" si="79"/>
        <v>0.113</v>
      </c>
    </row>
    <row r="863" spans="19:42" ht="18">
      <c r="S863" s="8">
        <f t="shared" si="80"/>
        <v>0</v>
      </c>
      <c r="W863" s="3">
        <v>889</v>
      </c>
      <c r="X863" s="30">
        <v>113.538</v>
      </c>
      <c r="Y863" s="33">
        <f t="shared" si="77"/>
        <v>0.114</v>
      </c>
      <c r="AH863" s="45">
        <f t="shared" si="81"/>
        <v>0</v>
      </c>
      <c r="AJ863" s="44">
        <f t="shared" si="78"/>
        <v>0.88900000000000001</v>
      </c>
      <c r="AP863" s="46">
        <f t="shared" si="79"/>
        <v>0.114</v>
      </c>
    </row>
    <row r="864" spans="19:42" ht="18">
      <c r="S864" s="8">
        <f t="shared" si="80"/>
        <v>0</v>
      </c>
      <c r="W864" s="3">
        <v>890</v>
      </c>
      <c r="X864" s="30">
        <v>113.875</v>
      </c>
      <c r="Y864" s="33">
        <f t="shared" si="77"/>
        <v>0.114</v>
      </c>
      <c r="AH864" s="45">
        <f t="shared" si="81"/>
        <v>0</v>
      </c>
      <c r="AJ864" s="44">
        <f t="shared" si="78"/>
        <v>0.89</v>
      </c>
      <c r="AP864" s="46">
        <f t="shared" si="79"/>
        <v>0.114</v>
      </c>
    </row>
    <row r="865" spans="19:42" ht="18">
      <c r="S865" s="8">
        <f t="shared" si="80"/>
        <v>0</v>
      </c>
      <c r="W865" s="3">
        <v>891</v>
      </c>
      <c r="X865" s="30">
        <v>114.21299999999999</v>
      </c>
      <c r="Y865" s="33">
        <f t="shared" si="77"/>
        <v>0.114</v>
      </c>
      <c r="AH865" s="45">
        <f t="shared" si="81"/>
        <v>0</v>
      </c>
      <c r="AJ865" s="44">
        <f t="shared" si="78"/>
        <v>0.89100000000000001</v>
      </c>
      <c r="AP865" s="46">
        <f t="shared" si="79"/>
        <v>0.114</v>
      </c>
    </row>
    <row r="866" spans="19:42" ht="18">
      <c r="S866" s="8">
        <f t="shared" si="80"/>
        <v>0</v>
      </c>
      <c r="W866" s="3">
        <v>892</v>
      </c>
      <c r="X866" s="30">
        <v>114.55</v>
      </c>
      <c r="Y866" s="33">
        <f t="shared" si="77"/>
        <v>0.115</v>
      </c>
      <c r="AH866" s="45">
        <f t="shared" si="81"/>
        <v>0</v>
      </c>
      <c r="AJ866" s="44">
        <f t="shared" si="78"/>
        <v>0.89200000000000002</v>
      </c>
      <c r="AP866" s="46">
        <f t="shared" si="79"/>
        <v>0.115</v>
      </c>
    </row>
    <row r="867" spans="19:42" ht="18">
      <c r="S867" s="8">
        <f t="shared" si="80"/>
        <v>0</v>
      </c>
      <c r="W867" s="3">
        <v>893</v>
      </c>
      <c r="X867" s="30">
        <v>114.88800000000001</v>
      </c>
      <c r="Y867" s="33">
        <f t="shared" si="77"/>
        <v>0.115</v>
      </c>
      <c r="AH867" s="45">
        <f t="shared" si="81"/>
        <v>0</v>
      </c>
      <c r="AJ867" s="44">
        <f t="shared" si="78"/>
        <v>0.89300000000000002</v>
      </c>
      <c r="AP867" s="46">
        <f t="shared" si="79"/>
        <v>0.115</v>
      </c>
    </row>
    <row r="868" spans="19:42" ht="18">
      <c r="S868" s="8">
        <f t="shared" si="80"/>
        <v>0</v>
      </c>
      <c r="W868" s="3">
        <v>894</v>
      </c>
      <c r="X868" s="30">
        <v>115.22499999999999</v>
      </c>
      <c r="Y868" s="33">
        <f t="shared" si="77"/>
        <v>0.115</v>
      </c>
      <c r="AH868" s="45">
        <f t="shared" si="81"/>
        <v>0</v>
      </c>
      <c r="AJ868" s="44">
        <f t="shared" si="78"/>
        <v>0.89400000000000002</v>
      </c>
      <c r="AP868" s="46">
        <f t="shared" si="79"/>
        <v>0.115</v>
      </c>
    </row>
    <row r="869" spans="19:42" ht="18">
      <c r="S869" s="8">
        <f t="shared" si="80"/>
        <v>0</v>
      </c>
      <c r="W869" s="3">
        <v>895</v>
      </c>
      <c r="X869" s="30">
        <v>115.563</v>
      </c>
      <c r="Y869" s="33">
        <f t="shared" si="77"/>
        <v>0.11600000000000001</v>
      </c>
      <c r="AH869" s="45">
        <f t="shared" si="81"/>
        <v>0</v>
      </c>
      <c r="AJ869" s="44">
        <f t="shared" si="78"/>
        <v>0.89500000000000002</v>
      </c>
      <c r="AP869" s="46">
        <f t="shared" si="79"/>
        <v>0.11600000000000001</v>
      </c>
    </row>
    <row r="870" spans="19:42" ht="18">
      <c r="S870" s="8">
        <f t="shared" si="80"/>
        <v>0</v>
      </c>
      <c r="W870" s="3">
        <v>896</v>
      </c>
      <c r="X870" s="30">
        <v>115.9</v>
      </c>
      <c r="Y870" s="33">
        <f t="shared" si="77"/>
        <v>0.11600000000000001</v>
      </c>
      <c r="AH870" s="45">
        <f t="shared" si="81"/>
        <v>0</v>
      </c>
      <c r="AJ870" s="44">
        <f t="shared" si="78"/>
        <v>0.89600000000000002</v>
      </c>
      <c r="AP870" s="46">
        <f t="shared" si="79"/>
        <v>0.11600000000000001</v>
      </c>
    </row>
    <row r="871" spans="19:42" ht="18">
      <c r="S871" s="8">
        <f t="shared" si="80"/>
        <v>0</v>
      </c>
      <c r="W871" s="3">
        <v>897</v>
      </c>
      <c r="X871" s="30">
        <v>116.238</v>
      </c>
      <c r="Y871" s="33">
        <f t="shared" si="77"/>
        <v>0.11600000000000001</v>
      </c>
      <c r="AH871" s="45">
        <f t="shared" si="81"/>
        <v>0</v>
      </c>
      <c r="AJ871" s="44">
        <f t="shared" si="78"/>
        <v>0.89700000000000002</v>
      </c>
      <c r="AP871" s="46">
        <f t="shared" si="79"/>
        <v>0.11600000000000001</v>
      </c>
    </row>
    <row r="872" spans="19:42" ht="18">
      <c r="S872" s="8">
        <f t="shared" si="80"/>
        <v>0</v>
      </c>
      <c r="W872" s="3">
        <v>898</v>
      </c>
      <c r="X872" s="30">
        <v>116.575</v>
      </c>
      <c r="Y872" s="33">
        <f t="shared" si="77"/>
        <v>0.11700000000000001</v>
      </c>
      <c r="AH872" s="45">
        <f t="shared" si="81"/>
        <v>0</v>
      </c>
      <c r="AJ872" s="44">
        <f t="shared" si="78"/>
        <v>0.89800000000000002</v>
      </c>
      <c r="AP872" s="46">
        <f t="shared" si="79"/>
        <v>0.11700000000000001</v>
      </c>
    </row>
    <row r="873" spans="19:42" ht="18">
      <c r="S873" s="8">
        <f t="shared" si="80"/>
        <v>0</v>
      </c>
      <c r="W873" s="3">
        <v>899</v>
      </c>
      <c r="X873" s="30">
        <v>116.913</v>
      </c>
      <c r="Y873" s="33">
        <f t="shared" si="77"/>
        <v>0.11700000000000001</v>
      </c>
      <c r="AH873" s="45">
        <f t="shared" si="81"/>
        <v>0</v>
      </c>
      <c r="AJ873" s="44">
        <f t="shared" si="78"/>
        <v>0.89900000000000002</v>
      </c>
      <c r="AP873" s="46">
        <f t="shared" si="79"/>
        <v>0.11700000000000001</v>
      </c>
    </row>
    <row r="874" spans="19:42" ht="18">
      <c r="S874" s="8">
        <f t="shared" si="80"/>
        <v>0</v>
      </c>
      <c r="W874" s="3">
        <v>900</v>
      </c>
      <c r="X874" s="30">
        <v>117.25</v>
      </c>
      <c r="Y874" s="33">
        <f t="shared" si="77"/>
        <v>0.11700000000000001</v>
      </c>
      <c r="AH874" s="45">
        <f t="shared" si="81"/>
        <v>0</v>
      </c>
      <c r="AJ874" s="44">
        <f t="shared" si="78"/>
        <v>0.9</v>
      </c>
      <c r="AP874" s="46">
        <f t="shared" si="79"/>
        <v>0.11700000000000001</v>
      </c>
    </row>
    <row r="875" spans="19:42" ht="18">
      <c r="S875" s="8">
        <f t="shared" si="80"/>
        <v>0</v>
      </c>
      <c r="W875" s="3">
        <v>901</v>
      </c>
      <c r="X875" s="30">
        <v>117.58799999999999</v>
      </c>
      <c r="Y875" s="33">
        <f t="shared" si="77"/>
        <v>0.11799999999999999</v>
      </c>
      <c r="AH875" s="45">
        <f t="shared" si="81"/>
        <v>0</v>
      </c>
      <c r="AJ875" s="44">
        <f t="shared" si="78"/>
        <v>0.90100000000000002</v>
      </c>
      <c r="AP875" s="46">
        <f t="shared" si="79"/>
        <v>0.11799999999999999</v>
      </c>
    </row>
    <row r="876" spans="19:42" ht="18">
      <c r="S876" s="8">
        <f t="shared" si="80"/>
        <v>0</v>
      </c>
      <c r="W876" s="3">
        <v>902</v>
      </c>
      <c r="X876" s="30">
        <v>117.925</v>
      </c>
      <c r="Y876" s="33">
        <f t="shared" si="77"/>
        <v>0.11799999999999999</v>
      </c>
      <c r="AH876" s="45">
        <f t="shared" si="81"/>
        <v>0</v>
      </c>
      <c r="AJ876" s="44">
        <f t="shared" si="78"/>
        <v>0.90200000000000002</v>
      </c>
      <c r="AP876" s="46">
        <f t="shared" si="79"/>
        <v>0.11799999999999999</v>
      </c>
    </row>
    <row r="877" spans="19:42" ht="18">
      <c r="S877" s="8">
        <f t="shared" si="80"/>
        <v>0</v>
      </c>
      <c r="W877" s="3">
        <v>903</v>
      </c>
      <c r="X877" s="30">
        <v>118.26300000000001</v>
      </c>
      <c r="Y877" s="33">
        <f t="shared" si="77"/>
        <v>0.11799999999999999</v>
      </c>
      <c r="AH877" s="45">
        <f t="shared" si="81"/>
        <v>0</v>
      </c>
      <c r="AJ877" s="44">
        <f t="shared" si="78"/>
        <v>0.90300000000000002</v>
      </c>
      <c r="AP877" s="46">
        <f t="shared" si="79"/>
        <v>0.11799999999999999</v>
      </c>
    </row>
    <row r="878" spans="19:42" ht="18">
      <c r="S878" s="8">
        <f t="shared" si="80"/>
        <v>0</v>
      </c>
      <c r="W878" s="3">
        <v>904</v>
      </c>
      <c r="X878" s="30">
        <v>118.6</v>
      </c>
      <c r="Y878" s="33">
        <f t="shared" si="77"/>
        <v>0.11899999999999999</v>
      </c>
      <c r="AH878" s="45">
        <f t="shared" si="81"/>
        <v>0</v>
      </c>
      <c r="AJ878" s="44">
        <f t="shared" si="78"/>
        <v>0.90400000000000003</v>
      </c>
      <c r="AP878" s="46">
        <f t="shared" si="79"/>
        <v>0.11899999999999999</v>
      </c>
    </row>
    <row r="879" spans="19:42" ht="18">
      <c r="S879" s="8">
        <f t="shared" si="80"/>
        <v>0</v>
      </c>
      <c r="W879" s="3">
        <v>905</v>
      </c>
      <c r="X879" s="30">
        <v>118.938</v>
      </c>
      <c r="Y879" s="33">
        <f t="shared" si="77"/>
        <v>0.11899999999999999</v>
      </c>
      <c r="AH879" s="45">
        <f t="shared" si="81"/>
        <v>0</v>
      </c>
      <c r="AJ879" s="44">
        <f t="shared" si="78"/>
        <v>0.90500000000000003</v>
      </c>
      <c r="AP879" s="46">
        <f t="shared" si="79"/>
        <v>0.11899999999999999</v>
      </c>
    </row>
    <row r="880" spans="19:42" ht="18">
      <c r="S880" s="8">
        <f t="shared" si="80"/>
        <v>0</v>
      </c>
      <c r="W880" s="3">
        <v>906</v>
      </c>
      <c r="X880" s="30">
        <v>119.27500000000001</v>
      </c>
      <c r="Y880" s="33">
        <f t="shared" si="77"/>
        <v>0.11899999999999999</v>
      </c>
      <c r="AH880" s="45">
        <f t="shared" si="81"/>
        <v>0</v>
      </c>
      <c r="AJ880" s="44">
        <f t="shared" si="78"/>
        <v>0.90600000000000003</v>
      </c>
      <c r="AP880" s="46">
        <f t="shared" si="79"/>
        <v>0.11899999999999999</v>
      </c>
    </row>
    <row r="881" spans="19:42" ht="18">
      <c r="S881" s="8">
        <f t="shared" si="80"/>
        <v>0</v>
      </c>
      <c r="W881" s="3">
        <v>907</v>
      </c>
      <c r="X881" s="30">
        <v>119.613</v>
      </c>
      <c r="Y881" s="33">
        <f t="shared" si="77"/>
        <v>0.12</v>
      </c>
      <c r="AH881" s="45">
        <f t="shared" si="81"/>
        <v>0</v>
      </c>
      <c r="AJ881" s="44">
        <f t="shared" si="78"/>
        <v>0.90700000000000003</v>
      </c>
      <c r="AP881" s="46">
        <f t="shared" si="79"/>
        <v>0.12</v>
      </c>
    </row>
    <row r="882" spans="19:42" ht="18">
      <c r="S882" s="8">
        <f t="shared" si="80"/>
        <v>0</v>
      </c>
      <c r="W882" s="3">
        <v>908</v>
      </c>
      <c r="X882" s="30">
        <v>119.95</v>
      </c>
      <c r="Y882" s="33">
        <f t="shared" si="77"/>
        <v>0.12</v>
      </c>
      <c r="AH882" s="45">
        <f t="shared" si="81"/>
        <v>0</v>
      </c>
      <c r="AJ882" s="44">
        <f t="shared" si="78"/>
        <v>0.90800000000000003</v>
      </c>
      <c r="AP882" s="46">
        <f t="shared" si="79"/>
        <v>0.12</v>
      </c>
    </row>
    <row r="883" spans="19:42" ht="18">
      <c r="S883" s="8">
        <f t="shared" si="80"/>
        <v>0</v>
      </c>
      <c r="W883" s="3">
        <v>909</v>
      </c>
      <c r="X883" s="30">
        <v>120.288</v>
      </c>
      <c r="Y883" s="33">
        <f t="shared" si="77"/>
        <v>0.12</v>
      </c>
      <c r="AH883" s="45">
        <f t="shared" si="81"/>
        <v>0</v>
      </c>
      <c r="AJ883" s="44">
        <f t="shared" si="78"/>
        <v>0.90900000000000003</v>
      </c>
      <c r="AP883" s="46">
        <f t="shared" si="79"/>
        <v>0.12</v>
      </c>
    </row>
    <row r="884" spans="19:42" ht="18">
      <c r="S884" s="8">
        <f t="shared" si="80"/>
        <v>0</v>
      </c>
      <c r="W884" s="3">
        <v>910</v>
      </c>
      <c r="X884" s="30">
        <v>120.625</v>
      </c>
      <c r="Y884" s="33">
        <f t="shared" si="77"/>
        <v>0.121</v>
      </c>
      <c r="AH884" s="45">
        <f t="shared" si="81"/>
        <v>0</v>
      </c>
      <c r="AJ884" s="44">
        <f t="shared" si="78"/>
        <v>0.91</v>
      </c>
      <c r="AP884" s="46">
        <f t="shared" si="79"/>
        <v>0.121</v>
      </c>
    </row>
    <row r="885" spans="19:42" ht="18">
      <c r="S885" s="8">
        <f t="shared" si="80"/>
        <v>0</v>
      </c>
      <c r="W885" s="3">
        <v>911</v>
      </c>
      <c r="X885" s="30">
        <v>120.96299999999999</v>
      </c>
      <c r="Y885" s="33">
        <f t="shared" si="77"/>
        <v>0.121</v>
      </c>
      <c r="AH885" s="45">
        <f t="shared" si="81"/>
        <v>0</v>
      </c>
      <c r="AJ885" s="44">
        <f t="shared" si="78"/>
        <v>0.91100000000000003</v>
      </c>
      <c r="AP885" s="46">
        <f t="shared" si="79"/>
        <v>0.121</v>
      </c>
    </row>
    <row r="886" spans="19:42" ht="18">
      <c r="S886" s="8">
        <f t="shared" si="80"/>
        <v>0</v>
      </c>
      <c r="W886" s="3">
        <v>912</v>
      </c>
      <c r="X886" s="30">
        <v>121.3</v>
      </c>
      <c r="Y886" s="33">
        <f t="shared" si="77"/>
        <v>0.121</v>
      </c>
      <c r="AH886" s="45">
        <f t="shared" si="81"/>
        <v>0</v>
      </c>
      <c r="AJ886" s="44">
        <f t="shared" si="78"/>
        <v>0.91200000000000003</v>
      </c>
      <c r="AP886" s="46">
        <f t="shared" si="79"/>
        <v>0.121</v>
      </c>
    </row>
    <row r="887" spans="19:42" ht="18">
      <c r="S887" s="8">
        <f t="shared" si="80"/>
        <v>0</v>
      </c>
      <c r="W887" s="3">
        <v>913</v>
      </c>
      <c r="X887" s="30">
        <v>121.63800000000001</v>
      </c>
      <c r="Y887" s="33">
        <f t="shared" si="77"/>
        <v>0.122</v>
      </c>
      <c r="AH887" s="45">
        <f t="shared" si="81"/>
        <v>0</v>
      </c>
      <c r="AJ887" s="44">
        <f t="shared" si="78"/>
        <v>0.91300000000000003</v>
      </c>
      <c r="AP887" s="46">
        <f t="shared" si="79"/>
        <v>0.122</v>
      </c>
    </row>
    <row r="888" spans="19:42" ht="18">
      <c r="S888" s="8">
        <f t="shared" si="80"/>
        <v>0</v>
      </c>
      <c r="W888" s="3">
        <v>914</v>
      </c>
      <c r="X888" s="30">
        <v>121.97499999999999</v>
      </c>
      <c r="Y888" s="33">
        <f t="shared" si="77"/>
        <v>0.122</v>
      </c>
      <c r="AH888" s="45">
        <f t="shared" si="81"/>
        <v>0</v>
      </c>
      <c r="AJ888" s="44">
        <f t="shared" si="78"/>
        <v>0.91400000000000003</v>
      </c>
      <c r="AP888" s="46">
        <f t="shared" si="79"/>
        <v>0.122</v>
      </c>
    </row>
    <row r="889" spans="19:42" ht="18">
      <c r="S889" s="8">
        <f t="shared" si="80"/>
        <v>0</v>
      </c>
      <c r="W889" s="3">
        <v>915</v>
      </c>
      <c r="X889" s="30">
        <v>122.313</v>
      </c>
      <c r="Y889" s="33">
        <f t="shared" si="77"/>
        <v>0.122</v>
      </c>
      <c r="AH889" s="45">
        <f t="shared" si="81"/>
        <v>0</v>
      </c>
      <c r="AJ889" s="44">
        <f t="shared" si="78"/>
        <v>0.91500000000000004</v>
      </c>
      <c r="AP889" s="46">
        <f t="shared" si="79"/>
        <v>0.122</v>
      </c>
    </row>
    <row r="890" spans="19:42" ht="18">
      <c r="S890" s="8">
        <f t="shared" si="80"/>
        <v>0</v>
      </c>
      <c r="W890" s="3">
        <v>916</v>
      </c>
      <c r="X890" s="30">
        <v>122.65</v>
      </c>
      <c r="Y890" s="33">
        <f t="shared" si="77"/>
        <v>0.123</v>
      </c>
      <c r="AH890" s="45">
        <f t="shared" si="81"/>
        <v>0</v>
      </c>
      <c r="AJ890" s="44">
        <f t="shared" si="78"/>
        <v>0.91600000000000004</v>
      </c>
      <c r="AP890" s="46">
        <f t="shared" si="79"/>
        <v>0.123</v>
      </c>
    </row>
    <row r="891" spans="19:42" ht="18">
      <c r="S891" s="8">
        <f t="shared" si="80"/>
        <v>0</v>
      </c>
      <c r="W891" s="3">
        <v>917</v>
      </c>
      <c r="X891" s="30">
        <v>122.988</v>
      </c>
      <c r="Y891" s="33">
        <f t="shared" si="77"/>
        <v>0.123</v>
      </c>
      <c r="AH891" s="45">
        <f t="shared" si="81"/>
        <v>0</v>
      </c>
      <c r="AJ891" s="44">
        <f t="shared" si="78"/>
        <v>0.91700000000000004</v>
      </c>
      <c r="AP891" s="46">
        <f t="shared" si="79"/>
        <v>0.123</v>
      </c>
    </row>
    <row r="892" spans="19:42" ht="18">
      <c r="S892" s="8">
        <f t="shared" si="80"/>
        <v>0</v>
      </c>
      <c r="W892" s="3">
        <v>918</v>
      </c>
      <c r="X892" s="30">
        <v>123.325</v>
      </c>
      <c r="Y892" s="33">
        <f t="shared" si="77"/>
        <v>0.123</v>
      </c>
      <c r="AH892" s="45">
        <f t="shared" si="81"/>
        <v>0</v>
      </c>
      <c r="AJ892" s="44">
        <f t="shared" si="78"/>
        <v>0.91800000000000004</v>
      </c>
      <c r="AP892" s="46">
        <f t="shared" si="79"/>
        <v>0.123</v>
      </c>
    </row>
    <row r="893" spans="19:42" ht="18">
      <c r="S893" s="8">
        <f t="shared" si="80"/>
        <v>0</v>
      </c>
      <c r="W893" s="3">
        <v>919</v>
      </c>
      <c r="X893" s="30">
        <v>123.663</v>
      </c>
      <c r="Y893" s="33">
        <f t="shared" si="77"/>
        <v>0.124</v>
      </c>
      <c r="AH893" s="45">
        <f t="shared" si="81"/>
        <v>0</v>
      </c>
      <c r="AJ893" s="44">
        <f t="shared" si="78"/>
        <v>0.91900000000000004</v>
      </c>
      <c r="AP893" s="46">
        <f t="shared" si="79"/>
        <v>0.124</v>
      </c>
    </row>
    <row r="894" spans="19:42" ht="18">
      <c r="S894" s="8">
        <f t="shared" si="80"/>
        <v>0</v>
      </c>
      <c r="W894" s="3">
        <v>920</v>
      </c>
      <c r="X894" s="30">
        <v>124</v>
      </c>
      <c r="Y894" s="33">
        <f t="shared" si="77"/>
        <v>0.124</v>
      </c>
      <c r="AH894" s="45">
        <f t="shared" si="81"/>
        <v>0</v>
      </c>
      <c r="AJ894" s="44">
        <f t="shared" si="78"/>
        <v>0.92</v>
      </c>
      <c r="AP894" s="46">
        <f t="shared" si="79"/>
        <v>0.124</v>
      </c>
    </row>
    <row r="895" spans="19:42" ht="18">
      <c r="S895" s="8">
        <f t="shared" si="80"/>
        <v>0</v>
      </c>
      <c r="W895" s="3">
        <v>921</v>
      </c>
      <c r="X895" s="30">
        <v>124.211</v>
      </c>
      <c r="Y895" s="33">
        <f t="shared" si="77"/>
        <v>0.124</v>
      </c>
      <c r="AH895" s="45">
        <f t="shared" si="81"/>
        <v>0</v>
      </c>
      <c r="AJ895" s="44">
        <f t="shared" si="78"/>
        <v>0.92100000000000004</v>
      </c>
      <c r="AP895" s="46">
        <f t="shared" si="79"/>
        <v>0.124</v>
      </c>
    </row>
    <row r="896" spans="19:42" ht="18">
      <c r="S896" s="8">
        <f t="shared" si="80"/>
        <v>0</v>
      </c>
      <c r="W896" s="3">
        <v>922</v>
      </c>
      <c r="X896" s="30">
        <v>124.422</v>
      </c>
      <c r="Y896" s="33">
        <f t="shared" si="77"/>
        <v>0.124</v>
      </c>
      <c r="AH896" s="45">
        <f t="shared" si="81"/>
        <v>0</v>
      </c>
      <c r="AJ896" s="44">
        <f t="shared" si="78"/>
        <v>0.92200000000000004</v>
      </c>
      <c r="AP896" s="46">
        <f t="shared" si="79"/>
        <v>0.124</v>
      </c>
    </row>
    <row r="897" spans="19:42" ht="18">
      <c r="S897" s="8">
        <f t="shared" si="80"/>
        <v>0</v>
      </c>
      <c r="W897" s="3">
        <v>923</v>
      </c>
      <c r="X897" s="30">
        <v>124.633</v>
      </c>
      <c r="Y897" s="33">
        <f t="shared" si="77"/>
        <v>0.125</v>
      </c>
      <c r="AH897" s="45">
        <f t="shared" si="81"/>
        <v>0</v>
      </c>
      <c r="AJ897" s="44">
        <f t="shared" si="78"/>
        <v>0.92300000000000004</v>
      </c>
      <c r="AP897" s="46">
        <f t="shared" si="79"/>
        <v>0.125</v>
      </c>
    </row>
    <row r="898" spans="19:42" ht="18">
      <c r="S898" s="8">
        <f t="shared" si="80"/>
        <v>0</v>
      </c>
      <c r="W898" s="3">
        <v>924</v>
      </c>
      <c r="X898" s="30">
        <v>124.84399999999999</v>
      </c>
      <c r="Y898" s="33">
        <f t="shared" si="77"/>
        <v>0.125</v>
      </c>
      <c r="AH898" s="45">
        <f t="shared" si="81"/>
        <v>0</v>
      </c>
      <c r="AJ898" s="44">
        <f t="shared" si="78"/>
        <v>0.92400000000000004</v>
      </c>
      <c r="AP898" s="46">
        <f t="shared" si="79"/>
        <v>0.125</v>
      </c>
    </row>
    <row r="899" spans="19:42" ht="18">
      <c r="S899" s="8">
        <f t="shared" si="80"/>
        <v>0</v>
      </c>
      <c r="W899" s="3">
        <v>925</v>
      </c>
      <c r="X899" s="30">
        <v>125.056</v>
      </c>
      <c r="Y899" s="33">
        <f t="shared" si="77"/>
        <v>0.125</v>
      </c>
      <c r="AH899" s="45">
        <f t="shared" si="81"/>
        <v>0</v>
      </c>
      <c r="AJ899" s="44">
        <f t="shared" si="78"/>
        <v>0.92500000000000004</v>
      </c>
      <c r="AP899" s="46">
        <f t="shared" si="79"/>
        <v>0.125</v>
      </c>
    </row>
    <row r="900" spans="19:42" ht="18">
      <c r="S900" s="8">
        <f t="shared" si="80"/>
        <v>0</v>
      </c>
      <c r="W900" s="3">
        <v>926</v>
      </c>
      <c r="X900" s="30">
        <v>125.267</v>
      </c>
      <c r="Y900" s="33">
        <f t="shared" si="77"/>
        <v>0.125</v>
      </c>
      <c r="AH900" s="45">
        <f t="shared" si="81"/>
        <v>0</v>
      </c>
      <c r="AJ900" s="44">
        <f t="shared" si="78"/>
        <v>0.92600000000000005</v>
      </c>
      <c r="AP900" s="46">
        <f t="shared" si="79"/>
        <v>0.125</v>
      </c>
    </row>
    <row r="901" spans="19:42" ht="18">
      <c r="S901" s="8">
        <f t="shared" si="80"/>
        <v>0</v>
      </c>
      <c r="W901" s="3">
        <v>927</v>
      </c>
      <c r="X901" s="30">
        <v>125.47799999999999</v>
      </c>
      <c r="Y901" s="33">
        <f t="shared" ref="Y901:Y964" si="82">ROUND(X901/1000,3)</f>
        <v>0.125</v>
      </c>
      <c r="AH901" s="45">
        <f t="shared" si="81"/>
        <v>0</v>
      </c>
      <c r="AJ901" s="44">
        <f t="shared" ref="AJ901:AJ964" si="83">ROUND(W901/1000,3)</f>
        <v>0.92700000000000005</v>
      </c>
      <c r="AP901" s="46">
        <f t="shared" ref="AP901:AP964" si="84">ROUND(X901/1000,3)</f>
        <v>0.125</v>
      </c>
    </row>
    <row r="902" spans="19:42" ht="18">
      <c r="S902" s="8">
        <f t="shared" ref="S902:S965" si="85">CEILING(R902/50,0.5)</f>
        <v>0</v>
      </c>
      <c r="W902" s="3">
        <v>928</v>
      </c>
      <c r="X902" s="30">
        <v>125.68899999999999</v>
      </c>
      <c r="Y902" s="33">
        <f t="shared" si="82"/>
        <v>0.126</v>
      </c>
      <c r="AH902" s="45">
        <f t="shared" ref="AH902:AH965" si="86">AE902-AE901</f>
        <v>0</v>
      </c>
      <c r="AJ902" s="44">
        <f t="shared" si="83"/>
        <v>0.92800000000000005</v>
      </c>
      <c r="AP902" s="46">
        <f t="shared" si="84"/>
        <v>0.126</v>
      </c>
    </row>
    <row r="903" spans="19:42" ht="18">
      <c r="S903" s="8">
        <f t="shared" si="85"/>
        <v>0</v>
      </c>
      <c r="W903" s="3">
        <v>929</v>
      </c>
      <c r="X903" s="30">
        <v>125.9</v>
      </c>
      <c r="Y903" s="33">
        <f t="shared" si="82"/>
        <v>0.126</v>
      </c>
      <c r="AH903" s="45">
        <f t="shared" si="86"/>
        <v>0</v>
      </c>
      <c r="AJ903" s="44">
        <f t="shared" si="83"/>
        <v>0.92900000000000005</v>
      </c>
      <c r="AP903" s="46">
        <f t="shared" si="84"/>
        <v>0.126</v>
      </c>
    </row>
    <row r="904" spans="19:42" ht="18">
      <c r="S904" s="8">
        <f t="shared" si="85"/>
        <v>0</v>
      </c>
      <c r="W904" s="3">
        <v>930</v>
      </c>
      <c r="X904" s="30">
        <v>126.111</v>
      </c>
      <c r="Y904" s="33">
        <f t="shared" si="82"/>
        <v>0.126</v>
      </c>
      <c r="AH904" s="45">
        <f t="shared" si="86"/>
        <v>0</v>
      </c>
      <c r="AJ904" s="44">
        <f t="shared" si="83"/>
        <v>0.93</v>
      </c>
      <c r="AP904" s="46">
        <f t="shared" si="84"/>
        <v>0.126</v>
      </c>
    </row>
    <row r="905" spans="19:42" ht="18">
      <c r="S905" s="8">
        <f t="shared" si="85"/>
        <v>0</v>
      </c>
      <c r="W905" s="3">
        <v>931</v>
      </c>
      <c r="X905" s="30">
        <v>126.322</v>
      </c>
      <c r="Y905" s="33">
        <f t="shared" si="82"/>
        <v>0.126</v>
      </c>
      <c r="AH905" s="45">
        <f t="shared" si="86"/>
        <v>0</v>
      </c>
      <c r="AJ905" s="44">
        <f t="shared" si="83"/>
        <v>0.93100000000000005</v>
      </c>
      <c r="AP905" s="46">
        <f t="shared" si="84"/>
        <v>0.126</v>
      </c>
    </row>
    <row r="906" spans="19:42" ht="18">
      <c r="S906" s="8">
        <f t="shared" si="85"/>
        <v>0</v>
      </c>
      <c r="W906" s="3">
        <v>932</v>
      </c>
      <c r="X906" s="30">
        <v>126.533</v>
      </c>
      <c r="Y906" s="33">
        <f t="shared" si="82"/>
        <v>0.127</v>
      </c>
      <c r="AH906" s="45">
        <f t="shared" si="86"/>
        <v>0</v>
      </c>
      <c r="AJ906" s="44">
        <f t="shared" si="83"/>
        <v>0.93200000000000005</v>
      </c>
      <c r="AP906" s="46">
        <f t="shared" si="84"/>
        <v>0.127</v>
      </c>
    </row>
    <row r="907" spans="19:42" ht="18">
      <c r="S907" s="8">
        <f t="shared" si="85"/>
        <v>0</v>
      </c>
      <c r="W907" s="3">
        <v>933</v>
      </c>
      <c r="X907" s="30">
        <v>126.744</v>
      </c>
      <c r="Y907" s="33">
        <f t="shared" si="82"/>
        <v>0.127</v>
      </c>
      <c r="AH907" s="45">
        <f t="shared" si="86"/>
        <v>0</v>
      </c>
      <c r="AJ907" s="44">
        <f t="shared" si="83"/>
        <v>0.93300000000000005</v>
      </c>
      <c r="AP907" s="46">
        <f t="shared" si="84"/>
        <v>0.127</v>
      </c>
    </row>
    <row r="908" spans="19:42" ht="18">
      <c r="S908" s="8">
        <f t="shared" si="85"/>
        <v>0</v>
      </c>
      <c r="W908" s="3">
        <v>934</v>
      </c>
      <c r="X908" s="30">
        <v>126.956</v>
      </c>
      <c r="Y908" s="33">
        <f t="shared" si="82"/>
        <v>0.127</v>
      </c>
      <c r="AH908" s="45">
        <f t="shared" si="86"/>
        <v>0</v>
      </c>
      <c r="AJ908" s="44">
        <f t="shared" si="83"/>
        <v>0.93400000000000005</v>
      </c>
      <c r="AP908" s="46">
        <f t="shared" si="84"/>
        <v>0.127</v>
      </c>
    </row>
    <row r="909" spans="19:42" ht="18">
      <c r="S909" s="8">
        <f t="shared" si="85"/>
        <v>0</v>
      </c>
      <c r="W909" s="3">
        <v>935</v>
      </c>
      <c r="X909" s="30">
        <v>127.167</v>
      </c>
      <c r="Y909" s="33">
        <f t="shared" si="82"/>
        <v>0.127</v>
      </c>
      <c r="AH909" s="45">
        <f t="shared" si="86"/>
        <v>0</v>
      </c>
      <c r="AJ909" s="44">
        <f t="shared" si="83"/>
        <v>0.93500000000000005</v>
      </c>
      <c r="AP909" s="46">
        <f t="shared" si="84"/>
        <v>0.127</v>
      </c>
    </row>
    <row r="910" spans="19:42" ht="18">
      <c r="S910" s="8">
        <f t="shared" si="85"/>
        <v>0</v>
      </c>
      <c r="W910" s="3">
        <v>936</v>
      </c>
      <c r="X910" s="30">
        <v>127.378</v>
      </c>
      <c r="Y910" s="33">
        <f t="shared" si="82"/>
        <v>0.127</v>
      </c>
      <c r="AH910" s="45">
        <f t="shared" si="86"/>
        <v>0</v>
      </c>
      <c r="AJ910" s="44">
        <f t="shared" si="83"/>
        <v>0.93600000000000005</v>
      </c>
      <c r="AP910" s="46">
        <f t="shared" si="84"/>
        <v>0.127</v>
      </c>
    </row>
    <row r="911" spans="19:42" ht="18">
      <c r="S911" s="8">
        <f t="shared" si="85"/>
        <v>0</v>
      </c>
      <c r="W911" s="3">
        <v>937</v>
      </c>
      <c r="X911" s="30">
        <v>127.589</v>
      </c>
      <c r="Y911" s="33">
        <f t="shared" si="82"/>
        <v>0.128</v>
      </c>
      <c r="AH911" s="45">
        <f t="shared" si="86"/>
        <v>0</v>
      </c>
      <c r="AJ911" s="44">
        <f t="shared" si="83"/>
        <v>0.93700000000000006</v>
      </c>
      <c r="AP911" s="46">
        <f t="shared" si="84"/>
        <v>0.128</v>
      </c>
    </row>
    <row r="912" spans="19:42" ht="18">
      <c r="S912" s="8">
        <f t="shared" si="85"/>
        <v>0</v>
      </c>
      <c r="W912" s="3">
        <v>938</v>
      </c>
      <c r="X912" s="30">
        <v>127.8</v>
      </c>
      <c r="Y912" s="33">
        <f t="shared" si="82"/>
        <v>0.128</v>
      </c>
      <c r="AH912" s="45">
        <f t="shared" si="86"/>
        <v>0</v>
      </c>
      <c r="AJ912" s="44">
        <f t="shared" si="83"/>
        <v>0.93799999999999994</v>
      </c>
      <c r="AP912" s="46">
        <f t="shared" si="84"/>
        <v>0.128</v>
      </c>
    </row>
    <row r="913" spans="19:42" ht="18">
      <c r="S913" s="8">
        <f t="shared" si="85"/>
        <v>0</v>
      </c>
      <c r="W913" s="3">
        <v>939</v>
      </c>
      <c r="X913" s="30">
        <v>128.011</v>
      </c>
      <c r="Y913" s="33">
        <f t="shared" si="82"/>
        <v>0.128</v>
      </c>
      <c r="AH913" s="45">
        <f t="shared" si="86"/>
        <v>0</v>
      </c>
      <c r="AJ913" s="44">
        <f t="shared" si="83"/>
        <v>0.93899999999999995</v>
      </c>
      <c r="AP913" s="46">
        <f t="shared" si="84"/>
        <v>0.128</v>
      </c>
    </row>
    <row r="914" spans="19:42" ht="18">
      <c r="S914" s="8">
        <f t="shared" si="85"/>
        <v>0</v>
      </c>
      <c r="W914" s="3">
        <v>940</v>
      </c>
      <c r="X914" s="30">
        <v>128.22200000000001</v>
      </c>
      <c r="Y914" s="33">
        <f t="shared" si="82"/>
        <v>0.128</v>
      </c>
      <c r="AH914" s="45">
        <f t="shared" si="86"/>
        <v>0</v>
      </c>
      <c r="AJ914" s="44">
        <f t="shared" si="83"/>
        <v>0.94</v>
      </c>
      <c r="AP914" s="46">
        <f t="shared" si="84"/>
        <v>0.128</v>
      </c>
    </row>
    <row r="915" spans="19:42" ht="18">
      <c r="S915" s="8">
        <f t="shared" si="85"/>
        <v>0</v>
      </c>
      <c r="W915" s="3">
        <v>941</v>
      </c>
      <c r="X915" s="30">
        <v>128.43299999999999</v>
      </c>
      <c r="Y915" s="33">
        <f t="shared" si="82"/>
        <v>0.128</v>
      </c>
      <c r="AH915" s="45">
        <f t="shared" si="86"/>
        <v>0</v>
      </c>
      <c r="AJ915" s="44">
        <f t="shared" si="83"/>
        <v>0.94099999999999995</v>
      </c>
      <c r="AP915" s="46">
        <f t="shared" si="84"/>
        <v>0.128</v>
      </c>
    </row>
    <row r="916" spans="19:42" ht="18">
      <c r="S916" s="8">
        <f t="shared" si="85"/>
        <v>0</v>
      </c>
      <c r="W916" s="3">
        <v>942</v>
      </c>
      <c r="X916" s="30">
        <v>128.64400000000001</v>
      </c>
      <c r="Y916" s="33">
        <f t="shared" si="82"/>
        <v>0.129</v>
      </c>
      <c r="AH916" s="45">
        <f t="shared" si="86"/>
        <v>0</v>
      </c>
      <c r="AJ916" s="44">
        <f t="shared" si="83"/>
        <v>0.94199999999999995</v>
      </c>
      <c r="AP916" s="46">
        <f t="shared" si="84"/>
        <v>0.129</v>
      </c>
    </row>
    <row r="917" spans="19:42" ht="18">
      <c r="S917" s="8">
        <f t="shared" si="85"/>
        <v>0</v>
      </c>
      <c r="W917" s="3">
        <v>943</v>
      </c>
      <c r="X917" s="30">
        <v>128.85599999999999</v>
      </c>
      <c r="Y917" s="33">
        <f t="shared" si="82"/>
        <v>0.129</v>
      </c>
      <c r="AH917" s="45">
        <f t="shared" si="86"/>
        <v>0</v>
      </c>
      <c r="AJ917" s="44">
        <f t="shared" si="83"/>
        <v>0.94299999999999995</v>
      </c>
      <c r="AP917" s="46">
        <f t="shared" si="84"/>
        <v>0.129</v>
      </c>
    </row>
    <row r="918" spans="19:42" ht="18">
      <c r="S918" s="8">
        <f t="shared" si="85"/>
        <v>0</v>
      </c>
      <c r="W918" s="3">
        <v>944</v>
      </c>
      <c r="X918" s="30">
        <v>129.06700000000001</v>
      </c>
      <c r="Y918" s="33">
        <f t="shared" si="82"/>
        <v>0.129</v>
      </c>
      <c r="AH918" s="45">
        <f t="shared" si="86"/>
        <v>0</v>
      </c>
      <c r="AJ918" s="44">
        <f t="shared" si="83"/>
        <v>0.94399999999999995</v>
      </c>
      <c r="AP918" s="46">
        <f t="shared" si="84"/>
        <v>0.129</v>
      </c>
    </row>
    <row r="919" spans="19:42" ht="18">
      <c r="S919" s="8">
        <f t="shared" si="85"/>
        <v>0</v>
      </c>
      <c r="W919" s="3">
        <v>945</v>
      </c>
      <c r="X919" s="30">
        <v>129.27799999999999</v>
      </c>
      <c r="Y919" s="33">
        <f t="shared" si="82"/>
        <v>0.129</v>
      </c>
      <c r="AH919" s="45">
        <f t="shared" si="86"/>
        <v>0</v>
      </c>
      <c r="AJ919" s="44">
        <f t="shared" si="83"/>
        <v>0.94499999999999995</v>
      </c>
      <c r="AP919" s="46">
        <f t="shared" si="84"/>
        <v>0.129</v>
      </c>
    </row>
    <row r="920" spans="19:42" ht="18">
      <c r="S920" s="8">
        <f t="shared" si="85"/>
        <v>0</v>
      </c>
      <c r="W920" s="3">
        <v>946</v>
      </c>
      <c r="X920" s="30">
        <v>129.489</v>
      </c>
      <c r="Y920" s="33">
        <f t="shared" si="82"/>
        <v>0.129</v>
      </c>
      <c r="AH920" s="45">
        <f t="shared" si="86"/>
        <v>0</v>
      </c>
      <c r="AJ920" s="44">
        <f t="shared" si="83"/>
        <v>0.94599999999999995</v>
      </c>
      <c r="AP920" s="46">
        <f t="shared" si="84"/>
        <v>0.129</v>
      </c>
    </row>
    <row r="921" spans="19:42" ht="18">
      <c r="S921" s="8">
        <f t="shared" si="85"/>
        <v>0</v>
      </c>
      <c r="W921" s="3">
        <v>947</v>
      </c>
      <c r="X921" s="30">
        <v>129.69999999999999</v>
      </c>
      <c r="Y921" s="33">
        <f t="shared" si="82"/>
        <v>0.13</v>
      </c>
      <c r="AH921" s="45">
        <f t="shared" si="86"/>
        <v>0</v>
      </c>
      <c r="AJ921" s="44">
        <f t="shared" si="83"/>
        <v>0.94699999999999995</v>
      </c>
      <c r="AP921" s="46">
        <f t="shared" si="84"/>
        <v>0.13</v>
      </c>
    </row>
    <row r="922" spans="19:42" ht="18">
      <c r="S922" s="8">
        <f t="shared" si="85"/>
        <v>0</v>
      </c>
      <c r="W922" s="3">
        <v>948</v>
      </c>
      <c r="X922" s="30">
        <v>129.911</v>
      </c>
      <c r="Y922" s="33">
        <f t="shared" si="82"/>
        <v>0.13</v>
      </c>
      <c r="AH922" s="45">
        <f t="shared" si="86"/>
        <v>0</v>
      </c>
      <c r="AJ922" s="44">
        <f t="shared" si="83"/>
        <v>0.94799999999999995</v>
      </c>
      <c r="AP922" s="46">
        <f t="shared" si="84"/>
        <v>0.13</v>
      </c>
    </row>
    <row r="923" spans="19:42" ht="18">
      <c r="S923" s="8">
        <f t="shared" si="85"/>
        <v>0</v>
      </c>
      <c r="W923" s="3">
        <v>949</v>
      </c>
      <c r="X923" s="30">
        <v>130.12200000000001</v>
      </c>
      <c r="Y923" s="33">
        <f t="shared" si="82"/>
        <v>0.13</v>
      </c>
      <c r="AH923" s="45">
        <f t="shared" si="86"/>
        <v>0</v>
      </c>
      <c r="AJ923" s="44">
        <f t="shared" si="83"/>
        <v>0.94899999999999995</v>
      </c>
      <c r="AP923" s="46">
        <f t="shared" si="84"/>
        <v>0.13</v>
      </c>
    </row>
    <row r="924" spans="19:42" ht="18">
      <c r="S924" s="8">
        <f t="shared" si="85"/>
        <v>0</v>
      </c>
      <c r="W924" s="3">
        <v>950</v>
      </c>
      <c r="X924" s="30">
        <v>130.333</v>
      </c>
      <c r="Y924" s="33">
        <f t="shared" si="82"/>
        <v>0.13</v>
      </c>
      <c r="AH924" s="45">
        <f t="shared" si="86"/>
        <v>0</v>
      </c>
      <c r="AJ924" s="44">
        <f t="shared" si="83"/>
        <v>0.95</v>
      </c>
      <c r="AP924" s="46">
        <f t="shared" si="84"/>
        <v>0.13</v>
      </c>
    </row>
    <row r="925" spans="19:42" ht="18">
      <c r="S925" s="8">
        <f t="shared" si="85"/>
        <v>0</v>
      </c>
      <c r="W925" s="3">
        <v>951</v>
      </c>
      <c r="X925" s="30">
        <v>130.54400000000001</v>
      </c>
      <c r="Y925" s="33">
        <f t="shared" si="82"/>
        <v>0.13100000000000001</v>
      </c>
      <c r="AH925" s="45">
        <f t="shared" si="86"/>
        <v>0</v>
      </c>
      <c r="AJ925" s="44">
        <f t="shared" si="83"/>
        <v>0.95099999999999996</v>
      </c>
      <c r="AP925" s="46">
        <f t="shared" si="84"/>
        <v>0.13100000000000001</v>
      </c>
    </row>
    <row r="926" spans="19:42" ht="18">
      <c r="S926" s="8">
        <f t="shared" si="85"/>
        <v>0</v>
      </c>
      <c r="W926" s="3">
        <v>952</v>
      </c>
      <c r="X926" s="30">
        <v>130.756</v>
      </c>
      <c r="Y926" s="33">
        <f t="shared" si="82"/>
        <v>0.13100000000000001</v>
      </c>
      <c r="AH926" s="45">
        <f t="shared" si="86"/>
        <v>0</v>
      </c>
      <c r="AJ926" s="44">
        <f t="shared" si="83"/>
        <v>0.95199999999999996</v>
      </c>
      <c r="AP926" s="46">
        <f t="shared" si="84"/>
        <v>0.13100000000000001</v>
      </c>
    </row>
    <row r="927" spans="19:42" ht="18">
      <c r="S927" s="8">
        <f t="shared" si="85"/>
        <v>0</v>
      </c>
      <c r="W927" s="3">
        <v>953</v>
      </c>
      <c r="X927" s="30">
        <v>130.96700000000001</v>
      </c>
      <c r="Y927" s="33">
        <f t="shared" si="82"/>
        <v>0.13100000000000001</v>
      </c>
      <c r="AH927" s="45">
        <f t="shared" si="86"/>
        <v>0</v>
      </c>
      <c r="AJ927" s="44">
        <f t="shared" si="83"/>
        <v>0.95299999999999996</v>
      </c>
      <c r="AP927" s="46">
        <f t="shared" si="84"/>
        <v>0.13100000000000001</v>
      </c>
    </row>
    <row r="928" spans="19:42" ht="18">
      <c r="S928" s="8">
        <f t="shared" si="85"/>
        <v>0</v>
      </c>
      <c r="W928" s="3">
        <v>954</v>
      </c>
      <c r="X928" s="30">
        <v>131.178</v>
      </c>
      <c r="Y928" s="33">
        <f t="shared" si="82"/>
        <v>0.13100000000000001</v>
      </c>
      <c r="AH928" s="45">
        <f t="shared" si="86"/>
        <v>0</v>
      </c>
      <c r="AJ928" s="44">
        <f t="shared" si="83"/>
        <v>0.95399999999999996</v>
      </c>
      <c r="AP928" s="46">
        <f t="shared" si="84"/>
        <v>0.13100000000000001</v>
      </c>
    </row>
    <row r="929" spans="19:42" ht="18">
      <c r="S929" s="8">
        <f t="shared" si="85"/>
        <v>0</v>
      </c>
      <c r="W929" s="3">
        <v>955</v>
      </c>
      <c r="X929" s="30">
        <v>131.38900000000001</v>
      </c>
      <c r="Y929" s="33">
        <f t="shared" si="82"/>
        <v>0.13100000000000001</v>
      </c>
      <c r="AH929" s="45">
        <f t="shared" si="86"/>
        <v>0</v>
      </c>
      <c r="AJ929" s="44">
        <f t="shared" si="83"/>
        <v>0.95499999999999996</v>
      </c>
      <c r="AP929" s="46">
        <f t="shared" si="84"/>
        <v>0.13100000000000001</v>
      </c>
    </row>
    <row r="930" spans="19:42" ht="18">
      <c r="S930" s="8">
        <f t="shared" si="85"/>
        <v>0</v>
      </c>
      <c r="W930" s="3">
        <v>956</v>
      </c>
      <c r="X930" s="30">
        <v>131.6</v>
      </c>
      <c r="Y930" s="33">
        <f t="shared" si="82"/>
        <v>0.13200000000000001</v>
      </c>
      <c r="AH930" s="45">
        <f t="shared" si="86"/>
        <v>0</v>
      </c>
      <c r="AJ930" s="44">
        <f t="shared" si="83"/>
        <v>0.95599999999999996</v>
      </c>
      <c r="AP930" s="46">
        <f t="shared" si="84"/>
        <v>0.13200000000000001</v>
      </c>
    </row>
    <row r="931" spans="19:42" ht="18">
      <c r="S931" s="8">
        <f t="shared" si="85"/>
        <v>0</v>
      </c>
      <c r="W931" s="3">
        <v>957</v>
      </c>
      <c r="X931" s="30">
        <v>131.81100000000001</v>
      </c>
      <c r="Y931" s="33">
        <f t="shared" si="82"/>
        <v>0.13200000000000001</v>
      </c>
      <c r="AH931" s="45">
        <f t="shared" si="86"/>
        <v>0</v>
      </c>
      <c r="AJ931" s="44">
        <f t="shared" si="83"/>
        <v>0.95699999999999996</v>
      </c>
      <c r="AP931" s="46">
        <f t="shared" si="84"/>
        <v>0.13200000000000001</v>
      </c>
    </row>
    <row r="932" spans="19:42" ht="18">
      <c r="S932" s="8">
        <f t="shared" si="85"/>
        <v>0</v>
      </c>
      <c r="W932" s="3">
        <v>958</v>
      </c>
      <c r="X932" s="30">
        <v>132.02199999999999</v>
      </c>
      <c r="Y932" s="33">
        <f t="shared" si="82"/>
        <v>0.13200000000000001</v>
      </c>
      <c r="AH932" s="45">
        <f t="shared" si="86"/>
        <v>0</v>
      </c>
      <c r="AJ932" s="44">
        <f t="shared" si="83"/>
        <v>0.95799999999999996</v>
      </c>
      <c r="AP932" s="46">
        <f t="shared" si="84"/>
        <v>0.13200000000000001</v>
      </c>
    </row>
    <row r="933" spans="19:42" ht="18">
      <c r="S933" s="8">
        <f t="shared" si="85"/>
        <v>0</v>
      </c>
      <c r="W933" s="3">
        <v>959</v>
      </c>
      <c r="X933" s="30">
        <v>132.233</v>
      </c>
      <c r="Y933" s="33">
        <f t="shared" si="82"/>
        <v>0.13200000000000001</v>
      </c>
      <c r="AH933" s="45">
        <f t="shared" si="86"/>
        <v>0</v>
      </c>
      <c r="AJ933" s="44">
        <f t="shared" si="83"/>
        <v>0.95899999999999996</v>
      </c>
      <c r="AP933" s="46">
        <f t="shared" si="84"/>
        <v>0.13200000000000001</v>
      </c>
    </row>
    <row r="934" spans="19:42" ht="18">
      <c r="S934" s="8">
        <f t="shared" si="85"/>
        <v>0</v>
      </c>
      <c r="W934" s="3">
        <v>960</v>
      </c>
      <c r="X934" s="30">
        <v>132.44399999999999</v>
      </c>
      <c r="Y934" s="33">
        <f t="shared" si="82"/>
        <v>0.13200000000000001</v>
      </c>
      <c r="AH934" s="45">
        <f t="shared" si="86"/>
        <v>0</v>
      </c>
      <c r="AJ934" s="44">
        <f t="shared" si="83"/>
        <v>0.96</v>
      </c>
      <c r="AP934" s="46">
        <f t="shared" si="84"/>
        <v>0.13200000000000001</v>
      </c>
    </row>
    <row r="935" spans="19:42" ht="18">
      <c r="S935" s="8">
        <f t="shared" si="85"/>
        <v>0</v>
      </c>
      <c r="W935" s="3">
        <v>961</v>
      </c>
      <c r="X935" s="30">
        <v>132.65600000000001</v>
      </c>
      <c r="Y935" s="33">
        <f t="shared" si="82"/>
        <v>0.13300000000000001</v>
      </c>
      <c r="AH935" s="45">
        <f t="shared" si="86"/>
        <v>0</v>
      </c>
      <c r="AJ935" s="44">
        <f t="shared" si="83"/>
        <v>0.96099999999999997</v>
      </c>
      <c r="AP935" s="46">
        <f t="shared" si="84"/>
        <v>0.13300000000000001</v>
      </c>
    </row>
    <row r="936" spans="19:42" ht="18">
      <c r="S936" s="8">
        <f t="shared" si="85"/>
        <v>0</v>
      </c>
      <c r="W936" s="3">
        <v>962</v>
      </c>
      <c r="X936" s="30">
        <v>132.86699999999999</v>
      </c>
      <c r="Y936" s="33">
        <f t="shared" si="82"/>
        <v>0.13300000000000001</v>
      </c>
      <c r="AH936" s="45">
        <f t="shared" si="86"/>
        <v>0</v>
      </c>
      <c r="AJ936" s="44">
        <f t="shared" si="83"/>
        <v>0.96199999999999997</v>
      </c>
      <c r="AP936" s="46">
        <f t="shared" si="84"/>
        <v>0.13300000000000001</v>
      </c>
    </row>
    <row r="937" spans="19:42" ht="18">
      <c r="S937" s="8">
        <f t="shared" si="85"/>
        <v>0</v>
      </c>
      <c r="W937" s="3">
        <v>963</v>
      </c>
      <c r="X937" s="30">
        <v>133.078</v>
      </c>
      <c r="Y937" s="33">
        <f t="shared" si="82"/>
        <v>0.13300000000000001</v>
      </c>
      <c r="AH937" s="45">
        <f t="shared" si="86"/>
        <v>0</v>
      </c>
      <c r="AJ937" s="44">
        <f t="shared" si="83"/>
        <v>0.96299999999999997</v>
      </c>
      <c r="AP937" s="46">
        <f t="shared" si="84"/>
        <v>0.13300000000000001</v>
      </c>
    </row>
    <row r="938" spans="19:42" ht="18">
      <c r="S938" s="8">
        <f t="shared" si="85"/>
        <v>0</v>
      </c>
      <c r="W938" s="3">
        <v>964</v>
      </c>
      <c r="X938" s="30">
        <v>133.28899999999999</v>
      </c>
      <c r="Y938" s="33">
        <f t="shared" si="82"/>
        <v>0.13300000000000001</v>
      </c>
      <c r="AH938" s="45">
        <f t="shared" si="86"/>
        <v>0</v>
      </c>
      <c r="AJ938" s="44">
        <f t="shared" si="83"/>
        <v>0.96399999999999997</v>
      </c>
      <c r="AP938" s="46">
        <f t="shared" si="84"/>
        <v>0.13300000000000001</v>
      </c>
    </row>
    <row r="939" spans="19:42" ht="18">
      <c r="S939" s="8">
        <f t="shared" si="85"/>
        <v>0</v>
      </c>
      <c r="W939" s="3">
        <v>965</v>
      </c>
      <c r="X939" s="30">
        <v>133.5</v>
      </c>
      <c r="Y939" s="33">
        <f t="shared" si="82"/>
        <v>0.13400000000000001</v>
      </c>
      <c r="AH939" s="45">
        <f t="shared" si="86"/>
        <v>0</v>
      </c>
      <c r="AJ939" s="44">
        <f t="shared" si="83"/>
        <v>0.96499999999999997</v>
      </c>
      <c r="AP939" s="46">
        <f t="shared" si="84"/>
        <v>0.13400000000000001</v>
      </c>
    </row>
    <row r="940" spans="19:42" ht="18">
      <c r="S940" s="8">
        <f t="shared" si="85"/>
        <v>0</v>
      </c>
      <c r="W940" s="3">
        <v>966</v>
      </c>
      <c r="X940" s="30">
        <v>133.71100000000001</v>
      </c>
      <c r="Y940" s="33">
        <f t="shared" si="82"/>
        <v>0.13400000000000001</v>
      </c>
      <c r="AH940" s="45">
        <f t="shared" si="86"/>
        <v>0</v>
      </c>
      <c r="AJ940" s="44">
        <f t="shared" si="83"/>
        <v>0.96599999999999997</v>
      </c>
      <c r="AP940" s="46">
        <f t="shared" si="84"/>
        <v>0.13400000000000001</v>
      </c>
    </row>
    <row r="941" spans="19:42" ht="18">
      <c r="S941" s="8">
        <f t="shared" si="85"/>
        <v>0</v>
      </c>
      <c r="W941" s="3">
        <v>967</v>
      </c>
      <c r="X941" s="30">
        <v>133.922</v>
      </c>
      <c r="Y941" s="33">
        <f t="shared" si="82"/>
        <v>0.13400000000000001</v>
      </c>
      <c r="AH941" s="45">
        <f t="shared" si="86"/>
        <v>0</v>
      </c>
      <c r="AJ941" s="44">
        <f t="shared" si="83"/>
        <v>0.96699999999999997</v>
      </c>
      <c r="AP941" s="46">
        <f t="shared" si="84"/>
        <v>0.13400000000000001</v>
      </c>
    </row>
    <row r="942" spans="19:42" ht="18">
      <c r="S942" s="8">
        <f t="shared" si="85"/>
        <v>0</v>
      </c>
      <c r="W942" s="3">
        <v>968</v>
      </c>
      <c r="X942" s="30">
        <v>134.13300000000001</v>
      </c>
      <c r="Y942" s="33">
        <f t="shared" si="82"/>
        <v>0.13400000000000001</v>
      </c>
      <c r="AH942" s="45">
        <f t="shared" si="86"/>
        <v>0</v>
      </c>
      <c r="AJ942" s="44">
        <f t="shared" si="83"/>
        <v>0.96799999999999997</v>
      </c>
      <c r="AP942" s="46">
        <f t="shared" si="84"/>
        <v>0.13400000000000001</v>
      </c>
    </row>
    <row r="943" spans="19:42" ht="18">
      <c r="S943" s="8">
        <f t="shared" si="85"/>
        <v>0</v>
      </c>
      <c r="W943" s="3">
        <v>969</v>
      </c>
      <c r="X943" s="30">
        <v>134.34399999999999</v>
      </c>
      <c r="Y943" s="33">
        <f t="shared" si="82"/>
        <v>0.13400000000000001</v>
      </c>
      <c r="AH943" s="45">
        <f t="shared" si="86"/>
        <v>0</v>
      </c>
      <c r="AJ943" s="44">
        <f t="shared" si="83"/>
        <v>0.96899999999999997</v>
      </c>
      <c r="AP943" s="46">
        <f t="shared" si="84"/>
        <v>0.13400000000000001</v>
      </c>
    </row>
    <row r="944" spans="19:42" ht="18">
      <c r="S944" s="8">
        <f t="shared" si="85"/>
        <v>0</v>
      </c>
      <c r="W944" s="3">
        <v>970</v>
      </c>
      <c r="X944" s="30">
        <v>134.55600000000001</v>
      </c>
      <c r="Y944" s="33">
        <f t="shared" si="82"/>
        <v>0.13500000000000001</v>
      </c>
      <c r="AH944" s="45">
        <f t="shared" si="86"/>
        <v>0</v>
      </c>
      <c r="AJ944" s="44">
        <f t="shared" si="83"/>
        <v>0.97</v>
      </c>
      <c r="AP944" s="46">
        <f t="shared" si="84"/>
        <v>0.13500000000000001</v>
      </c>
    </row>
    <row r="945" spans="19:42" ht="18">
      <c r="S945" s="8">
        <f t="shared" si="85"/>
        <v>0</v>
      </c>
      <c r="W945" s="3">
        <v>971</v>
      </c>
      <c r="X945" s="30">
        <v>134.767</v>
      </c>
      <c r="Y945" s="33">
        <f t="shared" si="82"/>
        <v>0.13500000000000001</v>
      </c>
      <c r="AH945" s="45">
        <f t="shared" si="86"/>
        <v>0</v>
      </c>
      <c r="AJ945" s="44">
        <f t="shared" si="83"/>
        <v>0.97099999999999997</v>
      </c>
      <c r="AP945" s="46">
        <f t="shared" si="84"/>
        <v>0.13500000000000001</v>
      </c>
    </row>
    <row r="946" spans="19:42" ht="18">
      <c r="S946" s="8">
        <f t="shared" si="85"/>
        <v>0</v>
      </c>
      <c r="W946" s="3">
        <v>972</v>
      </c>
      <c r="X946" s="30">
        <v>134.97800000000001</v>
      </c>
      <c r="Y946" s="33">
        <f t="shared" si="82"/>
        <v>0.13500000000000001</v>
      </c>
      <c r="AH946" s="45">
        <f t="shared" si="86"/>
        <v>0</v>
      </c>
      <c r="AJ946" s="44">
        <f t="shared" si="83"/>
        <v>0.97199999999999998</v>
      </c>
      <c r="AP946" s="46">
        <f t="shared" si="84"/>
        <v>0.13500000000000001</v>
      </c>
    </row>
    <row r="947" spans="19:42" ht="18">
      <c r="S947" s="8">
        <f t="shared" si="85"/>
        <v>0</v>
      </c>
      <c r="W947" s="3">
        <v>973</v>
      </c>
      <c r="X947" s="30">
        <v>135.18899999999999</v>
      </c>
      <c r="Y947" s="33">
        <f t="shared" si="82"/>
        <v>0.13500000000000001</v>
      </c>
      <c r="AH947" s="45">
        <f t="shared" si="86"/>
        <v>0</v>
      </c>
      <c r="AJ947" s="44">
        <f t="shared" si="83"/>
        <v>0.97299999999999998</v>
      </c>
      <c r="AP947" s="46">
        <f t="shared" si="84"/>
        <v>0.13500000000000001</v>
      </c>
    </row>
    <row r="948" spans="19:42" ht="18">
      <c r="S948" s="8">
        <f t="shared" si="85"/>
        <v>0</v>
      </c>
      <c r="W948" s="3">
        <v>974</v>
      </c>
      <c r="X948" s="30">
        <v>135.4</v>
      </c>
      <c r="Y948" s="33">
        <f t="shared" si="82"/>
        <v>0.13500000000000001</v>
      </c>
      <c r="AH948" s="45">
        <f t="shared" si="86"/>
        <v>0</v>
      </c>
      <c r="AJ948" s="44">
        <f t="shared" si="83"/>
        <v>0.97399999999999998</v>
      </c>
      <c r="AP948" s="46">
        <f t="shared" si="84"/>
        <v>0.13500000000000001</v>
      </c>
    </row>
    <row r="949" spans="19:42" ht="18">
      <c r="S949" s="8">
        <f t="shared" si="85"/>
        <v>0</v>
      </c>
      <c r="W949" s="3">
        <v>975</v>
      </c>
      <c r="X949" s="30">
        <v>135.61099999999999</v>
      </c>
      <c r="Y949" s="33">
        <f t="shared" si="82"/>
        <v>0.13600000000000001</v>
      </c>
      <c r="AH949" s="45">
        <f t="shared" si="86"/>
        <v>0</v>
      </c>
      <c r="AJ949" s="44">
        <f t="shared" si="83"/>
        <v>0.97499999999999998</v>
      </c>
      <c r="AP949" s="46">
        <f t="shared" si="84"/>
        <v>0.13600000000000001</v>
      </c>
    </row>
    <row r="950" spans="19:42" ht="18">
      <c r="S950" s="8">
        <f t="shared" si="85"/>
        <v>0</v>
      </c>
      <c r="W950" s="3">
        <v>976</v>
      </c>
      <c r="X950" s="30">
        <v>135.822</v>
      </c>
      <c r="Y950" s="33">
        <f t="shared" si="82"/>
        <v>0.13600000000000001</v>
      </c>
      <c r="AH950" s="45">
        <f t="shared" si="86"/>
        <v>0</v>
      </c>
      <c r="AJ950" s="44">
        <f t="shared" si="83"/>
        <v>0.97599999999999998</v>
      </c>
      <c r="AP950" s="46">
        <f t="shared" si="84"/>
        <v>0.13600000000000001</v>
      </c>
    </row>
    <row r="951" spans="19:42" ht="18">
      <c r="S951" s="8">
        <f t="shared" si="85"/>
        <v>0</v>
      </c>
      <c r="W951" s="3">
        <v>977</v>
      </c>
      <c r="X951" s="30">
        <v>136.03299999999999</v>
      </c>
      <c r="Y951" s="33">
        <f t="shared" si="82"/>
        <v>0.13600000000000001</v>
      </c>
      <c r="AH951" s="45">
        <f t="shared" si="86"/>
        <v>0</v>
      </c>
      <c r="AJ951" s="44">
        <f t="shared" si="83"/>
        <v>0.97699999999999998</v>
      </c>
      <c r="AP951" s="46">
        <f t="shared" si="84"/>
        <v>0.13600000000000001</v>
      </c>
    </row>
    <row r="952" spans="19:42" ht="18">
      <c r="S952" s="8">
        <f t="shared" si="85"/>
        <v>0</v>
      </c>
      <c r="W952" s="3">
        <v>978</v>
      </c>
      <c r="X952" s="30">
        <v>136.244</v>
      </c>
      <c r="Y952" s="33">
        <f t="shared" si="82"/>
        <v>0.13600000000000001</v>
      </c>
      <c r="AH952" s="45">
        <f t="shared" si="86"/>
        <v>0</v>
      </c>
      <c r="AJ952" s="44">
        <f t="shared" si="83"/>
        <v>0.97799999999999998</v>
      </c>
      <c r="AP952" s="46">
        <f t="shared" si="84"/>
        <v>0.13600000000000001</v>
      </c>
    </row>
    <row r="953" spans="19:42" ht="18">
      <c r="S953" s="8">
        <f t="shared" si="85"/>
        <v>0</v>
      </c>
      <c r="W953" s="3">
        <v>979</v>
      </c>
      <c r="X953" s="30">
        <v>136.45599999999999</v>
      </c>
      <c r="Y953" s="33">
        <f t="shared" si="82"/>
        <v>0.13600000000000001</v>
      </c>
      <c r="AH953" s="45">
        <f t="shared" si="86"/>
        <v>0</v>
      </c>
      <c r="AJ953" s="44">
        <f t="shared" si="83"/>
        <v>0.97899999999999998</v>
      </c>
      <c r="AP953" s="46">
        <f t="shared" si="84"/>
        <v>0.13600000000000001</v>
      </c>
    </row>
    <row r="954" spans="19:42" ht="18">
      <c r="S954" s="8">
        <f t="shared" si="85"/>
        <v>0</v>
      </c>
      <c r="W954" s="3">
        <v>980</v>
      </c>
      <c r="X954" s="30">
        <v>136.667</v>
      </c>
      <c r="Y954" s="33">
        <f t="shared" si="82"/>
        <v>0.13700000000000001</v>
      </c>
      <c r="AH954" s="45">
        <f t="shared" si="86"/>
        <v>0</v>
      </c>
      <c r="AJ954" s="44">
        <f t="shared" si="83"/>
        <v>0.98</v>
      </c>
      <c r="AP954" s="46">
        <f t="shared" si="84"/>
        <v>0.13700000000000001</v>
      </c>
    </row>
    <row r="955" spans="19:42" ht="18">
      <c r="S955" s="8">
        <f t="shared" si="85"/>
        <v>0</v>
      </c>
      <c r="W955" s="3">
        <v>981</v>
      </c>
      <c r="X955" s="30">
        <v>136.87799999999999</v>
      </c>
      <c r="Y955" s="33">
        <f t="shared" si="82"/>
        <v>0.13700000000000001</v>
      </c>
      <c r="AH955" s="45">
        <f t="shared" si="86"/>
        <v>0</v>
      </c>
      <c r="AJ955" s="44">
        <f t="shared" si="83"/>
        <v>0.98099999999999998</v>
      </c>
      <c r="AP955" s="46">
        <f t="shared" si="84"/>
        <v>0.13700000000000001</v>
      </c>
    </row>
    <row r="956" spans="19:42" ht="18">
      <c r="S956" s="8">
        <f t="shared" si="85"/>
        <v>0</v>
      </c>
      <c r="W956" s="3">
        <v>982</v>
      </c>
      <c r="X956" s="30">
        <v>137.089</v>
      </c>
      <c r="Y956" s="33">
        <f t="shared" si="82"/>
        <v>0.13700000000000001</v>
      </c>
      <c r="AH956" s="45">
        <f t="shared" si="86"/>
        <v>0</v>
      </c>
      <c r="AJ956" s="44">
        <f t="shared" si="83"/>
        <v>0.98199999999999998</v>
      </c>
      <c r="AP956" s="46">
        <f t="shared" si="84"/>
        <v>0.13700000000000001</v>
      </c>
    </row>
    <row r="957" spans="19:42" ht="18">
      <c r="S957" s="8">
        <f t="shared" si="85"/>
        <v>0</v>
      </c>
      <c r="W957" s="3">
        <v>983</v>
      </c>
      <c r="X957" s="30">
        <v>137.30000000000001</v>
      </c>
      <c r="Y957" s="33">
        <f t="shared" si="82"/>
        <v>0.13700000000000001</v>
      </c>
      <c r="AH957" s="45">
        <f t="shared" si="86"/>
        <v>0</v>
      </c>
      <c r="AJ957" s="44">
        <f t="shared" si="83"/>
        <v>0.98299999999999998</v>
      </c>
      <c r="AP957" s="46">
        <f t="shared" si="84"/>
        <v>0.13700000000000001</v>
      </c>
    </row>
    <row r="958" spans="19:42" ht="18">
      <c r="S958" s="8">
        <f t="shared" si="85"/>
        <v>0</v>
      </c>
      <c r="W958" s="3">
        <v>984</v>
      </c>
      <c r="X958" s="30">
        <v>137.511</v>
      </c>
      <c r="Y958" s="33">
        <f t="shared" si="82"/>
        <v>0.13800000000000001</v>
      </c>
      <c r="AH958" s="45">
        <f t="shared" si="86"/>
        <v>0</v>
      </c>
      <c r="AJ958" s="44">
        <f t="shared" si="83"/>
        <v>0.98399999999999999</v>
      </c>
      <c r="AP958" s="46">
        <f t="shared" si="84"/>
        <v>0.13800000000000001</v>
      </c>
    </row>
    <row r="959" spans="19:42" ht="18">
      <c r="S959" s="8">
        <f t="shared" si="85"/>
        <v>0</v>
      </c>
      <c r="W959" s="3">
        <v>985</v>
      </c>
      <c r="X959" s="30">
        <v>137.72200000000001</v>
      </c>
      <c r="Y959" s="33">
        <f t="shared" si="82"/>
        <v>0.13800000000000001</v>
      </c>
      <c r="AH959" s="45">
        <f t="shared" si="86"/>
        <v>0</v>
      </c>
      <c r="AJ959" s="44">
        <f t="shared" si="83"/>
        <v>0.98499999999999999</v>
      </c>
      <c r="AP959" s="46">
        <f t="shared" si="84"/>
        <v>0.13800000000000001</v>
      </c>
    </row>
    <row r="960" spans="19:42" ht="18">
      <c r="S960" s="8">
        <f t="shared" si="85"/>
        <v>0</v>
      </c>
      <c r="W960" s="3">
        <v>986</v>
      </c>
      <c r="X960" s="30">
        <v>137.93299999999999</v>
      </c>
      <c r="Y960" s="33">
        <f t="shared" si="82"/>
        <v>0.13800000000000001</v>
      </c>
      <c r="AH960" s="45">
        <f t="shared" si="86"/>
        <v>0</v>
      </c>
      <c r="AJ960" s="44">
        <f t="shared" si="83"/>
        <v>0.98599999999999999</v>
      </c>
      <c r="AP960" s="46">
        <f t="shared" si="84"/>
        <v>0.13800000000000001</v>
      </c>
    </row>
    <row r="961" spans="19:42" ht="18">
      <c r="S961" s="8">
        <f t="shared" si="85"/>
        <v>0</v>
      </c>
      <c r="W961" s="3">
        <v>987</v>
      </c>
      <c r="X961" s="30">
        <v>138.14400000000001</v>
      </c>
      <c r="Y961" s="33">
        <f t="shared" si="82"/>
        <v>0.13800000000000001</v>
      </c>
      <c r="AH961" s="45">
        <f t="shared" si="86"/>
        <v>0</v>
      </c>
      <c r="AJ961" s="44">
        <f t="shared" si="83"/>
        <v>0.98699999999999999</v>
      </c>
      <c r="AP961" s="46">
        <f t="shared" si="84"/>
        <v>0.13800000000000001</v>
      </c>
    </row>
    <row r="962" spans="19:42" ht="18">
      <c r="S962" s="8">
        <f t="shared" si="85"/>
        <v>0</v>
      </c>
      <c r="W962" s="3">
        <v>988</v>
      </c>
      <c r="X962" s="30">
        <v>138.35599999999999</v>
      </c>
      <c r="Y962" s="33">
        <f t="shared" si="82"/>
        <v>0.13800000000000001</v>
      </c>
      <c r="AH962" s="45">
        <f t="shared" si="86"/>
        <v>0</v>
      </c>
      <c r="AJ962" s="44">
        <f t="shared" si="83"/>
        <v>0.98799999999999999</v>
      </c>
      <c r="AP962" s="46">
        <f t="shared" si="84"/>
        <v>0.13800000000000001</v>
      </c>
    </row>
    <row r="963" spans="19:42" ht="18">
      <c r="S963" s="8">
        <f t="shared" si="85"/>
        <v>0</v>
      </c>
      <c r="W963" s="3">
        <v>989</v>
      </c>
      <c r="X963" s="30">
        <v>138.56700000000001</v>
      </c>
      <c r="Y963" s="33">
        <f t="shared" si="82"/>
        <v>0.13900000000000001</v>
      </c>
      <c r="AH963" s="45">
        <f t="shared" si="86"/>
        <v>0</v>
      </c>
      <c r="AJ963" s="44">
        <f t="shared" si="83"/>
        <v>0.98899999999999999</v>
      </c>
      <c r="AP963" s="46">
        <f t="shared" si="84"/>
        <v>0.13900000000000001</v>
      </c>
    </row>
    <row r="964" spans="19:42" ht="18">
      <c r="S964" s="8">
        <f t="shared" si="85"/>
        <v>0</v>
      </c>
      <c r="W964" s="3">
        <v>990</v>
      </c>
      <c r="X964" s="30">
        <v>138.77799999999999</v>
      </c>
      <c r="Y964" s="33">
        <f t="shared" si="82"/>
        <v>0.13900000000000001</v>
      </c>
      <c r="AH964" s="45">
        <f t="shared" si="86"/>
        <v>0</v>
      </c>
      <c r="AJ964" s="44">
        <f t="shared" si="83"/>
        <v>0.99</v>
      </c>
      <c r="AP964" s="46">
        <f t="shared" si="84"/>
        <v>0.13900000000000001</v>
      </c>
    </row>
    <row r="965" spans="19:42" ht="18">
      <c r="S965" s="8">
        <f t="shared" si="85"/>
        <v>0</v>
      </c>
      <c r="W965" s="3">
        <v>991</v>
      </c>
      <c r="X965" s="30">
        <v>138.989</v>
      </c>
      <c r="Y965" s="33">
        <f t="shared" ref="Y965:Y1028" si="87">ROUND(X965/1000,3)</f>
        <v>0.13900000000000001</v>
      </c>
      <c r="AH965" s="45">
        <f t="shared" si="86"/>
        <v>0</v>
      </c>
      <c r="AJ965" s="44">
        <f t="shared" ref="AJ965:AJ1028" si="88">ROUND(W965/1000,3)</f>
        <v>0.99099999999999999</v>
      </c>
      <c r="AP965" s="46">
        <f t="shared" ref="AP965:AP1028" si="89">ROUND(X965/1000,3)</f>
        <v>0.13900000000000001</v>
      </c>
    </row>
    <row r="966" spans="19:42" ht="18">
      <c r="S966" s="8">
        <f t="shared" ref="S966:S1029" si="90">CEILING(R966/50,0.5)</f>
        <v>0</v>
      </c>
      <c r="W966" s="3">
        <v>992</v>
      </c>
      <c r="X966" s="30">
        <v>139.19999999999999</v>
      </c>
      <c r="Y966" s="33">
        <f t="shared" si="87"/>
        <v>0.13900000000000001</v>
      </c>
      <c r="AH966" s="45">
        <f t="shared" ref="AH966:AH1029" si="91">AE966-AE965</f>
        <v>0</v>
      </c>
      <c r="AJ966" s="44">
        <f t="shared" si="88"/>
        <v>0.99199999999999999</v>
      </c>
      <c r="AP966" s="46">
        <f t="shared" si="89"/>
        <v>0.13900000000000001</v>
      </c>
    </row>
    <row r="967" spans="19:42" ht="18">
      <c r="S967" s="8">
        <f t="shared" si="90"/>
        <v>0</v>
      </c>
      <c r="W967" s="3">
        <v>993</v>
      </c>
      <c r="X967" s="30">
        <v>139.411</v>
      </c>
      <c r="Y967" s="33">
        <f t="shared" si="87"/>
        <v>0.13900000000000001</v>
      </c>
      <c r="AH967" s="45">
        <f t="shared" si="91"/>
        <v>0</v>
      </c>
      <c r="AJ967" s="44">
        <f t="shared" si="88"/>
        <v>0.99299999999999999</v>
      </c>
      <c r="AP967" s="46">
        <f t="shared" si="89"/>
        <v>0.13900000000000001</v>
      </c>
    </row>
    <row r="968" spans="19:42" ht="18">
      <c r="S968" s="8">
        <f t="shared" si="90"/>
        <v>0</v>
      </c>
      <c r="W968" s="3">
        <v>994</v>
      </c>
      <c r="X968" s="30">
        <v>139.62200000000001</v>
      </c>
      <c r="Y968" s="33">
        <f t="shared" si="87"/>
        <v>0.14000000000000001</v>
      </c>
      <c r="AH968" s="45">
        <f t="shared" si="91"/>
        <v>0</v>
      </c>
      <c r="AJ968" s="44">
        <f t="shared" si="88"/>
        <v>0.99399999999999999</v>
      </c>
      <c r="AP968" s="46">
        <f t="shared" si="89"/>
        <v>0.14000000000000001</v>
      </c>
    </row>
    <row r="969" spans="19:42" ht="18">
      <c r="S969" s="8">
        <f t="shared" si="90"/>
        <v>0</v>
      </c>
      <c r="W969" s="3">
        <v>995</v>
      </c>
      <c r="X969" s="30">
        <v>139.833</v>
      </c>
      <c r="Y969" s="33">
        <f t="shared" si="87"/>
        <v>0.14000000000000001</v>
      </c>
      <c r="AH969" s="45">
        <f t="shared" si="91"/>
        <v>0</v>
      </c>
      <c r="AJ969" s="44">
        <f t="shared" si="88"/>
        <v>0.995</v>
      </c>
      <c r="AP969" s="46">
        <f t="shared" si="89"/>
        <v>0.14000000000000001</v>
      </c>
    </row>
    <row r="970" spans="19:42" ht="18">
      <c r="S970" s="8">
        <f t="shared" si="90"/>
        <v>0</v>
      </c>
      <c r="W970" s="3">
        <v>996</v>
      </c>
      <c r="X970" s="30">
        <v>140.04400000000001</v>
      </c>
      <c r="Y970" s="33">
        <f t="shared" si="87"/>
        <v>0.14000000000000001</v>
      </c>
      <c r="AH970" s="45">
        <f t="shared" si="91"/>
        <v>0</v>
      </c>
      <c r="AJ970" s="44">
        <f t="shared" si="88"/>
        <v>0.996</v>
      </c>
      <c r="AP970" s="46">
        <f t="shared" si="89"/>
        <v>0.14000000000000001</v>
      </c>
    </row>
    <row r="971" spans="19:42" ht="18">
      <c r="S971" s="8">
        <f t="shared" si="90"/>
        <v>0</v>
      </c>
      <c r="W971" s="3">
        <v>997</v>
      </c>
      <c r="X971" s="30">
        <v>140.256</v>
      </c>
      <c r="Y971" s="33">
        <f t="shared" si="87"/>
        <v>0.14000000000000001</v>
      </c>
      <c r="AH971" s="45">
        <f t="shared" si="91"/>
        <v>0</v>
      </c>
      <c r="AJ971" s="44">
        <f t="shared" si="88"/>
        <v>0.997</v>
      </c>
      <c r="AP971" s="46">
        <f t="shared" si="89"/>
        <v>0.14000000000000001</v>
      </c>
    </row>
    <row r="972" spans="19:42" ht="18">
      <c r="S972" s="8">
        <f t="shared" si="90"/>
        <v>0</v>
      </c>
      <c r="W972" s="3">
        <v>998</v>
      </c>
      <c r="X972" s="30">
        <v>140.46700000000001</v>
      </c>
      <c r="Y972" s="33">
        <f t="shared" si="87"/>
        <v>0.14000000000000001</v>
      </c>
      <c r="AH972" s="45">
        <f t="shared" si="91"/>
        <v>0</v>
      </c>
      <c r="AJ972" s="44">
        <f t="shared" si="88"/>
        <v>0.998</v>
      </c>
      <c r="AP972" s="46">
        <f t="shared" si="89"/>
        <v>0.14000000000000001</v>
      </c>
    </row>
    <row r="973" spans="19:42" ht="18">
      <c r="S973" s="8">
        <f t="shared" si="90"/>
        <v>0</v>
      </c>
      <c r="W973" s="3">
        <v>999</v>
      </c>
      <c r="X973" s="30">
        <v>140.678</v>
      </c>
      <c r="Y973" s="33">
        <f t="shared" si="87"/>
        <v>0.14099999999999999</v>
      </c>
      <c r="AH973" s="45">
        <f t="shared" si="91"/>
        <v>0</v>
      </c>
      <c r="AJ973" s="44">
        <f t="shared" si="88"/>
        <v>0.999</v>
      </c>
      <c r="AP973" s="46">
        <f t="shared" si="89"/>
        <v>0.14099999999999999</v>
      </c>
    </row>
    <row r="974" spans="19:42" ht="18">
      <c r="S974" s="8">
        <f t="shared" si="90"/>
        <v>0</v>
      </c>
      <c r="W974" s="3">
        <v>1000</v>
      </c>
      <c r="X974" s="30">
        <v>140.88900000000001</v>
      </c>
      <c r="Y974" s="33">
        <f t="shared" si="87"/>
        <v>0.14099999999999999</v>
      </c>
      <c r="AH974" s="45">
        <f t="shared" si="91"/>
        <v>0</v>
      </c>
      <c r="AJ974" s="44">
        <f t="shared" si="88"/>
        <v>1</v>
      </c>
      <c r="AP974" s="46">
        <f t="shared" si="89"/>
        <v>0.14099999999999999</v>
      </c>
    </row>
    <row r="975" spans="19:42" ht="18">
      <c r="S975" s="8">
        <f t="shared" si="90"/>
        <v>0</v>
      </c>
      <c r="W975" s="3">
        <v>1001</v>
      </c>
      <c r="X975" s="30">
        <v>141.1</v>
      </c>
      <c r="Y975" s="33">
        <f t="shared" si="87"/>
        <v>0.14099999999999999</v>
      </c>
      <c r="AH975" s="45">
        <f t="shared" si="91"/>
        <v>0</v>
      </c>
      <c r="AJ975" s="44">
        <f t="shared" si="88"/>
        <v>1.0009999999999999</v>
      </c>
      <c r="AP975" s="46">
        <f t="shared" si="89"/>
        <v>0.14099999999999999</v>
      </c>
    </row>
    <row r="976" spans="19:42" ht="18">
      <c r="S976" s="8">
        <f t="shared" si="90"/>
        <v>0</v>
      </c>
      <c r="W976" s="3">
        <v>1002</v>
      </c>
      <c r="X976" s="30">
        <v>141.31100000000001</v>
      </c>
      <c r="Y976" s="33">
        <f t="shared" si="87"/>
        <v>0.14099999999999999</v>
      </c>
      <c r="AH976" s="45">
        <f t="shared" si="91"/>
        <v>0</v>
      </c>
      <c r="AJ976" s="44">
        <f t="shared" si="88"/>
        <v>1.002</v>
      </c>
      <c r="AP976" s="46">
        <f t="shared" si="89"/>
        <v>0.14099999999999999</v>
      </c>
    </row>
    <row r="977" spans="19:42" ht="18">
      <c r="S977" s="8">
        <f t="shared" si="90"/>
        <v>0</v>
      </c>
      <c r="W977" s="3">
        <v>1003</v>
      </c>
      <c r="X977" s="30">
        <v>141.52199999999999</v>
      </c>
      <c r="Y977" s="33">
        <f t="shared" si="87"/>
        <v>0.14199999999999999</v>
      </c>
      <c r="AH977" s="45">
        <f t="shared" si="91"/>
        <v>0</v>
      </c>
      <c r="AJ977" s="44">
        <f t="shared" si="88"/>
        <v>1.0029999999999999</v>
      </c>
      <c r="AP977" s="46">
        <f t="shared" si="89"/>
        <v>0.14199999999999999</v>
      </c>
    </row>
    <row r="978" spans="19:42" ht="18">
      <c r="S978" s="8">
        <f t="shared" si="90"/>
        <v>0</v>
      </c>
      <c r="W978" s="3">
        <v>1004</v>
      </c>
      <c r="X978" s="30">
        <v>141.733</v>
      </c>
      <c r="Y978" s="33">
        <f t="shared" si="87"/>
        <v>0.14199999999999999</v>
      </c>
      <c r="AH978" s="45">
        <f t="shared" si="91"/>
        <v>0</v>
      </c>
      <c r="AJ978" s="44">
        <f t="shared" si="88"/>
        <v>1.004</v>
      </c>
      <c r="AP978" s="46">
        <f t="shared" si="89"/>
        <v>0.14199999999999999</v>
      </c>
    </row>
    <row r="979" spans="19:42" ht="18">
      <c r="S979" s="8">
        <f t="shared" si="90"/>
        <v>0</v>
      </c>
      <c r="W979" s="3">
        <v>1005</v>
      </c>
      <c r="X979" s="30">
        <v>141.94399999999999</v>
      </c>
      <c r="Y979" s="33">
        <f t="shared" si="87"/>
        <v>0.14199999999999999</v>
      </c>
      <c r="AH979" s="45">
        <f t="shared" si="91"/>
        <v>0</v>
      </c>
      <c r="AJ979" s="44">
        <f t="shared" si="88"/>
        <v>1.0049999999999999</v>
      </c>
      <c r="AP979" s="46">
        <f t="shared" si="89"/>
        <v>0.14199999999999999</v>
      </c>
    </row>
    <row r="980" spans="19:42" ht="18">
      <c r="S980" s="8">
        <f t="shared" si="90"/>
        <v>0</v>
      </c>
      <c r="W980" s="3">
        <v>1006</v>
      </c>
      <c r="X980" s="30">
        <v>142.15600000000001</v>
      </c>
      <c r="Y980" s="33">
        <f t="shared" si="87"/>
        <v>0.14199999999999999</v>
      </c>
      <c r="AH980" s="45">
        <f t="shared" si="91"/>
        <v>0</v>
      </c>
      <c r="AJ980" s="44">
        <f t="shared" si="88"/>
        <v>1.006</v>
      </c>
      <c r="AP980" s="46">
        <f t="shared" si="89"/>
        <v>0.14199999999999999</v>
      </c>
    </row>
    <row r="981" spans="19:42" ht="18">
      <c r="S981" s="8">
        <f t="shared" si="90"/>
        <v>0</v>
      </c>
      <c r="W981" s="3">
        <v>1007</v>
      </c>
      <c r="X981" s="30">
        <v>142.36699999999999</v>
      </c>
      <c r="Y981" s="33">
        <f t="shared" si="87"/>
        <v>0.14199999999999999</v>
      </c>
      <c r="AH981" s="45">
        <f t="shared" si="91"/>
        <v>0</v>
      </c>
      <c r="AJ981" s="44">
        <f t="shared" si="88"/>
        <v>1.0069999999999999</v>
      </c>
      <c r="AP981" s="46">
        <f t="shared" si="89"/>
        <v>0.14199999999999999</v>
      </c>
    </row>
    <row r="982" spans="19:42" ht="18">
      <c r="S982" s="8">
        <f t="shared" si="90"/>
        <v>0</v>
      </c>
      <c r="W982" s="3">
        <v>1008</v>
      </c>
      <c r="X982" s="30">
        <v>142.578</v>
      </c>
      <c r="Y982" s="33">
        <f t="shared" si="87"/>
        <v>0.14299999999999999</v>
      </c>
      <c r="AH982" s="45">
        <f t="shared" si="91"/>
        <v>0</v>
      </c>
      <c r="AJ982" s="44">
        <f t="shared" si="88"/>
        <v>1.008</v>
      </c>
      <c r="AP982" s="46">
        <f t="shared" si="89"/>
        <v>0.14299999999999999</v>
      </c>
    </row>
    <row r="983" spans="19:42" ht="18">
      <c r="S983" s="8">
        <f t="shared" si="90"/>
        <v>0</v>
      </c>
      <c r="W983" s="3">
        <v>1009</v>
      </c>
      <c r="X983" s="30">
        <v>142.78899999999999</v>
      </c>
      <c r="Y983" s="33">
        <f t="shared" si="87"/>
        <v>0.14299999999999999</v>
      </c>
      <c r="AH983" s="45">
        <f t="shared" si="91"/>
        <v>0</v>
      </c>
      <c r="AJ983" s="44">
        <f t="shared" si="88"/>
        <v>1.0089999999999999</v>
      </c>
      <c r="AP983" s="46">
        <f t="shared" si="89"/>
        <v>0.14299999999999999</v>
      </c>
    </row>
    <row r="984" spans="19:42" ht="18">
      <c r="S984" s="8">
        <f t="shared" si="90"/>
        <v>0</v>
      </c>
      <c r="W984" s="3">
        <v>1010</v>
      </c>
      <c r="X984" s="30">
        <v>143</v>
      </c>
      <c r="Y984" s="33">
        <f t="shared" si="87"/>
        <v>0.14299999999999999</v>
      </c>
      <c r="AH984" s="45">
        <f t="shared" si="91"/>
        <v>0</v>
      </c>
      <c r="AJ984" s="44">
        <f t="shared" si="88"/>
        <v>1.01</v>
      </c>
      <c r="AP984" s="46">
        <f t="shared" si="89"/>
        <v>0.14299999999999999</v>
      </c>
    </row>
    <row r="985" spans="19:42" ht="18">
      <c r="S985" s="8">
        <f t="shared" si="90"/>
        <v>0</v>
      </c>
      <c r="W985" s="3">
        <v>1011</v>
      </c>
      <c r="X985" s="30">
        <v>142.62899999999999</v>
      </c>
      <c r="Y985" s="33">
        <f t="shared" si="87"/>
        <v>0.14299999999999999</v>
      </c>
      <c r="AH985" s="45">
        <f t="shared" si="91"/>
        <v>0</v>
      </c>
      <c r="AJ985" s="44">
        <f t="shared" si="88"/>
        <v>1.0109999999999999</v>
      </c>
      <c r="AP985" s="46">
        <f t="shared" si="89"/>
        <v>0.14299999999999999</v>
      </c>
    </row>
    <row r="986" spans="19:42" ht="18">
      <c r="S986" s="8">
        <f t="shared" si="90"/>
        <v>0</v>
      </c>
      <c r="W986" s="3">
        <v>1012</v>
      </c>
      <c r="X986" s="30">
        <v>142.25700000000001</v>
      </c>
      <c r="Y986" s="33">
        <f t="shared" si="87"/>
        <v>0.14199999999999999</v>
      </c>
      <c r="AH986" s="45">
        <f t="shared" si="91"/>
        <v>0</v>
      </c>
      <c r="AJ986" s="44">
        <f t="shared" si="88"/>
        <v>1.012</v>
      </c>
      <c r="AP986" s="46">
        <f t="shared" si="89"/>
        <v>0.14199999999999999</v>
      </c>
    </row>
    <row r="987" spans="19:42" ht="18">
      <c r="S987" s="8">
        <f t="shared" si="90"/>
        <v>0</v>
      </c>
      <c r="W987" s="3">
        <v>1013</v>
      </c>
      <c r="X987" s="30">
        <v>141.886</v>
      </c>
      <c r="Y987" s="33">
        <f t="shared" si="87"/>
        <v>0.14199999999999999</v>
      </c>
      <c r="AH987" s="45">
        <f t="shared" si="91"/>
        <v>0</v>
      </c>
      <c r="AJ987" s="44">
        <f t="shared" si="88"/>
        <v>1.0129999999999999</v>
      </c>
      <c r="AP987" s="46">
        <f t="shared" si="89"/>
        <v>0.14199999999999999</v>
      </c>
    </row>
    <row r="988" spans="19:42" ht="18">
      <c r="S988" s="8">
        <f t="shared" si="90"/>
        <v>0</v>
      </c>
      <c r="W988" s="3">
        <v>1014</v>
      </c>
      <c r="X988" s="30">
        <v>141.51400000000001</v>
      </c>
      <c r="Y988" s="33">
        <f t="shared" si="87"/>
        <v>0.14199999999999999</v>
      </c>
      <c r="AH988" s="45">
        <f t="shared" si="91"/>
        <v>0</v>
      </c>
      <c r="AJ988" s="44">
        <f t="shared" si="88"/>
        <v>1.014</v>
      </c>
      <c r="AP988" s="46">
        <f t="shared" si="89"/>
        <v>0.14199999999999999</v>
      </c>
    </row>
    <row r="989" spans="19:42" ht="18">
      <c r="S989" s="8">
        <f t="shared" si="90"/>
        <v>0</v>
      </c>
      <c r="W989" s="3">
        <v>1015</v>
      </c>
      <c r="X989" s="30">
        <v>141.143</v>
      </c>
      <c r="Y989" s="33">
        <f t="shared" si="87"/>
        <v>0.14099999999999999</v>
      </c>
      <c r="AH989" s="45">
        <f t="shared" si="91"/>
        <v>0</v>
      </c>
      <c r="AJ989" s="44">
        <f t="shared" si="88"/>
        <v>1.0149999999999999</v>
      </c>
      <c r="AP989" s="46">
        <f t="shared" si="89"/>
        <v>0.14099999999999999</v>
      </c>
    </row>
    <row r="990" spans="19:42" ht="18">
      <c r="S990" s="8">
        <f t="shared" si="90"/>
        <v>0</v>
      </c>
      <c r="W990" s="3">
        <v>1016</v>
      </c>
      <c r="X990" s="30">
        <v>140.77099999999999</v>
      </c>
      <c r="Y990" s="33">
        <f t="shared" si="87"/>
        <v>0.14099999999999999</v>
      </c>
      <c r="AH990" s="45">
        <f t="shared" si="91"/>
        <v>0</v>
      </c>
      <c r="AJ990" s="44">
        <f t="shared" si="88"/>
        <v>1.016</v>
      </c>
      <c r="AP990" s="46">
        <f t="shared" si="89"/>
        <v>0.14099999999999999</v>
      </c>
    </row>
    <row r="991" spans="19:42" ht="18">
      <c r="S991" s="8">
        <f t="shared" si="90"/>
        <v>0</v>
      </c>
      <c r="W991" s="3">
        <v>1017</v>
      </c>
      <c r="X991" s="30">
        <v>140.4</v>
      </c>
      <c r="Y991" s="33">
        <f t="shared" si="87"/>
        <v>0.14000000000000001</v>
      </c>
      <c r="AH991" s="45">
        <f t="shared" si="91"/>
        <v>0</v>
      </c>
      <c r="AJ991" s="44">
        <f t="shared" si="88"/>
        <v>1.0169999999999999</v>
      </c>
      <c r="AP991" s="46">
        <f t="shared" si="89"/>
        <v>0.14000000000000001</v>
      </c>
    </row>
    <row r="992" spans="19:42" ht="18">
      <c r="S992" s="8">
        <f t="shared" si="90"/>
        <v>0</v>
      </c>
      <c r="W992" s="3">
        <v>1018</v>
      </c>
      <c r="X992" s="30">
        <v>140.029</v>
      </c>
      <c r="Y992" s="33">
        <f t="shared" si="87"/>
        <v>0.14000000000000001</v>
      </c>
      <c r="AH992" s="45">
        <f t="shared" si="91"/>
        <v>0</v>
      </c>
      <c r="AJ992" s="44">
        <f t="shared" si="88"/>
        <v>1.018</v>
      </c>
      <c r="AP992" s="46">
        <f t="shared" si="89"/>
        <v>0.14000000000000001</v>
      </c>
    </row>
    <row r="993" spans="19:42" ht="18">
      <c r="S993" s="8">
        <f t="shared" si="90"/>
        <v>0</v>
      </c>
      <c r="W993" s="3">
        <v>1019</v>
      </c>
      <c r="X993" s="30">
        <v>139.65700000000001</v>
      </c>
      <c r="Y993" s="33">
        <f t="shared" si="87"/>
        <v>0.14000000000000001</v>
      </c>
      <c r="AH993" s="45">
        <f t="shared" si="91"/>
        <v>0</v>
      </c>
      <c r="AJ993" s="44">
        <f t="shared" si="88"/>
        <v>1.0189999999999999</v>
      </c>
      <c r="AP993" s="46">
        <f t="shared" si="89"/>
        <v>0.14000000000000001</v>
      </c>
    </row>
    <row r="994" spans="19:42" ht="18">
      <c r="S994" s="8">
        <f t="shared" si="90"/>
        <v>0</v>
      </c>
      <c r="W994" s="3">
        <v>1020</v>
      </c>
      <c r="X994" s="30">
        <v>139.286</v>
      </c>
      <c r="Y994" s="33">
        <f t="shared" si="87"/>
        <v>0.13900000000000001</v>
      </c>
      <c r="AH994" s="45">
        <f t="shared" si="91"/>
        <v>0</v>
      </c>
      <c r="AJ994" s="44">
        <f t="shared" si="88"/>
        <v>1.02</v>
      </c>
      <c r="AP994" s="46">
        <f t="shared" si="89"/>
        <v>0.13900000000000001</v>
      </c>
    </row>
    <row r="995" spans="19:42" ht="18">
      <c r="S995" s="8">
        <f t="shared" si="90"/>
        <v>0</v>
      </c>
      <c r="W995" s="3">
        <v>1021</v>
      </c>
      <c r="X995" s="30">
        <v>138.91399999999999</v>
      </c>
      <c r="Y995" s="33">
        <f t="shared" si="87"/>
        <v>0.13900000000000001</v>
      </c>
      <c r="AH995" s="45">
        <f t="shared" si="91"/>
        <v>0</v>
      </c>
      <c r="AJ995" s="44">
        <f t="shared" si="88"/>
        <v>1.0209999999999999</v>
      </c>
      <c r="AP995" s="46">
        <f t="shared" si="89"/>
        <v>0.13900000000000001</v>
      </c>
    </row>
    <row r="996" spans="19:42" ht="18">
      <c r="S996" s="8">
        <f t="shared" si="90"/>
        <v>0</v>
      </c>
      <c r="W996" s="3">
        <v>1022</v>
      </c>
      <c r="X996" s="30">
        <v>138.54300000000001</v>
      </c>
      <c r="Y996" s="33">
        <f t="shared" si="87"/>
        <v>0.13900000000000001</v>
      </c>
      <c r="AH996" s="45">
        <f t="shared" si="91"/>
        <v>0</v>
      </c>
      <c r="AJ996" s="44">
        <f t="shared" si="88"/>
        <v>1.022</v>
      </c>
      <c r="AP996" s="46">
        <f t="shared" si="89"/>
        <v>0.13900000000000001</v>
      </c>
    </row>
    <row r="997" spans="19:42" ht="18">
      <c r="S997" s="8">
        <f t="shared" si="90"/>
        <v>0</v>
      </c>
      <c r="W997" s="3">
        <v>1023</v>
      </c>
      <c r="X997" s="30">
        <v>138.17099999999999</v>
      </c>
      <c r="Y997" s="33">
        <f t="shared" si="87"/>
        <v>0.13800000000000001</v>
      </c>
      <c r="AH997" s="45">
        <f t="shared" si="91"/>
        <v>0</v>
      </c>
      <c r="AJ997" s="44">
        <f t="shared" si="88"/>
        <v>1.0229999999999999</v>
      </c>
      <c r="AP997" s="46">
        <f t="shared" si="89"/>
        <v>0.13800000000000001</v>
      </c>
    </row>
    <row r="998" spans="19:42" ht="18">
      <c r="S998" s="8">
        <f t="shared" si="90"/>
        <v>0</v>
      </c>
      <c r="W998" s="3">
        <v>1024</v>
      </c>
      <c r="X998" s="30">
        <v>137.80000000000001</v>
      </c>
      <c r="Y998" s="33">
        <f t="shared" si="87"/>
        <v>0.13800000000000001</v>
      </c>
      <c r="AH998" s="45">
        <f t="shared" si="91"/>
        <v>0</v>
      </c>
      <c r="AJ998" s="44">
        <f t="shared" si="88"/>
        <v>1.024</v>
      </c>
      <c r="AP998" s="46">
        <f t="shared" si="89"/>
        <v>0.13800000000000001</v>
      </c>
    </row>
    <row r="999" spans="19:42" ht="18">
      <c r="S999" s="8">
        <f t="shared" si="90"/>
        <v>0</v>
      </c>
      <c r="W999" s="3">
        <v>1025</v>
      </c>
      <c r="X999" s="30">
        <v>137.429</v>
      </c>
      <c r="Y999" s="33">
        <f t="shared" si="87"/>
        <v>0.13700000000000001</v>
      </c>
      <c r="AH999" s="45">
        <f t="shared" si="91"/>
        <v>0</v>
      </c>
      <c r="AJ999" s="44">
        <f t="shared" si="88"/>
        <v>1.0249999999999999</v>
      </c>
      <c r="AP999" s="46">
        <f t="shared" si="89"/>
        <v>0.13700000000000001</v>
      </c>
    </row>
    <row r="1000" spans="19:42" ht="18">
      <c r="S1000" s="8">
        <f t="shared" si="90"/>
        <v>0</v>
      </c>
      <c r="W1000" s="3">
        <v>1026</v>
      </c>
      <c r="X1000" s="30">
        <v>137.05699999999999</v>
      </c>
      <c r="Y1000" s="33">
        <f t="shared" si="87"/>
        <v>0.13700000000000001</v>
      </c>
      <c r="AH1000" s="45">
        <f t="shared" si="91"/>
        <v>0</v>
      </c>
      <c r="AJ1000" s="44">
        <f t="shared" si="88"/>
        <v>1.026</v>
      </c>
      <c r="AP1000" s="46">
        <f t="shared" si="89"/>
        <v>0.13700000000000001</v>
      </c>
    </row>
    <row r="1001" spans="19:42" ht="18">
      <c r="S1001" s="8">
        <f t="shared" si="90"/>
        <v>0</v>
      </c>
      <c r="W1001" s="3">
        <v>1027</v>
      </c>
      <c r="X1001" s="30">
        <v>136.68600000000001</v>
      </c>
      <c r="Y1001" s="33">
        <f t="shared" si="87"/>
        <v>0.13700000000000001</v>
      </c>
      <c r="AH1001" s="45">
        <f t="shared" si="91"/>
        <v>0</v>
      </c>
      <c r="AJ1001" s="44">
        <f t="shared" si="88"/>
        <v>1.0269999999999999</v>
      </c>
      <c r="AP1001" s="46">
        <f t="shared" si="89"/>
        <v>0.13700000000000001</v>
      </c>
    </row>
    <row r="1002" spans="19:42" ht="18">
      <c r="S1002" s="8">
        <f t="shared" si="90"/>
        <v>0</v>
      </c>
      <c r="W1002" s="3">
        <v>1028</v>
      </c>
      <c r="X1002" s="30">
        <v>136.31399999999999</v>
      </c>
      <c r="Y1002" s="33">
        <f t="shared" si="87"/>
        <v>0.13600000000000001</v>
      </c>
      <c r="AH1002" s="45">
        <f t="shared" si="91"/>
        <v>0</v>
      </c>
      <c r="AJ1002" s="44">
        <f t="shared" si="88"/>
        <v>1.028</v>
      </c>
      <c r="AP1002" s="46">
        <f t="shared" si="89"/>
        <v>0.13600000000000001</v>
      </c>
    </row>
    <row r="1003" spans="19:42" ht="18">
      <c r="S1003" s="8">
        <f t="shared" si="90"/>
        <v>0</v>
      </c>
      <c r="W1003" s="3">
        <v>1029</v>
      </c>
      <c r="X1003" s="30">
        <v>135.94300000000001</v>
      </c>
      <c r="Y1003" s="33">
        <f t="shared" si="87"/>
        <v>0.13600000000000001</v>
      </c>
      <c r="AH1003" s="45">
        <f t="shared" si="91"/>
        <v>0</v>
      </c>
      <c r="AJ1003" s="44">
        <f t="shared" si="88"/>
        <v>1.0289999999999999</v>
      </c>
      <c r="AP1003" s="46">
        <f t="shared" si="89"/>
        <v>0.13600000000000001</v>
      </c>
    </row>
    <row r="1004" spans="19:42" ht="18">
      <c r="S1004" s="8">
        <f t="shared" si="90"/>
        <v>0</v>
      </c>
      <c r="W1004" s="3">
        <v>1030</v>
      </c>
      <c r="X1004" s="30">
        <v>135.571</v>
      </c>
      <c r="Y1004" s="33">
        <f t="shared" si="87"/>
        <v>0.13600000000000001</v>
      </c>
      <c r="AH1004" s="45">
        <f t="shared" si="91"/>
        <v>0</v>
      </c>
      <c r="AJ1004" s="44">
        <f t="shared" si="88"/>
        <v>1.03</v>
      </c>
      <c r="AP1004" s="46">
        <f t="shared" si="89"/>
        <v>0.13600000000000001</v>
      </c>
    </row>
    <row r="1005" spans="19:42" ht="18">
      <c r="S1005" s="8">
        <f t="shared" si="90"/>
        <v>0</v>
      </c>
      <c r="W1005" s="3">
        <v>1031</v>
      </c>
      <c r="X1005" s="30">
        <v>135.19999999999999</v>
      </c>
      <c r="Y1005" s="33">
        <f t="shared" si="87"/>
        <v>0.13500000000000001</v>
      </c>
      <c r="AH1005" s="45">
        <f t="shared" si="91"/>
        <v>0</v>
      </c>
      <c r="AJ1005" s="44">
        <f t="shared" si="88"/>
        <v>1.0309999999999999</v>
      </c>
      <c r="AP1005" s="46">
        <f t="shared" si="89"/>
        <v>0.13500000000000001</v>
      </c>
    </row>
    <row r="1006" spans="19:42" ht="18">
      <c r="S1006" s="8">
        <f t="shared" si="90"/>
        <v>0</v>
      </c>
      <c r="W1006" s="3">
        <v>1032</v>
      </c>
      <c r="X1006" s="30">
        <v>134.82900000000001</v>
      </c>
      <c r="Y1006" s="33">
        <f t="shared" si="87"/>
        <v>0.13500000000000001</v>
      </c>
      <c r="AH1006" s="45">
        <f t="shared" si="91"/>
        <v>0</v>
      </c>
      <c r="AJ1006" s="44">
        <f t="shared" si="88"/>
        <v>1.032</v>
      </c>
      <c r="AP1006" s="46">
        <f t="shared" si="89"/>
        <v>0.13500000000000001</v>
      </c>
    </row>
    <row r="1007" spans="19:42" ht="18">
      <c r="S1007" s="8">
        <f t="shared" si="90"/>
        <v>0</v>
      </c>
      <c r="W1007" s="3">
        <v>1033</v>
      </c>
      <c r="X1007" s="30">
        <v>134.45699999999999</v>
      </c>
      <c r="Y1007" s="33">
        <f t="shared" si="87"/>
        <v>0.13400000000000001</v>
      </c>
      <c r="AH1007" s="45">
        <f t="shared" si="91"/>
        <v>0</v>
      </c>
      <c r="AJ1007" s="44">
        <f t="shared" si="88"/>
        <v>1.0329999999999999</v>
      </c>
      <c r="AP1007" s="46">
        <f t="shared" si="89"/>
        <v>0.13400000000000001</v>
      </c>
    </row>
    <row r="1008" spans="19:42" ht="18">
      <c r="S1008" s="8">
        <f t="shared" si="90"/>
        <v>0</v>
      </c>
      <c r="W1008" s="3">
        <v>1034</v>
      </c>
      <c r="X1008" s="30">
        <v>134.08600000000001</v>
      </c>
      <c r="Y1008" s="33">
        <f t="shared" si="87"/>
        <v>0.13400000000000001</v>
      </c>
      <c r="AH1008" s="45">
        <f t="shared" si="91"/>
        <v>0</v>
      </c>
      <c r="AJ1008" s="44">
        <f t="shared" si="88"/>
        <v>1.034</v>
      </c>
      <c r="AP1008" s="46">
        <f t="shared" si="89"/>
        <v>0.13400000000000001</v>
      </c>
    </row>
    <row r="1009" spans="19:42" ht="18">
      <c r="S1009" s="8">
        <f t="shared" si="90"/>
        <v>0</v>
      </c>
      <c r="W1009" s="3">
        <v>1035</v>
      </c>
      <c r="X1009" s="30">
        <v>133.714</v>
      </c>
      <c r="Y1009" s="33">
        <f t="shared" si="87"/>
        <v>0.13400000000000001</v>
      </c>
      <c r="AH1009" s="45">
        <f t="shared" si="91"/>
        <v>0</v>
      </c>
      <c r="AJ1009" s="44">
        <f t="shared" si="88"/>
        <v>1.0349999999999999</v>
      </c>
      <c r="AP1009" s="46">
        <f t="shared" si="89"/>
        <v>0.13400000000000001</v>
      </c>
    </row>
    <row r="1010" spans="19:42" ht="18">
      <c r="S1010" s="8">
        <f t="shared" si="90"/>
        <v>0</v>
      </c>
      <c r="W1010" s="3">
        <v>1036</v>
      </c>
      <c r="X1010" s="30">
        <v>133.34299999999999</v>
      </c>
      <c r="Y1010" s="33">
        <f t="shared" si="87"/>
        <v>0.13300000000000001</v>
      </c>
      <c r="AH1010" s="45">
        <f t="shared" si="91"/>
        <v>0</v>
      </c>
      <c r="AJ1010" s="44">
        <f t="shared" si="88"/>
        <v>1.036</v>
      </c>
      <c r="AP1010" s="46">
        <f t="shared" si="89"/>
        <v>0.13300000000000001</v>
      </c>
    </row>
    <row r="1011" spans="19:42" ht="18">
      <c r="S1011" s="8">
        <f t="shared" si="90"/>
        <v>0</v>
      </c>
      <c r="W1011" s="3">
        <v>1037</v>
      </c>
      <c r="X1011" s="30">
        <v>132.971</v>
      </c>
      <c r="Y1011" s="33">
        <f t="shared" si="87"/>
        <v>0.13300000000000001</v>
      </c>
      <c r="AH1011" s="45">
        <f t="shared" si="91"/>
        <v>0</v>
      </c>
      <c r="AJ1011" s="44">
        <f t="shared" si="88"/>
        <v>1.0369999999999999</v>
      </c>
      <c r="AP1011" s="46">
        <f t="shared" si="89"/>
        <v>0.13300000000000001</v>
      </c>
    </row>
    <row r="1012" spans="19:42" ht="18">
      <c r="S1012" s="8">
        <f t="shared" si="90"/>
        <v>0</v>
      </c>
      <c r="W1012" s="3">
        <v>1038</v>
      </c>
      <c r="X1012" s="30">
        <v>132.6</v>
      </c>
      <c r="Y1012" s="33">
        <f t="shared" si="87"/>
        <v>0.13300000000000001</v>
      </c>
      <c r="AH1012" s="45">
        <f t="shared" si="91"/>
        <v>0</v>
      </c>
      <c r="AJ1012" s="44">
        <f t="shared" si="88"/>
        <v>1.038</v>
      </c>
      <c r="AP1012" s="46">
        <f t="shared" si="89"/>
        <v>0.13300000000000001</v>
      </c>
    </row>
    <row r="1013" spans="19:42" ht="18">
      <c r="S1013" s="8">
        <f t="shared" si="90"/>
        <v>0</v>
      </c>
      <c r="W1013" s="3">
        <v>1039</v>
      </c>
      <c r="X1013" s="30">
        <v>132.22900000000001</v>
      </c>
      <c r="Y1013" s="33">
        <f t="shared" si="87"/>
        <v>0.13200000000000001</v>
      </c>
      <c r="AH1013" s="45">
        <f t="shared" si="91"/>
        <v>0</v>
      </c>
      <c r="AJ1013" s="44">
        <f t="shared" si="88"/>
        <v>1.0389999999999999</v>
      </c>
      <c r="AP1013" s="46">
        <f t="shared" si="89"/>
        <v>0.13200000000000001</v>
      </c>
    </row>
    <row r="1014" spans="19:42" ht="18">
      <c r="S1014" s="8">
        <f t="shared" si="90"/>
        <v>0</v>
      </c>
      <c r="W1014" s="3">
        <v>1040</v>
      </c>
      <c r="X1014" s="30">
        <v>131.857</v>
      </c>
      <c r="Y1014" s="33">
        <f t="shared" si="87"/>
        <v>0.13200000000000001</v>
      </c>
      <c r="AH1014" s="45">
        <f t="shared" si="91"/>
        <v>0</v>
      </c>
      <c r="AJ1014" s="44">
        <f t="shared" si="88"/>
        <v>1.04</v>
      </c>
      <c r="AP1014" s="46">
        <f t="shared" si="89"/>
        <v>0.13200000000000001</v>
      </c>
    </row>
    <row r="1015" spans="19:42" ht="18">
      <c r="S1015" s="8">
        <f t="shared" si="90"/>
        <v>0</v>
      </c>
      <c r="W1015" s="3">
        <v>1041</v>
      </c>
      <c r="X1015" s="30">
        <v>131.48599999999999</v>
      </c>
      <c r="Y1015" s="33">
        <f t="shared" si="87"/>
        <v>0.13100000000000001</v>
      </c>
      <c r="AH1015" s="45">
        <f t="shared" si="91"/>
        <v>0</v>
      </c>
      <c r="AJ1015" s="44">
        <f t="shared" si="88"/>
        <v>1.0409999999999999</v>
      </c>
      <c r="AP1015" s="46">
        <f t="shared" si="89"/>
        <v>0.13100000000000001</v>
      </c>
    </row>
    <row r="1016" spans="19:42" ht="18">
      <c r="S1016" s="8">
        <f t="shared" si="90"/>
        <v>0</v>
      </c>
      <c r="W1016" s="3">
        <v>1042</v>
      </c>
      <c r="X1016" s="30">
        <v>131.114</v>
      </c>
      <c r="Y1016" s="33">
        <f t="shared" si="87"/>
        <v>0.13100000000000001</v>
      </c>
      <c r="AH1016" s="45">
        <f t="shared" si="91"/>
        <v>0</v>
      </c>
      <c r="AJ1016" s="44">
        <f t="shared" si="88"/>
        <v>1.042</v>
      </c>
      <c r="AP1016" s="46">
        <f t="shared" si="89"/>
        <v>0.13100000000000001</v>
      </c>
    </row>
    <row r="1017" spans="19:42" ht="18">
      <c r="S1017" s="8">
        <f t="shared" si="90"/>
        <v>0</v>
      </c>
      <c r="W1017" s="3">
        <v>1043</v>
      </c>
      <c r="X1017" s="30">
        <v>130.74299999999999</v>
      </c>
      <c r="Y1017" s="33">
        <f t="shared" si="87"/>
        <v>0.13100000000000001</v>
      </c>
      <c r="AH1017" s="45">
        <f t="shared" si="91"/>
        <v>0</v>
      </c>
      <c r="AJ1017" s="44">
        <f t="shared" si="88"/>
        <v>1.0429999999999999</v>
      </c>
      <c r="AP1017" s="46">
        <f t="shared" si="89"/>
        <v>0.13100000000000001</v>
      </c>
    </row>
    <row r="1018" spans="19:42" ht="18">
      <c r="S1018" s="8">
        <f t="shared" si="90"/>
        <v>0</v>
      </c>
      <c r="W1018" s="3">
        <v>1044</v>
      </c>
      <c r="X1018" s="30">
        <v>130.37100000000001</v>
      </c>
      <c r="Y1018" s="33">
        <f t="shared" si="87"/>
        <v>0.13</v>
      </c>
      <c r="AH1018" s="45">
        <f t="shared" si="91"/>
        <v>0</v>
      </c>
      <c r="AJ1018" s="44">
        <f t="shared" si="88"/>
        <v>1.044</v>
      </c>
      <c r="AP1018" s="46">
        <f t="shared" si="89"/>
        <v>0.13</v>
      </c>
    </row>
    <row r="1019" spans="19:42" ht="18">
      <c r="S1019" s="8">
        <f t="shared" si="90"/>
        <v>0</v>
      </c>
      <c r="W1019" s="3">
        <v>1045</v>
      </c>
      <c r="X1019" s="30">
        <v>130</v>
      </c>
      <c r="Y1019" s="33">
        <f t="shared" si="87"/>
        <v>0.13</v>
      </c>
      <c r="AH1019" s="45">
        <f t="shared" si="91"/>
        <v>0</v>
      </c>
      <c r="AJ1019" s="44">
        <f t="shared" si="88"/>
        <v>1.0449999999999999</v>
      </c>
      <c r="AP1019" s="46">
        <f t="shared" si="89"/>
        <v>0.13</v>
      </c>
    </row>
    <row r="1020" spans="19:42" ht="18">
      <c r="S1020" s="8">
        <f t="shared" si="90"/>
        <v>0</v>
      </c>
      <c r="W1020" s="3">
        <v>1046</v>
      </c>
      <c r="X1020" s="30">
        <v>129.62899999999999</v>
      </c>
      <c r="Y1020" s="33">
        <f t="shared" si="87"/>
        <v>0.13</v>
      </c>
      <c r="AH1020" s="45">
        <f t="shared" si="91"/>
        <v>0</v>
      </c>
      <c r="AJ1020" s="44">
        <f t="shared" si="88"/>
        <v>1.046</v>
      </c>
      <c r="AP1020" s="46">
        <f t="shared" si="89"/>
        <v>0.13</v>
      </c>
    </row>
    <row r="1021" spans="19:42" ht="18">
      <c r="S1021" s="8">
        <f t="shared" si="90"/>
        <v>0</v>
      </c>
      <c r="W1021" s="3">
        <v>1047</v>
      </c>
      <c r="X1021" s="30">
        <v>129.25700000000001</v>
      </c>
      <c r="Y1021" s="33">
        <f t="shared" si="87"/>
        <v>0.129</v>
      </c>
      <c r="AH1021" s="45">
        <f t="shared" si="91"/>
        <v>0</v>
      </c>
      <c r="AJ1021" s="44">
        <f t="shared" si="88"/>
        <v>1.0469999999999999</v>
      </c>
      <c r="AP1021" s="46">
        <f t="shared" si="89"/>
        <v>0.129</v>
      </c>
    </row>
    <row r="1022" spans="19:42" ht="18">
      <c r="S1022" s="8">
        <f t="shared" si="90"/>
        <v>0</v>
      </c>
      <c r="W1022" s="3">
        <v>1048</v>
      </c>
      <c r="X1022" s="30">
        <v>128.886</v>
      </c>
      <c r="Y1022" s="33">
        <f t="shared" si="87"/>
        <v>0.129</v>
      </c>
      <c r="AH1022" s="45">
        <f t="shared" si="91"/>
        <v>0</v>
      </c>
      <c r="AJ1022" s="44">
        <f t="shared" si="88"/>
        <v>1.048</v>
      </c>
      <c r="AP1022" s="46">
        <f t="shared" si="89"/>
        <v>0.129</v>
      </c>
    </row>
    <row r="1023" spans="19:42" ht="18">
      <c r="S1023" s="8">
        <f t="shared" si="90"/>
        <v>0</v>
      </c>
      <c r="W1023" s="3">
        <v>1049</v>
      </c>
      <c r="X1023" s="30">
        <v>128.51400000000001</v>
      </c>
      <c r="Y1023" s="33">
        <f t="shared" si="87"/>
        <v>0.129</v>
      </c>
      <c r="AH1023" s="45">
        <f t="shared" si="91"/>
        <v>0</v>
      </c>
      <c r="AJ1023" s="44">
        <f t="shared" si="88"/>
        <v>1.0489999999999999</v>
      </c>
      <c r="AP1023" s="46">
        <f t="shared" si="89"/>
        <v>0.129</v>
      </c>
    </row>
    <row r="1024" spans="19:42" ht="18">
      <c r="S1024" s="8">
        <f t="shared" si="90"/>
        <v>0</v>
      </c>
      <c r="W1024" s="3">
        <v>1050</v>
      </c>
      <c r="X1024" s="30">
        <v>128.143</v>
      </c>
      <c r="Y1024" s="33">
        <f t="shared" si="87"/>
        <v>0.128</v>
      </c>
      <c r="AH1024" s="45">
        <f t="shared" si="91"/>
        <v>0</v>
      </c>
      <c r="AJ1024" s="44">
        <f t="shared" si="88"/>
        <v>1.05</v>
      </c>
      <c r="AP1024" s="46">
        <f t="shared" si="89"/>
        <v>0.128</v>
      </c>
    </row>
    <row r="1025" spans="19:42" ht="18">
      <c r="S1025" s="8">
        <f t="shared" si="90"/>
        <v>0</v>
      </c>
      <c r="W1025" s="3">
        <v>1051</v>
      </c>
      <c r="X1025" s="30">
        <v>127.771</v>
      </c>
      <c r="Y1025" s="33">
        <f t="shared" si="87"/>
        <v>0.128</v>
      </c>
      <c r="AH1025" s="45">
        <f t="shared" si="91"/>
        <v>0</v>
      </c>
      <c r="AJ1025" s="44">
        <f t="shared" si="88"/>
        <v>1.0509999999999999</v>
      </c>
      <c r="AP1025" s="46">
        <f t="shared" si="89"/>
        <v>0.128</v>
      </c>
    </row>
    <row r="1026" spans="19:42" ht="18">
      <c r="S1026" s="8">
        <f t="shared" si="90"/>
        <v>0</v>
      </c>
      <c r="W1026" s="3">
        <v>1052</v>
      </c>
      <c r="X1026" s="30">
        <v>127.4</v>
      </c>
      <c r="Y1026" s="33">
        <f t="shared" si="87"/>
        <v>0.127</v>
      </c>
      <c r="AH1026" s="45">
        <f t="shared" si="91"/>
        <v>0</v>
      </c>
      <c r="AJ1026" s="44">
        <f t="shared" si="88"/>
        <v>1.052</v>
      </c>
      <c r="AP1026" s="46">
        <f t="shared" si="89"/>
        <v>0.127</v>
      </c>
    </row>
    <row r="1027" spans="19:42" ht="18">
      <c r="S1027" s="8">
        <f t="shared" si="90"/>
        <v>0</v>
      </c>
      <c r="W1027" s="3">
        <v>1053</v>
      </c>
      <c r="X1027" s="30">
        <v>127.029</v>
      </c>
      <c r="Y1027" s="33">
        <f t="shared" si="87"/>
        <v>0.127</v>
      </c>
      <c r="AH1027" s="45">
        <f t="shared" si="91"/>
        <v>0</v>
      </c>
      <c r="AJ1027" s="44">
        <f t="shared" si="88"/>
        <v>1.0529999999999999</v>
      </c>
      <c r="AP1027" s="46">
        <f t="shared" si="89"/>
        <v>0.127</v>
      </c>
    </row>
    <row r="1028" spans="19:42" ht="18">
      <c r="S1028" s="8">
        <f t="shared" si="90"/>
        <v>0</v>
      </c>
      <c r="W1028" s="3">
        <v>1054</v>
      </c>
      <c r="X1028" s="30">
        <v>126.657</v>
      </c>
      <c r="Y1028" s="33">
        <f t="shared" si="87"/>
        <v>0.127</v>
      </c>
      <c r="AH1028" s="45">
        <f t="shared" si="91"/>
        <v>0</v>
      </c>
      <c r="AJ1028" s="44">
        <f t="shared" si="88"/>
        <v>1.054</v>
      </c>
      <c r="AP1028" s="46">
        <f t="shared" si="89"/>
        <v>0.127</v>
      </c>
    </row>
    <row r="1029" spans="19:42" ht="18">
      <c r="S1029" s="8">
        <f t="shared" si="90"/>
        <v>0</v>
      </c>
      <c r="W1029" s="3">
        <v>1055</v>
      </c>
      <c r="X1029" s="30">
        <v>126.286</v>
      </c>
      <c r="Y1029" s="33">
        <f t="shared" ref="Y1029:Y1092" si="92">ROUND(X1029/1000,3)</f>
        <v>0.126</v>
      </c>
      <c r="AH1029" s="45">
        <f t="shared" si="91"/>
        <v>0</v>
      </c>
      <c r="AJ1029" s="44">
        <f t="shared" ref="AJ1029:AJ1092" si="93">ROUND(W1029/1000,3)</f>
        <v>1.0549999999999999</v>
      </c>
      <c r="AP1029" s="46">
        <f t="shared" ref="AP1029:AP1092" si="94">ROUND(X1029/1000,3)</f>
        <v>0.126</v>
      </c>
    </row>
    <row r="1030" spans="19:42" ht="18">
      <c r="S1030" s="8">
        <f t="shared" ref="S1030:S1093" si="95">CEILING(R1030/50,0.5)</f>
        <v>0</v>
      </c>
      <c r="W1030" s="3">
        <v>1056</v>
      </c>
      <c r="X1030" s="30">
        <v>125.914</v>
      </c>
      <c r="Y1030" s="33">
        <f t="shared" si="92"/>
        <v>0.126</v>
      </c>
      <c r="AH1030" s="45">
        <f t="shared" ref="AH1030:AH1093" si="96">AE1030-AE1029</f>
        <v>0</v>
      </c>
      <c r="AJ1030" s="44">
        <f t="shared" si="93"/>
        <v>1.056</v>
      </c>
      <c r="AP1030" s="46">
        <f t="shared" si="94"/>
        <v>0.126</v>
      </c>
    </row>
    <row r="1031" spans="19:42" ht="18">
      <c r="S1031" s="8">
        <f t="shared" si="95"/>
        <v>0</v>
      </c>
      <c r="W1031" s="3">
        <v>1057</v>
      </c>
      <c r="X1031" s="30">
        <v>125.54300000000001</v>
      </c>
      <c r="Y1031" s="33">
        <f t="shared" si="92"/>
        <v>0.126</v>
      </c>
      <c r="AH1031" s="45">
        <f t="shared" si="96"/>
        <v>0</v>
      </c>
      <c r="AJ1031" s="44">
        <f t="shared" si="93"/>
        <v>1.0569999999999999</v>
      </c>
      <c r="AP1031" s="46">
        <f t="shared" si="94"/>
        <v>0.126</v>
      </c>
    </row>
    <row r="1032" spans="19:42" ht="18">
      <c r="S1032" s="8">
        <f t="shared" si="95"/>
        <v>0</v>
      </c>
      <c r="W1032" s="3">
        <v>1058</v>
      </c>
      <c r="X1032" s="30">
        <v>125.17100000000001</v>
      </c>
      <c r="Y1032" s="33">
        <f t="shared" si="92"/>
        <v>0.125</v>
      </c>
      <c r="AH1032" s="45">
        <f t="shared" si="96"/>
        <v>0</v>
      </c>
      <c r="AJ1032" s="44">
        <f t="shared" si="93"/>
        <v>1.0580000000000001</v>
      </c>
      <c r="AP1032" s="46">
        <f t="shared" si="94"/>
        <v>0.125</v>
      </c>
    </row>
    <row r="1033" spans="19:42" ht="18">
      <c r="S1033" s="8">
        <f t="shared" si="95"/>
        <v>0</v>
      </c>
      <c r="W1033" s="3">
        <v>1059</v>
      </c>
      <c r="X1033" s="30">
        <v>124.8</v>
      </c>
      <c r="Y1033" s="33">
        <f t="shared" si="92"/>
        <v>0.125</v>
      </c>
      <c r="AH1033" s="45">
        <f t="shared" si="96"/>
        <v>0</v>
      </c>
      <c r="AJ1033" s="44">
        <f t="shared" si="93"/>
        <v>1.0589999999999999</v>
      </c>
      <c r="AP1033" s="46">
        <f t="shared" si="94"/>
        <v>0.125</v>
      </c>
    </row>
    <row r="1034" spans="19:42" ht="18">
      <c r="S1034" s="8">
        <f t="shared" si="95"/>
        <v>0</v>
      </c>
      <c r="W1034" s="3">
        <v>1060</v>
      </c>
      <c r="X1034" s="30">
        <v>124.429</v>
      </c>
      <c r="Y1034" s="33">
        <f t="shared" si="92"/>
        <v>0.124</v>
      </c>
      <c r="AH1034" s="45">
        <f t="shared" si="96"/>
        <v>0</v>
      </c>
      <c r="AJ1034" s="44">
        <f t="shared" si="93"/>
        <v>1.06</v>
      </c>
      <c r="AP1034" s="46">
        <f t="shared" si="94"/>
        <v>0.124</v>
      </c>
    </row>
    <row r="1035" spans="19:42" ht="18">
      <c r="S1035" s="8">
        <f t="shared" si="95"/>
        <v>0</v>
      </c>
      <c r="W1035" s="3">
        <v>1061</v>
      </c>
      <c r="X1035" s="30">
        <v>124.057</v>
      </c>
      <c r="Y1035" s="33">
        <f t="shared" si="92"/>
        <v>0.124</v>
      </c>
      <c r="AH1035" s="45">
        <f t="shared" si="96"/>
        <v>0</v>
      </c>
      <c r="AJ1035" s="44">
        <f t="shared" si="93"/>
        <v>1.0609999999999999</v>
      </c>
      <c r="AP1035" s="46">
        <f t="shared" si="94"/>
        <v>0.124</v>
      </c>
    </row>
    <row r="1036" spans="19:42" ht="18">
      <c r="S1036" s="8">
        <f t="shared" si="95"/>
        <v>0</v>
      </c>
      <c r="W1036" s="3">
        <v>1062</v>
      </c>
      <c r="X1036" s="30">
        <v>123.68600000000001</v>
      </c>
      <c r="Y1036" s="33">
        <f t="shared" si="92"/>
        <v>0.124</v>
      </c>
      <c r="AH1036" s="45">
        <f t="shared" si="96"/>
        <v>0</v>
      </c>
      <c r="AJ1036" s="44">
        <f t="shared" si="93"/>
        <v>1.0620000000000001</v>
      </c>
      <c r="AP1036" s="46">
        <f t="shared" si="94"/>
        <v>0.124</v>
      </c>
    </row>
    <row r="1037" spans="19:42" ht="18">
      <c r="S1037" s="8">
        <f t="shared" si="95"/>
        <v>0</v>
      </c>
      <c r="W1037" s="3">
        <v>1063</v>
      </c>
      <c r="X1037" s="30">
        <v>123.31399999999999</v>
      </c>
      <c r="Y1037" s="33">
        <f t="shared" si="92"/>
        <v>0.123</v>
      </c>
      <c r="AH1037" s="45">
        <f t="shared" si="96"/>
        <v>0</v>
      </c>
      <c r="AJ1037" s="44">
        <f t="shared" si="93"/>
        <v>1.0629999999999999</v>
      </c>
      <c r="AP1037" s="46">
        <f t="shared" si="94"/>
        <v>0.123</v>
      </c>
    </row>
    <row r="1038" spans="19:42" ht="18">
      <c r="S1038" s="8">
        <f t="shared" si="95"/>
        <v>0</v>
      </c>
      <c r="W1038" s="3">
        <v>1064</v>
      </c>
      <c r="X1038" s="30">
        <v>122.943</v>
      </c>
      <c r="Y1038" s="33">
        <f t="shared" si="92"/>
        <v>0.123</v>
      </c>
      <c r="AH1038" s="45">
        <f t="shared" si="96"/>
        <v>0</v>
      </c>
      <c r="AJ1038" s="44">
        <f t="shared" si="93"/>
        <v>1.0640000000000001</v>
      </c>
      <c r="AP1038" s="46">
        <f t="shared" si="94"/>
        <v>0.123</v>
      </c>
    </row>
    <row r="1039" spans="19:42" ht="18">
      <c r="S1039" s="8">
        <f t="shared" si="95"/>
        <v>0</v>
      </c>
      <c r="W1039" s="3">
        <v>1065</v>
      </c>
      <c r="X1039" s="30">
        <v>122.571</v>
      </c>
      <c r="Y1039" s="33">
        <f t="shared" si="92"/>
        <v>0.123</v>
      </c>
      <c r="AH1039" s="45">
        <f t="shared" si="96"/>
        <v>0</v>
      </c>
      <c r="AJ1039" s="44">
        <f t="shared" si="93"/>
        <v>1.0649999999999999</v>
      </c>
      <c r="AP1039" s="46">
        <f t="shared" si="94"/>
        <v>0.123</v>
      </c>
    </row>
    <row r="1040" spans="19:42" ht="18">
      <c r="S1040" s="8">
        <f t="shared" si="95"/>
        <v>0</v>
      </c>
      <c r="W1040" s="3">
        <v>1066</v>
      </c>
      <c r="X1040" s="30">
        <v>122.2</v>
      </c>
      <c r="Y1040" s="33">
        <f t="shared" si="92"/>
        <v>0.122</v>
      </c>
      <c r="AH1040" s="45">
        <f t="shared" si="96"/>
        <v>0</v>
      </c>
      <c r="AJ1040" s="44">
        <f t="shared" si="93"/>
        <v>1.0660000000000001</v>
      </c>
      <c r="AP1040" s="46">
        <f t="shared" si="94"/>
        <v>0.122</v>
      </c>
    </row>
    <row r="1041" spans="19:42" ht="18">
      <c r="S1041" s="8">
        <f t="shared" si="95"/>
        <v>0</v>
      </c>
      <c r="W1041" s="3">
        <v>1067</v>
      </c>
      <c r="X1041" s="30">
        <v>121.82899999999999</v>
      </c>
      <c r="Y1041" s="33">
        <f t="shared" si="92"/>
        <v>0.122</v>
      </c>
      <c r="AH1041" s="45">
        <f t="shared" si="96"/>
        <v>0</v>
      </c>
      <c r="AJ1041" s="44">
        <f t="shared" si="93"/>
        <v>1.0669999999999999</v>
      </c>
      <c r="AP1041" s="46">
        <f t="shared" si="94"/>
        <v>0.122</v>
      </c>
    </row>
    <row r="1042" spans="19:42" ht="18">
      <c r="S1042" s="8">
        <f t="shared" si="95"/>
        <v>0</v>
      </c>
      <c r="W1042" s="3">
        <v>1068</v>
      </c>
      <c r="X1042" s="30">
        <v>121.45699999999999</v>
      </c>
      <c r="Y1042" s="33">
        <f t="shared" si="92"/>
        <v>0.121</v>
      </c>
      <c r="AH1042" s="45">
        <f t="shared" si="96"/>
        <v>0</v>
      </c>
      <c r="AJ1042" s="44">
        <f t="shared" si="93"/>
        <v>1.0680000000000001</v>
      </c>
      <c r="AP1042" s="46">
        <f t="shared" si="94"/>
        <v>0.121</v>
      </c>
    </row>
    <row r="1043" spans="19:42" ht="18">
      <c r="S1043" s="8">
        <f t="shared" si="95"/>
        <v>0</v>
      </c>
      <c r="W1043" s="3">
        <v>1069</v>
      </c>
      <c r="X1043" s="30">
        <v>121.086</v>
      </c>
      <c r="Y1043" s="33">
        <f t="shared" si="92"/>
        <v>0.121</v>
      </c>
      <c r="AH1043" s="45">
        <f t="shared" si="96"/>
        <v>0</v>
      </c>
      <c r="AJ1043" s="44">
        <f t="shared" si="93"/>
        <v>1.069</v>
      </c>
      <c r="AP1043" s="46">
        <f t="shared" si="94"/>
        <v>0.121</v>
      </c>
    </row>
    <row r="1044" spans="19:42" ht="18">
      <c r="S1044" s="8">
        <f t="shared" si="95"/>
        <v>0</v>
      </c>
      <c r="W1044" s="3">
        <v>1070</v>
      </c>
      <c r="X1044" s="30">
        <v>120.714</v>
      </c>
      <c r="Y1044" s="33">
        <f t="shared" si="92"/>
        <v>0.121</v>
      </c>
      <c r="AH1044" s="45">
        <f t="shared" si="96"/>
        <v>0</v>
      </c>
      <c r="AJ1044" s="44">
        <f t="shared" si="93"/>
        <v>1.07</v>
      </c>
      <c r="AP1044" s="46">
        <f t="shared" si="94"/>
        <v>0.121</v>
      </c>
    </row>
    <row r="1045" spans="19:42" ht="18">
      <c r="S1045" s="8">
        <f t="shared" si="95"/>
        <v>0</v>
      </c>
      <c r="W1045" s="3">
        <v>1071</v>
      </c>
      <c r="X1045" s="30">
        <v>120.343</v>
      </c>
      <c r="Y1045" s="33">
        <f t="shared" si="92"/>
        <v>0.12</v>
      </c>
      <c r="AH1045" s="45">
        <f t="shared" si="96"/>
        <v>0</v>
      </c>
      <c r="AJ1045" s="44">
        <f t="shared" si="93"/>
        <v>1.071</v>
      </c>
      <c r="AP1045" s="46">
        <f t="shared" si="94"/>
        <v>0.12</v>
      </c>
    </row>
    <row r="1046" spans="19:42" ht="18">
      <c r="S1046" s="8">
        <f t="shared" si="95"/>
        <v>0</v>
      </c>
      <c r="W1046" s="3">
        <v>1072</v>
      </c>
      <c r="X1046" s="30">
        <v>119.971</v>
      </c>
      <c r="Y1046" s="33">
        <f t="shared" si="92"/>
        <v>0.12</v>
      </c>
      <c r="AH1046" s="45">
        <f t="shared" si="96"/>
        <v>0</v>
      </c>
      <c r="AJ1046" s="44">
        <f t="shared" si="93"/>
        <v>1.0720000000000001</v>
      </c>
      <c r="AP1046" s="46">
        <f t="shared" si="94"/>
        <v>0.12</v>
      </c>
    </row>
    <row r="1047" spans="19:42" ht="18">
      <c r="S1047" s="8">
        <f t="shared" si="95"/>
        <v>0</v>
      </c>
      <c r="W1047" s="3">
        <v>1073</v>
      </c>
      <c r="X1047" s="30">
        <v>119.6</v>
      </c>
      <c r="Y1047" s="33">
        <f t="shared" si="92"/>
        <v>0.12</v>
      </c>
      <c r="AH1047" s="45">
        <f t="shared" si="96"/>
        <v>0</v>
      </c>
      <c r="AJ1047" s="44">
        <f t="shared" si="93"/>
        <v>1.073</v>
      </c>
      <c r="AP1047" s="46">
        <f t="shared" si="94"/>
        <v>0.12</v>
      </c>
    </row>
    <row r="1048" spans="19:42" ht="18">
      <c r="S1048" s="8">
        <f t="shared" si="95"/>
        <v>0</v>
      </c>
      <c r="W1048" s="3">
        <v>1074</v>
      </c>
      <c r="X1048" s="30">
        <v>119.229</v>
      </c>
      <c r="Y1048" s="33">
        <f t="shared" si="92"/>
        <v>0.11899999999999999</v>
      </c>
      <c r="AH1048" s="45">
        <f t="shared" si="96"/>
        <v>0</v>
      </c>
      <c r="AJ1048" s="44">
        <f t="shared" si="93"/>
        <v>1.0740000000000001</v>
      </c>
      <c r="AP1048" s="46">
        <f t="shared" si="94"/>
        <v>0.11899999999999999</v>
      </c>
    </row>
    <row r="1049" spans="19:42" ht="18">
      <c r="S1049" s="8">
        <f t="shared" si="95"/>
        <v>0</v>
      </c>
      <c r="W1049" s="3">
        <v>1075</v>
      </c>
      <c r="X1049" s="30">
        <v>118.857</v>
      </c>
      <c r="Y1049" s="33">
        <f t="shared" si="92"/>
        <v>0.11899999999999999</v>
      </c>
      <c r="AH1049" s="45">
        <f t="shared" si="96"/>
        <v>0</v>
      </c>
      <c r="AJ1049" s="44">
        <f t="shared" si="93"/>
        <v>1.075</v>
      </c>
      <c r="AP1049" s="46">
        <f t="shared" si="94"/>
        <v>0.11899999999999999</v>
      </c>
    </row>
    <row r="1050" spans="19:42" ht="18">
      <c r="S1050" s="8">
        <f t="shared" si="95"/>
        <v>0</v>
      </c>
      <c r="W1050" s="3">
        <v>1076</v>
      </c>
      <c r="X1050" s="30">
        <v>118.486</v>
      </c>
      <c r="Y1050" s="33">
        <f t="shared" si="92"/>
        <v>0.11799999999999999</v>
      </c>
      <c r="AH1050" s="45">
        <f t="shared" si="96"/>
        <v>0</v>
      </c>
      <c r="AJ1050" s="44">
        <f t="shared" si="93"/>
        <v>1.0760000000000001</v>
      </c>
      <c r="AP1050" s="46">
        <f t="shared" si="94"/>
        <v>0.11799999999999999</v>
      </c>
    </row>
    <row r="1051" spans="19:42" ht="18">
      <c r="S1051" s="8">
        <f t="shared" si="95"/>
        <v>0</v>
      </c>
      <c r="W1051" s="3">
        <v>1077</v>
      </c>
      <c r="X1051" s="30">
        <v>118.114</v>
      </c>
      <c r="Y1051" s="33">
        <f t="shared" si="92"/>
        <v>0.11799999999999999</v>
      </c>
      <c r="AH1051" s="45">
        <f t="shared" si="96"/>
        <v>0</v>
      </c>
      <c r="AJ1051" s="44">
        <f t="shared" si="93"/>
        <v>1.077</v>
      </c>
      <c r="AP1051" s="46">
        <f t="shared" si="94"/>
        <v>0.11799999999999999</v>
      </c>
    </row>
    <row r="1052" spans="19:42" ht="18">
      <c r="S1052" s="8">
        <f t="shared" si="95"/>
        <v>0</v>
      </c>
      <c r="W1052" s="3">
        <v>1078</v>
      </c>
      <c r="X1052" s="30">
        <v>117.74299999999999</v>
      </c>
      <c r="Y1052" s="33">
        <f t="shared" si="92"/>
        <v>0.11799999999999999</v>
      </c>
      <c r="AH1052" s="45">
        <f t="shared" si="96"/>
        <v>0</v>
      </c>
      <c r="AJ1052" s="44">
        <f t="shared" si="93"/>
        <v>1.0780000000000001</v>
      </c>
      <c r="AP1052" s="46">
        <f t="shared" si="94"/>
        <v>0.11799999999999999</v>
      </c>
    </row>
    <row r="1053" spans="19:42" ht="18">
      <c r="S1053" s="8">
        <f t="shared" si="95"/>
        <v>0</v>
      </c>
      <c r="W1053" s="3">
        <v>1079</v>
      </c>
      <c r="X1053" s="30">
        <v>117.371</v>
      </c>
      <c r="Y1053" s="33">
        <f t="shared" si="92"/>
        <v>0.11700000000000001</v>
      </c>
      <c r="AH1053" s="45">
        <f t="shared" si="96"/>
        <v>0</v>
      </c>
      <c r="AJ1053" s="44">
        <f t="shared" si="93"/>
        <v>1.079</v>
      </c>
      <c r="AP1053" s="46">
        <f t="shared" si="94"/>
        <v>0.11700000000000001</v>
      </c>
    </row>
    <row r="1054" spans="19:42" ht="18">
      <c r="S1054" s="8">
        <f t="shared" si="95"/>
        <v>0</v>
      </c>
      <c r="W1054" s="3">
        <v>1080</v>
      </c>
      <c r="X1054" s="30">
        <v>117</v>
      </c>
      <c r="Y1054" s="33">
        <f t="shared" si="92"/>
        <v>0.11700000000000001</v>
      </c>
      <c r="AH1054" s="45">
        <f t="shared" si="96"/>
        <v>0</v>
      </c>
      <c r="AJ1054" s="44">
        <f t="shared" si="93"/>
        <v>1.08</v>
      </c>
      <c r="AP1054" s="46">
        <f t="shared" si="94"/>
        <v>0.11700000000000001</v>
      </c>
    </row>
    <row r="1055" spans="19:42" ht="18">
      <c r="S1055" s="8">
        <f t="shared" si="95"/>
        <v>0</v>
      </c>
      <c r="W1055" s="3">
        <v>1081</v>
      </c>
      <c r="X1055" s="30">
        <v>117.25</v>
      </c>
      <c r="Y1055" s="33">
        <f t="shared" si="92"/>
        <v>0.11700000000000001</v>
      </c>
      <c r="AH1055" s="45">
        <f t="shared" si="96"/>
        <v>0</v>
      </c>
      <c r="AJ1055" s="44">
        <f t="shared" si="93"/>
        <v>1.081</v>
      </c>
      <c r="AP1055" s="46">
        <f t="shared" si="94"/>
        <v>0.11700000000000001</v>
      </c>
    </row>
    <row r="1056" spans="19:42" ht="18">
      <c r="S1056" s="8">
        <f t="shared" si="95"/>
        <v>0</v>
      </c>
      <c r="W1056" s="3">
        <v>1082</v>
      </c>
      <c r="X1056" s="30">
        <v>117.5</v>
      </c>
      <c r="Y1056" s="33">
        <f t="shared" si="92"/>
        <v>0.11799999999999999</v>
      </c>
      <c r="AH1056" s="45">
        <f t="shared" si="96"/>
        <v>0</v>
      </c>
      <c r="AJ1056" s="44">
        <f t="shared" si="93"/>
        <v>1.0820000000000001</v>
      </c>
      <c r="AP1056" s="46">
        <f t="shared" si="94"/>
        <v>0.11799999999999999</v>
      </c>
    </row>
    <row r="1057" spans="19:42" ht="18">
      <c r="S1057" s="8">
        <f t="shared" si="95"/>
        <v>0</v>
      </c>
      <c r="W1057" s="3">
        <v>1083</v>
      </c>
      <c r="X1057" s="30">
        <v>117.75</v>
      </c>
      <c r="Y1057" s="33">
        <f t="shared" si="92"/>
        <v>0.11799999999999999</v>
      </c>
      <c r="AH1057" s="45">
        <f t="shared" si="96"/>
        <v>0</v>
      </c>
      <c r="AJ1057" s="44">
        <f t="shared" si="93"/>
        <v>1.083</v>
      </c>
      <c r="AP1057" s="46">
        <f t="shared" si="94"/>
        <v>0.11799999999999999</v>
      </c>
    </row>
    <row r="1058" spans="19:42" ht="18">
      <c r="S1058" s="8">
        <f t="shared" si="95"/>
        <v>0</v>
      </c>
      <c r="W1058" s="3">
        <v>1084</v>
      </c>
      <c r="X1058" s="30">
        <v>118</v>
      </c>
      <c r="Y1058" s="33">
        <f t="shared" si="92"/>
        <v>0.11799999999999999</v>
      </c>
      <c r="AH1058" s="45">
        <f t="shared" si="96"/>
        <v>0</v>
      </c>
      <c r="AJ1058" s="44">
        <f t="shared" si="93"/>
        <v>1.0840000000000001</v>
      </c>
      <c r="AP1058" s="46">
        <f t="shared" si="94"/>
        <v>0.11799999999999999</v>
      </c>
    </row>
    <row r="1059" spans="19:42" ht="18">
      <c r="S1059" s="8">
        <f t="shared" si="95"/>
        <v>0</v>
      </c>
      <c r="W1059" s="3">
        <v>1085</v>
      </c>
      <c r="X1059" s="30">
        <v>118.25</v>
      </c>
      <c r="Y1059" s="33">
        <f t="shared" si="92"/>
        <v>0.11799999999999999</v>
      </c>
      <c r="AH1059" s="45">
        <f t="shared" si="96"/>
        <v>0</v>
      </c>
      <c r="AJ1059" s="44">
        <f t="shared" si="93"/>
        <v>1.085</v>
      </c>
      <c r="AP1059" s="46">
        <f t="shared" si="94"/>
        <v>0.11799999999999999</v>
      </c>
    </row>
    <row r="1060" spans="19:42" ht="18">
      <c r="S1060" s="8">
        <f t="shared" si="95"/>
        <v>0</v>
      </c>
      <c r="W1060" s="3">
        <v>1086</v>
      </c>
      <c r="X1060" s="30">
        <v>118.5</v>
      </c>
      <c r="Y1060" s="33">
        <f t="shared" si="92"/>
        <v>0.11899999999999999</v>
      </c>
      <c r="AH1060" s="45">
        <f t="shared" si="96"/>
        <v>0</v>
      </c>
      <c r="AJ1060" s="44">
        <f t="shared" si="93"/>
        <v>1.0860000000000001</v>
      </c>
      <c r="AP1060" s="46">
        <f t="shared" si="94"/>
        <v>0.11899999999999999</v>
      </c>
    </row>
    <row r="1061" spans="19:42" ht="18">
      <c r="S1061" s="8">
        <f t="shared" si="95"/>
        <v>0</v>
      </c>
      <c r="W1061" s="3">
        <v>1087</v>
      </c>
      <c r="X1061" s="30">
        <v>118.75</v>
      </c>
      <c r="Y1061" s="33">
        <f t="shared" si="92"/>
        <v>0.11899999999999999</v>
      </c>
      <c r="AH1061" s="45">
        <f t="shared" si="96"/>
        <v>0</v>
      </c>
      <c r="AJ1061" s="44">
        <f t="shared" si="93"/>
        <v>1.087</v>
      </c>
      <c r="AP1061" s="46">
        <f t="shared" si="94"/>
        <v>0.11899999999999999</v>
      </c>
    </row>
    <row r="1062" spans="19:42" ht="18">
      <c r="S1062" s="8">
        <f t="shared" si="95"/>
        <v>0</v>
      </c>
      <c r="W1062" s="3">
        <v>1088</v>
      </c>
      <c r="X1062" s="30">
        <v>119</v>
      </c>
      <c r="Y1062" s="33">
        <f t="shared" si="92"/>
        <v>0.11899999999999999</v>
      </c>
      <c r="AH1062" s="45">
        <f t="shared" si="96"/>
        <v>0</v>
      </c>
      <c r="AJ1062" s="44">
        <f t="shared" si="93"/>
        <v>1.0880000000000001</v>
      </c>
      <c r="AP1062" s="46">
        <f t="shared" si="94"/>
        <v>0.11899999999999999</v>
      </c>
    </row>
    <row r="1063" spans="19:42" ht="18">
      <c r="S1063" s="8">
        <f t="shared" si="95"/>
        <v>0</v>
      </c>
      <c r="W1063" s="3">
        <v>1089</v>
      </c>
      <c r="X1063" s="30">
        <v>119.25</v>
      </c>
      <c r="Y1063" s="33">
        <f t="shared" si="92"/>
        <v>0.11899999999999999</v>
      </c>
      <c r="AH1063" s="45">
        <f t="shared" si="96"/>
        <v>0</v>
      </c>
      <c r="AJ1063" s="44">
        <f t="shared" si="93"/>
        <v>1.089</v>
      </c>
      <c r="AP1063" s="46">
        <f t="shared" si="94"/>
        <v>0.11899999999999999</v>
      </c>
    </row>
    <row r="1064" spans="19:42" ht="18">
      <c r="S1064" s="8">
        <f t="shared" si="95"/>
        <v>0</v>
      </c>
      <c r="W1064" s="3">
        <v>1090</v>
      </c>
      <c r="X1064" s="30">
        <v>119.5</v>
      </c>
      <c r="Y1064" s="33">
        <f t="shared" si="92"/>
        <v>0.12</v>
      </c>
      <c r="AH1064" s="45">
        <f t="shared" si="96"/>
        <v>0</v>
      </c>
      <c r="AJ1064" s="44">
        <f t="shared" si="93"/>
        <v>1.0900000000000001</v>
      </c>
      <c r="AP1064" s="46">
        <f t="shared" si="94"/>
        <v>0.12</v>
      </c>
    </row>
    <row r="1065" spans="19:42" ht="18">
      <c r="S1065" s="8">
        <f t="shared" si="95"/>
        <v>0</v>
      </c>
      <c r="W1065" s="3">
        <v>1091</v>
      </c>
      <c r="X1065" s="30">
        <v>119.75</v>
      </c>
      <c r="Y1065" s="33">
        <f t="shared" si="92"/>
        <v>0.12</v>
      </c>
      <c r="AH1065" s="45">
        <f t="shared" si="96"/>
        <v>0</v>
      </c>
      <c r="AJ1065" s="44">
        <f t="shared" si="93"/>
        <v>1.091</v>
      </c>
      <c r="AP1065" s="46">
        <f t="shared" si="94"/>
        <v>0.12</v>
      </c>
    </row>
    <row r="1066" spans="19:42" ht="18">
      <c r="S1066" s="8">
        <f t="shared" si="95"/>
        <v>0</v>
      </c>
      <c r="W1066" s="3">
        <v>1092</v>
      </c>
      <c r="X1066" s="30">
        <v>120</v>
      </c>
      <c r="Y1066" s="33">
        <f t="shared" si="92"/>
        <v>0.12</v>
      </c>
      <c r="AH1066" s="45">
        <f t="shared" si="96"/>
        <v>0</v>
      </c>
      <c r="AJ1066" s="44">
        <f t="shared" si="93"/>
        <v>1.0920000000000001</v>
      </c>
      <c r="AP1066" s="46">
        <f t="shared" si="94"/>
        <v>0.12</v>
      </c>
    </row>
    <row r="1067" spans="19:42" ht="18">
      <c r="S1067" s="8">
        <f t="shared" si="95"/>
        <v>0</v>
      </c>
      <c r="W1067" s="3">
        <v>1093</v>
      </c>
      <c r="X1067" s="30">
        <v>120.25</v>
      </c>
      <c r="Y1067" s="33">
        <f t="shared" si="92"/>
        <v>0.12</v>
      </c>
      <c r="AH1067" s="45">
        <f t="shared" si="96"/>
        <v>0</v>
      </c>
      <c r="AJ1067" s="44">
        <f t="shared" si="93"/>
        <v>1.093</v>
      </c>
      <c r="AP1067" s="46">
        <f t="shared" si="94"/>
        <v>0.12</v>
      </c>
    </row>
    <row r="1068" spans="19:42" ht="18">
      <c r="S1068" s="8">
        <f t="shared" si="95"/>
        <v>0</v>
      </c>
      <c r="W1068" s="3">
        <v>1094</v>
      </c>
      <c r="X1068" s="30">
        <v>120.5</v>
      </c>
      <c r="Y1068" s="33">
        <f t="shared" si="92"/>
        <v>0.121</v>
      </c>
      <c r="AH1068" s="45">
        <f t="shared" si="96"/>
        <v>0</v>
      </c>
      <c r="AJ1068" s="44">
        <f t="shared" si="93"/>
        <v>1.0940000000000001</v>
      </c>
      <c r="AP1068" s="46">
        <f t="shared" si="94"/>
        <v>0.121</v>
      </c>
    </row>
    <row r="1069" spans="19:42" ht="18">
      <c r="S1069" s="8">
        <f t="shared" si="95"/>
        <v>0</v>
      </c>
      <c r="W1069" s="3">
        <v>1095</v>
      </c>
      <c r="X1069" s="30">
        <v>120.75</v>
      </c>
      <c r="Y1069" s="33">
        <f t="shared" si="92"/>
        <v>0.121</v>
      </c>
      <c r="AH1069" s="45">
        <f t="shared" si="96"/>
        <v>0</v>
      </c>
      <c r="AJ1069" s="44">
        <f t="shared" si="93"/>
        <v>1.095</v>
      </c>
      <c r="AP1069" s="46">
        <f t="shared" si="94"/>
        <v>0.121</v>
      </c>
    </row>
    <row r="1070" spans="19:42" ht="18">
      <c r="S1070" s="8">
        <f t="shared" si="95"/>
        <v>0</v>
      </c>
      <c r="W1070" s="3">
        <v>1096</v>
      </c>
      <c r="X1070" s="30">
        <v>121</v>
      </c>
      <c r="Y1070" s="33">
        <f t="shared" si="92"/>
        <v>0.121</v>
      </c>
      <c r="AH1070" s="45">
        <f t="shared" si="96"/>
        <v>0</v>
      </c>
      <c r="AJ1070" s="44">
        <f t="shared" si="93"/>
        <v>1.0960000000000001</v>
      </c>
      <c r="AP1070" s="46">
        <f t="shared" si="94"/>
        <v>0.121</v>
      </c>
    </row>
    <row r="1071" spans="19:42" ht="18">
      <c r="S1071" s="8">
        <f t="shared" si="95"/>
        <v>0</v>
      </c>
      <c r="W1071" s="3">
        <v>1097</v>
      </c>
      <c r="X1071" s="30">
        <v>121.25</v>
      </c>
      <c r="Y1071" s="33">
        <f t="shared" si="92"/>
        <v>0.121</v>
      </c>
      <c r="AH1071" s="45">
        <f t="shared" si="96"/>
        <v>0</v>
      </c>
      <c r="AJ1071" s="44">
        <f t="shared" si="93"/>
        <v>1.097</v>
      </c>
      <c r="AP1071" s="46">
        <f t="shared" si="94"/>
        <v>0.121</v>
      </c>
    </row>
    <row r="1072" spans="19:42" ht="18">
      <c r="S1072" s="8">
        <f t="shared" si="95"/>
        <v>0</v>
      </c>
      <c r="W1072" s="3">
        <v>1098</v>
      </c>
      <c r="X1072" s="30">
        <v>121.5</v>
      </c>
      <c r="Y1072" s="33">
        <f t="shared" si="92"/>
        <v>0.122</v>
      </c>
      <c r="AH1072" s="45">
        <f t="shared" si="96"/>
        <v>0</v>
      </c>
      <c r="AJ1072" s="44">
        <f t="shared" si="93"/>
        <v>1.0980000000000001</v>
      </c>
      <c r="AP1072" s="46">
        <f t="shared" si="94"/>
        <v>0.122</v>
      </c>
    </row>
    <row r="1073" spans="19:42" ht="18">
      <c r="S1073" s="8">
        <f t="shared" si="95"/>
        <v>0</v>
      </c>
      <c r="W1073" s="3">
        <v>1099</v>
      </c>
      <c r="X1073" s="30">
        <v>121.75</v>
      </c>
      <c r="Y1073" s="33">
        <f t="shared" si="92"/>
        <v>0.122</v>
      </c>
      <c r="AH1073" s="45">
        <f t="shared" si="96"/>
        <v>0</v>
      </c>
      <c r="AJ1073" s="44">
        <f t="shared" si="93"/>
        <v>1.099</v>
      </c>
      <c r="AP1073" s="46">
        <f t="shared" si="94"/>
        <v>0.122</v>
      </c>
    </row>
    <row r="1074" spans="19:42" ht="18">
      <c r="S1074" s="8">
        <f t="shared" si="95"/>
        <v>0</v>
      </c>
      <c r="W1074" s="3">
        <v>1100</v>
      </c>
      <c r="X1074" s="30">
        <v>122</v>
      </c>
      <c r="Y1074" s="33">
        <f t="shared" si="92"/>
        <v>0.122</v>
      </c>
      <c r="AH1074" s="45">
        <f t="shared" si="96"/>
        <v>0</v>
      </c>
      <c r="AJ1074" s="44">
        <f t="shared" si="93"/>
        <v>1.1000000000000001</v>
      </c>
      <c r="AP1074" s="46">
        <f t="shared" si="94"/>
        <v>0.122</v>
      </c>
    </row>
    <row r="1075" spans="19:42" ht="18">
      <c r="S1075" s="8">
        <f t="shared" si="95"/>
        <v>0</v>
      </c>
      <c r="W1075" s="3">
        <v>1101</v>
      </c>
      <c r="X1075" s="30">
        <v>122.25</v>
      </c>
      <c r="Y1075" s="33">
        <f t="shared" si="92"/>
        <v>0.122</v>
      </c>
      <c r="AH1075" s="45">
        <f t="shared" si="96"/>
        <v>0</v>
      </c>
      <c r="AJ1075" s="44">
        <f t="shared" si="93"/>
        <v>1.101</v>
      </c>
      <c r="AP1075" s="46">
        <f t="shared" si="94"/>
        <v>0.122</v>
      </c>
    </row>
    <row r="1076" spans="19:42" ht="18">
      <c r="S1076" s="8">
        <f t="shared" si="95"/>
        <v>0</v>
      </c>
      <c r="W1076" s="3">
        <v>1102</v>
      </c>
      <c r="X1076" s="30">
        <v>122.5</v>
      </c>
      <c r="Y1076" s="33">
        <f t="shared" si="92"/>
        <v>0.123</v>
      </c>
      <c r="AH1076" s="45">
        <f t="shared" si="96"/>
        <v>0</v>
      </c>
      <c r="AJ1076" s="44">
        <f t="shared" si="93"/>
        <v>1.1020000000000001</v>
      </c>
      <c r="AP1076" s="46">
        <f t="shared" si="94"/>
        <v>0.123</v>
      </c>
    </row>
    <row r="1077" spans="19:42" ht="18">
      <c r="S1077" s="8">
        <f t="shared" si="95"/>
        <v>0</v>
      </c>
      <c r="W1077" s="3">
        <v>1103</v>
      </c>
      <c r="X1077" s="30">
        <v>122.75</v>
      </c>
      <c r="Y1077" s="33">
        <f t="shared" si="92"/>
        <v>0.123</v>
      </c>
      <c r="AH1077" s="45">
        <f t="shared" si="96"/>
        <v>0</v>
      </c>
      <c r="AJ1077" s="44">
        <f t="shared" si="93"/>
        <v>1.103</v>
      </c>
      <c r="AP1077" s="46">
        <f t="shared" si="94"/>
        <v>0.123</v>
      </c>
    </row>
    <row r="1078" spans="19:42" ht="18">
      <c r="S1078" s="8">
        <f t="shared" si="95"/>
        <v>0</v>
      </c>
      <c r="W1078" s="3">
        <v>1104</v>
      </c>
      <c r="X1078" s="30">
        <v>123</v>
      </c>
      <c r="Y1078" s="33">
        <f t="shared" si="92"/>
        <v>0.123</v>
      </c>
      <c r="AH1078" s="45">
        <f t="shared" si="96"/>
        <v>0</v>
      </c>
      <c r="AJ1078" s="44">
        <f t="shared" si="93"/>
        <v>1.1040000000000001</v>
      </c>
      <c r="AP1078" s="46">
        <f t="shared" si="94"/>
        <v>0.123</v>
      </c>
    </row>
    <row r="1079" spans="19:42" ht="18">
      <c r="S1079" s="8">
        <f t="shared" si="95"/>
        <v>0</v>
      </c>
      <c r="W1079" s="3">
        <v>1105</v>
      </c>
      <c r="X1079" s="30">
        <v>123.25</v>
      </c>
      <c r="Y1079" s="33">
        <f t="shared" si="92"/>
        <v>0.123</v>
      </c>
      <c r="AH1079" s="45">
        <f t="shared" si="96"/>
        <v>0</v>
      </c>
      <c r="AJ1079" s="44">
        <f t="shared" si="93"/>
        <v>1.105</v>
      </c>
      <c r="AP1079" s="46">
        <f t="shared" si="94"/>
        <v>0.123</v>
      </c>
    </row>
    <row r="1080" spans="19:42" ht="18">
      <c r="S1080" s="8">
        <f t="shared" si="95"/>
        <v>0</v>
      </c>
      <c r="W1080" s="3">
        <v>1106</v>
      </c>
      <c r="X1080" s="30">
        <v>123.5</v>
      </c>
      <c r="Y1080" s="33">
        <f t="shared" si="92"/>
        <v>0.124</v>
      </c>
      <c r="AH1080" s="45">
        <f t="shared" si="96"/>
        <v>0</v>
      </c>
      <c r="AJ1080" s="44">
        <f t="shared" si="93"/>
        <v>1.1060000000000001</v>
      </c>
      <c r="AP1080" s="46">
        <f t="shared" si="94"/>
        <v>0.124</v>
      </c>
    </row>
    <row r="1081" spans="19:42" ht="18">
      <c r="S1081" s="8">
        <f t="shared" si="95"/>
        <v>0</v>
      </c>
      <c r="W1081" s="3">
        <v>1107</v>
      </c>
      <c r="X1081" s="30">
        <v>123.75</v>
      </c>
      <c r="Y1081" s="33">
        <f t="shared" si="92"/>
        <v>0.124</v>
      </c>
      <c r="AH1081" s="45">
        <f t="shared" si="96"/>
        <v>0</v>
      </c>
      <c r="AJ1081" s="44">
        <f t="shared" si="93"/>
        <v>1.107</v>
      </c>
      <c r="AP1081" s="46">
        <f t="shared" si="94"/>
        <v>0.124</v>
      </c>
    </row>
    <row r="1082" spans="19:42" ht="18">
      <c r="S1082" s="8">
        <f t="shared" si="95"/>
        <v>0</v>
      </c>
      <c r="W1082" s="3">
        <v>1108</v>
      </c>
      <c r="X1082" s="30">
        <v>124</v>
      </c>
      <c r="Y1082" s="33">
        <f t="shared" si="92"/>
        <v>0.124</v>
      </c>
      <c r="AH1082" s="45">
        <f t="shared" si="96"/>
        <v>0</v>
      </c>
      <c r="AJ1082" s="44">
        <f t="shared" si="93"/>
        <v>1.1080000000000001</v>
      </c>
      <c r="AP1082" s="46">
        <f t="shared" si="94"/>
        <v>0.124</v>
      </c>
    </row>
    <row r="1083" spans="19:42" ht="18">
      <c r="S1083" s="8">
        <f t="shared" si="95"/>
        <v>0</v>
      </c>
      <c r="W1083" s="3">
        <v>1109</v>
      </c>
      <c r="X1083" s="30">
        <v>124.25</v>
      </c>
      <c r="Y1083" s="33">
        <f t="shared" si="92"/>
        <v>0.124</v>
      </c>
      <c r="AH1083" s="45">
        <f t="shared" si="96"/>
        <v>0</v>
      </c>
      <c r="AJ1083" s="44">
        <f t="shared" si="93"/>
        <v>1.109</v>
      </c>
      <c r="AP1083" s="46">
        <f t="shared" si="94"/>
        <v>0.124</v>
      </c>
    </row>
    <row r="1084" spans="19:42" ht="18">
      <c r="S1084" s="8">
        <f t="shared" si="95"/>
        <v>0</v>
      </c>
      <c r="W1084" s="3">
        <v>1110</v>
      </c>
      <c r="X1084" s="30">
        <v>124.5</v>
      </c>
      <c r="Y1084" s="33">
        <f t="shared" si="92"/>
        <v>0.125</v>
      </c>
      <c r="AH1084" s="45">
        <f t="shared" si="96"/>
        <v>0</v>
      </c>
      <c r="AJ1084" s="44">
        <f t="shared" si="93"/>
        <v>1.1100000000000001</v>
      </c>
      <c r="AP1084" s="46">
        <f t="shared" si="94"/>
        <v>0.125</v>
      </c>
    </row>
    <row r="1085" spans="19:42" ht="18">
      <c r="S1085" s="8">
        <f t="shared" si="95"/>
        <v>0</v>
      </c>
      <c r="W1085" s="3">
        <v>1111</v>
      </c>
      <c r="X1085" s="30">
        <v>124.75</v>
      </c>
      <c r="Y1085" s="33">
        <f t="shared" si="92"/>
        <v>0.125</v>
      </c>
      <c r="AH1085" s="45">
        <f t="shared" si="96"/>
        <v>0</v>
      </c>
      <c r="AJ1085" s="44">
        <f t="shared" si="93"/>
        <v>1.111</v>
      </c>
      <c r="AP1085" s="46">
        <f t="shared" si="94"/>
        <v>0.125</v>
      </c>
    </row>
    <row r="1086" spans="19:42" ht="18">
      <c r="S1086" s="8">
        <f t="shared" si="95"/>
        <v>0</v>
      </c>
      <c r="W1086" s="3">
        <v>1112</v>
      </c>
      <c r="X1086" s="30">
        <v>125</v>
      </c>
      <c r="Y1086" s="33">
        <f t="shared" si="92"/>
        <v>0.125</v>
      </c>
      <c r="AH1086" s="45">
        <f t="shared" si="96"/>
        <v>0</v>
      </c>
      <c r="AJ1086" s="44">
        <f t="shared" si="93"/>
        <v>1.1120000000000001</v>
      </c>
      <c r="AP1086" s="46">
        <f t="shared" si="94"/>
        <v>0.125</v>
      </c>
    </row>
    <row r="1087" spans="19:42" ht="18">
      <c r="S1087" s="8">
        <f t="shared" si="95"/>
        <v>0</v>
      </c>
      <c r="W1087" s="3">
        <v>1113</v>
      </c>
      <c r="X1087" s="30">
        <v>125.25</v>
      </c>
      <c r="Y1087" s="33">
        <f t="shared" si="92"/>
        <v>0.125</v>
      </c>
      <c r="AH1087" s="45">
        <f t="shared" si="96"/>
        <v>0</v>
      </c>
      <c r="AJ1087" s="44">
        <f t="shared" si="93"/>
        <v>1.113</v>
      </c>
      <c r="AP1087" s="46">
        <f t="shared" si="94"/>
        <v>0.125</v>
      </c>
    </row>
    <row r="1088" spans="19:42" ht="18">
      <c r="S1088" s="8">
        <f t="shared" si="95"/>
        <v>0</v>
      </c>
      <c r="W1088" s="3">
        <v>1114</v>
      </c>
      <c r="X1088" s="30">
        <v>125.5</v>
      </c>
      <c r="Y1088" s="33">
        <f t="shared" si="92"/>
        <v>0.126</v>
      </c>
      <c r="AH1088" s="45">
        <f t="shared" si="96"/>
        <v>0</v>
      </c>
      <c r="AJ1088" s="44">
        <f t="shared" si="93"/>
        <v>1.1140000000000001</v>
      </c>
      <c r="AP1088" s="46">
        <f t="shared" si="94"/>
        <v>0.126</v>
      </c>
    </row>
    <row r="1089" spans="19:42" ht="18">
      <c r="S1089" s="8">
        <f t="shared" si="95"/>
        <v>0</v>
      </c>
      <c r="W1089" s="3">
        <v>1115</v>
      </c>
      <c r="X1089" s="30">
        <v>125.75</v>
      </c>
      <c r="Y1089" s="33">
        <f t="shared" si="92"/>
        <v>0.126</v>
      </c>
      <c r="AH1089" s="45">
        <f t="shared" si="96"/>
        <v>0</v>
      </c>
      <c r="AJ1089" s="44">
        <f t="shared" si="93"/>
        <v>1.115</v>
      </c>
      <c r="AP1089" s="46">
        <f t="shared" si="94"/>
        <v>0.126</v>
      </c>
    </row>
    <row r="1090" spans="19:42" ht="18">
      <c r="S1090" s="8">
        <f t="shared" si="95"/>
        <v>0</v>
      </c>
      <c r="W1090" s="3">
        <v>1116</v>
      </c>
      <c r="X1090" s="30">
        <v>126</v>
      </c>
      <c r="Y1090" s="33">
        <f t="shared" si="92"/>
        <v>0.126</v>
      </c>
      <c r="AH1090" s="45">
        <f t="shared" si="96"/>
        <v>0</v>
      </c>
      <c r="AJ1090" s="44">
        <f t="shared" si="93"/>
        <v>1.1160000000000001</v>
      </c>
      <c r="AP1090" s="46">
        <f t="shared" si="94"/>
        <v>0.126</v>
      </c>
    </row>
    <row r="1091" spans="19:42" ht="18">
      <c r="S1091" s="8">
        <f t="shared" si="95"/>
        <v>0</v>
      </c>
      <c r="W1091" s="3">
        <v>1117</v>
      </c>
      <c r="X1091" s="30">
        <v>126.25</v>
      </c>
      <c r="Y1091" s="33">
        <f t="shared" si="92"/>
        <v>0.126</v>
      </c>
      <c r="AH1091" s="45">
        <f t="shared" si="96"/>
        <v>0</v>
      </c>
      <c r="AJ1091" s="44">
        <f t="shared" si="93"/>
        <v>1.117</v>
      </c>
      <c r="AP1091" s="46">
        <f t="shared" si="94"/>
        <v>0.126</v>
      </c>
    </row>
    <row r="1092" spans="19:42" ht="18">
      <c r="S1092" s="8">
        <f t="shared" si="95"/>
        <v>0</v>
      </c>
      <c r="W1092" s="3">
        <v>1118</v>
      </c>
      <c r="X1092" s="30">
        <v>126.5</v>
      </c>
      <c r="Y1092" s="33">
        <f t="shared" si="92"/>
        <v>0.127</v>
      </c>
      <c r="AH1092" s="45">
        <f t="shared" si="96"/>
        <v>0</v>
      </c>
      <c r="AJ1092" s="44">
        <f t="shared" si="93"/>
        <v>1.1180000000000001</v>
      </c>
      <c r="AP1092" s="46">
        <f t="shared" si="94"/>
        <v>0.127</v>
      </c>
    </row>
    <row r="1093" spans="19:42" ht="18">
      <c r="S1093" s="8">
        <f t="shared" si="95"/>
        <v>0</v>
      </c>
      <c r="W1093" s="3">
        <v>1119</v>
      </c>
      <c r="X1093" s="30">
        <v>126.75</v>
      </c>
      <c r="Y1093" s="33">
        <f t="shared" ref="Y1093:Y1156" si="97">ROUND(X1093/1000,3)</f>
        <v>0.127</v>
      </c>
      <c r="AH1093" s="45">
        <f t="shared" si="96"/>
        <v>0</v>
      </c>
      <c r="AJ1093" s="44">
        <f t="shared" ref="AJ1093:AJ1156" si="98">ROUND(W1093/1000,3)</f>
        <v>1.119</v>
      </c>
      <c r="AP1093" s="46">
        <f t="shared" ref="AP1093:AP1156" si="99">ROUND(X1093/1000,3)</f>
        <v>0.127</v>
      </c>
    </row>
    <row r="1094" spans="19:42" ht="18">
      <c r="S1094" s="8">
        <f t="shared" ref="S1094:S1157" si="100">CEILING(R1094/50,0.5)</f>
        <v>0</v>
      </c>
      <c r="W1094" s="3">
        <v>1120</v>
      </c>
      <c r="X1094" s="30">
        <v>127</v>
      </c>
      <c r="Y1094" s="33">
        <f t="shared" si="97"/>
        <v>0.127</v>
      </c>
      <c r="AH1094" s="45">
        <f t="shared" ref="AH1094:AH1157" si="101">AE1094-AE1093</f>
        <v>0</v>
      </c>
      <c r="AJ1094" s="44">
        <f t="shared" si="98"/>
        <v>1.1200000000000001</v>
      </c>
      <c r="AP1094" s="46">
        <f t="shared" si="99"/>
        <v>0.127</v>
      </c>
    </row>
    <row r="1095" spans="19:42" ht="18">
      <c r="S1095" s="8">
        <f t="shared" si="100"/>
        <v>0</v>
      </c>
      <c r="W1095" s="3">
        <v>1121</v>
      </c>
      <c r="X1095" s="30">
        <v>127.25</v>
      </c>
      <c r="Y1095" s="33">
        <f t="shared" si="97"/>
        <v>0.127</v>
      </c>
      <c r="AH1095" s="45">
        <f t="shared" si="101"/>
        <v>0</v>
      </c>
      <c r="AJ1095" s="44">
        <f t="shared" si="98"/>
        <v>1.121</v>
      </c>
      <c r="AP1095" s="46">
        <f t="shared" si="99"/>
        <v>0.127</v>
      </c>
    </row>
    <row r="1096" spans="19:42" ht="18">
      <c r="S1096" s="8">
        <f t="shared" si="100"/>
        <v>0</v>
      </c>
      <c r="W1096" s="3">
        <v>1122</v>
      </c>
      <c r="X1096" s="30">
        <v>127.5</v>
      </c>
      <c r="Y1096" s="33">
        <f t="shared" si="97"/>
        <v>0.128</v>
      </c>
      <c r="AH1096" s="45">
        <f t="shared" si="101"/>
        <v>0</v>
      </c>
      <c r="AJ1096" s="44">
        <f t="shared" si="98"/>
        <v>1.1220000000000001</v>
      </c>
      <c r="AP1096" s="46">
        <f t="shared" si="99"/>
        <v>0.128</v>
      </c>
    </row>
    <row r="1097" spans="19:42" ht="18">
      <c r="S1097" s="8">
        <f t="shared" si="100"/>
        <v>0</v>
      </c>
      <c r="W1097" s="3">
        <v>1123</v>
      </c>
      <c r="X1097" s="30">
        <v>127.75</v>
      </c>
      <c r="Y1097" s="33">
        <f t="shared" si="97"/>
        <v>0.128</v>
      </c>
      <c r="AH1097" s="45">
        <f t="shared" si="101"/>
        <v>0</v>
      </c>
      <c r="AJ1097" s="44">
        <f t="shared" si="98"/>
        <v>1.123</v>
      </c>
      <c r="AP1097" s="46">
        <f t="shared" si="99"/>
        <v>0.128</v>
      </c>
    </row>
    <row r="1098" spans="19:42" ht="18">
      <c r="S1098" s="8">
        <f t="shared" si="100"/>
        <v>0</v>
      </c>
      <c r="W1098" s="3">
        <v>1124</v>
      </c>
      <c r="X1098" s="30">
        <v>128</v>
      </c>
      <c r="Y1098" s="33">
        <f t="shared" si="97"/>
        <v>0.128</v>
      </c>
      <c r="AH1098" s="45">
        <f t="shared" si="101"/>
        <v>0</v>
      </c>
      <c r="AJ1098" s="44">
        <f t="shared" si="98"/>
        <v>1.1240000000000001</v>
      </c>
      <c r="AP1098" s="46">
        <f t="shared" si="99"/>
        <v>0.128</v>
      </c>
    </row>
    <row r="1099" spans="19:42" ht="18">
      <c r="S1099" s="8">
        <f t="shared" si="100"/>
        <v>0</v>
      </c>
      <c r="W1099" s="3">
        <v>1125</v>
      </c>
      <c r="X1099" s="30">
        <v>128.25</v>
      </c>
      <c r="Y1099" s="33">
        <f t="shared" si="97"/>
        <v>0.128</v>
      </c>
      <c r="AH1099" s="45">
        <f t="shared" si="101"/>
        <v>0</v>
      </c>
      <c r="AJ1099" s="44">
        <f t="shared" si="98"/>
        <v>1.125</v>
      </c>
      <c r="AP1099" s="46">
        <f t="shared" si="99"/>
        <v>0.128</v>
      </c>
    </row>
    <row r="1100" spans="19:42" ht="18">
      <c r="S1100" s="8">
        <f t="shared" si="100"/>
        <v>0</v>
      </c>
      <c r="W1100" s="3">
        <v>1126</v>
      </c>
      <c r="X1100" s="30">
        <v>128.5</v>
      </c>
      <c r="Y1100" s="33">
        <f t="shared" si="97"/>
        <v>0.129</v>
      </c>
      <c r="AH1100" s="45">
        <f t="shared" si="101"/>
        <v>0</v>
      </c>
      <c r="AJ1100" s="44">
        <f t="shared" si="98"/>
        <v>1.1259999999999999</v>
      </c>
      <c r="AP1100" s="46">
        <f t="shared" si="99"/>
        <v>0.129</v>
      </c>
    </row>
    <row r="1101" spans="19:42" ht="18">
      <c r="S1101" s="8">
        <f t="shared" si="100"/>
        <v>0</v>
      </c>
      <c r="W1101" s="3">
        <v>1127</v>
      </c>
      <c r="X1101" s="30">
        <v>128.75</v>
      </c>
      <c r="Y1101" s="33">
        <f t="shared" si="97"/>
        <v>0.129</v>
      </c>
      <c r="AH1101" s="45">
        <f t="shared" si="101"/>
        <v>0</v>
      </c>
      <c r="AJ1101" s="44">
        <f t="shared" si="98"/>
        <v>1.127</v>
      </c>
      <c r="AP1101" s="46">
        <f t="shared" si="99"/>
        <v>0.129</v>
      </c>
    </row>
    <row r="1102" spans="19:42" ht="18">
      <c r="S1102" s="8">
        <f t="shared" si="100"/>
        <v>0</v>
      </c>
      <c r="W1102" s="3">
        <v>1128</v>
      </c>
      <c r="X1102" s="30">
        <v>129</v>
      </c>
      <c r="Y1102" s="33">
        <f t="shared" si="97"/>
        <v>0.129</v>
      </c>
      <c r="AH1102" s="45">
        <f t="shared" si="101"/>
        <v>0</v>
      </c>
      <c r="AJ1102" s="44">
        <f t="shared" si="98"/>
        <v>1.1279999999999999</v>
      </c>
      <c r="AP1102" s="46">
        <f t="shared" si="99"/>
        <v>0.129</v>
      </c>
    </row>
    <row r="1103" spans="19:42" ht="18">
      <c r="S1103" s="8">
        <f t="shared" si="100"/>
        <v>0</v>
      </c>
      <c r="W1103" s="3">
        <v>1129</v>
      </c>
      <c r="X1103" s="30">
        <v>129.25</v>
      </c>
      <c r="Y1103" s="33">
        <f t="shared" si="97"/>
        <v>0.129</v>
      </c>
      <c r="AH1103" s="45">
        <f t="shared" si="101"/>
        <v>0</v>
      </c>
      <c r="AJ1103" s="44">
        <f t="shared" si="98"/>
        <v>1.129</v>
      </c>
      <c r="AP1103" s="46">
        <f t="shared" si="99"/>
        <v>0.129</v>
      </c>
    </row>
    <row r="1104" spans="19:42" ht="18">
      <c r="S1104" s="8">
        <f t="shared" si="100"/>
        <v>0</v>
      </c>
      <c r="W1104" s="3">
        <v>1130</v>
      </c>
      <c r="X1104" s="30">
        <v>129.5</v>
      </c>
      <c r="Y1104" s="33">
        <f t="shared" si="97"/>
        <v>0.13</v>
      </c>
      <c r="AH1104" s="45">
        <f t="shared" si="101"/>
        <v>0</v>
      </c>
      <c r="AJ1104" s="44">
        <f t="shared" si="98"/>
        <v>1.1299999999999999</v>
      </c>
      <c r="AP1104" s="46">
        <f t="shared" si="99"/>
        <v>0.13</v>
      </c>
    </row>
    <row r="1105" spans="19:42" ht="18">
      <c r="S1105" s="8">
        <f t="shared" si="100"/>
        <v>0</v>
      </c>
      <c r="W1105" s="3">
        <v>1131</v>
      </c>
      <c r="X1105" s="30">
        <v>129.75</v>
      </c>
      <c r="Y1105" s="33">
        <f t="shared" si="97"/>
        <v>0.13</v>
      </c>
      <c r="AH1105" s="45">
        <f t="shared" si="101"/>
        <v>0</v>
      </c>
      <c r="AJ1105" s="44">
        <f t="shared" si="98"/>
        <v>1.131</v>
      </c>
      <c r="AP1105" s="46">
        <f t="shared" si="99"/>
        <v>0.13</v>
      </c>
    </row>
    <row r="1106" spans="19:42" ht="18">
      <c r="S1106" s="8">
        <f t="shared" si="100"/>
        <v>0</v>
      </c>
      <c r="W1106" s="3">
        <v>1132</v>
      </c>
      <c r="X1106" s="30">
        <v>130</v>
      </c>
      <c r="Y1106" s="33">
        <f t="shared" si="97"/>
        <v>0.13</v>
      </c>
      <c r="AH1106" s="45">
        <f t="shared" si="101"/>
        <v>0</v>
      </c>
      <c r="AJ1106" s="44">
        <f t="shared" si="98"/>
        <v>1.1319999999999999</v>
      </c>
      <c r="AP1106" s="46">
        <f t="shared" si="99"/>
        <v>0.13</v>
      </c>
    </row>
    <row r="1107" spans="19:42" ht="18">
      <c r="S1107" s="8">
        <f t="shared" si="100"/>
        <v>0</v>
      </c>
      <c r="W1107" s="3">
        <v>1133</v>
      </c>
      <c r="X1107" s="30">
        <v>130.25</v>
      </c>
      <c r="Y1107" s="33">
        <f t="shared" si="97"/>
        <v>0.13</v>
      </c>
      <c r="AH1107" s="45">
        <f t="shared" si="101"/>
        <v>0</v>
      </c>
      <c r="AJ1107" s="44">
        <f t="shared" si="98"/>
        <v>1.133</v>
      </c>
      <c r="AP1107" s="46">
        <f t="shared" si="99"/>
        <v>0.13</v>
      </c>
    </row>
    <row r="1108" spans="19:42" ht="18">
      <c r="S1108" s="8">
        <f t="shared" si="100"/>
        <v>0</v>
      </c>
      <c r="W1108" s="3">
        <v>1134</v>
      </c>
      <c r="X1108" s="30">
        <v>130.5</v>
      </c>
      <c r="Y1108" s="33">
        <f t="shared" si="97"/>
        <v>0.13100000000000001</v>
      </c>
      <c r="AH1108" s="45">
        <f t="shared" si="101"/>
        <v>0</v>
      </c>
      <c r="AJ1108" s="44">
        <f t="shared" si="98"/>
        <v>1.1339999999999999</v>
      </c>
      <c r="AP1108" s="46">
        <f t="shared" si="99"/>
        <v>0.13100000000000001</v>
      </c>
    </row>
    <row r="1109" spans="19:42" ht="18">
      <c r="S1109" s="8">
        <f t="shared" si="100"/>
        <v>0</v>
      </c>
      <c r="W1109" s="3">
        <v>1135</v>
      </c>
      <c r="X1109" s="30">
        <v>130.75</v>
      </c>
      <c r="Y1109" s="33">
        <f t="shared" si="97"/>
        <v>0.13100000000000001</v>
      </c>
      <c r="AH1109" s="45">
        <f t="shared" si="101"/>
        <v>0</v>
      </c>
      <c r="AJ1109" s="44">
        <f t="shared" si="98"/>
        <v>1.135</v>
      </c>
      <c r="AP1109" s="46">
        <f t="shared" si="99"/>
        <v>0.13100000000000001</v>
      </c>
    </row>
    <row r="1110" spans="19:42" ht="18">
      <c r="S1110" s="8">
        <f t="shared" si="100"/>
        <v>0</v>
      </c>
      <c r="W1110" s="3">
        <v>1136</v>
      </c>
      <c r="X1110" s="30">
        <v>131</v>
      </c>
      <c r="Y1110" s="33">
        <f t="shared" si="97"/>
        <v>0.13100000000000001</v>
      </c>
      <c r="AH1110" s="45">
        <f t="shared" si="101"/>
        <v>0</v>
      </c>
      <c r="AJ1110" s="44">
        <f t="shared" si="98"/>
        <v>1.1359999999999999</v>
      </c>
      <c r="AP1110" s="46">
        <f t="shared" si="99"/>
        <v>0.13100000000000001</v>
      </c>
    </row>
    <row r="1111" spans="19:42" ht="18">
      <c r="S1111" s="8">
        <f t="shared" si="100"/>
        <v>0</v>
      </c>
      <c r="W1111" s="3">
        <v>1137</v>
      </c>
      <c r="X1111" s="30">
        <v>131.25</v>
      </c>
      <c r="Y1111" s="33">
        <f t="shared" si="97"/>
        <v>0.13100000000000001</v>
      </c>
      <c r="AH1111" s="45">
        <f t="shared" si="101"/>
        <v>0</v>
      </c>
      <c r="AJ1111" s="44">
        <f t="shared" si="98"/>
        <v>1.137</v>
      </c>
      <c r="AP1111" s="46">
        <f t="shared" si="99"/>
        <v>0.13100000000000001</v>
      </c>
    </row>
    <row r="1112" spans="19:42" ht="18">
      <c r="S1112" s="8">
        <f t="shared" si="100"/>
        <v>0</v>
      </c>
      <c r="W1112" s="3">
        <v>1138</v>
      </c>
      <c r="X1112" s="30">
        <v>131.5</v>
      </c>
      <c r="Y1112" s="33">
        <f t="shared" si="97"/>
        <v>0.13200000000000001</v>
      </c>
      <c r="AH1112" s="45">
        <f t="shared" si="101"/>
        <v>0</v>
      </c>
      <c r="AJ1112" s="44">
        <f t="shared" si="98"/>
        <v>1.1379999999999999</v>
      </c>
      <c r="AP1112" s="46">
        <f t="shared" si="99"/>
        <v>0.13200000000000001</v>
      </c>
    </row>
    <row r="1113" spans="19:42" ht="18">
      <c r="S1113" s="8">
        <f t="shared" si="100"/>
        <v>0</v>
      </c>
      <c r="W1113" s="3">
        <v>1139</v>
      </c>
      <c r="X1113" s="30">
        <v>131.75</v>
      </c>
      <c r="Y1113" s="33">
        <f t="shared" si="97"/>
        <v>0.13200000000000001</v>
      </c>
      <c r="AH1113" s="45">
        <f t="shared" si="101"/>
        <v>0</v>
      </c>
      <c r="AJ1113" s="44">
        <f t="shared" si="98"/>
        <v>1.139</v>
      </c>
      <c r="AP1113" s="46">
        <f t="shared" si="99"/>
        <v>0.13200000000000001</v>
      </c>
    </row>
    <row r="1114" spans="19:42" ht="18">
      <c r="S1114" s="8">
        <f t="shared" si="100"/>
        <v>0</v>
      </c>
      <c r="W1114" s="3">
        <v>1140</v>
      </c>
      <c r="X1114" s="30">
        <v>132</v>
      </c>
      <c r="Y1114" s="33">
        <f t="shared" si="97"/>
        <v>0.13200000000000001</v>
      </c>
      <c r="AH1114" s="45">
        <f t="shared" si="101"/>
        <v>0</v>
      </c>
      <c r="AJ1114" s="44">
        <f t="shared" si="98"/>
        <v>1.1399999999999999</v>
      </c>
      <c r="AP1114" s="46">
        <f t="shared" si="99"/>
        <v>0.13200000000000001</v>
      </c>
    </row>
    <row r="1115" spans="19:42" ht="18">
      <c r="S1115" s="8">
        <f t="shared" si="100"/>
        <v>0</v>
      </c>
      <c r="W1115" s="3">
        <v>1141</v>
      </c>
      <c r="X1115" s="30">
        <v>132.25</v>
      </c>
      <c r="Y1115" s="33">
        <f t="shared" si="97"/>
        <v>0.13200000000000001</v>
      </c>
      <c r="AH1115" s="45">
        <f t="shared" si="101"/>
        <v>0</v>
      </c>
      <c r="AJ1115" s="44">
        <f t="shared" si="98"/>
        <v>1.141</v>
      </c>
      <c r="AP1115" s="46">
        <f t="shared" si="99"/>
        <v>0.13200000000000001</v>
      </c>
    </row>
    <row r="1116" spans="19:42" ht="18">
      <c r="S1116" s="8">
        <f t="shared" si="100"/>
        <v>0</v>
      </c>
      <c r="W1116" s="3">
        <v>1142</v>
      </c>
      <c r="X1116" s="30">
        <v>132.5</v>
      </c>
      <c r="Y1116" s="33">
        <f t="shared" si="97"/>
        <v>0.13300000000000001</v>
      </c>
      <c r="AH1116" s="45">
        <f t="shared" si="101"/>
        <v>0</v>
      </c>
      <c r="AJ1116" s="44">
        <f t="shared" si="98"/>
        <v>1.1419999999999999</v>
      </c>
      <c r="AP1116" s="46">
        <f t="shared" si="99"/>
        <v>0.13300000000000001</v>
      </c>
    </row>
    <row r="1117" spans="19:42" ht="18">
      <c r="S1117" s="8">
        <f t="shared" si="100"/>
        <v>0</v>
      </c>
      <c r="W1117" s="3">
        <v>1143</v>
      </c>
      <c r="X1117" s="30">
        <v>132.75</v>
      </c>
      <c r="Y1117" s="33">
        <f t="shared" si="97"/>
        <v>0.13300000000000001</v>
      </c>
      <c r="AH1117" s="45">
        <f t="shared" si="101"/>
        <v>0</v>
      </c>
      <c r="AJ1117" s="44">
        <f t="shared" si="98"/>
        <v>1.143</v>
      </c>
      <c r="AP1117" s="46">
        <f t="shared" si="99"/>
        <v>0.13300000000000001</v>
      </c>
    </row>
    <row r="1118" spans="19:42" ht="18">
      <c r="S1118" s="8">
        <f t="shared" si="100"/>
        <v>0</v>
      </c>
      <c r="W1118" s="3">
        <v>1144</v>
      </c>
      <c r="X1118" s="30">
        <v>133</v>
      </c>
      <c r="Y1118" s="33">
        <f t="shared" si="97"/>
        <v>0.13300000000000001</v>
      </c>
      <c r="AH1118" s="45">
        <f t="shared" si="101"/>
        <v>0</v>
      </c>
      <c r="AJ1118" s="44">
        <f t="shared" si="98"/>
        <v>1.1439999999999999</v>
      </c>
      <c r="AP1118" s="46">
        <f t="shared" si="99"/>
        <v>0.13300000000000001</v>
      </c>
    </row>
    <row r="1119" spans="19:42" ht="18">
      <c r="S1119" s="8">
        <f t="shared" si="100"/>
        <v>0</v>
      </c>
      <c r="W1119" s="3">
        <v>1145</v>
      </c>
      <c r="X1119" s="30">
        <v>133.25</v>
      </c>
      <c r="Y1119" s="33">
        <f t="shared" si="97"/>
        <v>0.13300000000000001</v>
      </c>
      <c r="AH1119" s="45">
        <f t="shared" si="101"/>
        <v>0</v>
      </c>
      <c r="AJ1119" s="44">
        <f t="shared" si="98"/>
        <v>1.145</v>
      </c>
      <c r="AP1119" s="46">
        <f t="shared" si="99"/>
        <v>0.13300000000000001</v>
      </c>
    </row>
    <row r="1120" spans="19:42" ht="18">
      <c r="S1120" s="8">
        <f t="shared" si="100"/>
        <v>0</v>
      </c>
      <c r="W1120" s="3">
        <v>1146</v>
      </c>
      <c r="X1120" s="30">
        <v>133.5</v>
      </c>
      <c r="Y1120" s="33">
        <f t="shared" si="97"/>
        <v>0.13400000000000001</v>
      </c>
      <c r="AH1120" s="45">
        <f t="shared" si="101"/>
        <v>0</v>
      </c>
      <c r="AJ1120" s="44">
        <f t="shared" si="98"/>
        <v>1.1459999999999999</v>
      </c>
      <c r="AP1120" s="46">
        <f t="shared" si="99"/>
        <v>0.13400000000000001</v>
      </c>
    </row>
    <row r="1121" spans="19:42" ht="18">
      <c r="S1121" s="8">
        <f t="shared" si="100"/>
        <v>0</v>
      </c>
      <c r="W1121" s="3">
        <v>1147</v>
      </c>
      <c r="X1121" s="30">
        <v>133.75</v>
      </c>
      <c r="Y1121" s="33">
        <f t="shared" si="97"/>
        <v>0.13400000000000001</v>
      </c>
      <c r="AH1121" s="45">
        <f t="shared" si="101"/>
        <v>0</v>
      </c>
      <c r="AJ1121" s="44">
        <f t="shared" si="98"/>
        <v>1.147</v>
      </c>
      <c r="AP1121" s="46">
        <f t="shared" si="99"/>
        <v>0.13400000000000001</v>
      </c>
    </row>
    <row r="1122" spans="19:42" ht="18">
      <c r="S1122" s="8">
        <f t="shared" si="100"/>
        <v>0</v>
      </c>
      <c r="W1122" s="3">
        <v>1148</v>
      </c>
      <c r="X1122" s="30">
        <v>134</v>
      </c>
      <c r="Y1122" s="33">
        <f t="shared" si="97"/>
        <v>0.13400000000000001</v>
      </c>
      <c r="AH1122" s="45">
        <f t="shared" si="101"/>
        <v>0</v>
      </c>
      <c r="AJ1122" s="44">
        <f t="shared" si="98"/>
        <v>1.1479999999999999</v>
      </c>
      <c r="AP1122" s="46">
        <f t="shared" si="99"/>
        <v>0.13400000000000001</v>
      </c>
    </row>
    <row r="1123" spans="19:42" ht="18">
      <c r="S1123" s="8">
        <f t="shared" si="100"/>
        <v>0</v>
      </c>
      <c r="W1123" s="3">
        <v>1149</v>
      </c>
      <c r="X1123" s="30">
        <v>134.25</v>
      </c>
      <c r="Y1123" s="33">
        <f t="shared" si="97"/>
        <v>0.13400000000000001</v>
      </c>
      <c r="AH1123" s="45">
        <f t="shared" si="101"/>
        <v>0</v>
      </c>
      <c r="AJ1123" s="44">
        <f t="shared" si="98"/>
        <v>1.149</v>
      </c>
      <c r="AP1123" s="46">
        <f t="shared" si="99"/>
        <v>0.13400000000000001</v>
      </c>
    </row>
    <row r="1124" spans="19:42" ht="18">
      <c r="S1124" s="8">
        <f t="shared" si="100"/>
        <v>0</v>
      </c>
      <c r="W1124" s="3">
        <v>1150</v>
      </c>
      <c r="X1124" s="30">
        <v>134.5</v>
      </c>
      <c r="Y1124" s="33">
        <f t="shared" si="97"/>
        <v>0.13500000000000001</v>
      </c>
      <c r="AH1124" s="45">
        <f t="shared" si="101"/>
        <v>0</v>
      </c>
      <c r="AJ1124" s="44">
        <f t="shared" si="98"/>
        <v>1.1499999999999999</v>
      </c>
      <c r="AP1124" s="46">
        <f t="shared" si="99"/>
        <v>0.13500000000000001</v>
      </c>
    </row>
    <row r="1125" spans="19:42" ht="18">
      <c r="S1125" s="8">
        <f t="shared" si="100"/>
        <v>0</v>
      </c>
      <c r="W1125" s="3">
        <v>1151</v>
      </c>
      <c r="X1125" s="30">
        <v>134.75</v>
      </c>
      <c r="Y1125" s="33">
        <f t="shared" si="97"/>
        <v>0.13500000000000001</v>
      </c>
      <c r="AH1125" s="45">
        <f t="shared" si="101"/>
        <v>0</v>
      </c>
      <c r="AJ1125" s="44">
        <f t="shared" si="98"/>
        <v>1.151</v>
      </c>
      <c r="AP1125" s="46">
        <f t="shared" si="99"/>
        <v>0.13500000000000001</v>
      </c>
    </row>
    <row r="1126" spans="19:42" ht="18">
      <c r="S1126" s="8">
        <f t="shared" si="100"/>
        <v>0</v>
      </c>
      <c r="W1126" s="3">
        <v>1152</v>
      </c>
      <c r="X1126" s="30">
        <v>135</v>
      </c>
      <c r="Y1126" s="33">
        <f t="shared" si="97"/>
        <v>0.13500000000000001</v>
      </c>
      <c r="AH1126" s="45">
        <f t="shared" si="101"/>
        <v>0</v>
      </c>
      <c r="AJ1126" s="44">
        <f t="shared" si="98"/>
        <v>1.1519999999999999</v>
      </c>
      <c r="AP1126" s="46">
        <f t="shared" si="99"/>
        <v>0.13500000000000001</v>
      </c>
    </row>
    <row r="1127" spans="19:42" ht="18">
      <c r="S1127" s="8">
        <f t="shared" si="100"/>
        <v>0</v>
      </c>
      <c r="W1127" s="3">
        <v>1153</v>
      </c>
      <c r="X1127" s="30">
        <v>135.25</v>
      </c>
      <c r="Y1127" s="33">
        <f t="shared" si="97"/>
        <v>0.13500000000000001</v>
      </c>
      <c r="AH1127" s="45">
        <f t="shared" si="101"/>
        <v>0</v>
      </c>
      <c r="AJ1127" s="44">
        <f t="shared" si="98"/>
        <v>1.153</v>
      </c>
      <c r="AP1127" s="46">
        <f t="shared" si="99"/>
        <v>0.13500000000000001</v>
      </c>
    </row>
    <row r="1128" spans="19:42" ht="18">
      <c r="S1128" s="8">
        <f t="shared" si="100"/>
        <v>0</v>
      </c>
      <c r="W1128" s="3">
        <v>1154</v>
      </c>
      <c r="X1128" s="30">
        <v>135.5</v>
      </c>
      <c r="Y1128" s="33">
        <f t="shared" si="97"/>
        <v>0.13600000000000001</v>
      </c>
      <c r="AH1128" s="45">
        <f t="shared" si="101"/>
        <v>0</v>
      </c>
      <c r="AJ1128" s="44">
        <f t="shared" si="98"/>
        <v>1.1539999999999999</v>
      </c>
      <c r="AP1128" s="46">
        <f t="shared" si="99"/>
        <v>0.13600000000000001</v>
      </c>
    </row>
    <row r="1129" spans="19:42" ht="18">
      <c r="S1129" s="8">
        <f t="shared" si="100"/>
        <v>0</v>
      </c>
      <c r="W1129" s="3">
        <v>1155</v>
      </c>
      <c r="X1129" s="30">
        <v>135.75</v>
      </c>
      <c r="Y1129" s="33">
        <f t="shared" si="97"/>
        <v>0.13600000000000001</v>
      </c>
      <c r="AH1129" s="45">
        <f t="shared" si="101"/>
        <v>0</v>
      </c>
      <c r="AJ1129" s="44">
        <f t="shared" si="98"/>
        <v>1.155</v>
      </c>
      <c r="AP1129" s="46">
        <f t="shared" si="99"/>
        <v>0.13600000000000001</v>
      </c>
    </row>
    <row r="1130" spans="19:42" ht="18">
      <c r="S1130" s="8">
        <f t="shared" si="100"/>
        <v>0</v>
      </c>
      <c r="W1130" s="3">
        <v>1156</v>
      </c>
      <c r="X1130" s="30">
        <v>136</v>
      </c>
      <c r="Y1130" s="33">
        <f t="shared" si="97"/>
        <v>0.13600000000000001</v>
      </c>
      <c r="AH1130" s="45">
        <f t="shared" si="101"/>
        <v>0</v>
      </c>
      <c r="AJ1130" s="44">
        <f t="shared" si="98"/>
        <v>1.1559999999999999</v>
      </c>
      <c r="AP1130" s="46">
        <f t="shared" si="99"/>
        <v>0.13600000000000001</v>
      </c>
    </row>
    <row r="1131" spans="19:42" ht="18">
      <c r="S1131" s="8">
        <f t="shared" si="100"/>
        <v>0</v>
      </c>
      <c r="W1131" s="3">
        <v>1157</v>
      </c>
      <c r="X1131" s="30">
        <v>136.25</v>
      </c>
      <c r="Y1131" s="33">
        <f t="shared" si="97"/>
        <v>0.13600000000000001</v>
      </c>
      <c r="AH1131" s="45">
        <f t="shared" si="101"/>
        <v>0</v>
      </c>
      <c r="AJ1131" s="44">
        <f t="shared" si="98"/>
        <v>1.157</v>
      </c>
      <c r="AP1131" s="46">
        <f t="shared" si="99"/>
        <v>0.13600000000000001</v>
      </c>
    </row>
    <row r="1132" spans="19:42" ht="18">
      <c r="S1132" s="8">
        <f t="shared" si="100"/>
        <v>0</v>
      </c>
      <c r="W1132" s="3">
        <v>1158</v>
      </c>
      <c r="X1132" s="30">
        <v>136.5</v>
      </c>
      <c r="Y1132" s="33">
        <f t="shared" si="97"/>
        <v>0.13700000000000001</v>
      </c>
      <c r="AH1132" s="45">
        <f t="shared" si="101"/>
        <v>0</v>
      </c>
      <c r="AJ1132" s="44">
        <f t="shared" si="98"/>
        <v>1.1579999999999999</v>
      </c>
      <c r="AP1132" s="46">
        <f t="shared" si="99"/>
        <v>0.13700000000000001</v>
      </c>
    </row>
    <row r="1133" spans="19:42" ht="18">
      <c r="S1133" s="8">
        <f t="shared" si="100"/>
        <v>0</v>
      </c>
      <c r="W1133" s="3">
        <v>1159</v>
      </c>
      <c r="X1133" s="30">
        <v>136.75</v>
      </c>
      <c r="Y1133" s="33">
        <f t="shared" si="97"/>
        <v>0.13700000000000001</v>
      </c>
      <c r="AH1133" s="45">
        <f t="shared" si="101"/>
        <v>0</v>
      </c>
      <c r="AJ1133" s="44">
        <f t="shared" si="98"/>
        <v>1.159</v>
      </c>
      <c r="AP1133" s="46">
        <f t="shared" si="99"/>
        <v>0.13700000000000001</v>
      </c>
    </row>
    <row r="1134" spans="19:42" ht="18">
      <c r="S1134" s="8">
        <f t="shared" si="100"/>
        <v>0</v>
      </c>
      <c r="W1134" s="3">
        <v>1160</v>
      </c>
      <c r="X1134" s="30">
        <v>137</v>
      </c>
      <c r="Y1134" s="33">
        <f t="shared" si="97"/>
        <v>0.13700000000000001</v>
      </c>
      <c r="AH1134" s="45">
        <f t="shared" si="101"/>
        <v>0</v>
      </c>
      <c r="AJ1134" s="44">
        <f t="shared" si="98"/>
        <v>1.1599999999999999</v>
      </c>
      <c r="AP1134" s="46">
        <f t="shared" si="99"/>
        <v>0.13700000000000001</v>
      </c>
    </row>
    <row r="1135" spans="19:42" ht="18">
      <c r="S1135" s="8">
        <f t="shared" si="100"/>
        <v>0</v>
      </c>
      <c r="W1135" s="3">
        <v>1161</v>
      </c>
      <c r="X1135" s="30">
        <v>137.05000000000001</v>
      </c>
      <c r="Y1135" s="33">
        <f t="shared" si="97"/>
        <v>0.13700000000000001</v>
      </c>
      <c r="AH1135" s="45">
        <f t="shared" si="101"/>
        <v>0</v>
      </c>
      <c r="AJ1135" s="44">
        <f t="shared" si="98"/>
        <v>1.161</v>
      </c>
      <c r="AP1135" s="46">
        <f t="shared" si="99"/>
        <v>0.13700000000000001</v>
      </c>
    </row>
    <row r="1136" spans="19:42" ht="18">
      <c r="S1136" s="8">
        <f t="shared" si="100"/>
        <v>0</v>
      </c>
      <c r="W1136" s="3">
        <v>1162</v>
      </c>
      <c r="X1136" s="30">
        <v>137.1</v>
      </c>
      <c r="Y1136" s="33">
        <f t="shared" si="97"/>
        <v>0.13700000000000001</v>
      </c>
      <c r="AH1136" s="45">
        <f t="shared" si="101"/>
        <v>0</v>
      </c>
      <c r="AJ1136" s="44">
        <f t="shared" si="98"/>
        <v>1.1619999999999999</v>
      </c>
      <c r="AP1136" s="46">
        <f t="shared" si="99"/>
        <v>0.13700000000000001</v>
      </c>
    </row>
    <row r="1137" spans="19:42" ht="18">
      <c r="S1137" s="8">
        <f t="shared" si="100"/>
        <v>0</v>
      </c>
      <c r="W1137" s="3">
        <v>1163</v>
      </c>
      <c r="X1137" s="30">
        <v>137.15</v>
      </c>
      <c r="Y1137" s="33">
        <f t="shared" si="97"/>
        <v>0.13700000000000001</v>
      </c>
      <c r="AH1137" s="45">
        <f t="shared" si="101"/>
        <v>0</v>
      </c>
      <c r="AJ1137" s="44">
        <f t="shared" si="98"/>
        <v>1.163</v>
      </c>
      <c r="AP1137" s="46">
        <f t="shared" si="99"/>
        <v>0.13700000000000001</v>
      </c>
    </row>
    <row r="1138" spans="19:42" ht="18">
      <c r="S1138" s="8">
        <f t="shared" si="100"/>
        <v>0</v>
      </c>
      <c r="W1138" s="3">
        <v>1164</v>
      </c>
      <c r="X1138" s="30">
        <v>137.19999999999999</v>
      </c>
      <c r="Y1138" s="33">
        <f t="shared" si="97"/>
        <v>0.13700000000000001</v>
      </c>
      <c r="AH1138" s="45">
        <f t="shared" si="101"/>
        <v>0</v>
      </c>
      <c r="AJ1138" s="44">
        <f t="shared" si="98"/>
        <v>1.1639999999999999</v>
      </c>
      <c r="AP1138" s="46">
        <f t="shared" si="99"/>
        <v>0.13700000000000001</v>
      </c>
    </row>
    <row r="1139" spans="19:42" ht="18">
      <c r="S1139" s="8">
        <f t="shared" si="100"/>
        <v>0</v>
      </c>
      <c r="W1139" s="3">
        <v>1165</v>
      </c>
      <c r="X1139" s="30">
        <v>137.25</v>
      </c>
      <c r="Y1139" s="33">
        <f t="shared" si="97"/>
        <v>0.13700000000000001</v>
      </c>
      <c r="AH1139" s="45">
        <f t="shared" si="101"/>
        <v>0</v>
      </c>
      <c r="AJ1139" s="44">
        <f t="shared" si="98"/>
        <v>1.165</v>
      </c>
      <c r="AP1139" s="46">
        <f t="shared" si="99"/>
        <v>0.13700000000000001</v>
      </c>
    </row>
    <row r="1140" spans="19:42" ht="18">
      <c r="S1140" s="8">
        <f t="shared" si="100"/>
        <v>0</v>
      </c>
      <c r="W1140" s="3">
        <v>1166</v>
      </c>
      <c r="X1140" s="30">
        <v>137.30000000000001</v>
      </c>
      <c r="Y1140" s="33">
        <f t="shared" si="97"/>
        <v>0.13700000000000001</v>
      </c>
      <c r="AH1140" s="45">
        <f t="shared" si="101"/>
        <v>0</v>
      </c>
      <c r="AJ1140" s="44">
        <f t="shared" si="98"/>
        <v>1.1659999999999999</v>
      </c>
      <c r="AP1140" s="46">
        <f t="shared" si="99"/>
        <v>0.13700000000000001</v>
      </c>
    </row>
    <row r="1141" spans="19:42" ht="18">
      <c r="S1141" s="8">
        <f t="shared" si="100"/>
        <v>0</v>
      </c>
      <c r="W1141" s="3">
        <v>1167</v>
      </c>
      <c r="X1141" s="30">
        <v>137.35</v>
      </c>
      <c r="Y1141" s="33">
        <f t="shared" si="97"/>
        <v>0.13700000000000001</v>
      </c>
      <c r="AH1141" s="45">
        <f t="shared" si="101"/>
        <v>0</v>
      </c>
      <c r="AJ1141" s="44">
        <f t="shared" si="98"/>
        <v>1.167</v>
      </c>
      <c r="AP1141" s="46">
        <f t="shared" si="99"/>
        <v>0.13700000000000001</v>
      </c>
    </row>
    <row r="1142" spans="19:42" ht="18">
      <c r="S1142" s="8">
        <f t="shared" si="100"/>
        <v>0</v>
      </c>
      <c r="W1142" s="3">
        <v>1168</v>
      </c>
      <c r="X1142" s="30">
        <v>137.4</v>
      </c>
      <c r="Y1142" s="33">
        <f t="shared" si="97"/>
        <v>0.13700000000000001</v>
      </c>
      <c r="AH1142" s="45">
        <f t="shared" si="101"/>
        <v>0</v>
      </c>
      <c r="AJ1142" s="44">
        <f t="shared" si="98"/>
        <v>1.1679999999999999</v>
      </c>
      <c r="AP1142" s="46">
        <f t="shared" si="99"/>
        <v>0.13700000000000001</v>
      </c>
    </row>
    <row r="1143" spans="19:42" ht="18">
      <c r="S1143" s="8">
        <f t="shared" si="100"/>
        <v>0</v>
      </c>
      <c r="W1143" s="3">
        <v>1169</v>
      </c>
      <c r="X1143" s="30">
        <v>137.44999999999999</v>
      </c>
      <c r="Y1143" s="33">
        <f t="shared" si="97"/>
        <v>0.13700000000000001</v>
      </c>
      <c r="AH1143" s="45">
        <f t="shared" si="101"/>
        <v>0</v>
      </c>
      <c r="AJ1143" s="44">
        <f t="shared" si="98"/>
        <v>1.169</v>
      </c>
      <c r="AP1143" s="46">
        <f t="shared" si="99"/>
        <v>0.13700000000000001</v>
      </c>
    </row>
    <row r="1144" spans="19:42" ht="18">
      <c r="S1144" s="8">
        <f t="shared" si="100"/>
        <v>0</v>
      </c>
      <c r="W1144" s="3">
        <v>1170</v>
      </c>
      <c r="X1144" s="30">
        <v>137.5</v>
      </c>
      <c r="Y1144" s="33">
        <f t="shared" si="97"/>
        <v>0.13800000000000001</v>
      </c>
      <c r="AH1144" s="45">
        <f t="shared" si="101"/>
        <v>0</v>
      </c>
      <c r="AJ1144" s="44">
        <f t="shared" si="98"/>
        <v>1.17</v>
      </c>
      <c r="AP1144" s="46">
        <f t="shared" si="99"/>
        <v>0.13800000000000001</v>
      </c>
    </row>
    <row r="1145" spans="19:42" ht="18">
      <c r="S1145" s="8">
        <f t="shared" si="100"/>
        <v>0</v>
      </c>
      <c r="W1145" s="3">
        <v>1171</v>
      </c>
      <c r="X1145" s="30">
        <v>137.55000000000001</v>
      </c>
      <c r="Y1145" s="33">
        <f t="shared" si="97"/>
        <v>0.13800000000000001</v>
      </c>
      <c r="AH1145" s="45">
        <f t="shared" si="101"/>
        <v>0</v>
      </c>
      <c r="AJ1145" s="44">
        <f t="shared" si="98"/>
        <v>1.171</v>
      </c>
      <c r="AP1145" s="46">
        <f t="shared" si="99"/>
        <v>0.13800000000000001</v>
      </c>
    </row>
    <row r="1146" spans="19:42" ht="18">
      <c r="S1146" s="8">
        <f t="shared" si="100"/>
        <v>0</v>
      </c>
      <c r="W1146" s="3">
        <v>1172</v>
      </c>
      <c r="X1146" s="30">
        <v>137.6</v>
      </c>
      <c r="Y1146" s="33">
        <f t="shared" si="97"/>
        <v>0.13800000000000001</v>
      </c>
      <c r="AH1146" s="45">
        <f t="shared" si="101"/>
        <v>0</v>
      </c>
      <c r="AJ1146" s="44">
        <f t="shared" si="98"/>
        <v>1.1719999999999999</v>
      </c>
      <c r="AP1146" s="46">
        <f t="shared" si="99"/>
        <v>0.13800000000000001</v>
      </c>
    </row>
    <row r="1147" spans="19:42" ht="18">
      <c r="S1147" s="8">
        <f t="shared" si="100"/>
        <v>0</v>
      </c>
      <c r="W1147" s="3">
        <v>1173</v>
      </c>
      <c r="X1147" s="30">
        <v>137.65</v>
      </c>
      <c r="Y1147" s="33">
        <f t="shared" si="97"/>
        <v>0.13800000000000001</v>
      </c>
      <c r="AH1147" s="45">
        <f t="shared" si="101"/>
        <v>0</v>
      </c>
      <c r="AJ1147" s="44">
        <f t="shared" si="98"/>
        <v>1.173</v>
      </c>
      <c r="AP1147" s="46">
        <f t="shared" si="99"/>
        <v>0.13800000000000001</v>
      </c>
    </row>
    <row r="1148" spans="19:42" ht="18">
      <c r="S1148" s="8">
        <f t="shared" si="100"/>
        <v>0</v>
      </c>
      <c r="W1148" s="3">
        <v>1174</v>
      </c>
      <c r="X1148" s="30">
        <v>137.69999999999999</v>
      </c>
      <c r="Y1148" s="33">
        <f t="shared" si="97"/>
        <v>0.13800000000000001</v>
      </c>
      <c r="AH1148" s="45">
        <f t="shared" si="101"/>
        <v>0</v>
      </c>
      <c r="AJ1148" s="44">
        <f t="shared" si="98"/>
        <v>1.1739999999999999</v>
      </c>
      <c r="AP1148" s="46">
        <f t="shared" si="99"/>
        <v>0.13800000000000001</v>
      </c>
    </row>
    <row r="1149" spans="19:42" ht="18">
      <c r="S1149" s="8">
        <f t="shared" si="100"/>
        <v>0</v>
      </c>
      <c r="W1149" s="3">
        <v>1175</v>
      </c>
      <c r="X1149" s="30">
        <v>137.75</v>
      </c>
      <c r="Y1149" s="33">
        <f t="shared" si="97"/>
        <v>0.13800000000000001</v>
      </c>
      <c r="AH1149" s="45">
        <f t="shared" si="101"/>
        <v>0</v>
      </c>
      <c r="AJ1149" s="44">
        <f t="shared" si="98"/>
        <v>1.175</v>
      </c>
      <c r="AP1149" s="46">
        <f t="shared" si="99"/>
        <v>0.13800000000000001</v>
      </c>
    </row>
    <row r="1150" spans="19:42" ht="18">
      <c r="S1150" s="8">
        <f t="shared" si="100"/>
        <v>0</v>
      </c>
      <c r="W1150" s="3">
        <v>1176</v>
      </c>
      <c r="X1150" s="30">
        <v>137.80000000000001</v>
      </c>
      <c r="Y1150" s="33">
        <f t="shared" si="97"/>
        <v>0.13800000000000001</v>
      </c>
      <c r="AH1150" s="45">
        <f t="shared" si="101"/>
        <v>0</v>
      </c>
      <c r="AJ1150" s="44">
        <f t="shared" si="98"/>
        <v>1.1759999999999999</v>
      </c>
      <c r="AP1150" s="46">
        <f t="shared" si="99"/>
        <v>0.13800000000000001</v>
      </c>
    </row>
    <row r="1151" spans="19:42" ht="18">
      <c r="S1151" s="8">
        <f t="shared" si="100"/>
        <v>0</v>
      </c>
      <c r="W1151" s="3">
        <v>1177</v>
      </c>
      <c r="X1151" s="30">
        <v>137.85</v>
      </c>
      <c r="Y1151" s="33">
        <f t="shared" si="97"/>
        <v>0.13800000000000001</v>
      </c>
      <c r="AH1151" s="45">
        <f t="shared" si="101"/>
        <v>0</v>
      </c>
      <c r="AJ1151" s="44">
        <f t="shared" si="98"/>
        <v>1.177</v>
      </c>
      <c r="AP1151" s="46">
        <f t="shared" si="99"/>
        <v>0.13800000000000001</v>
      </c>
    </row>
    <row r="1152" spans="19:42" ht="18">
      <c r="S1152" s="8">
        <f t="shared" si="100"/>
        <v>0</v>
      </c>
      <c r="W1152" s="3">
        <v>1178</v>
      </c>
      <c r="X1152" s="30">
        <v>137.9</v>
      </c>
      <c r="Y1152" s="33">
        <f t="shared" si="97"/>
        <v>0.13800000000000001</v>
      </c>
      <c r="AH1152" s="45">
        <f t="shared" si="101"/>
        <v>0</v>
      </c>
      <c r="AJ1152" s="44">
        <f t="shared" si="98"/>
        <v>1.1779999999999999</v>
      </c>
      <c r="AP1152" s="46">
        <f t="shared" si="99"/>
        <v>0.13800000000000001</v>
      </c>
    </row>
    <row r="1153" spans="19:42" ht="18">
      <c r="S1153" s="8">
        <f t="shared" si="100"/>
        <v>0</v>
      </c>
      <c r="W1153" s="3">
        <v>1179</v>
      </c>
      <c r="X1153" s="30">
        <v>137.94999999999999</v>
      </c>
      <c r="Y1153" s="33">
        <f t="shared" si="97"/>
        <v>0.13800000000000001</v>
      </c>
      <c r="AH1153" s="45">
        <f t="shared" si="101"/>
        <v>0</v>
      </c>
      <c r="AJ1153" s="44">
        <f t="shared" si="98"/>
        <v>1.179</v>
      </c>
      <c r="AP1153" s="46">
        <f t="shared" si="99"/>
        <v>0.13800000000000001</v>
      </c>
    </row>
    <row r="1154" spans="19:42" ht="18">
      <c r="S1154" s="8">
        <f t="shared" si="100"/>
        <v>0</v>
      </c>
      <c r="W1154" s="3">
        <v>1180</v>
      </c>
      <c r="X1154" s="30">
        <v>138</v>
      </c>
      <c r="Y1154" s="33">
        <f t="shared" si="97"/>
        <v>0.13800000000000001</v>
      </c>
      <c r="AH1154" s="45">
        <f t="shared" si="101"/>
        <v>0</v>
      </c>
      <c r="AJ1154" s="44">
        <f t="shared" si="98"/>
        <v>1.18</v>
      </c>
      <c r="AP1154" s="46">
        <f t="shared" si="99"/>
        <v>0.13800000000000001</v>
      </c>
    </row>
    <row r="1155" spans="19:42" ht="18">
      <c r="S1155" s="8">
        <f t="shared" si="100"/>
        <v>0</v>
      </c>
      <c r="W1155" s="3">
        <v>1181</v>
      </c>
      <c r="X1155" s="30">
        <v>138.05000000000001</v>
      </c>
      <c r="Y1155" s="33">
        <f t="shared" si="97"/>
        <v>0.13800000000000001</v>
      </c>
      <c r="AH1155" s="45">
        <f t="shared" si="101"/>
        <v>0</v>
      </c>
      <c r="AJ1155" s="44">
        <f t="shared" si="98"/>
        <v>1.181</v>
      </c>
      <c r="AP1155" s="46">
        <f t="shared" si="99"/>
        <v>0.13800000000000001</v>
      </c>
    </row>
    <row r="1156" spans="19:42" ht="18">
      <c r="S1156" s="8">
        <f t="shared" si="100"/>
        <v>0</v>
      </c>
      <c r="W1156" s="3">
        <v>1182</v>
      </c>
      <c r="X1156" s="30">
        <v>138.1</v>
      </c>
      <c r="Y1156" s="33">
        <f t="shared" si="97"/>
        <v>0.13800000000000001</v>
      </c>
      <c r="AH1156" s="45">
        <f t="shared" si="101"/>
        <v>0</v>
      </c>
      <c r="AJ1156" s="44">
        <f t="shared" si="98"/>
        <v>1.1819999999999999</v>
      </c>
      <c r="AP1156" s="46">
        <f t="shared" si="99"/>
        <v>0.13800000000000001</v>
      </c>
    </row>
    <row r="1157" spans="19:42" ht="18">
      <c r="S1157" s="8">
        <f t="shared" si="100"/>
        <v>0</v>
      </c>
      <c r="W1157" s="3">
        <v>1183</v>
      </c>
      <c r="X1157" s="30">
        <v>138.15</v>
      </c>
      <c r="Y1157" s="33">
        <f t="shared" ref="Y1157:Y1220" si="102">ROUND(X1157/1000,3)</f>
        <v>0.13800000000000001</v>
      </c>
      <c r="AH1157" s="45">
        <f t="shared" si="101"/>
        <v>0</v>
      </c>
      <c r="AJ1157" s="44">
        <f t="shared" ref="AJ1157:AJ1220" si="103">ROUND(W1157/1000,3)</f>
        <v>1.1830000000000001</v>
      </c>
      <c r="AP1157" s="46">
        <f t="shared" ref="AP1157:AP1220" si="104">ROUND(X1157/1000,3)</f>
        <v>0.13800000000000001</v>
      </c>
    </row>
    <row r="1158" spans="19:42" ht="18">
      <c r="S1158" s="8">
        <f t="shared" ref="S1158:S1221" si="105">CEILING(R1158/50,0.5)</f>
        <v>0</v>
      </c>
      <c r="W1158" s="3">
        <v>1184</v>
      </c>
      <c r="X1158" s="30">
        <v>138.19999999999999</v>
      </c>
      <c r="Y1158" s="33">
        <f t="shared" si="102"/>
        <v>0.13800000000000001</v>
      </c>
      <c r="AH1158" s="45">
        <f t="shared" ref="AH1158:AH1221" si="106">AE1158-AE1157</f>
        <v>0</v>
      </c>
      <c r="AJ1158" s="44">
        <f t="shared" si="103"/>
        <v>1.1839999999999999</v>
      </c>
      <c r="AP1158" s="46">
        <f t="shared" si="104"/>
        <v>0.13800000000000001</v>
      </c>
    </row>
    <row r="1159" spans="19:42" ht="18">
      <c r="S1159" s="8">
        <f t="shared" si="105"/>
        <v>0</v>
      </c>
      <c r="W1159" s="3">
        <v>1185</v>
      </c>
      <c r="X1159" s="30">
        <v>138.25</v>
      </c>
      <c r="Y1159" s="33">
        <f t="shared" si="102"/>
        <v>0.13800000000000001</v>
      </c>
      <c r="AH1159" s="45">
        <f t="shared" si="106"/>
        <v>0</v>
      </c>
      <c r="AJ1159" s="44">
        <f t="shared" si="103"/>
        <v>1.1850000000000001</v>
      </c>
      <c r="AP1159" s="46">
        <f t="shared" si="104"/>
        <v>0.13800000000000001</v>
      </c>
    </row>
    <row r="1160" spans="19:42" ht="18">
      <c r="S1160" s="8">
        <f t="shared" si="105"/>
        <v>0</v>
      </c>
      <c r="W1160" s="3">
        <v>1186</v>
      </c>
      <c r="X1160" s="30">
        <v>138.30000000000001</v>
      </c>
      <c r="Y1160" s="33">
        <f t="shared" si="102"/>
        <v>0.13800000000000001</v>
      </c>
      <c r="AH1160" s="45">
        <f t="shared" si="106"/>
        <v>0</v>
      </c>
      <c r="AJ1160" s="44">
        <f t="shared" si="103"/>
        <v>1.1859999999999999</v>
      </c>
      <c r="AP1160" s="46">
        <f t="shared" si="104"/>
        <v>0.13800000000000001</v>
      </c>
    </row>
    <row r="1161" spans="19:42" ht="18">
      <c r="S1161" s="8">
        <f t="shared" si="105"/>
        <v>0</v>
      </c>
      <c r="W1161" s="3">
        <v>1187</v>
      </c>
      <c r="X1161" s="30">
        <v>138.35</v>
      </c>
      <c r="Y1161" s="33">
        <f t="shared" si="102"/>
        <v>0.13800000000000001</v>
      </c>
      <c r="AH1161" s="45">
        <f t="shared" si="106"/>
        <v>0</v>
      </c>
      <c r="AJ1161" s="44">
        <f t="shared" si="103"/>
        <v>1.1870000000000001</v>
      </c>
      <c r="AP1161" s="46">
        <f t="shared" si="104"/>
        <v>0.13800000000000001</v>
      </c>
    </row>
    <row r="1162" spans="19:42" ht="18">
      <c r="S1162" s="8">
        <f t="shared" si="105"/>
        <v>0</v>
      </c>
      <c r="W1162" s="3">
        <v>1188</v>
      </c>
      <c r="X1162" s="30">
        <v>138.4</v>
      </c>
      <c r="Y1162" s="33">
        <f t="shared" si="102"/>
        <v>0.13800000000000001</v>
      </c>
      <c r="AH1162" s="45">
        <f t="shared" si="106"/>
        <v>0</v>
      </c>
      <c r="AJ1162" s="44">
        <f t="shared" si="103"/>
        <v>1.1879999999999999</v>
      </c>
      <c r="AP1162" s="46">
        <f t="shared" si="104"/>
        <v>0.13800000000000001</v>
      </c>
    </row>
    <row r="1163" spans="19:42" ht="18">
      <c r="S1163" s="8">
        <f t="shared" si="105"/>
        <v>0</v>
      </c>
      <c r="W1163" s="3">
        <v>1189</v>
      </c>
      <c r="X1163" s="30">
        <v>138.44999999999999</v>
      </c>
      <c r="Y1163" s="33">
        <f t="shared" si="102"/>
        <v>0.13800000000000001</v>
      </c>
      <c r="AH1163" s="45">
        <f t="shared" si="106"/>
        <v>0</v>
      </c>
      <c r="AJ1163" s="44">
        <f t="shared" si="103"/>
        <v>1.1890000000000001</v>
      </c>
      <c r="AP1163" s="46">
        <f t="shared" si="104"/>
        <v>0.13800000000000001</v>
      </c>
    </row>
    <row r="1164" spans="19:42" ht="18">
      <c r="S1164" s="8">
        <f t="shared" si="105"/>
        <v>0</v>
      </c>
      <c r="W1164" s="3">
        <v>1190</v>
      </c>
      <c r="X1164" s="30">
        <v>138.5</v>
      </c>
      <c r="Y1164" s="33">
        <f t="shared" si="102"/>
        <v>0.13900000000000001</v>
      </c>
      <c r="AH1164" s="45">
        <f t="shared" si="106"/>
        <v>0</v>
      </c>
      <c r="AJ1164" s="44">
        <f t="shared" si="103"/>
        <v>1.19</v>
      </c>
      <c r="AP1164" s="46">
        <f t="shared" si="104"/>
        <v>0.13900000000000001</v>
      </c>
    </row>
    <row r="1165" spans="19:42" ht="18">
      <c r="S1165" s="8">
        <f t="shared" si="105"/>
        <v>0</v>
      </c>
      <c r="W1165" s="3">
        <v>1191</v>
      </c>
      <c r="X1165" s="30">
        <v>138.55000000000001</v>
      </c>
      <c r="Y1165" s="33">
        <f t="shared" si="102"/>
        <v>0.13900000000000001</v>
      </c>
      <c r="AH1165" s="45">
        <f t="shared" si="106"/>
        <v>0</v>
      </c>
      <c r="AJ1165" s="44">
        <f t="shared" si="103"/>
        <v>1.1910000000000001</v>
      </c>
      <c r="AP1165" s="46">
        <f t="shared" si="104"/>
        <v>0.13900000000000001</v>
      </c>
    </row>
    <row r="1166" spans="19:42" ht="18">
      <c r="S1166" s="8">
        <f t="shared" si="105"/>
        <v>0</v>
      </c>
      <c r="W1166" s="3">
        <v>1192</v>
      </c>
      <c r="X1166" s="30">
        <v>138.6</v>
      </c>
      <c r="Y1166" s="33">
        <f t="shared" si="102"/>
        <v>0.13900000000000001</v>
      </c>
      <c r="AH1166" s="45">
        <f t="shared" si="106"/>
        <v>0</v>
      </c>
      <c r="AJ1166" s="44">
        <f t="shared" si="103"/>
        <v>1.1919999999999999</v>
      </c>
      <c r="AP1166" s="46">
        <f t="shared" si="104"/>
        <v>0.13900000000000001</v>
      </c>
    </row>
    <row r="1167" spans="19:42" ht="18">
      <c r="S1167" s="8">
        <f t="shared" si="105"/>
        <v>0</v>
      </c>
      <c r="W1167" s="3">
        <v>1193</v>
      </c>
      <c r="X1167" s="30">
        <v>138.65</v>
      </c>
      <c r="Y1167" s="33">
        <f t="shared" si="102"/>
        <v>0.13900000000000001</v>
      </c>
      <c r="AH1167" s="45">
        <f t="shared" si="106"/>
        <v>0</v>
      </c>
      <c r="AJ1167" s="44">
        <f t="shared" si="103"/>
        <v>1.1930000000000001</v>
      </c>
      <c r="AP1167" s="46">
        <f t="shared" si="104"/>
        <v>0.13900000000000001</v>
      </c>
    </row>
    <row r="1168" spans="19:42" ht="18">
      <c r="S1168" s="8">
        <f t="shared" si="105"/>
        <v>0</v>
      </c>
      <c r="W1168" s="3">
        <v>1194</v>
      </c>
      <c r="X1168" s="30">
        <v>138.69999999999999</v>
      </c>
      <c r="Y1168" s="33">
        <f t="shared" si="102"/>
        <v>0.13900000000000001</v>
      </c>
      <c r="AH1168" s="45">
        <f t="shared" si="106"/>
        <v>0</v>
      </c>
      <c r="AJ1168" s="44">
        <f t="shared" si="103"/>
        <v>1.194</v>
      </c>
      <c r="AP1168" s="46">
        <f t="shared" si="104"/>
        <v>0.13900000000000001</v>
      </c>
    </row>
    <row r="1169" spans="19:42" ht="18">
      <c r="S1169" s="8">
        <f t="shared" si="105"/>
        <v>0</v>
      </c>
      <c r="W1169" s="3">
        <v>1195</v>
      </c>
      <c r="X1169" s="30">
        <v>138.75</v>
      </c>
      <c r="Y1169" s="33">
        <f t="shared" si="102"/>
        <v>0.13900000000000001</v>
      </c>
      <c r="AH1169" s="45">
        <f t="shared" si="106"/>
        <v>0</v>
      </c>
      <c r="AJ1169" s="44">
        <f t="shared" si="103"/>
        <v>1.1950000000000001</v>
      </c>
      <c r="AP1169" s="46">
        <f t="shared" si="104"/>
        <v>0.13900000000000001</v>
      </c>
    </row>
    <row r="1170" spans="19:42" ht="18">
      <c r="S1170" s="8">
        <f t="shared" si="105"/>
        <v>0</v>
      </c>
      <c r="W1170" s="3">
        <v>1196</v>
      </c>
      <c r="X1170" s="30">
        <v>138.80000000000001</v>
      </c>
      <c r="Y1170" s="33">
        <f t="shared" si="102"/>
        <v>0.13900000000000001</v>
      </c>
      <c r="AH1170" s="45">
        <f t="shared" si="106"/>
        <v>0</v>
      </c>
      <c r="AJ1170" s="44">
        <f t="shared" si="103"/>
        <v>1.196</v>
      </c>
      <c r="AP1170" s="46">
        <f t="shared" si="104"/>
        <v>0.13900000000000001</v>
      </c>
    </row>
    <row r="1171" spans="19:42" ht="18">
      <c r="S1171" s="8">
        <f t="shared" si="105"/>
        <v>0</v>
      </c>
      <c r="W1171" s="3">
        <v>1197</v>
      </c>
      <c r="X1171" s="30">
        <v>138.85</v>
      </c>
      <c r="Y1171" s="33">
        <f t="shared" si="102"/>
        <v>0.13900000000000001</v>
      </c>
      <c r="AH1171" s="45">
        <f t="shared" si="106"/>
        <v>0</v>
      </c>
      <c r="AJ1171" s="44">
        <f t="shared" si="103"/>
        <v>1.1970000000000001</v>
      </c>
      <c r="AP1171" s="46">
        <f t="shared" si="104"/>
        <v>0.13900000000000001</v>
      </c>
    </row>
    <row r="1172" spans="19:42" ht="18">
      <c r="S1172" s="8">
        <f t="shared" si="105"/>
        <v>0</v>
      </c>
      <c r="W1172" s="3">
        <v>1198</v>
      </c>
      <c r="X1172" s="30">
        <v>138.9</v>
      </c>
      <c r="Y1172" s="33">
        <f t="shared" si="102"/>
        <v>0.13900000000000001</v>
      </c>
      <c r="AH1172" s="45">
        <f t="shared" si="106"/>
        <v>0</v>
      </c>
      <c r="AJ1172" s="44">
        <f t="shared" si="103"/>
        <v>1.198</v>
      </c>
      <c r="AP1172" s="46">
        <f t="shared" si="104"/>
        <v>0.13900000000000001</v>
      </c>
    </row>
    <row r="1173" spans="19:42" ht="18">
      <c r="S1173" s="8">
        <f t="shared" si="105"/>
        <v>0</v>
      </c>
      <c r="W1173" s="3">
        <v>1199</v>
      </c>
      <c r="X1173" s="30">
        <v>138.94999999999999</v>
      </c>
      <c r="Y1173" s="33">
        <f t="shared" si="102"/>
        <v>0.13900000000000001</v>
      </c>
      <c r="AH1173" s="45">
        <f t="shared" si="106"/>
        <v>0</v>
      </c>
      <c r="AJ1173" s="44">
        <f t="shared" si="103"/>
        <v>1.1990000000000001</v>
      </c>
      <c r="AP1173" s="46">
        <f t="shared" si="104"/>
        <v>0.13900000000000001</v>
      </c>
    </row>
    <row r="1174" spans="19:42" ht="18">
      <c r="S1174" s="8">
        <f t="shared" si="105"/>
        <v>0</v>
      </c>
      <c r="W1174" s="3">
        <v>1200</v>
      </c>
      <c r="X1174" s="30">
        <v>139</v>
      </c>
      <c r="Y1174" s="33">
        <f t="shared" si="102"/>
        <v>0.13900000000000001</v>
      </c>
      <c r="AH1174" s="45">
        <f t="shared" si="106"/>
        <v>0</v>
      </c>
      <c r="AJ1174" s="44">
        <f t="shared" si="103"/>
        <v>1.2</v>
      </c>
      <c r="AP1174" s="46">
        <f t="shared" si="104"/>
        <v>0.13900000000000001</v>
      </c>
    </row>
    <row r="1175" spans="19:42" ht="18">
      <c r="S1175" s="8">
        <f t="shared" si="105"/>
        <v>0</v>
      </c>
      <c r="W1175" s="3">
        <v>1201</v>
      </c>
      <c r="X1175" s="30">
        <v>139.05000000000001</v>
      </c>
      <c r="Y1175" s="33">
        <f t="shared" si="102"/>
        <v>0.13900000000000001</v>
      </c>
      <c r="AH1175" s="45">
        <f t="shared" si="106"/>
        <v>0</v>
      </c>
      <c r="AJ1175" s="44">
        <f t="shared" si="103"/>
        <v>1.2010000000000001</v>
      </c>
      <c r="AP1175" s="46">
        <f t="shared" si="104"/>
        <v>0.13900000000000001</v>
      </c>
    </row>
    <row r="1176" spans="19:42" ht="18">
      <c r="S1176" s="8">
        <f t="shared" si="105"/>
        <v>0</v>
      </c>
      <c r="W1176" s="3">
        <v>1202</v>
      </c>
      <c r="X1176" s="30">
        <v>139.1</v>
      </c>
      <c r="Y1176" s="33">
        <f t="shared" si="102"/>
        <v>0.13900000000000001</v>
      </c>
      <c r="AH1176" s="45">
        <f t="shared" si="106"/>
        <v>0</v>
      </c>
      <c r="AJ1176" s="44">
        <f t="shared" si="103"/>
        <v>1.202</v>
      </c>
      <c r="AP1176" s="46">
        <f t="shared" si="104"/>
        <v>0.13900000000000001</v>
      </c>
    </row>
    <row r="1177" spans="19:42" ht="18">
      <c r="S1177" s="8">
        <f t="shared" si="105"/>
        <v>0</v>
      </c>
      <c r="W1177" s="3">
        <v>1203</v>
      </c>
      <c r="X1177" s="30">
        <v>139.15</v>
      </c>
      <c r="Y1177" s="33">
        <f t="shared" si="102"/>
        <v>0.13900000000000001</v>
      </c>
      <c r="AH1177" s="45">
        <f t="shared" si="106"/>
        <v>0</v>
      </c>
      <c r="AJ1177" s="44">
        <f t="shared" si="103"/>
        <v>1.2030000000000001</v>
      </c>
      <c r="AP1177" s="46">
        <f t="shared" si="104"/>
        <v>0.13900000000000001</v>
      </c>
    </row>
    <row r="1178" spans="19:42" ht="18">
      <c r="S1178" s="8">
        <f t="shared" si="105"/>
        <v>0</v>
      </c>
      <c r="W1178" s="3">
        <v>1204</v>
      </c>
      <c r="X1178" s="30">
        <v>139.19999999999999</v>
      </c>
      <c r="Y1178" s="33">
        <f t="shared" si="102"/>
        <v>0.13900000000000001</v>
      </c>
      <c r="AH1178" s="45">
        <f t="shared" si="106"/>
        <v>0</v>
      </c>
      <c r="AJ1178" s="44">
        <f t="shared" si="103"/>
        <v>1.204</v>
      </c>
      <c r="AP1178" s="46">
        <f t="shared" si="104"/>
        <v>0.13900000000000001</v>
      </c>
    </row>
    <row r="1179" spans="19:42" ht="18">
      <c r="S1179" s="8">
        <f t="shared" si="105"/>
        <v>0</v>
      </c>
      <c r="W1179" s="3">
        <v>1205</v>
      </c>
      <c r="X1179" s="30">
        <v>139.25</v>
      </c>
      <c r="Y1179" s="33">
        <f t="shared" si="102"/>
        <v>0.13900000000000001</v>
      </c>
      <c r="AH1179" s="45">
        <f t="shared" si="106"/>
        <v>0</v>
      </c>
      <c r="AJ1179" s="44">
        <f t="shared" si="103"/>
        <v>1.2050000000000001</v>
      </c>
      <c r="AP1179" s="46">
        <f t="shared" si="104"/>
        <v>0.13900000000000001</v>
      </c>
    </row>
    <row r="1180" spans="19:42" ht="18">
      <c r="S1180" s="8">
        <f t="shared" si="105"/>
        <v>0</v>
      </c>
      <c r="W1180" s="3">
        <v>1206</v>
      </c>
      <c r="X1180" s="30">
        <v>139.30000000000001</v>
      </c>
      <c r="Y1180" s="33">
        <f t="shared" si="102"/>
        <v>0.13900000000000001</v>
      </c>
      <c r="AH1180" s="45">
        <f t="shared" si="106"/>
        <v>0</v>
      </c>
      <c r="AJ1180" s="44">
        <f t="shared" si="103"/>
        <v>1.206</v>
      </c>
      <c r="AP1180" s="46">
        <f t="shared" si="104"/>
        <v>0.13900000000000001</v>
      </c>
    </row>
    <row r="1181" spans="19:42" ht="18">
      <c r="S1181" s="8">
        <f t="shared" si="105"/>
        <v>0</v>
      </c>
      <c r="W1181" s="3">
        <v>1207</v>
      </c>
      <c r="X1181" s="30">
        <v>139.35</v>
      </c>
      <c r="Y1181" s="33">
        <f t="shared" si="102"/>
        <v>0.13900000000000001</v>
      </c>
      <c r="AH1181" s="45">
        <f t="shared" si="106"/>
        <v>0</v>
      </c>
      <c r="AJ1181" s="44">
        <f t="shared" si="103"/>
        <v>1.2070000000000001</v>
      </c>
      <c r="AP1181" s="46">
        <f t="shared" si="104"/>
        <v>0.13900000000000001</v>
      </c>
    </row>
    <row r="1182" spans="19:42" ht="18">
      <c r="S1182" s="8">
        <f t="shared" si="105"/>
        <v>0</v>
      </c>
      <c r="W1182" s="3">
        <v>1208</v>
      </c>
      <c r="X1182" s="30">
        <v>139.4</v>
      </c>
      <c r="Y1182" s="33">
        <f t="shared" si="102"/>
        <v>0.13900000000000001</v>
      </c>
      <c r="AH1182" s="45">
        <f t="shared" si="106"/>
        <v>0</v>
      </c>
      <c r="AJ1182" s="44">
        <f t="shared" si="103"/>
        <v>1.208</v>
      </c>
      <c r="AP1182" s="46">
        <f t="shared" si="104"/>
        <v>0.13900000000000001</v>
      </c>
    </row>
    <row r="1183" spans="19:42" ht="18">
      <c r="S1183" s="8">
        <f t="shared" si="105"/>
        <v>0</v>
      </c>
      <c r="W1183" s="3">
        <v>1209</v>
      </c>
      <c r="X1183" s="30">
        <v>139.44999999999999</v>
      </c>
      <c r="Y1183" s="33">
        <f t="shared" si="102"/>
        <v>0.13900000000000001</v>
      </c>
      <c r="AH1183" s="45">
        <f t="shared" si="106"/>
        <v>0</v>
      </c>
      <c r="AJ1183" s="44">
        <f t="shared" si="103"/>
        <v>1.2090000000000001</v>
      </c>
      <c r="AP1183" s="46">
        <f t="shared" si="104"/>
        <v>0.13900000000000001</v>
      </c>
    </row>
    <row r="1184" spans="19:42" ht="18">
      <c r="S1184" s="8">
        <f t="shared" si="105"/>
        <v>0</v>
      </c>
      <c r="W1184" s="3">
        <v>1210</v>
      </c>
      <c r="X1184" s="30">
        <v>139.5</v>
      </c>
      <c r="Y1184" s="33">
        <f t="shared" si="102"/>
        <v>0.14000000000000001</v>
      </c>
      <c r="AH1184" s="45">
        <f t="shared" si="106"/>
        <v>0</v>
      </c>
      <c r="AJ1184" s="44">
        <f t="shared" si="103"/>
        <v>1.21</v>
      </c>
      <c r="AP1184" s="46">
        <f t="shared" si="104"/>
        <v>0.14000000000000001</v>
      </c>
    </row>
    <row r="1185" spans="19:42" ht="18">
      <c r="S1185" s="8">
        <f t="shared" si="105"/>
        <v>0</v>
      </c>
      <c r="W1185" s="3">
        <v>1211</v>
      </c>
      <c r="X1185" s="30">
        <v>139.55000000000001</v>
      </c>
      <c r="Y1185" s="33">
        <f t="shared" si="102"/>
        <v>0.14000000000000001</v>
      </c>
      <c r="AH1185" s="45">
        <f t="shared" si="106"/>
        <v>0</v>
      </c>
      <c r="AJ1185" s="44">
        <f t="shared" si="103"/>
        <v>1.2110000000000001</v>
      </c>
      <c r="AP1185" s="46">
        <f t="shared" si="104"/>
        <v>0.14000000000000001</v>
      </c>
    </row>
    <row r="1186" spans="19:42" ht="18">
      <c r="S1186" s="8">
        <f t="shared" si="105"/>
        <v>0</v>
      </c>
      <c r="W1186" s="3">
        <v>1212</v>
      </c>
      <c r="X1186" s="30">
        <v>139.6</v>
      </c>
      <c r="Y1186" s="33">
        <f t="shared" si="102"/>
        <v>0.14000000000000001</v>
      </c>
      <c r="AH1186" s="45">
        <f t="shared" si="106"/>
        <v>0</v>
      </c>
      <c r="AJ1186" s="44">
        <f t="shared" si="103"/>
        <v>1.212</v>
      </c>
      <c r="AP1186" s="46">
        <f t="shared" si="104"/>
        <v>0.14000000000000001</v>
      </c>
    </row>
    <row r="1187" spans="19:42" ht="18">
      <c r="S1187" s="8">
        <f t="shared" si="105"/>
        <v>0</v>
      </c>
      <c r="W1187" s="3">
        <v>1213</v>
      </c>
      <c r="X1187" s="30">
        <v>139.65</v>
      </c>
      <c r="Y1187" s="33">
        <f t="shared" si="102"/>
        <v>0.14000000000000001</v>
      </c>
      <c r="AH1187" s="45">
        <f t="shared" si="106"/>
        <v>0</v>
      </c>
      <c r="AJ1187" s="44">
        <f t="shared" si="103"/>
        <v>1.2130000000000001</v>
      </c>
      <c r="AP1187" s="46">
        <f t="shared" si="104"/>
        <v>0.14000000000000001</v>
      </c>
    </row>
    <row r="1188" spans="19:42" ht="18">
      <c r="S1188" s="8">
        <f t="shared" si="105"/>
        <v>0</v>
      </c>
      <c r="W1188" s="3">
        <v>1214</v>
      </c>
      <c r="X1188" s="30">
        <v>139.69999999999999</v>
      </c>
      <c r="Y1188" s="33">
        <f t="shared" si="102"/>
        <v>0.14000000000000001</v>
      </c>
      <c r="AH1188" s="45">
        <f t="shared" si="106"/>
        <v>0</v>
      </c>
      <c r="AJ1188" s="44">
        <f t="shared" si="103"/>
        <v>1.214</v>
      </c>
      <c r="AP1188" s="46">
        <f t="shared" si="104"/>
        <v>0.14000000000000001</v>
      </c>
    </row>
    <row r="1189" spans="19:42" ht="18">
      <c r="S1189" s="8">
        <f t="shared" si="105"/>
        <v>0</v>
      </c>
      <c r="W1189" s="3">
        <v>1215</v>
      </c>
      <c r="X1189" s="30">
        <v>139.75</v>
      </c>
      <c r="Y1189" s="33">
        <f t="shared" si="102"/>
        <v>0.14000000000000001</v>
      </c>
      <c r="AH1189" s="45">
        <f t="shared" si="106"/>
        <v>0</v>
      </c>
      <c r="AJ1189" s="44">
        <f t="shared" si="103"/>
        <v>1.2150000000000001</v>
      </c>
      <c r="AP1189" s="46">
        <f t="shared" si="104"/>
        <v>0.14000000000000001</v>
      </c>
    </row>
    <row r="1190" spans="19:42" ht="18">
      <c r="S1190" s="8">
        <f t="shared" si="105"/>
        <v>0</v>
      </c>
      <c r="W1190" s="3">
        <v>1216</v>
      </c>
      <c r="X1190" s="30">
        <v>139.80000000000001</v>
      </c>
      <c r="Y1190" s="33">
        <f t="shared" si="102"/>
        <v>0.14000000000000001</v>
      </c>
      <c r="AH1190" s="45">
        <f t="shared" si="106"/>
        <v>0</v>
      </c>
      <c r="AJ1190" s="44">
        <f t="shared" si="103"/>
        <v>1.216</v>
      </c>
      <c r="AP1190" s="46">
        <f t="shared" si="104"/>
        <v>0.14000000000000001</v>
      </c>
    </row>
    <row r="1191" spans="19:42" ht="18">
      <c r="S1191" s="8">
        <f t="shared" si="105"/>
        <v>0</v>
      </c>
      <c r="W1191" s="3">
        <v>1217</v>
      </c>
      <c r="X1191" s="30">
        <v>139.85</v>
      </c>
      <c r="Y1191" s="33">
        <f t="shared" si="102"/>
        <v>0.14000000000000001</v>
      </c>
      <c r="AH1191" s="45">
        <f t="shared" si="106"/>
        <v>0</v>
      </c>
      <c r="AJ1191" s="44">
        <f t="shared" si="103"/>
        <v>1.2170000000000001</v>
      </c>
      <c r="AP1191" s="46">
        <f t="shared" si="104"/>
        <v>0.14000000000000001</v>
      </c>
    </row>
    <row r="1192" spans="19:42" ht="18">
      <c r="S1192" s="8">
        <f t="shared" si="105"/>
        <v>0</v>
      </c>
      <c r="W1192" s="3">
        <v>1218</v>
      </c>
      <c r="X1192" s="30">
        <v>139.9</v>
      </c>
      <c r="Y1192" s="33">
        <f t="shared" si="102"/>
        <v>0.14000000000000001</v>
      </c>
      <c r="AH1192" s="45">
        <f t="shared" si="106"/>
        <v>0</v>
      </c>
      <c r="AJ1192" s="44">
        <f t="shared" si="103"/>
        <v>1.218</v>
      </c>
      <c r="AP1192" s="46">
        <f t="shared" si="104"/>
        <v>0.14000000000000001</v>
      </c>
    </row>
    <row r="1193" spans="19:42" ht="18">
      <c r="S1193" s="8">
        <f t="shared" si="105"/>
        <v>0</v>
      </c>
      <c r="W1193" s="3">
        <v>1219</v>
      </c>
      <c r="X1193" s="30">
        <v>139.94999999999999</v>
      </c>
      <c r="Y1193" s="33">
        <f t="shared" si="102"/>
        <v>0.14000000000000001</v>
      </c>
      <c r="AH1193" s="45">
        <f t="shared" si="106"/>
        <v>0</v>
      </c>
      <c r="AJ1193" s="44">
        <f t="shared" si="103"/>
        <v>1.2190000000000001</v>
      </c>
      <c r="AP1193" s="46">
        <f t="shared" si="104"/>
        <v>0.14000000000000001</v>
      </c>
    </row>
    <row r="1194" spans="19:42" ht="18">
      <c r="S1194" s="8">
        <f t="shared" si="105"/>
        <v>0</v>
      </c>
      <c r="W1194" s="3">
        <v>1220</v>
      </c>
      <c r="X1194" s="30">
        <v>140</v>
      </c>
      <c r="Y1194" s="33">
        <f t="shared" si="102"/>
        <v>0.14000000000000001</v>
      </c>
      <c r="AH1194" s="45">
        <f t="shared" si="106"/>
        <v>0</v>
      </c>
      <c r="AJ1194" s="44">
        <f t="shared" si="103"/>
        <v>1.22</v>
      </c>
      <c r="AP1194" s="46">
        <f t="shared" si="104"/>
        <v>0.14000000000000001</v>
      </c>
    </row>
    <row r="1195" spans="19:42" ht="18">
      <c r="S1195" s="8">
        <f t="shared" si="105"/>
        <v>0</v>
      </c>
      <c r="W1195" s="3">
        <v>1221</v>
      </c>
      <c r="X1195" s="30">
        <v>140.05000000000001</v>
      </c>
      <c r="Y1195" s="33">
        <f t="shared" si="102"/>
        <v>0.14000000000000001</v>
      </c>
      <c r="AH1195" s="45">
        <f t="shared" si="106"/>
        <v>0</v>
      </c>
      <c r="AJ1195" s="44">
        <f t="shared" si="103"/>
        <v>1.2210000000000001</v>
      </c>
      <c r="AP1195" s="46">
        <f t="shared" si="104"/>
        <v>0.14000000000000001</v>
      </c>
    </row>
    <row r="1196" spans="19:42" ht="18">
      <c r="S1196" s="8">
        <f t="shared" si="105"/>
        <v>0</v>
      </c>
      <c r="W1196" s="3">
        <v>1222</v>
      </c>
      <c r="X1196" s="30">
        <v>140.1</v>
      </c>
      <c r="Y1196" s="33">
        <f t="shared" si="102"/>
        <v>0.14000000000000001</v>
      </c>
      <c r="AH1196" s="45">
        <f t="shared" si="106"/>
        <v>0</v>
      </c>
      <c r="AJ1196" s="44">
        <f t="shared" si="103"/>
        <v>1.222</v>
      </c>
      <c r="AP1196" s="46">
        <f t="shared" si="104"/>
        <v>0.14000000000000001</v>
      </c>
    </row>
    <row r="1197" spans="19:42" ht="18">
      <c r="S1197" s="8">
        <f t="shared" si="105"/>
        <v>0</v>
      </c>
      <c r="W1197" s="3">
        <v>1223</v>
      </c>
      <c r="X1197" s="30">
        <v>140.15</v>
      </c>
      <c r="Y1197" s="33">
        <f t="shared" si="102"/>
        <v>0.14000000000000001</v>
      </c>
      <c r="AH1197" s="45">
        <f t="shared" si="106"/>
        <v>0</v>
      </c>
      <c r="AJ1197" s="44">
        <f t="shared" si="103"/>
        <v>1.2230000000000001</v>
      </c>
      <c r="AP1197" s="46">
        <f t="shared" si="104"/>
        <v>0.14000000000000001</v>
      </c>
    </row>
    <row r="1198" spans="19:42" ht="18">
      <c r="S1198" s="8">
        <f t="shared" si="105"/>
        <v>0</v>
      </c>
      <c r="W1198" s="3">
        <v>1224</v>
      </c>
      <c r="X1198" s="30">
        <v>140.19999999999999</v>
      </c>
      <c r="Y1198" s="33">
        <f t="shared" si="102"/>
        <v>0.14000000000000001</v>
      </c>
      <c r="AH1198" s="45">
        <f t="shared" si="106"/>
        <v>0</v>
      </c>
      <c r="AJ1198" s="44">
        <f t="shared" si="103"/>
        <v>1.224</v>
      </c>
      <c r="AP1198" s="46">
        <f t="shared" si="104"/>
        <v>0.14000000000000001</v>
      </c>
    </row>
    <row r="1199" spans="19:42" ht="18">
      <c r="S1199" s="8">
        <f t="shared" si="105"/>
        <v>0</v>
      </c>
      <c r="W1199" s="3">
        <v>1225</v>
      </c>
      <c r="X1199" s="30">
        <v>140.25</v>
      </c>
      <c r="Y1199" s="33">
        <f t="shared" si="102"/>
        <v>0.14000000000000001</v>
      </c>
      <c r="AH1199" s="45">
        <f t="shared" si="106"/>
        <v>0</v>
      </c>
      <c r="AJ1199" s="44">
        <f t="shared" si="103"/>
        <v>1.2250000000000001</v>
      </c>
      <c r="AP1199" s="46">
        <f t="shared" si="104"/>
        <v>0.14000000000000001</v>
      </c>
    </row>
    <row r="1200" spans="19:42" ht="18">
      <c r="S1200" s="8">
        <f t="shared" si="105"/>
        <v>0</v>
      </c>
      <c r="W1200" s="3">
        <v>1226</v>
      </c>
      <c r="X1200" s="30">
        <v>140.30000000000001</v>
      </c>
      <c r="Y1200" s="33">
        <f t="shared" si="102"/>
        <v>0.14000000000000001</v>
      </c>
      <c r="AH1200" s="45">
        <f t="shared" si="106"/>
        <v>0</v>
      </c>
      <c r="AJ1200" s="44">
        <f t="shared" si="103"/>
        <v>1.226</v>
      </c>
      <c r="AP1200" s="46">
        <f t="shared" si="104"/>
        <v>0.14000000000000001</v>
      </c>
    </row>
    <row r="1201" spans="19:42" ht="18">
      <c r="S1201" s="8">
        <f t="shared" si="105"/>
        <v>0</v>
      </c>
      <c r="W1201" s="3">
        <v>1227</v>
      </c>
      <c r="X1201" s="30">
        <v>140.35</v>
      </c>
      <c r="Y1201" s="33">
        <f t="shared" si="102"/>
        <v>0.14000000000000001</v>
      </c>
      <c r="AH1201" s="45">
        <f t="shared" si="106"/>
        <v>0</v>
      </c>
      <c r="AJ1201" s="44">
        <f t="shared" si="103"/>
        <v>1.2270000000000001</v>
      </c>
      <c r="AP1201" s="46">
        <f t="shared" si="104"/>
        <v>0.14000000000000001</v>
      </c>
    </row>
    <row r="1202" spans="19:42" ht="18">
      <c r="S1202" s="8">
        <f t="shared" si="105"/>
        <v>0</v>
      </c>
      <c r="W1202" s="3">
        <v>1228</v>
      </c>
      <c r="X1202" s="30">
        <v>140.4</v>
      </c>
      <c r="Y1202" s="33">
        <f t="shared" si="102"/>
        <v>0.14000000000000001</v>
      </c>
      <c r="AH1202" s="45">
        <f t="shared" si="106"/>
        <v>0</v>
      </c>
      <c r="AJ1202" s="44">
        <f t="shared" si="103"/>
        <v>1.228</v>
      </c>
      <c r="AP1202" s="46">
        <f t="shared" si="104"/>
        <v>0.14000000000000001</v>
      </c>
    </row>
    <row r="1203" spans="19:42" ht="18">
      <c r="S1203" s="8">
        <f t="shared" si="105"/>
        <v>0</v>
      </c>
      <c r="W1203" s="3">
        <v>1229</v>
      </c>
      <c r="X1203" s="30">
        <v>140.44999999999999</v>
      </c>
      <c r="Y1203" s="33">
        <f t="shared" si="102"/>
        <v>0.14000000000000001</v>
      </c>
      <c r="AH1203" s="45">
        <f t="shared" si="106"/>
        <v>0</v>
      </c>
      <c r="AJ1203" s="44">
        <f t="shared" si="103"/>
        <v>1.2290000000000001</v>
      </c>
      <c r="AP1203" s="46">
        <f t="shared" si="104"/>
        <v>0.14000000000000001</v>
      </c>
    </row>
    <row r="1204" spans="19:42" ht="18">
      <c r="S1204" s="8">
        <f t="shared" si="105"/>
        <v>0</v>
      </c>
      <c r="W1204" s="3">
        <v>1230</v>
      </c>
      <c r="X1204" s="30">
        <v>140.5</v>
      </c>
      <c r="Y1204" s="33">
        <f t="shared" si="102"/>
        <v>0.14099999999999999</v>
      </c>
      <c r="AH1204" s="45">
        <f t="shared" si="106"/>
        <v>0</v>
      </c>
      <c r="AJ1204" s="44">
        <f t="shared" si="103"/>
        <v>1.23</v>
      </c>
      <c r="AP1204" s="46">
        <f t="shared" si="104"/>
        <v>0.14099999999999999</v>
      </c>
    </row>
    <row r="1205" spans="19:42" ht="18">
      <c r="S1205" s="8">
        <f t="shared" si="105"/>
        <v>0</v>
      </c>
      <c r="W1205" s="3">
        <v>1231</v>
      </c>
      <c r="X1205" s="30">
        <v>140.55000000000001</v>
      </c>
      <c r="Y1205" s="33">
        <f t="shared" si="102"/>
        <v>0.14099999999999999</v>
      </c>
      <c r="AH1205" s="45">
        <f t="shared" si="106"/>
        <v>0</v>
      </c>
      <c r="AJ1205" s="44">
        <f t="shared" si="103"/>
        <v>1.2310000000000001</v>
      </c>
      <c r="AP1205" s="46">
        <f t="shared" si="104"/>
        <v>0.14099999999999999</v>
      </c>
    </row>
    <row r="1206" spans="19:42" ht="18">
      <c r="S1206" s="8">
        <f t="shared" si="105"/>
        <v>0</v>
      </c>
      <c r="W1206" s="3">
        <v>1232</v>
      </c>
      <c r="X1206" s="30">
        <v>140.6</v>
      </c>
      <c r="Y1206" s="33">
        <f t="shared" si="102"/>
        <v>0.14099999999999999</v>
      </c>
      <c r="AH1206" s="45">
        <f t="shared" si="106"/>
        <v>0</v>
      </c>
      <c r="AJ1206" s="44">
        <f t="shared" si="103"/>
        <v>1.232</v>
      </c>
      <c r="AP1206" s="46">
        <f t="shared" si="104"/>
        <v>0.14099999999999999</v>
      </c>
    </row>
    <row r="1207" spans="19:42" ht="18">
      <c r="S1207" s="8">
        <f t="shared" si="105"/>
        <v>0</v>
      </c>
      <c r="W1207" s="3">
        <v>1233</v>
      </c>
      <c r="X1207" s="30">
        <v>140.65</v>
      </c>
      <c r="Y1207" s="33">
        <f t="shared" si="102"/>
        <v>0.14099999999999999</v>
      </c>
      <c r="AH1207" s="45">
        <f t="shared" si="106"/>
        <v>0</v>
      </c>
      <c r="AJ1207" s="44">
        <f t="shared" si="103"/>
        <v>1.2330000000000001</v>
      </c>
      <c r="AP1207" s="46">
        <f t="shared" si="104"/>
        <v>0.14099999999999999</v>
      </c>
    </row>
    <row r="1208" spans="19:42" ht="18">
      <c r="S1208" s="8">
        <f t="shared" si="105"/>
        <v>0</v>
      </c>
      <c r="W1208" s="3">
        <v>1234</v>
      </c>
      <c r="X1208" s="30">
        <v>140.69999999999999</v>
      </c>
      <c r="Y1208" s="33">
        <f t="shared" si="102"/>
        <v>0.14099999999999999</v>
      </c>
      <c r="AH1208" s="45">
        <f t="shared" si="106"/>
        <v>0</v>
      </c>
      <c r="AJ1208" s="44">
        <f t="shared" si="103"/>
        <v>1.234</v>
      </c>
      <c r="AP1208" s="46">
        <f t="shared" si="104"/>
        <v>0.14099999999999999</v>
      </c>
    </row>
    <row r="1209" spans="19:42" ht="18">
      <c r="S1209" s="8">
        <f t="shared" si="105"/>
        <v>0</v>
      </c>
      <c r="W1209" s="3">
        <v>1235</v>
      </c>
      <c r="X1209" s="30">
        <v>140.75</v>
      </c>
      <c r="Y1209" s="33">
        <f t="shared" si="102"/>
        <v>0.14099999999999999</v>
      </c>
      <c r="AH1209" s="45">
        <f t="shared" si="106"/>
        <v>0</v>
      </c>
      <c r="AJ1209" s="44">
        <f t="shared" si="103"/>
        <v>1.2350000000000001</v>
      </c>
      <c r="AP1209" s="46">
        <f t="shared" si="104"/>
        <v>0.14099999999999999</v>
      </c>
    </row>
    <row r="1210" spans="19:42" ht="18">
      <c r="S1210" s="8">
        <f t="shared" si="105"/>
        <v>0</v>
      </c>
      <c r="W1210" s="3">
        <v>1236</v>
      </c>
      <c r="X1210" s="30">
        <v>140.80000000000001</v>
      </c>
      <c r="Y1210" s="33">
        <f t="shared" si="102"/>
        <v>0.14099999999999999</v>
      </c>
      <c r="AH1210" s="45">
        <f t="shared" si="106"/>
        <v>0</v>
      </c>
      <c r="AJ1210" s="44">
        <f t="shared" si="103"/>
        <v>1.236</v>
      </c>
      <c r="AP1210" s="46">
        <f t="shared" si="104"/>
        <v>0.14099999999999999</v>
      </c>
    </row>
    <row r="1211" spans="19:42" ht="18">
      <c r="S1211" s="8">
        <f t="shared" si="105"/>
        <v>0</v>
      </c>
      <c r="W1211" s="3">
        <v>1237</v>
      </c>
      <c r="X1211" s="30">
        <v>140.85</v>
      </c>
      <c r="Y1211" s="33">
        <f t="shared" si="102"/>
        <v>0.14099999999999999</v>
      </c>
      <c r="AH1211" s="45">
        <f t="shared" si="106"/>
        <v>0</v>
      </c>
      <c r="AJ1211" s="44">
        <f t="shared" si="103"/>
        <v>1.2370000000000001</v>
      </c>
      <c r="AP1211" s="46">
        <f t="shared" si="104"/>
        <v>0.14099999999999999</v>
      </c>
    </row>
    <row r="1212" spans="19:42" ht="18">
      <c r="S1212" s="8">
        <f t="shared" si="105"/>
        <v>0</v>
      </c>
      <c r="W1212" s="3">
        <v>1238</v>
      </c>
      <c r="X1212" s="30">
        <v>140.9</v>
      </c>
      <c r="Y1212" s="33">
        <f t="shared" si="102"/>
        <v>0.14099999999999999</v>
      </c>
      <c r="AH1212" s="45">
        <f t="shared" si="106"/>
        <v>0</v>
      </c>
      <c r="AJ1212" s="44">
        <f t="shared" si="103"/>
        <v>1.238</v>
      </c>
      <c r="AP1212" s="46">
        <f t="shared" si="104"/>
        <v>0.14099999999999999</v>
      </c>
    </row>
    <row r="1213" spans="19:42" ht="18">
      <c r="S1213" s="8">
        <f t="shared" si="105"/>
        <v>0</v>
      </c>
      <c r="W1213" s="3">
        <v>1239</v>
      </c>
      <c r="X1213" s="30">
        <v>140.94999999999999</v>
      </c>
      <c r="Y1213" s="33">
        <f t="shared" si="102"/>
        <v>0.14099999999999999</v>
      </c>
      <c r="AH1213" s="45">
        <f t="shared" si="106"/>
        <v>0</v>
      </c>
      <c r="AJ1213" s="44">
        <f t="shared" si="103"/>
        <v>1.2390000000000001</v>
      </c>
      <c r="AP1213" s="46">
        <f t="shared" si="104"/>
        <v>0.14099999999999999</v>
      </c>
    </row>
    <row r="1214" spans="19:42" ht="18">
      <c r="S1214" s="8">
        <f t="shared" si="105"/>
        <v>0</v>
      </c>
      <c r="W1214" s="3">
        <v>1240</v>
      </c>
      <c r="X1214" s="30">
        <v>141</v>
      </c>
      <c r="Y1214" s="33">
        <f t="shared" si="102"/>
        <v>0.14099999999999999</v>
      </c>
      <c r="AH1214" s="45">
        <f t="shared" si="106"/>
        <v>0</v>
      </c>
      <c r="AJ1214" s="44">
        <f t="shared" si="103"/>
        <v>1.24</v>
      </c>
      <c r="AP1214" s="46">
        <f t="shared" si="104"/>
        <v>0.14099999999999999</v>
      </c>
    </row>
    <row r="1215" spans="19:42" ht="18">
      <c r="S1215" s="8">
        <f t="shared" si="105"/>
        <v>0</v>
      </c>
      <c r="W1215" s="3">
        <v>1241</v>
      </c>
      <c r="X1215" s="30">
        <v>141.03800000000001</v>
      </c>
      <c r="Y1215" s="33">
        <f t="shared" si="102"/>
        <v>0.14099999999999999</v>
      </c>
      <c r="AH1215" s="45">
        <f t="shared" si="106"/>
        <v>0</v>
      </c>
      <c r="AJ1215" s="44">
        <f t="shared" si="103"/>
        <v>1.2410000000000001</v>
      </c>
      <c r="AP1215" s="46">
        <f t="shared" si="104"/>
        <v>0.14099999999999999</v>
      </c>
    </row>
    <row r="1216" spans="19:42" ht="18">
      <c r="S1216" s="8">
        <f t="shared" si="105"/>
        <v>0</v>
      </c>
      <c r="W1216" s="3">
        <v>1242</v>
      </c>
      <c r="X1216" s="30">
        <v>141.07499999999999</v>
      </c>
      <c r="Y1216" s="33">
        <f t="shared" si="102"/>
        <v>0.14099999999999999</v>
      </c>
      <c r="AH1216" s="45">
        <f t="shared" si="106"/>
        <v>0</v>
      </c>
      <c r="AJ1216" s="44">
        <f t="shared" si="103"/>
        <v>1.242</v>
      </c>
      <c r="AP1216" s="46">
        <f t="shared" si="104"/>
        <v>0.14099999999999999</v>
      </c>
    </row>
    <row r="1217" spans="19:42" ht="18">
      <c r="S1217" s="8">
        <f t="shared" si="105"/>
        <v>0</v>
      </c>
      <c r="W1217" s="3">
        <v>1243</v>
      </c>
      <c r="X1217" s="30">
        <v>141.113</v>
      </c>
      <c r="Y1217" s="33">
        <f t="shared" si="102"/>
        <v>0.14099999999999999</v>
      </c>
      <c r="AH1217" s="45">
        <f t="shared" si="106"/>
        <v>0</v>
      </c>
      <c r="AJ1217" s="44">
        <f t="shared" si="103"/>
        <v>1.2430000000000001</v>
      </c>
      <c r="AP1217" s="46">
        <f t="shared" si="104"/>
        <v>0.14099999999999999</v>
      </c>
    </row>
    <row r="1218" spans="19:42" ht="18">
      <c r="S1218" s="8">
        <f t="shared" si="105"/>
        <v>0</v>
      </c>
      <c r="W1218" s="3">
        <v>1244</v>
      </c>
      <c r="X1218" s="30">
        <v>141.15</v>
      </c>
      <c r="Y1218" s="33">
        <f t="shared" si="102"/>
        <v>0.14099999999999999</v>
      </c>
      <c r="AH1218" s="45">
        <f t="shared" si="106"/>
        <v>0</v>
      </c>
      <c r="AJ1218" s="44">
        <f t="shared" si="103"/>
        <v>1.244</v>
      </c>
      <c r="AP1218" s="46">
        <f t="shared" si="104"/>
        <v>0.14099999999999999</v>
      </c>
    </row>
    <row r="1219" spans="19:42" ht="18">
      <c r="S1219" s="8">
        <f t="shared" si="105"/>
        <v>0</v>
      </c>
      <c r="W1219" s="3">
        <v>1245</v>
      </c>
      <c r="X1219" s="30">
        <v>141.18799999999999</v>
      </c>
      <c r="Y1219" s="33">
        <f t="shared" si="102"/>
        <v>0.14099999999999999</v>
      </c>
      <c r="AH1219" s="45">
        <f t="shared" si="106"/>
        <v>0</v>
      </c>
      <c r="AJ1219" s="44">
        <f t="shared" si="103"/>
        <v>1.2450000000000001</v>
      </c>
      <c r="AP1219" s="46">
        <f t="shared" si="104"/>
        <v>0.14099999999999999</v>
      </c>
    </row>
    <row r="1220" spans="19:42" ht="18">
      <c r="S1220" s="8">
        <f t="shared" si="105"/>
        <v>0</v>
      </c>
      <c r="W1220" s="3">
        <v>1246</v>
      </c>
      <c r="X1220" s="30">
        <v>141.22499999999999</v>
      </c>
      <c r="Y1220" s="33">
        <f t="shared" si="102"/>
        <v>0.14099999999999999</v>
      </c>
      <c r="AH1220" s="45">
        <f t="shared" si="106"/>
        <v>0</v>
      </c>
      <c r="AJ1220" s="44">
        <f t="shared" si="103"/>
        <v>1.246</v>
      </c>
      <c r="AP1220" s="46">
        <f t="shared" si="104"/>
        <v>0.14099999999999999</v>
      </c>
    </row>
    <row r="1221" spans="19:42" ht="18">
      <c r="S1221" s="8">
        <f t="shared" si="105"/>
        <v>0</v>
      </c>
      <c r="W1221" s="3">
        <v>1247</v>
      </c>
      <c r="X1221" s="30">
        <v>141.26300000000001</v>
      </c>
      <c r="Y1221" s="33">
        <f t="shared" ref="Y1221:Y1284" si="107">ROUND(X1221/1000,3)</f>
        <v>0.14099999999999999</v>
      </c>
      <c r="AH1221" s="45">
        <f t="shared" si="106"/>
        <v>0</v>
      </c>
      <c r="AJ1221" s="44">
        <f t="shared" ref="AJ1221:AJ1284" si="108">ROUND(W1221/1000,3)</f>
        <v>1.2470000000000001</v>
      </c>
      <c r="AP1221" s="46">
        <f t="shared" ref="AP1221:AP1284" si="109">ROUND(X1221/1000,3)</f>
        <v>0.14099999999999999</v>
      </c>
    </row>
    <row r="1222" spans="19:42" ht="18">
      <c r="S1222" s="8">
        <f t="shared" ref="S1222:S1285" si="110">CEILING(R1222/50,0.5)</f>
        <v>0</v>
      </c>
      <c r="W1222" s="3">
        <v>1248</v>
      </c>
      <c r="X1222" s="30">
        <v>141.30000000000001</v>
      </c>
      <c r="Y1222" s="33">
        <f t="shared" si="107"/>
        <v>0.14099999999999999</v>
      </c>
      <c r="AH1222" s="45">
        <f t="shared" ref="AH1222:AH1285" si="111">AE1222-AE1221</f>
        <v>0</v>
      </c>
      <c r="AJ1222" s="44">
        <f t="shared" si="108"/>
        <v>1.248</v>
      </c>
      <c r="AP1222" s="46">
        <f t="shared" si="109"/>
        <v>0.14099999999999999</v>
      </c>
    </row>
    <row r="1223" spans="19:42" ht="18">
      <c r="S1223" s="8">
        <f t="shared" si="110"/>
        <v>0</v>
      </c>
      <c r="W1223" s="3">
        <v>1249</v>
      </c>
      <c r="X1223" s="30">
        <v>141.33799999999999</v>
      </c>
      <c r="Y1223" s="33">
        <f t="shared" si="107"/>
        <v>0.14099999999999999</v>
      </c>
      <c r="AH1223" s="45">
        <f t="shared" si="111"/>
        <v>0</v>
      </c>
      <c r="AJ1223" s="44">
        <f t="shared" si="108"/>
        <v>1.2490000000000001</v>
      </c>
      <c r="AP1223" s="46">
        <f t="shared" si="109"/>
        <v>0.14099999999999999</v>
      </c>
    </row>
    <row r="1224" spans="19:42" ht="18">
      <c r="S1224" s="8">
        <f t="shared" si="110"/>
        <v>0</v>
      </c>
      <c r="W1224" s="3">
        <v>1250</v>
      </c>
      <c r="X1224" s="30">
        <v>141.375</v>
      </c>
      <c r="Y1224" s="33">
        <f t="shared" si="107"/>
        <v>0.14099999999999999</v>
      </c>
      <c r="AH1224" s="45">
        <f t="shared" si="111"/>
        <v>0</v>
      </c>
      <c r="AJ1224" s="44">
        <f t="shared" si="108"/>
        <v>1.25</v>
      </c>
      <c r="AP1224" s="46">
        <f t="shared" si="109"/>
        <v>0.14099999999999999</v>
      </c>
    </row>
    <row r="1225" spans="19:42" ht="18">
      <c r="S1225" s="8">
        <f t="shared" si="110"/>
        <v>0</v>
      </c>
      <c r="W1225" s="3">
        <v>1251</v>
      </c>
      <c r="X1225" s="30">
        <v>141.41300000000001</v>
      </c>
      <c r="Y1225" s="33">
        <f t="shared" si="107"/>
        <v>0.14099999999999999</v>
      </c>
      <c r="AH1225" s="45">
        <f t="shared" si="111"/>
        <v>0</v>
      </c>
      <c r="AJ1225" s="44">
        <f t="shared" si="108"/>
        <v>1.2509999999999999</v>
      </c>
      <c r="AP1225" s="46">
        <f t="shared" si="109"/>
        <v>0.14099999999999999</v>
      </c>
    </row>
    <row r="1226" spans="19:42" ht="18">
      <c r="S1226" s="8">
        <f t="shared" si="110"/>
        <v>0</v>
      </c>
      <c r="W1226" s="3">
        <v>1252</v>
      </c>
      <c r="X1226" s="30">
        <v>141.44999999999999</v>
      </c>
      <c r="Y1226" s="33">
        <f t="shared" si="107"/>
        <v>0.14099999999999999</v>
      </c>
      <c r="AH1226" s="45">
        <f t="shared" si="111"/>
        <v>0</v>
      </c>
      <c r="AJ1226" s="44">
        <f t="shared" si="108"/>
        <v>1.252</v>
      </c>
      <c r="AP1226" s="46">
        <f t="shared" si="109"/>
        <v>0.14099999999999999</v>
      </c>
    </row>
    <row r="1227" spans="19:42" ht="18">
      <c r="S1227" s="8">
        <f t="shared" si="110"/>
        <v>0</v>
      </c>
      <c r="W1227" s="3">
        <v>1253</v>
      </c>
      <c r="X1227" s="30">
        <v>141.488</v>
      </c>
      <c r="Y1227" s="33">
        <f t="shared" si="107"/>
        <v>0.14099999999999999</v>
      </c>
      <c r="AH1227" s="45">
        <f t="shared" si="111"/>
        <v>0</v>
      </c>
      <c r="AJ1227" s="44">
        <f t="shared" si="108"/>
        <v>1.2529999999999999</v>
      </c>
      <c r="AP1227" s="46">
        <f t="shared" si="109"/>
        <v>0.14099999999999999</v>
      </c>
    </row>
    <row r="1228" spans="19:42" ht="18">
      <c r="S1228" s="8">
        <f t="shared" si="110"/>
        <v>0</v>
      </c>
      <c r="W1228" s="3">
        <v>1254</v>
      </c>
      <c r="X1228" s="30">
        <v>141.52500000000001</v>
      </c>
      <c r="Y1228" s="33">
        <f t="shared" si="107"/>
        <v>0.14199999999999999</v>
      </c>
      <c r="AH1228" s="45">
        <f t="shared" si="111"/>
        <v>0</v>
      </c>
      <c r="AJ1228" s="44">
        <f t="shared" si="108"/>
        <v>1.254</v>
      </c>
      <c r="AP1228" s="46">
        <f t="shared" si="109"/>
        <v>0.14199999999999999</v>
      </c>
    </row>
    <row r="1229" spans="19:42" ht="18">
      <c r="S1229" s="8">
        <f t="shared" si="110"/>
        <v>0</v>
      </c>
      <c r="W1229" s="3">
        <v>1255</v>
      </c>
      <c r="X1229" s="30">
        <v>141.56299999999999</v>
      </c>
      <c r="Y1229" s="33">
        <f t="shared" si="107"/>
        <v>0.14199999999999999</v>
      </c>
      <c r="AH1229" s="45">
        <f t="shared" si="111"/>
        <v>0</v>
      </c>
      <c r="AJ1229" s="44">
        <f t="shared" si="108"/>
        <v>1.2549999999999999</v>
      </c>
      <c r="AP1229" s="46">
        <f t="shared" si="109"/>
        <v>0.14199999999999999</v>
      </c>
    </row>
    <row r="1230" spans="19:42" ht="18">
      <c r="S1230" s="8">
        <f t="shared" si="110"/>
        <v>0</v>
      </c>
      <c r="W1230" s="3">
        <v>1256</v>
      </c>
      <c r="X1230" s="30">
        <v>141.6</v>
      </c>
      <c r="Y1230" s="33">
        <f t="shared" si="107"/>
        <v>0.14199999999999999</v>
      </c>
      <c r="AH1230" s="45">
        <f t="shared" si="111"/>
        <v>0</v>
      </c>
      <c r="AJ1230" s="44">
        <f t="shared" si="108"/>
        <v>1.256</v>
      </c>
      <c r="AP1230" s="46">
        <f t="shared" si="109"/>
        <v>0.14199999999999999</v>
      </c>
    </row>
    <row r="1231" spans="19:42" ht="18">
      <c r="S1231" s="8">
        <f t="shared" si="110"/>
        <v>0</v>
      </c>
      <c r="W1231" s="3">
        <v>1257</v>
      </c>
      <c r="X1231" s="30">
        <v>141.63800000000001</v>
      </c>
      <c r="Y1231" s="33">
        <f t="shared" si="107"/>
        <v>0.14199999999999999</v>
      </c>
      <c r="AH1231" s="45">
        <f t="shared" si="111"/>
        <v>0</v>
      </c>
      <c r="AJ1231" s="44">
        <f t="shared" si="108"/>
        <v>1.2569999999999999</v>
      </c>
      <c r="AP1231" s="46">
        <f t="shared" si="109"/>
        <v>0.14199999999999999</v>
      </c>
    </row>
    <row r="1232" spans="19:42" ht="18">
      <c r="S1232" s="8">
        <f t="shared" si="110"/>
        <v>0</v>
      </c>
      <c r="W1232" s="3">
        <v>1258</v>
      </c>
      <c r="X1232" s="30">
        <v>141.67500000000001</v>
      </c>
      <c r="Y1232" s="33">
        <f t="shared" si="107"/>
        <v>0.14199999999999999</v>
      </c>
      <c r="AH1232" s="45">
        <f t="shared" si="111"/>
        <v>0</v>
      </c>
      <c r="AJ1232" s="44">
        <f t="shared" si="108"/>
        <v>1.258</v>
      </c>
      <c r="AP1232" s="46">
        <f t="shared" si="109"/>
        <v>0.14199999999999999</v>
      </c>
    </row>
    <row r="1233" spans="19:42" ht="18">
      <c r="S1233" s="8">
        <f t="shared" si="110"/>
        <v>0</v>
      </c>
      <c r="W1233" s="3">
        <v>1259</v>
      </c>
      <c r="X1233" s="30">
        <v>141.71299999999999</v>
      </c>
      <c r="Y1233" s="33">
        <f t="shared" si="107"/>
        <v>0.14199999999999999</v>
      </c>
      <c r="AH1233" s="45">
        <f t="shared" si="111"/>
        <v>0</v>
      </c>
      <c r="AJ1233" s="44">
        <f t="shared" si="108"/>
        <v>1.2589999999999999</v>
      </c>
      <c r="AP1233" s="46">
        <f t="shared" si="109"/>
        <v>0.14199999999999999</v>
      </c>
    </row>
    <row r="1234" spans="19:42" ht="18">
      <c r="S1234" s="8">
        <f t="shared" si="110"/>
        <v>0</v>
      </c>
      <c r="W1234" s="3">
        <v>1260</v>
      </c>
      <c r="X1234" s="30">
        <v>141.75</v>
      </c>
      <c r="Y1234" s="33">
        <f t="shared" si="107"/>
        <v>0.14199999999999999</v>
      </c>
      <c r="AH1234" s="45">
        <f t="shared" si="111"/>
        <v>0</v>
      </c>
      <c r="AJ1234" s="44">
        <f t="shared" si="108"/>
        <v>1.26</v>
      </c>
      <c r="AP1234" s="46">
        <f t="shared" si="109"/>
        <v>0.14199999999999999</v>
      </c>
    </row>
    <row r="1235" spans="19:42" ht="18">
      <c r="S1235" s="8">
        <f t="shared" si="110"/>
        <v>0</v>
      </c>
      <c r="W1235" s="3">
        <v>1261</v>
      </c>
      <c r="X1235" s="30">
        <v>141.78800000000001</v>
      </c>
      <c r="Y1235" s="33">
        <f t="shared" si="107"/>
        <v>0.14199999999999999</v>
      </c>
      <c r="AH1235" s="45">
        <f t="shared" si="111"/>
        <v>0</v>
      </c>
      <c r="AJ1235" s="44">
        <f t="shared" si="108"/>
        <v>1.2609999999999999</v>
      </c>
      <c r="AP1235" s="46">
        <f t="shared" si="109"/>
        <v>0.14199999999999999</v>
      </c>
    </row>
    <row r="1236" spans="19:42" ht="18">
      <c r="S1236" s="8">
        <f t="shared" si="110"/>
        <v>0</v>
      </c>
      <c r="W1236" s="3">
        <v>1262</v>
      </c>
      <c r="X1236" s="30">
        <v>141.82499999999999</v>
      </c>
      <c r="Y1236" s="33">
        <f t="shared" si="107"/>
        <v>0.14199999999999999</v>
      </c>
      <c r="AH1236" s="45">
        <f t="shared" si="111"/>
        <v>0</v>
      </c>
      <c r="AJ1236" s="44">
        <f t="shared" si="108"/>
        <v>1.262</v>
      </c>
      <c r="AP1236" s="46">
        <f t="shared" si="109"/>
        <v>0.14199999999999999</v>
      </c>
    </row>
    <row r="1237" spans="19:42" ht="18">
      <c r="S1237" s="8">
        <f t="shared" si="110"/>
        <v>0</v>
      </c>
      <c r="W1237" s="3">
        <v>1263</v>
      </c>
      <c r="X1237" s="30">
        <v>141.863</v>
      </c>
      <c r="Y1237" s="33">
        <f t="shared" si="107"/>
        <v>0.14199999999999999</v>
      </c>
      <c r="AH1237" s="45">
        <f t="shared" si="111"/>
        <v>0</v>
      </c>
      <c r="AJ1237" s="44">
        <f t="shared" si="108"/>
        <v>1.2629999999999999</v>
      </c>
      <c r="AP1237" s="46">
        <f t="shared" si="109"/>
        <v>0.14199999999999999</v>
      </c>
    </row>
    <row r="1238" spans="19:42" ht="18">
      <c r="S1238" s="8">
        <f t="shared" si="110"/>
        <v>0</v>
      </c>
      <c r="W1238" s="3">
        <v>1264</v>
      </c>
      <c r="X1238" s="30">
        <v>141.9</v>
      </c>
      <c r="Y1238" s="33">
        <f t="shared" si="107"/>
        <v>0.14199999999999999</v>
      </c>
      <c r="AH1238" s="45">
        <f t="shared" si="111"/>
        <v>0</v>
      </c>
      <c r="AJ1238" s="44">
        <f t="shared" si="108"/>
        <v>1.264</v>
      </c>
      <c r="AP1238" s="46">
        <f t="shared" si="109"/>
        <v>0.14199999999999999</v>
      </c>
    </row>
    <row r="1239" spans="19:42" ht="18">
      <c r="S1239" s="8">
        <f t="shared" si="110"/>
        <v>0</v>
      </c>
      <c r="W1239" s="3">
        <v>1265</v>
      </c>
      <c r="X1239" s="30">
        <v>141.93799999999999</v>
      </c>
      <c r="Y1239" s="33">
        <f t="shared" si="107"/>
        <v>0.14199999999999999</v>
      </c>
      <c r="AH1239" s="45">
        <f t="shared" si="111"/>
        <v>0</v>
      </c>
      <c r="AJ1239" s="44">
        <f t="shared" si="108"/>
        <v>1.2649999999999999</v>
      </c>
      <c r="AP1239" s="46">
        <f t="shared" si="109"/>
        <v>0.14199999999999999</v>
      </c>
    </row>
    <row r="1240" spans="19:42" ht="18">
      <c r="S1240" s="8">
        <f t="shared" si="110"/>
        <v>0</v>
      </c>
      <c r="W1240" s="3">
        <v>1266</v>
      </c>
      <c r="X1240" s="30">
        <v>141.97499999999999</v>
      </c>
      <c r="Y1240" s="33">
        <f t="shared" si="107"/>
        <v>0.14199999999999999</v>
      </c>
      <c r="AH1240" s="45">
        <f t="shared" si="111"/>
        <v>0</v>
      </c>
      <c r="AJ1240" s="44">
        <f t="shared" si="108"/>
        <v>1.266</v>
      </c>
      <c r="AP1240" s="46">
        <f t="shared" si="109"/>
        <v>0.14199999999999999</v>
      </c>
    </row>
    <row r="1241" spans="19:42" ht="18">
      <c r="S1241" s="8">
        <f t="shared" si="110"/>
        <v>0</v>
      </c>
      <c r="W1241" s="3">
        <v>1267</v>
      </c>
      <c r="X1241" s="30">
        <v>142.01300000000001</v>
      </c>
      <c r="Y1241" s="33">
        <f t="shared" si="107"/>
        <v>0.14199999999999999</v>
      </c>
      <c r="AH1241" s="45">
        <f t="shared" si="111"/>
        <v>0</v>
      </c>
      <c r="AJ1241" s="44">
        <f t="shared" si="108"/>
        <v>1.2669999999999999</v>
      </c>
      <c r="AP1241" s="46">
        <f t="shared" si="109"/>
        <v>0.14199999999999999</v>
      </c>
    </row>
    <row r="1242" spans="19:42" ht="18">
      <c r="S1242" s="8">
        <f t="shared" si="110"/>
        <v>0</v>
      </c>
      <c r="W1242" s="3">
        <v>1268</v>
      </c>
      <c r="X1242" s="30">
        <v>142.05000000000001</v>
      </c>
      <c r="Y1242" s="33">
        <f t="shared" si="107"/>
        <v>0.14199999999999999</v>
      </c>
      <c r="AH1242" s="45">
        <f t="shared" si="111"/>
        <v>0</v>
      </c>
      <c r="AJ1242" s="44">
        <f t="shared" si="108"/>
        <v>1.268</v>
      </c>
      <c r="AP1242" s="46">
        <f t="shared" si="109"/>
        <v>0.14199999999999999</v>
      </c>
    </row>
    <row r="1243" spans="19:42" ht="18">
      <c r="S1243" s="8">
        <f t="shared" si="110"/>
        <v>0</v>
      </c>
      <c r="W1243" s="3">
        <v>1269</v>
      </c>
      <c r="X1243" s="30">
        <v>142.08799999999999</v>
      </c>
      <c r="Y1243" s="33">
        <f t="shared" si="107"/>
        <v>0.14199999999999999</v>
      </c>
      <c r="AH1243" s="45">
        <f t="shared" si="111"/>
        <v>0</v>
      </c>
      <c r="AJ1243" s="44">
        <f t="shared" si="108"/>
        <v>1.2689999999999999</v>
      </c>
      <c r="AP1243" s="46">
        <f t="shared" si="109"/>
        <v>0.14199999999999999</v>
      </c>
    </row>
    <row r="1244" spans="19:42" ht="18">
      <c r="S1244" s="8">
        <f t="shared" si="110"/>
        <v>0</v>
      </c>
      <c r="W1244" s="3">
        <v>1270</v>
      </c>
      <c r="X1244" s="30">
        <v>142.125</v>
      </c>
      <c r="Y1244" s="33">
        <f t="shared" si="107"/>
        <v>0.14199999999999999</v>
      </c>
      <c r="AH1244" s="45">
        <f t="shared" si="111"/>
        <v>0</v>
      </c>
      <c r="AJ1244" s="44">
        <f t="shared" si="108"/>
        <v>1.27</v>
      </c>
      <c r="AP1244" s="46">
        <f t="shared" si="109"/>
        <v>0.14199999999999999</v>
      </c>
    </row>
    <row r="1245" spans="19:42" ht="18">
      <c r="S1245" s="8">
        <f t="shared" si="110"/>
        <v>0</v>
      </c>
      <c r="W1245" s="3">
        <v>1271</v>
      </c>
      <c r="X1245" s="30">
        <v>142.16300000000001</v>
      </c>
      <c r="Y1245" s="33">
        <f t="shared" si="107"/>
        <v>0.14199999999999999</v>
      </c>
      <c r="AH1245" s="45">
        <f t="shared" si="111"/>
        <v>0</v>
      </c>
      <c r="AJ1245" s="44">
        <f t="shared" si="108"/>
        <v>1.2709999999999999</v>
      </c>
      <c r="AP1245" s="46">
        <f t="shared" si="109"/>
        <v>0.14199999999999999</v>
      </c>
    </row>
    <row r="1246" spans="19:42" ht="18">
      <c r="S1246" s="8">
        <f t="shared" si="110"/>
        <v>0</v>
      </c>
      <c r="W1246" s="3">
        <v>1272</v>
      </c>
      <c r="X1246" s="30">
        <v>142.19999999999999</v>
      </c>
      <c r="Y1246" s="33">
        <f t="shared" si="107"/>
        <v>0.14199999999999999</v>
      </c>
      <c r="AH1246" s="45">
        <f t="shared" si="111"/>
        <v>0</v>
      </c>
      <c r="AJ1246" s="44">
        <f t="shared" si="108"/>
        <v>1.272</v>
      </c>
      <c r="AP1246" s="46">
        <f t="shared" si="109"/>
        <v>0.14199999999999999</v>
      </c>
    </row>
    <row r="1247" spans="19:42" ht="18">
      <c r="S1247" s="8">
        <f t="shared" si="110"/>
        <v>0</v>
      </c>
      <c r="W1247" s="3">
        <v>1273</v>
      </c>
      <c r="X1247" s="30">
        <v>142.238</v>
      </c>
      <c r="Y1247" s="33">
        <f t="shared" si="107"/>
        <v>0.14199999999999999</v>
      </c>
      <c r="AH1247" s="45">
        <f t="shared" si="111"/>
        <v>0</v>
      </c>
      <c r="AJ1247" s="44">
        <f t="shared" si="108"/>
        <v>1.2729999999999999</v>
      </c>
      <c r="AP1247" s="46">
        <f t="shared" si="109"/>
        <v>0.14199999999999999</v>
      </c>
    </row>
    <row r="1248" spans="19:42" ht="18">
      <c r="S1248" s="8">
        <f t="shared" si="110"/>
        <v>0</v>
      </c>
      <c r="W1248" s="3">
        <v>1274</v>
      </c>
      <c r="X1248" s="30">
        <v>142.27500000000001</v>
      </c>
      <c r="Y1248" s="33">
        <f t="shared" si="107"/>
        <v>0.14199999999999999</v>
      </c>
      <c r="AH1248" s="45">
        <f t="shared" si="111"/>
        <v>0</v>
      </c>
      <c r="AJ1248" s="44">
        <f t="shared" si="108"/>
        <v>1.274</v>
      </c>
      <c r="AP1248" s="46">
        <f t="shared" si="109"/>
        <v>0.14199999999999999</v>
      </c>
    </row>
    <row r="1249" spans="19:42" ht="18">
      <c r="S1249" s="8">
        <f t="shared" si="110"/>
        <v>0</v>
      </c>
      <c r="W1249" s="3">
        <v>1275</v>
      </c>
      <c r="X1249" s="30">
        <v>142.31299999999999</v>
      </c>
      <c r="Y1249" s="33">
        <f t="shared" si="107"/>
        <v>0.14199999999999999</v>
      </c>
      <c r="AH1249" s="45">
        <f t="shared" si="111"/>
        <v>0</v>
      </c>
      <c r="AJ1249" s="44">
        <f t="shared" si="108"/>
        <v>1.2749999999999999</v>
      </c>
      <c r="AP1249" s="46">
        <f t="shared" si="109"/>
        <v>0.14199999999999999</v>
      </c>
    </row>
    <row r="1250" spans="19:42" ht="18">
      <c r="S1250" s="8">
        <f t="shared" si="110"/>
        <v>0</v>
      </c>
      <c r="W1250" s="3">
        <v>1276</v>
      </c>
      <c r="X1250" s="30">
        <v>142.35</v>
      </c>
      <c r="Y1250" s="33">
        <f t="shared" si="107"/>
        <v>0.14199999999999999</v>
      </c>
      <c r="AH1250" s="45">
        <f t="shared" si="111"/>
        <v>0</v>
      </c>
      <c r="AJ1250" s="44">
        <f t="shared" si="108"/>
        <v>1.276</v>
      </c>
      <c r="AP1250" s="46">
        <f t="shared" si="109"/>
        <v>0.14199999999999999</v>
      </c>
    </row>
    <row r="1251" spans="19:42" ht="18">
      <c r="S1251" s="8">
        <f t="shared" si="110"/>
        <v>0</v>
      </c>
      <c r="W1251" s="3">
        <v>1277</v>
      </c>
      <c r="X1251" s="30">
        <v>142.38800000000001</v>
      </c>
      <c r="Y1251" s="33">
        <f t="shared" si="107"/>
        <v>0.14199999999999999</v>
      </c>
      <c r="AH1251" s="45">
        <f t="shared" si="111"/>
        <v>0</v>
      </c>
      <c r="AJ1251" s="44">
        <f t="shared" si="108"/>
        <v>1.2769999999999999</v>
      </c>
      <c r="AP1251" s="46">
        <f t="shared" si="109"/>
        <v>0.14199999999999999</v>
      </c>
    </row>
    <row r="1252" spans="19:42" ht="18">
      <c r="S1252" s="8">
        <f t="shared" si="110"/>
        <v>0</v>
      </c>
      <c r="W1252" s="3">
        <v>1278</v>
      </c>
      <c r="X1252" s="30">
        <v>142.42500000000001</v>
      </c>
      <c r="Y1252" s="33">
        <f t="shared" si="107"/>
        <v>0.14199999999999999</v>
      </c>
      <c r="AH1252" s="45">
        <f t="shared" si="111"/>
        <v>0</v>
      </c>
      <c r="AJ1252" s="44">
        <f t="shared" si="108"/>
        <v>1.278</v>
      </c>
      <c r="AP1252" s="46">
        <f t="shared" si="109"/>
        <v>0.14199999999999999</v>
      </c>
    </row>
    <row r="1253" spans="19:42" ht="18">
      <c r="S1253" s="8">
        <f t="shared" si="110"/>
        <v>0</v>
      </c>
      <c r="W1253" s="3">
        <v>1279</v>
      </c>
      <c r="X1253" s="30">
        <v>142.46299999999999</v>
      </c>
      <c r="Y1253" s="33">
        <f t="shared" si="107"/>
        <v>0.14199999999999999</v>
      </c>
      <c r="AH1253" s="45">
        <f t="shared" si="111"/>
        <v>0</v>
      </c>
      <c r="AJ1253" s="44">
        <f t="shared" si="108"/>
        <v>1.2789999999999999</v>
      </c>
      <c r="AP1253" s="46">
        <f t="shared" si="109"/>
        <v>0.14199999999999999</v>
      </c>
    </row>
    <row r="1254" spans="19:42" ht="18">
      <c r="S1254" s="8">
        <f t="shared" si="110"/>
        <v>0</v>
      </c>
      <c r="W1254" s="3">
        <v>1280</v>
      </c>
      <c r="X1254" s="30">
        <v>142.5</v>
      </c>
      <c r="Y1254" s="33">
        <f t="shared" si="107"/>
        <v>0.14299999999999999</v>
      </c>
      <c r="AH1254" s="45">
        <f t="shared" si="111"/>
        <v>0</v>
      </c>
      <c r="AJ1254" s="44">
        <f t="shared" si="108"/>
        <v>1.28</v>
      </c>
      <c r="AP1254" s="46">
        <f t="shared" si="109"/>
        <v>0.14299999999999999</v>
      </c>
    </row>
    <row r="1255" spans="19:42" ht="18">
      <c r="S1255" s="8">
        <f t="shared" si="110"/>
        <v>0</v>
      </c>
      <c r="W1255" s="3">
        <v>1281</v>
      </c>
      <c r="X1255" s="30">
        <v>142.53800000000001</v>
      </c>
      <c r="Y1255" s="33">
        <f t="shared" si="107"/>
        <v>0.14299999999999999</v>
      </c>
      <c r="AH1255" s="45">
        <f t="shared" si="111"/>
        <v>0</v>
      </c>
      <c r="AJ1255" s="44">
        <f t="shared" si="108"/>
        <v>1.2809999999999999</v>
      </c>
      <c r="AP1255" s="46">
        <f t="shared" si="109"/>
        <v>0.14299999999999999</v>
      </c>
    </row>
    <row r="1256" spans="19:42" ht="18">
      <c r="S1256" s="8">
        <f t="shared" si="110"/>
        <v>0</v>
      </c>
      <c r="W1256" s="3">
        <v>1282</v>
      </c>
      <c r="X1256" s="30">
        <v>142.57499999999999</v>
      </c>
      <c r="Y1256" s="33">
        <f t="shared" si="107"/>
        <v>0.14299999999999999</v>
      </c>
      <c r="AH1256" s="45">
        <f t="shared" si="111"/>
        <v>0</v>
      </c>
      <c r="AJ1256" s="44">
        <f t="shared" si="108"/>
        <v>1.282</v>
      </c>
      <c r="AP1256" s="46">
        <f t="shared" si="109"/>
        <v>0.14299999999999999</v>
      </c>
    </row>
    <row r="1257" spans="19:42" ht="18">
      <c r="S1257" s="8">
        <f t="shared" si="110"/>
        <v>0</v>
      </c>
      <c r="W1257" s="3">
        <v>1283</v>
      </c>
      <c r="X1257" s="30">
        <v>142.613</v>
      </c>
      <c r="Y1257" s="33">
        <f t="shared" si="107"/>
        <v>0.14299999999999999</v>
      </c>
      <c r="AH1257" s="45">
        <f t="shared" si="111"/>
        <v>0</v>
      </c>
      <c r="AJ1257" s="44">
        <f t="shared" si="108"/>
        <v>1.2829999999999999</v>
      </c>
      <c r="AP1257" s="46">
        <f t="shared" si="109"/>
        <v>0.14299999999999999</v>
      </c>
    </row>
    <row r="1258" spans="19:42" ht="18">
      <c r="S1258" s="8">
        <f t="shared" si="110"/>
        <v>0</v>
      </c>
      <c r="W1258" s="3">
        <v>1284</v>
      </c>
      <c r="X1258" s="30">
        <v>142.65</v>
      </c>
      <c r="Y1258" s="33">
        <f t="shared" si="107"/>
        <v>0.14299999999999999</v>
      </c>
      <c r="AH1258" s="45">
        <f t="shared" si="111"/>
        <v>0</v>
      </c>
      <c r="AJ1258" s="44">
        <f t="shared" si="108"/>
        <v>1.284</v>
      </c>
      <c r="AP1258" s="46">
        <f t="shared" si="109"/>
        <v>0.14299999999999999</v>
      </c>
    </row>
    <row r="1259" spans="19:42" ht="18">
      <c r="S1259" s="8">
        <f t="shared" si="110"/>
        <v>0</v>
      </c>
      <c r="W1259" s="3">
        <v>1285</v>
      </c>
      <c r="X1259" s="30">
        <v>142.68799999999999</v>
      </c>
      <c r="Y1259" s="33">
        <f t="shared" si="107"/>
        <v>0.14299999999999999</v>
      </c>
      <c r="AH1259" s="45">
        <f t="shared" si="111"/>
        <v>0</v>
      </c>
      <c r="AJ1259" s="44">
        <f t="shared" si="108"/>
        <v>1.2849999999999999</v>
      </c>
      <c r="AP1259" s="46">
        <f t="shared" si="109"/>
        <v>0.14299999999999999</v>
      </c>
    </row>
    <row r="1260" spans="19:42" ht="18">
      <c r="S1260" s="8">
        <f t="shared" si="110"/>
        <v>0</v>
      </c>
      <c r="W1260" s="3">
        <v>1286</v>
      </c>
      <c r="X1260" s="30">
        <v>142.72499999999999</v>
      </c>
      <c r="Y1260" s="33">
        <f t="shared" si="107"/>
        <v>0.14299999999999999</v>
      </c>
      <c r="AH1260" s="45">
        <f t="shared" si="111"/>
        <v>0</v>
      </c>
      <c r="AJ1260" s="44">
        <f t="shared" si="108"/>
        <v>1.286</v>
      </c>
      <c r="AP1260" s="46">
        <f t="shared" si="109"/>
        <v>0.14299999999999999</v>
      </c>
    </row>
    <row r="1261" spans="19:42" ht="18">
      <c r="S1261" s="8">
        <f t="shared" si="110"/>
        <v>0</v>
      </c>
      <c r="W1261" s="3">
        <v>1287</v>
      </c>
      <c r="X1261" s="30">
        <v>142.76300000000001</v>
      </c>
      <c r="Y1261" s="33">
        <f t="shared" si="107"/>
        <v>0.14299999999999999</v>
      </c>
      <c r="AH1261" s="45">
        <f t="shared" si="111"/>
        <v>0</v>
      </c>
      <c r="AJ1261" s="44">
        <f t="shared" si="108"/>
        <v>1.2869999999999999</v>
      </c>
      <c r="AP1261" s="46">
        <f t="shared" si="109"/>
        <v>0.14299999999999999</v>
      </c>
    </row>
    <row r="1262" spans="19:42" ht="18">
      <c r="S1262" s="8">
        <f t="shared" si="110"/>
        <v>0</v>
      </c>
      <c r="W1262" s="3">
        <v>1288</v>
      </c>
      <c r="X1262" s="30">
        <v>142.80000000000001</v>
      </c>
      <c r="Y1262" s="33">
        <f t="shared" si="107"/>
        <v>0.14299999999999999</v>
      </c>
      <c r="AH1262" s="45">
        <f t="shared" si="111"/>
        <v>0</v>
      </c>
      <c r="AJ1262" s="44">
        <f t="shared" si="108"/>
        <v>1.288</v>
      </c>
      <c r="AP1262" s="46">
        <f t="shared" si="109"/>
        <v>0.14299999999999999</v>
      </c>
    </row>
    <row r="1263" spans="19:42" ht="18">
      <c r="S1263" s="8">
        <f t="shared" si="110"/>
        <v>0</v>
      </c>
      <c r="W1263" s="3">
        <v>1289</v>
      </c>
      <c r="X1263" s="30">
        <v>142.83799999999999</v>
      </c>
      <c r="Y1263" s="33">
        <f t="shared" si="107"/>
        <v>0.14299999999999999</v>
      </c>
      <c r="AH1263" s="45">
        <f t="shared" si="111"/>
        <v>0</v>
      </c>
      <c r="AJ1263" s="44">
        <f t="shared" si="108"/>
        <v>1.2889999999999999</v>
      </c>
      <c r="AP1263" s="46">
        <f t="shared" si="109"/>
        <v>0.14299999999999999</v>
      </c>
    </row>
    <row r="1264" spans="19:42" ht="18">
      <c r="S1264" s="8">
        <f t="shared" si="110"/>
        <v>0</v>
      </c>
      <c r="W1264" s="3">
        <v>1290</v>
      </c>
      <c r="X1264" s="30">
        <v>142.875</v>
      </c>
      <c r="Y1264" s="33">
        <f t="shared" si="107"/>
        <v>0.14299999999999999</v>
      </c>
      <c r="AH1264" s="45">
        <f t="shared" si="111"/>
        <v>0</v>
      </c>
      <c r="AJ1264" s="44">
        <f t="shared" si="108"/>
        <v>1.29</v>
      </c>
      <c r="AP1264" s="46">
        <f t="shared" si="109"/>
        <v>0.14299999999999999</v>
      </c>
    </row>
    <row r="1265" spans="19:42" ht="18">
      <c r="S1265" s="8">
        <f t="shared" si="110"/>
        <v>0</v>
      </c>
      <c r="W1265" s="3">
        <v>1291</v>
      </c>
      <c r="X1265" s="30">
        <v>142.91300000000001</v>
      </c>
      <c r="Y1265" s="33">
        <f t="shared" si="107"/>
        <v>0.14299999999999999</v>
      </c>
      <c r="AH1265" s="45">
        <f t="shared" si="111"/>
        <v>0</v>
      </c>
      <c r="AJ1265" s="44">
        <f t="shared" si="108"/>
        <v>1.2909999999999999</v>
      </c>
      <c r="AP1265" s="46">
        <f t="shared" si="109"/>
        <v>0.14299999999999999</v>
      </c>
    </row>
    <row r="1266" spans="19:42" ht="18">
      <c r="S1266" s="8">
        <f t="shared" si="110"/>
        <v>0</v>
      </c>
      <c r="W1266" s="3">
        <v>1292</v>
      </c>
      <c r="X1266" s="30">
        <v>142.94999999999999</v>
      </c>
      <c r="Y1266" s="33">
        <f t="shared" si="107"/>
        <v>0.14299999999999999</v>
      </c>
      <c r="AH1266" s="45">
        <f t="shared" si="111"/>
        <v>0</v>
      </c>
      <c r="AJ1266" s="44">
        <f t="shared" si="108"/>
        <v>1.292</v>
      </c>
      <c r="AP1266" s="46">
        <f t="shared" si="109"/>
        <v>0.14299999999999999</v>
      </c>
    </row>
    <row r="1267" spans="19:42" ht="18">
      <c r="S1267" s="8">
        <f t="shared" si="110"/>
        <v>0</v>
      </c>
      <c r="W1267" s="3">
        <v>1293</v>
      </c>
      <c r="X1267" s="30">
        <v>142.988</v>
      </c>
      <c r="Y1267" s="33">
        <f t="shared" si="107"/>
        <v>0.14299999999999999</v>
      </c>
      <c r="AH1267" s="45">
        <f t="shared" si="111"/>
        <v>0</v>
      </c>
      <c r="AJ1267" s="44">
        <f t="shared" si="108"/>
        <v>1.2929999999999999</v>
      </c>
      <c r="AP1267" s="46">
        <f t="shared" si="109"/>
        <v>0.14299999999999999</v>
      </c>
    </row>
    <row r="1268" spans="19:42" ht="18">
      <c r="S1268" s="8">
        <f t="shared" si="110"/>
        <v>0</v>
      </c>
      <c r="W1268" s="3">
        <v>1294</v>
      </c>
      <c r="X1268" s="30">
        <v>143.02500000000001</v>
      </c>
      <c r="Y1268" s="33">
        <f t="shared" si="107"/>
        <v>0.14299999999999999</v>
      </c>
      <c r="AH1268" s="45">
        <f t="shared" si="111"/>
        <v>0</v>
      </c>
      <c r="AJ1268" s="44">
        <f t="shared" si="108"/>
        <v>1.294</v>
      </c>
      <c r="AP1268" s="46">
        <f t="shared" si="109"/>
        <v>0.14299999999999999</v>
      </c>
    </row>
    <row r="1269" spans="19:42" ht="18">
      <c r="S1269" s="8">
        <f t="shared" si="110"/>
        <v>0</v>
      </c>
      <c r="W1269" s="3">
        <v>1295</v>
      </c>
      <c r="X1269" s="30">
        <v>143.06299999999999</v>
      </c>
      <c r="Y1269" s="33">
        <f t="shared" si="107"/>
        <v>0.14299999999999999</v>
      </c>
      <c r="AH1269" s="45">
        <f t="shared" si="111"/>
        <v>0</v>
      </c>
      <c r="AJ1269" s="44">
        <f t="shared" si="108"/>
        <v>1.2949999999999999</v>
      </c>
      <c r="AP1269" s="46">
        <f t="shared" si="109"/>
        <v>0.14299999999999999</v>
      </c>
    </row>
    <row r="1270" spans="19:42" ht="18">
      <c r="S1270" s="8">
        <f t="shared" si="110"/>
        <v>0</v>
      </c>
      <c r="W1270" s="3">
        <v>1296</v>
      </c>
      <c r="X1270" s="30">
        <v>143.1</v>
      </c>
      <c r="Y1270" s="33">
        <f t="shared" si="107"/>
        <v>0.14299999999999999</v>
      </c>
      <c r="AH1270" s="45">
        <f t="shared" si="111"/>
        <v>0</v>
      </c>
      <c r="AJ1270" s="44">
        <f t="shared" si="108"/>
        <v>1.296</v>
      </c>
      <c r="AP1270" s="46">
        <f t="shared" si="109"/>
        <v>0.14299999999999999</v>
      </c>
    </row>
    <row r="1271" spans="19:42" ht="18">
      <c r="S1271" s="8">
        <f t="shared" si="110"/>
        <v>0</v>
      </c>
      <c r="W1271" s="3">
        <v>1297</v>
      </c>
      <c r="X1271" s="30">
        <v>143.13800000000001</v>
      </c>
      <c r="Y1271" s="33">
        <f t="shared" si="107"/>
        <v>0.14299999999999999</v>
      </c>
      <c r="AH1271" s="45">
        <f t="shared" si="111"/>
        <v>0</v>
      </c>
      <c r="AJ1271" s="44">
        <f t="shared" si="108"/>
        <v>1.2969999999999999</v>
      </c>
      <c r="AP1271" s="46">
        <f t="shared" si="109"/>
        <v>0.14299999999999999</v>
      </c>
    </row>
    <row r="1272" spans="19:42" ht="18">
      <c r="S1272" s="8">
        <f t="shared" si="110"/>
        <v>0</v>
      </c>
      <c r="W1272" s="3">
        <v>1298</v>
      </c>
      <c r="X1272" s="30">
        <v>143.17500000000001</v>
      </c>
      <c r="Y1272" s="33">
        <f t="shared" si="107"/>
        <v>0.14299999999999999</v>
      </c>
      <c r="AH1272" s="45">
        <f t="shared" si="111"/>
        <v>0</v>
      </c>
      <c r="AJ1272" s="44">
        <f t="shared" si="108"/>
        <v>1.298</v>
      </c>
      <c r="AP1272" s="46">
        <f t="shared" si="109"/>
        <v>0.14299999999999999</v>
      </c>
    </row>
    <row r="1273" spans="19:42" ht="18">
      <c r="S1273" s="8">
        <f t="shared" si="110"/>
        <v>0</v>
      </c>
      <c r="W1273" s="3">
        <v>1299</v>
      </c>
      <c r="X1273" s="30">
        <v>143.21299999999999</v>
      </c>
      <c r="Y1273" s="33">
        <f t="shared" si="107"/>
        <v>0.14299999999999999</v>
      </c>
      <c r="AH1273" s="45">
        <f t="shared" si="111"/>
        <v>0</v>
      </c>
      <c r="AJ1273" s="44">
        <f t="shared" si="108"/>
        <v>1.2989999999999999</v>
      </c>
      <c r="AP1273" s="46">
        <f t="shared" si="109"/>
        <v>0.14299999999999999</v>
      </c>
    </row>
    <row r="1274" spans="19:42" ht="18">
      <c r="S1274" s="8">
        <f t="shared" si="110"/>
        <v>0</v>
      </c>
      <c r="W1274" s="3">
        <v>1300</v>
      </c>
      <c r="X1274" s="30">
        <v>143.25</v>
      </c>
      <c r="Y1274" s="33">
        <f t="shared" si="107"/>
        <v>0.14299999999999999</v>
      </c>
      <c r="AH1274" s="45">
        <f t="shared" si="111"/>
        <v>0</v>
      </c>
      <c r="AJ1274" s="44">
        <f t="shared" si="108"/>
        <v>1.3</v>
      </c>
      <c r="AP1274" s="46">
        <f t="shared" si="109"/>
        <v>0.14299999999999999</v>
      </c>
    </row>
    <row r="1275" spans="19:42" ht="18">
      <c r="S1275" s="8">
        <f t="shared" si="110"/>
        <v>0</v>
      </c>
      <c r="W1275" s="3">
        <v>1301</v>
      </c>
      <c r="X1275" s="30">
        <v>143.28800000000001</v>
      </c>
      <c r="Y1275" s="33">
        <f t="shared" si="107"/>
        <v>0.14299999999999999</v>
      </c>
      <c r="AH1275" s="45">
        <f t="shared" si="111"/>
        <v>0</v>
      </c>
      <c r="AJ1275" s="44">
        <f t="shared" si="108"/>
        <v>1.3009999999999999</v>
      </c>
      <c r="AP1275" s="46">
        <f t="shared" si="109"/>
        <v>0.14299999999999999</v>
      </c>
    </row>
    <row r="1276" spans="19:42" ht="18">
      <c r="S1276" s="8">
        <f t="shared" si="110"/>
        <v>0</v>
      </c>
      <c r="W1276" s="3">
        <v>1302</v>
      </c>
      <c r="X1276" s="30">
        <v>143.32499999999999</v>
      </c>
      <c r="Y1276" s="33">
        <f t="shared" si="107"/>
        <v>0.14299999999999999</v>
      </c>
      <c r="AH1276" s="45">
        <f t="shared" si="111"/>
        <v>0</v>
      </c>
      <c r="AJ1276" s="44">
        <f t="shared" si="108"/>
        <v>1.302</v>
      </c>
      <c r="AP1276" s="46">
        <f t="shared" si="109"/>
        <v>0.14299999999999999</v>
      </c>
    </row>
    <row r="1277" spans="19:42" ht="18">
      <c r="S1277" s="8">
        <f t="shared" si="110"/>
        <v>0</v>
      </c>
      <c r="W1277" s="3">
        <v>1303</v>
      </c>
      <c r="X1277" s="30">
        <v>143.363</v>
      </c>
      <c r="Y1277" s="33">
        <f t="shared" si="107"/>
        <v>0.14299999999999999</v>
      </c>
      <c r="AH1277" s="45">
        <f t="shared" si="111"/>
        <v>0</v>
      </c>
      <c r="AJ1277" s="44">
        <f t="shared" si="108"/>
        <v>1.3029999999999999</v>
      </c>
      <c r="AP1277" s="46">
        <f t="shared" si="109"/>
        <v>0.14299999999999999</v>
      </c>
    </row>
    <row r="1278" spans="19:42" ht="18">
      <c r="S1278" s="8">
        <f t="shared" si="110"/>
        <v>0</v>
      </c>
      <c r="W1278" s="3">
        <v>1304</v>
      </c>
      <c r="X1278" s="30">
        <v>143.4</v>
      </c>
      <c r="Y1278" s="33">
        <f t="shared" si="107"/>
        <v>0.14299999999999999</v>
      </c>
      <c r="AH1278" s="45">
        <f t="shared" si="111"/>
        <v>0</v>
      </c>
      <c r="AJ1278" s="44">
        <f t="shared" si="108"/>
        <v>1.304</v>
      </c>
      <c r="AP1278" s="46">
        <f t="shared" si="109"/>
        <v>0.14299999999999999</v>
      </c>
    </row>
    <row r="1279" spans="19:42" ht="18">
      <c r="S1279" s="8">
        <f t="shared" si="110"/>
        <v>0</v>
      </c>
      <c r="W1279" s="3">
        <v>1305</v>
      </c>
      <c r="X1279" s="30">
        <v>143.43799999999999</v>
      </c>
      <c r="Y1279" s="33">
        <f t="shared" si="107"/>
        <v>0.14299999999999999</v>
      </c>
      <c r="AH1279" s="45">
        <f t="shared" si="111"/>
        <v>0</v>
      </c>
      <c r="AJ1279" s="44">
        <f t="shared" si="108"/>
        <v>1.3049999999999999</v>
      </c>
      <c r="AP1279" s="46">
        <f t="shared" si="109"/>
        <v>0.14299999999999999</v>
      </c>
    </row>
    <row r="1280" spans="19:42" ht="18">
      <c r="S1280" s="8">
        <f t="shared" si="110"/>
        <v>0</v>
      </c>
      <c r="W1280" s="3">
        <v>1306</v>
      </c>
      <c r="X1280" s="30">
        <v>143.47499999999999</v>
      </c>
      <c r="Y1280" s="33">
        <f t="shared" si="107"/>
        <v>0.14299999999999999</v>
      </c>
      <c r="AH1280" s="45">
        <f t="shared" si="111"/>
        <v>0</v>
      </c>
      <c r="AJ1280" s="44">
        <f t="shared" si="108"/>
        <v>1.306</v>
      </c>
      <c r="AP1280" s="46">
        <f t="shared" si="109"/>
        <v>0.14299999999999999</v>
      </c>
    </row>
    <row r="1281" spans="19:42" ht="18">
      <c r="S1281" s="8">
        <f t="shared" si="110"/>
        <v>0</v>
      </c>
      <c r="W1281" s="3">
        <v>1307</v>
      </c>
      <c r="X1281" s="30">
        <v>143.51300000000001</v>
      </c>
      <c r="Y1281" s="33">
        <f t="shared" si="107"/>
        <v>0.14399999999999999</v>
      </c>
      <c r="AH1281" s="45">
        <f t="shared" si="111"/>
        <v>0</v>
      </c>
      <c r="AJ1281" s="44">
        <f t="shared" si="108"/>
        <v>1.3069999999999999</v>
      </c>
      <c r="AP1281" s="46">
        <f t="shared" si="109"/>
        <v>0.14399999999999999</v>
      </c>
    </row>
    <row r="1282" spans="19:42" ht="18">
      <c r="S1282" s="8">
        <f t="shared" si="110"/>
        <v>0</v>
      </c>
      <c r="W1282" s="3">
        <v>1308</v>
      </c>
      <c r="X1282" s="30">
        <v>143.55000000000001</v>
      </c>
      <c r="Y1282" s="33">
        <f t="shared" si="107"/>
        <v>0.14399999999999999</v>
      </c>
      <c r="AH1282" s="45">
        <f t="shared" si="111"/>
        <v>0</v>
      </c>
      <c r="AJ1282" s="44">
        <f t="shared" si="108"/>
        <v>1.3080000000000001</v>
      </c>
      <c r="AP1282" s="46">
        <f t="shared" si="109"/>
        <v>0.14399999999999999</v>
      </c>
    </row>
    <row r="1283" spans="19:42" ht="18">
      <c r="S1283" s="8">
        <f t="shared" si="110"/>
        <v>0</v>
      </c>
      <c r="W1283" s="3">
        <v>1309</v>
      </c>
      <c r="X1283" s="30">
        <v>143.58799999999999</v>
      </c>
      <c r="Y1283" s="33">
        <f t="shared" si="107"/>
        <v>0.14399999999999999</v>
      </c>
      <c r="AH1283" s="45">
        <f t="shared" si="111"/>
        <v>0</v>
      </c>
      <c r="AJ1283" s="44">
        <f t="shared" si="108"/>
        <v>1.3089999999999999</v>
      </c>
      <c r="AP1283" s="46">
        <f t="shared" si="109"/>
        <v>0.14399999999999999</v>
      </c>
    </row>
    <row r="1284" spans="19:42" ht="18">
      <c r="S1284" s="8">
        <f t="shared" si="110"/>
        <v>0</v>
      </c>
      <c r="W1284" s="3">
        <v>1310</v>
      </c>
      <c r="X1284" s="30">
        <v>143.625</v>
      </c>
      <c r="Y1284" s="33">
        <f t="shared" si="107"/>
        <v>0.14399999999999999</v>
      </c>
      <c r="AH1284" s="45">
        <f t="shared" si="111"/>
        <v>0</v>
      </c>
      <c r="AJ1284" s="44">
        <f t="shared" si="108"/>
        <v>1.31</v>
      </c>
      <c r="AP1284" s="46">
        <f t="shared" si="109"/>
        <v>0.14399999999999999</v>
      </c>
    </row>
    <row r="1285" spans="19:42" ht="18">
      <c r="S1285" s="8">
        <f t="shared" si="110"/>
        <v>0</v>
      </c>
      <c r="W1285" s="3">
        <v>1311</v>
      </c>
      <c r="X1285" s="30">
        <v>143.66300000000001</v>
      </c>
      <c r="Y1285" s="33">
        <f t="shared" ref="Y1285:Y1348" si="112">ROUND(X1285/1000,3)</f>
        <v>0.14399999999999999</v>
      </c>
      <c r="AH1285" s="45">
        <f t="shared" si="111"/>
        <v>0</v>
      </c>
      <c r="AJ1285" s="44">
        <f t="shared" ref="AJ1285:AJ1348" si="113">ROUND(W1285/1000,3)</f>
        <v>1.3109999999999999</v>
      </c>
      <c r="AP1285" s="46">
        <f t="shared" ref="AP1285:AP1348" si="114">ROUND(X1285/1000,3)</f>
        <v>0.14399999999999999</v>
      </c>
    </row>
    <row r="1286" spans="19:42" ht="18">
      <c r="S1286" s="8">
        <f t="shared" ref="S1286:S1349" si="115">CEILING(R1286/50,0.5)</f>
        <v>0</v>
      </c>
      <c r="W1286" s="3">
        <v>1312</v>
      </c>
      <c r="X1286" s="30">
        <v>143.69999999999999</v>
      </c>
      <c r="Y1286" s="33">
        <f t="shared" si="112"/>
        <v>0.14399999999999999</v>
      </c>
      <c r="AH1286" s="45">
        <f t="shared" ref="AH1286:AH1349" si="116">AE1286-AE1285</f>
        <v>0</v>
      </c>
      <c r="AJ1286" s="44">
        <f t="shared" si="113"/>
        <v>1.3120000000000001</v>
      </c>
      <c r="AP1286" s="46">
        <f t="shared" si="114"/>
        <v>0.14399999999999999</v>
      </c>
    </row>
    <row r="1287" spans="19:42" ht="18">
      <c r="S1287" s="8">
        <f t="shared" si="115"/>
        <v>0</v>
      </c>
      <c r="W1287" s="3">
        <v>1313</v>
      </c>
      <c r="X1287" s="30">
        <v>143.738</v>
      </c>
      <c r="Y1287" s="33">
        <f t="shared" si="112"/>
        <v>0.14399999999999999</v>
      </c>
      <c r="AH1287" s="45">
        <f t="shared" si="116"/>
        <v>0</v>
      </c>
      <c r="AJ1287" s="44">
        <f t="shared" si="113"/>
        <v>1.3129999999999999</v>
      </c>
      <c r="AP1287" s="46">
        <f t="shared" si="114"/>
        <v>0.14399999999999999</v>
      </c>
    </row>
    <row r="1288" spans="19:42" ht="18">
      <c r="S1288" s="8">
        <f t="shared" si="115"/>
        <v>0</v>
      </c>
      <c r="W1288" s="3">
        <v>1314</v>
      </c>
      <c r="X1288" s="30">
        <v>143.77500000000001</v>
      </c>
      <c r="Y1288" s="33">
        <f t="shared" si="112"/>
        <v>0.14399999999999999</v>
      </c>
      <c r="AH1288" s="45">
        <f t="shared" si="116"/>
        <v>0</v>
      </c>
      <c r="AJ1288" s="44">
        <f t="shared" si="113"/>
        <v>1.3140000000000001</v>
      </c>
      <c r="AP1288" s="46">
        <f t="shared" si="114"/>
        <v>0.14399999999999999</v>
      </c>
    </row>
    <row r="1289" spans="19:42" ht="18">
      <c r="S1289" s="8">
        <f t="shared" si="115"/>
        <v>0</v>
      </c>
      <c r="W1289" s="3">
        <v>1315</v>
      </c>
      <c r="X1289" s="30">
        <v>143.81299999999999</v>
      </c>
      <c r="Y1289" s="33">
        <f t="shared" si="112"/>
        <v>0.14399999999999999</v>
      </c>
      <c r="AH1289" s="45">
        <f t="shared" si="116"/>
        <v>0</v>
      </c>
      <c r="AJ1289" s="44">
        <f t="shared" si="113"/>
        <v>1.3149999999999999</v>
      </c>
      <c r="AP1289" s="46">
        <f t="shared" si="114"/>
        <v>0.14399999999999999</v>
      </c>
    </row>
    <row r="1290" spans="19:42" ht="18">
      <c r="S1290" s="8">
        <f t="shared" si="115"/>
        <v>0</v>
      </c>
      <c r="W1290" s="3">
        <v>1316</v>
      </c>
      <c r="X1290" s="30">
        <v>143.85</v>
      </c>
      <c r="Y1290" s="33">
        <f t="shared" si="112"/>
        <v>0.14399999999999999</v>
      </c>
      <c r="AH1290" s="45">
        <f t="shared" si="116"/>
        <v>0</v>
      </c>
      <c r="AJ1290" s="44">
        <f t="shared" si="113"/>
        <v>1.3160000000000001</v>
      </c>
      <c r="AP1290" s="46">
        <f t="shared" si="114"/>
        <v>0.14399999999999999</v>
      </c>
    </row>
    <row r="1291" spans="19:42" ht="18">
      <c r="S1291" s="8">
        <f t="shared" si="115"/>
        <v>0</v>
      </c>
      <c r="W1291" s="3">
        <v>1317</v>
      </c>
      <c r="X1291" s="30">
        <v>143.88800000000001</v>
      </c>
      <c r="Y1291" s="33">
        <f t="shared" si="112"/>
        <v>0.14399999999999999</v>
      </c>
      <c r="AH1291" s="45">
        <f t="shared" si="116"/>
        <v>0</v>
      </c>
      <c r="AJ1291" s="44">
        <f t="shared" si="113"/>
        <v>1.3169999999999999</v>
      </c>
      <c r="AP1291" s="46">
        <f t="shared" si="114"/>
        <v>0.14399999999999999</v>
      </c>
    </row>
    <row r="1292" spans="19:42" ht="18">
      <c r="S1292" s="8">
        <f t="shared" si="115"/>
        <v>0</v>
      </c>
      <c r="W1292" s="3">
        <v>1318</v>
      </c>
      <c r="X1292" s="30">
        <v>143.92500000000001</v>
      </c>
      <c r="Y1292" s="33">
        <f t="shared" si="112"/>
        <v>0.14399999999999999</v>
      </c>
      <c r="AH1292" s="45">
        <f t="shared" si="116"/>
        <v>0</v>
      </c>
      <c r="AJ1292" s="44">
        <f t="shared" si="113"/>
        <v>1.3180000000000001</v>
      </c>
      <c r="AP1292" s="46">
        <f t="shared" si="114"/>
        <v>0.14399999999999999</v>
      </c>
    </row>
    <row r="1293" spans="19:42" ht="18">
      <c r="S1293" s="8">
        <f t="shared" si="115"/>
        <v>0</v>
      </c>
      <c r="W1293" s="3">
        <v>1319</v>
      </c>
      <c r="X1293" s="30">
        <v>143.96299999999999</v>
      </c>
      <c r="Y1293" s="33">
        <f t="shared" si="112"/>
        <v>0.14399999999999999</v>
      </c>
      <c r="AH1293" s="45">
        <f t="shared" si="116"/>
        <v>0</v>
      </c>
      <c r="AJ1293" s="44">
        <f t="shared" si="113"/>
        <v>1.319</v>
      </c>
      <c r="AP1293" s="46">
        <f t="shared" si="114"/>
        <v>0.14399999999999999</v>
      </c>
    </row>
    <row r="1294" spans="19:42" ht="18">
      <c r="S1294" s="8">
        <f t="shared" si="115"/>
        <v>0</v>
      </c>
      <c r="W1294" s="3">
        <v>1320</v>
      </c>
      <c r="X1294" s="30">
        <v>144</v>
      </c>
      <c r="Y1294" s="33">
        <f t="shared" si="112"/>
        <v>0.14399999999999999</v>
      </c>
      <c r="AH1294" s="45">
        <f t="shared" si="116"/>
        <v>0</v>
      </c>
      <c r="AJ1294" s="44">
        <f t="shared" si="113"/>
        <v>1.32</v>
      </c>
      <c r="AP1294" s="46">
        <f t="shared" si="114"/>
        <v>0.14399999999999999</v>
      </c>
    </row>
    <row r="1295" spans="19:42" ht="18">
      <c r="S1295" s="8">
        <f t="shared" si="115"/>
        <v>0</v>
      </c>
      <c r="W1295" s="3">
        <v>1321</v>
      </c>
      <c r="X1295" s="30">
        <v>144.08799999999999</v>
      </c>
      <c r="Y1295" s="33">
        <f t="shared" si="112"/>
        <v>0.14399999999999999</v>
      </c>
      <c r="AH1295" s="45">
        <f t="shared" si="116"/>
        <v>0</v>
      </c>
      <c r="AJ1295" s="44">
        <f t="shared" si="113"/>
        <v>1.321</v>
      </c>
      <c r="AP1295" s="46">
        <f t="shared" si="114"/>
        <v>0.14399999999999999</v>
      </c>
    </row>
    <row r="1296" spans="19:42" ht="18">
      <c r="S1296" s="8">
        <f t="shared" si="115"/>
        <v>0</v>
      </c>
      <c r="W1296" s="3">
        <v>1322</v>
      </c>
      <c r="X1296" s="30">
        <v>144.17500000000001</v>
      </c>
      <c r="Y1296" s="33">
        <f t="shared" si="112"/>
        <v>0.14399999999999999</v>
      </c>
      <c r="AH1296" s="45">
        <f t="shared" si="116"/>
        <v>0</v>
      </c>
      <c r="AJ1296" s="44">
        <f t="shared" si="113"/>
        <v>1.3220000000000001</v>
      </c>
      <c r="AP1296" s="46">
        <f t="shared" si="114"/>
        <v>0.14399999999999999</v>
      </c>
    </row>
    <row r="1297" spans="19:42" ht="18">
      <c r="S1297" s="8">
        <f t="shared" si="115"/>
        <v>0</v>
      </c>
      <c r="W1297" s="3">
        <v>1323</v>
      </c>
      <c r="X1297" s="30">
        <v>144.26300000000001</v>
      </c>
      <c r="Y1297" s="33">
        <f t="shared" si="112"/>
        <v>0.14399999999999999</v>
      </c>
      <c r="AH1297" s="45">
        <f t="shared" si="116"/>
        <v>0</v>
      </c>
      <c r="AJ1297" s="44">
        <f t="shared" si="113"/>
        <v>1.323</v>
      </c>
      <c r="AP1297" s="46">
        <f t="shared" si="114"/>
        <v>0.14399999999999999</v>
      </c>
    </row>
    <row r="1298" spans="19:42" ht="18">
      <c r="S1298" s="8">
        <f t="shared" si="115"/>
        <v>0</v>
      </c>
      <c r="W1298" s="3">
        <v>1324</v>
      </c>
      <c r="X1298" s="30">
        <v>144.35</v>
      </c>
      <c r="Y1298" s="33">
        <f t="shared" si="112"/>
        <v>0.14399999999999999</v>
      </c>
      <c r="AH1298" s="45">
        <f t="shared" si="116"/>
        <v>0</v>
      </c>
      <c r="AJ1298" s="44">
        <f t="shared" si="113"/>
        <v>1.3240000000000001</v>
      </c>
      <c r="AP1298" s="46">
        <f t="shared" si="114"/>
        <v>0.14399999999999999</v>
      </c>
    </row>
    <row r="1299" spans="19:42" ht="18">
      <c r="S1299" s="8">
        <f t="shared" si="115"/>
        <v>0</v>
      </c>
      <c r="W1299" s="3">
        <v>1325</v>
      </c>
      <c r="X1299" s="30">
        <v>144.43799999999999</v>
      </c>
      <c r="Y1299" s="33">
        <f t="shared" si="112"/>
        <v>0.14399999999999999</v>
      </c>
      <c r="AH1299" s="45">
        <f t="shared" si="116"/>
        <v>0</v>
      </c>
      <c r="AJ1299" s="44">
        <f t="shared" si="113"/>
        <v>1.325</v>
      </c>
      <c r="AP1299" s="46">
        <f t="shared" si="114"/>
        <v>0.14399999999999999</v>
      </c>
    </row>
    <row r="1300" spans="19:42" ht="18">
      <c r="S1300" s="8">
        <f t="shared" si="115"/>
        <v>0</v>
      </c>
      <c r="W1300" s="3">
        <v>1326</v>
      </c>
      <c r="X1300" s="30">
        <v>144.52500000000001</v>
      </c>
      <c r="Y1300" s="33">
        <f t="shared" si="112"/>
        <v>0.14499999999999999</v>
      </c>
      <c r="AH1300" s="45">
        <f t="shared" si="116"/>
        <v>0</v>
      </c>
      <c r="AJ1300" s="44">
        <f t="shared" si="113"/>
        <v>1.3260000000000001</v>
      </c>
      <c r="AP1300" s="46">
        <f t="shared" si="114"/>
        <v>0.14499999999999999</v>
      </c>
    </row>
    <row r="1301" spans="19:42" ht="18">
      <c r="S1301" s="8">
        <f t="shared" si="115"/>
        <v>0</v>
      </c>
      <c r="W1301" s="3">
        <v>1327</v>
      </c>
      <c r="X1301" s="30">
        <v>144.613</v>
      </c>
      <c r="Y1301" s="33">
        <f t="shared" si="112"/>
        <v>0.14499999999999999</v>
      </c>
      <c r="AH1301" s="45">
        <f t="shared" si="116"/>
        <v>0</v>
      </c>
      <c r="AJ1301" s="44">
        <f t="shared" si="113"/>
        <v>1.327</v>
      </c>
      <c r="AP1301" s="46">
        <f t="shared" si="114"/>
        <v>0.14499999999999999</v>
      </c>
    </row>
    <row r="1302" spans="19:42" ht="18">
      <c r="S1302" s="8">
        <f t="shared" si="115"/>
        <v>0</v>
      </c>
      <c r="W1302" s="3">
        <v>1328</v>
      </c>
      <c r="X1302" s="30">
        <v>144.69999999999999</v>
      </c>
      <c r="Y1302" s="33">
        <f t="shared" si="112"/>
        <v>0.14499999999999999</v>
      </c>
      <c r="AH1302" s="45">
        <f t="shared" si="116"/>
        <v>0</v>
      </c>
      <c r="AJ1302" s="44">
        <f t="shared" si="113"/>
        <v>1.3280000000000001</v>
      </c>
      <c r="AP1302" s="46">
        <f t="shared" si="114"/>
        <v>0.14499999999999999</v>
      </c>
    </row>
    <row r="1303" spans="19:42" ht="18">
      <c r="S1303" s="8">
        <f t="shared" si="115"/>
        <v>0</v>
      </c>
      <c r="W1303" s="3">
        <v>1329</v>
      </c>
      <c r="X1303" s="30">
        <v>144.78800000000001</v>
      </c>
      <c r="Y1303" s="33">
        <f t="shared" si="112"/>
        <v>0.14499999999999999</v>
      </c>
      <c r="AH1303" s="45">
        <f t="shared" si="116"/>
        <v>0</v>
      </c>
      <c r="AJ1303" s="44">
        <f t="shared" si="113"/>
        <v>1.329</v>
      </c>
      <c r="AP1303" s="46">
        <f t="shared" si="114"/>
        <v>0.14499999999999999</v>
      </c>
    </row>
    <row r="1304" spans="19:42" ht="18">
      <c r="S1304" s="8">
        <f t="shared" si="115"/>
        <v>0</v>
      </c>
      <c r="W1304" s="3">
        <v>1330</v>
      </c>
      <c r="X1304" s="30">
        <v>144.875</v>
      </c>
      <c r="Y1304" s="33">
        <f t="shared" si="112"/>
        <v>0.14499999999999999</v>
      </c>
      <c r="AH1304" s="45">
        <f t="shared" si="116"/>
        <v>0</v>
      </c>
      <c r="AJ1304" s="44">
        <f t="shared" si="113"/>
        <v>1.33</v>
      </c>
      <c r="AP1304" s="46">
        <f t="shared" si="114"/>
        <v>0.14499999999999999</v>
      </c>
    </row>
    <row r="1305" spans="19:42" ht="18">
      <c r="S1305" s="8">
        <f t="shared" si="115"/>
        <v>0</v>
      </c>
      <c r="W1305" s="3">
        <v>1331</v>
      </c>
      <c r="X1305" s="30">
        <v>144.96299999999999</v>
      </c>
      <c r="Y1305" s="33">
        <f t="shared" si="112"/>
        <v>0.14499999999999999</v>
      </c>
      <c r="AH1305" s="45">
        <f t="shared" si="116"/>
        <v>0</v>
      </c>
      <c r="AJ1305" s="44">
        <f t="shared" si="113"/>
        <v>1.331</v>
      </c>
      <c r="AP1305" s="46">
        <f t="shared" si="114"/>
        <v>0.14499999999999999</v>
      </c>
    </row>
    <row r="1306" spans="19:42" ht="18">
      <c r="S1306" s="8">
        <f t="shared" si="115"/>
        <v>0</v>
      </c>
      <c r="W1306" s="3">
        <v>1332</v>
      </c>
      <c r="X1306" s="30">
        <v>145.05000000000001</v>
      </c>
      <c r="Y1306" s="33">
        <f t="shared" si="112"/>
        <v>0.14499999999999999</v>
      </c>
      <c r="AH1306" s="45">
        <f t="shared" si="116"/>
        <v>0</v>
      </c>
      <c r="AJ1306" s="44">
        <f t="shared" si="113"/>
        <v>1.3320000000000001</v>
      </c>
      <c r="AP1306" s="46">
        <f t="shared" si="114"/>
        <v>0.14499999999999999</v>
      </c>
    </row>
    <row r="1307" spans="19:42" ht="18">
      <c r="S1307" s="8">
        <f t="shared" si="115"/>
        <v>0</v>
      </c>
      <c r="W1307" s="3">
        <v>1333</v>
      </c>
      <c r="X1307" s="30">
        <v>145.13800000000001</v>
      </c>
      <c r="Y1307" s="33">
        <f t="shared" si="112"/>
        <v>0.14499999999999999</v>
      </c>
      <c r="AH1307" s="45">
        <f t="shared" si="116"/>
        <v>0</v>
      </c>
      <c r="AJ1307" s="44">
        <f t="shared" si="113"/>
        <v>1.333</v>
      </c>
      <c r="AP1307" s="46">
        <f t="shared" si="114"/>
        <v>0.14499999999999999</v>
      </c>
    </row>
    <row r="1308" spans="19:42" ht="18">
      <c r="S1308" s="8">
        <f t="shared" si="115"/>
        <v>0</v>
      </c>
      <c r="W1308" s="3">
        <v>1334</v>
      </c>
      <c r="X1308" s="30">
        <v>145.22499999999999</v>
      </c>
      <c r="Y1308" s="33">
        <f t="shared" si="112"/>
        <v>0.14499999999999999</v>
      </c>
      <c r="AH1308" s="45">
        <f t="shared" si="116"/>
        <v>0</v>
      </c>
      <c r="AJ1308" s="44">
        <f t="shared" si="113"/>
        <v>1.3340000000000001</v>
      </c>
      <c r="AP1308" s="46">
        <f t="shared" si="114"/>
        <v>0.14499999999999999</v>
      </c>
    </row>
    <row r="1309" spans="19:42" ht="18">
      <c r="S1309" s="8">
        <f t="shared" si="115"/>
        <v>0</v>
      </c>
      <c r="W1309" s="3">
        <v>1335</v>
      </c>
      <c r="X1309" s="30">
        <v>145.31299999999999</v>
      </c>
      <c r="Y1309" s="33">
        <f t="shared" si="112"/>
        <v>0.14499999999999999</v>
      </c>
      <c r="AH1309" s="45">
        <f t="shared" si="116"/>
        <v>0</v>
      </c>
      <c r="AJ1309" s="44">
        <f t="shared" si="113"/>
        <v>1.335</v>
      </c>
      <c r="AP1309" s="46">
        <f t="shared" si="114"/>
        <v>0.14499999999999999</v>
      </c>
    </row>
    <row r="1310" spans="19:42" ht="18">
      <c r="S1310" s="8">
        <f t="shared" si="115"/>
        <v>0</v>
      </c>
      <c r="W1310" s="3">
        <v>1336</v>
      </c>
      <c r="X1310" s="30">
        <v>145.4</v>
      </c>
      <c r="Y1310" s="33">
        <f t="shared" si="112"/>
        <v>0.14499999999999999</v>
      </c>
      <c r="AH1310" s="45">
        <f t="shared" si="116"/>
        <v>0</v>
      </c>
      <c r="AJ1310" s="44">
        <f t="shared" si="113"/>
        <v>1.3360000000000001</v>
      </c>
      <c r="AP1310" s="46">
        <f t="shared" si="114"/>
        <v>0.14499999999999999</v>
      </c>
    </row>
    <row r="1311" spans="19:42" ht="18">
      <c r="S1311" s="8">
        <f t="shared" si="115"/>
        <v>0</v>
      </c>
      <c r="W1311" s="3">
        <v>1337</v>
      </c>
      <c r="X1311" s="30">
        <v>145.488</v>
      </c>
      <c r="Y1311" s="33">
        <f t="shared" si="112"/>
        <v>0.14499999999999999</v>
      </c>
      <c r="AH1311" s="45">
        <f t="shared" si="116"/>
        <v>0</v>
      </c>
      <c r="AJ1311" s="44">
        <f t="shared" si="113"/>
        <v>1.337</v>
      </c>
      <c r="AP1311" s="46">
        <f t="shared" si="114"/>
        <v>0.14499999999999999</v>
      </c>
    </row>
    <row r="1312" spans="19:42" ht="18">
      <c r="S1312" s="8">
        <f t="shared" si="115"/>
        <v>0</v>
      </c>
      <c r="W1312" s="3">
        <v>1338</v>
      </c>
      <c r="X1312" s="30">
        <v>145.57499999999999</v>
      </c>
      <c r="Y1312" s="33">
        <f t="shared" si="112"/>
        <v>0.14599999999999999</v>
      </c>
      <c r="AH1312" s="45">
        <f t="shared" si="116"/>
        <v>0</v>
      </c>
      <c r="AJ1312" s="44">
        <f t="shared" si="113"/>
        <v>1.3380000000000001</v>
      </c>
      <c r="AP1312" s="46">
        <f t="shared" si="114"/>
        <v>0.14599999999999999</v>
      </c>
    </row>
    <row r="1313" spans="19:42" ht="18">
      <c r="S1313" s="8">
        <f t="shared" si="115"/>
        <v>0</v>
      </c>
      <c r="W1313" s="3">
        <v>1339</v>
      </c>
      <c r="X1313" s="30">
        <v>145.66300000000001</v>
      </c>
      <c r="Y1313" s="33">
        <f t="shared" si="112"/>
        <v>0.14599999999999999</v>
      </c>
      <c r="AH1313" s="45">
        <f t="shared" si="116"/>
        <v>0</v>
      </c>
      <c r="AJ1313" s="44">
        <f t="shared" si="113"/>
        <v>1.339</v>
      </c>
      <c r="AP1313" s="46">
        <f t="shared" si="114"/>
        <v>0.14599999999999999</v>
      </c>
    </row>
    <row r="1314" spans="19:42" ht="18">
      <c r="S1314" s="8">
        <f t="shared" si="115"/>
        <v>0</v>
      </c>
      <c r="W1314" s="3">
        <v>1340</v>
      </c>
      <c r="X1314" s="30">
        <v>145.75</v>
      </c>
      <c r="Y1314" s="33">
        <f t="shared" si="112"/>
        <v>0.14599999999999999</v>
      </c>
      <c r="AH1314" s="45">
        <f t="shared" si="116"/>
        <v>0</v>
      </c>
      <c r="AJ1314" s="44">
        <f t="shared" si="113"/>
        <v>1.34</v>
      </c>
      <c r="AP1314" s="46">
        <f t="shared" si="114"/>
        <v>0.14599999999999999</v>
      </c>
    </row>
    <row r="1315" spans="19:42" ht="18">
      <c r="S1315" s="8">
        <f t="shared" si="115"/>
        <v>0</v>
      </c>
      <c r="W1315" s="3">
        <v>1341</v>
      </c>
      <c r="X1315" s="30">
        <v>145.83799999999999</v>
      </c>
      <c r="Y1315" s="33">
        <f t="shared" si="112"/>
        <v>0.14599999999999999</v>
      </c>
      <c r="AH1315" s="45">
        <f t="shared" si="116"/>
        <v>0</v>
      </c>
      <c r="AJ1315" s="44">
        <f t="shared" si="113"/>
        <v>1.341</v>
      </c>
      <c r="AP1315" s="46">
        <f t="shared" si="114"/>
        <v>0.14599999999999999</v>
      </c>
    </row>
    <row r="1316" spans="19:42" ht="18">
      <c r="S1316" s="8">
        <f t="shared" si="115"/>
        <v>0</v>
      </c>
      <c r="W1316" s="3">
        <v>1342</v>
      </c>
      <c r="X1316" s="30">
        <v>145.92500000000001</v>
      </c>
      <c r="Y1316" s="33">
        <f t="shared" si="112"/>
        <v>0.14599999999999999</v>
      </c>
      <c r="AH1316" s="45">
        <f t="shared" si="116"/>
        <v>0</v>
      </c>
      <c r="AJ1316" s="44">
        <f t="shared" si="113"/>
        <v>1.3420000000000001</v>
      </c>
      <c r="AP1316" s="46">
        <f t="shared" si="114"/>
        <v>0.14599999999999999</v>
      </c>
    </row>
    <row r="1317" spans="19:42" ht="18">
      <c r="S1317" s="8">
        <f t="shared" si="115"/>
        <v>0</v>
      </c>
      <c r="W1317" s="3">
        <v>1343</v>
      </c>
      <c r="X1317" s="30">
        <v>146.01300000000001</v>
      </c>
      <c r="Y1317" s="33">
        <f t="shared" si="112"/>
        <v>0.14599999999999999</v>
      </c>
      <c r="AH1317" s="45">
        <f t="shared" si="116"/>
        <v>0</v>
      </c>
      <c r="AJ1317" s="44">
        <f t="shared" si="113"/>
        <v>1.343</v>
      </c>
      <c r="AP1317" s="46">
        <f t="shared" si="114"/>
        <v>0.14599999999999999</v>
      </c>
    </row>
    <row r="1318" spans="19:42" ht="18">
      <c r="S1318" s="8">
        <f t="shared" si="115"/>
        <v>0</v>
      </c>
      <c r="W1318" s="3">
        <v>1344</v>
      </c>
      <c r="X1318" s="30">
        <v>146.1</v>
      </c>
      <c r="Y1318" s="33">
        <f t="shared" si="112"/>
        <v>0.14599999999999999</v>
      </c>
      <c r="AH1318" s="45">
        <f t="shared" si="116"/>
        <v>0</v>
      </c>
      <c r="AJ1318" s="44">
        <f t="shared" si="113"/>
        <v>1.3440000000000001</v>
      </c>
      <c r="AP1318" s="46">
        <f t="shared" si="114"/>
        <v>0.14599999999999999</v>
      </c>
    </row>
    <row r="1319" spans="19:42" ht="18">
      <c r="S1319" s="8">
        <f t="shared" si="115"/>
        <v>0</v>
      </c>
      <c r="W1319" s="3">
        <v>1345</v>
      </c>
      <c r="X1319" s="30">
        <v>146.18799999999999</v>
      </c>
      <c r="Y1319" s="33">
        <f t="shared" si="112"/>
        <v>0.14599999999999999</v>
      </c>
      <c r="AH1319" s="45">
        <f t="shared" si="116"/>
        <v>0</v>
      </c>
      <c r="AJ1319" s="44">
        <f t="shared" si="113"/>
        <v>1.345</v>
      </c>
      <c r="AP1319" s="46">
        <f t="shared" si="114"/>
        <v>0.14599999999999999</v>
      </c>
    </row>
    <row r="1320" spans="19:42" ht="18">
      <c r="S1320" s="8">
        <f t="shared" si="115"/>
        <v>0</v>
      </c>
      <c r="W1320" s="3">
        <v>1346</v>
      </c>
      <c r="X1320" s="30">
        <v>146.27500000000001</v>
      </c>
      <c r="Y1320" s="33">
        <f t="shared" si="112"/>
        <v>0.14599999999999999</v>
      </c>
      <c r="AH1320" s="45">
        <f t="shared" si="116"/>
        <v>0</v>
      </c>
      <c r="AJ1320" s="44">
        <f t="shared" si="113"/>
        <v>1.3460000000000001</v>
      </c>
      <c r="AP1320" s="46">
        <f t="shared" si="114"/>
        <v>0.14599999999999999</v>
      </c>
    </row>
    <row r="1321" spans="19:42" ht="18">
      <c r="S1321" s="8">
        <f t="shared" si="115"/>
        <v>0</v>
      </c>
      <c r="W1321" s="3">
        <v>1347</v>
      </c>
      <c r="X1321" s="30">
        <v>146.363</v>
      </c>
      <c r="Y1321" s="33">
        <f t="shared" si="112"/>
        <v>0.14599999999999999</v>
      </c>
      <c r="AH1321" s="45">
        <f t="shared" si="116"/>
        <v>0</v>
      </c>
      <c r="AJ1321" s="44">
        <f t="shared" si="113"/>
        <v>1.347</v>
      </c>
      <c r="AP1321" s="46">
        <f t="shared" si="114"/>
        <v>0.14599999999999999</v>
      </c>
    </row>
    <row r="1322" spans="19:42" ht="18">
      <c r="S1322" s="8">
        <f t="shared" si="115"/>
        <v>0</v>
      </c>
      <c r="W1322" s="3">
        <v>1348</v>
      </c>
      <c r="X1322" s="30">
        <v>146.44999999999999</v>
      </c>
      <c r="Y1322" s="33">
        <f t="shared" si="112"/>
        <v>0.14599999999999999</v>
      </c>
      <c r="AH1322" s="45">
        <f t="shared" si="116"/>
        <v>0</v>
      </c>
      <c r="AJ1322" s="44">
        <f t="shared" si="113"/>
        <v>1.3480000000000001</v>
      </c>
      <c r="AP1322" s="46">
        <f t="shared" si="114"/>
        <v>0.14599999999999999</v>
      </c>
    </row>
    <row r="1323" spans="19:42" ht="18">
      <c r="S1323" s="8">
        <f t="shared" si="115"/>
        <v>0</v>
      </c>
      <c r="W1323" s="3">
        <v>1349</v>
      </c>
      <c r="X1323" s="30">
        <v>146.53800000000001</v>
      </c>
      <c r="Y1323" s="33">
        <f t="shared" si="112"/>
        <v>0.14699999999999999</v>
      </c>
      <c r="AH1323" s="45">
        <f t="shared" si="116"/>
        <v>0</v>
      </c>
      <c r="AJ1323" s="44">
        <f t="shared" si="113"/>
        <v>1.349</v>
      </c>
      <c r="AP1323" s="46">
        <f t="shared" si="114"/>
        <v>0.14699999999999999</v>
      </c>
    </row>
    <row r="1324" spans="19:42" ht="18">
      <c r="S1324" s="8">
        <f t="shared" si="115"/>
        <v>0</v>
      </c>
      <c r="W1324" s="3">
        <v>1350</v>
      </c>
      <c r="X1324" s="30">
        <v>146.625</v>
      </c>
      <c r="Y1324" s="33">
        <f t="shared" si="112"/>
        <v>0.14699999999999999</v>
      </c>
      <c r="AH1324" s="45">
        <f t="shared" si="116"/>
        <v>0</v>
      </c>
      <c r="AJ1324" s="44">
        <f t="shared" si="113"/>
        <v>1.35</v>
      </c>
      <c r="AP1324" s="46">
        <f t="shared" si="114"/>
        <v>0.14699999999999999</v>
      </c>
    </row>
    <row r="1325" spans="19:42" ht="18">
      <c r="S1325" s="8">
        <f t="shared" si="115"/>
        <v>0</v>
      </c>
      <c r="W1325" s="3">
        <v>1351</v>
      </c>
      <c r="X1325" s="30">
        <v>146.71299999999999</v>
      </c>
      <c r="Y1325" s="33">
        <f t="shared" si="112"/>
        <v>0.14699999999999999</v>
      </c>
      <c r="AH1325" s="45">
        <f t="shared" si="116"/>
        <v>0</v>
      </c>
      <c r="AJ1325" s="44">
        <f t="shared" si="113"/>
        <v>1.351</v>
      </c>
      <c r="AP1325" s="46">
        <f t="shared" si="114"/>
        <v>0.14699999999999999</v>
      </c>
    </row>
    <row r="1326" spans="19:42" ht="18">
      <c r="S1326" s="8">
        <f t="shared" si="115"/>
        <v>0</v>
      </c>
      <c r="W1326" s="3">
        <v>1352</v>
      </c>
      <c r="X1326" s="30">
        <v>146.80000000000001</v>
      </c>
      <c r="Y1326" s="33">
        <f t="shared" si="112"/>
        <v>0.14699999999999999</v>
      </c>
      <c r="AH1326" s="45">
        <f t="shared" si="116"/>
        <v>0</v>
      </c>
      <c r="AJ1326" s="44">
        <f t="shared" si="113"/>
        <v>1.3520000000000001</v>
      </c>
      <c r="AP1326" s="46">
        <f t="shared" si="114"/>
        <v>0.14699999999999999</v>
      </c>
    </row>
    <row r="1327" spans="19:42" ht="18">
      <c r="S1327" s="8">
        <f t="shared" si="115"/>
        <v>0</v>
      </c>
      <c r="W1327" s="3">
        <v>1353</v>
      </c>
      <c r="X1327" s="30">
        <v>146.88800000000001</v>
      </c>
      <c r="Y1327" s="33">
        <f t="shared" si="112"/>
        <v>0.14699999999999999</v>
      </c>
      <c r="AH1327" s="45">
        <f t="shared" si="116"/>
        <v>0</v>
      </c>
      <c r="AJ1327" s="44">
        <f t="shared" si="113"/>
        <v>1.353</v>
      </c>
      <c r="AP1327" s="46">
        <f t="shared" si="114"/>
        <v>0.14699999999999999</v>
      </c>
    </row>
    <row r="1328" spans="19:42" ht="18">
      <c r="S1328" s="8">
        <f t="shared" si="115"/>
        <v>0</v>
      </c>
      <c r="W1328" s="3">
        <v>1354</v>
      </c>
      <c r="X1328" s="30">
        <v>146.97499999999999</v>
      </c>
      <c r="Y1328" s="33">
        <f t="shared" si="112"/>
        <v>0.14699999999999999</v>
      </c>
      <c r="AH1328" s="45">
        <f t="shared" si="116"/>
        <v>0</v>
      </c>
      <c r="AJ1328" s="44">
        <f t="shared" si="113"/>
        <v>1.3540000000000001</v>
      </c>
      <c r="AP1328" s="46">
        <f t="shared" si="114"/>
        <v>0.14699999999999999</v>
      </c>
    </row>
    <row r="1329" spans="19:42" ht="18">
      <c r="S1329" s="8">
        <f t="shared" si="115"/>
        <v>0</v>
      </c>
      <c r="W1329" s="3">
        <v>1355</v>
      </c>
      <c r="X1329" s="30">
        <v>147.06299999999999</v>
      </c>
      <c r="Y1329" s="33">
        <f t="shared" si="112"/>
        <v>0.14699999999999999</v>
      </c>
      <c r="AH1329" s="45">
        <f t="shared" si="116"/>
        <v>0</v>
      </c>
      <c r="AJ1329" s="44">
        <f t="shared" si="113"/>
        <v>1.355</v>
      </c>
      <c r="AP1329" s="46">
        <f t="shared" si="114"/>
        <v>0.14699999999999999</v>
      </c>
    </row>
    <row r="1330" spans="19:42" ht="18">
      <c r="S1330" s="8">
        <f t="shared" si="115"/>
        <v>0</v>
      </c>
      <c r="W1330" s="3">
        <v>1356</v>
      </c>
      <c r="X1330" s="30">
        <v>147.15</v>
      </c>
      <c r="Y1330" s="33">
        <f t="shared" si="112"/>
        <v>0.14699999999999999</v>
      </c>
      <c r="AH1330" s="45">
        <f t="shared" si="116"/>
        <v>0</v>
      </c>
      <c r="AJ1330" s="44">
        <f t="shared" si="113"/>
        <v>1.3560000000000001</v>
      </c>
      <c r="AP1330" s="46">
        <f t="shared" si="114"/>
        <v>0.14699999999999999</v>
      </c>
    </row>
    <row r="1331" spans="19:42" ht="18">
      <c r="S1331" s="8">
        <f t="shared" si="115"/>
        <v>0</v>
      </c>
      <c r="W1331" s="3">
        <v>1357</v>
      </c>
      <c r="X1331" s="30">
        <v>147.238</v>
      </c>
      <c r="Y1331" s="33">
        <f t="shared" si="112"/>
        <v>0.14699999999999999</v>
      </c>
      <c r="AH1331" s="45">
        <f t="shared" si="116"/>
        <v>0</v>
      </c>
      <c r="AJ1331" s="44">
        <f t="shared" si="113"/>
        <v>1.357</v>
      </c>
      <c r="AP1331" s="46">
        <f t="shared" si="114"/>
        <v>0.14699999999999999</v>
      </c>
    </row>
    <row r="1332" spans="19:42" ht="18">
      <c r="S1332" s="8">
        <f t="shared" si="115"/>
        <v>0</v>
      </c>
      <c r="W1332" s="3">
        <v>1358</v>
      </c>
      <c r="X1332" s="30">
        <v>147.32499999999999</v>
      </c>
      <c r="Y1332" s="33">
        <f t="shared" si="112"/>
        <v>0.14699999999999999</v>
      </c>
      <c r="AH1332" s="45">
        <f t="shared" si="116"/>
        <v>0</v>
      </c>
      <c r="AJ1332" s="44">
        <f t="shared" si="113"/>
        <v>1.3580000000000001</v>
      </c>
      <c r="AP1332" s="46">
        <f t="shared" si="114"/>
        <v>0.14699999999999999</v>
      </c>
    </row>
    <row r="1333" spans="19:42" ht="18">
      <c r="S1333" s="8">
        <f t="shared" si="115"/>
        <v>0</v>
      </c>
      <c r="W1333" s="3">
        <v>1359</v>
      </c>
      <c r="X1333" s="30">
        <v>147.41300000000001</v>
      </c>
      <c r="Y1333" s="33">
        <f t="shared" si="112"/>
        <v>0.14699999999999999</v>
      </c>
      <c r="AH1333" s="45">
        <f t="shared" si="116"/>
        <v>0</v>
      </c>
      <c r="AJ1333" s="44">
        <f t="shared" si="113"/>
        <v>1.359</v>
      </c>
      <c r="AP1333" s="46">
        <f t="shared" si="114"/>
        <v>0.14699999999999999</v>
      </c>
    </row>
    <row r="1334" spans="19:42" ht="18">
      <c r="S1334" s="8">
        <f t="shared" si="115"/>
        <v>0</v>
      </c>
      <c r="W1334" s="3">
        <v>1360</v>
      </c>
      <c r="X1334" s="30">
        <v>147.5</v>
      </c>
      <c r="Y1334" s="33">
        <f t="shared" si="112"/>
        <v>0.14799999999999999</v>
      </c>
      <c r="AH1334" s="45">
        <f t="shared" si="116"/>
        <v>0</v>
      </c>
      <c r="AJ1334" s="44">
        <f t="shared" si="113"/>
        <v>1.36</v>
      </c>
      <c r="AP1334" s="46">
        <f t="shared" si="114"/>
        <v>0.14799999999999999</v>
      </c>
    </row>
    <row r="1335" spans="19:42" ht="18">
      <c r="S1335" s="8">
        <f t="shared" si="115"/>
        <v>0</v>
      </c>
      <c r="W1335" s="3">
        <v>1361</v>
      </c>
      <c r="X1335" s="30">
        <v>147.58799999999999</v>
      </c>
      <c r="Y1335" s="33">
        <f t="shared" si="112"/>
        <v>0.14799999999999999</v>
      </c>
      <c r="AH1335" s="45">
        <f t="shared" si="116"/>
        <v>0</v>
      </c>
      <c r="AJ1335" s="44">
        <f t="shared" si="113"/>
        <v>1.361</v>
      </c>
      <c r="AP1335" s="46">
        <f t="shared" si="114"/>
        <v>0.14799999999999999</v>
      </c>
    </row>
    <row r="1336" spans="19:42" ht="18">
      <c r="S1336" s="8">
        <f t="shared" si="115"/>
        <v>0</v>
      </c>
      <c r="W1336" s="3">
        <v>1362</v>
      </c>
      <c r="X1336" s="30">
        <v>147.67500000000001</v>
      </c>
      <c r="Y1336" s="33">
        <f t="shared" si="112"/>
        <v>0.14799999999999999</v>
      </c>
      <c r="AH1336" s="45">
        <f t="shared" si="116"/>
        <v>0</v>
      </c>
      <c r="AJ1336" s="44">
        <f t="shared" si="113"/>
        <v>1.3620000000000001</v>
      </c>
      <c r="AP1336" s="46">
        <f t="shared" si="114"/>
        <v>0.14799999999999999</v>
      </c>
    </row>
    <row r="1337" spans="19:42" ht="18">
      <c r="S1337" s="8">
        <f t="shared" si="115"/>
        <v>0</v>
      </c>
      <c r="W1337" s="3">
        <v>1363</v>
      </c>
      <c r="X1337" s="30">
        <v>147.76300000000001</v>
      </c>
      <c r="Y1337" s="33">
        <f t="shared" si="112"/>
        <v>0.14799999999999999</v>
      </c>
      <c r="AH1337" s="45">
        <f t="shared" si="116"/>
        <v>0</v>
      </c>
      <c r="AJ1337" s="44">
        <f t="shared" si="113"/>
        <v>1.363</v>
      </c>
      <c r="AP1337" s="46">
        <f t="shared" si="114"/>
        <v>0.14799999999999999</v>
      </c>
    </row>
    <row r="1338" spans="19:42" ht="18">
      <c r="S1338" s="8">
        <f t="shared" si="115"/>
        <v>0</v>
      </c>
      <c r="W1338" s="3">
        <v>1364</v>
      </c>
      <c r="X1338" s="30">
        <v>147.85</v>
      </c>
      <c r="Y1338" s="33">
        <f t="shared" si="112"/>
        <v>0.14799999999999999</v>
      </c>
      <c r="AH1338" s="45">
        <f t="shared" si="116"/>
        <v>0</v>
      </c>
      <c r="AJ1338" s="44">
        <f t="shared" si="113"/>
        <v>1.3640000000000001</v>
      </c>
      <c r="AP1338" s="46">
        <f t="shared" si="114"/>
        <v>0.14799999999999999</v>
      </c>
    </row>
    <row r="1339" spans="19:42" ht="18">
      <c r="S1339" s="8">
        <f t="shared" si="115"/>
        <v>0</v>
      </c>
      <c r="W1339" s="3">
        <v>1365</v>
      </c>
      <c r="X1339" s="30">
        <v>147.93799999999999</v>
      </c>
      <c r="Y1339" s="33">
        <f t="shared" si="112"/>
        <v>0.14799999999999999</v>
      </c>
      <c r="AH1339" s="45">
        <f t="shared" si="116"/>
        <v>0</v>
      </c>
      <c r="AJ1339" s="44">
        <f t="shared" si="113"/>
        <v>1.365</v>
      </c>
      <c r="AP1339" s="46">
        <f t="shared" si="114"/>
        <v>0.14799999999999999</v>
      </c>
    </row>
    <row r="1340" spans="19:42" ht="18">
      <c r="S1340" s="8">
        <f t="shared" si="115"/>
        <v>0</v>
      </c>
      <c r="W1340" s="3">
        <v>1366</v>
      </c>
      <c r="X1340" s="30">
        <v>148.02500000000001</v>
      </c>
      <c r="Y1340" s="33">
        <f t="shared" si="112"/>
        <v>0.14799999999999999</v>
      </c>
      <c r="AH1340" s="45">
        <f t="shared" si="116"/>
        <v>0</v>
      </c>
      <c r="AJ1340" s="44">
        <f t="shared" si="113"/>
        <v>1.3660000000000001</v>
      </c>
      <c r="AP1340" s="46">
        <f t="shared" si="114"/>
        <v>0.14799999999999999</v>
      </c>
    </row>
    <row r="1341" spans="19:42" ht="18">
      <c r="S1341" s="8">
        <f t="shared" si="115"/>
        <v>0</v>
      </c>
      <c r="W1341" s="3">
        <v>1367</v>
      </c>
      <c r="X1341" s="30">
        <v>148.113</v>
      </c>
      <c r="Y1341" s="33">
        <f t="shared" si="112"/>
        <v>0.14799999999999999</v>
      </c>
      <c r="AH1341" s="45">
        <f t="shared" si="116"/>
        <v>0</v>
      </c>
      <c r="AJ1341" s="44">
        <f t="shared" si="113"/>
        <v>1.367</v>
      </c>
      <c r="AP1341" s="46">
        <f t="shared" si="114"/>
        <v>0.14799999999999999</v>
      </c>
    </row>
    <row r="1342" spans="19:42" ht="18">
      <c r="S1342" s="8">
        <f t="shared" si="115"/>
        <v>0</v>
      </c>
      <c r="W1342" s="3">
        <v>1368</v>
      </c>
      <c r="X1342" s="30">
        <v>148.19999999999999</v>
      </c>
      <c r="Y1342" s="33">
        <f t="shared" si="112"/>
        <v>0.14799999999999999</v>
      </c>
      <c r="AH1342" s="45">
        <f t="shared" si="116"/>
        <v>0</v>
      </c>
      <c r="AJ1342" s="44">
        <f t="shared" si="113"/>
        <v>1.3680000000000001</v>
      </c>
      <c r="AP1342" s="46">
        <f t="shared" si="114"/>
        <v>0.14799999999999999</v>
      </c>
    </row>
    <row r="1343" spans="19:42" ht="18">
      <c r="S1343" s="8">
        <f t="shared" si="115"/>
        <v>0</v>
      </c>
      <c r="W1343" s="3">
        <v>1369</v>
      </c>
      <c r="X1343" s="30">
        <v>148.28800000000001</v>
      </c>
      <c r="Y1343" s="33">
        <f t="shared" si="112"/>
        <v>0.14799999999999999</v>
      </c>
      <c r="AH1343" s="45">
        <f t="shared" si="116"/>
        <v>0</v>
      </c>
      <c r="AJ1343" s="44">
        <f t="shared" si="113"/>
        <v>1.369</v>
      </c>
      <c r="AP1343" s="46">
        <f t="shared" si="114"/>
        <v>0.14799999999999999</v>
      </c>
    </row>
    <row r="1344" spans="19:42" ht="18">
      <c r="S1344" s="8">
        <f t="shared" si="115"/>
        <v>0</v>
      </c>
      <c r="W1344" s="3">
        <v>1370</v>
      </c>
      <c r="X1344" s="30">
        <v>148.375</v>
      </c>
      <c r="Y1344" s="33">
        <f t="shared" si="112"/>
        <v>0.14799999999999999</v>
      </c>
      <c r="AH1344" s="45">
        <f t="shared" si="116"/>
        <v>0</v>
      </c>
      <c r="AJ1344" s="44">
        <f t="shared" si="113"/>
        <v>1.37</v>
      </c>
      <c r="AP1344" s="46">
        <f t="shared" si="114"/>
        <v>0.14799999999999999</v>
      </c>
    </row>
    <row r="1345" spans="19:42" ht="18">
      <c r="S1345" s="8">
        <f t="shared" si="115"/>
        <v>0</v>
      </c>
      <c r="W1345" s="3">
        <v>1371</v>
      </c>
      <c r="X1345" s="30">
        <v>148.46299999999999</v>
      </c>
      <c r="Y1345" s="33">
        <f t="shared" si="112"/>
        <v>0.14799999999999999</v>
      </c>
      <c r="AH1345" s="45">
        <f t="shared" si="116"/>
        <v>0</v>
      </c>
      <c r="AJ1345" s="44">
        <f t="shared" si="113"/>
        <v>1.371</v>
      </c>
      <c r="AP1345" s="46">
        <f t="shared" si="114"/>
        <v>0.14799999999999999</v>
      </c>
    </row>
    <row r="1346" spans="19:42" ht="18">
      <c r="S1346" s="8">
        <f t="shared" si="115"/>
        <v>0</v>
      </c>
      <c r="W1346" s="3">
        <v>1372</v>
      </c>
      <c r="X1346" s="30">
        <v>148.55000000000001</v>
      </c>
      <c r="Y1346" s="33">
        <f t="shared" si="112"/>
        <v>0.14899999999999999</v>
      </c>
      <c r="AH1346" s="45">
        <f t="shared" si="116"/>
        <v>0</v>
      </c>
      <c r="AJ1346" s="44">
        <f t="shared" si="113"/>
        <v>1.3720000000000001</v>
      </c>
      <c r="AP1346" s="46">
        <f t="shared" si="114"/>
        <v>0.14899999999999999</v>
      </c>
    </row>
    <row r="1347" spans="19:42" ht="18">
      <c r="S1347" s="8">
        <f t="shared" si="115"/>
        <v>0</v>
      </c>
      <c r="W1347" s="3">
        <v>1373</v>
      </c>
      <c r="X1347" s="30">
        <v>148.63800000000001</v>
      </c>
      <c r="Y1347" s="33">
        <f t="shared" si="112"/>
        <v>0.14899999999999999</v>
      </c>
      <c r="AH1347" s="45">
        <f t="shared" si="116"/>
        <v>0</v>
      </c>
      <c r="AJ1347" s="44">
        <f t="shared" si="113"/>
        <v>1.373</v>
      </c>
      <c r="AP1347" s="46">
        <f t="shared" si="114"/>
        <v>0.14899999999999999</v>
      </c>
    </row>
    <row r="1348" spans="19:42" ht="18">
      <c r="S1348" s="8">
        <f t="shared" si="115"/>
        <v>0</v>
      </c>
      <c r="W1348" s="3">
        <v>1374</v>
      </c>
      <c r="X1348" s="30">
        <v>148.72499999999999</v>
      </c>
      <c r="Y1348" s="33">
        <f t="shared" si="112"/>
        <v>0.14899999999999999</v>
      </c>
      <c r="AH1348" s="45">
        <f t="shared" si="116"/>
        <v>0</v>
      </c>
      <c r="AJ1348" s="44">
        <f t="shared" si="113"/>
        <v>1.3740000000000001</v>
      </c>
      <c r="AP1348" s="46">
        <f t="shared" si="114"/>
        <v>0.14899999999999999</v>
      </c>
    </row>
    <row r="1349" spans="19:42" ht="18">
      <c r="S1349" s="8">
        <f t="shared" si="115"/>
        <v>0</v>
      </c>
      <c r="W1349" s="3">
        <v>1375</v>
      </c>
      <c r="X1349" s="30">
        <v>148.81299999999999</v>
      </c>
      <c r="Y1349" s="33">
        <f t="shared" ref="Y1349:Y1412" si="117">ROUND(X1349/1000,3)</f>
        <v>0.14899999999999999</v>
      </c>
      <c r="AH1349" s="45">
        <f t="shared" si="116"/>
        <v>0</v>
      </c>
      <c r="AJ1349" s="44">
        <f t="shared" ref="AJ1349:AJ1412" si="118">ROUND(W1349/1000,3)</f>
        <v>1.375</v>
      </c>
      <c r="AP1349" s="46">
        <f t="shared" ref="AP1349:AP1412" si="119">ROUND(X1349/1000,3)</f>
        <v>0.14899999999999999</v>
      </c>
    </row>
    <row r="1350" spans="19:42" ht="18">
      <c r="S1350" s="8">
        <f t="shared" ref="S1350:S1413" si="120">CEILING(R1350/50,0.5)</f>
        <v>0</v>
      </c>
      <c r="W1350" s="3">
        <v>1376</v>
      </c>
      <c r="X1350" s="30">
        <v>148.9</v>
      </c>
      <c r="Y1350" s="33">
        <f t="shared" si="117"/>
        <v>0.14899999999999999</v>
      </c>
      <c r="AH1350" s="45">
        <f t="shared" ref="AH1350:AH1413" si="121">AE1350-AE1349</f>
        <v>0</v>
      </c>
      <c r="AJ1350" s="44">
        <f t="shared" si="118"/>
        <v>1.3759999999999999</v>
      </c>
      <c r="AP1350" s="46">
        <f t="shared" si="119"/>
        <v>0.14899999999999999</v>
      </c>
    </row>
    <row r="1351" spans="19:42" ht="18">
      <c r="S1351" s="8">
        <f t="shared" si="120"/>
        <v>0</v>
      </c>
      <c r="W1351" s="3">
        <v>1377</v>
      </c>
      <c r="X1351" s="30">
        <v>148.988</v>
      </c>
      <c r="Y1351" s="33">
        <f t="shared" si="117"/>
        <v>0.14899999999999999</v>
      </c>
      <c r="AH1351" s="45">
        <f t="shared" si="121"/>
        <v>0</v>
      </c>
      <c r="AJ1351" s="44">
        <f t="shared" si="118"/>
        <v>1.377</v>
      </c>
      <c r="AP1351" s="46">
        <f t="shared" si="119"/>
        <v>0.14899999999999999</v>
      </c>
    </row>
    <row r="1352" spans="19:42" ht="18">
      <c r="S1352" s="8">
        <f t="shared" si="120"/>
        <v>0</v>
      </c>
      <c r="W1352" s="3">
        <v>1378</v>
      </c>
      <c r="X1352" s="30">
        <v>149.07499999999999</v>
      </c>
      <c r="Y1352" s="33">
        <f t="shared" si="117"/>
        <v>0.14899999999999999</v>
      </c>
      <c r="AH1352" s="45">
        <f t="shared" si="121"/>
        <v>0</v>
      </c>
      <c r="AJ1352" s="44">
        <f t="shared" si="118"/>
        <v>1.3779999999999999</v>
      </c>
      <c r="AP1352" s="46">
        <f t="shared" si="119"/>
        <v>0.14899999999999999</v>
      </c>
    </row>
    <row r="1353" spans="19:42" ht="18">
      <c r="S1353" s="8">
        <f t="shared" si="120"/>
        <v>0</v>
      </c>
      <c r="W1353" s="3">
        <v>1379</v>
      </c>
      <c r="X1353" s="30">
        <v>149.16300000000001</v>
      </c>
      <c r="Y1353" s="33">
        <f t="shared" si="117"/>
        <v>0.14899999999999999</v>
      </c>
      <c r="AH1353" s="45">
        <f t="shared" si="121"/>
        <v>0</v>
      </c>
      <c r="AJ1353" s="44">
        <f t="shared" si="118"/>
        <v>1.379</v>
      </c>
      <c r="AP1353" s="46">
        <f t="shared" si="119"/>
        <v>0.14899999999999999</v>
      </c>
    </row>
    <row r="1354" spans="19:42" ht="18">
      <c r="S1354" s="8">
        <f t="shared" si="120"/>
        <v>0</v>
      </c>
      <c r="W1354" s="3">
        <v>1380</v>
      </c>
      <c r="X1354" s="30">
        <v>149.25</v>
      </c>
      <c r="Y1354" s="33">
        <f t="shared" si="117"/>
        <v>0.14899999999999999</v>
      </c>
      <c r="AH1354" s="45">
        <f t="shared" si="121"/>
        <v>0</v>
      </c>
      <c r="AJ1354" s="44">
        <f t="shared" si="118"/>
        <v>1.38</v>
      </c>
      <c r="AP1354" s="46">
        <f t="shared" si="119"/>
        <v>0.14899999999999999</v>
      </c>
    </row>
    <row r="1355" spans="19:42" ht="18">
      <c r="S1355" s="8">
        <f t="shared" si="120"/>
        <v>0</v>
      </c>
      <c r="W1355" s="3">
        <v>1381</v>
      </c>
      <c r="X1355" s="30">
        <v>149.33799999999999</v>
      </c>
      <c r="Y1355" s="33">
        <f t="shared" si="117"/>
        <v>0.14899999999999999</v>
      </c>
      <c r="AH1355" s="45">
        <f t="shared" si="121"/>
        <v>0</v>
      </c>
      <c r="AJ1355" s="44">
        <f t="shared" si="118"/>
        <v>1.381</v>
      </c>
      <c r="AP1355" s="46">
        <f t="shared" si="119"/>
        <v>0.14899999999999999</v>
      </c>
    </row>
    <row r="1356" spans="19:42" ht="18">
      <c r="S1356" s="8">
        <f t="shared" si="120"/>
        <v>0</v>
      </c>
      <c r="W1356" s="3">
        <v>1382</v>
      </c>
      <c r="X1356" s="30">
        <v>149.42500000000001</v>
      </c>
      <c r="Y1356" s="33">
        <f t="shared" si="117"/>
        <v>0.14899999999999999</v>
      </c>
      <c r="AH1356" s="45">
        <f t="shared" si="121"/>
        <v>0</v>
      </c>
      <c r="AJ1356" s="44">
        <f t="shared" si="118"/>
        <v>1.3819999999999999</v>
      </c>
      <c r="AP1356" s="46">
        <f t="shared" si="119"/>
        <v>0.14899999999999999</v>
      </c>
    </row>
    <row r="1357" spans="19:42" ht="18">
      <c r="S1357" s="8">
        <f t="shared" si="120"/>
        <v>0</v>
      </c>
      <c r="W1357" s="3">
        <v>1383</v>
      </c>
      <c r="X1357" s="30">
        <v>149.51300000000001</v>
      </c>
      <c r="Y1357" s="33">
        <f t="shared" si="117"/>
        <v>0.15</v>
      </c>
      <c r="AH1357" s="45">
        <f t="shared" si="121"/>
        <v>0</v>
      </c>
      <c r="AJ1357" s="44">
        <f t="shared" si="118"/>
        <v>1.383</v>
      </c>
      <c r="AP1357" s="46">
        <f t="shared" si="119"/>
        <v>0.15</v>
      </c>
    </row>
    <row r="1358" spans="19:42" ht="18">
      <c r="S1358" s="8">
        <f t="shared" si="120"/>
        <v>0</v>
      </c>
      <c r="W1358" s="3">
        <v>1384</v>
      </c>
      <c r="X1358" s="30">
        <v>149.6</v>
      </c>
      <c r="Y1358" s="33">
        <f t="shared" si="117"/>
        <v>0.15</v>
      </c>
      <c r="AH1358" s="45">
        <f t="shared" si="121"/>
        <v>0</v>
      </c>
      <c r="AJ1358" s="44">
        <f t="shared" si="118"/>
        <v>1.3839999999999999</v>
      </c>
      <c r="AP1358" s="46">
        <f t="shared" si="119"/>
        <v>0.15</v>
      </c>
    </row>
    <row r="1359" spans="19:42" ht="18">
      <c r="S1359" s="8">
        <f t="shared" si="120"/>
        <v>0</v>
      </c>
      <c r="W1359" s="3">
        <v>1385</v>
      </c>
      <c r="X1359" s="30">
        <v>149.68799999999999</v>
      </c>
      <c r="Y1359" s="33">
        <f t="shared" si="117"/>
        <v>0.15</v>
      </c>
      <c r="AH1359" s="45">
        <f t="shared" si="121"/>
        <v>0</v>
      </c>
      <c r="AJ1359" s="44">
        <f t="shared" si="118"/>
        <v>1.385</v>
      </c>
      <c r="AP1359" s="46">
        <f t="shared" si="119"/>
        <v>0.15</v>
      </c>
    </row>
    <row r="1360" spans="19:42" ht="18">
      <c r="S1360" s="8">
        <f t="shared" si="120"/>
        <v>0</v>
      </c>
      <c r="W1360" s="3">
        <v>1386</v>
      </c>
      <c r="X1360" s="30">
        <v>149.77500000000001</v>
      </c>
      <c r="Y1360" s="33">
        <f t="shared" si="117"/>
        <v>0.15</v>
      </c>
      <c r="AH1360" s="45">
        <f t="shared" si="121"/>
        <v>0</v>
      </c>
      <c r="AJ1360" s="44">
        <f t="shared" si="118"/>
        <v>1.3859999999999999</v>
      </c>
      <c r="AP1360" s="46">
        <f t="shared" si="119"/>
        <v>0.15</v>
      </c>
    </row>
    <row r="1361" spans="19:42" ht="18">
      <c r="S1361" s="8">
        <f t="shared" si="120"/>
        <v>0</v>
      </c>
      <c r="W1361" s="3">
        <v>1387</v>
      </c>
      <c r="X1361" s="30">
        <v>149.863</v>
      </c>
      <c r="Y1361" s="33">
        <f t="shared" si="117"/>
        <v>0.15</v>
      </c>
      <c r="AH1361" s="45">
        <f t="shared" si="121"/>
        <v>0</v>
      </c>
      <c r="AJ1361" s="44">
        <f t="shared" si="118"/>
        <v>1.387</v>
      </c>
      <c r="AP1361" s="46">
        <f t="shared" si="119"/>
        <v>0.15</v>
      </c>
    </row>
    <row r="1362" spans="19:42" ht="18">
      <c r="S1362" s="8">
        <f t="shared" si="120"/>
        <v>0</v>
      </c>
      <c r="W1362" s="3">
        <v>1388</v>
      </c>
      <c r="X1362" s="30">
        <v>149.94999999999999</v>
      </c>
      <c r="Y1362" s="33">
        <f t="shared" si="117"/>
        <v>0.15</v>
      </c>
      <c r="AH1362" s="45">
        <f t="shared" si="121"/>
        <v>0</v>
      </c>
      <c r="AJ1362" s="44">
        <f t="shared" si="118"/>
        <v>1.3879999999999999</v>
      </c>
      <c r="AP1362" s="46">
        <f t="shared" si="119"/>
        <v>0.15</v>
      </c>
    </row>
    <row r="1363" spans="19:42" ht="18">
      <c r="S1363" s="8">
        <f t="shared" si="120"/>
        <v>0</v>
      </c>
      <c r="W1363" s="3">
        <v>1389</v>
      </c>
      <c r="X1363" s="30">
        <v>150.03800000000001</v>
      </c>
      <c r="Y1363" s="33">
        <f t="shared" si="117"/>
        <v>0.15</v>
      </c>
      <c r="AH1363" s="45">
        <f t="shared" si="121"/>
        <v>0</v>
      </c>
      <c r="AJ1363" s="44">
        <f t="shared" si="118"/>
        <v>1.389</v>
      </c>
      <c r="AP1363" s="46">
        <f t="shared" si="119"/>
        <v>0.15</v>
      </c>
    </row>
    <row r="1364" spans="19:42" ht="18">
      <c r="S1364" s="8">
        <f t="shared" si="120"/>
        <v>0</v>
      </c>
      <c r="W1364" s="3">
        <v>1390</v>
      </c>
      <c r="X1364" s="30">
        <v>150.125</v>
      </c>
      <c r="Y1364" s="33">
        <f t="shared" si="117"/>
        <v>0.15</v>
      </c>
      <c r="AH1364" s="45">
        <f t="shared" si="121"/>
        <v>0</v>
      </c>
      <c r="AJ1364" s="44">
        <f t="shared" si="118"/>
        <v>1.39</v>
      </c>
      <c r="AP1364" s="46">
        <f t="shared" si="119"/>
        <v>0.15</v>
      </c>
    </row>
    <row r="1365" spans="19:42" ht="18">
      <c r="S1365" s="8">
        <f t="shared" si="120"/>
        <v>0</v>
      </c>
      <c r="W1365" s="3">
        <v>1391</v>
      </c>
      <c r="X1365" s="30">
        <v>150.21299999999999</v>
      </c>
      <c r="Y1365" s="33">
        <f t="shared" si="117"/>
        <v>0.15</v>
      </c>
      <c r="AH1365" s="45">
        <f t="shared" si="121"/>
        <v>0</v>
      </c>
      <c r="AJ1365" s="44">
        <f t="shared" si="118"/>
        <v>1.391</v>
      </c>
      <c r="AP1365" s="46">
        <f t="shared" si="119"/>
        <v>0.15</v>
      </c>
    </row>
    <row r="1366" spans="19:42" ht="18">
      <c r="S1366" s="8">
        <f t="shared" si="120"/>
        <v>0</v>
      </c>
      <c r="W1366" s="3">
        <v>1392</v>
      </c>
      <c r="X1366" s="30">
        <v>150.30000000000001</v>
      </c>
      <c r="Y1366" s="33">
        <f t="shared" si="117"/>
        <v>0.15</v>
      </c>
      <c r="AH1366" s="45">
        <f t="shared" si="121"/>
        <v>0</v>
      </c>
      <c r="AJ1366" s="44">
        <f t="shared" si="118"/>
        <v>1.3919999999999999</v>
      </c>
      <c r="AP1366" s="46">
        <f t="shared" si="119"/>
        <v>0.15</v>
      </c>
    </row>
    <row r="1367" spans="19:42" ht="18">
      <c r="S1367" s="8">
        <f t="shared" si="120"/>
        <v>0</v>
      </c>
      <c r="W1367" s="3">
        <v>1393</v>
      </c>
      <c r="X1367" s="30">
        <v>150.38800000000001</v>
      </c>
      <c r="Y1367" s="33">
        <f t="shared" si="117"/>
        <v>0.15</v>
      </c>
      <c r="AH1367" s="45">
        <f t="shared" si="121"/>
        <v>0</v>
      </c>
      <c r="AJ1367" s="44">
        <f t="shared" si="118"/>
        <v>1.393</v>
      </c>
      <c r="AP1367" s="46">
        <f t="shared" si="119"/>
        <v>0.15</v>
      </c>
    </row>
    <row r="1368" spans="19:42" ht="18">
      <c r="S1368" s="8">
        <f t="shared" si="120"/>
        <v>0</v>
      </c>
      <c r="W1368" s="3">
        <v>1394</v>
      </c>
      <c r="X1368" s="30">
        <v>150.47499999999999</v>
      </c>
      <c r="Y1368" s="33">
        <f t="shared" si="117"/>
        <v>0.15</v>
      </c>
      <c r="AH1368" s="45">
        <f t="shared" si="121"/>
        <v>0</v>
      </c>
      <c r="AJ1368" s="44">
        <f t="shared" si="118"/>
        <v>1.3939999999999999</v>
      </c>
      <c r="AP1368" s="46">
        <f t="shared" si="119"/>
        <v>0.15</v>
      </c>
    </row>
    <row r="1369" spans="19:42" ht="18">
      <c r="S1369" s="8">
        <f t="shared" si="120"/>
        <v>0</v>
      </c>
      <c r="W1369" s="3">
        <v>1395</v>
      </c>
      <c r="X1369" s="30">
        <v>150.56299999999999</v>
      </c>
      <c r="Y1369" s="33">
        <f t="shared" si="117"/>
        <v>0.151</v>
      </c>
      <c r="AH1369" s="45">
        <f t="shared" si="121"/>
        <v>0</v>
      </c>
      <c r="AJ1369" s="44">
        <f t="shared" si="118"/>
        <v>1.395</v>
      </c>
      <c r="AP1369" s="46">
        <f t="shared" si="119"/>
        <v>0.151</v>
      </c>
    </row>
    <row r="1370" spans="19:42" ht="18">
      <c r="S1370" s="8">
        <f t="shared" si="120"/>
        <v>0</v>
      </c>
      <c r="W1370" s="3">
        <v>1396</v>
      </c>
      <c r="X1370" s="30">
        <v>150.65</v>
      </c>
      <c r="Y1370" s="33">
        <f t="shared" si="117"/>
        <v>0.151</v>
      </c>
      <c r="AH1370" s="45">
        <f t="shared" si="121"/>
        <v>0</v>
      </c>
      <c r="AJ1370" s="44">
        <f t="shared" si="118"/>
        <v>1.3959999999999999</v>
      </c>
      <c r="AP1370" s="46">
        <f t="shared" si="119"/>
        <v>0.151</v>
      </c>
    </row>
    <row r="1371" spans="19:42" ht="18">
      <c r="S1371" s="8">
        <f t="shared" si="120"/>
        <v>0</v>
      </c>
      <c r="W1371" s="3">
        <v>1397</v>
      </c>
      <c r="X1371" s="30">
        <v>150.738</v>
      </c>
      <c r="Y1371" s="33">
        <f t="shared" si="117"/>
        <v>0.151</v>
      </c>
      <c r="AH1371" s="45">
        <f t="shared" si="121"/>
        <v>0</v>
      </c>
      <c r="AJ1371" s="44">
        <f t="shared" si="118"/>
        <v>1.397</v>
      </c>
      <c r="AP1371" s="46">
        <f t="shared" si="119"/>
        <v>0.151</v>
      </c>
    </row>
    <row r="1372" spans="19:42" ht="18">
      <c r="S1372" s="8">
        <f t="shared" si="120"/>
        <v>0</v>
      </c>
      <c r="W1372" s="3">
        <v>1398</v>
      </c>
      <c r="X1372" s="30">
        <v>150.82499999999999</v>
      </c>
      <c r="Y1372" s="33">
        <f t="shared" si="117"/>
        <v>0.151</v>
      </c>
      <c r="AH1372" s="45">
        <f t="shared" si="121"/>
        <v>0</v>
      </c>
      <c r="AJ1372" s="44">
        <f t="shared" si="118"/>
        <v>1.3979999999999999</v>
      </c>
      <c r="AP1372" s="46">
        <f t="shared" si="119"/>
        <v>0.151</v>
      </c>
    </row>
    <row r="1373" spans="19:42" ht="18">
      <c r="S1373" s="8">
        <f t="shared" si="120"/>
        <v>0</v>
      </c>
      <c r="W1373" s="3">
        <v>1399</v>
      </c>
      <c r="X1373" s="30">
        <v>150.91300000000001</v>
      </c>
      <c r="Y1373" s="33">
        <f t="shared" si="117"/>
        <v>0.151</v>
      </c>
      <c r="AH1373" s="45">
        <f t="shared" si="121"/>
        <v>0</v>
      </c>
      <c r="AJ1373" s="44">
        <f t="shared" si="118"/>
        <v>1.399</v>
      </c>
      <c r="AP1373" s="46">
        <f t="shared" si="119"/>
        <v>0.151</v>
      </c>
    </row>
    <row r="1374" spans="19:42" ht="18">
      <c r="S1374" s="8">
        <f t="shared" si="120"/>
        <v>0</v>
      </c>
      <c r="W1374" s="3">
        <v>1400</v>
      </c>
      <c r="X1374" s="30">
        <v>151</v>
      </c>
      <c r="Y1374" s="33">
        <f t="shared" si="117"/>
        <v>0.151</v>
      </c>
      <c r="AH1374" s="45">
        <f t="shared" si="121"/>
        <v>0</v>
      </c>
      <c r="AJ1374" s="44">
        <f t="shared" si="118"/>
        <v>1.4</v>
      </c>
      <c r="AP1374" s="46">
        <f t="shared" si="119"/>
        <v>0.151</v>
      </c>
    </row>
    <row r="1375" spans="19:42" ht="18">
      <c r="S1375" s="8">
        <f t="shared" si="120"/>
        <v>0</v>
      </c>
      <c r="W1375" s="3">
        <v>1401</v>
      </c>
      <c r="X1375" s="30">
        <v>151.13300000000001</v>
      </c>
      <c r="Y1375" s="33">
        <f t="shared" si="117"/>
        <v>0.151</v>
      </c>
      <c r="AH1375" s="45">
        <f t="shared" si="121"/>
        <v>0</v>
      </c>
      <c r="AJ1375" s="44">
        <f t="shared" si="118"/>
        <v>1.401</v>
      </c>
      <c r="AP1375" s="46">
        <f t="shared" si="119"/>
        <v>0.151</v>
      </c>
    </row>
    <row r="1376" spans="19:42" ht="18">
      <c r="S1376" s="8">
        <f t="shared" si="120"/>
        <v>0</v>
      </c>
      <c r="W1376" s="3">
        <v>1402</v>
      </c>
      <c r="X1376" s="30">
        <v>151.267</v>
      </c>
      <c r="Y1376" s="33">
        <f t="shared" si="117"/>
        <v>0.151</v>
      </c>
      <c r="AH1376" s="45">
        <f t="shared" si="121"/>
        <v>0</v>
      </c>
      <c r="AJ1376" s="44">
        <f t="shared" si="118"/>
        <v>1.4019999999999999</v>
      </c>
      <c r="AP1376" s="46">
        <f t="shared" si="119"/>
        <v>0.151</v>
      </c>
    </row>
    <row r="1377" spans="19:42" ht="18">
      <c r="S1377" s="8">
        <f t="shared" si="120"/>
        <v>0</v>
      </c>
      <c r="W1377" s="3">
        <v>1403</v>
      </c>
      <c r="X1377" s="30">
        <v>151.4</v>
      </c>
      <c r="Y1377" s="33">
        <f t="shared" si="117"/>
        <v>0.151</v>
      </c>
      <c r="AH1377" s="45">
        <f t="shared" si="121"/>
        <v>0</v>
      </c>
      <c r="AJ1377" s="44">
        <f t="shared" si="118"/>
        <v>1.403</v>
      </c>
      <c r="AP1377" s="46">
        <f t="shared" si="119"/>
        <v>0.151</v>
      </c>
    </row>
    <row r="1378" spans="19:42" ht="18">
      <c r="S1378" s="8">
        <f t="shared" si="120"/>
        <v>0</v>
      </c>
      <c r="W1378" s="3">
        <v>1404</v>
      </c>
      <c r="X1378" s="30">
        <v>151.53299999999999</v>
      </c>
      <c r="Y1378" s="33">
        <f t="shared" si="117"/>
        <v>0.152</v>
      </c>
      <c r="AH1378" s="45">
        <f t="shared" si="121"/>
        <v>0</v>
      </c>
      <c r="AJ1378" s="44">
        <f t="shared" si="118"/>
        <v>1.4039999999999999</v>
      </c>
      <c r="AP1378" s="46">
        <f t="shared" si="119"/>
        <v>0.152</v>
      </c>
    </row>
    <row r="1379" spans="19:42" ht="18">
      <c r="S1379" s="8">
        <f t="shared" si="120"/>
        <v>0</v>
      </c>
      <c r="W1379" s="3">
        <v>1405</v>
      </c>
      <c r="X1379" s="30">
        <v>151.667</v>
      </c>
      <c r="Y1379" s="33">
        <f t="shared" si="117"/>
        <v>0.152</v>
      </c>
      <c r="AH1379" s="45">
        <f t="shared" si="121"/>
        <v>0</v>
      </c>
      <c r="AJ1379" s="44">
        <f t="shared" si="118"/>
        <v>1.405</v>
      </c>
      <c r="AP1379" s="46">
        <f t="shared" si="119"/>
        <v>0.152</v>
      </c>
    </row>
    <row r="1380" spans="19:42" ht="18">
      <c r="S1380" s="8">
        <f t="shared" si="120"/>
        <v>0</v>
      </c>
      <c r="W1380" s="3">
        <v>1406</v>
      </c>
      <c r="X1380" s="30">
        <v>151.80000000000001</v>
      </c>
      <c r="Y1380" s="33">
        <f t="shared" si="117"/>
        <v>0.152</v>
      </c>
      <c r="AH1380" s="45">
        <f t="shared" si="121"/>
        <v>0</v>
      </c>
      <c r="AJ1380" s="44">
        <f t="shared" si="118"/>
        <v>1.4059999999999999</v>
      </c>
      <c r="AP1380" s="46">
        <f t="shared" si="119"/>
        <v>0.152</v>
      </c>
    </row>
    <row r="1381" spans="19:42" ht="18">
      <c r="S1381" s="8">
        <f t="shared" si="120"/>
        <v>0</v>
      </c>
      <c r="W1381" s="3">
        <v>1407</v>
      </c>
      <c r="X1381" s="30">
        <v>151.93299999999999</v>
      </c>
      <c r="Y1381" s="33">
        <f t="shared" si="117"/>
        <v>0.152</v>
      </c>
      <c r="AH1381" s="45">
        <f t="shared" si="121"/>
        <v>0</v>
      </c>
      <c r="AJ1381" s="44">
        <f t="shared" si="118"/>
        <v>1.407</v>
      </c>
      <c r="AP1381" s="46">
        <f t="shared" si="119"/>
        <v>0.152</v>
      </c>
    </row>
    <row r="1382" spans="19:42" ht="18">
      <c r="S1382" s="8">
        <f t="shared" si="120"/>
        <v>0</v>
      </c>
      <c r="W1382" s="3">
        <v>1408</v>
      </c>
      <c r="X1382" s="30">
        <v>152.06700000000001</v>
      </c>
      <c r="Y1382" s="33">
        <f t="shared" si="117"/>
        <v>0.152</v>
      </c>
      <c r="AH1382" s="45">
        <f t="shared" si="121"/>
        <v>0</v>
      </c>
      <c r="AJ1382" s="44">
        <f t="shared" si="118"/>
        <v>1.4079999999999999</v>
      </c>
      <c r="AP1382" s="46">
        <f t="shared" si="119"/>
        <v>0.152</v>
      </c>
    </row>
    <row r="1383" spans="19:42" ht="18">
      <c r="S1383" s="8">
        <f t="shared" si="120"/>
        <v>0</v>
      </c>
      <c r="W1383" s="3">
        <v>1409</v>
      </c>
      <c r="X1383" s="30">
        <v>152.19999999999999</v>
      </c>
      <c r="Y1383" s="33">
        <f t="shared" si="117"/>
        <v>0.152</v>
      </c>
      <c r="AH1383" s="45">
        <f t="shared" si="121"/>
        <v>0</v>
      </c>
      <c r="AJ1383" s="44">
        <f t="shared" si="118"/>
        <v>1.409</v>
      </c>
      <c r="AP1383" s="46">
        <f t="shared" si="119"/>
        <v>0.152</v>
      </c>
    </row>
    <row r="1384" spans="19:42" ht="18">
      <c r="S1384" s="8">
        <f t="shared" si="120"/>
        <v>0</v>
      </c>
      <c r="W1384" s="3">
        <v>1410</v>
      </c>
      <c r="X1384" s="30">
        <v>152.333</v>
      </c>
      <c r="Y1384" s="33">
        <f t="shared" si="117"/>
        <v>0.152</v>
      </c>
      <c r="AH1384" s="45">
        <f t="shared" si="121"/>
        <v>0</v>
      </c>
      <c r="AJ1384" s="44">
        <f t="shared" si="118"/>
        <v>1.41</v>
      </c>
      <c r="AP1384" s="46">
        <f t="shared" si="119"/>
        <v>0.152</v>
      </c>
    </row>
    <row r="1385" spans="19:42" ht="18">
      <c r="S1385" s="8">
        <f t="shared" si="120"/>
        <v>0</v>
      </c>
      <c r="W1385" s="3">
        <v>1411</v>
      </c>
      <c r="X1385" s="30">
        <v>152.46700000000001</v>
      </c>
      <c r="Y1385" s="33">
        <f t="shared" si="117"/>
        <v>0.152</v>
      </c>
      <c r="AH1385" s="45">
        <f t="shared" si="121"/>
        <v>0</v>
      </c>
      <c r="AJ1385" s="44">
        <f t="shared" si="118"/>
        <v>1.411</v>
      </c>
      <c r="AP1385" s="46">
        <f t="shared" si="119"/>
        <v>0.152</v>
      </c>
    </row>
    <row r="1386" spans="19:42" ht="18">
      <c r="S1386" s="8">
        <f t="shared" si="120"/>
        <v>0</v>
      </c>
      <c r="W1386" s="3">
        <v>1412</v>
      </c>
      <c r="X1386" s="30">
        <v>152.6</v>
      </c>
      <c r="Y1386" s="33">
        <f t="shared" si="117"/>
        <v>0.153</v>
      </c>
      <c r="AH1386" s="45">
        <f t="shared" si="121"/>
        <v>0</v>
      </c>
      <c r="AJ1386" s="44">
        <f t="shared" si="118"/>
        <v>1.4119999999999999</v>
      </c>
      <c r="AP1386" s="46">
        <f t="shared" si="119"/>
        <v>0.153</v>
      </c>
    </row>
    <row r="1387" spans="19:42" ht="18">
      <c r="S1387" s="8">
        <f t="shared" si="120"/>
        <v>0</v>
      </c>
      <c r="W1387" s="3">
        <v>1413</v>
      </c>
      <c r="X1387" s="30">
        <v>152.733</v>
      </c>
      <c r="Y1387" s="33">
        <f t="shared" si="117"/>
        <v>0.153</v>
      </c>
      <c r="AH1387" s="45">
        <f t="shared" si="121"/>
        <v>0</v>
      </c>
      <c r="AJ1387" s="44">
        <f t="shared" si="118"/>
        <v>1.413</v>
      </c>
      <c r="AP1387" s="46">
        <f t="shared" si="119"/>
        <v>0.153</v>
      </c>
    </row>
    <row r="1388" spans="19:42" ht="18">
      <c r="S1388" s="8">
        <f t="shared" si="120"/>
        <v>0</v>
      </c>
      <c r="W1388" s="3">
        <v>1414</v>
      </c>
      <c r="X1388" s="30">
        <v>152.86699999999999</v>
      </c>
      <c r="Y1388" s="33">
        <f t="shared" si="117"/>
        <v>0.153</v>
      </c>
      <c r="AH1388" s="45">
        <f t="shared" si="121"/>
        <v>0</v>
      </c>
      <c r="AJ1388" s="44">
        <f t="shared" si="118"/>
        <v>1.4139999999999999</v>
      </c>
      <c r="AP1388" s="46">
        <f t="shared" si="119"/>
        <v>0.153</v>
      </c>
    </row>
    <row r="1389" spans="19:42" ht="18">
      <c r="S1389" s="8">
        <f t="shared" si="120"/>
        <v>0</v>
      </c>
      <c r="W1389" s="3">
        <v>1415</v>
      </c>
      <c r="X1389" s="30">
        <v>153</v>
      </c>
      <c r="Y1389" s="33">
        <f t="shared" si="117"/>
        <v>0.153</v>
      </c>
      <c r="AH1389" s="45">
        <f t="shared" si="121"/>
        <v>0</v>
      </c>
      <c r="AJ1389" s="44">
        <f t="shared" si="118"/>
        <v>1.415</v>
      </c>
      <c r="AP1389" s="46">
        <f t="shared" si="119"/>
        <v>0.153</v>
      </c>
    </row>
    <row r="1390" spans="19:42" ht="18">
      <c r="S1390" s="8">
        <f t="shared" si="120"/>
        <v>0</v>
      </c>
      <c r="W1390" s="3">
        <v>1416</v>
      </c>
      <c r="X1390" s="30">
        <v>153.13300000000001</v>
      </c>
      <c r="Y1390" s="33">
        <f t="shared" si="117"/>
        <v>0.153</v>
      </c>
      <c r="AH1390" s="45">
        <f t="shared" si="121"/>
        <v>0</v>
      </c>
      <c r="AJ1390" s="44">
        <f t="shared" si="118"/>
        <v>1.4159999999999999</v>
      </c>
      <c r="AP1390" s="46">
        <f t="shared" si="119"/>
        <v>0.153</v>
      </c>
    </row>
    <row r="1391" spans="19:42" ht="18">
      <c r="S1391" s="8">
        <f t="shared" si="120"/>
        <v>0</v>
      </c>
      <c r="W1391" s="3">
        <v>1417</v>
      </c>
      <c r="X1391" s="30">
        <v>153.267</v>
      </c>
      <c r="Y1391" s="33">
        <f t="shared" si="117"/>
        <v>0.153</v>
      </c>
      <c r="AH1391" s="45">
        <f t="shared" si="121"/>
        <v>0</v>
      </c>
      <c r="AJ1391" s="44">
        <f t="shared" si="118"/>
        <v>1.417</v>
      </c>
      <c r="AP1391" s="46">
        <f t="shared" si="119"/>
        <v>0.153</v>
      </c>
    </row>
    <row r="1392" spans="19:42" ht="18">
      <c r="S1392" s="8">
        <f t="shared" si="120"/>
        <v>0</v>
      </c>
      <c r="W1392" s="3">
        <v>1418</v>
      </c>
      <c r="X1392" s="30">
        <v>153.4</v>
      </c>
      <c r="Y1392" s="33">
        <f t="shared" si="117"/>
        <v>0.153</v>
      </c>
      <c r="AH1392" s="45">
        <f t="shared" si="121"/>
        <v>0</v>
      </c>
      <c r="AJ1392" s="44">
        <f t="shared" si="118"/>
        <v>1.4179999999999999</v>
      </c>
      <c r="AP1392" s="46">
        <f t="shared" si="119"/>
        <v>0.153</v>
      </c>
    </row>
    <row r="1393" spans="19:42" ht="18">
      <c r="S1393" s="8">
        <f t="shared" si="120"/>
        <v>0</v>
      </c>
      <c r="W1393" s="3">
        <v>1419</v>
      </c>
      <c r="X1393" s="30">
        <v>153.53299999999999</v>
      </c>
      <c r="Y1393" s="33">
        <f t="shared" si="117"/>
        <v>0.154</v>
      </c>
      <c r="AH1393" s="45">
        <f t="shared" si="121"/>
        <v>0</v>
      </c>
      <c r="AJ1393" s="44">
        <f t="shared" si="118"/>
        <v>1.419</v>
      </c>
      <c r="AP1393" s="46">
        <f t="shared" si="119"/>
        <v>0.154</v>
      </c>
    </row>
    <row r="1394" spans="19:42" ht="18">
      <c r="S1394" s="8">
        <f t="shared" si="120"/>
        <v>0</v>
      </c>
      <c r="W1394" s="3">
        <v>1420</v>
      </c>
      <c r="X1394" s="30">
        <v>153.667</v>
      </c>
      <c r="Y1394" s="33">
        <f t="shared" si="117"/>
        <v>0.154</v>
      </c>
      <c r="AH1394" s="45">
        <f t="shared" si="121"/>
        <v>0</v>
      </c>
      <c r="AJ1394" s="44">
        <f t="shared" si="118"/>
        <v>1.42</v>
      </c>
      <c r="AP1394" s="46">
        <f t="shared" si="119"/>
        <v>0.154</v>
      </c>
    </row>
    <row r="1395" spans="19:42" ht="18">
      <c r="S1395" s="8">
        <f t="shared" si="120"/>
        <v>0</v>
      </c>
      <c r="W1395" s="3">
        <v>1421</v>
      </c>
      <c r="X1395" s="30">
        <v>153.80000000000001</v>
      </c>
      <c r="Y1395" s="33">
        <f t="shared" si="117"/>
        <v>0.154</v>
      </c>
      <c r="AH1395" s="45">
        <f t="shared" si="121"/>
        <v>0</v>
      </c>
      <c r="AJ1395" s="44">
        <f t="shared" si="118"/>
        <v>1.421</v>
      </c>
      <c r="AP1395" s="46">
        <f t="shared" si="119"/>
        <v>0.154</v>
      </c>
    </row>
    <row r="1396" spans="19:42" ht="18">
      <c r="S1396" s="8">
        <f t="shared" si="120"/>
        <v>0</v>
      </c>
      <c r="W1396" s="3">
        <v>1422</v>
      </c>
      <c r="X1396" s="30">
        <v>153.93299999999999</v>
      </c>
      <c r="Y1396" s="33">
        <f t="shared" si="117"/>
        <v>0.154</v>
      </c>
      <c r="AH1396" s="45">
        <f t="shared" si="121"/>
        <v>0</v>
      </c>
      <c r="AJ1396" s="44">
        <f t="shared" si="118"/>
        <v>1.4219999999999999</v>
      </c>
      <c r="AP1396" s="46">
        <f t="shared" si="119"/>
        <v>0.154</v>
      </c>
    </row>
    <row r="1397" spans="19:42" ht="18">
      <c r="S1397" s="8">
        <f t="shared" si="120"/>
        <v>0</v>
      </c>
      <c r="W1397" s="3">
        <v>1423</v>
      </c>
      <c r="X1397" s="30">
        <v>154.06700000000001</v>
      </c>
      <c r="Y1397" s="33">
        <f t="shared" si="117"/>
        <v>0.154</v>
      </c>
      <c r="AH1397" s="45">
        <f t="shared" si="121"/>
        <v>0</v>
      </c>
      <c r="AJ1397" s="44">
        <f t="shared" si="118"/>
        <v>1.423</v>
      </c>
      <c r="AP1397" s="46">
        <f t="shared" si="119"/>
        <v>0.154</v>
      </c>
    </row>
    <row r="1398" spans="19:42" ht="18">
      <c r="S1398" s="8">
        <f t="shared" si="120"/>
        <v>0</v>
      </c>
      <c r="W1398" s="3">
        <v>1424</v>
      </c>
      <c r="X1398" s="30">
        <v>154.19999999999999</v>
      </c>
      <c r="Y1398" s="33">
        <f t="shared" si="117"/>
        <v>0.154</v>
      </c>
      <c r="AH1398" s="45">
        <f t="shared" si="121"/>
        <v>0</v>
      </c>
      <c r="AJ1398" s="44">
        <f t="shared" si="118"/>
        <v>1.4239999999999999</v>
      </c>
      <c r="AP1398" s="46">
        <f t="shared" si="119"/>
        <v>0.154</v>
      </c>
    </row>
    <row r="1399" spans="19:42" ht="18">
      <c r="S1399" s="8">
        <f t="shared" si="120"/>
        <v>0</v>
      </c>
      <c r="W1399" s="3">
        <v>1425</v>
      </c>
      <c r="X1399" s="30">
        <v>154.333</v>
      </c>
      <c r="Y1399" s="33">
        <f t="shared" si="117"/>
        <v>0.154</v>
      </c>
      <c r="AH1399" s="45">
        <f t="shared" si="121"/>
        <v>0</v>
      </c>
      <c r="AJ1399" s="44">
        <f t="shared" si="118"/>
        <v>1.425</v>
      </c>
      <c r="AP1399" s="46">
        <f t="shared" si="119"/>
        <v>0.154</v>
      </c>
    </row>
    <row r="1400" spans="19:42" ht="18">
      <c r="S1400" s="8">
        <f t="shared" si="120"/>
        <v>0</v>
      </c>
      <c r="W1400" s="3">
        <v>1426</v>
      </c>
      <c r="X1400" s="30">
        <v>154.46700000000001</v>
      </c>
      <c r="Y1400" s="33">
        <f t="shared" si="117"/>
        <v>0.154</v>
      </c>
      <c r="AH1400" s="45">
        <f t="shared" si="121"/>
        <v>0</v>
      </c>
      <c r="AJ1400" s="44">
        <f t="shared" si="118"/>
        <v>1.4259999999999999</v>
      </c>
      <c r="AP1400" s="46">
        <f t="shared" si="119"/>
        <v>0.154</v>
      </c>
    </row>
    <row r="1401" spans="19:42" ht="18">
      <c r="S1401" s="8">
        <f t="shared" si="120"/>
        <v>0</v>
      </c>
      <c r="W1401" s="3">
        <v>1427</v>
      </c>
      <c r="X1401" s="30">
        <v>154.6</v>
      </c>
      <c r="Y1401" s="33">
        <f t="shared" si="117"/>
        <v>0.155</v>
      </c>
      <c r="AH1401" s="45">
        <f t="shared" si="121"/>
        <v>0</v>
      </c>
      <c r="AJ1401" s="44">
        <f t="shared" si="118"/>
        <v>1.427</v>
      </c>
      <c r="AP1401" s="46">
        <f t="shared" si="119"/>
        <v>0.155</v>
      </c>
    </row>
    <row r="1402" spans="19:42" ht="18">
      <c r="S1402" s="8">
        <f t="shared" si="120"/>
        <v>0</v>
      </c>
      <c r="W1402" s="3">
        <v>1428</v>
      </c>
      <c r="X1402" s="30">
        <v>154.733</v>
      </c>
      <c r="Y1402" s="33">
        <f t="shared" si="117"/>
        <v>0.155</v>
      </c>
      <c r="AH1402" s="45">
        <f t="shared" si="121"/>
        <v>0</v>
      </c>
      <c r="AJ1402" s="44">
        <f t="shared" si="118"/>
        <v>1.4279999999999999</v>
      </c>
      <c r="AP1402" s="46">
        <f t="shared" si="119"/>
        <v>0.155</v>
      </c>
    </row>
    <row r="1403" spans="19:42" ht="18">
      <c r="S1403" s="8">
        <f t="shared" si="120"/>
        <v>0</v>
      </c>
      <c r="W1403" s="3">
        <v>1429</v>
      </c>
      <c r="X1403" s="30">
        <v>154.86699999999999</v>
      </c>
      <c r="Y1403" s="33">
        <f t="shared" si="117"/>
        <v>0.155</v>
      </c>
      <c r="AH1403" s="45">
        <f t="shared" si="121"/>
        <v>0</v>
      </c>
      <c r="AJ1403" s="44">
        <f t="shared" si="118"/>
        <v>1.429</v>
      </c>
      <c r="AP1403" s="46">
        <f t="shared" si="119"/>
        <v>0.155</v>
      </c>
    </row>
    <row r="1404" spans="19:42" ht="18">
      <c r="S1404" s="8">
        <f t="shared" si="120"/>
        <v>0</v>
      </c>
      <c r="W1404" s="3">
        <v>1430</v>
      </c>
      <c r="X1404" s="30">
        <v>155</v>
      </c>
      <c r="Y1404" s="33">
        <f t="shared" si="117"/>
        <v>0.155</v>
      </c>
      <c r="AH1404" s="45">
        <f t="shared" si="121"/>
        <v>0</v>
      </c>
      <c r="AJ1404" s="44">
        <f t="shared" si="118"/>
        <v>1.43</v>
      </c>
      <c r="AP1404" s="46">
        <f t="shared" si="119"/>
        <v>0.155</v>
      </c>
    </row>
    <row r="1405" spans="19:42" ht="18">
      <c r="S1405" s="8">
        <f t="shared" si="120"/>
        <v>0</v>
      </c>
      <c r="W1405" s="3">
        <v>1431</v>
      </c>
      <c r="X1405" s="30">
        <v>155.13300000000001</v>
      </c>
      <c r="Y1405" s="33">
        <f t="shared" si="117"/>
        <v>0.155</v>
      </c>
      <c r="AH1405" s="45">
        <f t="shared" si="121"/>
        <v>0</v>
      </c>
      <c r="AJ1405" s="44">
        <f t="shared" si="118"/>
        <v>1.431</v>
      </c>
      <c r="AP1405" s="46">
        <f t="shared" si="119"/>
        <v>0.155</v>
      </c>
    </row>
    <row r="1406" spans="19:42" ht="18">
      <c r="S1406" s="8">
        <f t="shared" si="120"/>
        <v>0</v>
      </c>
      <c r="W1406" s="3">
        <v>1432</v>
      </c>
      <c r="X1406" s="30">
        <v>155.267</v>
      </c>
      <c r="Y1406" s="33">
        <f t="shared" si="117"/>
        <v>0.155</v>
      </c>
      <c r="AH1406" s="45">
        <f t="shared" si="121"/>
        <v>0</v>
      </c>
      <c r="AJ1406" s="44">
        <f t="shared" si="118"/>
        <v>1.4319999999999999</v>
      </c>
      <c r="AP1406" s="46">
        <f t="shared" si="119"/>
        <v>0.155</v>
      </c>
    </row>
    <row r="1407" spans="19:42" ht="18">
      <c r="S1407" s="8">
        <f t="shared" si="120"/>
        <v>0</v>
      </c>
      <c r="W1407" s="3">
        <v>1433</v>
      </c>
      <c r="X1407" s="30">
        <v>155.4</v>
      </c>
      <c r="Y1407" s="33">
        <f t="shared" si="117"/>
        <v>0.155</v>
      </c>
      <c r="AH1407" s="45">
        <f t="shared" si="121"/>
        <v>0</v>
      </c>
      <c r="AJ1407" s="44">
        <f t="shared" si="118"/>
        <v>1.4330000000000001</v>
      </c>
      <c r="AP1407" s="46">
        <f t="shared" si="119"/>
        <v>0.155</v>
      </c>
    </row>
    <row r="1408" spans="19:42" ht="18">
      <c r="S1408" s="8">
        <f t="shared" si="120"/>
        <v>0</v>
      </c>
      <c r="W1408" s="3">
        <v>1434</v>
      </c>
      <c r="X1408" s="30">
        <v>155.53299999999999</v>
      </c>
      <c r="Y1408" s="33">
        <f t="shared" si="117"/>
        <v>0.156</v>
      </c>
      <c r="AH1408" s="45">
        <f t="shared" si="121"/>
        <v>0</v>
      </c>
      <c r="AJ1408" s="44">
        <f t="shared" si="118"/>
        <v>1.4339999999999999</v>
      </c>
      <c r="AP1408" s="46">
        <f t="shared" si="119"/>
        <v>0.156</v>
      </c>
    </row>
    <row r="1409" spans="19:42" ht="18">
      <c r="S1409" s="8">
        <f t="shared" si="120"/>
        <v>0</v>
      </c>
      <c r="W1409" s="3">
        <v>1435</v>
      </c>
      <c r="X1409" s="30">
        <v>155.667</v>
      </c>
      <c r="Y1409" s="33">
        <f t="shared" si="117"/>
        <v>0.156</v>
      </c>
      <c r="AH1409" s="45">
        <f t="shared" si="121"/>
        <v>0</v>
      </c>
      <c r="AJ1409" s="44">
        <f t="shared" si="118"/>
        <v>1.4350000000000001</v>
      </c>
      <c r="AP1409" s="46">
        <f t="shared" si="119"/>
        <v>0.156</v>
      </c>
    </row>
    <row r="1410" spans="19:42" ht="18">
      <c r="S1410" s="8">
        <f t="shared" si="120"/>
        <v>0</v>
      </c>
      <c r="W1410" s="3">
        <v>1436</v>
      </c>
      <c r="X1410" s="30">
        <v>155.80000000000001</v>
      </c>
      <c r="Y1410" s="33">
        <f t="shared" si="117"/>
        <v>0.156</v>
      </c>
      <c r="AH1410" s="45">
        <f t="shared" si="121"/>
        <v>0</v>
      </c>
      <c r="AJ1410" s="44">
        <f t="shared" si="118"/>
        <v>1.4359999999999999</v>
      </c>
      <c r="AP1410" s="46">
        <f t="shared" si="119"/>
        <v>0.156</v>
      </c>
    </row>
    <row r="1411" spans="19:42" ht="18">
      <c r="S1411" s="8">
        <f t="shared" si="120"/>
        <v>0</v>
      </c>
      <c r="W1411" s="3">
        <v>1437</v>
      </c>
      <c r="X1411" s="30">
        <v>155.93299999999999</v>
      </c>
      <c r="Y1411" s="33">
        <f t="shared" si="117"/>
        <v>0.156</v>
      </c>
      <c r="AH1411" s="45">
        <f t="shared" si="121"/>
        <v>0</v>
      </c>
      <c r="AJ1411" s="44">
        <f t="shared" si="118"/>
        <v>1.4370000000000001</v>
      </c>
      <c r="AP1411" s="46">
        <f t="shared" si="119"/>
        <v>0.156</v>
      </c>
    </row>
    <row r="1412" spans="19:42" ht="18">
      <c r="S1412" s="8">
        <f t="shared" si="120"/>
        <v>0</v>
      </c>
      <c r="W1412" s="3">
        <v>1438</v>
      </c>
      <c r="X1412" s="30">
        <v>156.06700000000001</v>
      </c>
      <c r="Y1412" s="33">
        <f t="shared" si="117"/>
        <v>0.156</v>
      </c>
      <c r="AH1412" s="45">
        <f t="shared" si="121"/>
        <v>0</v>
      </c>
      <c r="AJ1412" s="44">
        <f t="shared" si="118"/>
        <v>1.4379999999999999</v>
      </c>
      <c r="AP1412" s="46">
        <f t="shared" si="119"/>
        <v>0.156</v>
      </c>
    </row>
    <row r="1413" spans="19:42" ht="18">
      <c r="S1413" s="8">
        <f t="shared" si="120"/>
        <v>0</v>
      </c>
      <c r="W1413" s="3">
        <v>1439</v>
      </c>
      <c r="X1413" s="30">
        <v>156.19999999999999</v>
      </c>
      <c r="Y1413" s="33">
        <f t="shared" ref="Y1413:Y1476" si="122">ROUND(X1413/1000,3)</f>
        <v>0.156</v>
      </c>
      <c r="AH1413" s="45">
        <f t="shared" si="121"/>
        <v>0</v>
      </c>
      <c r="AJ1413" s="44">
        <f t="shared" ref="AJ1413:AJ1476" si="123">ROUND(W1413/1000,3)</f>
        <v>1.4390000000000001</v>
      </c>
      <c r="AP1413" s="46">
        <f t="shared" ref="AP1413:AP1476" si="124">ROUND(X1413/1000,3)</f>
        <v>0.156</v>
      </c>
    </row>
    <row r="1414" spans="19:42" ht="18">
      <c r="S1414" s="8">
        <f t="shared" ref="S1414:S1477" si="125">CEILING(R1414/50,0.5)</f>
        <v>0</v>
      </c>
      <c r="W1414" s="3">
        <v>1440</v>
      </c>
      <c r="X1414" s="30">
        <v>156.333</v>
      </c>
      <c r="Y1414" s="33">
        <f t="shared" si="122"/>
        <v>0.156</v>
      </c>
      <c r="AH1414" s="45">
        <f t="shared" ref="AH1414:AH1477" si="126">AE1414-AE1413</f>
        <v>0</v>
      </c>
      <c r="AJ1414" s="44">
        <f t="shared" si="123"/>
        <v>1.44</v>
      </c>
      <c r="AP1414" s="46">
        <f t="shared" si="124"/>
        <v>0.156</v>
      </c>
    </row>
    <row r="1415" spans="19:42" ht="18">
      <c r="S1415" s="8">
        <f t="shared" si="125"/>
        <v>0</v>
      </c>
      <c r="W1415" s="3">
        <v>1441</v>
      </c>
      <c r="X1415" s="30">
        <v>156.46700000000001</v>
      </c>
      <c r="Y1415" s="33">
        <f t="shared" si="122"/>
        <v>0.156</v>
      </c>
      <c r="AH1415" s="45">
        <f t="shared" si="126"/>
        <v>0</v>
      </c>
      <c r="AJ1415" s="44">
        <f t="shared" si="123"/>
        <v>1.4410000000000001</v>
      </c>
      <c r="AP1415" s="46">
        <f t="shared" si="124"/>
        <v>0.156</v>
      </c>
    </row>
    <row r="1416" spans="19:42" ht="18">
      <c r="S1416" s="8">
        <f t="shared" si="125"/>
        <v>0</v>
      </c>
      <c r="W1416" s="3">
        <v>1442</v>
      </c>
      <c r="X1416" s="30">
        <v>156.6</v>
      </c>
      <c r="Y1416" s="33">
        <f t="shared" si="122"/>
        <v>0.157</v>
      </c>
      <c r="AH1416" s="45">
        <f t="shared" si="126"/>
        <v>0</v>
      </c>
      <c r="AJ1416" s="44">
        <f t="shared" si="123"/>
        <v>1.4419999999999999</v>
      </c>
      <c r="AP1416" s="46">
        <f t="shared" si="124"/>
        <v>0.157</v>
      </c>
    </row>
    <row r="1417" spans="19:42" ht="18">
      <c r="S1417" s="8">
        <f t="shared" si="125"/>
        <v>0</v>
      </c>
      <c r="W1417" s="3">
        <v>1443</v>
      </c>
      <c r="X1417" s="30">
        <v>156.733</v>
      </c>
      <c r="Y1417" s="33">
        <f t="shared" si="122"/>
        <v>0.157</v>
      </c>
      <c r="AH1417" s="45">
        <f t="shared" si="126"/>
        <v>0</v>
      </c>
      <c r="AJ1417" s="44">
        <f t="shared" si="123"/>
        <v>1.4430000000000001</v>
      </c>
      <c r="AP1417" s="46">
        <f t="shared" si="124"/>
        <v>0.157</v>
      </c>
    </row>
    <row r="1418" spans="19:42" ht="18">
      <c r="S1418" s="8">
        <f t="shared" si="125"/>
        <v>0</v>
      </c>
      <c r="W1418" s="3">
        <v>1444</v>
      </c>
      <c r="X1418" s="30">
        <v>156.86699999999999</v>
      </c>
      <c r="Y1418" s="33">
        <f t="shared" si="122"/>
        <v>0.157</v>
      </c>
      <c r="AH1418" s="45">
        <f t="shared" si="126"/>
        <v>0</v>
      </c>
      <c r="AJ1418" s="44">
        <f t="shared" si="123"/>
        <v>1.444</v>
      </c>
      <c r="AP1418" s="46">
        <f t="shared" si="124"/>
        <v>0.157</v>
      </c>
    </row>
    <row r="1419" spans="19:42" ht="18">
      <c r="S1419" s="8">
        <f t="shared" si="125"/>
        <v>0</v>
      </c>
      <c r="W1419" s="3">
        <v>1445</v>
      </c>
      <c r="X1419" s="30">
        <v>157</v>
      </c>
      <c r="Y1419" s="33">
        <f t="shared" si="122"/>
        <v>0.157</v>
      </c>
      <c r="AH1419" s="45">
        <f t="shared" si="126"/>
        <v>0</v>
      </c>
      <c r="AJ1419" s="44">
        <f t="shared" si="123"/>
        <v>1.4450000000000001</v>
      </c>
      <c r="AP1419" s="46">
        <f t="shared" si="124"/>
        <v>0.157</v>
      </c>
    </row>
    <row r="1420" spans="19:42" ht="18">
      <c r="S1420" s="8">
        <f t="shared" si="125"/>
        <v>0</v>
      </c>
      <c r="W1420" s="3">
        <v>1446</v>
      </c>
      <c r="X1420" s="30">
        <v>157.13300000000001</v>
      </c>
      <c r="Y1420" s="33">
        <f t="shared" si="122"/>
        <v>0.157</v>
      </c>
      <c r="AH1420" s="45">
        <f t="shared" si="126"/>
        <v>0</v>
      </c>
      <c r="AJ1420" s="44">
        <f t="shared" si="123"/>
        <v>1.446</v>
      </c>
      <c r="AP1420" s="46">
        <f t="shared" si="124"/>
        <v>0.157</v>
      </c>
    </row>
    <row r="1421" spans="19:42" ht="18">
      <c r="S1421" s="8">
        <f t="shared" si="125"/>
        <v>0</v>
      </c>
      <c r="W1421" s="3">
        <v>1447</v>
      </c>
      <c r="X1421" s="30">
        <v>157.267</v>
      </c>
      <c r="Y1421" s="33">
        <f t="shared" si="122"/>
        <v>0.157</v>
      </c>
      <c r="AH1421" s="45">
        <f t="shared" si="126"/>
        <v>0</v>
      </c>
      <c r="AJ1421" s="44">
        <f t="shared" si="123"/>
        <v>1.4470000000000001</v>
      </c>
      <c r="AP1421" s="46">
        <f t="shared" si="124"/>
        <v>0.157</v>
      </c>
    </row>
    <row r="1422" spans="19:42" ht="18">
      <c r="S1422" s="8">
        <f t="shared" si="125"/>
        <v>0</v>
      </c>
      <c r="W1422" s="3">
        <v>1448</v>
      </c>
      <c r="X1422" s="30">
        <v>157.4</v>
      </c>
      <c r="Y1422" s="33">
        <f t="shared" si="122"/>
        <v>0.157</v>
      </c>
      <c r="AH1422" s="45">
        <f t="shared" si="126"/>
        <v>0</v>
      </c>
      <c r="AJ1422" s="44">
        <f t="shared" si="123"/>
        <v>1.448</v>
      </c>
      <c r="AP1422" s="46">
        <f t="shared" si="124"/>
        <v>0.157</v>
      </c>
    </row>
    <row r="1423" spans="19:42" ht="18">
      <c r="S1423" s="8">
        <f t="shared" si="125"/>
        <v>0</v>
      </c>
      <c r="W1423" s="3">
        <v>1449</v>
      </c>
      <c r="X1423" s="30">
        <v>157.53299999999999</v>
      </c>
      <c r="Y1423" s="33">
        <f t="shared" si="122"/>
        <v>0.158</v>
      </c>
      <c r="AH1423" s="45">
        <f t="shared" si="126"/>
        <v>0</v>
      </c>
      <c r="AJ1423" s="44">
        <f t="shared" si="123"/>
        <v>1.4490000000000001</v>
      </c>
      <c r="AP1423" s="46">
        <f t="shared" si="124"/>
        <v>0.158</v>
      </c>
    </row>
    <row r="1424" spans="19:42" ht="18">
      <c r="S1424" s="8">
        <f t="shared" si="125"/>
        <v>0</v>
      </c>
      <c r="W1424" s="3">
        <v>1450</v>
      </c>
      <c r="X1424" s="30">
        <v>157.667</v>
      </c>
      <c r="Y1424" s="33">
        <f t="shared" si="122"/>
        <v>0.158</v>
      </c>
      <c r="AH1424" s="45">
        <f t="shared" si="126"/>
        <v>0</v>
      </c>
      <c r="AJ1424" s="44">
        <f t="shared" si="123"/>
        <v>1.45</v>
      </c>
      <c r="AP1424" s="46">
        <f t="shared" si="124"/>
        <v>0.158</v>
      </c>
    </row>
    <row r="1425" spans="19:42" ht="18">
      <c r="S1425" s="8">
        <f t="shared" si="125"/>
        <v>0</v>
      </c>
      <c r="W1425" s="3">
        <v>1451</v>
      </c>
      <c r="X1425" s="30">
        <v>157.80000000000001</v>
      </c>
      <c r="Y1425" s="33">
        <f t="shared" si="122"/>
        <v>0.158</v>
      </c>
      <c r="AH1425" s="45">
        <f t="shared" si="126"/>
        <v>0</v>
      </c>
      <c r="AJ1425" s="44">
        <f t="shared" si="123"/>
        <v>1.4510000000000001</v>
      </c>
      <c r="AP1425" s="46">
        <f t="shared" si="124"/>
        <v>0.158</v>
      </c>
    </row>
    <row r="1426" spans="19:42" ht="18">
      <c r="S1426" s="8">
        <f t="shared" si="125"/>
        <v>0</v>
      </c>
      <c r="W1426" s="3">
        <v>1452</v>
      </c>
      <c r="X1426" s="30">
        <v>157.93299999999999</v>
      </c>
      <c r="Y1426" s="33">
        <f t="shared" si="122"/>
        <v>0.158</v>
      </c>
      <c r="AH1426" s="45">
        <f t="shared" si="126"/>
        <v>0</v>
      </c>
      <c r="AJ1426" s="44">
        <f t="shared" si="123"/>
        <v>1.452</v>
      </c>
      <c r="AP1426" s="46">
        <f t="shared" si="124"/>
        <v>0.158</v>
      </c>
    </row>
    <row r="1427" spans="19:42" ht="18">
      <c r="S1427" s="8">
        <f t="shared" si="125"/>
        <v>0</v>
      </c>
      <c r="W1427" s="3">
        <v>1453</v>
      </c>
      <c r="X1427" s="30">
        <v>158.06700000000001</v>
      </c>
      <c r="Y1427" s="33">
        <f t="shared" si="122"/>
        <v>0.158</v>
      </c>
      <c r="AH1427" s="45">
        <f t="shared" si="126"/>
        <v>0</v>
      </c>
      <c r="AJ1427" s="44">
        <f t="shared" si="123"/>
        <v>1.4530000000000001</v>
      </c>
      <c r="AP1427" s="46">
        <f t="shared" si="124"/>
        <v>0.158</v>
      </c>
    </row>
    <row r="1428" spans="19:42" ht="18">
      <c r="S1428" s="8">
        <f t="shared" si="125"/>
        <v>0</v>
      </c>
      <c r="W1428" s="3">
        <v>1454</v>
      </c>
      <c r="X1428" s="30">
        <v>158.19999999999999</v>
      </c>
      <c r="Y1428" s="33">
        <f t="shared" si="122"/>
        <v>0.158</v>
      </c>
      <c r="AH1428" s="45">
        <f t="shared" si="126"/>
        <v>0</v>
      </c>
      <c r="AJ1428" s="44">
        <f t="shared" si="123"/>
        <v>1.454</v>
      </c>
      <c r="AP1428" s="46">
        <f t="shared" si="124"/>
        <v>0.158</v>
      </c>
    </row>
    <row r="1429" spans="19:42" ht="18">
      <c r="S1429" s="8">
        <f t="shared" si="125"/>
        <v>0</v>
      </c>
      <c r="W1429" s="3">
        <v>1455</v>
      </c>
      <c r="X1429" s="30">
        <v>158.333</v>
      </c>
      <c r="Y1429" s="33">
        <f t="shared" si="122"/>
        <v>0.158</v>
      </c>
      <c r="AH1429" s="45">
        <f t="shared" si="126"/>
        <v>0</v>
      </c>
      <c r="AJ1429" s="44">
        <f t="shared" si="123"/>
        <v>1.4550000000000001</v>
      </c>
      <c r="AP1429" s="46">
        <f t="shared" si="124"/>
        <v>0.158</v>
      </c>
    </row>
    <row r="1430" spans="19:42" ht="18">
      <c r="S1430" s="8">
        <f t="shared" si="125"/>
        <v>0</v>
      </c>
      <c r="W1430" s="3">
        <v>1456</v>
      </c>
      <c r="X1430" s="30">
        <v>158.46700000000001</v>
      </c>
      <c r="Y1430" s="33">
        <f t="shared" si="122"/>
        <v>0.158</v>
      </c>
      <c r="AH1430" s="45">
        <f t="shared" si="126"/>
        <v>0</v>
      </c>
      <c r="AJ1430" s="44">
        <f t="shared" si="123"/>
        <v>1.456</v>
      </c>
      <c r="AP1430" s="46">
        <f t="shared" si="124"/>
        <v>0.158</v>
      </c>
    </row>
    <row r="1431" spans="19:42" ht="18">
      <c r="S1431" s="8">
        <f t="shared" si="125"/>
        <v>0</v>
      </c>
      <c r="W1431" s="3">
        <v>1457</v>
      </c>
      <c r="X1431" s="30">
        <v>158.6</v>
      </c>
      <c r="Y1431" s="33">
        <f t="shared" si="122"/>
        <v>0.159</v>
      </c>
      <c r="AH1431" s="45">
        <f t="shared" si="126"/>
        <v>0</v>
      </c>
      <c r="AJ1431" s="44">
        <f t="shared" si="123"/>
        <v>1.4570000000000001</v>
      </c>
      <c r="AP1431" s="46">
        <f t="shared" si="124"/>
        <v>0.159</v>
      </c>
    </row>
    <row r="1432" spans="19:42" ht="18">
      <c r="S1432" s="8">
        <f t="shared" si="125"/>
        <v>0</v>
      </c>
      <c r="W1432" s="3">
        <v>1458</v>
      </c>
      <c r="X1432" s="30">
        <v>158.733</v>
      </c>
      <c r="Y1432" s="33">
        <f t="shared" si="122"/>
        <v>0.159</v>
      </c>
      <c r="AH1432" s="45">
        <f t="shared" si="126"/>
        <v>0</v>
      </c>
      <c r="AJ1432" s="44">
        <f t="shared" si="123"/>
        <v>1.458</v>
      </c>
      <c r="AP1432" s="46">
        <f t="shared" si="124"/>
        <v>0.159</v>
      </c>
    </row>
    <row r="1433" spans="19:42" ht="18">
      <c r="S1433" s="8">
        <f t="shared" si="125"/>
        <v>0</v>
      </c>
      <c r="W1433" s="3">
        <v>1459</v>
      </c>
      <c r="X1433" s="30">
        <v>158.86699999999999</v>
      </c>
      <c r="Y1433" s="33">
        <f t="shared" si="122"/>
        <v>0.159</v>
      </c>
      <c r="AH1433" s="45">
        <f t="shared" si="126"/>
        <v>0</v>
      </c>
      <c r="AJ1433" s="44">
        <f t="shared" si="123"/>
        <v>1.4590000000000001</v>
      </c>
      <c r="AP1433" s="46">
        <f t="shared" si="124"/>
        <v>0.159</v>
      </c>
    </row>
    <row r="1434" spans="19:42" ht="18">
      <c r="S1434" s="8">
        <f t="shared" si="125"/>
        <v>0</v>
      </c>
      <c r="W1434" s="3">
        <v>1460</v>
      </c>
      <c r="X1434" s="30">
        <v>159</v>
      </c>
      <c r="Y1434" s="33">
        <f t="shared" si="122"/>
        <v>0.159</v>
      </c>
      <c r="AH1434" s="45">
        <f t="shared" si="126"/>
        <v>0</v>
      </c>
      <c r="AJ1434" s="44">
        <f t="shared" si="123"/>
        <v>1.46</v>
      </c>
      <c r="AP1434" s="46">
        <f t="shared" si="124"/>
        <v>0.159</v>
      </c>
    </row>
    <row r="1435" spans="19:42" ht="18">
      <c r="S1435" s="8">
        <f t="shared" si="125"/>
        <v>0</v>
      </c>
      <c r="W1435" s="3">
        <v>1461</v>
      </c>
      <c r="X1435" s="30">
        <v>159.13300000000001</v>
      </c>
      <c r="Y1435" s="33">
        <f t="shared" si="122"/>
        <v>0.159</v>
      </c>
      <c r="AH1435" s="45">
        <f t="shared" si="126"/>
        <v>0</v>
      </c>
      <c r="AJ1435" s="44">
        <f t="shared" si="123"/>
        <v>1.4610000000000001</v>
      </c>
      <c r="AP1435" s="46">
        <f t="shared" si="124"/>
        <v>0.159</v>
      </c>
    </row>
    <row r="1436" spans="19:42" ht="18">
      <c r="S1436" s="8">
        <f t="shared" si="125"/>
        <v>0</v>
      </c>
      <c r="W1436" s="3">
        <v>1462</v>
      </c>
      <c r="X1436" s="30">
        <v>159.267</v>
      </c>
      <c r="Y1436" s="33">
        <f t="shared" si="122"/>
        <v>0.159</v>
      </c>
      <c r="AH1436" s="45">
        <f t="shared" si="126"/>
        <v>0</v>
      </c>
      <c r="AJ1436" s="44">
        <f t="shared" si="123"/>
        <v>1.462</v>
      </c>
      <c r="AP1436" s="46">
        <f t="shared" si="124"/>
        <v>0.159</v>
      </c>
    </row>
    <row r="1437" spans="19:42" ht="18">
      <c r="S1437" s="8">
        <f t="shared" si="125"/>
        <v>0</v>
      </c>
      <c r="W1437" s="3">
        <v>1463</v>
      </c>
      <c r="X1437" s="30">
        <v>159.4</v>
      </c>
      <c r="Y1437" s="33">
        <f t="shared" si="122"/>
        <v>0.159</v>
      </c>
      <c r="AH1437" s="45">
        <f t="shared" si="126"/>
        <v>0</v>
      </c>
      <c r="AJ1437" s="44">
        <f t="shared" si="123"/>
        <v>1.4630000000000001</v>
      </c>
      <c r="AP1437" s="46">
        <f t="shared" si="124"/>
        <v>0.159</v>
      </c>
    </row>
    <row r="1438" spans="19:42" ht="18">
      <c r="S1438" s="8">
        <f t="shared" si="125"/>
        <v>0</v>
      </c>
      <c r="W1438" s="3">
        <v>1464</v>
      </c>
      <c r="X1438" s="30">
        <v>159.53299999999999</v>
      </c>
      <c r="Y1438" s="33">
        <f t="shared" si="122"/>
        <v>0.16</v>
      </c>
      <c r="AH1438" s="45">
        <f t="shared" si="126"/>
        <v>0</v>
      </c>
      <c r="AJ1438" s="44">
        <f t="shared" si="123"/>
        <v>1.464</v>
      </c>
      <c r="AP1438" s="46">
        <f t="shared" si="124"/>
        <v>0.16</v>
      </c>
    </row>
    <row r="1439" spans="19:42" ht="18">
      <c r="S1439" s="8">
        <f t="shared" si="125"/>
        <v>0</v>
      </c>
      <c r="W1439" s="3">
        <v>1465</v>
      </c>
      <c r="X1439" s="30">
        <v>159.667</v>
      </c>
      <c r="Y1439" s="33">
        <f t="shared" si="122"/>
        <v>0.16</v>
      </c>
      <c r="AH1439" s="45">
        <f t="shared" si="126"/>
        <v>0</v>
      </c>
      <c r="AJ1439" s="44">
        <f t="shared" si="123"/>
        <v>1.4650000000000001</v>
      </c>
      <c r="AP1439" s="46">
        <f t="shared" si="124"/>
        <v>0.16</v>
      </c>
    </row>
    <row r="1440" spans="19:42" ht="18">
      <c r="S1440" s="8">
        <f t="shared" si="125"/>
        <v>0</v>
      </c>
      <c r="W1440" s="3">
        <v>1466</v>
      </c>
      <c r="X1440" s="30">
        <v>159.80000000000001</v>
      </c>
      <c r="Y1440" s="33">
        <f t="shared" si="122"/>
        <v>0.16</v>
      </c>
      <c r="AH1440" s="45">
        <f t="shared" si="126"/>
        <v>0</v>
      </c>
      <c r="AJ1440" s="44">
        <f t="shared" si="123"/>
        <v>1.466</v>
      </c>
      <c r="AP1440" s="46">
        <f t="shared" si="124"/>
        <v>0.16</v>
      </c>
    </row>
    <row r="1441" spans="19:42" ht="18">
      <c r="S1441" s="8">
        <f t="shared" si="125"/>
        <v>0</v>
      </c>
      <c r="W1441" s="3">
        <v>1467</v>
      </c>
      <c r="X1441" s="30">
        <v>159.93299999999999</v>
      </c>
      <c r="Y1441" s="33">
        <f t="shared" si="122"/>
        <v>0.16</v>
      </c>
      <c r="AH1441" s="45">
        <f t="shared" si="126"/>
        <v>0</v>
      </c>
      <c r="AJ1441" s="44">
        <f t="shared" si="123"/>
        <v>1.4670000000000001</v>
      </c>
      <c r="AP1441" s="46">
        <f t="shared" si="124"/>
        <v>0.16</v>
      </c>
    </row>
    <row r="1442" spans="19:42" ht="18">
      <c r="S1442" s="8">
        <f t="shared" si="125"/>
        <v>0</v>
      </c>
      <c r="W1442" s="3">
        <v>1468</v>
      </c>
      <c r="X1442" s="30">
        <v>160.06700000000001</v>
      </c>
      <c r="Y1442" s="33">
        <f t="shared" si="122"/>
        <v>0.16</v>
      </c>
      <c r="AH1442" s="45">
        <f t="shared" si="126"/>
        <v>0</v>
      </c>
      <c r="AJ1442" s="44">
        <f t="shared" si="123"/>
        <v>1.468</v>
      </c>
      <c r="AP1442" s="46">
        <f t="shared" si="124"/>
        <v>0.16</v>
      </c>
    </row>
    <row r="1443" spans="19:42" ht="18">
      <c r="S1443" s="8">
        <f t="shared" si="125"/>
        <v>0</v>
      </c>
      <c r="W1443" s="3">
        <v>1469</v>
      </c>
      <c r="X1443" s="30">
        <v>160.19999999999999</v>
      </c>
      <c r="Y1443" s="33">
        <f t="shared" si="122"/>
        <v>0.16</v>
      </c>
      <c r="AH1443" s="45">
        <f t="shared" si="126"/>
        <v>0</v>
      </c>
      <c r="AJ1443" s="44">
        <f t="shared" si="123"/>
        <v>1.4690000000000001</v>
      </c>
      <c r="AP1443" s="46">
        <f t="shared" si="124"/>
        <v>0.16</v>
      </c>
    </row>
    <row r="1444" spans="19:42" ht="18">
      <c r="S1444" s="8">
        <f t="shared" si="125"/>
        <v>0</v>
      </c>
      <c r="W1444" s="3">
        <v>1470</v>
      </c>
      <c r="X1444" s="30">
        <v>160.333</v>
      </c>
      <c r="Y1444" s="33">
        <f t="shared" si="122"/>
        <v>0.16</v>
      </c>
      <c r="AH1444" s="45">
        <f t="shared" si="126"/>
        <v>0</v>
      </c>
      <c r="AJ1444" s="44">
        <f t="shared" si="123"/>
        <v>1.47</v>
      </c>
      <c r="AP1444" s="46">
        <f t="shared" si="124"/>
        <v>0.16</v>
      </c>
    </row>
    <row r="1445" spans="19:42" ht="18">
      <c r="S1445" s="8">
        <f t="shared" si="125"/>
        <v>0</v>
      </c>
      <c r="W1445" s="3">
        <v>1471</v>
      </c>
      <c r="X1445" s="30">
        <v>160.46700000000001</v>
      </c>
      <c r="Y1445" s="33">
        <f t="shared" si="122"/>
        <v>0.16</v>
      </c>
      <c r="AH1445" s="45">
        <f t="shared" si="126"/>
        <v>0</v>
      </c>
      <c r="AJ1445" s="44">
        <f t="shared" si="123"/>
        <v>1.4710000000000001</v>
      </c>
      <c r="AP1445" s="46">
        <f t="shared" si="124"/>
        <v>0.16</v>
      </c>
    </row>
    <row r="1446" spans="19:42" ht="18">
      <c r="S1446" s="8">
        <f t="shared" si="125"/>
        <v>0</v>
      </c>
      <c r="W1446" s="3">
        <v>1472</v>
      </c>
      <c r="X1446" s="30">
        <v>160.6</v>
      </c>
      <c r="Y1446" s="33">
        <f t="shared" si="122"/>
        <v>0.161</v>
      </c>
      <c r="AH1446" s="45">
        <f t="shared" si="126"/>
        <v>0</v>
      </c>
      <c r="AJ1446" s="44">
        <f t="shared" si="123"/>
        <v>1.472</v>
      </c>
      <c r="AP1446" s="46">
        <f t="shared" si="124"/>
        <v>0.161</v>
      </c>
    </row>
    <row r="1447" spans="19:42" ht="18">
      <c r="S1447" s="8">
        <f t="shared" si="125"/>
        <v>0</v>
      </c>
      <c r="W1447" s="3">
        <v>1473</v>
      </c>
      <c r="X1447" s="30">
        <v>160.733</v>
      </c>
      <c r="Y1447" s="33">
        <f t="shared" si="122"/>
        <v>0.161</v>
      </c>
      <c r="AH1447" s="45">
        <f t="shared" si="126"/>
        <v>0</v>
      </c>
      <c r="AJ1447" s="44">
        <f t="shared" si="123"/>
        <v>1.4730000000000001</v>
      </c>
      <c r="AP1447" s="46">
        <f t="shared" si="124"/>
        <v>0.161</v>
      </c>
    </row>
    <row r="1448" spans="19:42" ht="18">
      <c r="S1448" s="8">
        <f t="shared" si="125"/>
        <v>0</v>
      </c>
      <c r="W1448" s="3">
        <v>1474</v>
      </c>
      <c r="X1448" s="30">
        <v>160.86699999999999</v>
      </c>
      <c r="Y1448" s="33">
        <f t="shared" si="122"/>
        <v>0.161</v>
      </c>
      <c r="AH1448" s="45">
        <f t="shared" si="126"/>
        <v>0</v>
      </c>
      <c r="AJ1448" s="44">
        <f t="shared" si="123"/>
        <v>1.474</v>
      </c>
      <c r="AP1448" s="46">
        <f t="shared" si="124"/>
        <v>0.161</v>
      </c>
    </row>
    <row r="1449" spans="19:42" ht="18">
      <c r="S1449" s="8">
        <f t="shared" si="125"/>
        <v>0</v>
      </c>
      <c r="W1449" s="3">
        <v>1475</v>
      </c>
      <c r="X1449" s="30">
        <v>161</v>
      </c>
      <c r="Y1449" s="33">
        <f t="shared" si="122"/>
        <v>0.161</v>
      </c>
      <c r="AH1449" s="45">
        <f t="shared" si="126"/>
        <v>0</v>
      </c>
      <c r="AJ1449" s="44">
        <f t="shared" si="123"/>
        <v>1.4750000000000001</v>
      </c>
      <c r="AP1449" s="46">
        <f t="shared" si="124"/>
        <v>0.161</v>
      </c>
    </row>
    <row r="1450" spans="19:42" ht="18">
      <c r="S1450" s="8">
        <f t="shared" si="125"/>
        <v>0</v>
      </c>
      <c r="W1450" s="3">
        <v>1476</v>
      </c>
      <c r="X1450" s="30">
        <v>161.13300000000001</v>
      </c>
      <c r="Y1450" s="33">
        <f t="shared" si="122"/>
        <v>0.161</v>
      </c>
      <c r="AH1450" s="45">
        <f t="shared" si="126"/>
        <v>0</v>
      </c>
      <c r="AJ1450" s="44">
        <f t="shared" si="123"/>
        <v>1.476</v>
      </c>
      <c r="AP1450" s="46">
        <f t="shared" si="124"/>
        <v>0.161</v>
      </c>
    </row>
    <row r="1451" spans="19:42" ht="18">
      <c r="S1451" s="8">
        <f t="shared" si="125"/>
        <v>0</v>
      </c>
      <c r="W1451" s="3">
        <v>1477</v>
      </c>
      <c r="X1451" s="30">
        <v>161.267</v>
      </c>
      <c r="Y1451" s="33">
        <f t="shared" si="122"/>
        <v>0.161</v>
      </c>
      <c r="AH1451" s="45">
        <f t="shared" si="126"/>
        <v>0</v>
      </c>
      <c r="AJ1451" s="44">
        <f t="shared" si="123"/>
        <v>1.4770000000000001</v>
      </c>
      <c r="AP1451" s="46">
        <f t="shared" si="124"/>
        <v>0.161</v>
      </c>
    </row>
    <row r="1452" spans="19:42" ht="18">
      <c r="S1452" s="8">
        <f t="shared" si="125"/>
        <v>0</v>
      </c>
      <c r="W1452" s="3">
        <v>1478</v>
      </c>
      <c r="X1452" s="30">
        <v>161.4</v>
      </c>
      <c r="Y1452" s="33">
        <f t="shared" si="122"/>
        <v>0.161</v>
      </c>
      <c r="AH1452" s="45">
        <f t="shared" si="126"/>
        <v>0</v>
      </c>
      <c r="AJ1452" s="44">
        <f t="shared" si="123"/>
        <v>1.478</v>
      </c>
      <c r="AP1452" s="46">
        <f t="shared" si="124"/>
        <v>0.161</v>
      </c>
    </row>
    <row r="1453" spans="19:42" ht="18">
      <c r="S1453" s="8">
        <f t="shared" si="125"/>
        <v>0</v>
      </c>
      <c r="W1453" s="3">
        <v>1479</v>
      </c>
      <c r="X1453" s="30">
        <v>161.53299999999999</v>
      </c>
      <c r="Y1453" s="33">
        <f t="shared" si="122"/>
        <v>0.16200000000000001</v>
      </c>
      <c r="AH1453" s="45">
        <f t="shared" si="126"/>
        <v>0</v>
      </c>
      <c r="AJ1453" s="44">
        <f t="shared" si="123"/>
        <v>1.4790000000000001</v>
      </c>
      <c r="AP1453" s="46">
        <f t="shared" si="124"/>
        <v>0.16200000000000001</v>
      </c>
    </row>
    <row r="1454" spans="19:42" ht="18">
      <c r="S1454" s="8">
        <f t="shared" si="125"/>
        <v>0</v>
      </c>
      <c r="W1454" s="3">
        <v>1480</v>
      </c>
      <c r="X1454" s="30">
        <v>161.667</v>
      </c>
      <c r="Y1454" s="33">
        <f t="shared" si="122"/>
        <v>0.16200000000000001</v>
      </c>
      <c r="AH1454" s="45">
        <f t="shared" si="126"/>
        <v>0</v>
      </c>
      <c r="AJ1454" s="44">
        <f t="shared" si="123"/>
        <v>1.48</v>
      </c>
      <c r="AP1454" s="46">
        <f t="shared" si="124"/>
        <v>0.16200000000000001</v>
      </c>
    </row>
    <row r="1455" spans="19:42" ht="18">
      <c r="S1455" s="8">
        <f t="shared" si="125"/>
        <v>0</v>
      </c>
      <c r="W1455" s="3">
        <v>1481</v>
      </c>
      <c r="X1455" s="30">
        <v>161.80000000000001</v>
      </c>
      <c r="Y1455" s="33">
        <f t="shared" si="122"/>
        <v>0.16200000000000001</v>
      </c>
      <c r="AH1455" s="45">
        <f t="shared" si="126"/>
        <v>0</v>
      </c>
      <c r="AJ1455" s="44">
        <f t="shared" si="123"/>
        <v>1.4810000000000001</v>
      </c>
      <c r="AP1455" s="46">
        <f t="shared" si="124"/>
        <v>0.16200000000000001</v>
      </c>
    </row>
    <row r="1456" spans="19:42" ht="18">
      <c r="S1456" s="8">
        <f t="shared" si="125"/>
        <v>0</v>
      </c>
      <c r="W1456" s="3">
        <v>1482</v>
      </c>
      <c r="X1456" s="30">
        <v>161.93299999999999</v>
      </c>
      <c r="Y1456" s="33">
        <f t="shared" si="122"/>
        <v>0.16200000000000001</v>
      </c>
      <c r="AH1456" s="45">
        <f t="shared" si="126"/>
        <v>0</v>
      </c>
      <c r="AJ1456" s="44">
        <f t="shared" si="123"/>
        <v>1.482</v>
      </c>
      <c r="AP1456" s="46">
        <f t="shared" si="124"/>
        <v>0.16200000000000001</v>
      </c>
    </row>
    <row r="1457" spans="19:42" ht="18">
      <c r="S1457" s="8">
        <f t="shared" si="125"/>
        <v>0</v>
      </c>
      <c r="W1457" s="3">
        <v>1483</v>
      </c>
      <c r="X1457" s="30">
        <v>162.06700000000001</v>
      </c>
      <c r="Y1457" s="33">
        <f t="shared" si="122"/>
        <v>0.16200000000000001</v>
      </c>
      <c r="AH1457" s="45">
        <f t="shared" si="126"/>
        <v>0</v>
      </c>
      <c r="AJ1457" s="44">
        <f t="shared" si="123"/>
        <v>1.4830000000000001</v>
      </c>
      <c r="AP1457" s="46">
        <f t="shared" si="124"/>
        <v>0.16200000000000001</v>
      </c>
    </row>
    <row r="1458" spans="19:42" ht="18">
      <c r="S1458" s="8">
        <f t="shared" si="125"/>
        <v>0</v>
      </c>
      <c r="W1458" s="3">
        <v>1484</v>
      </c>
      <c r="X1458" s="30">
        <v>162.19999999999999</v>
      </c>
      <c r="Y1458" s="33">
        <f t="shared" si="122"/>
        <v>0.16200000000000001</v>
      </c>
      <c r="AH1458" s="45">
        <f t="shared" si="126"/>
        <v>0</v>
      </c>
      <c r="AJ1458" s="44">
        <f t="shared" si="123"/>
        <v>1.484</v>
      </c>
      <c r="AP1458" s="46">
        <f t="shared" si="124"/>
        <v>0.16200000000000001</v>
      </c>
    </row>
    <row r="1459" spans="19:42" ht="18">
      <c r="S1459" s="8">
        <f t="shared" si="125"/>
        <v>0</v>
      </c>
      <c r="W1459" s="3">
        <v>1485</v>
      </c>
      <c r="X1459" s="30">
        <v>162.333</v>
      </c>
      <c r="Y1459" s="33">
        <f t="shared" si="122"/>
        <v>0.16200000000000001</v>
      </c>
      <c r="AH1459" s="45">
        <f t="shared" si="126"/>
        <v>0</v>
      </c>
      <c r="AJ1459" s="44">
        <f t="shared" si="123"/>
        <v>1.4850000000000001</v>
      </c>
      <c r="AP1459" s="46">
        <f t="shared" si="124"/>
        <v>0.16200000000000001</v>
      </c>
    </row>
    <row r="1460" spans="19:42" ht="18">
      <c r="S1460" s="8">
        <f t="shared" si="125"/>
        <v>0</v>
      </c>
      <c r="W1460" s="3">
        <v>1486</v>
      </c>
      <c r="X1460" s="30">
        <v>162.46700000000001</v>
      </c>
      <c r="Y1460" s="33">
        <f t="shared" si="122"/>
        <v>0.16200000000000001</v>
      </c>
      <c r="AH1460" s="45">
        <f t="shared" si="126"/>
        <v>0</v>
      </c>
      <c r="AJ1460" s="44">
        <f t="shared" si="123"/>
        <v>1.486</v>
      </c>
      <c r="AP1460" s="46">
        <f t="shared" si="124"/>
        <v>0.16200000000000001</v>
      </c>
    </row>
    <row r="1461" spans="19:42" ht="18">
      <c r="S1461" s="8">
        <f t="shared" si="125"/>
        <v>0</v>
      </c>
      <c r="W1461" s="3">
        <v>1487</v>
      </c>
      <c r="X1461" s="30">
        <v>162.6</v>
      </c>
      <c r="Y1461" s="33">
        <f t="shared" si="122"/>
        <v>0.16300000000000001</v>
      </c>
      <c r="AH1461" s="45">
        <f t="shared" si="126"/>
        <v>0</v>
      </c>
      <c r="AJ1461" s="44">
        <f t="shared" si="123"/>
        <v>1.4870000000000001</v>
      </c>
      <c r="AP1461" s="46">
        <f t="shared" si="124"/>
        <v>0.16300000000000001</v>
      </c>
    </row>
    <row r="1462" spans="19:42" ht="18">
      <c r="S1462" s="8">
        <f t="shared" si="125"/>
        <v>0</v>
      </c>
      <c r="W1462" s="3">
        <v>1488</v>
      </c>
      <c r="X1462" s="30">
        <v>162.733</v>
      </c>
      <c r="Y1462" s="33">
        <f t="shared" si="122"/>
        <v>0.16300000000000001</v>
      </c>
      <c r="AH1462" s="45">
        <f t="shared" si="126"/>
        <v>0</v>
      </c>
      <c r="AJ1462" s="44">
        <f t="shared" si="123"/>
        <v>1.488</v>
      </c>
      <c r="AP1462" s="46">
        <f t="shared" si="124"/>
        <v>0.16300000000000001</v>
      </c>
    </row>
    <row r="1463" spans="19:42" ht="18">
      <c r="S1463" s="8">
        <f t="shared" si="125"/>
        <v>0</v>
      </c>
      <c r="W1463" s="3">
        <v>1489</v>
      </c>
      <c r="X1463" s="30">
        <v>162.86699999999999</v>
      </c>
      <c r="Y1463" s="33">
        <f t="shared" si="122"/>
        <v>0.16300000000000001</v>
      </c>
      <c r="AH1463" s="45">
        <f t="shared" si="126"/>
        <v>0</v>
      </c>
      <c r="AJ1463" s="44">
        <f t="shared" si="123"/>
        <v>1.4890000000000001</v>
      </c>
      <c r="AP1463" s="46">
        <f t="shared" si="124"/>
        <v>0.16300000000000001</v>
      </c>
    </row>
    <row r="1464" spans="19:42" ht="18">
      <c r="S1464" s="8">
        <f t="shared" si="125"/>
        <v>0</v>
      </c>
      <c r="W1464" s="3">
        <v>1490</v>
      </c>
      <c r="X1464" s="30">
        <v>163</v>
      </c>
      <c r="Y1464" s="33">
        <f t="shared" si="122"/>
        <v>0.16300000000000001</v>
      </c>
      <c r="AH1464" s="45">
        <f t="shared" si="126"/>
        <v>0</v>
      </c>
      <c r="AJ1464" s="44">
        <f t="shared" si="123"/>
        <v>1.49</v>
      </c>
      <c r="AP1464" s="46">
        <f t="shared" si="124"/>
        <v>0.16300000000000001</v>
      </c>
    </row>
    <row r="1465" spans="19:42" ht="18">
      <c r="S1465" s="8">
        <f t="shared" si="125"/>
        <v>0</v>
      </c>
      <c r="W1465" s="3">
        <v>1491</v>
      </c>
      <c r="X1465" s="30">
        <v>163.05000000000001</v>
      </c>
      <c r="Y1465" s="33">
        <f t="shared" si="122"/>
        <v>0.16300000000000001</v>
      </c>
      <c r="AH1465" s="45">
        <f t="shared" si="126"/>
        <v>0</v>
      </c>
      <c r="AJ1465" s="44">
        <f t="shared" si="123"/>
        <v>1.4910000000000001</v>
      </c>
      <c r="AP1465" s="46">
        <f t="shared" si="124"/>
        <v>0.16300000000000001</v>
      </c>
    </row>
    <row r="1466" spans="19:42" ht="18">
      <c r="S1466" s="8">
        <f t="shared" si="125"/>
        <v>0</v>
      </c>
      <c r="W1466" s="3">
        <v>1492</v>
      </c>
      <c r="X1466" s="30">
        <v>163.1</v>
      </c>
      <c r="Y1466" s="33">
        <f t="shared" si="122"/>
        <v>0.16300000000000001</v>
      </c>
      <c r="AH1466" s="45">
        <f t="shared" si="126"/>
        <v>0</v>
      </c>
      <c r="AJ1466" s="44">
        <f t="shared" si="123"/>
        <v>1.492</v>
      </c>
      <c r="AP1466" s="46">
        <f t="shared" si="124"/>
        <v>0.16300000000000001</v>
      </c>
    </row>
    <row r="1467" spans="19:42" ht="18">
      <c r="S1467" s="8">
        <f t="shared" si="125"/>
        <v>0</v>
      </c>
      <c r="W1467" s="3">
        <v>1493</v>
      </c>
      <c r="X1467" s="30">
        <v>163.15</v>
      </c>
      <c r="Y1467" s="33">
        <f t="shared" si="122"/>
        <v>0.16300000000000001</v>
      </c>
      <c r="AH1467" s="45">
        <f t="shared" si="126"/>
        <v>0</v>
      </c>
      <c r="AJ1467" s="44">
        <f t="shared" si="123"/>
        <v>1.4930000000000001</v>
      </c>
      <c r="AP1467" s="46">
        <f t="shared" si="124"/>
        <v>0.16300000000000001</v>
      </c>
    </row>
    <row r="1468" spans="19:42" ht="18">
      <c r="S1468" s="8">
        <f t="shared" si="125"/>
        <v>0</v>
      </c>
      <c r="W1468" s="3">
        <v>1494</v>
      </c>
      <c r="X1468" s="30">
        <v>163.19999999999999</v>
      </c>
      <c r="Y1468" s="33">
        <f t="shared" si="122"/>
        <v>0.16300000000000001</v>
      </c>
      <c r="AH1468" s="45">
        <f t="shared" si="126"/>
        <v>0</v>
      </c>
      <c r="AJ1468" s="44">
        <f t="shared" si="123"/>
        <v>1.494</v>
      </c>
      <c r="AP1468" s="46">
        <f t="shared" si="124"/>
        <v>0.16300000000000001</v>
      </c>
    </row>
    <row r="1469" spans="19:42" ht="18">
      <c r="S1469" s="8">
        <f t="shared" si="125"/>
        <v>0</v>
      </c>
      <c r="W1469" s="3">
        <v>1495</v>
      </c>
      <c r="X1469" s="30">
        <v>163.25</v>
      </c>
      <c r="Y1469" s="33">
        <f t="shared" si="122"/>
        <v>0.16300000000000001</v>
      </c>
      <c r="AH1469" s="45">
        <f t="shared" si="126"/>
        <v>0</v>
      </c>
      <c r="AJ1469" s="44">
        <f t="shared" si="123"/>
        <v>1.4950000000000001</v>
      </c>
      <c r="AP1469" s="46">
        <f t="shared" si="124"/>
        <v>0.16300000000000001</v>
      </c>
    </row>
    <row r="1470" spans="19:42" ht="18">
      <c r="S1470" s="8">
        <f t="shared" si="125"/>
        <v>0</v>
      </c>
      <c r="W1470" s="3">
        <v>1496</v>
      </c>
      <c r="X1470" s="30">
        <v>163.30000000000001</v>
      </c>
      <c r="Y1470" s="33">
        <f t="shared" si="122"/>
        <v>0.16300000000000001</v>
      </c>
      <c r="AH1470" s="45">
        <f t="shared" si="126"/>
        <v>0</v>
      </c>
      <c r="AJ1470" s="44">
        <f t="shared" si="123"/>
        <v>1.496</v>
      </c>
      <c r="AP1470" s="46">
        <f t="shared" si="124"/>
        <v>0.16300000000000001</v>
      </c>
    </row>
    <row r="1471" spans="19:42" ht="18">
      <c r="S1471" s="8">
        <f t="shared" si="125"/>
        <v>0</v>
      </c>
      <c r="W1471" s="3">
        <v>1497</v>
      </c>
      <c r="X1471" s="30">
        <v>163.35</v>
      </c>
      <c r="Y1471" s="33">
        <f t="shared" si="122"/>
        <v>0.16300000000000001</v>
      </c>
      <c r="AH1471" s="45">
        <f t="shared" si="126"/>
        <v>0</v>
      </c>
      <c r="AJ1471" s="44">
        <f t="shared" si="123"/>
        <v>1.4970000000000001</v>
      </c>
      <c r="AP1471" s="46">
        <f t="shared" si="124"/>
        <v>0.16300000000000001</v>
      </c>
    </row>
    <row r="1472" spans="19:42" ht="18">
      <c r="S1472" s="8">
        <f t="shared" si="125"/>
        <v>0</v>
      </c>
      <c r="W1472" s="3">
        <v>1498</v>
      </c>
      <c r="X1472" s="30">
        <v>163.4</v>
      </c>
      <c r="Y1472" s="33">
        <f t="shared" si="122"/>
        <v>0.16300000000000001</v>
      </c>
      <c r="AH1472" s="45">
        <f t="shared" si="126"/>
        <v>0</v>
      </c>
      <c r="AJ1472" s="44">
        <f t="shared" si="123"/>
        <v>1.498</v>
      </c>
      <c r="AP1472" s="46">
        <f t="shared" si="124"/>
        <v>0.16300000000000001</v>
      </c>
    </row>
    <row r="1473" spans="19:42" ht="18">
      <c r="S1473" s="8">
        <f t="shared" si="125"/>
        <v>0</v>
      </c>
      <c r="W1473" s="3">
        <v>1499</v>
      </c>
      <c r="X1473" s="30">
        <v>163.44999999999999</v>
      </c>
      <c r="Y1473" s="33">
        <f t="shared" si="122"/>
        <v>0.16300000000000001</v>
      </c>
      <c r="AH1473" s="45">
        <f t="shared" si="126"/>
        <v>0</v>
      </c>
      <c r="AJ1473" s="44">
        <f t="shared" si="123"/>
        <v>1.4990000000000001</v>
      </c>
      <c r="AP1473" s="46">
        <f t="shared" si="124"/>
        <v>0.16300000000000001</v>
      </c>
    </row>
    <row r="1474" spans="19:42" ht="18">
      <c r="S1474" s="8">
        <f t="shared" si="125"/>
        <v>0</v>
      </c>
      <c r="W1474" s="3">
        <v>1500</v>
      </c>
      <c r="X1474" s="30">
        <v>163.5</v>
      </c>
      <c r="Y1474" s="33">
        <f t="shared" si="122"/>
        <v>0.16400000000000001</v>
      </c>
      <c r="AH1474" s="45">
        <f t="shared" si="126"/>
        <v>0</v>
      </c>
      <c r="AJ1474" s="44">
        <f t="shared" si="123"/>
        <v>1.5</v>
      </c>
      <c r="AP1474" s="46">
        <f t="shared" si="124"/>
        <v>0.16400000000000001</v>
      </c>
    </row>
    <row r="1475" spans="19:42" ht="18">
      <c r="S1475" s="8">
        <f t="shared" si="125"/>
        <v>0</v>
      </c>
      <c r="W1475" s="3">
        <v>1501</v>
      </c>
      <c r="X1475" s="30">
        <v>163.55000000000001</v>
      </c>
      <c r="Y1475" s="33">
        <f t="shared" si="122"/>
        <v>0.16400000000000001</v>
      </c>
      <c r="AH1475" s="45">
        <f t="shared" si="126"/>
        <v>0</v>
      </c>
      <c r="AJ1475" s="44">
        <f t="shared" si="123"/>
        <v>1.5009999999999999</v>
      </c>
      <c r="AP1475" s="46">
        <f t="shared" si="124"/>
        <v>0.16400000000000001</v>
      </c>
    </row>
    <row r="1476" spans="19:42" ht="18">
      <c r="S1476" s="8">
        <f t="shared" si="125"/>
        <v>0</v>
      </c>
      <c r="W1476" s="3">
        <v>1502</v>
      </c>
      <c r="X1476" s="30">
        <v>163.6</v>
      </c>
      <c r="Y1476" s="33">
        <f t="shared" si="122"/>
        <v>0.16400000000000001</v>
      </c>
      <c r="AH1476" s="45">
        <f t="shared" si="126"/>
        <v>0</v>
      </c>
      <c r="AJ1476" s="44">
        <f t="shared" si="123"/>
        <v>1.502</v>
      </c>
      <c r="AP1476" s="46">
        <f t="shared" si="124"/>
        <v>0.16400000000000001</v>
      </c>
    </row>
    <row r="1477" spans="19:42" ht="18">
      <c r="S1477" s="8">
        <f t="shared" si="125"/>
        <v>0</v>
      </c>
      <c r="W1477" s="3">
        <v>1503</v>
      </c>
      <c r="X1477" s="30">
        <v>163.65</v>
      </c>
      <c r="Y1477" s="33">
        <f t="shared" ref="Y1477:Y1540" si="127">ROUND(X1477/1000,3)</f>
        <v>0.16400000000000001</v>
      </c>
      <c r="AH1477" s="45">
        <f t="shared" si="126"/>
        <v>0</v>
      </c>
      <c r="AJ1477" s="44">
        <f t="shared" ref="AJ1477:AJ1540" si="128">ROUND(W1477/1000,3)</f>
        <v>1.5029999999999999</v>
      </c>
      <c r="AP1477" s="46">
        <f t="shared" ref="AP1477:AP1540" si="129">ROUND(X1477/1000,3)</f>
        <v>0.16400000000000001</v>
      </c>
    </row>
    <row r="1478" spans="19:42" ht="18">
      <c r="S1478" s="8">
        <f t="shared" ref="S1478:S1541" si="130">CEILING(R1478/50,0.5)</f>
        <v>0</v>
      </c>
      <c r="W1478" s="3">
        <v>1504</v>
      </c>
      <c r="X1478" s="30">
        <v>163.69999999999999</v>
      </c>
      <c r="Y1478" s="33">
        <f t="shared" si="127"/>
        <v>0.16400000000000001</v>
      </c>
      <c r="AH1478" s="45">
        <f t="shared" ref="AH1478:AH1541" si="131">AE1478-AE1477</f>
        <v>0</v>
      </c>
      <c r="AJ1478" s="44">
        <f t="shared" si="128"/>
        <v>1.504</v>
      </c>
      <c r="AP1478" s="46">
        <f t="shared" si="129"/>
        <v>0.16400000000000001</v>
      </c>
    </row>
    <row r="1479" spans="19:42" ht="18">
      <c r="S1479" s="8">
        <f t="shared" si="130"/>
        <v>0</v>
      </c>
      <c r="W1479" s="3">
        <v>1505</v>
      </c>
      <c r="X1479" s="30">
        <v>163.75</v>
      </c>
      <c r="Y1479" s="33">
        <f t="shared" si="127"/>
        <v>0.16400000000000001</v>
      </c>
      <c r="AH1479" s="45">
        <f t="shared" si="131"/>
        <v>0</v>
      </c>
      <c r="AJ1479" s="44">
        <f t="shared" si="128"/>
        <v>1.5049999999999999</v>
      </c>
      <c r="AP1479" s="46">
        <f t="shared" si="129"/>
        <v>0.16400000000000001</v>
      </c>
    </row>
    <row r="1480" spans="19:42" ht="18">
      <c r="S1480" s="8">
        <f t="shared" si="130"/>
        <v>0</v>
      </c>
      <c r="W1480" s="3">
        <v>1506</v>
      </c>
      <c r="X1480" s="30">
        <v>163.80000000000001</v>
      </c>
      <c r="Y1480" s="33">
        <f t="shared" si="127"/>
        <v>0.16400000000000001</v>
      </c>
      <c r="AH1480" s="45">
        <f t="shared" si="131"/>
        <v>0</v>
      </c>
      <c r="AJ1480" s="44">
        <f t="shared" si="128"/>
        <v>1.506</v>
      </c>
      <c r="AP1480" s="46">
        <f t="shared" si="129"/>
        <v>0.16400000000000001</v>
      </c>
    </row>
    <row r="1481" spans="19:42" ht="18">
      <c r="S1481" s="8">
        <f t="shared" si="130"/>
        <v>0</v>
      </c>
      <c r="W1481" s="3">
        <v>1507</v>
      </c>
      <c r="X1481" s="30">
        <v>163.85</v>
      </c>
      <c r="Y1481" s="33">
        <f t="shared" si="127"/>
        <v>0.16400000000000001</v>
      </c>
      <c r="AH1481" s="45">
        <f t="shared" si="131"/>
        <v>0</v>
      </c>
      <c r="AJ1481" s="44">
        <f t="shared" si="128"/>
        <v>1.5069999999999999</v>
      </c>
      <c r="AP1481" s="46">
        <f t="shared" si="129"/>
        <v>0.16400000000000001</v>
      </c>
    </row>
    <row r="1482" spans="19:42" ht="18">
      <c r="S1482" s="8">
        <f t="shared" si="130"/>
        <v>0</v>
      </c>
      <c r="W1482" s="3">
        <v>1508</v>
      </c>
      <c r="X1482" s="30">
        <v>163.9</v>
      </c>
      <c r="Y1482" s="33">
        <f t="shared" si="127"/>
        <v>0.16400000000000001</v>
      </c>
      <c r="AH1482" s="45">
        <f t="shared" si="131"/>
        <v>0</v>
      </c>
      <c r="AJ1482" s="44">
        <f t="shared" si="128"/>
        <v>1.508</v>
      </c>
      <c r="AP1482" s="46">
        <f t="shared" si="129"/>
        <v>0.16400000000000001</v>
      </c>
    </row>
    <row r="1483" spans="19:42" ht="18">
      <c r="S1483" s="8">
        <f t="shared" si="130"/>
        <v>0</v>
      </c>
      <c r="W1483" s="3">
        <v>1509</v>
      </c>
      <c r="X1483" s="30">
        <v>163.95</v>
      </c>
      <c r="Y1483" s="33">
        <f t="shared" si="127"/>
        <v>0.16400000000000001</v>
      </c>
      <c r="AH1483" s="45">
        <f t="shared" si="131"/>
        <v>0</v>
      </c>
      <c r="AJ1483" s="44">
        <f t="shared" si="128"/>
        <v>1.5089999999999999</v>
      </c>
      <c r="AP1483" s="46">
        <f t="shared" si="129"/>
        <v>0.16400000000000001</v>
      </c>
    </row>
    <row r="1484" spans="19:42" ht="18">
      <c r="S1484" s="8">
        <f t="shared" si="130"/>
        <v>0</v>
      </c>
      <c r="W1484" s="3">
        <v>1510</v>
      </c>
      <c r="X1484" s="30">
        <v>164</v>
      </c>
      <c r="Y1484" s="33">
        <f t="shared" si="127"/>
        <v>0.16400000000000001</v>
      </c>
      <c r="AH1484" s="45">
        <f t="shared" si="131"/>
        <v>0</v>
      </c>
      <c r="AJ1484" s="44">
        <f t="shared" si="128"/>
        <v>1.51</v>
      </c>
      <c r="AP1484" s="46">
        <f t="shared" si="129"/>
        <v>0.16400000000000001</v>
      </c>
    </row>
    <row r="1485" spans="19:42" ht="18">
      <c r="S1485" s="8">
        <f t="shared" si="130"/>
        <v>0</v>
      </c>
      <c r="W1485" s="3">
        <v>1511</v>
      </c>
      <c r="X1485" s="30">
        <v>164.05</v>
      </c>
      <c r="Y1485" s="33">
        <f t="shared" si="127"/>
        <v>0.16400000000000001</v>
      </c>
      <c r="AH1485" s="45">
        <f t="shared" si="131"/>
        <v>0</v>
      </c>
      <c r="AJ1485" s="44">
        <f t="shared" si="128"/>
        <v>1.5109999999999999</v>
      </c>
      <c r="AP1485" s="46">
        <f t="shared" si="129"/>
        <v>0.16400000000000001</v>
      </c>
    </row>
    <row r="1486" spans="19:42" ht="18">
      <c r="S1486" s="8">
        <f t="shared" si="130"/>
        <v>0</v>
      </c>
      <c r="W1486" s="3">
        <v>1512</v>
      </c>
      <c r="X1486" s="30">
        <v>164.1</v>
      </c>
      <c r="Y1486" s="33">
        <f t="shared" si="127"/>
        <v>0.16400000000000001</v>
      </c>
      <c r="AH1486" s="45">
        <f t="shared" si="131"/>
        <v>0</v>
      </c>
      <c r="AJ1486" s="44">
        <f t="shared" si="128"/>
        <v>1.512</v>
      </c>
      <c r="AP1486" s="46">
        <f t="shared" si="129"/>
        <v>0.16400000000000001</v>
      </c>
    </row>
    <row r="1487" spans="19:42" ht="18">
      <c r="S1487" s="8">
        <f t="shared" si="130"/>
        <v>0</v>
      </c>
      <c r="W1487" s="3">
        <v>1513</v>
      </c>
      <c r="X1487" s="30">
        <v>164.15</v>
      </c>
      <c r="Y1487" s="33">
        <f t="shared" si="127"/>
        <v>0.16400000000000001</v>
      </c>
      <c r="AH1487" s="45">
        <f t="shared" si="131"/>
        <v>0</v>
      </c>
      <c r="AJ1487" s="44">
        <f t="shared" si="128"/>
        <v>1.5129999999999999</v>
      </c>
      <c r="AP1487" s="46">
        <f t="shared" si="129"/>
        <v>0.16400000000000001</v>
      </c>
    </row>
    <row r="1488" spans="19:42" ht="18">
      <c r="S1488" s="8">
        <f t="shared" si="130"/>
        <v>0</v>
      </c>
      <c r="W1488" s="3">
        <v>1514</v>
      </c>
      <c r="X1488" s="30">
        <v>164.2</v>
      </c>
      <c r="Y1488" s="33">
        <f t="shared" si="127"/>
        <v>0.16400000000000001</v>
      </c>
      <c r="AH1488" s="45">
        <f t="shared" si="131"/>
        <v>0</v>
      </c>
      <c r="AJ1488" s="44">
        <f t="shared" si="128"/>
        <v>1.514</v>
      </c>
      <c r="AP1488" s="46">
        <f t="shared" si="129"/>
        <v>0.16400000000000001</v>
      </c>
    </row>
    <row r="1489" spans="19:42" ht="18">
      <c r="S1489" s="8">
        <f t="shared" si="130"/>
        <v>0</v>
      </c>
      <c r="W1489" s="3">
        <v>1515</v>
      </c>
      <c r="X1489" s="30">
        <v>164.25</v>
      </c>
      <c r="Y1489" s="33">
        <f t="shared" si="127"/>
        <v>0.16400000000000001</v>
      </c>
      <c r="AH1489" s="45">
        <f t="shared" si="131"/>
        <v>0</v>
      </c>
      <c r="AJ1489" s="44">
        <f t="shared" si="128"/>
        <v>1.5149999999999999</v>
      </c>
      <c r="AP1489" s="46">
        <f t="shared" si="129"/>
        <v>0.16400000000000001</v>
      </c>
    </row>
    <row r="1490" spans="19:42" ht="18">
      <c r="S1490" s="8">
        <f t="shared" si="130"/>
        <v>0</v>
      </c>
      <c r="W1490" s="3">
        <v>1516</v>
      </c>
      <c r="X1490" s="30">
        <v>164.3</v>
      </c>
      <c r="Y1490" s="33">
        <f t="shared" si="127"/>
        <v>0.16400000000000001</v>
      </c>
      <c r="AH1490" s="45">
        <f t="shared" si="131"/>
        <v>0</v>
      </c>
      <c r="AJ1490" s="44">
        <f t="shared" si="128"/>
        <v>1.516</v>
      </c>
      <c r="AP1490" s="46">
        <f t="shared" si="129"/>
        <v>0.16400000000000001</v>
      </c>
    </row>
    <row r="1491" spans="19:42" ht="18">
      <c r="S1491" s="8">
        <f t="shared" si="130"/>
        <v>0</v>
      </c>
      <c r="W1491" s="3">
        <v>1517</v>
      </c>
      <c r="X1491" s="30">
        <v>164.35</v>
      </c>
      <c r="Y1491" s="33">
        <f t="shared" si="127"/>
        <v>0.16400000000000001</v>
      </c>
      <c r="AH1491" s="45">
        <f t="shared" si="131"/>
        <v>0</v>
      </c>
      <c r="AJ1491" s="44">
        <f t="shared" si="128"/>
        <v>1.5169999999999999</v>
      </c>
      <c r="AP1491" s="46">
        <f t="shared" si="129"/>
        <v>0.16400000000000001</v>
      </c>
    </row>
    <row r="1492" spans="19:42" ht="18">
      <c r="S1492" s="8">
        <f t="shared" si="130"/>
        <v>0</v>
      </c>
      <c r="W1492" s="3">
        <v>1518</v>
      </c>
      <c r="X1492" s="30">
        <v>164.4</v>
      </c>
      <c r="Y1492" s="33">
        <f t="shared" si="127"/>
        <v>0.16400000000000001</v>
      </c>
      <c r="AH1492" s="45">
        <f t="shared" si="131"/>
        <v>0</v>
      </c>
      <c r="AJ1492" s="44">
        <f t="shared" si="128"/>
        <v>1.518</v>
      </c>
      <c r="AP1492" s="46">
        <f t="shared" si="129"/>
        <v>0.16400000000000001</v>
      </c>
    </row>
    <row r="1493" spans="19:42" ht="18">
      <c r="S1493" s="8">
        <f t="shared" si="130"/>
        <v>0</v>
      </c>
      <c r="W1493" s="3">
        <v>1519</v>
      </c>
      <c r="X1493" s="30">
        <v>164.45</v>
      </c>
      <c r="Y1493" s="33">
        <f t="shared" si="127"/>
        <v>0.16400000000000001</v>
      </c>
      <c r="AH1493" s="45">
        <f t="shared" si="131"/>
        <v>0</v>
      </c>
      <c r="AJ1493" s="44">
        <f t="shared" si="128"/>
        <v>1.5189999999999999</v>
      </c>
      <c r="AP1493" s="46">
        <f t="shared" si="129"/>
        <v>0.16400000000000001</v>
      </c>
    </row>
    <row r="1494" spans="19:42" ht="18">
      <c r="S1494" s="8">
        <f t="shared" si="130"/>
        <v>0</v>
      </c>
      <c r="W1494" s="3">
        <v>1520</v>
      </c>
      <c r="X1494" s="30">
        <v>164.5</v>
      </c>
      <c r="Y1494" s="33">
        <f t="shared" si="127"/>
        <v>0.16500000000000001</v>
      </c>
      <c r="AH1494" s="45">
        <f t="shared" si="131"/>
        <v>0</v>
      </c>
      <c r="AJ1494" s="44">
        <f t="shared" si="128"/>
        <v>1.52</v>
      </c>
      <c r="AP1494" s="46">
        <f t="shared" si="129"/>
        <v>0.16500000000000001</v>
      </c>
    </row>
    <row r="1495" spans="19:42" ht="18">
      <c r="S1495" s="8">
        <f t="shared" si="130"/>
        <v>0</v>
      </c>
      <c r="W1495" s="3">
        <v>1521</v>
      </c>
      <c r="X1495" s="30">
        <v>164.55</v>
      </c>
      <c r="Y1495" s="33">
        <f t="shared" si="127"/>
        <v>0.16500000000000001</v>
      </c>
      <c r="AH1495" s="45">
        <f t="shared" si="131"/>
        <v>0</v>
      </c>
      <c r="AJ1495" s="44">
        <f t="shared" si="128"/>
        <v>1.5209999999999999</v>
      </c>
      <c r="AP1495" s="46">
        <f t="shared" si="129"/>
        <v>0.16500000000000001</v>
      </c>
    </row>
    <row r="1496" spans="19:42" ht="18">
      <c r="S1496" s="8">
        <f t="shared" si="130"/>
        <v>0</v>
      </c>
      <c r="W1496" s="3">
        <v>1522</v>
      </c>
      <c r="X1496" s="30">
        <v>164.6</v>
      </c>
      <c r="Y1496" s="33">
        <f t="shared" si="127"/>
        <v>0.16500000000000001</v>
      </c>
      <c r="AH1496" s="45">
        <f t="shared" si="131"/>
        <v>0</v>
      </c>
      <c r="AJ1496" s="44">
        <f t="shared" si="128"/>
        <v>1.522</v>
      </c>
      <c r="AP1496" s="46">
        <f t="shared" si="129"/>
        <v>0.16500000000000001</v>
      </c>
    </row>
    <row r="1497" spans="19:42" ht="18">
      <c r="S1497" s="8">
        <f t="shared" si="130"/>
        <v>0</v>
      </c>
      <c r="W1497" s="3">
        <v>1523</v>
      </c>
      <c r="X1497" s="30">
        <v>164.65</v>
      </c>
      <c r="Y1497" s="33">
        <f t="shared" si="127"/>
        <v>0.16500000000000001</v>
      </c>
      <c r="AH1497" s="45">
        <f t="shared" si="131"/>
        <v>0</v>
      </c>
      <c r="AJ1497" s="44">
        <f t="shared" si="128"/>
        <v>1.5229999999999999</v>
      </c>
      <c r="AP1497" s="46">
        <f t="shared" si="129"/>
        <v>0.16500000000000001</v>
      </c>
    </row>
    <row r="1498" spans="19:42" ht="18">
      <c r="S1498" s="8">
        <f t="shared" si="130"/>
        <v>0</v>
      </c>
      <c r="W1498" s="3">
        <v>1524</v>
      </c>
      <c r="X1498" s="30">
        <v>164.7</v>
      </c>
      <c r="Y1498" s="33">
        <f t="shared" si="127"/>
        <v>0.16500000000000001</v>
      </c>
      <c r="AH1498" s="45">
        <f t="shared" si="131"/>
        <v>0</v>
      </c>
      <c r="AJ1498" s="44">
        <f t="shared" si="128"/>
        <v>1.524</v>
      </c>
      <c r="AP1498" s="46">
        <f t="shared" si="129"/>
        <v>0.16500000000000001</v>
      </c>
    </row>
    <row r="1499" spans="19:42" ht="18">
      <c r="S1499" s="8">
        <f t="shared" si="130"/>
        <v>0</v>
      </c>
      <c r="W1499" s="3">
        <v>1525</v>
      </c>
      <c r="X1499" s="30">
        <v>164.75</v>
      </c>
      <c r="Y1499" s="33">
        <f t="shared" si="127"/>
        <v>0.16500000000000001</v>
      </c>
      <c r="AH1499" s="45">
        <f t="shared" si="131"/>
        <v>0</v>
      </c>
      <c r="AJ1499" s="44">
        <f t="shared" si="128"/>
        <v>1.5249999999999999</v>
      </c>
      <c r="AP1499" s="46">
        <f t="shared" si="129"/>
        <v>0.16500000000000001</v>
      </c>
    </row>
    <row r="1500" spans="19:42" ht="18">
      <c r="S1500" s="8">
        <f t="shared" si="130"/>
        <v>0</v>
      </c>
      <c r="W1500" s="3">
        <v>1526</v>
      </c>
      <c r="X1500" s="30">
        <v>164.8</v>
      </c>
      <c r="Y1500" s="33">
        <f t="shared" si="127"/>
        <v>0.16500000000000001</v>
      </c>
      <c r="AH1500" s="45">
        <f t="shared" si="131"/>
        <v>0</v>
      </c>
      <c r="AJ1500" s="44">
        <f t="shared" si="128"/>
        <v>1.526</v>
      </c>
      <c r="AP1500" s="46">
        <f t="shared" si="129"/>
        <v>0.16500000000000001</v>
      </c>
    </row>
    <row r="1501" spans="19:42" ht="18">
      <c r="S1501" s="8">
        <f t="shared" si="130"/>
        <v>0</v>
      </c>
      <c r="W1501" s="3">
        <v>1527</v>
      </c>
      <c r="X1501" s="30">
        <v>164.85</v>
      </c>
      <c r="Y1501" s="33">
        <f t="shared" si="127"/>
        <v>0.16500000000000001</v>
      </c>
      <c r="AH1501" s="45">
        <f t="shared" si="131"/>
        <v>0</v>
      </c>
      <c r="AJ1501" s="44">
        <f t="shared" si="128"/>
        <v>1.5269999999999999</v>
      </c>
      <c r="AP1501" s="46">
        <f t="shared" si="129"/>
        <v>0.16500000000000001</v>
      </c>
    </row>
    <row r="1502" spans="19:42" ht="18">
      <c r="S1502" s="8">
        <f t="shared" si="130"/>
        <v>0</v>
      </c>
      <c r="W1502" s="3">
        <v>1528</v>
      </c>
      <c r="X1502" s="30">
        <v>164.9</v>
      </c>
      <c r="Y1502" s="33">
        <f t="shared" si="127"/>
        <v>0.16500000000000001</v>
      </c>
      <c r="AH1502" s="45">
        <f t="shared" si="131"/>
        <v>0</v>
      </c>
      <c r="AJ1502" s="44">
        <f t="shared" si="128"/>
        <v>1.528</v>
      </c>
      <c r="AP1502" s="46">
        <f t="shared" si="129"/>
        <v>0.16500000000000001</v>
      </c>
    </row>
    <row r="1503" spans="19:42" ht="18">
      <c r="S1503" s="8">
        <f t="shared" si="130"/>
        <v>0</v>
      </c>
      <c r="W1503" s="3">
        <v>1529</v>
      </c>
      <c r="X1503" s="30">
        <v>164.95</v>
      </c>
      <c r="Y1503" s="33">
        <f t="shared" si="127"/>
        <v>0.16500000000000001</v>
      </c>
      <c r="AH1503" s="45">
        <f t="shared" si="131"/>
        <v>0</v>
      </c>
      <c r="AJ1503" s="44">
        <f t="shared" si="128"/>
        <v>1.5289999999999999</v>
      </c>
      <c r="AP1503" s="46">
        <f t="shared" si="129"/>
        <v>0.16500000000000001</v>
      </c>
    </row>
    <row r="1504" spans="19:42" ht="18">
      <c r="S1504" s="8">
        <f t="shared" si="130"/>
        <v>0</v>
      </c>
      <c r="W1504" s="3">
        <v>1530</v>
      </c>
      <c r="X1504" s="30">
        <v>165</v>
      </c>
      <c r="Y1504" s="33">
        <f t="shared" si="127"/>
        <v>0.16500000000000001</v>
      </c>
      <c r="AH1504" s="45">
        <f t="shared" si="131"/>
        <v>0</v>
      </c>
      <c r="AJ1504" s="44">
        <f t="shared" si="128"/>
        <v>1.53</v>
      </c>
      <c r="AP1504" s="46">
        <f t="shared" si="129"/>
        <v>0.16500000000000001</v>
      </c>
    </row>
    <row r="1505" spans="19:42" ht="18">
      <c r="S1505" s="8">
        <f t="shared" si="130"/>
        <v>0</v>
      </c>
      <c r="W1505" s="3">
        <v>1531</v>
      </c>
      <c r="X1505" s="30">
        <v>165.05</v>
      </c>
      <c r="Y1505" s="33">
        <f t="shared" si="127"/>
        <v>0.16500000000000001</v>
      </c>
      <c r="AH1505" s="45">
        <f t="shared" si="131"/>
        <v>0</v>
      </c>
      <c r="AJ1505" s="44">
        <f t="shared" si="128"/>
        <v>1.5309999999999999</v>
      </c>
      <c r="AP1505" s="46">
        <f t="shared" si="129"/>
        <v>0.16500000000000001</v>
      </c>
    </row>
    <row r="1506" spans="19:42" ht="18">
      <c r="S1506" s="8">
        <f t="shared" si="130"/>
        <v>0</v>
      </c>
      <c r="W1506" s="3">
        <v>1532</v>
      </c>
      <c r="X1506" s="30">
        <v>165.1</v>
      </c>
      <c r="Y1506" s="33">
        <f t="shared" si="127"/>
        <v>0.16500000000000001</v>
      </c>
      <c r="AH1506" s="45">
        <f t="shared" si="131"/>
        <v>0</v>
      </c>
      <c r="AJ1506" s="44">
        <f t="shared" si="128"/>
        <v>1.532</v>
      </c>
      <c r="AP1506" s="46">
        <f t="shared" si="129"/>
        <v>0.16500000000000001</v>
      </c>
    </row>
    <row r="1507" spans="19:42" ht="18">
      <c r="S1507" s="8">
        <f t="shared" si="130"/>
        <v>0</v>
      </c>
      <c r="W1507" s="3">
        <v>1533</v>
      </c>
      <c r="X1507" s="30">
        <v>165.15</v>
      </c>
      <c r="Y1507" s="33">
        <f t="shared" si="127"/>
        <v>0.16500000000000001</v>
      </c>
      <c r="AH1507" s="45">
        <f t="shared" si="131"/>
        <v>0</v>
      </c>
      <c r="AJ1507" s="44">
        <f t="shared" si="128"/>
        <v>1.5329999999999999</v>
      </c>
      <c r="AP1507" s="46">
        <f t="shared" si="129"/>
        <v>0.16500000000000001</v>
      </c>
    </row>
    <row r="1508" spans="19:42" ht="18">
      <c r="S1508" s="8">
        <f t="shared" si="130"/>
        <v>0</v>
      </c>
      <c r="W1508" s="3">
        <v>1534</v>
      </c>
      <c r="X1508" s="30">
        <v>165.2</v>
      </c>
      <c r="Y1508" s="33">
        <f t="shared" si="127"/>
        <v>0.16500000000000001</v>
      </c>
      <c r="AH1508" s="45">
        <f t="shared" si="131"/>
        <v>0</v>
      </c>
      <c r="AJ1508" s="44">
        <f t="shared" si="128"/>
        <v>1.534</v>
      </c>
      <c r="AP1508" s="46">
        <f t="shared" si="129"/>
        <v>0.16500000000000001</v>
      </c>
    </row>
    <row r="1509" spans="19:42" ht="18">
      <c r="S1509" s="8">
        <f t="shared" si="130"/>
        <v>0</v>
      </c>
      <c r="W1509" s="3">
        <v>1535</v>
      </c>
      <c r="X1509" s="30">
        <v>165.25</v>
      </c>
      <c r="Y1509" s="33">
        <f t="shared" si="127"/>
        <v>0.16500000000000001</v>
      </c>
      <c r="AH1509" s="45">
        <f t="shared" si="131"/>
        <v>0</v>
      </c>
      <c r="AJ1509" s="44">
        <f t="shared" si="128"/>
        <v>1.5349999999999999</v>
      </c>
      <c r="AP1509" s="46">
        <f t="shared" si="129"/>
        <v>0.16500000000000001</v>
      </c>
    </row>
    <row r="1510" spans="19:42" ht="18">
      <c r="S1510" s="8">
        <f t="shared" si="130"/>
        <v>0</v>
      </c>
      <c r="W1510" s="3">
        <v>1536</v>
      </c>
      <c r="X1510" s="30">
        <v>165.3</v>
      </c>
      <c r="Y1510" s="33">
        <f t="shared" si="127"/>
        <v>0.16500000000000001</v>
      </c>
      <c r="AH1510" s="45">
        <f t="shared" si="131"/>
        <v>0</v>
      </c>
      <c r="AJ1510" s="44">
        <f t="shared" si="128"/>
        <v>1.536</v>
      </c>
      <c r="AP1510" s="46">
        <f t="shared" si="129"/>
        <v>0.16500000000000001</v>
      </c>
    </row>
    <row r="1511" spans="19:42" ht="18">
      <c r="S1511" s="8">
        <f t="shared" si="130"/>
        <v>0</v>
      </c>
      <c r="W1511" s="3">
        <v>1537</v>
      </c>
      <c r="X1511" s="30">
        <v>165.35</v>
      </c>
      <c r="Y1511" s="33">
        <f t="shared" si="127"/>
        <v>0.16500000000000001</v>
      </c>
      <c r="AH1511" s="45">
        <f t="shared" si="131"/>
        <v>0</v>
      </c>
      <c r="AJ1511" s="44">
        <f t="shared" si="128"/>
        <v>1.5369999999999999</v>
      </c>
      <c r="AP1511" s="46">
        <f t="shared" si="129"/>
        <v>0.16500000000000001</v>
      </c>
    </row>
    <row r="1512" spans="19:42" ht="18">
      <c r="S1512" s="8">
        <f t="shared" si="130"/>
        <v>0</v>
      </c>
      <c r="W1512" s="3">
        <v>1538</v>
      </c>
      <c r="X1512" s="30">
        <v>165.4</v>
      </c>
      <c r="Y1512" s="33">
        <f t="shared" si="127"/>
        <v>0.16500000000000001</v>
      </c>
      <c r="AH1512" s="45">
        <f t="shared" si="131"/>
        <v>0</v>
      </c>
      <c r="AJ1512" s="44">
        <f t="shared" si="128"/>
        <v>1.538</v>
      </c>
      <c r="AP1512" s="46">
        <f t="shared" si="129"/>
        <v>0.16500000000000001</v>
      </c>
    </row>
    <row r="1513" spans="19:42" ht="18">
      <c r="S1513" s="8">
        <f t="shared" si="130"/>
        <v>0</v>
      </c>
      <c r="W1513" s="3">
        <v>1539</v>
      </c>
      <c r="X1513" s="30">
        <v>165.45</v>
      </c>
      <c r="Y1513" s="33">
        <f t="shared" si="127"/>
        <v>0.16500000000000001</v>
      </c>
      <c r="AH1513" s="45">
        <f t="shared" si="131"/>
        <v>0</v>
      </c>
      <c r="AJ1513" s="44">
        <f t="shared" si="128"/>
        <v>1.5389999999999999</v>
      </c>
      <c r="AP1513" s="46">
        <f t="shared" si="129"/>
        <v>0.16500000000000001</v>
      </c>
    </row>
    <row r="1514" spans="19:42" ht="18">
      <c r="S1514" s="8">
        <f t="shared" si="130"/>
        <v>0</v>
      </c>
      <c r="W1514" s="3">
        <v>1540</v>
      </c>
      <c r="X1514" s="30">
        <v>165.5</v>
      </c>
      <c r="Y1514" s="33">
        <f t="shared" si="127"/>
        <v>0.16600000000000001</v>
      </c>
      <c r="AH1514" s="45">
        <f t="shared" si="131"/>
        <v>0</v>
      </c>
      <c r="AJ1514" s="44">
        <f t="shared" si="128"/>
        <v>1.54</v>
      </c>
      <c r="AP1514" s="46">
        <f t="shared" si="129"/>
        <v>0.16600000000000001</v>
      </c>
    </row>
    <row r="1515" spans="19:42" ht="18">
      <c r="S1515" s="8">
        <f t="shared" si="130"/>
        <v>0</v>
      </c>
      <c r="W1515" s="3">
        <v>1541</v>
      </c>
      <c r="X1515" s="30">
        <v>165.55</v>
      </c>
      <c r="Y1515" s="33">
        <f t="shared" si="127"/>
        <v>0.16600000000000001</v>
      </c>
      <c r="AH1515" s="45">
        <f t="shared" si="131"/>
        <v>0</v>
      </c>
      <c r="AJ1515" s="44">
        <f t="shared" si="128"/>
        <v>1.5409999999999999</v>
      </c>
      <c r="AP1515" s="46">
        <f t="shared" si="129"/>
        <v>0.16600000000000001</v>
      </c>
    </row>
    <row r="1516" spans="19:42" ht="18">
      <c r="S1516" s="8">
        <f t="shared" si="130"/>
        <v>0</v>
      </c>
      <c r="W1516" s="3">
        <v>1542</v>
      </c>
      <c r="X1516" s="30">
        <v>165.6</v>
      </c>
      <c r="Y1516" s="33">
        <f t="shared" si="127"/>
        <v>0.16600000000000001</v>
      </c>
      <c r="AH1516" s="45">
        <f t="shared" si="131"/>
        <v>0</v>
      </c>
      <c r="AJ1516" s="44">
        <f t="shared" si="128"/>
        <v>1.542</v>
      </c>
      <c r="AP1516" s="46">
        <f t="shared" si="129"/>
        <v>0.16600000000000001</v>
      </c>
    </row>
    <row r="1517" spans="19:42" ht="18">
      <c r="S1517" s="8">
        <f t="shared" si="130"/>
        <v>0</v>
      </c>
      <c r="W1517" s="3">
        <v>1543</v>
      </c>
      <c r="X1517" s="30">
        <v>165.65</v>
      </c>
      <c r="Y1517" s="33">
        <f t="shared" si="127"/>
        <v>0.16600000000000001</v>
      </c>
      <c r="AH1517" s="45">
        <f t="shared" si="131"/>
        <v>0</v>
      </c>
      <c r="AJ1517" s="44">
        <f t="shared" si="128"/>
        <v>1.5429999999999999</v>
      </c>
      <c r="AP1517" s="46">
        <f t="shared" si="129"/>
        <v>0.16600000000000001</v>
      </c>
    </row>
    <row r="1518" spans="19:42" ht="18">
      <c r="S1518" s="8">
        <f t="shared" si="130"/>
        <v>0</v>
      </c>
      <c r="W1518" s="3">
        <v>1544</v>
      </c>
      <c r="X1518" s="30">
        <v>165.7</v>
      </c>
      <c r="Y1518" s="33">
        <f t="shared" si="127"/>
        <v>0.16600000000000001</v>
      </c>
      <c r="AH1518" s="45">
        <f t="shared" si="131"/>
        <v>0</v>
      </c>
      <c r="AJ1518" s="44">
        <f t="shared" si="128"/>
        <v>1.544</v>
      </c>
      <c r="AP1518" s="46">
        <f t="shared" si="129"/>
        <v>0.16600000000000001</v>
      </c>
    </row>
    <row r="1519" spans="19:42" ht="18">
      <c r="S1519" s="8">
        <f t="shared" si="130"/>
        <v>0</v>
      </c>
      <c r="W1519" s="3">
        <v>1545</v>
      </c>
      <c r="X1519" s="30">
        <v>165.75</v>
      </c>
      <c r="Y1519" s="33">
        <f t="shared" si="127"/>
        <v>0.16600000000000001</v>
      </c>
      <c r="AH1519" s="45">
        <f t="shared" si="131"/>
        <v>0</v>
      </c>
      <c r="AJ1519" s="44">
        <f t="shared" si="128"/>
        <v>1.5449999999999999</v>
      </c>
      <c r="AP1519" s="46">
        <f t="shared" si="129"/>
        <v>0.16600000000000001</v>
      </c>
    </row>
    <row r="1520" spans="19:42" ht="18">
      <c r="S1520" s="8">
        <f t="shared" si="130"/>
        <v>0</v>
      </c>
      <c r="W1520" s="3">
        <v>1546</v>
      </c>
      <c r="X1520" s="30">
        <v>165.8</v>
      </c>
      <c r="Y1520" s="33">
        <f t="shared" si="127"/>
        <v>0.16600000000000001</v>
      </c>
      <c r="AH1520" s="45">
        <f t="shared" si="131"/>
        <v>0</v>
      </c>
      <c r="AJ1520" s="44">
        <f t="shared" si="128"/>
        <v>1.546</v>
      </c>
      <c r="AP1520" s="46">
        <f t="shared" si="129"/>
        <v>0.16600000000000001</v>
      </c>
    </row>
    <row r="1521" spans="19:42" ht="18">
      <c r="S1521" s="8">
        <f t="shared" si="130"/>
        <v>0</v>
      </c>
      <c r="W1521" s="3">
        <v>1547</v>
      </c>
      <c r="X1521" s="30">
        <v>165.85</v>
      </c>
      <c r="Y1521" s="33">
        <f t="shared" si="127"/>
        <v>0.16600000000000001</v>
      </c>
      <c r="AH1521" s="45">
        <f t="shared" si="131"/>
        <v>0</v>
      </c>
      <c r="AJ1521" s="44">
        <f t="shared" si="128"/>
        <v>1.5469999999999999</v>
      </c>
      <c r="AP1521" s="46">
        <f t="shared" si="129"/>
        <v>0.16600000000000001</v>
      </c>
    </row>
    <row r="1522" spans="19:42" ht="18">
      <c r="S1522" s="8">
        <f t="shared" si="130"/>
        <v>0</v>
      </c>
      <c r="W1522" s="3">
        <v>1548</v>
      </c>
      <c r="X1522" s="30">
        <v>165.9</v>
      </c>
      <c r="Y1522" s="33">
        <f t="shared" si="127"/>
        <v>0.16600000000000001</v>
      </c>
      <c r="AH1522" s="45">
        <f t="shared" si="131"/>
        <v>0</v>
      </c>
      <c r="AJ1522" s="44">
        <f t="shared" si="128"/>
        <v>1.548</v>
      </c>
      <c r="AP1522" s="46">
        <f t="shared" si="129"/>
        <v>0.16600000000000001</v>
      </c>
    </row>
    <row r="1523" spans="19:42" ht="18">
      <c r="S1523" s="8">
        <f t="shared" si="130"/>
        <v>0</v>
      </c>
      <c r="W1523" s="3">
        <v>1549</v>
      </c>
      <c r="X1523" s="30">
        <v>165.95</v>
      </c>
      <c r="Y1523" s="33">
        <f t="shared" si="127"/>
        <v>0.16600000000000001</v>
      </c>
      <c r="AH1523" s="45">
        <f t="shared" si="131"/>
        <v>0</v>
      </c>
      <c r="AJ1523" s="44">
        <f t="shared" si="128"/>
        <v>1.5489999999999999</v>
      </c>
      <c r="AP1523" s="46">
        <f t="shared" si="129"/>
        <v>0.16600000000000001</v>
      </c>
    </row>
    <row r="1524" spans="19:42" ht="18">
      <c r="S1524" s="8">
        <f t="shared" si="130"/>
        <v>0</v>
      </c>
      <c r="W1524" s="3">
        <v>1550</v>
      </c>
      <c r="X1524" s="30">
        <v>166</v>
      </c>
      <c r="Y1524" s="33">
        <f t="shared" si="127"/>
        <v>0.16600000000000001</v>
      </c>
      <c r="AH1524" s="45">
        <f t="shared" si="131"/>
        <v>0</v>
      </c>
      <c r="AJ1524" s="44">
        <f t="shared" si="128"/>
        <v>1.55</v>
      </c>
      <c r="AP1524" s="46">
        <f t="shared" si="129"/>
        <v>0.16600000000000001</v>
      </c>
    </row>
    <row r="1525" spans="19:42" ht="18">
      <c r="S1525" s="8">
        <f t="shared" si="130"/>
        <v>0</v>
      </c>
      <c r="W1525" s="3">
        <v>1551</v>
      </c>
      <c r="X1525" s="30">
        <v>166.05</v>
      </c>
      <c r="Y1525" s="33">
        <f t="shared" si="127"/>
        <v>0.16600000000000001</v>
      </c>
      <c r="AH1525" s="45">
        <f t="shared" si="131"/>
        <v>0</v>
      </c>
      <c r="AJ1525" s="44">
        <f t="shared" si="128"/>
        <v>1.5509999999999999</v>
      </c>
      <c r="AP1525" s="46">
        <f t="shared" si="129"/>
        <v>0.16600000000000001</v>
      </c>
    </row>
    <row r="1526" spans="19:42" ht="18">
      <c r="S1526" s="8">
        <f t="shared" si="130"/>
        <v>0</v>
      </c>
      <c r="W1526" s="3">
        <v>1552</v>
      </c>
      <c r="X1526" s="30">
        <v>166.1</v>
      </c>
      <c r="Y1526" s="33">
        <f t="shared" si="127"/>
        <v>0.16600000000000001</v>
      </c>
      <c r="AH1526" s="45">
        <f t="shared" si="131"/>
        <v>0</v>
      </c>
      <c r="AJ1526" s="44">
        <f t="shared" si="128"/>
        <v>1.552</v>
      </c>
      <c r="AP1526" s="46">
        <f t="shared" si="129"/>
        <v>0.16600000000000001</v>
      </c>
    </row>
    <row r="1527" spans="19:42" ht="18">
      <c r="S1527" s="8">
        <f t="shared" si="130"/>
        <v>0</v>
      </c>
      <c r="W1527" s="3">
        <v>1553</v>
      </c>
      <c r="X1527" s="30">
        <v>166.15</v>
      </c>
      <c r="Y1527" s="33">
        <f t="shared" si="127"/>
        <v>0.16600000000000001</v>
      </c>
      <c r="AH1527" s="45">
        <f t="shared" si="131"/>
        <v>0</v>
      </c>
      <c r="AJ1527" s="44">
        <f t="shared" si="128"/>
        <v>1.5529999999999999</v>
      </c>
      <c r="AP1527" s="46">
        <f t="shared" si="129"/>
        <v>0.16600000000000001</v>
      </c>
    </row>
    <row r="1528" spans="19:42" ht="18">
      <c r="S1528" s="8">
        <f t="shared" si="130"/>
        <v>0</v>
      </c>
      <c r="W1528" s="3">
        <v>1554</v>
      </c>
      <c r="X1528" s="30">
        <v>166.2</v>
      </c>
      <c r="Y1528" s="33">
        <f t="shared" si="127"/>
        <v>0.16600000000000001</v>
      </c>
      <c r="AH1528" s="45">
        <f t="shared" si="131"/>
        <v>0</v>
      </c>
      <c r="AJ1528" s="44">
        <f t="shared" si="128"/>
        <v>1.554</v>
      </c>
      <c r="AP1528" s="46">
        <f t="shared" si="129"/>
        <v>0.16600000000000001</v>
      </c>
    </row>
    <row r="1529" spans="19:42" ht="18">
      <c r="S1529" s="8">
        <f t="shared" si="130"/>
        <v>0</v>
      </c>
      <c r="W1529" s="3">
        <v>1555</v>
      </c>
      <c r="X1529" s="30">
        <v>166.25</v>
      </c>
      <c r="Y1529" s="33">
        <f t="shared" si="127"/>
        <v>0.16600000000000001</v>
      </c>
      <c r="AH1529" s="45">
        <f t="shared" si="131"/>
        <v>0</v>
      </c>
      <c r="AJ1529" s="44">
        <f t="shared" si="128"/>
        <v>1.5549999999999999</v>
      </c>
      <c r="AP1529" s="46">
        <f t="shared" si="129"/>
        <v>0.16600000000000001</v>
      </c>
    </row>
    <row r="1530" spans="19:42" ht="18">
      <c r="S1530" s="8">
        <f t="shared" si="130"/>
        <v>0</v>
      </c>
      <c r="W1530" s="3">
        <v>1556</v>
      </c>
      <c r="X1530" s="30">
        <v>166.3</v>
      </c>
      <c r="Y1530" s="33">
        <f t="shared" si="127"/>
        <v>0.16600000000000001</v>
      </c>
      <c r="AH1530" s="45">
        <f t="shared" si="131"/>
        <v>0</v>
      </c>
      <c r="AJ1530" s="44">
        <f t="shared" si="128"/>
        <v>1.556</v>
      </c>
      <c r="AP1530" s="46">
        <f t="shared" si="129"/>
        <v>0.16600000000000001</v>
      </c>
    </row>
    <row r="1531" spans="19:42" ht="18">
      <c r="S1531" s="8">
        <f t="shared" si="130"/>
        <v>0</v>
      </c>
      <c r="W1531" s="3">
        <v>1557</v>
      </c>
      <c r="X1531" s="30">
        <v>166.35</v>
      </c>
      <c r="Y1531" s="33">
        <f t="shared" si="127"/>
        <v>0.16600000000000001</v>
      </c>
      <c r="AH1531" s="45">
        <f t="shared" si="131"/>
        <v>0</v>
      </c>
      <c r="AJ1531" s="44">
        <f t="shared" si="128"/>
        <v>1.5569999999999999</v>
      </c>
      <c r="AP1531" s="46">
        <f t="shared" si="129"/>
        <v>0.16600000000000001</v>
      </c>
    </row>
    <row r="1532" spans="19:42" ht="18">
      <c r="S1532" s="8">
        <f t="shared" si="130"/>
        <v>0</v>
      </c>
      <c r="W1532" s="3">
        <v>1558</v>
      </c>
      <c r="X1532" s="30">
        <v>166.4</v>
      </c>
      <c r="Y1532" s="33">
        <f t="shared" si="127"/>
        <v>0.16600000000000001</v>
      </c>
      <c r="AH1532" s="45">
        <f t="shared" si="131"/>
        <v>0</v>
      </c>
      <c r="AJ1532" s="44">
        <f t="shared" si="128"/>
        <v>1.5580000000000001</v>
      </c>
      <c r="AP1532" s="46">
        <f t="shared" si="129"/>
        <v>0.16600000000000001</v>
      </c>
    </row>
    <row r="1533" spans="19:42" ht="18">
      <c r="S1533" s="8">
        <f t="shared" si="130"/>
        <v>0</v>
      </c>
      <c r="W1533" s="3">
        <v>1559</v>
      </c>
      <c r="X1533" s="30">
        <v>166.45</v>
      </c>
      <c r="Y1533" s="33">
        <f t="shared" si="127"/>
        <v>0.16600000000000001</v>
      </c>
      <c r="AH1533" s="45">
        <f t="shared" si="131"/>
        <v>0</v>
      </c>
      <c r="AJ1533" s="44">
        <f t="shared" si="128"/>
        <v>1.5589999999999999</v>
      </c>
      <c r="AP1533" s="46">
        <f t="shared" si="129"/>
        <v>0.16600000000000001</v>
      </c>
    </row>
    <row r="1534" spans="19:42" ht="18">
      <c r="S1534" s="8">
        <f t="shared" si="130"/>
        <v>0</v>
      </c>
      <c r="W1534" s="3">
        <v>1560</v>
      </c>
      <c r="X1534" s="30">
        <v>166.5</v>
      </c>
      <c r="Y1534" s="33">
        <f t="shared" si="127"/>
        <v>0.16700000000000001</v>
      </c>
      <c r="AH1534" s="45">
        <f t="shared" si="131"/>
        <v>0</v>
      </c>
      <c r="AJ1534" s="44">
        <f t="shared" si="128"/>
        <v>1.56</v>
      </c>
      <c r="AP1534" s="46">
        <f t="shared" si="129"/>
        <v>0.16700000000000001</v>
      </c>
    </row>
    <row r="1535" spans="19:42" ht="18">
      <c r="S1535" s="8">
        <f t="shared" si="130"/>
        <v>0</v>
      </c>
      <c r="W1535" s="3">
        <v>1561</v>
      </c>
      <c r="X1535" s="30">
        <v>166.55</v>
      </c>
      <c r="Y1535" s="33">
        <f t="shared" si="127"/>
        <v>0.16700000000000001</v>
      </c>
      <c r="AH1535" s="45">
        <f t="shared" si="131"/>
        <v>0</v>
      </c>
      <c r="AJ1535" s="44">
        <f t="shared" si="128"/>
        <v>1.5609999999999999</v>
      </c>
      <c r="AP1535" s="46">
        <f t="shared" si="129"/>
        <v>0.16700000000000001</v>
      </c>
    </row>
    <row r="1536" spans="19:42" ht="18">
      <c r="S1536" s="8">
        <f t="shared" si="130"/>
        <v>0</v>
      </c>
      <c r="W1536" s="3">
        <v>1562</v>
      </c>
      <c r="X1536" s="30">
        <v>166.6</v>
      </c>
      <c r="Y1536" s="33">
        <f t="shared" si="127"/>
        <v>0.16700000000000001</v>
      </c>
      <c r="AH1536" s="45">
        <f t="shared" si="131"/>
        <v>0</v>
      </c>
      <c r="AJ1536" s="44">
        <f t="shared" si="128"/>
        <v>1.5620000000000001</v>
      </c>
      <c r="AP1536" s="46">
        <f t="shared" si="129"/>
        <v>0.16700000000000001</v>
      </c>
    </row>
    <row r="1537" spans="19:42" ht="18">
      <c r="S1537" s="8">
        <f t="shared" si="130"/>
        <v>0</v>
      </c>
      <c r="W1537" s="3">
        <v>1563</v>
      </c>
      <c r="X1537" s="30">
        <v>166.65</v>
      </c>
      <c r="Y1537" s="33">
        <f t="shared" si="127"/>
        <v>0.16700000000000001</v>
      </c>
      <c r="AH1537" s="45">
        <f t="shared" si="131"/>
        <v>0</v>
      </c>
      <c r="AJ1537" s="44">
        <f t="shared" si="128"/>
        <v>1.5629999999999999</v>
      </c>
      <c r="AP1537" s="46">
        <f t="shared" si="129"/>
        <v>0.16700000000000001</v>
      </c>
    </row>
    <row r="1538" spans="19:42" ht="18">
      <c r="S1538" s="8">
        <f t="shared" si="130"/>
        <v>0</v>
      </c>
      <c r="W1538" s="3">
        <v>1564</v>
      </c>
      <c r="X1538" s="30">
        <v>166.7</v>
      </c>
      <c r="Y1538" s="33">
        <f t="shared" si="127"/>
        <v>0.16700000000000001</v>
      </c>
      <c r="AH1538" s="45">
        <f t="shared" si="131"/>
        <v>0</v>
      </c>
      <c r="AJ1538" s="44">
        <f t="shared" si="128"/>
        <v>1.5640000000000001</v>
      </c>
      <c r="AP1538" s="46">
        <f t="shared" si="129"/>
        <v>0.16700000000000001</v>
      </c>
    </row>
    <row r="1539" spans="19:42" ht="18">
      <c r="S1539" s="8">
        <f t="shared" si="130"/>
        <v>0</v>
      </c>
      <c r="W1539" s="3">
        <v>1565</v>
      </c>
      <c r="X1539" s="30">
        <v>166.75</v>
      </c>
      <c r="Y1539" s="33">
        <f t="shared" si="127"/>
        <v>0.16700000000000001</v>
      </c>
      <c r="AH1539" s="45">
        <f t="shared" si="131"/>
        <v>0</v>
      </c>
      <c r="AJ1539" s="44">
        <f t="shared" si="128"/>
        <v>1.5649999999999999</v>
      </c>
      <c r="AP1539" s="46">
        <f t="shared" si="129"/>
        <v>0.16700000000000001</v>
      </c>
    </row>
    <row r="1540" spans="19:42" ht="18">
      <c r="S1540" s="8">
        <f t="shared" si="130"/>
        <v>0</v>
      </c>
      <c r="W1540" s="3">
        <v>1566</v>
      </c>
      <c r="X1540" s="30">
        <v>166.8</v>
      </c>
      <c r="Y1540" s="33">
        <f t="shared" si="127"/>
        <v>0.16700000000000001</v>
      </c>
      <c r="AH1540" s="45">
        <f t="shared" si="131"/>
        <v>0</v>
      </c>
      <c r="AJ1540" s="44">
        <f t="shared" si="128"/>
        <v>1.5660000000000001</v>
      </c>
      <c r="AP1540" s="46">
        <f t="shared" si="129"/>
        <v>0.16700000000000001</v>
      </c>
    </row>
    <row r="1541" spans="19:42" ht="18">
      <c r="S1541" s="8">
        <f t="shared" si="130"/>
        <v>0</v>
      </c>
      <c r="W1541" s="3">
        <v>1567</v>
      </c>
      <c r="X1541" s="30">
        <v>166.85</v>
      </c>
      <c r="Y1541" s="33">
        <f t="shared" ref="Y1541:Y1604" si="132">ROUND(X1541/1000,3)</f>
        <v>0.16700000000000001</v>
      </c>
      <c r="AH1541" s="45">
        <f t="shared" si="131"/>
        <v>0</v>
      </c>
      <c r="AJ1541" s="44">
        <f t="shared" ref="AJ1541:AJ1604" si="133">ROUND(W1541/1000,3)</f>
        <v>1.5669999999999999</v>
      </c>
      <c r="AP1541" s="46">
        <f t="shared" ref="AP1541:AP1604" si="134">ROUND(X1541/1000,3)</f>
        <v>0.16700000000000001</v>
      </c>
    </row>
    <row r="1542" spans="19:42" ht="18">
      <c r="S1542" s="8">
        <f t="shared" ref="S1542:S1605" si="135">CEILING(R1542/50,0.5)</f>
        <v>0</v>
      </c>
      <c r="W1542" s="3">
        <v>1568</v>
      </c>
      <c r="X1542" s="30">
        <v>166.9</v>
      </c>
      <c r="Y1542" s="33">
        <f t="shared" si="132"/>
        <v>0.16700000000000001</v>
      </c>
      <c r="AH1542" s="45">
        <f t="shared" ref="AH1542:AH1605" si="136">AE1542-AE1541</f>
        <v>0</v>
      </c>
      <c r="AJ1542" s="44">
        <f t="shared" si="133"/>
        <v>1.5680000000000001</v>
      </c>
      <c r="AP1542" s="46">
        <f t="shared" si="134"/>
        <v>0.16700000000000001</v>
      </c>
    </row>
    <row r="1543" spans="19:42" ht="18">
      <c r="S1543" s="8">
        <f t="shared" si="135"/>
        <v>0</v>
      </c>
      <c r="W1543" s="3">
        <v>1569</v>
      </c>
      <c r="X1543" s="30">
        <v>166.95</v>
      </c>
      <c r="Y1543" s="33">
        <f t="shared" si="132"/>
        <v>0.16700000000000001</v>
      </c>
      <c r="AH1543" s="45">
        <f t="shared" si="136"/>
        <v>0</v>
      </c>
      <c r="AJ1543" s="44">
        <f t="shared" si="133"/>
        <v>1.569</v>
      </c>
      <c r="AP1543" s="46">
        <f t="shared" si="134"/>
        <v>0.16700000000000001</v>
      </c>
    </row>
    <row r="1544" spans="19:42" ht="18">
      <c r="S1544" s="8">
        <f t="shared" si="135"/>
        <v>0</v>
      </c>
      <c r="W1544" s="3">
        <v>1570</v>
      </c>
      <c r="X1544" s="30">
        <v>167</v>
      </c>
      <c r="Y1544" s="33">
        <f t="shared" si="132"/>
        <v>0.16700000000000001</v>
      </c>
      <c r="AH1544" s="45">
        <f t="shared" si="136"/>
        <v>0</v>
      </c>
      <c r="AJ1544" s="44">
        <f t="shared" si="133"/>
        <v>1.57</v>
      </c>
      <c r="AP1544" s="46">
        <f t="shared" si="134"/>
        <v>0.16700000000000001</v>
      </c>
    </row>
    <row r="1545" spans="19:42" ht="18">
      <c r="S1545" s="8">
        <f t="shared" si="135"/>
        <v>0</v>
      </c>
      <c r="W1545" s="3">
        <v>1571</v>
      </c>
      <c r="X1545" s="30">
        <v>167.04400000000001</v>
      </c>
      <c r="Y1545" s="33">
        <f t="shared" si="132"/>
        <v>0.16700000000000001</v>
      </c>
      <c r="AH1545" s="45">
        <f t="shared" si="136"/>
        <v>0</v>
      </c>
      <c r="AJ1545" s="44">
        <f t="shared" si="133"/>
        <v>1.571</v>
      </c>
      <c r="AP1545" s="46">
        <f t="shared" si="134"/>
        <v>0.16700000000000001</v>
      </c>
    </row>
    <row r="1546" spans="19:42" ht="18">
      <c r="S1546" s="8">
        <f t="shared" si="135"/>
        <v>0</v>
      </c>
      <c r="W1546" s="3">
        <v>1572</v>
      </c>
      <c r="X1546" s="30">
        <v>167.089</v>
      </c>
      <c r="Y1546" s="33">
        <f t="shared" si="132"/>
        <v>0.16700000000000001</v>
      </c>
      <c r="AH1546" s="45">
        <f t="shared" si="136"/>
        <v>0</v>
      </c>
      <c r="AJ1546" s="44">
        <f t="shared" si="133"/>
        <v>1.5720000000000001</v>
      </c>
      <c r="AP1546" s="46">
        <f t="shared" si="134"/>
        <v>0.16700000000000001</v>
      </c>
    </row>
    <row r="1547" spans="19:42" ht="18">
      <c r="S1547" s="8">
        <f t="shared" si="135"/>
        <v>0</v>
      </c>
      <c r="W1547" s="3">
        <v>1573</v>
      </c>
      <c r="X1547" s="30">
        <v>167.13300000000001</v>
      </c>
      <c r="Y1547" s="33">
        <f t="shared" si="132"/>
        <v>0.16700000000000001</v>
      </c>
      <c r="AH1547" s="45">
        <f t="shared" si="136"/>
        <v>0</v>
      </c>
      <c r="AJ1547" s="44">
        <f t="shared" si="133"/>
        <v>1.573</v>
      </c>
      <c r="AP1547" s="46">
        <f t="shared" si="134"/>
        <v>0.16700000000000001</v>
      </c>
    </row>
    <row r="1548" spans="19:42" ht="18">
      <c r="S1548" s="8">
        <f t="shared" si="135"/>
        <v>0</v>
      </c>
      <c r="W1548" s="3">
        <v>1574</v>
      </c>
      <c r="X1548" s="30">
        <v>167.178</v>
      </c>
      <c r="Y1548" s="33">
        <f t="shared" si="132"/>
        <v>0.16700000000000001</v>
      </c>
      <c r="AH1548" s="45">
        <f t="shared" si="136"/>
        <v>0</v>
      </c>
      <c r="AJ1548" s="44">
        <f t="shared" si="133"/>
        <v>1.5740000000000001</v>
      </c>
      <c r="AP1548" s="46">
        <f t="shared" si="134"/>
        <v>0.16700000000000001</v>
      </c>
    </row>
    <row r="1549" spans="19:42" ht="18">
      <c r="S1549" s="8">
        <f t="shared" si="135"/>
        <v>0</v>
      </c>
      <c r="W1549" s="3">
        <v>1575</v>
      </c>
      <c r="X1549" s="30">
        <v>167.22200000000001</v>
      </c>
      <c r="Y1549" s="33">
        <f t="shared" si="132"/>
        <v>0.16700000000000001</v>
      </c>
      <c r="AH1549" s="45">
        <f t="shared" si="136"/>
        <v>0</v>
      </c>
      <c r="AJ1549" s="44">
        <f t="shared" si="133"/>
        <v>1.575</v>
      </c>
      <c r="AP1549" s="46">
        <f t="shared" si="134"/>
        <v>0.16700000000000001</v>
      </c>
    </row>
    <row r="1550" spans="19:42" ht="18">
      <c r="S1550" s="8">
        <f t="shared" si="135"/>
        <v>0</v>
      </c>
      <c r="W1550" s="3">
        <v>1576</v>
      </c>
      <c r="X1550" s="30">
        <v>167.267</v>
      </c>
      <c r="Y1550" s="33">
        <f t="shared" si="132"/>
        <v>0.16700000000000001</v>
      </c>
      <c r="AH1550" s="45">
        <f t="shared" si="136"/>
        <v>0</v>
      </c>
      <c r="AJ1550" s="44">
        <f t="shared" si="133"/>
        <v>1.5760000000000001</v>
      </c>
      <c r="AP1550" s="46">
        <f t="shared" si="134"/>
        <v>0.16700000000000001</v>
      </c>
    </row>
    <row r="1551" spans="19:42" ht="18">
      <c r="S1551" s="8">
        <f t="shared" si="135"/>
        <v>0</v>
      </c>
      <c r="W1551" s="3">
        <v>1577</v>
      </c>
      <c r="X1551" s="30">
        <v>167.31100000000001</v>
      </c>
      <c r="Y1551" s="33">
        <f t="shared" si="132"/>
        <v>0.16700000000000001</v>
      </c>
      <c r="AH1551" s="45">
        <f t="shared" si="136"/>
        <v>0</v>
      </c>
      <c r="AJ1551" s="44">
        <f t="shared" si="133"/>
        <v>1.577</v>
      </c>
      <c r="AP1551" s="46">
        <f t="shared" si="134"/>
        <v>0.16700000000000001</v>
      </c>
    </row>
    <row r="1552" spans="19:42" ht="18">
      <c r="S1552" s="8">
        <f t="shared" si="135"/>
        <v>0</v>
      </c>
      <c r="W1552" s="3">
        <v>1578</v>
      </c>
      <c r="X1552" s="30">
        <v>167.35599999999999</v>
      </c>
      <c r="Y1552" s="33">
        <f t="shared" si="132"/>
        <v>0.16700000000000001</v>
      </c>
      <c r="AH1552" s="45">
        <f t="shared" si="136"/>
        <v>0</v>
      </c>
      <c r="AJ1552" s="44">
        <f t="shared" si="133"/>
        <v>1.5780000000000001</v>
      </c>
      <c r="AP1552" s="46">
        <f t="shared" si="134"/>
        <v>0.16700000000000001</v>
      </c>
    </row>
    <row r="1553" spans="19:42" ht="18">
      <c r="S1553" s="8">
        <f t="shared" si="135"/>
        <v>0</v>
      </c>
      <c r="W1553" s="3">
        <v>1579</v>
      </c>
      <c r="X1553" s="30">
        <v>167.4</v>
      </c>
      <c r="Y1553" s="33">
        <f t="shared" si="132"/>
        <v>0.16700000000000001</v>
      </c>
      <c r="AH1553" s="45">
        <f t="shared" si="136"/>
        <v>0</v>
      </c>
      <c r="AJ1553" s="44">
        <f t="shared" si="133"/>
        <v>1.579</v>
      </c>
      <c r="AP1553" s="46">
        <f t="shared" si="134"/>
        <v>0.16700000000000001</v>
      </c>
    </row>
    <row r="1554" spans="19:42" ht="18">
      <c r="S1554" s="8">
        <f t="shared" si="135"/>
        <v>0</v>
      </c>
      <c r="W1554" s="3">
        <v>1580</v>
      </c>
      <c r="X1554" s="30">
        <v>167.44399999999999</v>
      </c>
      <c r="Y1554" s="33">
        <f t="shared" si="132"/>
        <v>0.16700000000000001</v>
      </c>
      <c r="AH1554" s="45">
        <f t="shared" si="136"/>
        <v>0</v>
      </c>
      <c r="AJ1554" s="44">
        <f t="shared" si="133"/>
        <v>1.58</v>
      </c>
      <c r="AP1554" s="46">
        <f t="shared" si="134"/>
        <v>0.16700000000000001</v>
      </c>
    </row>
    <row r="1555" spans="19:42" ht="18">
      <c r="S1555" s="8">
        <f t="shared" si="135"/>
        <v>0</v>
      </c>
      <c r="W1555" s="3">
        <v>1581</v>
      </c>
      <c r="X1555" s="30">
        <v>167.489</v>
      </c>
      <c r="Y1555" s="33">
        <f t="shared" si="132"/>
        <v>0.16700000000000001</v>
      </c>
      <c r="AH1555" s="45">
        <f t="shared" si="136"/>
        <v>0</v>
      </c>
      <c r="AJ1555" s="44">
        <f t="shared" si="133"/>
        <v>1.581</v>
      </c>
      <c r="AP1555" s="46">
        <f t="shared" si="134"/>
        <v>0.16700000000000001</v>
      </c>
    </row>
    <row r="1556" spans="19:42" ht="18">
      <c r="S1556" s="8">
        <f t="shared" si="135"/>
        <v>0</v>
      </c>
      <c r="W1556" s="3">
        <v>1582</v>
      </c>
      <c r="X1556" s="30">
        <v>167.53299999999999</v>
      </c>
      <c r="Y1556" s="33">
        <f t="shared" si="132"/>
        <v>0.16800000000000001</v>
      </c>
      <c r="AH1556" s="45">
        <f t="shared" si="136"/>
        <v>0</v>
      </c>
      <c r="AJ1556" s="44">
        <f t="shared" si="133"/>
        <v>1.5820000000000001</v>
      </c>
      <c r="AP1556" s="46">
        <f t="shared" si="134"/>
        <v>0.16800000000000001</v>
      </c>
    </row>
    <row r="1557" spans="19:42" ht="18">
      <c r="S1557" s="8">
        <f t="shared" si="135"/>
        <v>0</v>
      </c>
      <c r="W1557" s="3">
        <v>1583</v>
      </c>
      <c r="X1557" s="30">
        <v>167.578</v>
      </c>
      <c r="Y1557" s="33">
        <f t="shared" si="132"/>
        <v>0.16800000000000001</v>
      </c>
      <c r="AH1557" s="45">
        <f t="shared" si="136"/>
        <v>0</v>
      </c>
      <c r="AJ1557" s="44">
        <f t="shared" si="133"/>
        <v>1.583</v>
      </c>
      <c r="AP1557" s="46">
        <f t="shared" si="134"/>
        <v>0.16800000000000001</v>
      </c>
    </row>
    <row r="1558" spans="19:42" ht="18">
      <c r="S1558" s="8">
        <f t="shared" si="135"/>
        <v>0</v>
      </c>
      <c r="W1558" s="3">
        <v>1584</v>
      </c>
      <c r="X1558" s="30">
        <v>167.62200000000001</v>
      </c>
      <c r="Y1558" s="33">
        <f t="shared" si="132"/>
        <v>0.16800000000000001</v>
      </c>
      <c r="AH1558" s="45">
        <f t="shared" si="136"/>
        <v>0</v>
      </c>
      <c r="AJ1558" s="44">
        <f t="shared" si="133"/>
        <v>1.5840000000000001</v>
      </c>
      <c r="AP1558" s="46">
        <f t="shared" si="134"/>
        <v>0.16800000000000001</v>
      </c>
    </row>
    <row r="1559" spans="19:42" ht="18">
      <c r="S1559" s="8">
        <f t="shared" si="135"/>
        <v>0</v>
      </c>
      <c r="W1559" s="3">
        <v>1585</v>
      </c>
      <c r="X1559" s="30">
        <v>167.667</v>
      </c>
      <c r="Y1559" s="33">
        <f t="shared" si="132"/>
        <v>0.16800000000000001</v>
      </c>
      <c r="AH1559" s="45">
        <f t="shared" si="136"/>
        <v>0</v>
      </c>
      <c r="AJ1559" s="44">
        <f t="shared" si="133"/>
        <v>1.585</v>
      </c>
      <c r="AP1559" s="46">
        <f t="shared" si="134"/>
        <v>0.16800000000000001</v>
      </c>
    </row>
    <row r="1560" spans="19:42" ht="18">
      <c r="S1560" s="8">
        <f t="shared" si="135"/>
        <v>0</v>
      </c>
      <c r="W1560" s="3">
        <v>1586</v>
      </c>
      <c r="X1560" s="30">
        <v>167.71100000000001</v>
      </c>
      <c r="Y1560" s="33">
        <f t="shared" si="132"/>
        <v>0.16800000000000001</v>
      </c>
      <c r="AH1560" s="45">
        <f t="shared" si="136"/>
        <v>0</v>
      </c>
      <c r="AJ1560" s="44">
        <f t="shared" si="133"/>
        <v>1.5860000000000001</v>
      </c>
      <c r="AP1560" s="46">
        <f t="shared" si="134"/>
        <v>0.16800000000000001</v>
      </c>
    </row>
    <row r="1561" spans="19:42" ht="18">
      <c r="S1561" s="8">
        <f t="shared" si="135"/>
        <v>0</v>
      </c>
      <c r="W1561" s="3">
        <v>1587</v>
      </c>
      <c r="X1561" s="30">
        <v>167.756</v>
      </c>
      <c r="Y1561" s="33">
        <f t="shared" si="132"/>
        <v>0.16800000000000001</v>
      </c>
      <c r="AH1561" s="45">
        <f t="shared" si="136"/>
        <v>0</v>
      </c>
      <c r="AJ1561" s="44">
        <f t="shared" si="133"/>
        <v>1.587</v>
      </c>
      <c r="AP1561" s="46">
        <f t="shared" si="134"/>
        <v>0.16800000000000001</v>
      </c>
    </row>
    <row r="1562" spans="19:42" ht="18">
      <c r="S1562" s="8">
        <f t="shared" si="135"/>
        <v>0</v>
      </c>
      <c r="W1562" s="3">
        <v>1588</v>
      </c>
      <c r="X1562" s="30">
        <v>167.8</v>
      </c>
      <c r="Y1562" s="33">
        <f t="shared" si="132"/>
        <v>0.16800000000000001</v>
      </c>
      <c r="AH1562" s="45">
        <f t="shared" si="136"/>
        <v>0</v>
      </c>
      <c r="AJ1562" s="44">
        <f t="shared" si="133"/>
        <v>1.5880000000000001</v>
      </c>
      <c r="AP1562" s="46">
        <f t="shared" si="134"/>
        <v>0.16800000000000001</v>
      </c>
    </row>
    <row r="1563" spans="19:42" ht="18">
      <c r="S1563" s="8">
        <f t="shared" si="135"/>
        <v>0</v>
      </c>
      <c r="W1563" s="3">
        <v>1589</v>
      </c>
      <c r="X1563" s="30">
        <v>167.84399999999999</v>
      </c>
      <c r="Y1563" s="33">
        <f t="shared" si="132"/>
        <v>0.16800000000000001</v>
      </c>
      <c r="AH1563" s="45">
        <f t="shared" si="136"/>
        <v>0</v>
      </c>
      <c r="AJ1563" s="44">
        <f t="shared" si="133"/>
        <v>1.589</v>
      </c>
      <c r="AP1563" s="46">
        <f t="shared" si="134"/>
        <v>0.16800000000000001</v>
      </c>
    </row>
    <row r="1564" spans="19:42" ht="18">
      <c r="S1564" s="8">
        <f t="shared" si="135"/>
        <v>0</v>
      </c>
      <c r="W1564" s="3">
        <v>1590</v>
      </c>
      <c r="X1564" s="30">
        <v>167.88900000000001</v>
      </c>
      <c r="Y1564" s="33">
        <f t="shared" si="132"/>
        <v>0.16800000000000001</v>
      </c>
      <c r="AH1564" s="45">
        <f t="shared" si="136"/>
        <v>0</v>
      </c>
      <c r="AJ1564" s="44">
        <f t="shared" si="133"/>
        <v>1.59</v>
      </c>
      <c r="AP1564" s="46">
        <f t="shared" si="134"/>
        <v>0.16800000000000001</v>
      </c>
    </row>
    <row r="1565" spans="19:42" ht="18">
      <c r="S1565" s="8">
        <f t="shared" si="135"/>
        <v>0</v>
      </c>
      <c r="W1565" s="3">
        <v>1591</v>
      </c>
      <c r="X1565" s="30">
        <v>167.93299999999999</v>
      </c>
      <c r="Y1565" s="33">
        <f t="shared" si="132"/>
        <v>0.16800000000000001</v>
      </c>
      <c r="AH1565" s="45">
        <f t="shared" si="136"/>
        <v>0</v>
      </c>
      <c r="AJ1565" s="44">
        <f t="shared" si="133"/>
        <v>1.591</v>
      </c>
      <c r="AP1565" s="46">
        <f t="shared" si="134"/>
        <v>0.16800000000000001</v>
      </c>
    </row>
    <row r="1566" spans="19:42" ht="18">
      <c r="S1566" s="8">
        <f t="shared" si="135"/>
        <v>0</v>
      </c>
      <c r="W1566" s="3">
        <v>1592</v>
      </c>
      <c r="X1566" s="30">
        <v>167.97800000000001</v>
      </c>
      <c r="Y1566" s="33">
        <f t="shared" si="132"/>
        <v>0.16800000000000001</v>
      </c>
      <c r="AH1566" s="45">
        <f t="shared" si="136"/>
        <v>0</v>
      </c>
      <c r="AJ1566" s="44">
        <f t="shared" si="133"/>
        <v>1.5920000000000001</v>
      </c>
      <c r="AP1566" s="46">
        <f t="shared" si="134"/>
        <v>0.16800000000000001</v>
      </c>
    </row>
    <row r="1567" spans="19:42" ht="18">
      <c r="S1567" s="8">
        <f t="shared" si="135"/>
        <v>0</v>
      </c>
      <c r="W1567" s="3">
        <v>1593</v>
      </c>
      <c r="X1567" s="30">
        <v>168.02199999999999</v>
      </c>
      <c r="Y1567" s="33">
        <f t="shared" si="132"/>
        <v>0.16800000000000001</v>
      </c>
      <c r="AH1567" s="45">
        <f t="shared" si="136"/>
        <v>0</v>
      </c>
      <c r="AJ1567" s="44">
        <f t="shared" si="133"/>
        <v>1.593</v>
      </c>
      <c r="AP1567" s="46">
        <f t="shared" si="134"/>
        <v>0.16800000000000001</v>
      </c>
    </row>
    <row r="1568" spans="19:42" ht="18">
      <c r="S1568" s="8">
        <f t="shared" si="135"/>
        <v>0</v>
      </c>
      <c r="W1568" s="3">
        <v>1594</v>
      </c>
      <c r="X1568" s="30">
        <v>168.06700000000001</v>
      </c>
      <c r="Y1568" s="33">
        <f t="shared" si="132"/>
        <v>0.16800000000000001</v>
      </c>
      <c r="AH1568" s="45">
        <f t="shared" si="136"/>
        <v>0</v>
      </c>
      <c r="AJ1568" s="44">
        <f t="shared" si="133"/>
        <v>1.5940000000000001</v>
      </c>
      <c r="AP1568" s="46">
        <f t="shared" si="134"/>
        <v>0.16800000000000001</v>
      </c>
    </row>
    <row r="1569" spans="19:42" ht="18">
      <c r="S1569" s="8">
        <f t="shared" si="135"/>
        <v>0</v>
      </c>
      <c r="W1569" s="3">
        <v>1595</v>
      </c>
      <c r="X1569" s="30">
        <v>168.11099999999999</v>
      </c>
      <c r="Y1569" s="33">
        <f t="shared" si="132"/>
        <v>0.16800000000000001</v>
      </c>
      <c r="AH1569" s="45">
        <f t="shared" si="136"/>
        <v>0</v>
      </c>
      <c r="AJ1569" s="44">
        <f t="shared" si="133"/>
        <v>1.595</v>
      </c>
      <c r="AP1569" s="46">
        <f t="shared" si="134"/>
        <v>0.16800000000000001</v>
      </c>
    </row>
    <row r="1570" spans="19:42" ht="18">
      <c r="S1570" s="8">
        <f t="shared" si="135"/>
        <v>0</v>
      </c>
      <c r="W1570" s="3">
        <v>1596</v>
      </c>
      <c r="X1570" s="30">
        <v>168.15600000000001</v>
      </c>
      <c r="Y1570" s="33">
        <f t="shared" si="132"/>
        <v>0.16800000000000001</v>
      </c>
      <c r="AH1570" s="45">
        <f t="shared" si="136"/>
        <v>0</v>
      </c>
      <c r="AJ1570" s="44">
        <f t="shared" si="133"/>
        <v>1.5960000000000001</v>
      </c>
      <c r="AP1570" s="46">
        <f t="shared" si="134"/>
        <v>0.16800000000000001</v>
      </c>
    </row>
    <row r="1571" spans="19:42" ht="18">
      <c r="S1571" s="8">
        <f t="shared" si="135"/>
        <v>0</v>
      </c>
      <c r="W1571" s="3">
        <v>1597</v>
      </c>
      <c r="X1571" s="30">
        <v>168.2</v>
      </c>
      <c r="Y1571" s="33">
        <f t="shared" si="132"/>
        <v>0.16800000000000001</v>
      </c>
      <c r="AH1571" s="45">
        <f t="shared" si="136"/>
        <v>0</v>
      </c>
      <c r="AJ1571" s="44">
        <f t="shared" si="133"/>
        <v>1.597</v>
      </c>
      <c r="AP1571" s="46">
        <f t="shared" si="134"/>
        <v>0.16800000000000001</v>
      </c>
    </row>
    <row r="1572" spans="19:42" ht="18">
      <c r="S1572" s="8">
        <f t="shared" si="135"/>
        <v>0</v>
      </c>
      <c r="W1572" s="3">
        <v>1598</v>
      </c>
      <c r="X1572" s="30">
        <v>168.244</v>
      </c>
      <c r="Y1572" s="33">
        <f t="shared" si="132"/>
        <v>0.16800000000000001</v>
      </c>
      <c r="AH1572" s="45">
        <f t="shared" si="136"/>
        <v>0</v>
      </c>
      <c r="AJ1572" s="44">
        <f t="shared" si="133"/>
        <v>1.5980000000000001</v>
      </c>
      <c r="AP1572" s="46">
        <f t="shared" si="134"/>
        <v>0.16800000000000001</v>
      </c>
    </row>
    <row r="1573" spans="19:42" ht="18">
      <c r="S1573" s="8">
        <f t="shared" si="135"/>
        <v>0</v>
      </c>
      <c r="W1573" s="3">
        <v>1599</v>
      </c>
      <c r="X1573" s="30">
        <v>168.28899999999999</v>
      </c>
      <c r="Y1573" s="33">
        <f t="shared" si="132"/>
        <v>0.16800000000000001</v>
      </c>
      <c r="AH1573" s="45">
        <f t="shared" si="136"/>
        <v>0</v>
      </c>
      <c r="AJ1573" s="44">
        <f t="shared" si="133"/>
        <v>1.599</v>
      </c>
      <c r="AP1573" s="46">
        <f t="shared" si="134"/>
        <v>0.16800000000000001</v>
      </c>
    </row>
    <row r="1574" spans="19:42" ht="18">
      <c r="S1574" s="8">
        <f t="shared" si="135"/>
        <v>0</v>
      </c>
      <c r="W1574" s="3">
        <v>1600</v>
      </c>
      <c r="X1574" s="30">
        <v>168.333</v>
      </c>
      <c r="Y1574" s="33">
        <f t="shared" si="132"/>
        <v>0.16800000000000001</v>
      </c>
      <c r="AH1574" s="45">
        <f t="shared" si="136"/>
        <v>0</v>
      </c>
      <c r="AJ1574" s="44">
        <f t="shared" si="133"/>
        <v>1.6</v>
      </c>
      <c r="AP1574" s="46">
        <f t="shared" si="134"/>
        <v>0.16800000000000001</v>
      </c>
    </row>
    <row r="1575" spans="19:42" ht="18">
      <c r="S1575" s="8">
        <f t="shared" si="135"/>
        <v>0</v>
      </c>
      <c r="W1575" s="3">
        <v>1601</v>
      </c>
      <c r="X1575" s="30">
        <v>168.37799999999999</v>
      </c>
      <c r="Y1575" s="33">
        <f t="shared" si="132"/>
        <v>0.16800000000000001</v>
      </c>
      <c r="AH1575" s="45">
        <f t="shared" si="136"/>
        <v>0</v>
      </c>
      <c r="AJ1575" s="44">
        <f t="shared" si="133"/>
        <v>1.601</v>
      </c>
      <c r="AP1575" s="46">
        <f t="shared" si="134"/>
        <v>0.16800000000000001</v>
      </c>
    </row>
    <row r="1576" spans="19:42" ht="18">
      <c r="S1576" s="8">
        <f t="shared" si="135"/>
        <v>0</v>
      </c>
      <c r="W1576" s="3">
        <v>1602</v>
      </c>
      <c r="X1576" s="30">
        <v>168.422</v>
      </c>
      <c r="Y1576" s="33">
        <f t="shared" si="132"/>
        <v>0.16800000000000001</v>
      </c>
      <c r="AH1576" s="45">
        <f t="shared" si="136"/>
        <v>0</v>
      </c>
      <c r="AJ1576" s="44">
        <f t="shared" si="133"/>
        <v>1.6020000000000001</v>
      </c>
      <c r="AP1576" s="46">
        <f t="shared" si="134"/>
        <v>0.16800000000000001</v>
      </c>
    </row>
    <row r="1577" spans="19:42" ht="18">
      <c r="S1577" s="8">
        <f t="shared" si="135"/>
        <v>0</v>
      </c>
      <c r="W1577" s="3">
        <v>1603</v>
      </c>
      <c r="X1577" s="30">
        <v>168.46700000000001</v>
      </c>
      <c r="Y1577" s="33">
        <f t="shared" si="132"/>
        <v>0.16800000000000001</v>
      </c>
      <c r="AH1577" s="45">
        <f t="shared" si="136"/>
        <v>0</v>
      </c>
      <c r="AJ1577" s="44">
        <f t="shared" si="133"/>
        <v>1.603</v>
      </c>
      <c r="AP1577" s="46">
        <f t="shared" si="134"/>
        <v>0.16800000000000001</v>
      </c>
    </row>
    <row r="1578" spans="19:42" ht="18">
      <c r="S1578" s="8">
        <f t="shared" si="135"/>
        <v>0</v>
      </c>
      <c r="W1578" s="3">
        <v>1604</v>
      </c>
      <c r="X1578" s="30">
        <v>168.511</v>
      </c>
      <c r="Y1578" s="33">
        <f t="shared" si="132"/>
        <v>0.16900000000000001</v>
      </c>
      <c r="AH1578" s="45">
        <f t="shared" si="136"/>
        <v>0</v>
      </c>
      <c r="AJ1578" s="44">
        <f t="shared" si="133"/>
        <v>1.6040000000000001</v>
      </c>
      <c r="AP1578" s="46">
        <f t="shared" si="134"/>
        <v>0.16900000000000001</v>
      </c>
    </row>
    <row r="1579" spans="19:42" ht="18">
      <c r="S1579" s="8">
        <f t="shared" si="135"/>
        <v>0</v>
      </c>
      <c r="W1579" s="3">
        <v>1605</v>
      </c>
      <c r="X1579" s="30">
        <v>168.55600000000001</v>
      </c>
      <c r="Y1579" s="33">
        <f t="shared" si="132"/>
        <v>0.16900000000000001</v>
      </c>
      <c r="AH1579" s="45">
        <f t="shared" si="136"/>
        <v>0</v>
      </c>
      <c r="AJ1579" s="44">
        <f t="shared" si="133"/>
        <v>1.605</v>
      </c>
      <c r="AP1579" s="46">
        <f t="shared" si="134"/>
        <v>0.16900000000000001</v>
      </c>
    </row>
    <row r="1580" spans="19:42" ht="18">
      <c r="S1580" s="8">
        <f t="shared" si="135"/>
        <v>0</v>
      </c>
      <c r="W1580" s="3">
        <v>1606</v>
      </c>
      <c r="X1580" s="30">
        <v>168.6</v>
      </c>
      <c r="Y1580" s="33">
        <f t="shared" si="132"/>
        <v>0.16900000000000001</v>
      </c>
      <c r="AH1580" s="45">
        <f t="shared" si="136"/>
        <v>0</v>
      </c>
      <c r="AJ1580" s="44">
        <f t="shared" si="133"/>
        <v>1.6060000000000001</v>
      </c>
      <c r="AP1580" s="46">
        <f t="shared" si="134"/>
        <v>0.16900000000000001</v>
      </c>
    </row>
    <row r="1581" spans="19:42" ht="18">
      <c r="S1581" s="8">
        <f t="shared" si="135"/>
        <v>0</v>
      </c>
      <c r="W1581" s="3">
        <v>1607</v>
      </c>
      <c r="X1581" s="30">
        <v>168.64400000000001</v>
      </c>
      <c r="Y1581" s="33">
        <f t="shared" si="132"/>
        <v>0.16900000000000001</v>
      </c>
      <c r="AH1581" s="45">
        <f t="shared" si="136"/>
        <v>0</v>
      </c>
      <c r="AJ1581" s="44">
        <f t="shared" si="133"/>
        <v>1.607</v>
      </c>
      <c r="AP1581" s="46">
        <f t="shared" si="134"/>
        <v>0.16900000000000001</v>
      </c>
    </row>
    <row r="1582" spans="19:42" ht="18">
      <c r="S1582" s="8">
        <f t="shared" si="135"/>
        <v>0</v>
      </c>
      <c r="W1582" s="3">
        <v>1608</v>
      </c>
      <c r="X1582" s="30">
        <v>168.68899999999999</v>
      </c>
      <c r="Y1582" s="33">
        <f t="shared" si="132"/>
        <v>0.16900000000000001</v>
      </c>
      <c r="AH1582" s="45">
        <f t="shared" si="136"/>
        <v>0</v>
      </c>
      <c r="AJ1582" s="44">
        <f t="shared" si="133"/>
        <v>1.6080000000000001</v>
      </c>
      <c r="AP1582" s="46">
        <f t="shared" si="134"/>
        <v>0.16900000000000001</v>
      </c>
    </row>
    <row r="1583" spans="19:42" ht="18">
      <c r="S1583" s="8">
        <f t="shared" si="135"/>
        <v>0</v>
      </c>
      <c r="W1583" s="3">
        <v>1609</v>
      </c>
      <c r="X1583" s="30">
        <v>168.733</v>
      </c>
      <c r="Y1583" s="33">
        <f t="shared" si="132"/>
        <v>0.16900000000000001</v>
      </c>
      <c r="AH1583" s="45">
        <f t="shared" si="136"/>
        <v>0</v>
      </c>
      <c r="AJ1583" s="44">
        <f t="shared" si="133"/>
        <v>1.609</v>
      </c>
      <c r="AP1583" s="46">
        <f t="shared" si="134"/>
        <v>0.16900000000000001</v>
      </c>
    </row>
    <row r="1584" spans="19:42" ht="18">
      <c r="S1584" s="8">
        <f t="shared" si="135"/>
        <v>0</v>
      </c>
      <c r="W1584" s="3">
        <v>1610</v>
      </c>
      <c r="X1584" s="30">
        <v>168.77799999999999</v>
      </c>
      <c r="Y1584" s="33">
        <f t="shared" si="132"/>
        <v>0.16900000000000001</v>
      </c>
      <c r="AH1584" s="45">
        <f t="shared" si="136"/>
        <v>0</v>
      </c>
      <c r="AJ1584" s="44">
        <f t="shared" si="133"/>
        <v>1.61</v>
      </c>
      <c r="AP1584" s="46">
        <f t="shared" si="134"/>
        <v>0.16900000000000001</v>
      </c>
    </row>
    <row r="1585" spans="19:42" ht="18">
      <c r="S1585" s="8">
        <f t="shared" si="135"/>
        <v>0</v>
      </c>
      <c r="W1585" s="3">
        <v>1611</v>
      </c>
      <c r="X1585" s="30">
        <v>168.822</v>
      </c>
      <c r="Y1585" s="33">
        <f t="shared" si="132"/>
        <v>0.16900000000000001</v>
      </c>
      <c r="AH1585" s="45">
        <f t="shared" si="136"/>
        <v>0</v>
      </c>
      <c r="AJ1585" s="44">
        <f t="shared" si="133"/>
        <v>1.611</v>
      </c>
      <c r="AP1585" s="46">
        <f t="shared" si="134"/>
        <v>0.16900000000000001</v>
      </c>
    </row>
    <row r="1586" spans="19:42" ht="18">
      <c r="S1586" s="8">
        <f t="shared" si="135"/>
        <v>0</v>
      </c>
      <c r="W1586" s="3">
        <v>1612</v>
      </c>
      <c r="X1586" s="30">
        <v>168.86699999999999</v>
      </c>
      <c r="Y1586" s="33">
        <f t="shared" si="132"/>
        <v>0.16900000000000001</v>
      </c>
      <c r="AH1586" s="45">
        <f t="shared" si="136"/>
        <v>0</v>
      </c>
      <c r="AJ1586" s="44">
        <f t="shared" si="133"/>
        <v>1.6120000000000001</v>
      </c>
      <c r="AP1586" s="46">
        <f t="shared" si="134"/>
        <v>0.16900000000000001</v>
      </c>
    </row>
    <row r="1587" spans="19:42" ht="18">
      <c r="S1587" s="8">
        <f t="shared" si="135"/>
        <v>0</v>
      </c>
      <c r="W1587" s="3">
        <v>1613</v>
      </c>
      <c r="X1587" s="30">
        <v>168.911</v>
      </c>
      <c r="Y1587" s="33">
        <f t="shared" si="132"/>
        <v>0.16900000000000001</v>
      </c>
      <c r="AH1587" s="45">
        <f t="shared" si="136"/>
        <v>0</v>
      </c>
      <c r="AJ1587" s="44">
        <f t="shared" si="133"/>
        <v>1.613</v>
      </c>
      <c r="AP1587" s="46">
        <f t="shared" si="134"/>
        <v>0.16900000000000001</v>
      </c>
    </row>
    <row r="1588" spans="19:42" ht="18">
      <c r="S1588" s="8">
        <f t="shared" si="135"/>
        <v>0</v>
      </c>
      <c r="W1588" s="3">
        <v>1614</v>
      </c>
      <c r="X1588" s="30">
        <v>168.95599999999999</v>
      </c>
      <c r="Y1588" s="33">
        <f t="shared" si="132"/>
        <v>0.16900000000000001</v>
      </c>
      <c r="AH1588" s="45">
        <f t="shared" si="136"/>
        <v>0</v>
      </c>
      <c r="AJ1588" s="44">
        <f t="shared" si="133"/>
        <v>1.6140000000000001</v>
      </c>
      <c r="AP1588" s="46">
        <f t="shared" si="134"/>
        <v>0.16900000000000001</v>
      </c>
    </row>
    <row r="1589" spans="19:42" ht="18">
      <c r="S1589" s="8">
        <f t="shared" si="135"/>
        <v>0</v>
      </c>
      <c r="W1589" s="3">
        <v>1615</v>
      </c>
      <c r="X1589" s="30">
        <v>169</v>
      </c>
      <c r="Y1589" s="33">
        <f t="shared" si="132"/>
        <v>0.16900000000000001</v>
      </c>
      <c r="AH1589" s="45">
        <f t="shared" si="136"/>
        <v>0</v>
      </c>
      <c r="AJ1589" s="44">
        <f t="shared" si="133"/>
        <v>1.615</v>
      </c>
      <c r="AP1589" s="46">
        <f t="shared" si="134"/>
        <v>0.16900000000000001</v>
      </c>
    </row>
    <row r="1590" spans="19:42" ht="18">
      <c r="S1590" s="8">
        <f t="shared" si="135"/>
        <v>0</v>
      </c>
      <c r="W1590" s="3">
        <v>1616</v>
      </c>
      <c r="X1590" s="30">
        <v>169.04400000000001</v>
      </c>
      <c r="Y1590" s="33">
        <f t="shared" si="132"/>
        <v>0.16900000000000001</v>
      </c>
      <c r="AH1590" s="45">
        <f t="shared" si="136"/>
        <v>0</v>
      </c>
      <c r="AJ1590" s="44">
        <f t="shared" si="133"/>
        <v>1.6160000000000001</v>
      </c>
      <c r="AP1590" s="46">
        <f t="shared" si="134"/>
        <v>0.16900000000000001</v>
      </c>
    </row>
    <row r="1591" spans="19:42" ht="18">
      <c r="S1591" s="8">
        <f t="shared" si="135"/>
        <v>0</v>
      </c>
      <c r="W1591" s="3">
        <v>1617</v>
      </c>
      <c r="X1591" s="30">
        <v>169.089</v>
      </c>
      <c r="Y1591" s="33">
        <f t="shared" si="132"/>
        <v>0.16900000000000001</v>
      </c>
      <c r="AH1591" s="45">
        <f t="shared" si="136"/>
        <v>0</v>
      </c>
      <c r="AJ1591" s="44">
        <f t="shared" si="133"/>
        <v>1.617</v>
      </c>
      <c r="AP1591" s="46">
        <f t="shared" si="134"/>
        <v>0.16900000000000001</v>
      </c>
    </row>
    <row r="1592" spans="19:42" ht="18">
      <c r="S1592" s="8">
        <f t="shared" si="135"/>
        <v>0</v>
      </c>
      <c r="W1592" s="3">
        <v>1618</v>
      </c>
      <c r="X1592" s="30">
        <v>169.13300000000001</v>
      </c>
      <c r="Y1592" s="33">
        <f t="shared" si="132"/>
        <v>0.16900000000000001</v>
      </c>
      <c r="AH1592" s="45">
        <f t="shared" si="136"/>
        <v>0</v>
      </c>
      <c r="AJ1592" s="44">
        <f t="shared" si="133"/>
        <v>1.6180000000000001</v>
      </c>
      <c r="AP1592" s="46">
        <f t="shared" si="134"/>
        <v>0.16900000000000001</v>
      </c>
    </row>
    <row r="1593" spans="19:42" ht="18">
      <c r="S1593" s="8">
        <f t="shared" si="135"/>
        <v>0</v>
      </c>
      <c r="W1593" s="3">
        <v>1619</v>
      </c>
      <c r="X1593" s="30">
        <v>169.178</v>
      </c>
      <c r="Y1593" s="33">
        <f t="shared" si="132"/>
        <v>0.16900000000000001</v>
      </c>
      <c r="AH1593" s="45">
        <f t="shared" si="136"/>
        <v>0</v>
      </c>
      <c r="AJ1593" s="44">
        <f t="shared" si="133"/>
        <v>1.619</v>
      </c>
      <c r="AP1593" s="46">
        <f t="shared" si="134"/>
        <v>0.16900000000000001</v>
      </c>
    </row>
    <row r="1594" spans="19:42" ht="18">
      <c r="S1594" s="8">
        <f t="shared" si="135"/>
        <v>0</v>
      </c>
      <c r="W1594" s="3">
        <v>1620</v>
      </c>
      <c r="X1594" s="30">
        <v>169.22200000000001</v>
      </c>
      <c r="Y1594" s="33">
        <f t="shared" si="132"/>
        <v>0.16900000000000001</v>
      </c>
      <c r="AH1594" s="45">
        <f t="shared" si="136"/>
        <v>0</v>
      </c>
      <c r="AJ1594" s="44">
        <f t="shared" si="133"/>
        <v>1.62</v>
      </c>
      <c r="AP1594" s="46">
        <f t="shared" si="134"/>
        <v>0.16900000000000001</v>
      </c>
    </row>
    <row r="1595" spans="19:42" ht="18">
      <c r="S1595" s="8">
        <f t="shared" si="135"/>
        <v>0</v>
      </c>
      <c r="W1595" s="3">
        <v>1621</v>
      </c>
      <c r="X1595" s="30">
        <v>169.267</v>
      </c>
      <c r="Y1595" s="33">
        <f t="shared" si="132"/>
        <v>0.16900000000000001</v>
      </c>
      <c r="AH1595" s="45">
        <f t="shared" si="136"/>
        <v>0</v>
      </c>
      <c r="AJ1595" s="44">
        <f t="shared" si="133"/>
        <v>1.621</v>
      </c>
      <c r="AP1595" s="46">
        <f t="shared" si="134"/>
        <v>0.16900000000000001</v>
      </c>
    </row>
    <row r="1596" spans="19:42" ht="18">
      <c r="S1596" s="8">
        <f t="shared" si="135"/>
        <v>0</v>
      </c>
      <c r="W1596" s="3">
        <v>1622</v>
      </c>
      <c r="X1596" s="30">
        <v>169.31100000000001</v>
      </c>
      <c r="Y1596" s="33">
        <f t="shared" si="132"/>
        <v>0.16900000000000001</v>
      </c>
      <c r="AH1596" s="45">
        <f t="shared" si="136"/>
        <v>0</v>
      </c>
      <c r="AJ1596" s="44">
        <f t="shared" si="133"/>
        <v>1.6220000000000001</v>
      </c>
      <c r="AP1596" s="46">
        <f t="shared" si="134"/>
        <v>0.16900000000000001</v>
      </c>
    </row>
    <row r="1597" spans="19:42" ht="18">
      <c r="S1597" s="8">
        <f t="shared" si="135"/>
        <v>0</v>
      </c>
      <c r="W1597" s="3">
        <v>1623</v>
      </c>
      <c r="X1597" s="30">
        <v>169.35599999999999</v>
      </c>
      <c r="Y1597" s="33">
        <f t="shared" si="132"/>
        <v>0.16900000000000001</v>
      </c>
      <c r="AH1597" s="45">
        <f t="shared" si="136"/>
        <v>0</v>
      </c>
      <c r="AJ1597" s="44">
        <f t="shared" si="133"/>
        <v>1.623</v>
      </c>
      <c r="AP1597" s="46">
        <f t="shared" si="134"/>
        <v>0.16900000000000001</v>
      </c>
    </row>
    <row r="1598" spans="19:42" ht="18">
      <c r="S1598" s="8">
        <f t="shared" si="135"/>
        <v>0</v>
      </c>
      <c r="W1598" s="3">
        <v>1624</v>
      </c>
      <c r="X1598" s="30">
        <v>169.4</v>
      </c>
      <c r="Y1598" s="33">
        <f t="shared" si="132"/>
        <v>0.16900000000000001</v>
      </c>
      <c r="AH1598" s="45">
        <f t="shared" si="136"/>
        <v>0</v>
      </c>
      <c r="AJ1598" s="44">
        <f t="shared" si="133"/>
        <v>1.6240000000000001</v>
      </c>
      <c r="AP1598" s="46">
        <f t="shared" si="134"/>
        <v>0.16900000000000001</v>
      </c>
    </row>
    <row r="1599" spans="19:42" ht="18">
      <c r="S1599" s="8">
        <f t="shared" si="135"/>
        <v>0</v>
      </c>
      <c r="W1599" s="3">
        <v>1625</v>
      </c>
      <c r="X1599" s="30">
        <v>169.44399999999999</v>
      </c>
      <c r="Y1599" s="33">
        <f t="shared" si="132"/>
        <v>0.16900000000000001</v>
      </c>
      <c r="AH1599" s="45">
        <f t="shared" si="136"/>
        <v>0</v>
      </c>
      <c r="AJ1599" s="44">
        <f t="shared" si="133"/>
        <v>1.625</v>
      </c>
      <c r="AP1599" s="46">
        <f t="shared" si="134"/>
        <v>0.16900000000000001</v>
      </c>
    </row>
    <row r="1600" spans="19:42" ht="18">
      <c r="S1600" s="8">
        <f t="shared" si="135"/>
        <v>0</v>
      </c>
      <c r="W1600" s="3">
        <v>1626</v>
      </c>
      <c r="X1600" s="30">
        <v>169.489</v>
      </c>
      <c r="Y1600" s="33">
        <f t="shared" si="132"/>
        <v>0.16900000000000001</v>
      </c>
      <c r="AH1600" s="45">
        <f t="shared" si="136"/>
        <v>0</v>
      </c>
      <c r="AJ1600" s="44">
        <f t="shared" si="133"/>
        <v>1.6259999999999999</v>
      </c>
      <c r="AP1600" s="46">
        <f t="shared" si="134"/>
        <v>0.16900000000000001</v>
      </c>
    </row>
    <row r="1601" spans="19:42" ht="18">
      <c r="S1601" s="8">
        <f t="shared" si="135"/>
        <v>0</v>
      </c>
      <c r="W1601" s="3">
        <v>1627</v>
      </c>
      <c r="X1601" s="30">
        <v>169.53299999999999</v>
      </c>
      <c r="Y1601" s="33">
        <f t="shared" si="132"/>
        <v>0.17</v>
      </c>
      <c r="AH1601" s="45">
        <f t="shared" si="136"/>
        <v>0</v>
      </c>
      <c r="AJ1601" s="44">
        <f t="shared" si="133"/>
        <v>1.627</v>
      </c>
      <c r="AP1601" s="46">
        <f t="shared" si="134"/>
        <v>0.17</v>
      </c>
    </row>
    <row r="1602" spans="19:42" ht="18">
      <c r="S1602" s="8">
        <f t="shared" si="135"/>
        <v>0</v>
      </c>
      <c r="W1602" s="3">
        <v>1628</v>
      </c>
      <c r="X1602" s="30">
        <v>169.578</v>
      </c>
      <c r="Y1602" s="33">
        <f t="shared" si="132"/>
        <v>0.17</v>
      </c>
      <c r="AH1602" s="45">
        <f t="shared" si="136"/>
        <v>0</v>
      </c>
      <c r="AJ1602" s="44">
        <f t="shared" si="133"/>
        <v>1.6279999999999999</v>
      </c>
      <c r="AP1602" s="46">
        <f t="shared" si="134"/>
        <v>0.17</v>
      </c>
    </row>
    <row r="1603" spans="19:42" ht="18">
      <c r="S1603" s="8">
        <f t="shared" si="135"/>
        <v>0</v>
      </c>
      <c r="W1603" s="3">
        <v>1629</v>
      </c>
      <c r="X1603" s="30">
        <v>169.62200000000001</v>
      </c>
      <c r="Y1603" s="33">
        <f t="shared" si="132"/>
        <v>0.17</v>
      </c>
      <c r="AH1603" s="45">
        <f t="shared" si="136"/>
        <v>0</v>
      </c>
      <c r="AJ1603" s="44">
        <f t="shared" si="133"/>
        <v>1.629</v>
      </c>
      <c r="AP1603" s="46">
        <f t="shared" si="134"/>
        <v>0.17</v>
      </c>
    </row>
    <row r="1604" spans="19:42" ht="18">
      <c r="S1604" s="8">
        <f t="shared" si="135"/>
        <v>0</v>
      </c>
      <c r="W1604" s="3">
        <v>1630</v>
      </c>
      <c r="X1604" s="30">
        <v>169.667</v>
      </c>
      <c r="Y1604" s="33">
        <f t="shared" si="132"/>
        <v>0.17</v>
      </c>
      <c r="AH1604" s="45">
        <f t="shared" si="136"/>
        <v>0</v>
      </c>
      <c r="AJ1604" s="44">
        <f t="shared" si="133"/>
        <v>1.63</v>
      </c>
      <c r="AP1604" s="46">
        <f t="shared" si="134"/>
        <v>0.17</v>
      </c>
    </row>
    <row r="1605" spans="19:42" ht="18">
      <c r="S1605" s="8">
        <f t="shared" si="135"/>
        <v>0</v>
      </c>
      <c r="W1605" s="3">
        <v>1631</v>
      </c>
      <c r="X1605" s="30">
        <v>169.71100000000001</v>
      </c>
      <c r="Y1605" s="33">
        <f t="shared" ref="Y1605:Y1668" si="137">ROUND(X1605/1000,3)</f>
        <v>0.17</v>
      </c>
      <c r="AH1605" s="45">
        <f t="shared" si="136"/>
        <v>0</v>
      </c>
      <c r="AJ1605" s="44">
        <f t="shared" ref="AJ1605:AJ1668" si="138">ROUND(W1605/1000,3)</f>
        <v>1.631</v>
      </c>
      <c r="AP1605" s="46">
        <f t="shared" ref="AP1605:AP1668" si="139">ROUND(X1605/1000,3)</f>
        <v>0.17</v>
      </c>
    </row>
    <row r="1606" spans="19:42" ht="18">
      <c r="S1606" s="8">
        <f t="shared" ref="S1606:S1669" si="140">CEILING(R1606/50,0.5)</f>
        <v>0</v>
      </c>
      <c r="W1606" s="3">
        <v>1632</v>
      </c>
      <c r="X1606" s="30">
        <v>169.756</v>
      </c>
      <c r="Y1606" s="33">
        <f t="shared" si="137"/>
        <v>0.17</v>
      </c>
      <c r="AH1606" s="45">
        <f t="shared" ref="AH1606:AH1669" si="141">AE1606-AE1605</f>
        <v>0</v>
      </c>
      <c r="AJ1606" s="44">
        <f t="shared" si="138"/>
        <v>1.6319999999999999</v>
      </c>
      <c r="AP1606" s="46">
        <f t="shared" si="139"/>
        <v>0.17</v>
      </c>
    </row>
    <row r="1607" spans="19:42" ht="18">
      <c r="S1607" s="8">
        <f t="shared" si="140"/>
        <v>0</v>
      </c>
      <c r="W1607" s="3">
        <v>1633</v>
      </c>
      <c r="X1607" s="30">
        <v>169.8</v>
      </c>
      <c r="Y1607" s="33">
        <f t="shared" si="137"/>
        <v>0.17</v>
      </c>
      <c r="AH1607" s="45">
        <f t="shared" si="141"/>
        <v>0</v>
      </c>
      <c r="AJ1607" s="44">
        <f t="shared" si="138"/>
        <v>1.633</v>
      </c>
      <c r="AP1607" s="46">
        <f t="shared" si="139"/>
        <v>0.17</v>
      </c>
    </row>
    <row r="1608" spans="19:42" ht="18">
      <c r="S1608" s="8">
        <f t="shared" si="140"/>
        <v>0</v>
      </c>
      <c r="W1608" s="3">
        <v>1634</v>
      </c>
      <c r="X1608" s="30">
        <v>169.84399999999999</v>
      </c>
      <c r="Y1608" s="33">
        <f t="shared" si="137"/>
        <v>0.17</v>
      </c>
      <c r="AH1608" s="45">
        <f t="shared" si="141"/>
        <v>0</v>
      </c>
      <c r="AJ1608" s="44">
        <f t="shared" si="138"/>
        <v>1.6339999999999999</v>
      </c>
      <c r="AP1608" s="46">
        <f t="shared" si="139"/>
        <v>0.17</v>
      </c>
    </row>
    <row r="1609" spans="19:42" ht="18">
      <c r="S1609" s="8">
        <f t="shared" si="140"/>
        <v>0</v>
      </c>
      <c r="W1609" s="3">
        <v>1635</v>
      </c>
      <c r="X1609" s="30">
        <v>169.88900000000001</v>
      </c>
      <c r="Y1609" s="33">
        <f t="shared" si="137"/>
        <v>0.17</v>
      </c>
      <c r="AH1609" s="45">
        <f t="shared" si="141"/>
        <v>0</v>
      </c>
      <c r="AJ1609" s="44">
        <f t="shared" si="138"/>
        <v>1.635</v>
      </c>
      <c r="AP1609" s="46">
        <f t="shared" si="139"/>
        <v>0.17</v>
      </c>
    </row>
    <row r="1610" spans="19:42" ht="18">
      <c r="S1610" s="8">
        <f t="shared" si="140"/>
        <v>0</v>
      </c>
      <c r="W1610" s="3">
        <v>1636</v>
      </c>
      <c r="X1610" s="30">
        <v>169.93299999999999</v>
      </c>
      <c r="Y1610" s="33">
        <f t="shared" si="137"/>
        <v>0.17</v>
      </c>
      <c r="AH1610" s="45">
        <f t="shared" si="141"/>
        <v>0</v>
      </c>
      <c r="AJ1610" s="44">
        <f t="shared" si="138"/>
        <v>1.6359999999999999</v>
      </c>
      <c r="AP1610" s="46">
        <f t="shared" si="139"/>
        <v>0.17</v>
      </c>
    </row>
    <row r="1611" spans="19:42" ht="18">
      <c r="S1611" s="8">
        <f t="shared" si="140"/>
        <v>0</v>
      </c>
      <c r="W1611" s="3">
        <v>1637</v>
      </c>
      <c r="X1611" s="30">
        <v>169.97800000000001</v>
      </c>
      <c r="Y1611" s="33">
        <f t="shared" si="137"/>
        <v>0.17</v>
      </c>
      <c r="AH1611" s="45">
        <f t="shared" si="141"/>
        <v>0</v>
      </c>
      <c r="AJ1611" s="44">
        <f t="shared" si="138"/>
        <v>1.637</v>
      </c>
      <c r="AP1611" s="46">
        <f t="shared" si="139"/>
        <v>0.17</v>
      </c>
    </row>
    <row r="1612" spans="19:42" ht="18">
      <c r="S1612" s="8">
        <f t="shared" si="140"/>
        <v>0</v>
      </c>
      <c r="W1612" s="3">
        <v>1638</v>
      </c>
      <c r="X1612" s="30">
        <v>170.02199999999999</v>
      </c>
      <c r="Y1612" s="33">
        <f t="shared" si="137"/>
        <v>0.17</v>
      </c>
      <c r="AH1612" s="45">
        <f t="shared" si="141"/>
        <v>0</v>
      </c>
      <c r="AJ1612" s="44">
        <f t="shared" si="138"/>
        <v>1.6379999999999999</v>
      </c>
      <c r="AP1612" s="46">
        <f t="shared" si="139"/>
        <v>0.17</v>
      </c>
    </row>
    <row r="1613" spans="19:42" ht="18">
      <c r="S1613" s="8">
        <f t="shared" si="140"/>
        <v>0</v>
      </c>
      <c r="W1613" s="3">
        <v>1639</v>
      </c>
      <c r="X1613" s="30">
        <v>170.06700000000001</v>
      </c>
      <c r="Y1613" s="33">
        <f t="shared" si="137"/>
        <v>0.17</v>
      </c>
      <c r="AH1613" s="45">
        <f t="shared" si="141"/>
        <v>0</v>
      </c>
      <c r="AJ1613" s="44">
        <f t="shared" si="138"/>
        <v>1.639</v>
      </c>
      <c r="AP1613" s="46">
        <f t="shared" si="139"/>
        <v>0.17</v>
      </c>
    </row>
    <row r="1614" spans="19:42" ht="18">
      <c r="S1614" s="8">
        <f t="shared" si="140"/>
        <v>0</v>
      </c>
      <c r="W1614" s="3">
        <v>1640</v>
      </c>
      <c r="X1614" s="30">
        <v>170.11099999999999</v>
      </c>
      <c r="Y1614" s="33">
        <f t="shared" si="137"/>
        <v>0.17</v>
      </c>
      <c r="AH1614" s="45">
        <f t="shared" si="141"/>
        <v>0</v>
      </c>
      <c r="AJ1614" s="44">
        <f t="shared" si="138"/>
        <v>1.64</v>
      </c>
      <c r="AP1614" s="46">
        <f t="shared" si="139"/>
        <v>0.17</v>
      </c>
    </row>
    <row r="1615" spans="19:42" ht="18">
      <c r="S1615" s="8">
        <f t="shared" si="140"/>
        <v>0</v>
      </c>
      <c r="W1615" s="3">
        <v>1641</v>
      </c>
      <c r="X1615" s="30">
        <v>170.15600000000001</v>
      </c>
      <c r="Y1615" s="33">
        <f t="shared" si="137"/>
        <v>0.17</v>
      </c>
      <c r="AH1615" s="45">
        <f t="shared" si="141"/>
        <v>0</v>
      </c>
      <c r="AJ1615" s="44">
        <f t="shared" si="138"/>
        <v>1.641</v>
      </c>
      <c r="AP1615" s="46">
        <f t="shared" si="139"/>
        <v>0.17</v>
      </c>
    </row>
    <row r="1616" spans="19:42" ht="18">
      <c r="S1616" s="8">
        <f t="shared" si="140"/>
        <v>0</v>
      </c>
      <c r="W1616" s="3">
        <v>1642</v>
      </c>
      <c r="X1616" s="30">
        <v>170.2</v>
      </c>
      <c r="Y1616" s="33">
        <f t="shared" si="137"/>
        <v>0.17</v>
      </c>
      <c r="AH1616" s="45">
        <f t="shared" si="141"/>
        <v>0</v>
      </c>
      <c r="AJ1616" s="44">
        <f t="shared" si="138"/>
        <v>1.6419999999999999</v>
      </c>
      <c r="AP1616" s="46">
        <f t="shared" si="139"/>
        <v>0.17</v>
      </c>
    </row>
    <row r="1617" spans="19:42" ht="18">
      <c r="S1617" s="8">
        <f t="shared" si="140"/>
        <v>0</v>
      </c>
      <c r="W1617" s="3">
        <v>1643</v>
      </c>
      <c r="X1617" s="30">
        <v>170.244</v>
      </c>
      <c r="Y1617" s="33">
        <f t="shared" si="137"/>
        <v>0.17</v>
      </c>
      <c r="AH1617" s="45">
        <f t="shared" si="141"/>
        <v>0</v>
      </c>
      <c r="AJ1617" s="44">
        <f t="shared" si="138"/>
        <v>1.643</v>
      </c>
      <c r="AP1617" s="46">
        <f t="shared" si="139"/>
        <v>0.17</v>
      </c>
    </row>
    <row r="1618" spans="19:42" ht="18">
      <c r="S1618" s="8">
        <f t="shared" si="140"/>
        <v>0</v>
      </c>
      <c r="W1618" s="3">
        <v>1644</v>
      </c>
      <c r="X1618" s="30">
        <v>170.28899999999999</v>
      </c>
      <c r="Y1618" s="33">
        <f t="shared" si="137"/>
        <v>0.17</v>
      </c>
      <c r="AH1618" s="45">
        <f t="shared" si="141"/>
        <v>0</v>
      </c>
      <c r="AJ1618" s="44">
        <f t="shared" si="138"/>
        <v>1.6439999999999999</v>
      </c>
      <c r="AP1618" s="46">
        <f t="shared" si="139"/>
        <v>0.17</v>
      </c>
    </row>
    <row r="1619" spans="19:42" ht="18">
      <c r="S1619" s="8">
        <f t="shared" si="140"/>
        <v>0</v>
      </c>
      <c r="W1619" s="3">
        <v>1645</v>
      </c>
      <c r="X1619" s="30">
        <v>170.333</v>
      </c>
      <c r="Y1619" s="33">
        <f t="shared" si="137"/>
        <v>0.17</v>
      </c>
      <c r="AH1619" s="45">
        <f t="shared" si="141"/>
        <v>0</v>
      </c>
      <c r="AJ1619" s="44">
        <f t="shared" si="138"/>
        <v>1.645</v>
      </c>
      <c r="AP1619" s="46">
        <f t="shared" si="139"/>
        <v>0.17</v>
      </c>
    </row>
    <row r="1620" spans="19:42" ht="18">
      <c r="S1620" s="8">
        <f t="shared" si="140"/>
        <v>0</v>
      </c>
      <c r="W1620" s="3">
        <v>1646</v>
      </c>
      <c r="X1620" s="30">
        <v>170.37799999999999</v>
      </c>
      <c r="Y1620" s="33">
        <f t="shared" si="137"/>
        <v>0.17</v>
      </c>
      <c r="AH1620" s="45">
        <f t="shared" si="141"/>
        <v>0</v>
      </c>
      <c r="AJ1620" s="44">
        <f t="shared" si="138"/>
        <v>1.6459999999999999</v>
      </c>
      <c r="AP1620" s="46">
        <f t="shared" si="139"/>
        <v>0.17</v>
      </c>
    </row>
    <row r="1621" spans="19:42" ht="18">
      <c r="S1621" s="8">
        <f t="shared" si="140"/>
        <v>0</v>
      </c>
      <c r="W1621" s="3">
        <v>1647</v>
      </c>
      <c r="X1621" s="30">
        <v>170.422</v>
      </c>
      <c r="Y1621" s="33">
        <f t="shared" si="137"/>
        <v>0.17</v>
      </c>
      <c r="AH1621" s="45">
        <f t="shared" si="141"/>
        <v>0</v>
      </c>
      <c r="AJ1621" s="44">
        <f t="shared" si="138"/>
        <v>1.647</v>
      </c>
      <c r="AP1621" s="46">
        <f t="shared" si="139"/>
        <v>0.17</v>
      </c>
    </row>
    <row r="1622" spans="19:42" ht="18">
      <c r="S1622" s="8">
        <f t="shared" si="140"/>
        <v>0</v>
      </c>
      <c r="W1622" s="3">
        <v>1648</v>
      </c>
      <c r="X1622" s="30">
        <v>170.46700000000001</v>
      </c>
      <c r="Y1622" s="33">
        <f t="shared" si="137"/>
        <v>0.17</v>
      </c>
      <c r="AH1622" s="45">
        <f t="shared" si="141"/>
        <v>0</v>
      </c>
      <c r="AJ1622" s="44">
        <f t="shared" si="138"/>
        <v>1.6479999999999999</v>
      </c>
      <c r="AP1622" s="46">
        <f t="shared" si="139"/>
        <v>0.17</v>
      </c>
    </row>
    <row r="1623" spans="19:42" ht="18">
      <c r="S1623" s="8">
        <f t="shared" si="140"/>
        <v>0</v>
      </c>
      <c r="W1623" s="3">
        <v>1649</v>
      </c>
      <c r="X1623" s="30">
        <v>170.511</v>
      </c>
      <c r="Y1623" s="33">
        <f t="shared" si="137"/>
        <v>0.17100000000000001</v>
      </c>
      <c r="AH1623" s="45">
        <f t="shared" si="141"/>
        <v>0</v>
      </c>
      <c r="AJ1623" s="44">
        <f t="shared" si="138"/>
        <v>1.649</v>
      </c>
      <c r="AP1623" s="46">
        <f t="shared" si="139"/>
        <v>0.17100000000000001</v>
      </c>
    </row>
    <row r="1624" spans="19:42" ht="18">
      <c r="S1624" s="8">
        <f t="shared" si="140"/>
        <v>0</v>
      </c>
      <c r="W1624" s="3">
        <v>1650</v>
      </c>
      <c r="X1624" s="30">
        <v>170.55600000000001</v>
      </c>
      <c r="Y1624" s="33">
        <f t="shared" si="137"/>
        <v>0.17100000000000001</v>
      </c>
      <c r="AH1624" s="45">
        <f t="shared" si="141"/>
        <v>0</v>
      </c>
      <c r="AJ1624" s="44">
        <f t="shared" si="138"/>
        <v>1.65</v>
      </c>
      <c r="AP1624" s="46">
        <f t="shared" si="139"/>
        <v>0.17100000000000001</v>
      </c>
    </row>
    <row r="1625" spans="19:42" ht="18">
      <c r="S1625" s="8">
        <f t="shared" si="140"/>
        <v>0</v>
      </c>
      <c r="W1625" s="3">
        <v>1651</v>
      </c>
      <c r="X1625" s="30">
        <v>170.6</v>
      </c>
      <c r="Y1625" s="33">
        <f t="shared" si="137"/>
        <v>0.17100000000000001</v>
      </c>
      <c r="AH1625" s="45">
        <f t="shared" si="141"/>
        <v>0</v>
      </c>
      <c r="AJ1625" s="44">
        <f t="shared" si="138"/>
        <v>1.651</v>
      </c>
      <c r="AP1625" s="46">
        <f t="shared" si="139"/>
        <v>0.17100000000000001</v>
      </c>
    </row>
    <row r="1626" spans="19:42" ht="18">
      <c r="S1626" s="8">
        <f t="shared" si="140"/>
        <v>0</v>
      </c>
      <c r="W1626" s="3">
        <v>1652</v>
      </c>
      <c r="X1626" s="30">
        <v>170.64400000000001</v>
      </c>
      <c r="Y1626" s="33">
        <f t="shared" si="137"/>
        <v>0.17100000000000001</v>
      </c>
      <c r="AH1626" s="45">
        <f t="shared" si="141"/>
        <v>0</v>
      </c>
      <c r="AJ1626" s="44">
        <f t="shared" si="138"/>
        <v>1.6519999999999999</v>
      </c>
      <c r="AP1626" s="46">
        <f t="shared" si="139"/>
        <v>0.17100000000000001</v>
      </c>
    </row>
    <row r="1627" spans="19:42" ht="18">
      <c r="S1627" s="8">
        <f t="shared" si="140"/>
        <v>0</v>
      </c>
      <c r="W1627" s="3">
        <v>1653</v>
      </c>
      <c r="X1627" s="30">
        <v>170.68899999999999</v>
      </c>
      <c r="Y1627" s="33">
        <f t="shared" si="137"/>
        <v>0.17100000000000001</v>
      </c>
      <c r="AH1627" s="45">
        <f t="shared" si="141"/>
        <v>0</v>
      </c>
      <c r="AJ1627" s="44">
        <f t="shared" si="138"/>
        <v>1.653</v>
      </c>
      <c r="AP1627" s="46">
        <f t="shared" si="139"/>
        <v>0.17100000000000001</v>
      </c>
    </row>
    <row r="1628" spans="19:42" ht="18">
      <c r="S1628" s="8">
        <f t="shared" si="140"/>
        <v>0</v>
      </c>
      <c r="W1628" s="3">
        <v>1654</v>
      </c>
      <c r="X1628" s="30">
        <v>170.733</v>
      </c>
      <c r="Y1628" s="33">
        <f t="shared" si="137"/>
        <v>0.17100000000000001</v>
      </c>
      <c r="AH1628" s="45">
        <f t="shared" si="141"/>
        <v>0</v>
      </c>
      <c r="AJ1628" s="44">
        <f t="shared" si="138"/>
        <v>1.6539999999999999</v>
      </c>
      <c r="AP1628" s="46">
        <f t="shared" si="139"/>
        <v>0.17100000000000001</v>
      </c>
    </row>
    <row r="1629" spans="19:42" ht="18">
      <c r="S1629" s="8">
        <f t="shared" si="140"/>
        <v>0</v>
      </c>
      <c r="W1629" s="3">
        <v>1655</v>
      </c>
      <c r="X1629" s="30">
        <v>170.77799999999999</v>
      </c>
      <c r="Y1629" s="33">
        <f t="shared" si="137"/>
        <v>0.17100000000000001</v>
      </c>
      <c r="AH1629" s="45">
        <f t="shared" si="141"/>
        <v>0</v>
      </c>
      <c r="AJ1629" s="44">
        <f t="shared" si="138"/>
        <v>1.655</v>
      </c>
      <c r="AP1629" s="46">
        <f t="shared" si="139"/>
        <v>0.17100000000000001</v>
      </c>
    </row>
    <row r="1630" spans="19:42" ht="18">
      <c r="S1630" s="8">
        <f t="shared" si="140"/>
        <v>0</v>
      </c>
      <c r="W1630" s="3">
        <v>1656</v>
      </c>
      <c r="X1630" s="30">
        <v>170.822</v>
      </c>
      <c r="Y1630" s="33">
        <f t="shared" si="137"/>
        <v>0.17100000000000001</v>
      </c>
      <c r="AH1630" s="45">
        <f t="shared" si="141"/>
        <v>0</v>
      </c>
      <c r="AJ1630" s="44">
        <f t="shared" si="138"/>
        <v>1.6559999999999999</v>
      </c>
      <c r="AP1630" s="46">
        <f t="shared" si="139"/>
        <v>0.17100000000000001</v>
      </c>
    </row>
    <row r="1631" spans="19:42" ht="18">
      <c r="S1631" s="8">
        <f t="shared" si="140"/>
        <v>0</v>
      </c>
      <c r="W1631" s="3">
        <v>1657</v>
      </c>
      <c r="X1631" s="30">
        <v>170.86699999999999</v>
      </c>
      <c r="Y1631" s="33">
        <f t="shared" si="137"/>
        <v>0.17100000000000001</v>
      </c>
      <c r="AH1631" s="45">
        <f t="shared" si="141"/>
        <v>0</v>
      </c>
      <c r="AJ1631" s="44">
        <f t="shared" si="138"/>
        <v>1.657</v>
      </c>
      <c r="AP1631" s="46">
        <f t="shared" si="139"/>
        <v>0.17100000000000001</v>
      </c>
    </row>
    <row r="1632" spans="19:42" ht="18">
      <c r="S1632" s="8">
        <f t="shared" si="140"/>
        <v>0</v>
      </c>
      <c r="W1632" s="3">
        <v>1658</v>
      </c>
      <c r="X1632" s="30">
        <v>170.911</v>
      </c>
      <c r="Y1632" s="33">
        <f t="shared" si="137"/>
        <v>0.17100000000000001</v>
      </c>
      <c r="AH1632" s="45">
        <f t="shared" si="141"/>
        <v>0</v>
      </c>
      <c r="AJ1632" s="44">
        <f t="shared" si="138"/>
        <v>1.6579999999999999</v>
      </c>
      <c r="AP1632" s="46">
        <f t="shared" si="139"/>
        <v>0.17100000000000001</v>
      </c>
    </row>
    <row r="1633" spans="19:42" ht="18">
      <c r="S1633" s="8">
        <f t="shared" si="140"/>
        <v>0</v>
      </c>
      <c r="W1633" s="3">
        <v>1659</v>
      </c>
      <c r="X1633" s="30">
        <v>170.95599999999999</v>
      </c>
      <c r="Y1633" s="33">
        <f t="shared" si="137"/>
        <v>0.17100000000000001</v>
      </c>
      <c r="AH1633" s="45">
        <f t="shared" si="141"/>
        <v>0</v>
      </c>
      <c r="AJ1633" s="44">
        <f t="shared" si="138"/>
        <v>1.659</v>
      </c>
      <c r="AP1633" s="46">
        <f t="shared" si="139"/>
        <v>0.17100000000000001</v>
      </c>
    </row>
    <row r="1634" spans="19:42" ht="18">
      <c r="S1634" s="8">
        <f t="shared" si="140"/>
        <v>0</v>
      </c>
      <c r="W1634" s="3">
        <v>1660</v>
      </c>
      <c r="X1634" s="30">
        <v>171</v>
      </c>
      <c r="Y1634" s="33">
        <f t="shared" si="137"/>
        <v>0.17100000000000001</v>
      </c>
      <c r="AH1634" s="45">
        <f t="shared" si="141"/>
        <v>0</v>
      </c>
      <c r="AJ1634" s="44">
        <f t="shared" si="138"/>
        <v>1.66</v>
      </c>
      <c r="AP1634" s="46">
        <f t="shared" si="139"/>
        <v>0.17100000000000001</v>
      </c>
    </row>
    <row r="1635" spans="19:42" ht="18">
      <c r="S1635" s="8">
        <f t="shared" si="140"/>
        <v>0</v>
      </c>
      <c r="W1635" s="3">
        <v>1661</v>
      </c>
      <c r="X1635" s="30">
        <v>171.05600000000001</v>
      </c>
      <c r="Y1635" s="33">
        <f t="shared" si="137"/>
        <v>0.17100000000000001</v>
      </c>
      <c r="AH1635" s="45">
        <f t="shared" si="141"/>
        <v>0</v>
      </c>
      <c r="AJ1635" s="44">
        <f t="shared" si="138"/>
        <v>1.661</v>
      </c>
      <c r="AP1635" s="46">
        <f t="shared" si="139"/>
        <v>0.17100000000000001</v>
      </c>
    </row>
    <row r="1636" spans="19:42" ht="18">
      <c r="S1636" s="8">
        <f t="shared" si="140"/>
        <v>0</v>
      </c>
      <c r="W1636" s="3">
        <v>1662</v>
      </c>
      <c r="X1636" s="30">
        <v>171.11099999999999</v>
      </c>
      <c r="Y1636" s="33">
        <f t="shared" si="137"/>
        <v>0.17100000000000001</v>
      </c>
      <c r="AH1636" s="45">
        <f t="shared" si="141"/>
        <v>0</v>
      </c>
      <c r="AJ1636" s="44">
        <f t="shared" si="138"/>
        <v>1.6619999999999999</v>
      </c>
      <c r="AP1636" s="46">
        <f t="shared" si="139"/>
        <v>0.17100000000000001</v>
      </c>
    </row>
    <row r="1637" spans="19:42" ht="18">
      <c r="S1637" s="8">
        <f t="shared" si="140"/>
        <v>0</v>
      </c>
      <c r="W1637" s="3">
        <v>1663</v>
      </c>
      <c r="X1637" s="30">
        <v>171.167</v>
      </c>
      <c r="Y1637" s="33">
        <f t="shared" si="137"/>
        <v>0.17100000000000001</v>
      </c>
      <c r="AH1637" s="45">
        <f t="shared" si="141"/>
        <v>0</v>
      </c>
      <c r="AJ1637" s="44">
        <f t="shared" si="138"/>
        <v>1.663</v>
      </c>
      <c r="AP1637" s="46">
        <f t="shared" si="139"/>
        <v>0.17100000000000001</v>
      </c>
    </row>
    <row r="1638" spans="19:42" ht="18">
      <c r="S1638" s="8">
        <f t="shared" si="140"/>
        <v>0</v>
      </c>
      <c r="W1638" s="3">
        <v>1664</v>
      </c>
      <c r="X1638" s="30">
        <v>171.22200000000001</v>
      </c>
      <c r="Y1638" s="33">
        <f t="shared" si="137"/>
        <v>0.17100000000000001</v>
      </c>
      <c r="AH1638" s="45">
        <f t="shared" si="141"/>
        <v>0</v>
      </c>
      <c r="AJ1638" s="44">
        <f t="shared" si="138"/>
        <v>1.6639999999999999</v>
      </c>
      <c r="AP1638" s="46">
        <f t="shared" si="139"/>
        <v>0.17100000000000001</v>
      </c>
    </row>
    <row r="1639" spans="19:42" ht="18">
      <c r="S1639" s="8">
        <f t="shared" si="140"/>
        <v>0</v>
      </c>
      <c r="W1639" s="3">
        <v>1665</v>
      </c>
      <c r="X1639" s="30">
        <v>171.27799999999999</v>
      </c>
      <c r="Y1639" s="33">
        <f t="shared" si="137"/>
        <v>0.17100000000000001</v>
      </c>
      <c r="AH1639" s="45">
        <f t="shared" si="141"/>
        <v>0</v>
      </c>
      <c r="AJ1639" s="44">
        <f t="shared" si="138"/>
        <v>1.665</v>
      </c>
      <c r="AP1639" s="46">
        <f t="shared" si="139"/>
        <v>0.17100000000000001</v>
      </c>
    </row>
    <row r="1640" spans="19:42" ht="18">
      <c r="S1640" s="8">
        <f t="shared" si="140"/>
        <v>0</v>
      </c>
      <c r="W1640" s="3">
        <v>1666</v>
      </c>
      <c r="X1640" s="30">
        <v>171.333</v>
      </c>
      <c r="Y1640" s="33">
        <f t="shared" si="137"/>
        <v>0.17100000000000001</v>
      </c>
      <c r="AH1640" s="45">
        <f t="shared" si="141"/>
        <v>0</v>
      </c>
      <c r="AJ1640" s="44">
        <f t="shared" si="138"/>
        <v>1.6659999999999999</v>
      </c>
      <c r="AP1640" s="46">
        <f t="shared" si="139"/>
        <v>0.17100000000000001</v>
      </c>
    </row>
    <row r="1641" spans="19:42" ht="18">
      <c r="S1641" s="8">
        <f t="shared" si="140"/>
        <v>0</v>
      </c>
      <c r="W1641" s="3">
        <v>1667</v>
      </c>
      <c r="X1641" s="30">
        <v>171.38900000000001</v>
      </c>
      <c r="Y1641" s="33">
        <f t="shared" si="137"/>
        <v>0.17100000000000001</v>
      </c>
      <c r="AH1641" s="45">
        <f t="shared" si="141"/>
        <v>0</v>
      </c>
      <c r="AJ1641" s="44">
        <f t="shared" si="138"/>
        <v>1.667</v>
      </c>
      <c r="AP1641" s="46">
        <f t="shared" si="139"/>
        <v>0.17100000000000001</v>
      </c>
    </row>
    <row r="1642" spans="19:42" ht="18">
      <c r="S1642" s="8">
        <f t="shared" si="140"/>
        <v>0</v>
      </c>
      <c r="W1642" s="3">
        <v>1668</v>
      </c>
      <c r="X1642" s="30">
        <v>171.44399999999999</v>
      </c>
      <c r="Y1642" s="33">
        <f t="shared" si="137"/>
        <v>0.17100000000000001</v>
      </c>
      <c r="AH1642" s="45">
        <f t="shared" si="141"/>
        <v>0</v>
      </c>
      <c r="AJ1642" s="44">
        <f t="shared" si="138"/>
        <v>1.6679999999999999</v>
      </c>
      <c r="AP1642" s="46">
        <f t="shared" si="139"/>
        <v>0.17100000000000001</v>
      </c>
    </row>
    <row r="1643" spans="19:42" ht="18">
      <c r="S1643" s="8">
        <f t="shared" si="140"/>
        <v>0</v>
      </c>
      <c r="W1643" s="3">
        <v>1669</v>
      </c>
      <c r="X1643" s="30">
        <v>171.5</v>
      </c>
      <c r="Y1643" s="33">
        <f t="shared" si="137"/>
        <v>0.17199999999999999</v>
      </c>
      <c r="AH1643" s="45">
        <f t="shared" si="141"/>
        <v>0</v>
      </c>
      <c r="AJ1643" s="44">
        <f t="shared" si="138"/>
        <v>1.669</v>
      </c>
      <c r="AP1643" s="46">
        <f t="shared" si="139"/>
        <v>0.17199999999999999</v>
      </c>
    </row>
    <row r="1644" spans="19:42" ht="18">
      <c r="S1644" s="8">
        <f t="shared" si="140"/>
        <v>0</v>
      </c>
      <c r="W1644" s="3">
        <v>1670</v>
      </c>
      <c r="X1644" s="30">
        <v>171.55600000000001</v>
      </c>
      <c r="Y1644" s="33">
        <f t="shared" si="137"/>
        <v>0.17199999999999999</v>
      </c>
      <c r="AH1644" s="45">
        <f t="shared" si="141"/>
        <v>0</v>
      </c>
      <c r="AJ1644" s="44">
        <f t="shared" si="138"/>
        <v>1.67</v>
      </c>
      <c r="AP1644" s="46">
        <f t="shared" si="139"/>
        <v>0.17199999999999999</v>
      </c>
    </row>
    <row r="1645" spans="19:42" ht="18">
      <c r="S1645" s="8">
        <f t="shared" si="140"/>
        <v>0</v>
      </c>
      <c r="W1645" s="3">
        <v>1671</v>
      </c>
      <c r="X1645" s="30">
        <v>171.61099999999999</v>
      </c>
      <c r="Y1645" s="33">
        <f t="shared" si="137"/>
        <v>0.17199999999999999</v>
      </c>
      <c r="AH1645" s="45">
        <f t="shared" si="141"/>
        <v>0</v>
      </c>
      <c r="AJ1645" s="44">
        <f t="shared" si="138"/>
        <v>1.671</v>
      </c>
      <c r="AP1645" s="46">
        <f t="shared" si="139"/>
        <v>0.17199999999999999</v>
      </c>
    </row>
    <row r="1646" spans="19:42" ht="18">
      <c r="S1646" s="8">
        <f t="shared" si="140"/>
        <v>0</v>
      </c>
      <c r="W1646" s="3">
        <v>1672</v>
      </c>
      <c r="X1646" s="30">
        <v>171.667</v>
      </c>
      <c r="Y1646" s="33">
        <f t="shared" si="137"/>
        <v>0.17199999999999999</v>
      </c>
      <c r="AH1646" s="45">
        <f t="shared" si="141"/>
        <v>0</v>
      </c>
      <c r="AJ1646" s="44">
        <f t="shared" si="138"/>
        <v>1.6719999999999999</v>
      </c>
      <c r="AP1646" s="46">
        <f t="shared" si="139"/>
        <v>0.17199999999999999</v>
      </c>
    </row>
    <row r="1647" spans="19:42" ht="18">
      <c r="S1647" s="8">
        <f t="shared" si="140"/>
        <v>0</v>
      </c>
      <c r="W1647" s="3">
        <v>1673</v>
      </c>
      <c r="X1647" s="30">
        <v>171.72200000000001</v>
      </c>
      <c r="Y1647" s="33">
        <f t="shared" si="137"/>
        <v>0.17199999999999999</v>
      </c>
      <c r="AH1647" s="45">
        <f t="shared" si="141"/>
        <v>0</v>
      </c>
      <c r="AJ1647" s="44">
        <f t="shared" si="138"/>
        <v>1.673</v>
      </c>
      <c r="AP1647" s="46">
        <f t="shared" si="139"/>
        <v>0.17199999999999999</v>
      </c>
    </row>
    <row r="1648" spans="19:42" ht="18">
      <c r="S1648" s="8">
        <f t="shared" si="140"/>
        <v>0</v>
      </c>
      <c r="W1648" s="3">
        <v>1674</v>
      </c>
      <c r="X1648" s="30">
        <v>171.77799999999999</v>
      </c>
      <c r="Y1648" s="33">
        <f t="shared" si="137"/>
        <v>0.17199999999999999</v>
      </c>
      <c r="AH1648" s="45">
        <f t="shared" si="141"/>
        <v>0</v>
      </c>
      <c r="AJ1648" s="44">
        <f t="shared" si="138"/>
        <v>1.6739999999999999</v>
      </c>
      <c r="AP1648" s="46">
        <f t="shared" si="139"/>
        <v>0.17199999999999999</v>
      </c>
    </row>
    <row r="1649" spans="19:42" ht="18">
      <c r="S1649" s="8">
        <f t="shared" si="140"/>
        <v>0</v>
      </c>
      <c r="W1649" s="3">
        <v>1675</v>
      </c>
      <c r="X1649" s="30">
        <v>171.833</v>
      </c>
      <c r="Y1649" s="33">
        <f t="shared" si="137"/>
        <v>0.17199999999999999</v>
      </c>
      <c r="AH1649" s="45">
        <f t="shared" si="141"/>
        <v>0</v>
      </c>
      <c r="AJ1649" s="44">
        <f t="shared" si="138"/>
        <v>1.675</v>
      </c>
      <c r="AP1649" s="46">
        <f t="shared" si="139"/>
        <v>0.17199999999999999</v>
      </c>
    </row>
    <row r="1650" spans="19:42" ht="18">
      <c r="S1650" s="8">
        <f t="shared" si="140"/>
        <v>0</v>
      </c>
      <c r="W1650" s="3">
        <v>1676</v>
      </c>
      <c r="X1650" s="30">
        <v>171.88900000000001</v>
      </c>
      <c r="Y1650" s="33">
        <f t="shared" si="137"/>
        <v>0.17199999999999999</v>
      </c>
      <c r="AH1650" s="45">
        <f t="shared" si="141"/>
        <v>0</v>
      </c>
      <c r="AJ1650" s="44">
        <f t="shared" si="138"/>
        <v>1.6759999999999999</v>
      </c>
      <c r="AP1650" s="46">
        <f t="shared" si="139"/>
        <v>0.17199999999999999</v>
      </c>
    </row>
    <row r="1651" spans="19:42" ht="18">
      <c r="S1651" s="8">
        <f t="shared" si="140"/>
        <v>0</v>
      </c>
      <c r="W1651" s="3">
        <v>1677</v>
      </c>
      <c r="X1651" s="30">
        <v>171.94399999999999</v>
      </c>
      <c r="Y1651" s="33">
        <f t="shared" si="137"/>
        <v>0.17199999999999999</v>
      </c>
      <c r="AH1651" s="45">
        <f t="shared" si="141"/>
        <v>0</v>
      </c>
      <c r="AJ1651" s="44">
        <f t="shared" si="138"/>
        <v>1.677</v>
      </c>
      <c r="AP1651" s="46">
        <f t="shared" si="139"/>
        <v>0.17199999999999999</v>
      </c>
    </row>
    <row r="1652" spans="19:42" ht="18">
      <c r="S1652" s="8">
        <f t="shared" si="140"/>
        <v>0</v>
      </c>
      <c r="W1652" s="3">
        <v>1678</v>
      </c>
      <c r="X1652" s="30">
        <v>172</v>
      </c>
      <c r="Y1652" s="33">
        <f t="shared" si="137"/>
        <v>0.17199999999999999</v>
      </c>
      <c r="AH1652" s="45">
        <f t="shared" si="141"/>
        <v>0</v>
      </c>
      <c r="AJ1652" s="44">
        <f t="shared" si="138"/>
        <v>1.6779999999999999</v>
      </c>
      <c r="AP1652" s="46">
        <f t="shared" si="139"/>
        <v>0.17199999999999999</v>
      </c>
    </row>
    <row r="1653" spans="19:42" ht="18">
      <c r="S1653" s="8">
        <f t="shared" si="140"/>
        <v>0</v>
      </c>
      <c r="W1653" s="3">
        <v>1679</v>
      </c>
      <c r="X1653" s="30">
        <v>172.05600000000001</v>
      </c>
      <c r="Y1653" s="33">
        <f t="shared" si="137"/>
        <v>0.17199999999999999</v>
      </c>
      <c r="AH1653" s="45">
        <f t="shared" si="141"/>
        <v>0</v>
      </c>
      <c r="AJ1653" s="44">
        <f t="shared" si="138"/>
        <v>1.679</v>
      </c>
      <c r="AP1653" s="46">
        <f t="shared" si="139"/>
        <v>0.17199999999999999</v>
      </c>
    </row>
    <row r="1654" spans="19:42" ht="18">
      <c r="S1654" s="8">
        <f t="shared" si="140"/>
        <v>0</v>
      </c>
      <c r="W1654" s="3">
        <v>1680</v>
      </c>
      <c r="X1654" s="30">
        <v>172.11099999999999</v>
      </c>
      <c r="Y1654" s="33">
        <f t="shared" si="137"/>
        <v>0.17199999999999999</v>
      </c>
      <c r="AH1654" s="45">
        <f t="shared" si="141"/>
        <v>0</v>
      </c>
      <c r="AJ1654" s="44">
        <f t="shared" si="138"/>
        <v>1.68</v>
      </c>
      <c r="AP1654" s="46">
        <f t="shared" si="139"/>
        <v>0.17199999999999999</v>
      </c>
    </row>
    <row r="1655" spans="19:42" ht="18">
      <c r="S1655" s="8">
        <f t="shared" si="140"/>
        <v>0</v>
      </c>
      <c r="W1655" s="3">
        <v>1681</v>
      </c>
      <c r="X1655" s="30">
        <v>172.167</v>
      </c>
      <c r="Y1655" s="33">
        <f t="shared" si="137"/>
        <v>0.17199999999999999</v>
      </c>
      <c r="AH1655" s="45">
        <f t="shared" si="141"/>
        <v>0</v>
      </c>
      <c r="AJ1655" s="44">
        <f t="shared" si="138"/>
        <v>1.681</v>
      </c>
      <c r="AP1655" s="46">
        <f t="shared" si="139"/>
        <v>0.17199999999999999</v>
      </c>
    </row>
    <row r="1656" spans="19:42" ht="18">
      <c r="S1656" s="8">
        <f t="shared" si="140"/>
        <v>0</v>
      </c>
      <c r="W1656" s="3">
        <v>1682</v>
      </c>
      <c r="X1656" s="30">
        <v>172.22200000000001</v>
      </c>
      <c r="Y1656" s="33">
        <f t="shared" si="137"/>
        <v>0.17199999999999999</v>
      </c>
      <c r="AH1656" s="45">
        <f t="shared" si="141"/>
        <v>0</v>
      </c>
      <c r="AJ1656" s="44">
        <f t="shared" si="138"/>
        <v>1.6819999999999999</v>
      </c>
      <c r="AP1656" s="46">
        <f t="shared" si="139"/>
        <v>0.17199999999999999</v>
      </c>
    </row>
    <row r="1657" spans="19:42" ht="18">
      <c r="S1657" s="8">
        <f t="shared" si="140"/>
        <v>0</v>
      </c>
      <c r="W1657" s="3">
        <v>1683</v>
      </c>
      <c r="X1657" s="30">
        <v>172.27799999999999</v>
      </c>
      <c r="Y1657" s="33">
        <f t="shared" si="137"/>
        <v>0.17199999999999999</v>
      </c>
      <c r="AH1657" s="45">
        <f t="shared" si="141"/>
        <v>0</v>
      </c>
      <c r="AJ1657" s="44">
        <f t="shared" si="138"/>
        <v>1.6830000000000001</v>
      </c>
      <c r="AP1657" s="46">
        <f t="shared" si="139"/>
        <v>0.17199999999999999</v>
      </c>
    </row>
    <row r="1658" spans="19:42" ht="18">
      <c r="S1658" s="8">
        <f t="shared" si="140"/>
        <v>0</v>
      </c>
      <c r="W1658" s="3">
        <v>1684</v>
      </c>
      <c r="X1658" s="30">
        <v>172.333</v>
      </c>
      <c r="Y1658" s="33">
        <f t="shared" si="137"/>
        <v>0.17199999999999999</v>
      </c>
      <c r="AH1658" s="45">
        <f t="shared" si="141"/>
        <v>0</v>
      </c>
      <c r="AJ1658" s="44">
        <f t="shared" si="138"/>
        <v>1.6839999999999999</v>
      </c>
      <c r="AP1658" s="46">
        <f t="shared" si="139"/>
        <v>0.17199999999999999</v>
      </c>
    </row>
    <row r="1659" spans="19:42" ht="18">
      <c r="S1659" s="8">
        <f t="shared" si="140"/>
        <v>0</v>
      </c>
      <c r="W1659" s="3">
        <v>1685</v>
      </c>
      <c r="X1659" s="30">
        <v>172.38900000000001</v>
      </c>
      <c r="Y1659" s="33">
        <f t="shared" si="137"/>
        <v>0.17199999999999999</v>
      </c>
      <c r="AH1659" s="45">
        <f t="shared" si="141"/>
        <v>0</v>
      </c>
      <c r="AJ1659" s="44">
        <f t="shared" si="138"/>
        <v>1.6850000000000001</v>
      </c>
      <c r="AP1659" s="46">
        <f t="shared" si="139"/>
        <v>0.17199999999999999</v>
      </c>
    </row>
    <row r="1660" spans="19:42" ht="18">
      <c r="S1660" s="8">
        <f t="shared" si="140"/>
        <v>0</v>
      </c>
      <c r="W1660" s="3">
        <v>1686</v>
      </c>
      <c r="X1660" s="30">
        <v>172.44399999999999</v>
      </c>
      <c r="Y1660" s="33">
        <f t="shared" si="137"/>
        <v>0.17199999999999999</v>
      </c>
      <c r="AH1660" s="45">
        <f t="shared" si="141"/>
        <v>0</v>
      </c>
      <c r="AJ1660" s="44">
        <f t="shared" si="138"/>
        <v>1.6859999999999999</v>
      </c>
      <c r="AP1660" s="46">
        <f t="shared" si="139"/>
        <v>0.17199999999999999</v>
      </c>
    </row>
    <row r="1661" spans="19:42" ht="18">
      <c r="S1661" s="8">
        <f t="shared" si="140"/>
        <v>0</v>
      </c>
      <c r="W1661" s="3">
        <v>1687</v>
      </c>
      <c r="X1661" s="30">
        <v>172.5</v>
      </c>
      <c r="Y1661" s="33">
        <f t="shared" si="137"/>
        <v>0.17299999999999999</v>
      </c>
      <c r="AH1661" s="45">
        <f t="shared" si="141"/>
        <v>0</v>
      </c>
      <c r="AJ1661" s="44">
        <f t="shared" si="138"/>
        <v>1.6870000000000001</v>
      </c>
      <c r="AP1661" s="46">
        <f t="shared" si="139"/>
        <v>0.17299999999999999</v>
      </c>
    </row>
    <row r="1662" spans="19:42" ht="18">
      <c r="S1662" s="8">
        <f t="shared" si="140"/>
        <v>0</v>
      </c>
      <c r="W1662" s="3">
        <v>1688</v>
      </c>
      <c r="X1662" s="30">
        <v>172.55600000000001</v>
      </c>
      <c r="Y1662" s="33">
        <f t="shared" si="137"/>
        <v>0.17299999999999999</v>
      </c>
      <c r="AH1662" s="45">
        <f t="shared" si="141"/>
        <v>0</v>
      </c>
      <c r="AJ1662" s="44">
        <f t="shared" si="138"/>
        <v>1.6879999999999999</v>
      </c>
      <c r="AP1662" s="46">
        <f t="shared" si="139"/>
        <v>0.17299999999999999</v>
      </c>
    </row>
    <row r="1663" spans="19:42" ht="18">
      <c r="S1663" s="8">
        <f t="shared" si="140"/>
        <v>0</v>
      </c>
      <c r="W1663" s="3">
        <v>1689</v>
      </c>
      <c r="X1663" s="30">
        <v>172.61099999999999</v>
      </c>
      <c r="Y1663" s="33">
        <f t="shared" si="137"/>
        <v>0.17299999999999999</v>
      </c>
      <c r="AH1663" s="45">
        <f t="shared" si="141"/>
        <v>0</v>
      </c>
      <c r="AJ1663" s="44">
        <f t="shared" si="138"/>
        <v>1.6890000000000001</v>
      </c>
      <c r="AP1663" s="46">
        <f t="shared" si="139"/>
        <v>0.17299999999999999</v>
      </c>
    </row>
    <row r="1664" spans="19:42" ht="18">
      <c r="S1664" s="8">
        <f t="shared" si="140"/>
        <v>0</v>
      </c>
      <c r="W1664" s="3">
        <v>1690</v>
      </c>
      <c r="X1664" s="30">
        <v>172.667</v>
      </c>
      <c r="Y1664" s="33">
        <f t="shared" si="137"/>
        <v>0.17299999999999999</v>
      </c>
      <c r="AH1664" s="45">
        <f t="shared" si="141"/>
        <v>0</v>
      </c>
      <c r="AJ1664" s="44">
        <f t="shared" si="138"/>
        <v>1.69</v>
      </c>
      <c r="AP1664" s="46">
        <f t="shared" si="139"/>
        <v>0.17299999999999999</v>
      </c>
    </row>
    <row r="1665" spans="19:42" ht="18">
      <c r="S1665" s="8">
        <f t="shared" si="140"/>
        <v>0</v>
      </c>
      <c r="W1665" s="3">
        <v>1691</v>
      </c>
      <c r="X1665" s="30">
        <v>172.72200000000001</v>
      </c>
      <c r="Y1665" s="33">
        <f t="shared" si="137"/>
        <v>0.17299999999999999</v>
      </c>
      <c r="AH1665" s="45">
        <f t="shared" si="141"/>
        <v>0</v>
      </c>
      <c r="AJ1665" s="44">
        <f t="shared" si="138"/>
        <v>1.6910000000000001</v>
      </c>
      <c r="AP1665" s="46">
        <f t="shared" si="139"/>
        <v>0.17299999999999999</v>
      </c>
    </row>
    <row r="1666" spans="19:42" ht="18">
      <c r="S1666" s="8">
        <f t="shared" si="140"/>
        <v>0</v>
      </c>
      <c r="W1666" s="3">
        <v>1692</v>
      </c>
      <c r="X1666" s="30">
        <v>172.77799999999999</v>
      </c>
      <c r="Y1666" s="33">
        <f t="shared" si="137"/>
        <v>0.17299999999999999</v>
      </c>
      <c r="AH1666" s="45">
        <f t="shared" si="141"/>
        <v>0</v>
      </c>
      <c r="AJ1666" s="44">
        <f t="shared" si="138"/>
        <v>1.6919999999999999</v>
      </c>
      <c r="AP1666" s="46">
        <f t="shared" si="139"/>
        <v>0.17299999999999999</v>
      </c>
    </row>
    <row r="1667" spans="19:42" ht="18">
      <c r="S1667" s="8">
        <f t="shared" si="140"/>
        <v>0</v>
      </c>
      <c r="W1667" s="3">
        <v>1693</v>
      </c>
      <c r="X1667" s="30">
        <v>172.833</v>
      </c>
      <c r="Y1667" s="33">
        <f t="shared" si="137"/>
        <v>0.17299999999999999</v>
      </c>
      <c r="AH1667" s="45">
        <f t="shared" si="141"/>
        <v>0</v>
      </c>
      <c r="AJ1667" s="44">
        <f t="shared" si="138"/>
        <v>1.6930000000000001</v>
      </c>
      <c r="AP1667" s="46">
        <f t="shared" si="139"/>
        <v>0.17299999999999999</v>
      </c>
    </row>
    <row r="1668" spans="19:42" ht="18">
      <c r="S1668" s="8">
        <f t="shared" si="140"/>
        <v>0</v>
      </c>
      <c r="W1668" s="3">
        <v>1694</v>
      </c>
      <c r="X1668" s="30">
        <v>172.88900000000001</v>
      </c>
      <c r="Y1668" s="33">
        <f t="shared" si="137"/>
        <v>0.17299999999999999</v>
      </c>
      <c r="AH1668" s="45">
        <f t="shared" si="141"/>
        <v>0</v>
      </c>
      <c r="AJ1668" s="44">
        <f t="shared" si="138"/>
        <v>1.694</v>
      </c>
      <c r="AP1668" s="46">
        <f t="shared" si="139"/>
        <v>0.17299999999999999</v>
      </c>
    </row>
    <row r="1669" spans="19:42" ht="18">
      <c r="S1669" s="8">
        <f t="shared" si="140"/>
        <v>0</v>
      </c>
      <c r="W1669" s="3">
        <v>1695</v>
      </c>
      <c r="X1669" s="30">
        <v>172.94399999999999</v>
      </c>
      <c r="Y1669" s="33">
        <f t="shared" ref="Y1669:Y1732" si="142">ROUND(X1669/1000,3)</f>
        <v>0.17299999999999999</v>
      </c>
      <c r="AH1669" s="45">
        <f t="shared" si="141"/>
        <v>0</v>
      </c>
      <c r="AJ1669" s="44">
        <f t="shared" ref="AJ1669:AJ1732" si="143">ROUND(W1669/1000,3)</f>
        <v>1.6950000000000001</v>
      </c>
      <c r="AP1669" s="46">
        <f t="shared" ref="AP1669:AP1732" si="144">ROUND(X1669/1000,3)</f>
        <v>0.17299999999999999</v>
      </c>
    </row>
    <row r="1670" spans="19:42" ht="18">
      <c r="S1670" s="8">
        <f t="shared" ref="S1670:S1733" si="145">CEILING(R1670/50,0.5)</f>
        <v>0</v>
      </c>
      <c r="W1670" s="3">
        <v>1696</v>
      </c>
      <c r="X1670" s="30">
        <v>173</v>
      </c>
      <c r="Y1670" s="33">
        <f t="shared" si="142"/>
        <v>0.17299999999999999</v>
      </c>
      <c r="AH1670" s="45">
        <f t="shared" ref="AH1670:AH1733" si="146">AE1670-AE1669</f>
        <v>0</v>
      </c>
      <c r="AJ1670" s="44">
        <f t="shared" si="143"/>
        <v>1.696</v>
      </c>
      <c r="AP1670" s="46">
        <f t="shared" si="144"/>
        <v>0.17299999999999999</v>
      </c>
    </row>
    <row r="1671" spans="19:42" ht="18">
      <c r="S1671" s="8">
        <f t="shared" si="145"/>
        <v>0</v>
      </c>
      <c r="W1671" s="3">
        <v>1697</v>
      </c>
      <c r="X1671" s="30">
        <v>173.05600000000001</v>
      </c>
      <c r="Y1671" s="33">
        <f t="shared" si="142"/>
        <v>0.17299999999999999</v>
      </c>
      <c r="AH1671" s="45">
        <f t="shared" si="146"/>
        <v>0</v>
      </c>
      <c r="AJ1671" s="44">
        <f t="shared" si="143"/>
        <v>1.6970000000000001</v>
      </c>
      <c r="AP1671" s="46">
        <f t="shared" si="144"/>
        <v>0.17299999999999999</v>
      </c>
    </row>
    <row r="1672" spans="19:42" ht="18">
      <c r="S1672" s="8">
        <f t="shared" si="145"/>
        <v>0</v>
      </c>
      <c r="W1672" s="3">
        <v>1698</v>
      </c>
      <c r="X1672" s="30">
        <v>173.11099999999999</v>
      </c>
      <c r="Y1672" s="33">
        <f t="shared" si="142"/>
        <v>0.17299999999999999</v>
      </c>
      <c r="AH1672" s="45">
        <f t="shared" si="146"/>
        <v>0</v>
      </c>
      <c r="AJ1672" s="44">
        <f t="shared" si="143"/>
        <v>1.698</v>
      </c>
      <c r="AP1672" s="46">
        <f t="shared" si="144"/>
        <v>0.17299999999999999</v>
      </c>
    </row>
    <row r="1673" spans="19:42" ht="18">
      <c r="S1673" s="8">
        <f t="shared" si="145"/>
        <v>0</v>
      </c>
      <c r="W1673" s="3">
        <v>1699</v>
      </c>
      <c r="X1673" s="30">
        <v>173.167</v>
      </c>
      <c r="Y1673" s="33">
        <f t="shared" si="142"/>
        <v>0.17299999999999999</v>
      </c>
      <c r="AH1673" s="45">
        <f t="shared" si="146"/>
        <v>0</v>
      </c>
      <c r="AJ1673" s="44">
        <f t="shared" si="143"/>
        <v>1.6990000000000001</v>
      </c>
      <c r="AP1673" s="46">
        <f t="shared" si="144"/>
        <v>0.17299999999999999</v>
      </c>
    </row>
    <row r="1674" spans="19:42" ht="18">
      <c r="S1674" s="8">
        <f t="shared" si="145"/>
        <v>0</v>
      </c>
      <c r="W1674" s="3">
        <v>1700</v>
      </c>
      <c r="X1674" s="30">
        <v>173.22200000000001</v>
      </c>
      <c r="Y1674" s="33">
        <f t="shared" si="142"/>
        <v>0.17299999999999999</v>
      </c>
      <c r="AH1674" s="45">
        <f t="shared" si="146"/>
        <v>0</v>
      </c>
      <c r="AJ1674" s="44">
        <f t="shared" si="143"/>
        <v>1.7</v>
      </c>
      <c r="AP1674" s="46">
        <f t="shared" si="144"/>
        <v>0.17299999999999999</v>
      </c>
    </row>
    <row r="1675" spans="19:42" ht="18">
      <c r="S1675" s="8">
        <f t="shared" si="145"/>
        <v>0</v>
      </c>
      <c r="W1675" s="3">
        <v>1701</v>
      </c>
      <c r="X1675" s="30">
        <v>173.27799999999999</v>
      </c>
      <c r="Y1675" s="33">
        <f t="shared" si="142"/>
        <v>0.17299999999999999</v>
      </c>
      <c r="AH1675" s="45">
        <f t="shared" si="146"/>
        <v>0</v>
      </c>
      <c r="AJ1675" s="44">
        <f t="shared" si="143"/>
        <v>1.7010000000000001</v>
      </c>
      <c r="AP1675" s="46">
        <f t="shared" si="144"/>
        <v>0.17299999999999999</v>
      </c>
    </row>
    <row r="1676" spans="19:42" ht="18">
      <c r="S1676" s="8">
        <f t="shared" si="145"/>
        <v>0</v>
      </c>
      <c r="W1676" s="3">
        <v>1702</v>
      </c>
      <c r="X1676" s="30">
        <v>173.333</v>
      </c>
      <c r="Y1676" s="33">
        <f t="shared" si="142"/>
        <v>0.17299999999999999</v>
      </c>
      <c r="AH1676" s="45">
        <f t="shared" si="146"/>
        <v>0</v>
      </c>
      <c r="AJ1676" s="44">
        <f t="shared" si="143"/>
        <v>1.702</v>
      </c>
      <c r="AP1676" s="46">
        <f t="shared" si="144"/>
        <v>0.17299999999999999</v>
      </c>
    </row>
    <row r="1677" spans="19:42" ht="18">
      <c r="S1677" s="8">
        <f t="shared" si="145"/>
        <v>0</v>
      </c>
      <c r="W1677" s="3">
        <v>1703</v>
      </c>
      <c r="X1677" s="30">
        <v>173.38900000000001</v>
      </c>
      <c r="Y1677" s="33">
        <f t="shared" si="142"/>
        <v>0.17299999999999999</v>
      </c>
      <c r="AH1677" s="45">
        <f t="shared" si="146"/>
        <v>0</v>
      </c>
      <c r="AJ1677" s="44">
        <f t="shared" si="143"/>
        <v>1.7030000000000001</v>
      </c>
      <c r="AP1677" s="46">
        <f t="shared" si="144"/>
        <v>0.17299999999999999</v>
      </c>
    </row>
    <row r="1678" spans="19:42" ht="18">
      <c r="S1678" s="8">
        <f t="shared" si="145"/>
        <v>0</v>
      </c>
      <c r="W1678" s="3">
        <v>1704</v>
      </c>
      <c r="X1678" s="30">
        <v>173.44399999999999</v>
      </c>
      <c r="Y1678" s="33">
        <f t="shared" si="142"/>
        <v>0.17299999999999999</v>
      </c>
      <c r="AH1678" s="45">
        <f t="shared" si="146"/>
        <v>0</v>
      </c>
      <c r="AJ1678" s="44">
        <f t="shared" si="143"/>
        <v>1.704</v>
      </c>
      <c r="AP1678" s="46">
        <f t="shared" si="144"/>
        <v>0.17299999999999999</v>
      </c>
    </row>
    <row r="1679" spans="19:42" ht="18">
      <c r="S1679" s="8">
        <f t="shared" si="145"/>
        <v>0</v>
      </c>
      <c r="W1679" s="3">
        <v>1705</v>
      </c>
      <c r="X1679" s="30">
        <v>173.5</v>
      </c>
      <c r="Y1679" s="33">
        <f t="shared" si="142"/>
        <v>0.17399999999999999</v>
      </c>
      <c r="AH1679" s="45">
        <f t="shared" si="146"/>
        <v>0</v>
      </c>
      <c r="AJ1679" s="44">
        <f t="shared" si="143"/>
        <v>1.7050000000000001</v>
      </c>
      <c r="AP1679" s="46">
        <f t="shared" si="144"/>
        <v>0.17399999999999999</v>
      </c>
    </row>
    <row r="1680" spans="19:42" ht="18">
      <c r="S1680" s="8">
        <f t="shared" si="145"/>
        <v>0</v>
      </c>
      <c r="W1680" s="3">
        <v>1706</v>
      </c>
      <c r="X1680" s="30">
        <v>173.55600000000001</v>
      </c>
      <c r="Y1680" s="33">
        <f t="shared" si="142"/>
        <v>0.17399999999999999</v>
      </c>
      <c r="AH1680" s="45">
        <f t="shared" si="146"/>
        <v>0</v>
      </c>
      <c r="AJ1680" s="44">
        <f t="shared" si="143"/>
        <v>1.706</v>
      </c>
      <c r="AP1680" s="46">
        <f t="shared" si="144"/>
        <v>0.17399999999999999</v>
      </c>
    </row>
    <row r="1681" spans="19:42" ht="18">
      <c r="S1681" s="8">
        <f t="shared" si="145"/>
        <v>0</v>
      </c>
      <c r="W1681" s="3">
        <v>1707</v>
      </c>
      <c r="X1681" s="30">
        <v>173.61099999999999</v>
      </c>
      <c r="Y1681" s="33">
        <f t="shared" si="142"/>
        <v>0.17399999999999999</v>
      </c>
      <c r="AH1681" s="45">
        <f t="shared" si="146"/>
        <v>0</v>
      </c>
      <c r="AJ1681" s="44">
        <f t="shared" si="143"/>
        <v>1.7070000000000001</v>
      </c>
      <c r="AP1681" s="46">
        <f t="shared" si="144"/>
        <v>0.17399999999999999</v>
      </c>
    </row>
    <row r="1682" spans="19:42" ht="18">
      <c r="S1682" s="8">
        <f t="shared" si="145"/>
        <v>0</v>
      </c>
      <c r="W1682" s="3">
        <v>1708</v>
      </c>
      <c r="X1682" s="30">
        <v>173.667</v>
      </c>
      <c r="Y1682" s="33">
        <f t="shared" si="142"/>
        <v>0.17399999999999999</v>
      </c>
      <c r="AH1682" s="45">
        <f t="shared" si="146"/>
        <v>0</v>
      </c>
      <c r="AJ1682" s="44">
        <f t="shared" si="143"/>
        <v>1.708</v>
      </c>
      <c r="AP1682" s="46">
        <f t="shared" si="144"/>
        <v>0.17399999999999999</v>
      </c>
    </row>
    <row r="1683" spans="19:42" ht="18">
      <c r="S1683" s="8">
        <f t="shared" si="145"/>
        <v>0</v>
      </c>
      <c r="W1683" s="3">
        <v>1709</v>
      </c>
      <c r="X1683" s="30">
        <v>173.72200000000001</v>
      </c>
      <c r="Y1683" s="33">
        <f t="shared" si="142"/>
        <v>0.17399999999999999</v>
      </c>
      <c r="AH1683" s="45">
        <f t="shared" si="146"/>
        <v>0</v>
      </c>
      <c r="AJ1683" s="44">
        <f t="shared" si="143"/>
        <v>1.7090000000000001</v>
      </c>
      <c r="AP1683" s="46">
        <f t="shared" si="144"/>
        <v>0.17399999999999999</v>
      </c>
    </row>
    <row r="1684" spans="19:42" ht="18">
      <c r="S1684" s="8">
        <f t="shared" si="145"/>
        <v>0</v>
      </c>
      <c r="W1684" s="3">
        <v>1710</v>
      </c>
      <c r="X1684" s="30">
        <v>173.77799999999999</v>
      </c>
      <c r="Y1684" s="33">
        <f t="shared" si="142"/>
        <v>0.17399999999999999</v>
      </c>
      <c r="AH1684" s="45">
        <f t="shared" si="146"/>
        <v>0</v>
      </c>
      <c r="AJ1684" s="44">
        <f t="shared" si="143"/>
        <v>1.71</v>
      </c>
      <c r="AP1684" s="46">
        <f t="shared" si="144"/>
        <v>0.17399999999999999</v>
      </c>
    </row>
    <row r="1685" spans="19:42" ht="18">
      <c r="S1685" s="8">
        <f t="shared" si="145"/>
        <v>0</v>
      </c>
      <c r="W1685" s="3">
        <v>1711</v>
      </c>
      <c r="X1685" s="30">
        <v>173.833</v>
      </c>
      <c r="Y1685" s="33">
        <f t="shared" si="142"/>
        <v>0.17399999999999999</v>
      </c>
      <c r="AH1685" s="45">
        <f t="shared" si="146"/>
        <v>0</v>
      </c>
      <c r="AJ1685" s="44">
        <f t="shared" si="143"/>
        <v>1.7110000000000001</v>
      </c>
      <c r="AP1685" s="46">
        <f t="shared" si="144"/>
        <v>0.17399999999999999</v>
      </c>
    </row>
    <row r="1686" spans="19:42" ht="18">
      <c r="S1686" s="8">
        <f t="shared" si="145"/>
        <v>0</v>
      </c>
      <c r="W1686" s="3">
        <v>1712</v>
      </c>
      <c r="X1686" s="30">
        <v>173.88900000000001</v>
      </c>
      <c r="Y1686" s="33">
        <f t="shared" si="142"/>
        <v>0.17399999999999999</v>
      </c>
      <c r="AH1686" s="45">
        <f t="shared" si="146"/>
        <v>0</v>
      </c>
      <c r="AJ1686" s="44">
        <f t="shared" si="143"/>
        <v>1.712</v>
      </c>
      <c r="AP1686" s="46">
        <f t="shared" si="144"/>
        <v>0.17399999999999999</v>
      </c>
    </row>
    <row r="1687" spans="19:42" ht="18">
      <c r="S1687" s="8">
        <f t="shared" si="145"/>
        <v>0</v>
      </c>
      <c r="W1687" s="3">
        <v>1713</v>
      </c>
      <c r="X1687" s="30">
        <v>173.94399999999999</v>
      </c>
      <c r="Y1687" s="33">
        <f t="shared" si="142"/>
        <v>0.17399999999999999</v>
      </c>
      <c r="AH1687" s="45">
        <f t="shared" si="146"/>
        <v>0</v>
      </c>
      <c r="AJ1687" s="44">
        <f t="shared" si="143"/>
        <v>1.7130000000000001</v>
      </c>
      <c r="AP1687" s="46">
        <f t="shared" si="144"/>
        <v>0.17399999999999999</v>
      </c>
    </row>
    <row r="1688" spans="19:42" ht="18">
      <c r="S1688" s="8">
        <f t="shared" si="145"/>
        <v>0</v>
      </c>
      <c r="W1688" s="3">
        <v>1714</v>
      </c>
      <c r="X1688" s="30">
        <v>174</v>
      </c>
      <c r="Y1688" s="33">
        <f t="shared" si="142"/>
        <v>0.17399999999999999</v>
      </c>
      <c r="AH1688" s="45">
        <f t="shared" si="146"/>
        <v>0</v>
      </c>
      <c r="AJ1688" s="44">
        <f t="shared" si="143"/>
        <v>1.714</v>
      </c>
      <c r="AP1688" s="46">
        <f t="shared" si="144"/>
        <v>0.17399999999999999</v>
      </c>
    </row>
    <row r="1689" spans="19:42" ht="18">
      <c r="S1689" s="8">
        <f t="shared" si="145"/>
        <v>0</v>
      </c>
      <c r="W1689" s="3">
        <v>1715</v>
      </c>
      <c r="X1689" s="30">
        <v>174.05600000000001</v>
      </c>
      <c r="Y1689" s="33">
        <f t="shared" si="142"/>
        <v>0.17399999999999999</v>
      </c>
      <c r="AH1689" s="45">
        <f t="shared" si="146"/>
        <v>0</v>
      </c>
      <c r="AJ1689" s="44">
        <f t="shared" si="143"/>
        <v>1.7150000000000001</v>
      </c>
      <c r="AP1689" s="46">
        <f t="shared" si="144"/>
        <v>0.17399999999999999</v>
      </c>
    </row>
    <row r="1690" spans="19:42" ht="18">
      <c r="S1690" s="8">
        <f t="shared" si="145"/>
        <v>0</v>
      </c>
      <c r="W1690" s="3">
        <v>1716</v>
      </c>
      <c r="X1690" s="30">
        <v>174.11099999999999</v>
      </c>
      <c r="Y1690" s="33">
        <f t="shared" si="142"/>
        <v>0.17399999999999999</v>
      </c>
      <c r="AH1690" s="45">
        <f t="shared" si="146"/>
        <v>0</v>
      </c>
      <c r="AJ1690" s="44">
        <f t="shared" si="143"/>
        <v>1.716</v>
      </c>
      <c r="AP1690" s="46">
        <f t="shared" si="144"/>
        <v>0.17399999999999999</v>
      </c>
    </row>
    <row r="1691" spans="19:42" ht="18">
      <c r="S1691" s="8">
        <f t="shared" si="145"/>
        <v>0</v>
      </c>
      <c r="W1691" s="3">
        <v>1717</v>
      </c>
      <c r="X1691" s="30">
        <v>174.167</v>
      </c>
      <c r="Y1691" s="33">
        <f t="shared" si="142"/>
        <v>0.17399999999999999</v>
      </c>
      <c r="AH1691" s="45">
        <f t="shared" si="146"/>
        <v>0</v>
      </c>
      <c r="AJ1691" s="44">
        <f t="shared" si="143"/>
        <v>1.7170000000000001</v>
      </c>
      <c r="AP1691" s="46">
        <f t="shared" si="144"/>
        <v>0.17399999999999999</v>
      </c>
    </row>
    <row r="1692" spans="19:42" ht="18">
      <c r="S1692" s="8">
        <f t="shared" si="145"/>
        <v>0</v>
      </c>
      <c r="W1692" s="3">
        <v>1718</v>
      </c>
      <c r="X1692" s="30">
        <v>174.22200000000001</v>
      </c>
      <c r="Y1692" s="33">
        <f t="shared" si="142"/>
        <v>0.17399999999999999</v>
      </c>
      <c r="AH1692" s="45">
        <f t="shared" si="146"/>
        <v>0</v>
      </c>
      <c r="AJ1692" s="44">
        <f t="shared" si="143"/>
        <v>1.718</v>
      </c>
      <c r="AP1692" s="46">
        <f t="shared" si="144"/>
        <v>0.17399999999999999</v>
      </c>
    </row>
    <row r="1693" spans="19:42" ht="18">
      <c r="S1693" s="8">
        <f t="shared" si="145"/>
        <v>0</v>
      </c>
      <c r="W1693" s="3">
        <v>1719</v>
      </c>
      <c r="X1693" s="30">
        <v>174.27799999999999</v>
      </c>
      <c r="Y1693" s="33">
        <f t="shared" si="142"/>
        <v>0.17399999999999999</v>
      </c>
      <c r="AH1693" s="45">
        <f t="shared" si="146"/>
        <v>0</v>
      </c>
      <c r="AJ1693" s="44">
        <f t="shared" si="143"/>
        <v>1.7190000000000001</v>
      </c>
      <c r="AP1693" s="46">
        <f t="shared" si="144"/>
        <v>0.17399999999999999</v>
      </c>
    </row>
    <row r="1694" spans="19:42" ht="18">
      <c r="S1694" s="8">
        <f t="shared" si="145"/>
        <v>0</v>
      </c>
      <c r="W1694" s="3">
        <v>1720</v>
      </c>
      <c r="X1694" s="30">
        <v>174.333</v>
      </c>
      <c r="Y1694" s="33">
        <f t="shared" si="142"/>
        <v>0.17399999999999999</v>
      </c>
      <c r="AH1694" s="45">
        <f t="shared" si="146"/>
        <v>0</v>
      </c>
      <c r="AJ1694" s="44">
        <f t="shared" si="143"/>
        <v>1.72</v>
      </c>
      <c r="AP1694" s="46">
        <f t="shared" si="144"/>
        <v>0.17399999999999999</v>
      </c>
    </row>
    <row r="1695" spans="19:42" ht="18">
      <c r="S1695" s="8">
        <f t="shared" si="145"/>
        <v>0</v>
      </c>
      <c r="W1695" s="3">
        <v>1721</v>
      </c>
      <c r="X1695" s="30">
        <v>174.38900000000001</v>
      </c>
      <c r="Y1695" s="33">
        <f t="shared" si="142"/>
        <v>0.17399999999999999</v>
      </c>
      <c r="AH1695" s="45">
        <f t="shared" si="146"/>
        <v>0</v>
      </c>
      <c r="AJ1695" s="44">
        <f t="shared" si="143"/>
        <v>1.7210000000000001</v>
      </c>
      <c r="AP1695" s="46">
        <f t="shared" si="144"/>
        <v>0.17399999999999999</v>
      </c>
    </row>
    <row r="1696" spans="19:42" ht="18">
      <c r="S1696" s="8">
        <f t="shared" si="145"/>
        <v>0</v>
      </c>
      <c r="W1696" s="3">
        <v>1722</v>
      </c>
      <c r="X1696" s="30">
        <v>174.44399999999999</v>
      </c>
      <c r="Y1696" s="33">
        <f t="shared" si="142"/>
        <v>0.17399999999999999</v>
      </c>
      <c r="AH1696" s="45">
        <f t="shared" si="146"/>
        <v>0</v>
      </c>
      <c r="AJ1696" s="44">
        <f t="shared" si="143"/>
        <v>1.722</v>
      </c>
      <c r="AP1696" s="46">
        <f t="shared" si="144"/>
        <v>0.17399999999999999</v>
      </c>
    </row>
    <row r="1697" spans="19:42" ht="18">
      <c r="S1697" s="8">
        <f t="shared" si="145"/>
        <v>0</v>
      </c>
      <c r="W1697" s="3">
        <v>1723</v>
      </c>
      <c r="X1697" s="30">
        <v>174.5</v>
      </c>
      <c r="Y1697" s="33">
        <f t="shared" si="142"/>
        <v>0.17499999999999999</v>
      </c>
      <c r="AH1697" s="45">
        <f t="shared" si="146"/>
        <v>0</v>
      </c>
      <c r="AJ1697" s="44">
        <f t="shared" si="143"/>
        <v>1.7230000000000001</v>
      </c>
      <c r="AP1697" s="46">
        <f t="shared" si="144"/>
        <v>0.17499999999999999</v>
      </c>
    </row>
    <row r="1698" spans="19:42" ht="18">
      <c r="S1698" s="8">
        <f t="shared" si="145"/>
        <v>0</v>
      </c>
      <c r="W1698" s="3">
        <v>1724</v>
      </c>
      <c r="X1698" s="30">
        <v>174.55600000000001</v>
      </c>
      <c r="Y1698" s="33">
        <f t="shared" si="142"/>
        <v>0.17499999999999999</v>
      </c>
      <c r="AH1698" s="45">
        <f t="shared" si="146"/>
        <v>0</v>
      </c>
      <c r="AJ1698" s="44">
        <f t="shared" si="143"/>
        <v>1.724</v>
      </c>
      <c r="AP1698" s="46">
        <f t="shared" si="144"/>
        <v>0.17499999999999999</v>
      </c>
    </row>
    <row r="1699" spans="19:42" ht="18">
      <c r="S1699" s="8">
        <f t="shared" si="145"/>
        <v>0</v>
      </c>
      <c r="W1699" s="3">
        <v>1725</v>
      </c>
      <c r="X1699" s="30">
        <v>174.61099999999999</v>
      </c>
      <c r="Y1699" s="33">
        <f t="shared" si="142"/>
        <v>0.17499999999999999</v>
      </c>
      <c r="AH1699" s="45">
        <f t="shared" si="146"/>
        <v>0</v>
      </c>
      <c r="AJ1699" s="44">
        <f t="shared" si="143"/>
        <v>1.7250000000000001</v>
      </c>
      <c r="AP1699" s="46">
        <f t="shared" si="144"/>
        <v>0.17499999999999999</v>
      </c>
    </row>
    <row r="1700" spans="19:42" ht="18">
      <c r="S1700" s="8">
        <f t="shared" si="145"/>
        <v>0</v>
      </c>
      <c r="W1700" s="3">
        <v>1726</v>
      </c>
      <c r="X1700" s="30">
        <v>174.667</v>
      </c>
      <c r="Y1700" s="33">
        <f t="shared" si="142"/>
        <v>0.17499999999999999</v>
      </c>
      <c r="AH1700" s="45">
        <f t="shared" si="146"/>
        <v>0</v>
      </c>
      <c r="AJ1700" s="44">
        <f t="shared" si="143"/>
        <v>1.726</v>
      </c>
      <c r="AP1700" s="46">
        <f t="shared" si="144"/>
        <v>0.17499999999999999</v>
      </c>
    </row>
    <row r="1701" spans="19:42" ht="18">
      <c r="S1701" s="8">
        <f t="shared" si="145"/>
        <v>0</v>
      </c>
      <c r="W1701" s="3">
        <v>1727</v>
      </c>
      <c r="X1701" s="30">
        <v>174.72200000000001</v>
      </c>
      <c r="Y1701" s="33">
        <f t="shared" si="142"/>
        <v>0.17499999999999999</v>
      </c>
      <c r="AH1701" s="45">
        <f t="shared" si="146"/>
        <v>0</v>
      </c>
      <c r="AJ1701" s="44">
        <f t="shared" si="143"/>
        <v>1.7270000000000001</v>
      </c>
      <c r="AP1701" s="46">
        <f t="shared" si="144"/>
        <v>0.17499999999999999</v>
      </c>
    </row>
    <row r="1702" spans="19:42" ht="18">
      <c r="S1702" s="8">
        <f t="shared" si="145"/>
        <v>0</v>
      </c>
      <c r="W1702" s="3">
        <v>1728</v>
      </c>
      <c r="X1702" s="30">
        <v>174.77799999999999</v>
      </c>
      <c r="Y1702" s="33">
        <f t="shared" si="142"/>
        <v>0.17499999999999999</v>
      </c>
      <c r="AH1702" s="45">
        <f t="shared" si="146"/>
        <v>0</v>
      </c>
      <c r="AJ1702" s="44">
        <f t="shared" si="143"/>
        <v>1.728</v>
      </c>
      <c r="AP1702" s="46">
        <f t="shared" si="144"/>
        <v>0.17499999999999999</v>
      </c>
    </row>
    <row r="1703" spans="19:42" ht="18">
      <c r="S1703" s="8">
        <f t="shared" si="145"/>
        <v>0</v>
      </c>
      <c r="W1703" s="3">
        <v>1729</v>
      </c>
      <c r="X1703" s="30">
        <v>174.833</v>
      </c>
      <c r="Y1703" s="33">
        <f t="shared" si="142"/>
        <v>0.17499999999999999</v>
      </c>
      <c r="AH1703" s="45">
        <f t="shared" si="146"/>
        <v>0</v>
      </c>
      <c r="AJ1703" s="44">
        <f t="shared" si="143"/>
        <v>1.7290000000000001</v>
      </c>
      <c r="AP1703" s="46">
        <f t="shared" si="144"/>
        <v>0.17499999999999999</v>
      </c>
    </row>
    <row r="1704" spans="19:42" ht="18">
      <c r="S1704" s="8">
        <f t="shared" si="145"/>
        <v>0</v>
      </c>
      <c r="W1704" s="3">
        <v>1730</v>
      </c>
      <c r="X1704" s="30">
        <v>174.88900000000001</v>
      </c>
      <c r="Y1704" s="33">
        <f t="shared" si="142"/>
        <v>0.17499999999999999</v>
      </c>
      <c r="AH1704" s="45">
        <f t="shared" si="146"/>
        <v>0</v>
      </c>
      <c r="AJ1704" s="44">
        <f t="shared" si="143"/>
        <v>1.73</v>
      </c>
      <c r="AP1704" s="46">
        <f t="shared" si="144"/>
        <v>0.17499999999999999</v>
      </c>
    </row>
    <row r="1705" spans="19:42" ht="18">
      <c r="S1705" s="8">
        <f t="shared" si="145"/>
        <v>0</v>
      </c>
      <c r="W1705" s="3">
        <v>1731</v>
      </c>
      <c r="X1705" s="30">
        <v>174.94399999999999</v>
      </c>
      <c r="Y1705" s="33">
        <f t="shared" si="142"/>
        <v>0.17499999999999999</v>
      </c>
      <c r="AH1705" s="45">
        <f t="shared" si="146"/>
        <v>0</v>
      </c>
      <c r="AJ1705" s="44">
        <f t="shared" si="143"/>
        <v>1.7310000000000001</v>
      </c>
      <c r="AP1705" s="46">
        <f t="shared" si="144"/>
        <v>0.17499999999999999</v>
      </c>
    </row>
    <row r="1706" spans="19:42" ht="18">
      <c r="S1706" s="8">
        <f t="shared" si="145"/>
        <v>0</v>
      </c>
      <c r="W1706" s="3">
        <v>1732</v>
      </c>
      <c r="X1706" s="30">
        <v>175</v>
      </c>
      <c r="Y1706" s="33">
        <f t="shared" si="142"/>
        <v>0.17499999999999999</v>
      </c>
      <c r="AH1706" s="45">
        <f t="shared" si="146"/>
        <v>0</v>
      </c>
      <c r="AJ1706" s="44">
        <f t="shared" si="143"/>
        <v>1.732</v>
      </c>
      <c r="AP1706" s="46">
        <f t="shared" si="144"/>
        <v>0.17499999999999999</v>
      </c>
    </row>
    <row r="1707" spans="19:42" ht="18">
      <c r="S1707" s="8">
        <f t="shared" si="145"/>
        <v>0</v>
      </c>
      <c r="W1707" s="3">
        <v>1733</v>
      </c>
      <c r="X1707" s="30">
        <v>175.05600000000001</v>
      </c>
      <c r="Y1707" s="33">
        <f t="shared" si="142"/>
        <v>0.17499999999999999</v>
      </c>
      <c r="AH1707" s="45">
        <f t="shared" si="146"/>
        <v>0</v>
      </c>
      <c r="AJ1707" s="44">
        <f t="shared" si="143"/>
        <v>1.7330000000000001</v>
      </c>
      <c r="AP1707" s="46">
        <f t="shared" si="144"/>
        <v>0.17499999999999999</v>
      </c>
    </row>
    <row r="1708" spans="19:42" ht="18">
      <c r="S1708" s="8">
        <f t="shared" si="145"/>
        <v>0</v>
      </c>
      <c r="W1708" s="3">
        <v>1734</v>
      </c>
      <c r="X1708" s="30">
        <v>175.11099999999999</v>
      </c>
      <c r="Y1708" s="33">
        <f t="shared" si="142"/>
        <v>0.17499999999999999</v>
      </c>
      <c r="AH1708" s="45">
        <f t="shared" si="146"/>
        <v>0</v>
      </c>
      <c r="AJ1708" s="44">
        <f t="shared" si="143"/>
        <v>1.734</v>
      </c>
      <c r="AP1708" s="46">
        <f t="shared" si="144"/>
        <v>0.17499999999999999</v>
      </c>
    </row>
    <row r="1709" spans="19:42" ht="18">
      <c r="S1709" s="8">
        <f t="shared" si="145"/>
        <v>0</v>
      </c>
      <c r="W1709" s="3">
        <v>1735</v>
      </c>
      <c r="X1709" s="30">
        <v>175.167</v>
      </c>
      <c r="Y1709" s="33">
        <f t="shared" si="142"/>
        <v>0.17499999999999999</v>
      </c>
      <c r="AH1709" s="45">
        <f t="shared" si="146"/>
        <v>0</v>
      </c>
      <c r="AJ1709" s="44">
        <f t="shared" si="143"/>
        <v>1.7350000000000001</v>
      </c>
      <c r="AP1709" s="46">
        <f t="shared" si="144"/>
        <v>0.17499999999999999</v>
      </c>
    </row>
    <row r="1710" spans="19:42" ht="18">
      <c r="S1710" s="8">
        <f t="shared" si="145"/>
        <v>0</v>
      </c>
      <c r="W1710" s="3">
        <v>1736</v>
      </c>
      <c r="X1710" s="30">
        <v>175.22200000000001</v>
      </c>
      <c r="Y1710" s="33">
        <f t="shared" si="142"/>
        <v>0.17499999999999999</v>
      </c>
      <c r="AH1710" s="45">
        <f t="shared" si="146"/>
        <v>0</v>
      </c>
      <c r="AJ1710" s="44">
        <f t="shared" si="143"/>
        <v>1.736</v>
      </c>
      <c r="AP1710" s="46">
        <f t="shared" si="144"/>
        <v>0.17499999999999999</v>
      </c>
    </row>
    <row r="1711" spans="19:42" ht="18">
      <c r="S1711" s="8">
        <f t="shared" si="145"/>
        <v>0</v>
      </c>
      <c r="W1711" s="3">
        <v>1737</v>
      </c>
      <c r="X1711" s="30">
        <v>175.27799999999999</v>
      </c>
      <c r="Y1711" s="33">
        <f t="shared" si="142"/>
        <v>0.17499999999999999</v>
      </c>
      <c r="AH1711" s="45">
        <f t="shared" si="146"/>
        <v>0</v>
      </c>
      <c r="AJ1711" s="44">
        <f t="shared" si="143"/>
        <v>1.7370000000000001</v>
      </c>
      <c r="AP1711" s="46">
        <f t="shared" si="144"/>
        <v>0.17499999999999999</v>
      </c>
    </row>
    <row r="1712" spans="19:42" ht="18">
      <c r="S1712" s="8">
        <f t="shared" si="145"/>
        <v>0</v>
      </c>
      <c r="W1712" s="3">
        <v>1738</v>
      </c>
      <c r="X1712" s="30">
        <v>175.333</v>
      </c>
      <c r="Y1712" s="33">
        <f t="shared" si="142"/>
        <v>0.17499999999999999</v>
      </c>
      <c r="AH1712" s="45">
        <f t="shared" si="146"/>
        <v>0</v>
      </c>
      <c r="AJ1712" s="44">
        <f t="shared" si="143"/>
        <v>1.738</v>
      </c>
      <c r="AP1712" s="46">
        <f t="shared" si="144"/>
        <v>0.17499999999999999</v>
      </c>
    </row>
    <row r="1713" spans="19:42" ht="18">
      <c r="S1713" s="8">
        <f t="shared" si="145"/>
        <v>0</v>
      </c>
      <c r="W1713" s="3">
        <v>1739</v>
      </c>
      <c r="X1713" s="30">
        <v>175.38900000000001</v>
      </c>
      <c r="Y1713" s="33">
        <f t="shared" si="142"/>
        <v>0.17499999999999999</v>
      </c>
      <c r="AH1713" s="45">
        <f t="shared" si="146"/>
        <v>0</v>
      </c>
      <c r="AJ1713" s="44">
        <f t="shared" si="143"/>
        <v>1.7390000000000001</v>
      </c>
      <c r="AP1713" s="46">
        <f t="shared" si="144"/>
        <v>0.17499999999999999</v>
      </c>
    </row>
    <row r="1714" spans="19:42" ht="18">
      <c r="S1714" s="8">
        <f t="shared" si="145"/>
        <v>0</v>
      </c>
      <c r="W1714" s="3">
        <v>1740</v>
      </c>
      <c r="X1714" s="30">
        <v>175.44399999999999</v>
      </c>
      <c r="Y1714" s="33">
        <f t="shared" si="142"/>
        <v>0.17499999999999999</v>
      </c>
      <c r="AH1714" s="45">
        <f t="shared" si="146"/>
        <v>0</v>
      </c>
      <c r="AJ1714" s="44">
        <f t="shared" si="143"/>
        <v>1.74</v>
      </c>
      <c r="AP1714" s="46">
        <f t="shared" si="144"/>
        <v>0.17499999999999999</v>
      </c>
    </row>
    <row r="1715" spans="19:42" ht="18">
      <c r="S1715" s="8">
        <f t="shared" si="145"/>
        <v>0</v>
      </c>
      <c r="W1715" s="3">
        <v>1741</v>
      </c>
      <c r="X1715" s="30">
        <v>175.5</v>
      </c>
      <c r="Y1715" s="33">
        <f t="shared" si="142"/>
        <v>0.17599999999999999</v>
      </c>
      <c r="AH1715" s="45">
        <f t="shared" si="146"/>
        <v>0</v>
      </c>
      <c r="AJ1715" s="44">
        <f t="shared" si="143"/>
        <v>1.7410000000000001</v>
      </c>
      <c r="AP1715" s="46">
        <f t="shared" si="144"/>
        <v>0.17599999999999999</v>
      </c>
    </row>
    <row r="1716" spans="19:42" ht="18">
      <c r="S1716" s="8">
        <f t="shared" si="145"/>
        <v>0</v>
      </c>
      <c r="W1716" s="3">
        <v>1742</v>
      </c>
      <c r="X1716" s="30">
        <v>175.55600000000001</v>
      </c>
      <c r="Y1716" s="33">
        <f t="shared" si="142"/>
        <v>0.17599999999999999</v>
      </c>
      <c r="AH1716" s="45">
        <f t="shared" si="146"/>
        <v>0</v>
      </c>
      <c r="AJ1716" s="44">
        <f t="shared" si="143"/>
        <v>1.742</v>
      </c>
      <c r="AP1716" s="46">
        <f t="shared" si="144"/>
        <v>0.17599999999999999</v>
      </c>
    </row>
    <row r="1717" spans="19:42" ht="18">
      <c r="S1717" s="8">
        <f t="shared" si="145"/>
        <v>0</v>
      </c>
      <c r="W1717" s="3">
        <v>1743</v>
      </c>
      <c r="X1717" s="30">
        <v>175.61099999999999</v>
      </c>
      <c r="Y1717" s="33">
        <f t="shared" si="142"/>
        <v>0.17599999999999999</v>
      </c>
      <c r="AH1717" s="45">
        <f t="shared" si="146"/>
        <v>0</v>
      </c>
      <c r="AJ1717" s="44">
        <f t="shared" si="143"/>
        <v>1.7430000000000001</v>
      </c>
      <c r="AP1717" s="46">
        <f t="shared" si="144"/>
        <v>0.17599999999999999</v>
      </c>
    </row>
    <row r="1718" spans="19:42" ht="18">
      <c r="S1718" s="8">
        <f t="shared" si="145"/>
        <v>0</v>
      </c>
      <c r="W1718" s="3">
        <v>1744</v>
      </c>
      <c r="X1718" s="30">
        <v>175.667</v>
      </c>
      <c r="Y1718" s="33">
        <f t="shared" si="142"/>
        <v>0.17599999999999999</v>
      </c>
      <c r="AH1718" s="45">
        <f t="shared" si="146"/>
        <v>0</v>
      </c>
      <c r="AJ1718" s="44">
        <f t="shared" si="143"/>
        <v>1.744</v>
      </c>
      <c r="AP1718" s="46">
        <f t="shared" si="144"/>
        <v>0.17599999999999999</v>
      </c>
    </row>
    <row r="1719" spans="19:42" ht="18">
      <c r="S1719" s="8">
        <f t="shared" si="145"/>
        <v>0</v>
      </c>
      <c r="W1719" s="3">
        <v>1745</v>
      </c>
      <c r="X1719" s="30">
        <v>175.72200000000001</v>
      </c>
      <c r="Y1719" s="33">
        <f t="shared" si="142"/>
        <v>0.17599999999999999</v>
      </c>
      <c r="AH1719" s="45">
        <f t="shared" si="146"/>
        <v>0</v>
      </c>
      <c r="AJ1719" s="44">
        <f t="shared" si="143"/>
        <v>1.7450000000000001</v>
      </c>
      <c r="AP1719" s="46">
        <f t="shared" si="144"/>
        <v>0.17599999999999999</v>
      </c>
    </row>
    <row r="1720" spans="19:42" ht="18">
      <c r="S1720" s="8">
        <f t="shared" si="145"/>
        <v>0</v>
      </c>
      <c r="W1720" s="3">
        <v>1746</v>
      </c>
      <c r="X1720" s="30">
        <v>175.77799999999999</v>
      </c>
      <c r="Y1720" s="33">
        <f t="shared" si="142"/>
        <v>0.17599999999999999</v>
      </c>
      <c r="AH1720" s="45">
        <f t="shared" si="146"/>
        <v>0</v>
      </c>
      <c r="AJ1720" s="44">
        <f t="shared" si="143"/>
        <v>1.746</v>
      </c>
      <c r="AP1720" s="46">
        <f t="shared" si="144"/>
        <v>0.17599999999999999</v>
      </c>
    </row>
    <row r="1721" spans="19:42" ht="18">
      <c r="S1721" s="8">
        <f t="shared" si="145"/>
        <v>0</v>
      </c>
      <c r="W1721" s="3">
        <v>1747</v>
      </c>
      <c r="X1721" s="30">
        <v>175.833</v>
      </c>
      <c r="Y1721" s="33">
        <f t="shared" si="142"/>
        <v>0.17599999999999999</v>
      </c>
      <c r="AH1721" s="45">
        <f t="shared" si="146"/>
        <v>0</v>
      </c>
      <c r="AJ1721" s="44">
        <f t="shared" si="143"/>
        <v>1.7470000000000001</v>
      </c>
      <c r="AP1721" s="46">
        <f t="shared" si="144"/>
        <v>0.17599999999999999</v>
      </c>
    </row>
    <row r="1722" spans="19:42" ht="18">
      <c r="S1722" s="8">
        <f t="shared" si="145"/>
        <v>0</v>
      </c>
      <c r="W1722" s="3">
        <v>1748</v>
      </c>
      <c r="X1722" s="30">
        <v>175.88900000000001</v>
      </c>
      <c r="Y1722" s="33">
        <f t="shared" si="142"/>
        <v>0.17599999999999999</v>
      </c>
      <c r="AH1722" s="45">
        <f t="shared" si="146"/>
        <v>0</v>
      </c>
      <c r="AJ1722" s="44">
        <f t="shared" si="143"/>
        <v>1.748</v>
      </c>
      <c r="AP1722" s="46">
        <f t="shared" si="144"/>
        <v>0.17599999999999999</v>
      </c>
    </row>
    <row r="1723" spans="19:42" ht="18">
      <c r="S1723" s="8">
        <f t="shared" si="145"/>
        <v>0</v>
      </c>
      <c r="W1723" s="3">
        <v>1749</v>
      </c>
      <c r="X1723" s="30">
        <v>175.94399999999999</v>
      </c>
      <c r="Y1723" s="33">
        <f t="shared" si="142"/>
        <v>0.17599999999999999</v>
      </c>
      <c r="AH1723" s="45">
        <f t="shared" si="146"/>
        <v>0</v>
      </c>
      <c r="AJ1723" s="44">
        <f t="shared" si="143"/>
        <v>1.7490000000000001</v>
      </c>
      <c r="AP1723" s="46">
        <f t="shared" si="144"/>
        <v>0.17599999999999999</v>
      </c>
    </row>
    <row r="1724" spans="19:42" ht="18">
      <c r="S1724" s="8">
        <f t="shared" si="145"/>
        <v>0</v>
      </c>
      <c r="W1724" s="3">
        <v>1750</v>
      </c>
      <c r="X1724" s="30">
        <v>176</v>
      </c>
      <c r="Y1724" s="33">
        <f t="shared" si="142"/>
        <v>0.17599999999999999</v>
      </c>
      <c r="AH1724" s="45">
        <f t="shared" si="146"/>
        <v>0</v>
      </c>
      <c r="AJ1724" s="44">
        <f t="shared" si="143"/>
        <v>1.75</v>
      </c>
      <c r="AP1724" s="46">
        <f t="shared" si="144"/>
        <v>0.17599999999999999</v>
      </c>
    </row>
    <row r="1725" spans="19:42" ht="18">
      <c r="S1725" s="8">
        <f t="shared" si="145"/>
        <v>0</v>
      </c>
      <c r="W1725" s="3">
        <v>1751</v>
      </c>
      <c r="X1725" s="30">
        <v>176.03299999999999</v>
      </c>
      <c r="Y1725" s="33">
        <f t="shared" si="142"/>
        <v>0.17599999999999999</v>
      </c>
      <c r="AH1725" s="45">
        <f t="shared" si="146"/>
        <v>0</v>
      </c>
      <c r="AJ1725" s="44">
        <f t="shared" si="143"/>
        <v>1.7509999999999999</v>
      </c>
      <c r="AP1725" s="46">
        <f t="shared" si="144"/>
        <v>0.17599999999999999</v>
      </c>
    </row>
    <row r="1726" spans="19:42" ht="18">
      <c r="S1726" s="8">
        <f t="shared" si="145"/>
        <v>0</v>
      </c>
      <c r="W1726" s="3">
        <v>1752</v>
      </c>
      <c r="X1726" s="30">
        <v>176.06700000000001</v>
      </c>
      <c r="Y1726" s="33">
        <f t="shared" si="142"/>
        <v>0.17599999999999999</v>
      </c>
      <c r="AH1726" s="45">
        <f t="shared" si="146"/>
        <v>0</v>
      </c>
      <c r="AJ1726" s="44">
        <f t="shared" si="143"/>
        <v>1.752</v>
      </c>
      <c r="AP1726" s="46">
        <f t="shared" si="144"/>
        <v>0.17599999999999999</v>
      </c>
    </row>
    <row r="1727" spans="19:42" ht="18">
      <c r="S1727" s="8">
        <f t="shared" si="145"/>
        <v>0</v>
      </c>
      <c r="W1727" s="3">
        <v>1753</v>
      </c>
      <c r="X1727" s="30">
        <v>176.1</v>
      </c>
      <c r="Y1727" s="33">
        <f t="shared" si="142"/>
        <v>0.17599999999999999</v>
      </c>
      <c r="AH1727" s="45">
        <f t="shared" si="146"/>
        <v>0</v>
      </c>
      <c r="AJ1727" s="44">
        <f t="shared" si="143"/>
        <v>1.7529999999999999</v>
      </c>
      <c r="AP1727" s="46">
        <f t="shared" si="144"/>
        <v>0.17599999999999999</v>
      </c>
    </row>
    <row r="1728" spans="19:42" ht="18">
      <c r="S1728" s="8">
        <f t="shared" si="145"/>
        <v>0</v>
      </c>
      <c r="W1728" s="3">
        <v>1754</v>
      </c>
      <c r="X1728" s="30">
        <v>176.13300000000001</v>
      </c>
      <c r="Y1728" s="33">
        <f t="shared" si="142"/>
        <v>0.17599999999999999</v>
      </c>
      <c r="AH1728" s="45">
        <f t="shared" si="146"/>
        <v>0</v>
      </c>
      <c r="AJ1728" s="44">
        <f t="shared" si="143"/>
        <v>1.754</v>
      </c>
      <c r="AP1728" s="46">
        <f t="shared" si="144"/>
        <v>0.17599999999999999</v>
      </c>
    </row>
    <row r="1729" spans="19:42" ht="18">
      <c r="S1729" s="8">
        <f t="shared" si="145"/>
        <v>0</v>
      </c>
      <c r="W1729" s="3">
        <v>1755</v>
      </c>
      <c r="X1729" s="30">
        <v>176.167</v>
      </c>
      <c r="Y1729" s="33">
        <f t="shared" si="142"/>
        <v>0.17599999999999999</v>
      </c>
      <c r="AH1729" s="45">
        <f t="shared" si="146"/>
        <v>0</v>
      </c>
      <c r="AJ1729" s="44">
        <f t="shared" si="143"/>
        <v>1.7549999999999999</v>
      </c>
      <c r="AP1729" s="46">
        <f t="shared" si="144"/>
        <v>0.17599999999999999</v>
      </c>
    </row>
    <row r="1730" spans="19:42" ht="18">
      <c r="S1730" s="8">
        <f t="shared" si="145"/>
        <v>0</v>
      </c>
      <c r="W1730" s="3">
        <v>1756</v>
      </c>
      <c r="X1730" s="30">
        <v>176.2</v>
      </c>
      <c r="Y1730" s="33">
        <f t="shared" si="142"/>
        <v>0.17599999999999999</v>
      </c>
      <c r="AH1730" s="45">
        <f t="shared" si="146"/>
        <v>0</v>
      </c>
      <c r="AJ1730" s="44">
        <f t="shared" si="143"/>
        <v>1.756</v>
      </c>
      <c r="AP1730" s="46">
        <f t="shared" si="144"/>
        <v>0.17599999999999999</v>
      </c>
    </row>
    <row r="1731" spans="19:42" ht="18">
      <c r="S1731" s="8">
        <f t="shared" si="145"/>
        <v>0</v>
      </c>
      <c r="W1731" s="3">
        <v>1757</v>
      </c>
      <c r="X1731" s="30">
        <v>176.233</v>
      </c>
      <c r="Y1731" s="33">
        <f t="shared" si="142"/>
        <v>0.17599999999999999</v>
      </c>
      <c r="AH1731" s="45">
        <f t="shared" si="146"/>
        <v>0</v>
      </c>
      <c r="AJ1731" s="44">
        <f t="shared" si="143"/>
        <v>1.7569999999999999</v>
      </c>
      <c r="AP1731" s="46">
        <f t="shared" si="144"/>
        <v>0.17599999999999999</v>
      </c>
    </row>
    <row r="1732" spans="19:42" ht="18">
      <c r="S1732" s="8">
        <f t="shared" si="145"/>
        <v>0</v>
      </c>
      <c r="W1732" s="3">
        <v>1758</v>
      </c>
      <c r="X1732" s="30">
        <v>176.267</v>
      </c>
      <c r="Y1732" s="33">
        <f t="shared" si="142"/>
        <v>0.17599999999999999</v>
      </c>
      <c r="AH1732" s="45">
        <f t="shared" si="146"/>
        <v>0</v>
      </c>
      <c r="AJ1732" s="44">
        <f t="shared" si="143"/>
        <v>1.758</v>
      </c>
      <c r="AP1732" s="46">
        <f t="shared" si="144"/>
        <v>0.17599999999999999</v>
      </c>
    </row>
    <row r="1733" spans="19:42" ht="18">
      <c r="S1733" s="8">
        <f t="shared" si="145"/>
        <v>0</v>
      </c>
      <c r="W1733" s="3">
        <v>1759</v>
      </c>
      <c r="X1733" s="30">
        <v>176.3</v>
      </c>
      <c r="Y1733" s="33">
        <f t="shared" ref="Y1733:Y1796" si="147">ROUND(X1733/1000,3)</f>
        <v>0.17599999999999999</v>
      </c>
      <c r="AH1733" s="45">
        <f t="shared" si="146"/>
        <v>0</v>
      </c>
      <c r="AJ1733" s="44">
        <f t="shared" ref="AJ1733:AJ1796" si="148">ROUND(W1733/1000,3)</f>
        <v>1.7589999999999999</v>
      </c>
      <c r="AP1733" s="46">
        <f t="shared" ref="AP1733:AP1796" si="149">ROUND(X1733/1000,3)</f>
        <v>0.17599999999999999</v>
      </c>
    </row>
    <row r="1734" spans="19:42" ht="18">
      <c r="S1734" s="8">
        <f t="shared" ref="S1734:S1797" si="150">CEILING(R1734/50,0.5)</f>
        <v>0</v>
      </c>
      <c r="W1734" s="3">
        <v>1760</v>
      </c>
      <c r="X1734" s="30">
        <v>176.333</v>
      </c>
      <c r="Y1734" s="33">
        <f t="shared" si="147"/>
        <v>0.17599999999999999</v>
      </c>
      <c r="AH1734" s="45">
        <f t="shared" ref="AH1734:AH1797" si="151">AE1734-AE1733</f>
        <v>0</v>
      </c>
      <c r="AJ1734" s="44">
        <f t="shared" si="148"/>
        <v>1.76</v>
      </c>
      <c r="AP1734" s="46">
        <f t="shared" si="149"/>
        <v>0.17599999999999999</v>
      </c>
    </row>
    <row r="1735" spans="19:42" ht="18">
      <c r="S1735" s="8">
        <f t="shared" si="150"/>
        <v>0</v>
      </c>
      <c r="W1735" s="3">
        <v>1761</v>
      </c>
      <c r="X1735" s="30">
        <v>176.36699999999999</v>
      </c>
      <c r="Y1735" s="33">
        <f t="shared" si="147"/>
        <v>0.17599999999999999</v>
      </c>
      <c r="AH1735" s="45">
        <f t="shared" si="151"/>
        <v>0</v>
      </c>
      <c r="AJ1735" s="44">
        <f t="shared" si="148"/>
        <v>1.7609999999999999</v>
      </c>
      <c r="AP1735" s="46">
        <f t="shared" si="149"/>
        <v>0.17599999999999999</v>
      </c>
    </row>
    <row r="1736" spans="19:42" ht="18">
      <c r="S1736" s="8">
        <f t="shared" si="150"/>
        <v>0</v>
      </c>
      <c r="W1736" s="3">
        <v>1762</v>
      </c>
      <c r="X1736" s="30">
        <v>176.4</v>
      </c>
      <c r="Y1736" s="33">
        <f t="shared" si="147"/>
        <v>0.17599999999999999</v>
      </c>
      <c r="AH1736" s="45">
        <f t="shared" si="151"/>
        <v>0</v>
      </c>
      <c r="AJ1736" s="44">
        <f t="shared" si="148"/>
        <v>1.762</v>
      </c>
      <c r="AP1736" s="46">
        <f t="shared" si="149"/>
        <v>0.17599999999999999</v>
      </c>
    </row>
    <row r="1737" spans="19:42" ht="18">
      <c r="S1737" s="8">
        <f t="shared" si="150"/>
        <v>0</v>
      </c>
      <c r="W1737" s="3">
        <v>1763</v>
      </c>
      <c r="X1737" s="30">
        <v>176.43299999999999</v>
      </c>
      <c r="Y1737" s="33">
        <f t="shared" si="147"/>
        <v>0.17599999999999999</v>
      </c>
      <c r="AH1737" s="45">
        <f t="shared" si="151"/>
        <v>0</v>
      </c>
      <c r="AJ1737" s="44">
        <f t="shared" si="148"/>
        <v>1.7629999999999999</v>
      </c>
      <c r="AP1737" s="46">
        <f t="shared" si="149"/>
        <v>0.17599999999999999</v>
      </c>
    </row>
    <row r="1738" spans="19:42" ht="18">
      <c r="S1738" s="8">
        <f t="shared" si="150"/>
        <v>0</v>
      </c>
      <c r="W1738" s="3">
        <v>1764</v>
      </c>
      <c r="X1738" s="30">
        <v>176.46700000000001</v>
      </c>
      <c r="Y1738" s="33">
        <f t="shared" si="147"/>
        <v>0.17599999999999999</v>
      </c>
      <c r="AH1738" s="45">
        <f t="shared" si="151"/>
        <v>0</v>
      </c>
      <c r="AJ1738" s="44">
        <f t="shared" si="148"/>
        <v>1.764</v>
      </c>
      <c r="AP1738" s="46">
        <f t="shared" si="149"/>
        <v>0.17599999999999999</v>
      </c>
    </row>
    <row r="1739" spans="19:42" ht="18">
      <c r="S1739" s="8">
        <f t="shared" si="150"/>
        <v>0</v>
      </c>
      <c r="W1739" s="3">
        <v>1765</v>
      </c>
      <c r="X1739" s="30">
        <v>176.5</v>
      </c>
      <c r="Y1739" s="33">
        <f t="shared" si="147"/>
        <v>0.17699999999999999</v>
      </c>
      <c r="AH1739" s="45">
        <f t="shared" si="151"/>
        <v>0</v>
      </c>
      <c r="AJ1739" s="44">
        <f t="shared" si="148"/>
        <v>1.7649999999999999</v>
      </c>
      <c r="AP1739" s="46">
        <f t="shared" si="149"/>
        <v>0.17699999999999999</v>
      </c>
    </row>
    <row r="1740" spans="19:42" ht="18">
      <c r="S1740" s="8">
        <f t="shared" si="150"/>
        <v>0</v>
      </c>
      <c r="W1740" s="3">
        <v>1766</v>
      </c>
      <c r="X1740" s="30">
        <v>176.53299999999999</v>
      </c>
      <c r="Y1740" s="33">
        <f t="shared" si="147"/>
        <v>0.17699999999999999</v>
      </c>
      <c r="AH1740" s="45">
        <f t="shared" si="151"/>
        <v>0</v>
      </c>
      <c r="AJ1740" s="44">
        <f t="shared" si="148"/>
        <v>1.766</v>
      </c>
      <c r="AP1740" s="46">
        <f t="shared" si="149"/>
        <v>0.17699999999999999</v>
      </c>
    </row>
    <row r="1741" spans="19:42" ht="18">
      <c r="S1741" s="8">
        <f t="shared" si="150"/>
        <v>0</v>
      </c>
      <c r="W1741" s="3">
        <v>1767</v>
      </c>
      <c r="X1741" s="30">
        <v>176.56700000000001</v>
      </c>
      <c r="Y1741" s="33">
        <f t="shared" si="147"/>
        <v>0.17699999999999999</v>
      </c>
      <c r="AH1741" s="45">
        <f t="shared" si="151"/>
        <v>0</v>
      </c>
      <c r="AJ1741" s="44">
        <f t="shared" si="148"/>
        <v>1.7669999999999999</v>
      </c>
      <c r="AP1741" s="46">
        <f t="shared" si="149"/>
        <v>0.17699999999999999</v>
      </c>
    </row>
    <row r="1742" spans="19:42" ht="18">
      <c r="S1742" s="8">
        <f t="shared" si="150"/>
        <v>0</v>
      </c>
      <c r="W1742" s="3">
        <v>1768</v>
      </c>
      <c r="X1742" s="30">
        <v>176.6</v>
      </c>
      <c r="Y1742" s="33">
        <f t="shared" si="147"/>
        <v>0.17699999999999999</v>
      </c>
      <c r="AH1742" s="45">
        <f t="shared" si="151"/>
        <v>0</v>
      </c>
      <c r="AJ1742" s="44">
        <f t="shared" si="148"/>
        <v>1.768</v>
      </c>
      <c r="AP1742" s="46">
        <f t="shared" si="149"/>
        <v>0.17699999999999999</v>
      </c>
    </row>
    <row r="1743" spans="19:42" ht="18">
      <c r="S1743" s="8">
        <f t="shared" si="150"/>
        <v>0</v>
      </c>
      <c r="W1743" s="3">
        <v>1769</v>
      </c>
      <c r="X1743" s="30">
        <v>176.63300000000001</v>
      </c>
      <c r="Y1743" s="33">
        <f t="shared" si="147"/>
        <v>0.17699999999999999</v>
      </c>
      <c r="AH1743" s="45">
        <f t="shared" si="151"/>
        <v>0</v>
      </c>
      <c r="AJ1743" s="44">
        <f t="shared" si="148"/>
        <v>1.7689999999999999</v>
      </c>
      <c r="AP1743" s="46">
        <f t="shared" si="149"/>
        <v>0.17699999999999999</v>
      </c>
    </row>
    <row r="1744" spans="19:42" ht="18">
      <c r="S1744" s="8">
        <f t="shared" si="150"/>
        <v>0</v>
      </c>
      <c r="W1744" s="3">
        <v>1770</v>
      </c>
      <c r="X1744" s="30">
        <v>176.667</v>
      </c>
      <c r="Y1744" s="33">
        <f t="shared" si="147"/>
        <v>0.17699999999999999</v>
      </c>
      <c r="AH1744" s="45">
        <f t="shared" si="151"/>
        <v>0</v>
      </c>
      <c r="AJ1744" s="44">
        <f t="shared" si="148"/>
        <v>1.77</v>
      </c>
      <c r="AP1744" s="46">
        <f t="shared" si="149"/>
        <v>0.17699999999999999</v>
      </c>
    </row>
    <row r="1745" spans="19:42" ht="18">
      <c r="S1745" s="8">
        <f t="shared" si="150"/>
        <v>0</v>
      </c>
      <c r="W1745" s="3">
        <v>1771</v>
      </c>
      <c r="X1745" s="30">
        <v>176.7</v>
      </c>
      <c r="Y1745" s="33">
        <f t="shared" si="147"/>
        <v>0.17699999999999999</v>
      </c>
      <c r="AH1745" s="45">
        <f t="shared" si="151"/>
        <v>0</v>
      </c>
      <c r="AJ1745" s="44">
        <f t="shared" si="148"/>
        <v>1.7709999999999999</v>
      </c>
      <c r="AP1745" s="46">
        <f t="shared" si="149"/>
        <v>0.17699999999999999</v>
      </c>
    </row>
    <row r="1746" spans="19:42" ht="18">
      <c r="S1746" s="8">
        <f t="shared" si="150"/>
        <v>0</v>
      </c>
      <c r="W1746" s="3">
        <v>1772</v>
      </c>
      <c r="X1746" s="30">
        <v>176.733</v>
      </c>
      <c r="Y1746" s="33">
        <f t="shared" si="147"/>
        <v>0.17699999999999999</v>
      </c>
      <c r="AH1746" s="45">
        <f t="shared" si="151"/>
        <v>0</v>
      </c>
      <c r="AJ1746" s="44">
        <f t="shared" si="148"/>
        <v>1.772</v>
      </c>
      <c r="AP1746" s="46">
        <f t="shared" si="149"/>
        <v>0.17699999999999999</v>
      </c>
    </row>
    <row r="1747" spans="19:42" ht="18">
      <c r="S1747" s="8">
        <f t="shared" si="150"/>
        <v>0</v>
      </c>
      <c r="W1747" s="3">
        <v>1773</v>
      </c>
      <c r="X1747" s="30">
        <v>176.767</v>
      </c>
      <c r="Y1747" s="33">
        <f t="shared" si="147"/>
        <v>0.17699999999999999</v>
      </c>
      <c r="AH1747" s="45">
        <f t="shared" si="151"/>
        <v>0</v>
      </c>
      <c r="AJ1747" s="44">
        <f t="shared" si="148"/>
        <v>1.7729999999999999</v>
      </c>
      <c r="AP1747" s="46">
        <f t="shared" si="149"/>
        <v>0.17699999999999999</v>
      </c>
    </row>
    <row r="1748" spans="19:42" ht="18">
      <c r="S1748" s="8">
        <f t="shared" si="150"/>
        <v>0</v>
      </c>
      <c r="W1748" s="3">
        <v>1774</v>
      </c>
      <c r="X1748" s="30">
        <v>176.8</v>
      </c>
      <c r="Y1748" s="33">
        <f t="shared" si="147"/>
        <v>0.17699999999999999</v>
      </c>
      <c r="AH1748" s="45">
        <f t="shared" si="151"/>
        <v>0</v>
      </c>
      <c r="AJ1748" s="44">
        <f t="shared" si="148"/>
        <v>1.774</v>
      </c>
      <c r="AP1748" s="46">
        <f t="shared" si="149"/>
        <v>0.17699999999999999</v>
      </c>
    </row>
    <row r="1749" spans="19:42" ht="18">
      <c r="S1749" s="8">
        <f t="shared" si="150"/>
        <v>0</v>
      </c>
      <c r="W1749" s="3">
        <v>1775</v>
      </c>
      <c r="X1749" s="30">
        <v>176.833</v>
      </c>
      <c r="Y1749" s="33">
        <f t="shared" si="147"/>
        <v>0.17699999999999999</v>
      </c>
      <c r="AH1749" s="45">
        <f t="shared" si="151"/>
        <v>0</v>
      </c>
      <c r="AJ1749" s="44">
        <f t="shared" si="148"/>
        <v>1.7749999999999999</v>
      </c>
      <c r="AP1749" s="46">
        <f t="shared" si="149"/>
        <v>0.17699999999999999</v>
      </c>
    </row>
    <row r="1750" spans="19:42" ht="18">
      <c r="S1750" s="8">
        <f t="shared" si="150"/>
        <v>0</v>
      </c>
      <c r="W1750" s="3">
        <v>1776</v>
      </c>
      <c r="X1750" s="30">
        <v>176.86699999999999</v>
      </c>
      <c r="Y1750" s="33">
        <f t="shared" si="147"/>
        <v>0.17699999999999999</v>
      </c>
      <c r="AH1750" s="45">
        <f t="shared" si="151"/>
        <v>0</v>
      </c>
      <c r="AJ1750" s="44">
        <f t="shared" si="148"/>
        <v>1.776</v>
      </c>
      <c r="AP1750" s="46">
        <f t="shared" si="149"/>
        <v>0.17699999999999999</v>
      </c>
    </row>
    <row r="1751" spans="19:42" ht="18">
      <c r="S1751" s="8">
        <f t="shared" si="150"/>
        <v>0</v>
      </c>
      <c r="W1751" s="3">
        <v>1777</v>
      </c>
      <c r="X1751" s="30">
        <v>176.9</v>
      </c>
      <c r="Y1751" s="33">
        <f t="shared" si="147"/>
        <v>0.17699999999999999</v>
      </c>
      <c r="AH1751" s="45">
        <f t="shared" si="151"/>
        <v>0</v>
      </c>
      <c r="AJ1751" s="44">
        <f t="shared" si="148"/>
        <v>1.7769999999999999</v>
      </c>
      <c r="AP1751" s="46">
        <f t="shared" si="149"/>
        <v>0.17699999999999999</v>
      </c>
    </row>
    <row r="1752" spans="19:42" ht="18">
      <c r="S1752" s="8">
        <f t="shared" si="150"/>
        <v>0</v>
      </c>
      <c r="W1752" s="3">
        <v>1778</v>
      </c>
      <c r="X1752" s="30">
        <v>176.93299999999999</v>
      </c>
      <c r="Y1752" s="33">
        <f t="shared" si="147"/>
        <v>0.17699999999999999</v>
      </c>
      <c r="AH1752" s="45">
        <f t="shared" si="151"/>
        <v>0</v>
      </c>
      <c r="AJ1752" s="44">
        <f t="shared" si="148"/>
        <v>1.778</v>
      </c>
      <c r="AP1752" s="46">
        <f t="shared" si="149"/>
        <v>0.17699999999999999</v>
      </c>
    </row>
    <row r="1753" spans="19:42" ht="18">
      <c r="S1753" s="8">
        <f t="shared" si="150"/>
        <v>0</v>
      </c>
      <c r="W1753" s="3">
        <v>1779</v>
      </c>
      <c r="X1753" s="30">
        <v>176.96700000000001</v>
      </c>
      <c r="Y1753" s="33">
        <f t="shared" si="147"/>
        <v>0.17699999999999999</v>
      </c>
      <c r="AH1753" s="45">
        <f t="shared" si="151"/>
        <v>0</v>
      </c>
      <c r="AJ1753" s="44">
        <f t="shared" si="148"/>
        <v>1.7789999999999999</v>
      </c>
      <c r="AP1753" s="46">
        <f t="shared" si="149"/>
        <v>0.17699999999999999</v>
      </c>
    </row>
    <row r="1754" spans="19:42" ht="18">
      <c r="S1754" s="8">
        <f t="shared" si="150"/>
        <v>0</v>
      </c>
      <c r="W1754" s="3">
        <v>1780</v>
      </c>
      <c r="X1754" s="30">
        <v>177</v>
      </c>
      <c r="Y1754" s="33">
        <f t="shared" si="147"/>
        <v>0.17699999999999999</v>
      </c>
      <c r="AH1754" s="45">
        <f t="shared" si="151"/>
        <v>0</v>
      </c>
      <c r="AJ1754" s="44">
        <f t="shared" si="148"/>
        <v>1.78</v>
      </c>
      <c r="AP1754" s="46">
        <f t="shared" si="149"/>
        <v>0.17699999999999999</v>
      </c>
    </row>
    <row r="1755" spans="19:42" ht="18">
      <c r="S1755" s="8">
        <f t="shared" si="150"/>
        <v>0</v>
      </c>
      <c r="W1755" s="3">
        <v>1781</v>
      </c>
      <c r="X1755" s="30">
        <v>177.03299999999999</v>
      </c>
      <c r="Y1755" s="33">
        <f t="shared" si="147"/>
        <v>0.17699999999999999</v>
      </c>
      <c r="AH1755" s="45">
        <f t="shared" si="151"/>
        <v>0</v>
      </c>
      <c r="AJ1755" s="44">
        <f t="shared" si="148"/>
        <v>1.7809999999999999</v>
      </c>
      <c r="AP1755" s="46">
        <f t="shared" si="149"/>
        <v>0.17699999999999999</v>
      </c>
    </row>
    <row r="1756" spans="19:42" ht="18">
      <c r="S1756" s="8">
        <f t="shared" si="150"/>
        <v>0</v>
      </c>
      <c r="W1756" s="3">
        <v>1782</v>
      </c>
      <c r="X1756" s="30">
        <v>177.06700000000001</v>
      </c>
      <c r="Y1756" s="33">
        <f t="shared" si="147"/>
        <v>0.17699999999999999</v>
      </c>
      <c r="AH1756" s="45">
        <f t="shared" si="151"/>
        <v>0</v>
      </c>
      <c r="AJ1756" s="44">
        <f t="shared" si="148"/>
        <v>1.782</v>
      </c>
      <c r="AP1756" s="46">
        <f t="shared" si="149"/>
        <v>0.17699999999999999</v>
      </c>
    </row>
    <row r="1757" spans="19:42" ht="18">
      <c r="S1757" s="8">
        <f t="shared" si="150"/>
        <v>0</v>
      </c>
      <c r="W1757" s="3">
        <v>1783</v>
      </c>
      <c r="X1757" s="30">
        <v>177.1</v>
      </c>
      <c r="Y1757" s="33">
        <f t="shared" si="147"/>
        <v>0.17699999999999999</v>
      </c>
      <c r="AH1757" s="45">
        <f t="shared" si="151"/>
        <v>0</v>
      </c>
      <c r="AJ1757" s="44">
        <f t="shared" si="148"/>
        <v>1.7829999999999999</v>
      </c>
      <c r="AP1757" s="46">
        <f t="shared" si="149"/>
        <v>0.17699999999999999</v>
      </c>
    </row>
    <row r="1758" spans="19:42" ht="18">
      <c r="S1758" s="8">
        <f t="shared" si="150"/>
        <v>0</v>
      </c>
      <c r="W1758" s="3">
        <v>1784</v>
      </c>
      <c r="X1758" s="30">
        <v>177.13300000000001</v>
      </c>
      <c r="Y1758" s="33">
        <f t="shared" si="147"/>
        <v>0.17699999999999999</v>
      </c>
      <c r="AH1758" s="45">
        <f t="shared" si="151"/>
        <v>0</v>
      </c>
      <c r="AJ1758" s="44">
        <f t="shared" si="148"/>
        <v>1.784</v>
      </c>
      <c r="AP1758" s="46">
        <f t="shared" si="149"/>
        <v>0.17699999999999999</v>
      </c>
    </row>
    <row r="1759" spans="19:42" ht="18">
      <c r="S1759" s="8">
        <f t="shared" si="150"/>
        <v>0</v>
      </c>
      <c r="W1759" s="3">
        <v>1785</v>
      </c>
      <c r="X1759" s="30">
        <v>177.167</v>
      </c>
      <c r="Y1759" s="33">
        <f t="shared" si="147"/>
        <v>0.17699999999999999</v>
      </c>
      <c r="AH1759" s="45">
        <f t="shared" si="151"/>
        <v>0</v>
      </c>
      <c r="AJ1759" s="44">
        <f t="shared" si="148"/>
        <v>1.7849999999999999</v>
      </c>
      <c r="AP1759" s="46">
        <f t="shared" si="149"/>
        <v>0.17699999999999999</v>
      </c>
    </row>
    <row r="1760" spans="19:42" ht="18">
      <c r="S1760" s="8">
        <f t="shared" si="150"/>
        <v>0</v>
      </c>
      <c r="W1760" s="3">
        <v>1786</v>
      </c>
      <c r="X1760" s="30">
        <v>177.2</v>
      </c>
      <c r="Y1760" s="33">
        <f t="shared" si="147"/>
        <v>0.17699999999999999</v>
      </c>
      <c r="AH1760" s="45">
        <f t="shared" si="151"/>
        <v>0</v>
      </c>
      <c r="AJ1760" s="44">
        <f t="shared" si="148"/>
        <v>1.786</v>
      </c>
      <c r="AP1760" s="46">
        <f t="shared" si="149"/>
        <v>0.17699999999999999</v>
      </c>
    </row>
    <row r="1761" spans="19:42" ht="18">
      <c r="S1761" s="8">
        <f t="shared" si="150"/>
        <v>0</v>
      </c>
      <c r="W1761" s="3">
        <v>1787</v>
      </c>
      <c r="X1761" s="30">
        <v>177.233</v>
      </c>
      <c r="Y1761" s="33">
        <f t="shared" si="147"/>
        <v>0.17699999999999999</v>
      </c>
      <c r="AH1761" s="45">
        <f t="shared" si="151"/>
        <v>0</v>
      </c>
      <c r="AJ1761" s="44">
        <f t="shared" si="148"/>
        <v>1.7869999999999999</v>
      </c>
      <c r="AP1761" s="46">
        <f t="shared" si="149"/>
        <v>0.17699999999999999</v>
      </c>
    </row>
    <row r="1762" spans="19:42" ht="18">
      <c r="S1762" s="8">
        <f t="shared" si="150"/>
        <v>0</v>
      </c>
      <c r="W1762" s="3">
        <v>1788</v>
      </c>
      <c r="X1762" s="30">
        <v>177.267</v>
      </c>
      <c r="Y1762" s="33">
        <f t="shared" si="147"/>
        <v>0.17699999999999999</v>
      </c>
      <c r="AH1762" s="45">
        <f t="shared" si="151"/>
        <v>0</v>
      </c>
      <c r="AJ1762" s="44">
        <f t="shared" si="148"/>
        <v>1.788</v>
      </c>
      <c r="AP1762" s="46">
        <f t="shared" si="149"/>
        <v>0.17699999999999999</v>
      </c>
    </row>
    <row r="1763" spans="19:42" ht="18">
      <c r="S1763" s="8">
        <f t="shared" si="150"/>
        <v>0</v>
      </c>
      <c r="W1763" s="3">
        <v>1789</v>
      </c>
      <c r="X1763" s="30">
        <v>177.3</v>
      </c>
      <c r="Y1763" s="33">
        <f t="shared" si="147"/>
        <v>0.17699999999999999</v>
      </c>
      <c r="AH1763" s="45">
        <f t="shared" si="151"/>
        <v>0</v>
      </c>
      <c r="AJ1763" s="44">
        <f t="shared" si="148"/>
        <v>1.7889999999999999</v>
      </c>
      <c r="AP1763" s="46">
        <f t="shared" si="149"/>
        <v>0.17699999999999999</v>
      </c>
    </row>
    <row r="1764" spans="19:42" ht="18">
      <c r="S1764" s="8">
        <f t="shared" si="150"/>
        <v>0</v>
      </c>
      <c r="W1764" s="3">
        <v>1790</v>
      </c>
      <c r="X1764" s="30">
        <v>177.333</v>
      </c>
      <c r="Y1764" s="33">
        <f t="shared" si="147"/>
        <v>0.17699999999999999</v>
      </c>
      <c r="AH1764" s="45">
        <f t="shared" si="151"/>
        <v>0</v>
      </c>
      <c r="AJ1764" s="44">
        <f t="shared" si="148"/>
        <v>1.79</v>
      </c>
      <c r="AP1764" s="46">
        <f t="shared" si="149"/>
        <v>0.17699999999999999</v>
      </c>
    </row>
    <row r="1765" spans="19:42" ht="18">
      <c r="S1765" s="8">
        <f t="shared" si="150"/>
        <v>0</v>
      </c>
      <c r="W1765" s="3">
        <v>1791</v>
      </c>
      <c r="X1765" s="30">
        <v>177.36699999999999</v>
      </c>
      <c r="Y1765" s="33">
        <f t="shared" si="147"/>
        <v>0.17699999999999999</v>
      </c>
      <c r="AH1765" s="45">
        <f t="shared" si="151"/>
        <v>0</v>
      </c>
      <c r="AJ1765" s="44">
        <f t="shared" si="148"/>
        <v>1.7909999999999999</v>
      </c>
      <c r="AP1765" s="46">
        <f t="shared" si="149"/>
        <v>0.17699999999999999</v>
      </c>
    </row>
    <row r="1766" spans="19:42" ht="18">
      <c r="S1766" s="8">
        <f t="shared" si="150"/>
        <v>0</v>
      </c>
      <c r="W1766" s="3">
        <v>1792</v>
      </c>
      <c r="X1766" s="30">
        <v>177.4</v>
      </c>
      <c r="Y1766" s="33">
        <f t="shared" si="147"/>
        <v>0.17699999999999999</v>
      </c>
      <c r="AH1766" s="45">
        <f t="shared" si="151"/>
        <v>0</v>
      </c>
      <c r="AJ1766" s="44">
        <f t="shared" si="148"/>
        <v>1.792</v>
      </c>
      <c r="AP1766" s="46">
        <f t="shared" si="149"/>
        <v>0.17699999999999999</v>
      </c>
    </row>
    <row r="1767" spans="19:42" ht="18">
      <c r="S1767" s="8">
        <f t="shared" si="150"/>
        <v>0</v>
      </c>
      <c r="W1767" s="3">
        <v>1793</v>
      </c>
      <c r="X1767" s="30">
        <v>177.43299999999999</v>
      </c>
      <c r="Y1767" s="33">
        <f t="shared" si="147"/>
        <v>0.17699999999999999</v>
      </c>
      <c r="AH1767" s="45">
        <f t="shared" si="151"/>
        <v>0</v>
      </c>
      <c r="AJ1767" s="44">
        <f t="shared" si="148"/>
        <v>1.7929999999999999</v>
      </c>
      <c r="AP1767" s="46">
        <f t="shared" si="149"/>
        <v>0.17699999999999999</v>
      </c>
    </row>
    <row r="1768" spans="19:42" ht="18">
      <c r="S1768" s="8">
        <f t="shared" si="150"/>
        <v>0</v>
      </c>
      <c r="W1768" s="3">
        <v>1794</v>
      </c>
      <c r="X1768" s="30">
        <v>177.46700000000001</v>
      </c>
      <c r="Y1768" s="33">
        <f t="shared" si="147"/>
        <v>0.17699999999999999</v>
      </c>
      <c r="AH1768" s="45">
        <f t="shared" si="151"/>
        <v>0</v>
      </c>
      <c r="AJ1768" s="44">
        <f t="shared" si="148"/>
        <v>1.794</v>
      </c>
      <c r="AP1768" s="46">
        <f t="shared" si="149"/>
        <v>0.17699999999999999</v>
      </c>
    </row>
    <row r="1769" spans="19:42" ht="18">
      <c r="S1769" s="8">
        <f t="shared" si="150"/>
        <v>0</v>
      </c>
      <c r="W1769" s="3">
        <v>1795</v>
      </c>
      <c r="X1769" s="30">
        <v>177.5</v>
      </c>
      <c r="Y1769" s="33">
        <f t="shared" si="147"/>
        <v>0.17799999999999999</v>
      </c>
      <c r="AH1769" s="45">
        <f t="shared" si="151"/>
        <v>0</v>
      </c>
      <c r="AJ1769" s="44">
        <f t="shared" si="148"/>
        <v>1.7949999999999999</v>
      </c>
      <c r="AP1769" s="46">
        <f t="shared" si="149"/>
        <v>0.17799999999999999</v>
      </c>
    </row>
    <row r="1770" spans="19:42" ht="18">
      <c r="S1770" s="8">
        <f t="shared" si="150"/>
        <v>0</v>
      </c>
      <c r="W1770" s="3">
        <v>1796</v>
      </c>
      <c r="X1770" s="30">
        <v>177.53299999999999</v>
      </c>
      <c r="Y1770" s="33">
        <f t="shared" si="147"/>
        <v>0.17799999999999999</v>
      </c>
      <c r="AH1770" s="45">
        <f t="shared" si="151"/>
        <v>0</v>
      </c>
      <c r="AJ1770" s="44">
        <f t="shared" si="148"/>
        <v>1.796</v>
      </c>
      <c r="AP1770" s="46">
        <f t="shared" si="149"/>
        <v>0.17799999999999999</v>
      </c>
    </row>
    <row r="1771" spans="19:42" ht="18">
      <c r="S1771" s="8">
        <f t="shared" si="150"/>
        <v>0</v>
      </c>
      <c r="W1771" s="3">
        <v>1797</v>
      </c>
      <c r="X1771" s="30">
        <v>177.56700000000001</v>
      </c>
      <c r="Y1771" s="33">
        <f t="shared" si="147"/>
        <v>0.17799999999999999</v>
      </c>
      <c r="AH1771" s="45">
        <f t="shared" si="151"/>
        <v>0</v>
      </c>
      <c r="AJ1771" s="44">
        <f t="shared" si="148"/>
        <v>1.7969999999999999</v>
      </c>
      <c r="AP1771" s="46">
        <f t="shared" si="149"/>
        <v>0.17799999999999999</v>
      </c>
    </row>
    <row r="1772" spans="19:42" ht="18">
      <c r="S1772" s="8">
        <f t="shared" si="150"/>
        <v>0</v>
      </c>
      <c r="W1772" s="3">
        <v>1798</v>
      </c>
      <c r="X1772" s="30">
        <v>177.6</v>
      </c>
      <c r="Y1772" s="33">
        <f t="shared" si="147"/>
        <v>0.17799999999999999</v>
      </c>
      <c r="AH1772" s="45">
        <f t="shared" si="151"/>
        <v>0</v>
      </c>
      <c r="AJ1772" s="44">
        <f t="shared" si="148"/>
        <v>1.798</v>
      </c>
      <c r="AP1772" s="46">
        <f t="shared" si="149"/>
        <v>0.17799999999999999</v>
      </c>
    </row>
    <row r="1773" spans="19:42" ht="18">
      <c r="S1773" s="8">
        <f t="shared" si="150"/>
        <v>0</v>
      </c>
      <c r="W1773" s="3">
        <v>1799</v>
      </c>
      <c r="X1773" s="30">
        <v>177.63300000000001</v>
      </c>
      <c r="Y1773" s="33">
        <f t="shared" si="147"/>
        <v>0.17799999999999999</v>
      </c>
      <c r="AH1773" s="45">
        <f t="shared" si="151"/>
        <v>0</v>
      </c>
      <c r="AJ1773" s="44">
        <f t="shared" si="148"/>
        <v>1.7989999999999999</v>
      </c>
      <c r="AP1773" s="46">
        <f t="shared" si="149"/>
        <v>0.17799999999999999</v>
      </c>
    </row>
    <row r="1774" spans="19:42" ht="18">
      <c r="S1774" s="8">
        <f t="shared" si="150"/>
        <v>0</v>
      </c>
      <c r="W1774" s="3">
        <v>1800</v>
      </c>
      <c r="X1774" s="30">
        <v>177.667</v>
      </c>
      <c r="Y1774" s="33">
        <f t="shared" si="147"/>
        <v>0.17799999999999999</v>
      </c>
      <c r="AH1774" s="45">
        <f t="shared" si="151"/>
        <v>0</v>
      </c>
      <c r="AJ1774" s="44">
        <f t="shared" si="148"/>
        <v>1.8</v>
      </c>
      <c r="AP1774" s="46">
        <f t="shared" si="149"/>
        <v>0.17799999999999999</v>
      </c>
    </row>
    <row r="1775" spans="19:42" ht="18">
      <c r="S1775" s="8">
        <f t="shared" si="150"/>
        <v>0</v>
      </c>
      <c r="W1775" s="3">
        <v>1801</v>
      </c>
      <c r="X1775" s="30">
        <v>177.7</v>
      </c>
      <c r="Y1775" s="33">
        <f t="shared" si="147"/>
        <v>0.17799999999999999</v>
      </c>
      <c r="AH1775" s="45">
        <f t="shared" si="151"/>
        <v>0</v>
      </c>
      <c r="AJ1775" s="44">
        <f t="shared" si="148"/>
        <v>1.8009999999999999</v>
      </c>
      <c r="AP1775" s="46">
        <f t="shared" si="149"/>
        <v>0.17799999999999999</v>
      </c>
    </row>
    <row r="1776" spans="19:42" ht="18">
      <c r="S1776" s="8">
        <f t="shared" si="150"/>
        <v>0</v>
      </c>
      <c r="W1776" s="3">
        <v>1802</v>
      </c>
      <c r="X1776" s="30">
        <v>177.733</v>
      </c>
      <c r="Y1776" s="33">
        <f t="shared" si="147"/>
        <v>0.17799999999999999</v>
      </c>
      <c r="AH1776" s="45">
        <f t="shared" si="151"/>
        <v>0</v>
      </c>
      <c r="AJ1776" s="44">
        <f t="shared" si="148"/>
        <v>1.802</v>
      </c>
      <c r="AP1776" s="46">
        <f t="shared" si="149"/>
        <v>0.17799999999999999</v>
      </c>
    </row>
    <row r="1777" spans="19:42" ht="18">
      <c r="S1777" s="8">
        <f t="shared" si="150"/>
        <v>0</v>
      </c>
      <c r="W1777" s="3">
        <v>1803</v>
      </c>
      <c r="X1777" s="30">
        <v>177.767</v>
      </c>
      <c r="Y1777" s="33">
        <f t="shared" si="147"/>
        <v>0.17799999999999999</v>
      </c>
      <c r="AH1777" s="45">
        <f t="shared" si="151"/>
        <v>0</v>
      </c>
      <c r="AJ1777" s="44">
        <f t="shared" si="148"/>
        <v>1.8029999999999999</v>
      </c>
      <c r="AP1777" s="46">
        <f t="shared" si="149"/>
        <v>0.17799999999999999</v>
      </c>
    </row>
    <row r="1778" spans="19:42" ht="18">
      <c r="S1778" s="8">
        <f t="shared" si="150"/>
        <v>0</v>
      </c>
      <c r="W1778" s="3">
        <v>1804</v>
      </c>
      <c r="X1778" s="30">
        <v>177.8</v>
      </c>
      <c r="Y1778" s="33">
        <f t="shared" si="147"/>
        <v>0.17799999999999999</v>
      </c>
      <c r="AH1778" s="45">
        <f t="shared" si="151"/>
        <v>0</v>
      </c>
      <c r="AJ1778" s="44">
        <f t="shared" si="148"/>
        <v>1.804</v>
      </c>
      <c r="AP1778" s="46">
        <f t="shared" si="149"/>
        <v>0.17799999999999999</v>
      </c>
    </row>
    <row r="1779" spans="19:42" ht="18">
      <c r="S1779" s="8">
        <f t="shared" si="150"/>
        <v>0</v>
      </c>
      <c r="W1779" s="3">
        <v>1805</v>
      </c>
      <c r="X1779" s="30">
        <v>177.833</v>
      </c>
      <c r="Y1779" s="33">
        <f t="shared" si="147"/>
        <v>0.17799999999999999</v>
      </c>
      <c r="AH1779" s="45">
        <f t="shared" si="151"/>
        <v>0</v>
      </c>
      <c r="AJ1779" s="44">
        <f t="shared" si="148"/>
        <v>1.8049999999999999</v>
      </c>
      <c r="AP1779" s="46">
        <f t="shared" si="149"/>
        <v>0.17799999999999999</v>
      </c>
    </row>
    <row r="1780" spans="19:42" ht="18">
      <c r="S1780" s="8">
        <f t="shared" si="150"/>
        <v>0</v>
      </c>
      <c r="W1780" s="3">
        <v>1806</v>
      </c>
      <c r="X1780" s="30">
        <v>177.86699999999999</v>
      </c>
      <c r="Y1780" s="33">
        <f t="shared" si="147"/>
        <v>0.17799999999999999</v>
      </c>
      <c r="AH1780" s="45">
        <f t="shared" si="151"/>
        <v>0</v>
      </c>
      <c r="AJ1780" s="44">
        <f t="shared" si="148"/>
        <v>1.806</v>
      </c>
      <c r="AP1780" s="46">
        <f t="shared" si="149"/>
        <v>0.17799999999999999</v>
      </c>
    </row>
    <row r="1781" spans="19:42" ht="18">
      <c r="S1781" s="8">
        <f t="shared" si="150"/>
        <v>0</v>
      </c>
      <c r="W1781" s="3">
        <v>1807</v>
      </c>
      <c r="X1781" s="30">
        <v>177.9</v>
      </c>
      <c r="Y1781" s="33">
        <f t="shared" si="147"/>
        <v>0.17799999999999999</v>
      </c>
      <c r="AH1781" s="45">
        <f t="shared" si="151"/>
        <v>0</v>
      </c>
      <c r="AJ1781" s="44">
        <f t="shared" si="148"/>
        <v>1.8069999999999999</v>
      </c>
      <c r="AP1781" s="46">
        <f t="shared" si="149"/>
        <v>0.17799999999999999</v>
      </c>
    </row>
    <row r="1782" spans="19:42" ht="18">
      <c r="S1782" s="8">
        <f t="shared" si="150"/>
        <v>0</v>
      </c>
      <c r="W1782" s="3">
        <v>1808</v>
      </c>
      <c r="X1782" s="30">
        <v>177.93299999999999</v>
      </c>
      <c r="Y1782" s="33">
        <f t="shared" si="147"/>
        <v>0.17799999999999999</v>
      </c>
      <c r="AH1782" s="45">
        <f t="shared" si="151"/>
        <v>0</v>
      </c>
      <c r="AJ1782" s="44">
        <f t="shared" si="148"/>
        <v>1.8080000000000001</v>
      </c>
      <c r="AP1782" s="46">
        <f t="shared" si="149"/>
        <v>0.17799999999999999</v>
      </c>
    </row>
    <row r="1783" spans="19:42" ht="18">
      <c r="S1783" s="8">
        <f t="shared" si="150"/>
        <v>0</v>
      </c>
      <c r="W1783" s="3">
        <v>1809</v>
      </c>
      <c r="X1783" s="30">
        <v>177.96700000000001</v>
      </c>
      <c r="Y1783" s="33">
        <f t="shared" si="147"/>
        <v>0.17799999999999999</v>
      </c>
      <c r="AH1783" s="45">
        <f t="shared" si="151"/>
        <v>0</v>
      </c>
      <c r="AJ1783" s="44">
        <f t="shared" si="148"/>
        <v>1.8089999999999999</v>
      </c>
      <c r="AP1783" s="46">
        <f t="shared" si="149"/>
        <v>0.17799999999999999</v>
      </c>
    </row>
    <row r="1784" spans="19:42" ht="18">
      <c r="S1784" s="8">
        <f t="shared" si="150"/>
        <v>0</v>
      </c>
      <c r="W1784" s="3">
        <v>1810</v>
      </c>
      <c r="X1784" s="30">
        <v>178</v>
      </c>
      <c r="Y1784" s="33">
        <f t="shared" si="147"/>
        <v>0.17799999999999999</v>
      </c>
      <c r="AH1784" s="45">
        <f t="shared" si="151"/>
        <v>0</v>
      </c>
      <c r="AJ1784" s="44">
        <f t="shared" si="148"/>
        <v>1.81</v>
      </c>
      <c r="AP1784" s="46">
        <f t="shared" si="149"/>
        <v>0.17799999999999999</v>
      </c>
    </row>
    <row r="1785" spans="19:42" ht="18">
      <c r="S1785" s="8">
        <f t="shared" si="150"/>
        <v>0</v>
      </c>
      <c r="W1785" s="3">
        <v>1811</v>
      </c>
      <c r="X1785" s="30">
        <v>178.03299999999999</v>
      </c>
      <c r="Y1785" s="33">
        <f t="shared" si="147"/>
        <v>0.17799999999999999</v>
      </c>
      <c r="AH1785" s="45">
        <f t="shared" si="151"/>
        <v>0</v>
      </c>
      <c r="AJ1785" s="44">
        <f t="shared" si="148"/>
        <v>1.8109999999999999</v>
      </c>
      <c r="AP1785" s="46">
        <f t="shared" si="149"/>
        <v>0.17799999999999999</v>
      </c>
    </row>
    <row r="1786" spans="19:42" ht="18">
      <c r="S1786" s="8">
        <f t="shared" si="150"/>
        <v>0</v>
      </c>
      <c r="W1786" s="3">
        <v>1812</v>
      </c>
      <c r="X1786" s="30">
        <v>178.06700000000001</v>
      </c>
      <c r="Y1786" s="33">
        <f t="shared" si="147"/>
        <v>0.17799999999999999</v>
      </c>
      <c r="AH1786" s="45">
        <f t="shared" si="151"/>
        <v>0</v>
      </c>
      <c r="AJ1786" s="44">
        <f t="shared" si="148"/>
        <v>1.8120000000000001</v>
      </c>
      <c r="AP1786" s="46">
        <f t="shared" si="149"/>
        <v>0.17799999999999999</v>
      </c>
    </row>
    <row r="1787" spans="19:42" ht="18">
      <c r="S1787" s="8">
        <f t="shared" si="150"/>
        <v>0</v>
      </c>
      <c r="W1787" s="3">
        <v>1813</v>
      </c>
      <c r="X1787" s="30">
        <v>178.1</v>
      </c>
      <c r="Y1787" s="33">
        <f t="shared" si="147"/>
        <v>0.17799999999999999</v>
      </c>
      <c r="AH1787" s="45">
        <f t="shared" si="151"/>
        <v>0</v>
      </c>
      <c r="AJ1787" s="44">
        <f t="shared" si="148"/>
        <v>1.8129999999999999</v>
      </c>
      <c r="AP1787" s="46">
        <f t="shared" si="149"/>
        <v>0.17799999999999999</v>
      </c>
    </row>
    <row r="1788" spans="19:42" ht="18">
      <c r="S1788" s="8">
        <f t="shared" si="150"/>
        <v>0</v>
      </c>
      <c r="W1788" s="3">
        <v>1814</v>
      </c>
      <c r="X1788" s="30">
        <v>178.13300000000001</v>
      </c>
      <c r="Y1788" s="33">
        <f t="shared" si="147"/>
        <v>0.17799999999999999</v>
      </c>
      <c r="AH1788" s="45">
        <f t="shared" si="151"/>
        <v>0</v>
      </c>
      <c r="AJ1788" s="44">
        <f t="shared" si="148"/>
        <v>1.8140000000000001</v>
      </c>
      <c r="AP1788" s="46">
        <f t="shared" si="149"/>
        <v>0.17799999999999999</v>
      </c>
    </row>
    <row r="1789" spans="19:42" ht="18">
      <c r="S1789" s="8">
        <f t="shared" si="150"/>
        <v>0</v>
      </c>
      <c r="W1789" s="3">
        <v>1815</v>
      </c>
      <c r="X1789" s="30">
        <v>178.167</v>
      </c>
      <c r="Y1789" s="33">
        <f t="shared" si="147"/>
        <v>0.17799999999999999</v>
      </c>
      <c r="AH1789" s="45">
        <f t="shared" si="151"/>
        <v>0</v>
      </c>
      <c r="AJ1789" s="44">
        <f t="shared" si="148"/>
        <v>1.8149999999999999</v>
      </c>
      <c r="AP1789" s="46">
        <f t="shared" si="149"/>
        <v>0.17799999999999999</v>
      </c>
    </row>
    <row r="1790" spans="19:42" ht="18">
      <c r="S1790" s="8">
        <f t="shared" si="150"/>
        <v>0</v>
      </c>
      <c r="W1790" s="3">
        <v>1816</v>
      </c>
      <c r="X1790" s="30">
        <v>178.2</v>
      </c>
      <c r="Y1790" s="33">
        <f t="shared" si="147"/>
        <v>0.17799999999999999</v>
      </c>
      <c r="AH1790" s="45">
        <f t="shared" si="151"/>
        <v>0</v>
      </c>
      <c r="AJ1790" s="44">
        <f t="shared" si="148"/>
        <v>1.8160000000000001</v>
      </c>
      <c r="AP1790" s="46">
        <f t="shared" si="149"/>
        <v>0.17799999999999999</v>
      </c>
    </row>
    <row r="1791" spans="19:42" ht="18">
      <c r="S1791" s="8">
        <f t="shared" si="150"/>
        <v>0</v>
      </c>
      <c r="W1791" s="3">
        <v>1817</v>
      </c>
      <c r="X1791" s="30">
        <v>178.233</v>
      </c>
      <c r="Y1791" s="33">
        <f t="shared" si="147"/>
        <v>0.17799999999999999</v>
      </c>
      <c r="AH1791" s="45">
        <f t="shared" si="151"/>
        <v>0</v>
      </c>
      <c r="AJ1791" s="44">
        <f t="shared" si="148"/>
        <v>1.8169999999999999</v>
      </c>
      <c r="AP1791" s="46">
        <f t="shared" si="149"/>
        <v>0.17799999999999999</v>
      </c>
    </row>
    <row r="1792" spans="19:42" ht="18">
      <c r="S1792" s="8">
        <f t="shared" si="150"/>
        <v>0</v>
      </c>
      <c r="W1792" s="3">
        <v>1818</v>
      </c>
      <c r="X1792" s="30">
        <v>178.267</v>
      </c>
      <c r="Y1792" s="33">
        <f t="shared" si="147"/>
        <v>0.17799999999999999</v>
      </c>
      <c r="AH1792" s="45">
        <f t="shared" si="151"/>
        <v>0</v>
      </c>
      <c r="AJ1792" s="44">
        <f t="shared" si="148"/>
        <v>1.8180000000000001</v>
      </c>
      <c r="AP1792" s="46">
        <f t="shared" si="149"/>
        <v>0.17799999999999999</v>
      </c>
    </row>
    <row r="1793" spans="19:42" ht="18">
      <c r="S1793" s="8">
        <f t="shared" si="150"/>
        <v>0</v>
      </c>
      <c r="W1793" s="3">
        <v>1819</v>
      </c>
      <c r="X1793" s="30">
        <v>178.3</v>
      </c>
      <c r="Y1793" s="33">
        <f t="shared" si="147"/>
        <v>0.17799999999999999</v>
      </c>
      <c r="AH1793" s="45">
        <f t="shared" si="151"/>
        <v>0</v>
      </c>
      <c r="AJ1793" s="44">
        <f t="shared" si="148"/>
        <v>1.819</v>
      </c>
      <c r="AP1793" s="46">
        <f t="shared" si="149"/>
        <v>0.17799999999999999</v>
      </c>
    </row>
    <row r="1794" spans="19:42" ht="18">
      <c r="S1794" s="8">
        <f t="shared" si="150"/>
        <v>0</v>
      </c>
      <c r="W1794" s="3">
        <v>1820</v>
      </c>
      <c r="X1794" s="30">
        <v>178.333</v>
      </c>
      <c r="Y1794" s="33">
        <f t="shared" si="147"/>
        <v>0.17799999999999999</v>
      </c>
      <c r="AH1794" s="45">
        <f t="shared" si="151"/>
        <v>0</v>
      </c>
      <c r="AJ1794" s="44">
        <f t="shared" si="148"/>
        <v>1.82</v>
      </c>
      <c r="AP1794" s="46">
        <f t="shared" si="149"/>
        <v>0.17799999999999999</v>
      </c>
    </row>
    <row r="1795" spans="19:42" ht="18">
      <c r="S1795" s="8">
        <f t="shared" si="150"/>
        <v>0</v>
      </c>
      <c r="W1795" s="3">
        <v>1821</v>
      </c>
      <c r="X1795" s="30">
        <v>178.36699999999999</v>
      </c>
      <c r="Y1795" s="33">
        <f t="shared" si="147"/>
        <v>0.17799999999999999</v>
      </c>
      <c r="AH1795" s="45">
        <f t="shared" si="151"/>
        <v>0</v>
      </c>
      <c r="AJ1795" s="44">
        <f t="shared" si="148"/>
        <v>1.821</v>
      </c>
      <c r="AP1795" s="46">
        <f t="shared" si="149"/>
        <v>0.17799999999999999</v>
      </c>
    </row>
    <row r="1796" spans="19:42" ht="18">
      <c r="S1796" s="8">
        <f t="shared" si="150"/>
        <v>0</v>
      </c>
      <c r="W1796" s="3">
        <v>1822</v>
      </c>
      <c r="X1796" s="30">
        <v>178.4</v>
      </c>
      <c r="Y1796" s="33">
        <f t="shared" si="147"/>
        <v>0.17799999999999999</v>
      </c>
      <c r="AH1796" s="45">
        <f t="shared" si="151"/>
        <v>0</v>
      </c>
      <c r="AJ1796" s="44">
        <f t="shared" si="148"/>
        <v>1.8220000000000001</v>
      </c>
      <c r="AP1796" s="46">
        <f t="shared" si="149"/>
        <v>0.17799999999999999</v>
      </c>
    </row>
    <row r="1797" spans="19:42" ht="18">
      <c r="S1797" s="8">
        <f t="shared" si="150"/>
        <v>0</v>
      </c>
      <c r="W1797" s="3">
        <v>1823</v>
      </c>
      <c r="X1797" s="30">
        <v>178.43299999999999</v>
      </c>
      <c r="Y1797" s="33">
        <f t="shared" ref="Y1797:Y1860" si="152">ROUND(X1797/1000,3)</f>
        <v>0.17799999999999999</v>
      </c>
      <c r="AH1797" s="45">
        <f t="shared" si="151"/>
        <v>0</v>
      </c>
      <c r="AJ1797" s="44">
        <f t="shared" ref="AJ1797:AJ1860" si="153">ROUND(W1797/1000,3)</f>
        <v>1.823</v>
      </c>
      <c r="AP1797" s="46">
        <f t="shared" ref="AP1797:AP1860" si="154">ROUND(X1797/1000,3)</f>
        <v>0.17799999999999999</v>
      </c>
    </row>
    <row r="1798" spans="19:42" ht="18">
      <c r="S1798" s="8">
        <f t="shared" ref="S1798:S1861" si="155">CEILING(R1798/50,0.5)</f>
        <v>0</v>
      </c>
      <c r="W1798" s="3">
        <v>1824</v>
      </c>
      <c r="X1798" s="30">
        <v>178.46700000000001</v>
      </c>
      <c r="Y1798" s="33">
        <f t="shared" si="152"/>
        <v>0.17799999999999999</v>
      </c>
      <c r="AH1798" s="45">
        <f t="shared" ref="AH1798:AH1861" si="156">AE1798-AE1797</f>
        <v>0</v>
      </c>
      <c r="AJ1798" s="44">
        <f t="shared" si="153"/>
        <v>1.8240000000000001</v>
      </c>
      <c r="AP1798" s="46">
        <f t="shared" si="154"/>
        <v>0.17799999999999999</v>
      </c>
    </row>
    <row r="1799" spans="19:42" ht="18">
      <c r="S1799" s="8">
        <f t="shared" si="155"/>
        <v>0</v>
      </c>
      <c r="W1799" s="3">
        <v>1825</v>
      </c>
      <c r="X1799" s="30">
        <v>178.5</v>
      </c>
      <c r="Y1799" s="33">
        <f t="shared" si="152"/>
        <v>0.17899999999999999</v>
      </c>
      <c r="AH1799" s="45">
        <f t="shared" si="156"/>
        <v>0</v>
      </c>
      <c r="AJ1799" s="44">
        <f t="shared" si="153"/>
        <v>1.825</v>
      </c>
      <c r="AP1799" s="46">
        <f t="shared" si="154"/>
        <v>0.17899999999999999</v>
      </c>
    </row>
    <row r="1800" spans="19:42" ht="18">
      <c r="S1800" s="8">
        <f t="shared" si="155"/>
        <v>0</v>
      </c>
      <c r="W1800" s="3">
        <v>1826</v>
      </c>
      <c r="X1800" s="30">
        <v>178.53299999999999</v>
      </c>
      <c r="Y1800" s="33">
        <f t="shared" si="152"/>
        <v>0.17899999999999999</v>
      </c>
      <c r="AH1800" s="45">
        <f t="shared" si="156"/>
        <v>0</v>
      </c>
      <c r="AJ1800" s="44">
        <f t="shared" si="153"/>
        <v>1.8260000000000001</v>
      </c>
      <c r="AP1800" s="46">
        <f t="shared" si="154"/>
        <v>0.17899999999999999</v>
      </c>
    </row>
    <row r="1801" spans="19:42" ht="18">
      <c r="S1801" s="8">
        <f t="shared" si="155"/>
        <v>0</v>
      </c>
      <c r="W1801" s="3">
        <v>1827</v>
      </c>
      <c r="X1801" s="30">
        <v>178.56700000000001</v>
      </c>
      <c r="Y1801" s="33">
        <f t="shared" si="152"/>
        <v>0.17899999999999999</v>
      </c>
      <c r="AH1801" s="45">
        <f t="shared" si="156"/>
        <v>0</v>
      </c>
      <c r="AJ1801" s="44">
        <f t="shared" si="153"/>
        <v>1.827</v>
      </c>
      <c r="AP1801" s="46">
        <f t="shared" si="154"/>
        <v>0.17899999999999999</v>
      </c>
    </row>
    <row r="1802" spans="19:42" ht="18">
      <c r="S1802" s="8">
        <f t="shared" si="155"/>
        <v>0</v>
      </c>
      <c r="W1802" s="3">
        <v>1828</v>
      </c>
      <c r="X1802" s="30">
        <v>178.6</v>
      </c>
      <c r="Y1802" s="33">
        <f t="shared" si="152"/>
        <v>0.17899999999999999</v>
      </c>
      <c r="AH1802" s="45">
        <f t="shared" si="156"/>
        <v>0</v>
      </c>
      <c r="AJ1802" s="44">
        <f t="shared" si="153"/>
        <v>1.8280000000000001</v>
      </c>
      <c r="AP1802" s="46">
        <f t="shared" si="154"/>
        <v>0.17899999999999999</v>
      </c>
    </row>
    <row r="1803" spans="19:42" ht="18">
      <c r="S1803" s="8">
        <f t="shared" si="155"/>
        <v>0</v>
      </c>
      <c r="W1803" s="3">
        <v>1829</v>
      </c>
      <c r="X1803" s="30">
        <v>178.63300000000001</v>
      </c>
      <c r="Y1803" s="33">
        <f t="shared" si="152"/>
        <v>0.17899999999999999</v>
      </c>
      <c r="AH1803" s="45">
        <f t="shared" si="156"/>
        <v>0</v>
      </c>
      <c r="AJ1803" s="44">
        <f t="shared" si="153"/>
        <v>1.829</v>
      </c>
      <c r="AP1803" s="46">
        <f t="shared" si="154"/>
        <v>0.17899999999999999</v>
      </c>
    </row>
    <row r="1804" spans="19:42" ht="18">
      <c r="S1804" s="8">
        <f t="shared" si="155"/>
        <v>0</v>
      </c>
      <c r="W1804" s="3">
        <v>1830</v>
      </c>
      <c r="X1804" s="30">
        <v>178.667</v>
      </c>
      <c r="Y1804" s="33">
        <f t="shared" si="152"/>
        <v>0.17899999999999999</v>
      </c>
      <c r="AH1804" s="45">
        <f t="shared" si="156"/>
        <v>0</v>
      </c>
      <c r="AJ1804" s="44">
        <f t="shared" si="153"/>
        <v>1.83</v>
      </c>
      <c r="AP1804" s="46">
        <f t="shared" si="154"/>
        <v>0.17899999999999999</v>
      </c>
    </row>
    <row r="1805" spans="19:42" ht="18">
      <c r="S1805" s="8">
        <f t="shared" si="155"/>
        <v>0</v>
      </c>
      <c r="W1805" s="3">
        <v>1831</v>
      </c>
      <c r="X1805" s="30">
        <v>178.7</v>
      </c>
      <c r="Y1805" s="33">
        <f t="shared" si="152"/>
        <v>0.17899999999999999</v>
      </c>
      <c r="AH1805" s="45">
        <f t="shared" si="156"/>
        <v>0</v>
      </c>
      <c r="AJ1805" s="44">
        <f t="shared" si="153"/>
        <v>1.831</v>
      </c>
      <c r="AP1805" s="46">
        <f t="shared" si="154"/>
        <v>0.17899999999999999</v>
      </c>
    </row>
    <row r="1806" spans="19:42" ht="18">
      <c r="S1806" s="8">
        <f t="shared" si="155"/>
        <v>0</v>
      </c>
      <c r="W1806" s="3">
        <v>1832</v>
      </c>
      <c r="X1806" s="30">
        <v>178.733</v>
      </c>
      <c r="Y1806" s="33">
        <f t="shared" si="152"/>
        <v>0.17899999999999999</v>
      </c>
      <c r="AH1806" s="45">
        <f t="shared" si="156"/>
        <v>0</v>
      </c>
      <c r="AJ1806" s="44">
        <f t="shared" si="153"/>
        <v>1.8320000000000001</v>
      </c>
      <c r="AP1806" s="46">
        <f t="shared" si="154"/>
        <v>0.17899999999999999</v>
      </c>
    </row>
    <row r="1807" spans="19:42" ht="18">
      <c r="S1807" s="8">
        <f t="shared" si="155"/>
        <v>0</v>
      </c>
      <c r="W1807" s="3">
        <v>1833</v>
      </c>
      <c r="X1807" s="30">
        <v>178.767</v>
      </c>
      <c r="Y1807" s="33">
        <f t="shared" si="152"/>
        <v>0.17899999999999999</v>
      </c>
      <c r="AH1807" s="45">
        <f t="shared" si="156"/>
        <v>0</v>
      </c>
      <c r="AJ1807" s="44">
        <f t="shared" si="153"/>
        <v>1.833</v>
      </c>
      <c r="AP1807" s="46">
        <f t="shared" si="154"/>
        <v>0.17899999999999999</v>
      </c>
    </row>
    <row r="1808" spans="19:42" ht="18">
      <c r="S1808" s="8">
        <f t="shared" si="155"/>
        <v>0</v>
      </c>
      <c r="W1808" s="3">
        <v>1834</v>
      </c>
      <c r="X1808" s="30">
        <v>178.8</v>
      </c>
      <c r="Y1808" s="33">
        <f t="shared" si="152"/>
        <v>0.17899999999999999</v>
      </c>
      <c r="AH1808" s="45">
        <f t="shared" si="156"/>
        <v>0</v>
      </c>
      <c r="AJ1808" s="44">
        <f t="shared" si="153"/>
        <v>1.8340000000000001</v>
      </c>
      <c r="AP1808" s="46">
        <f t="shared" si="154"/>
        <v>0.17899999999999999</v>
      </c>
    </row>
    <row r="1809" spans="19:42" ht="18">
      <c r="S1809" s="8">
        <f t="shared" si="155"/>
        <v>0</v>
      </c>
      <c r="W1809" s="3">
        <v>1835</v>
      </c>
      <c r="X1809" s="30">
        <v>178.833</v>
      </c>
      <c r="Y1809" s="33">
        <f t="shared" si="152"/>
        <v>0.17899999999999999</v>
      </c>
      <c r="AH1809" s="45">
        <f t="shared" si="156"/>
        <v>0</v>
      </c>
      <c r="AJ1809" s="44">
        <f t="shared" si="153"/>
        <v>1.835</v>
      </c>
      <c r="AP1809" s="46">
        <f t="shared" si="154"/>
        <v>0.17899999999999999</v>
      </c>
    </row>
    <row r="1810" spans="19:42" ht="18">
      <c r="S1810" s="8">
        <f t="shared" si="155"/>
        <v>0</v>
      </c>
      <c r="W1810" s="3">
        <v>1836</v>
      </c>
      <c r="X1810" s="30">
        <v>178.86699999999999</v>
      </c>
      <c r="Y1810" s="33">
        <f t="shared" si="152"/>
        <v>0.17899999999999999</v>
      </c>
      <c r="AH1810" s="45">
        <f t="shared" si="156"/>
        <v>0</v>
      </c>
      <c r="AJ1810" s="44">
        <f t="shared" si="153"/>
        <v>1.8360000000000001</v>
      </c>
      <c r="AP1810" s="46">
        <f t="shared" si="154"/>
        <v>0.17899999999999999</v>
      </c>
    </row>
    <row r="1811" spans="19:42" ht="18">
      <c r="S1811" s="8">
        <f t="shared" si="155"/>
        <v>0</v>
      </c>
      <c r="W1811" s="3">
        <v>1837</v>
      </c>
      <c r="X1811" s="30">
        <v>178.9</v>
      </c>
      <c r="Y1811" s="33">
        <f t="shared" si="152"/>
        <v>0.17899999999999999</v>
      </c>
      <c r="AH1811" s="45">
        <f t="shared" si="156"/>
        <v>0</v>
      </c>
      <c r="AJ1811" s="44">
        <f t="shared" si="153"/>
        <v>1.837</v>
      </c>
      <c r="AP1811" s="46">
        <f t="shared" si="154"/>
        <v>0.17899999999999999</v>
      </c>
    </row>
    <row r="1812" spans="19:42" ht="18">
      <c r="S1812" s="8">
        <f t="shared" si="155"/>
        <v>0</v>
      </c>
      <c r="W1812" s="3">
        <v>1838</v>
      </c>
      <c r="X1812" s="30">
        <v>178.93299999999999</v>
      </c>
      <c r="Y1812" s="33">
        <f t="shared" si="152"/>
        <v>0.17899999999999999</v>
      </c>
      <c r="AH1812" s="45">
        <f t="shared" si="156"/>
        <v>0</v>
      </c>
      <c r="AJ1812" s="44">
        <f t="shared" si="153"/>
        <v>1.8380000000000001</v>
      </c>
      <c r="AP1812" s="46">
        <f t="shared" si="154"/>
        <v>0.17899999999999999</v>
      </c>
    </row>
    <row r="1813" spans="19:42" ht="18">
      <c r="S1813" s="8">
        <f t="shared" si="155"/>
        <v>0</v>
      </c>
      <c r="W1813" s="3">
        <v>1839</v>
      </c>
      <c r="X1813" s="30">
        <v>178.96700000000001</v>
      </c>
      <c r="Y1813" s="33">
        <f t="shared" si="152"/>
        <v>0.17899999999999999</v>
      </c>
      <c r="AH1813" s="45">
        <f t="shared" si="156"/>
        <v>0</v>
      </c>
      <c r="AJ1813" s="44">
        <f t="shared" si="153"/>
        <v>1.839</v>
      </c>
      <c r="AP1813" s="46">
        <f t="shared" si="154"/>
        <v>0.17899999999999999</v>
      </c>
    </row>
    <row r="1814" spans="19:42" ht="18">
      <c r="S1814" s="8">
        <f t="shared" si="155"/>
        <v>0</v>
      </c>
      <c r="W1814" s="3">
        <v>1840</v>
      </c>
      <c r="X1814" s="30">
        <v>179</v>
      </c>
      <c r="Y1814" s="33">
        <f t="shared" si="152"/>
        <v>0.17899999999999999</v>
      </c>
      <c r="AH1814" s="45">
        <f t="shared" si="156"/>
        <v>0</v>
      </c>
      <c r="AJ1814" s="44">
        <f t="shared" si="153"/>
        <v>1.84</v>
      </c>
      <c r="AP1814" s="46">
        <f t="shared" si="154"/>
        <v>0.17899999999999999</v>
      </c>
    </row>
    <row r="1815" spans="19:42" ht="18">
      <c r="S1815" s="8">
        <f t="shared" si="155"/>
        <v>0</v>
      </c>
      <c r="W1815" s="3">
        <v>1841</v>
      </c>
      <c r="X1815" s="30">
        <v>179.05600000000001</v>
      </c>
      <c r="Y1815" s="33">
        <f t="shared" si="152"/>
        <v>0.17899999999999999</v>
      </c>
      <c r="AH1815" s="45">
        <f t="shared" si="156"/>
        <v>0</v>
      </c>
      <c r="AJ1815" s="44">
        <f t="shared" si="153"/>
        <v>1.841</v>
      </c>
      <c r="AP1815" s="46">
        <f t="shared" si="154"/>
        <v>0.17899999999999999</v>
      </c>
    </row>
    <row r="1816" spans="19:42" ht="18">
      <c r="S1816" s="8">
        <f t="shared" si="155"/>
        <v>0</v>
      </c>
      <c r="W1816" s="3">
        <v>1842</v>
      </c>
      <c r="X1816" s="30">
        <v>179.11099999999999</v>
      </c>
      <c r="Y1816" s="33">
        <f t="shared" si="152"/>
        <v>0.17899999999999999</v>
      </c>
      <c r="AH1816" s="45">
        <f t="shared" si="156"/>
        <v>0</v>
      </c>
      <c r="AJ1816" s="44">
        <f t="shared" si="153"/>
        <v>1.8420000000000001</v>
      </c>
      <c r="AP1816" s="46">
        <f t="shared" si="154"/>
        <v>0.17899999999999999</v>
      </c>
    </row>
    <row r="1817" spans="19:42" ht="18">
      <c r="S1817" s="8">
        <f t="shared" si="155"/>
        <v>0</v>
      </c>
      <c r="W1817" s="3">
        <v>1843</v>
      </c>
      <c r="X1817" s="30">
        <v>179.167</v>
      </c>
      <c r="Y1817" s="33">
        <f t="shared" si="152"/>
        <v>0.17899999999999999</v>
      </c>
      <c r="AH1817" s="45">
        <f t="shared" si="156"/>
        <v>0</v>
      </c>
      <c r="AJ1817" s="44">
        <f t="shared" si="153"/>
        <v>1.843</v>
      </c>
      <c r="AP1817" s="46">
        <f t="shared" si="154"/>
        <v>0.17899999999999999</v>
      </c>
    </row>
    <row r="1818" spans="19:42" ht="18">
      <c r="S1818" s="8">
        <f t="shared" si="155"/>
        <v>0</v>
      </c>
      <c r="W1818" s="3">
        <v>1844</v>
      </c>
      <c r="X1818" s="30">
        <v>179.22200000000001</v>
      </c>
      <c r="Y1818" s="33">
        <f t="shared" si="152"/>
        <v>0.17899999999999999</v>
      </c>
      <c r="AH1818" s="45">
        <f t="shared" si="156"/>
        <v>0</v>
      </c>
      <c r="AJ1818" s="44">
        <f t="shared" si="153"/>
        <v>1.8440000000000001</v>
      </c>
      <c r="AP1818" s="46">
        <f t="shared" si="154"/>
        <v>0.17899999999999999</v>
      </c>
    </row>
    <row r="1819" spans="19:42" ht="18">
      <c r="S1819" s="8">
        <f t="shared" si="155"/>
        <v>0</v>
      </c>
      <c r="W1819" s="3">
        <v>1845</v>
      </c>
      <c r="X1819" s="30">
        <v>179.27799999999999</v>
      </c>
      <c r="Y1819" s="33">
        <f t="shared" si="152"/>
        <v>0.17899999999999999</v>
      </c>
      <c r="AH1819" s="45">
        <f t="shared" si="156"/>
        <v>0</v>
      </c>
      <c r="AJ1819" s="44">
        <f t="shared" si="153"/>
        <v>1.845</v>
      </c>
      <c r="AP1819" s="46">
        <f t="shared" si="154"/>
        <v>0.17899999999999999</v>
      </c>
    </row>
    <row r="1820" spans="19:42" ht="18">
      <c r="S1820" s="8">
        <f t="shared" si="155"/>
        <v>0</v>
      </c>
      <c r="W1820" s="3">
        <v>1846</v>
      </c>
      <c r="X1820" s="30">
        <v>179.333</v>
      </c>
      <c r="Y1820" s="33">
        <f t="shared" si="152"/>
        <v>0.17899999999999999</v>
      </c>
      <c r="AH1820" s="45">
        <f t="shared" si="156"/>
        <v>0</v>
      </c>
      <c r="AJ1820" s="44">
        <f t="shared" si="153"/>
        <v>1.8460000000000001</v>
      </c>
      <c r="AP1820" s="46">
        <f t="shared" si="154"/>
        <v>0.17899999999999999</v>
      </c>
    </row>
    <row r="1821" spans="19:42" ht="18">
      <c r="S1821" s="8">
        <f t="shared" si="155"/>
        <v>0</v>
      </c>
      <c r="W1821" s="3">
        <v>1847</v>
      </c>
      <c r="X1821" s="30">
        <v>179.38900000000001</v>
      </c>
      <c r="Y1821" s="33">
        <f t="shared" si="152"/>
        <v>0.17899999999999999</v>
      </c>
      <c r="AH1821" s="45">
        <f t="shared" si="156"/>
        <v>0</v>
      </c>
      <c r="AJ1821" s="44">
        <f t="shared" si="153"/>
        <v>1.847</v>
      </c>
      <c r="AP1821" s="46">
        <f t="shared" si="154"/>
        <v>0.17899999999999999</v>
      </c>
    </row>
    <row r="1822" spans="19:42" ht="18">
      <c r="S1822" s="8">
        <f t="shared" si="155"/>
        <v>0</v>
      </c>
      <c r="W1822" s="3">
        <v>1848</v>
      </c>
      <c r="X1822" s="30">
        <v>179.44399999999999</v>
      </c>
      <c r="Y1822" s="33">
        <f t="shared" si="152"/>
        <v>0.17899999999999999</v>
      </c>
      <c r="AH1822" s="45">
        <f t="shared" si="156"/>
        <v>0</v>
      </c>
      <c r="AJ1822" s="44">
        <f t="shared" si="153"/>
        <v>1.8480000000000001</v>
      </c>
      <c r="AP1822" s="46">
        <f t="shared" si="154"/>
        <v>0.17899999999999999</v>
      </c>
    </row>
    <row r="1823" spans="19:42" ht="18">
      <c r="S1823" s="8">
        <f t="shared" si="155"/>
        <v>0</v>
      </c>
      <c r="W1823" s="3">
        <v>1849</v>
      </c>
      <c r="X1823" s="30">
        <v>179.5</v>
      </c>
      <c r="Y1823" s="33">
        <f t="shared" si="152"/>
        <v>0.18</v>
      </c>
      <c r="AH1823" s="45">
        <f t="shared" si="156"/>
        <v>0</v>
      </c>
      <c r="AJ1823" s="44">
        <f t="shared" si="153"/>
        <v>1.849</v>
      </c>
      <c r="AP1823" s="46">
        <f t="shared" si="154"/>
        <v>0.18</v>
      </c>
    </row>
    <row r="1824" spans="19:42" ht="18">
      <c r="S1824" s="8">
        <f t="shared" si="155"/>
        <v>0</v>
      </c>
      <c r="W1824" s="3">
        <v>1850</v>
      </c>
      <c r="X1824" s="30">
        <v>179.55600000000001</v>
      </c>
      <c r="Y1824" s="33">
        <f t="shared" si="152"/>
        <v>0.18</v>
      </c>
      <c r="AH1824" s="45">
        <f t="shared" si="156"/>
        <v>0</v>
      </c>
      <c r="AJ1824" s="44">
        <f t="shared" si="153"/>
        <v>1.85</v>
      </c>
      <c r="AP1824" s="46">
        <f t="shared" si="154"/>
        <v>0.18</v>
      </c>
    </row>
    <row r="1825" spans="19:42" ht="18">
      <c r="S1825" s="8">
        <f t="shared" si="155"/>
        <v>0</v>
      </c>
      <c r="W1825" s="3">
        <v>1851</v>
      </c>
      <c r="X1825" s="30">
        <v>179.61099999999999</v>
      </c>
      <c r="Y1825" s="33">
        <f t="shared" si="152"/>
        <v>0.18</v>
      </c>
      <c r="AH1825" s="45">
        <f t="shared" si="156"/>
        <v>0</v>
      </c>
      <c r="AJ1825" s="44">
        <f t="shared" si="153"/>
        <v>1.851</v>
      </c>
      <c r="AP1825" s="46">
        <f t="shared" si="154"/>
        <v>0.18</v>
      </c>
    </row>
    <row r="1826" spans="19:42" ht="18">
      <c r="S1826" s="8">
        <f t="shared" si="155"/>
        <v>0</v>
      </c>
      <c r="W1826" s="3">
        <v>1852</v>
      </c>
      <c r="X1826" s="30">
        <v>179.667</v>
      </c>
      <c r="Y1826" s="33">
        <f t="shared" si="152"/>
        <v>0.18</v>
      </c>
      <c r="AH1826" s="45">
        <f t="shared" si="156"/>
        <v>0</v>
      </c>
      <c r="AJ1826" s="44">
        <f t="shared" si="153"/>
        <v>1.8520000000000001</v>
      </c>
      <c r="AP1826" s="46">
        <f t="shared" si="154"/>
        <v>0.18</v>
      </c>
    </row>
    <row r="1827" spans="19:42" ht="18">
      <c r="S1827" s="8">
        <f t="shared" si="155"/>
        <v>0</v>
      </c>
      <c r="W1827" s="3">
        <v>1853</v>
      </c>
      <c r="X1827" s="30">
        <v>179.72200000000001</v>
      </c>
      <c r="Y1827" s="33">
        <f t="shared" si="152"/>
        <v>0.18</v>
      </c>
      <c r="AH1827" s="45">
        <f t="shared" si="156"/>
        <v>0</v>
      </c>
      <c r="AJ1827" s="44">
        <f t="shared" si="153"/>
        <v>1.853</v>
      </c>
      <c r="AP1827" s="46">
        <f t="shared" si="154"/>
        <v>0.18</v>
      </c>
    </row>
    <row r="1828" spans="19:42" ht="18">
      <c r="S1828" s="8">
        <f t="shared" si="155"/>
        <v>0</v>
      </c>
      <c r="W1828" s="3">
        <v>1854</v>
      </c>
      <c r="X1828" s="30">
        <v>179.77799999999999</v>
      </c>
      <c r="Y1828" s="33">
        <f t="shared" si="152"/>
        <v>0.18</v>
      </c>
      <c r="AH1828" s="45">
        <f t="shared" si="156"/>
        <v>0</v>
      </c>
      <c r="AJ1828" s="44">
        <f t="shared" si="153"/>
        <v>1.8540000000000001</v>
      </c>
      <c r="AP1828" s="46">
        <f t="shared" si="154"/>
        <v>0.18</v>
      </c>
    </row>
    <row r="1829" spans="19:42" ht="18">
      <c r="S1829" s="8">
        <f t="shared" si="155"/>
        <v>0</v>
      </c>
      <c r="W1829" s="3">
        <v>1855</v>
      </c>
      <c r="X1829" s="30">
        <v>179.833</v>
      </c>
      <c r="Y1829" s="33">
        <f t="shared" si="152"/>
        <v>0.18</v>
      </c>
      <c r="AH1829" s="45">
        <f t="shared" si="156"/>
        <v>0</v>
      </c>
      <c r="AJ1829" s="44">
        <f t="shared" si="153"/>
        <v>1.855</v>
      </c>
      <c r="AP1829" s="46">
        <f t="shared" si="154"/>
        <v>0.18</v>
      </c>
    </row>
    <row r="1830" spans="19:42" ht="18">
      <c r="S1830" s="8">
        <f t="shared" si="155"/>
        <v>0</v>
      </c>
      <c r="W1830" s="3">
        <v>1856</v>
      </c>
      <c r="X1830" s="30">
        <v>179.88900000000001</v>
      </c>
      <c r="Y1830" s="33">
        <f t="shared" si="152"/>
        <v>0.18</v>
      </c>
      <c r="AH1830" s="45">
        <f t="shared" si="156"/>
        <v>0</v>
      </c>
      <c r="AJ1830" s="44">
        <f t="shared" si="153"/>
        <v>1.8560000000000001</v>
      </c>
      <c r="AP1830" s="46">
        <f t="shared" si="154"/>
        <v>0.18</v>
      </c>
    </row>
    <row r="1831" spans="19:42" ht="18">
      <c r="S1831" s="8">
        <f t="shared" si="155"/>
        <v>0</v>
      </c>
      <c r="W1831" s="3">
        <v>1857</v>
      </c>
      <c r="X1831" s="30">
        <v>179.94399999999999</v>
      </c>
      <c r="Y1831" s="33">
        <f t="shared" si="152"/>
        <v>0.18</v>
      </c>
      <c r="AH1831" s="45">
        <f t="shared" si="156"/>
        <v>0</v>
      </c>
      <c r="AJ1831" s="44">
        <f t="shared" si="153"/>
        <v>1.857</v>
      </c>
      <c r="AP1831" s="46">
        <f t="shared" si="154"/>
        <v>0.18</v>
      </c>
    </row>
    <row r="1832" spans="19:42" ht="18">
      <c r="S1832" s="8">
        <f t="shared" si="155"/>
        <v>0</v>
      </c>
      <c r="W1832" s="3">
        <v>1858</v>
      </c>
      <c r="X1832" s="30">
        <v>180</v>
      </c>
      <c r="Y1832" s="33">
        <f t="shared" si="152"/>
        <v>0.18</v>
      </c>
      <c r="AH1832" s="45">
        <f t="shared" si="156"/>
        <v>0</v>
      </c>
      <c r="AJ1832" s="44">
        <f t="shared" si="153"/>
        <v>1.8580000000000001</v>
      </c>
      <c r="AP1832" s="46">
        <f t="shared" si="154"/>
        <v>0.18</v>
      </c>
    </row>
    <row r="1833" spans="19:42" ht="18">
      <c r="S1833" s="8">
        <f t="shared" si="155"/>
        <v>0</v>
      </c>
      <c r="W1833" s="3">
        <v>1859</v>
      </c>
      <c r="X1833" s="30">
        <v>180.05600000000001</v>
      </c>
      <c r="Y1833" s="33">
        <f t="shared" si="152"/>
        <v>0.18</v>
      </c>
      <c r="AH1833" s="45">
        <f t="shared" si="156"/>
        <v>0</v>
      </c>
      <c r="AJ1833" s="44">
        <f t="shared" si="153"/>
        <v>1.859</v>
      </c>
      <c r="AP1833" s="46">
        <f t="shared" si="154"/>
        <v>0.18</v>
      </c>
    </row>
    <row r="1834" spans="19:42" ht="18">
      <c r="S1834" s="8">
        <f t="shared" si="155"/>
        <v>0</v>
      </c>
      <c r="W1834" s="3">
        <v>1860</v>
      </c>
      <c r="X1834" s="30">
        <v>180.11099999999999</v>
      </c>
      <c r="Y1834" s="33">
        <f t="shared" si="152"/>
        <v>0.18</v>
      </c>
      <c r="AH1834" s="45">
        <f t="shared" si="156"/>
        <v>0</v>
      </c>
      <c r="AJ1834" s="44">
        <f t="shared" si="153"/>
        <v>1.86</v>
      </c>
      <c r="AP1834" s="46">
        <f t="shared" si="154"/>
        <v>0.18</v>
      </c>
    </row>
    <row r="1835" spans="19:42" ht="18">
      <c r="S1835" s="8">
        <f t="shared" si="155"/>
        <v>0</v>
      </c>
      <c r="W1835" s="3">
        <v>1861</v>
      </c>
      <c r="X1835" s="30">
        <v>180.167</v>
      </c>
      <c r="Y1835" s="33">
        <f t="shared" si="152"/>
        <v>0.18</v>
      </c>
      <c r="AH1835" s="45">
        <f t="shared" si="156"/>
        <v>0</v>
      </c>
      <c r="AJ1835" s="44">
        <f t="shared" si="153"/>
        <v>1.861</v>
      </c>
      <c r="AP1835" s="46">
        <f t="shared" si="154"/>
        <v>0.18</v>
      </c>
    </row>
    <row r="1836" spans="19:42" ht="18">
      <c r="S1836" s="8">
        <f t="shared" si="155"/>
        <v>0</v>
      </c>
      <c r="W1836" s="3">
        <v>1862</v>
      </c>
      <c r="X1836" s="30">
        <v>180.22200000000001</v>
      </c>
      <c r="Y1836" s="33">
        <f t="shared" si="152"/>
        <v>0.18</v>
      </c>
      <c r="AH1836" s="45">
        <f t="shared" si="156"/>
        <v>0</v>
      </c>
      <c r="AJ1836" s="44">
        <f t="shared" si="153"/>
        <v>1.8620000000000001</v>
      </c>
      <c r="AP1836" s="46">
        <f t="shared" si="154"/>
        <v>0.18</v>
      </c>
    </row>
    <row r="1837" spans="19:42" ht="18">
      <c r="S1837" s="8">
        <f t="shared" si="155"/>
        <v>0</v>
      </c>
      <c r="W1837" s="3">
        <v>1863</v>
      </c>
      <c r="X1837" s="30">
        <v>180.27799999999999</v>
      </c>
      <c r="Y1837" s="33">
        <f t="shared" si="152"/>
        <v>0.18</v>
      </c>
      <c r="AH1837" s="45">
        <f t="shared" si="156"/>
        <v>0</v>
      </c>
      <c r="AJ1837" s="44">
        <f t="shared" si="153"/>
        <v>1.863</v>
      </c>
      <c r="AP1837" s="46">
        <f t="shared" si="154"/>
        <v>0.18</v>
      </c>
    </row>
    <row r="1838" spans="19:42" ht="18">
      <c r="S1838" s="8">
        <f t="shared" si="155"/>
        <v>0</v>
      </c>
      <c r="W1838" s="3">
        <v>1864</v>
      </c>
      <c r="X1838" s="30">
        <v>180.333</v>
      </c>
      <c r="Y1838" s="33">
        <f t="shared" si="152"/>
        <v>0.18</v>
      </c>
      <c r="AH1838" s="45">
        <f t="shared" si="156"/>
        <v>0</v>
      </c>
      <c r="AJ1838" s="44">
        <f t="shared" si="153"/>
        <v>1.8640000000000001</v>
      </c>
      <c r="AP1838" s="46">
        <f t="shared" si="154"/>
        <v>0.18</v>
      </c>
    </row>
    <row r="1839" spans="19:42" ht="18">
      <c r="S1839" s="8">
        <f t="shared" si="155"/>
        <v>0</v>
      </c>
      <c r="W1839" s="3">
        <v>1865</v>
      </c>
      <c r="X1839" s="30">
        <v>180.38900000000001</v>
      </c>
      <c r="Y1839" s="33">
        <f t="shared" si="152"/>
        <v>0.18</v>
      </c>
      <c r="AH1839" s="45">
        <f t="shared" si="156"/>
        <v>0</v>
      </c>
      <c r="AJ1839" s="44">
        <f t="shared" si="153"/>
        <v>1.865</v>
      </c>
      <c r="AP1839" s="46">
        <f t="shared" si="154"/>
        <v>0.18</v>
      </c>
    </row>
    <row r="1840" spans="19:42" ht="18">
      <c r="S1840" s="8">
        <f t="shared" si="155"/>
        <v>0</v>
      </c>
      <c r="W1840" s="3">
        <v>1866</v>
      </c>
      <c r="X1840" s="30">
        <v>180.44399999999999</v>
      </c>
      <c r="Y1840" s="33">
        <f t="shared" si="152"/>
        <v>0.18</v>
      </c>
      <c r="AH1840" s="45">
        <f t="shared" si="156"/>
        <v>0</v>
      </c>
      <c r="AJ1840" s="44">
        <f t="shared" si="153"/>
        <v>1.8660000000000001</v>
      </c>
      <c r="AP1840" s="46">
        <f t="shared" si="154"/>
        <v>0.18</v>
      </c>
    </row>
    <row r="1841" spans="19:42" ht="18">
      <c r="S1841" s="8">
        <f t="shared" si="155"/>
        <v>0</v>
      </c>
      <c r="W1841" s="3">
        <v>1867</v>
      </c>
      <c r="X1841" s="30">
        <v>180.5</v>
      </c>
      <c r="Y1841" s="33">
        <f t="shared" si="152"/>
        <v>0.18099999999999999</v>
      </c>
      <c r="AH1841" s="45">
        <f t="shared" si="156"/>
        <v>0</v>
      </c>
      <c r="AJ1841" s="44">
        <f t="shared" si="153"/>
        <v>1.867</v>
      </c>
      <c r="AP1841" s="46">
        <f t="shared" si="154"/>
        <v>0.18099999999999999</v>
      </c>
    </row>
    <row r="1842" spans="19:42" ht="18">
      <c r="S1842" s="8">
        <f t="shared" si="155"/>
        <v>0</v>
      </c>
      <c r="W1842" s="3">
        <v>1868</v>
      </c>
      <c r="X1842" s="30">
        <v>180.55600000000001</v>
      </c>
      <c r="Y1842" s="33">
        <f t="shared" si="152"/>
        <v>0.18099999999999999</v>
      </c>
      <c r="AH1842" s="45">
        <f t="shared" si="156"/>
        <v>0</v>
      </c>
      <c r="AJ1842" s="44">
        <f t="shared" si="153"/>
        <v>1.8680000000000001</v>
      </c>
      <c r="AP1842" s="46">
        <f t="shared" si="154"/>
        <v>0.18099999999999999</v>
      </c>
    </row>
    <row r="1843" spans="19:42" ht="18">
      <c r="S1843" s="8">
        <f t="shared" si="155"/>
        <v>0</v>
      </c>
      <c r="W1843" s="3">
        <v>1869</v>
      </c>
      <c r="X1843" s="30">
        <v>180.61099999999999</v>
      </c>
      <c r="Y1843" s="33">
        <f t="shared" si="152"/>
        <v>0.18099999999999999</v>
      </c>
      <c r="AH1843" s="45">
        <f t="shared" si="156"/>
        <v>0</v>
      </c>
      <c r="AJ1843" s="44">
        <f t="shared" si="153"/>
        <v>1.869</v>
      </c>
      <c r="AP1843" s="46">
        <f t="shared" si="154"/>
        <v>0.18099999999999999</v>
      </c>
    </row>
    <row r="1844" spans="19:42" ht="18">
      <c r="S1844" s="8">
        <f t="shared" si="155"/>
        <v>0</v>
      </c>
      <c r="W1844" s="3">
        <v>1870</v>
      </c>
      <c r="X1844" s="30">
        <v>180.667</v>
      </c>
      <c r="Y1844" s="33">
        <f t="shared" si="152"/>
        <v>0.18099999999999999</v>
      </c>
      <c r="AH1844" s="45">
        <f t="shared" si="156"/>
        <v>0</v>
      </c>
      <c r="AJ1844" s="44">
        <f t="shared" si="153"/>
        <v>1.87</v>
      </c>
      <c r="AP1844" s="46">
        <f t="shared" si="154"/>
        <v>0.18099999999999999</v>
      </c>
    </row>
    <row r="1845" spans="19:42" ht="18">
      <c r="S1845" s="8">
        <f t="shared" si="155"/>
        <v>0</v>
      </c>
      <c r="W1845" s="3">
        <v>1871</v>
      </c>
      <c r="X1845" s="30">
        <v>180.72200000000001</v>
      </c>
      <c r="Y1845" s="33">
        <f t="shared" si="152"/>
        <v>0.18099999999999999</v>
      </c>
      <c r="AH1845" s="45">
        <f t="shared" si="156"/>
        <v>0</v>
      </c>
      <c r="AJ1845" s="44">
        <f t="shared" si="153"/>
        <v>1.871</v>
      </c>
      <c r="AP1845" s="46">
        <f t="shared" si="154"/>
        <v>0.18099999999999999</v>
      </c>
    </row>
    <row r="1846" spans="19:42" ht="18">
      <c r="S1846" s="8">
        <f t="shared" si="155"/>
        <v>0</v>
      </c>
      <c r="W1846" s="3">
        <v>1872</v>
      </c>
      <c r="X1846" s="30">
        <v>180.77799999999999</v>
      </c>
      <c r="Y1846" s="33">
        <f t="shared" si="152"/>
        <v>0.18099999999999999</v>
      </c>
      <c r="AH1846" s="45">
        <f t="shared" si="156"/>
        <v>0</v>
      </c>
      <c r="AJ1846" s="44">
        <f t="shared" si="153"/>
        <v>1.8720000000000001</v>
      </c>
      <c r="AP1846" s="46">
        <f t="shared" si="154"/>
        <v>0.18099999999999999</v>
      </c>
    </row>
    <row r="1847" spans="19:42" ht="18">
      <c r="S1847" s="8">
        <f t="shared" si="155"/>
        <v>0</v>
      </c>
      <c r="W1847" s="3">
        <v>1873</v>
      </c>
      <c r="X1847" s="30">
        <v>180.833</v>
      </c>
      <c r="Y1847" s="33">
        <f t="shared" si="152"/>
        <v>0.18099999999999999</v>
      </c>
      <c r="AH1847" s="45">
        <f t="shared" si="156"/>
        <v>0</v>
      </c>
      <c r="AJ1847" s="44">
        <f t="shared" si="153"/>
        <v>1.873</v>
      </c>
      <c r="AP1847" s="46">
        <f t="shared" si="154"/>
        <v>0.18099999999999999</v>
      </c>
    </row>
    <row r="1848" spans="19:42" ht="18">
      <c r="S1848" s="8">
        <f t="shared" si="155"/>
        <v>0</v>
      </c>
      <c r="W1848" s="3">
        <v>1874</v>
      </c>
      <c r="X1848" s="30">
        <v>180.88900000000001</v>
      </c>
      <c r="Y1848" s="33">
        <f t="shared" si="152"/>
        <v>0.18099999999999999</v>
      </c>
      <c r="AH1848" s="45">
        <f t="shared" si="156"/>
        <v>0</v>
      </c>
      <c r="AJ1848" s="44">
        <f t="shared" si="153"/>
        <v>1.8740000000000001</v>
      </c>
      <c r="AP1848" s="46">
        <f t="shared" si="154"/>
        <v>0.18099999999999999</v>
      </c>
    </row>
    <row r="1849" spans="19:42" ht="18">
      <c r="S1849" s="8">
        <f t="shared" si="155"/>
        <v>0</v>
      </c>
      <c r="W1849" s="3">
        <v>1875</v>
      </c>
      <c r="X1849" s="30">
        <v>180.94399999999999</v>
      </c>
      <c r="Y1849" s="33">
        <f t="shared" si="152"/>
        <v>0.18099999999999999</v>
      </c>
      <c r="AH1849" s="45">
        <f t="shared" si="156"/>
        <v>0</v>
      </c>
      <c r="AJ1849" s="44">
        <f t="shared" si="153"/>
        <v>1.875</v>
      </c>
      <c r="AP1849" s="46">
        <f t="shared" si="154"/>
        <v>0.18099999999999999</v>
      </c>
    </row>
    <row r="1850" spans="19:42" ht="18">
      <c r="S1850" s="8">
        <f t="shared" si="155"/>
        <v>0</v>
      </c>
      <c r="W1850" s="3">
        <v>1876</v>
      </c>
      <c r="X1850" s="30">
        <v>181</v>
      </c>
      <c r="Y1850" s="33">
        <f t="shared" si="152"/>
        <v>0.18099999999999999</v>
      </c>
      <c r="AH1850" s="45">
        <f t="shared" si="156"/>
        <v>0</v>
      </c>
      <c r="AJ1850" s="44">
        <f t="shared" si="153"/>
        <v>1.8759999999999999</v>
      </c>
      <c r="AP1850" s="46">
        <f t="shared" si="154"/>
        <v>0.18099999999999999</v>
      </c>
    </row>
    <row r="1851" spans="19:42" ht="18">
      <c r="S1851" s="8">
        <f t="shared" si="155"/>
        <v>0</v>
      </c>
      <c r="W1851" s="3">
        <v>1877</v>
      </c>
      <c r="X1851" s="30">
        <v>181.05600000000001</v>
      </c>
      <c r="Y1851" s="33">
        <f t="shared" si="152"/>
        <v>0.18099999999999999</v>
      </c>
      <c r="AH1851" s="45">
        <f t="shared" si="156"/>
        <v>0</v>
      </c>
      <c r="AJ1851" s="44">
        <f t="shared" si="153"/>
        <v>1.877</v>
      </c>
      <c r="AP1851" s="46">
        <f t="shared" si="154"/>
        <v>0.18099999999999999</v>
      </c>
    </row>
    <row r="1852" spans="19:42" ht="18">
      <c r="S1852" s="8">
        <f t="shared" si="155"/>
        <v>0</v>
      </c>
      <c r="W1852" s="3">
        <v>1878</v>
      </c>
      <c r="X1852" s="30">
        <v>181.11099999999999</v>
      </c>
      <c r="Y1852" s="33">
        <f t="shared" si="152"/>
        <v>0.18099999999999999</v>
      </c>
      <c r="AH1852" s="45">
        <f t="shared" si="156"/>
        <v>0</v>
      </c>
      <c r="AJ1852" s="44">
        <f t="shared" si="153"/>
        <v>1.8779999999999999</v>
      </c>
      <c r="AP1852" s="46">
        <f t="shared" si="154"/>
        <v>0.18099999999999999</v>
      </c>
    </row>
    <row r="1853" spans="19:42" ht="18">
      <c r="S1853" s="8">
        <f t="shared" si="155"/>
        <v>0</v>
      </c>
      <c r="W1853" s="3">
        <v>1879</v>
      </c>
      <c r="X1853" s="30">
        <v>181.167</v>
      </c>
      <c r="Y1853" s="33">
        <f t="shared" si="152"/>
        <v>0.18099999999999999</v>
      </c>
      <c r="AH1853" s="45">
        <f t="shared" si="156"/>
        <v>0</v>
      </c>
      <c r="AJ1853" s="44">
        <f t="shared" si="153"/>
        <v>1.879</v>
      </c>
      <c r="AP1853" s="46">
        <f t="shared" si="154"/>
        <v>0.18099999999999999</v>
      </c>
    </row>
    <row r="1854" spans="19:42" ht="18">
      <c r="S1854" s="8">
        <f t="shared" si="155"/>
        <v>0</v>
      </c>
      <c r="W1854" s="3">
        <v>1880</v>
      </c>
      <c r="X1854" s="30">
        <v>181.22200000000001</v>
      </c>
      <c r="Y1854" s="33">
        <f t="shared" si="152"/>
        <v>0.18099999999999999</v>
      </c>
      <c r="AH1854" s="45">
        <f t="shared" si="156"/>
        <v>0</v>
      </c>
      <c r="AJ1854" s="44">
        <f t="shared" si="153"/>
        <v>1.88</v>
      </c>
      <c r="AP1854" s="46">
        <f t="shared" si="154"/>
        <v>0.18099999999999999</v>
      </c>
    </row>
    <row r="1855" spans="19:42" ht="18">
      <c r="S1855" s="8">
        <f t="shared" si="155"/>
        <v>0</v>
      </c>
      <c r="W1855" s="3">
        <v>1881</v>
      </c>
      <c r="X1855" s="30">
        <v>181.27799999999999</v>
      </c>
      <c r="Y1855" s="33">
        <f t="shared" si="152"/>
        <v>0.18099999999999999</v>
      </c>
      <c r="AH1855" s="45">
        <f t="shared" si="156"/>
        <v>0</v>
      </c>
      <c r="AJ1855" s="44">
        <f t="shared" si="153"/>
        <v>1.881</v>
      </c>
      <c r="AP1855" s="46">
        <f t="shared" si="154"/>
        <v>0.18099999999999999</v>
      </c>
    </row>
    <row r="1856" spans="19:42" ht="18">
      <c r="S1856" s="8">
        <f t="shared" si="155"/>
        <v>0</v>
      </c>
      <c r="W1856" s="3">
        <v>1882</v>
      </c>
      <c r="X1856" s="30">
        <v>181.333</v>
      </c>
      <c r="Y1856" s="33">
        <f t="shared" si="152"/>
        <v>0.18099999999999999</v>
      </c>
      <c r="AH1856" s="45">
        <f t="shared" si="156"/>
        <v>0</v>
      </c>
      <c r="AJ1856" s="44">
        <f t="shared" si="153"/>
        <v>1.8819999999999999</v>
      </c>
      <c r="AP1856" s="46">
        <f t="shared" si="154"/>
        <v>0.18099999999999999</v>
      </c>
    </row>
    <row r="1857" spans="19:42" ht="18">
      <c r="S1857" s="8">
        <f t="shared" si="155"/>
        <v>0</v>
      </c>
      <c r="W1857" s="3">
        <v>1883</v>
      </c>
      <c r="X1857" s="30">
        <v>181.38900000000001</v>
      </c>
      <c r="Y1857" s="33">
        <f t="shared" si="152"/>
        <v>0.18099999999999999</v>
      </c>
      <c r="AH1857" s="45">
        <f t="shared" si="156"/>
        <v>0</v>
      </c>
      <c r="AJ1857" s="44">
        <f t="shared" si="153"/>
        <v>1.883</v>
      </c>
      <c r="AP1857" s="46">
        <f t="shared" si="154"/>
        <v>0.18099999999999999</v>
      </c>
    </row>
    <row r="1858" spans="19:42" ht="18">
      <c r="S1858" s="8">
        <f t="shared" si="155"/>
        <v>0</v>
      </c>
      <c r="W1858" s="3">
        <v>1884</v>
      </c>
      <c r="X1858" s="30">
        <v>181.44399999999999</v>
      </c>
      <c r="Y1858" s="33">
        <f t="shared" si="152"/>
        <v>0.18099999999999999</v>
      </c>
      <c r="AH1858" s="45">
        <f t="shared" si="156"/>
        <v>0</v>
      </c>
      <c r="AJ1858" s="44">
        <f t="shared" si="153"/>
        <v>1.8839999999999999</v>
      </c>
      <c r="AP1858" s="46">
        <f t="shared" si="154"/>
        <v>0.18099999999999999</v>
      </c>
    </row>
    <row r="1859" spans="19:42" ht="18">
      <c r="S1859" s="8">
        <f t="shared" si="155"/>
        <v>0</v>
      </c>
      <c r="W1859" s="3">
        <v>1885</v>
      </c>
      <c r="X1859" s="30">
        <v>181.5</v>
      </c>
      <c r="Y1859" s="33">
        <f t="shared" si="152"/>
        <v>0.182</v>
      </c>
      <c r="AH1859" s="45">
        <f t="shared" si="156"/>
        <v>0</v>
      </c>
      <c r="AJ1859" s="44">
        <f t="shared" si="153"/>
        <v>1.885</v>
      </c>
      <c r="AP1859" s="46">
        <f t="shared" si="154"/>
        <v>0.182</v>
      </c>
    </row>
    <row r="1860" spans="19:42" ht="18">
      <c r="S1860" s="8">
        <f t="shared" si="155"/>
        <v>0</v>
      </c>
      <c r="W1860" s="3">
        <v>1886</v>
      </c>
      <c r="X1860" s="30">
        <v>181.55600000000001</v>
      </c>
      <c r="Y1860" s="33">
        <f t="shared" si="152"/>
        <v>0.182</v>
      </c>
      <c r="AH1860" s="45">
        <f t="shared" si="156"/>
        <v>0</v>
      </c>
      <c r="AJ1860" s="44">
        <f t="shared" si="153"/>
        <v>1.8859999999999999</v>
      </c>
      <c r="AP1860" s="46">
        <f t="shared" si="154"/>
        <v>0.182</v>
      </c>
    </row>
    <row r="1861" spans="19:42" ht="18">
      <c r="S1861" s="8">
        <f t="shared" si="155"/>
        <v>0</v>
      </c>
      <c r="W1861" s="3">
        <v>1887</v>
      </c>
      <c r="X1861" s="30">
        <v>181.61099999999999</v>
      </c>
      <c r="Y1861" s="33">
        <f t="shared" ref="Y1861:Y1924" si="157">ROUND(X1861/1000,3)</f>
        <v>0.182</v>
      </c>
      <c r="AH1861" s="45">
        <f t="shared" si="156"/>
        <v>0</v>
      </c>
      <c r="AJ1861" s="44">
        <f t="shared" ref="AJ1861:AJ1924" si="158">ROUND(W1861/1000,3)</f>
        <v>1.887</v>
      </c>
      <c r="AP1861" s="46">
        <f t="shared" ref="AP1861:AP1924" si="159">ROUND(X1861/1000,3)</f>
        <v>0.182</v>
      </c>
    </row>
    <row r="1862" spans="19:42" ht="18">
      <c r="S1862" s="8">
        <f t="shared" ref="S1862:S1925" si="160">CEILING(R1862/50,0.5)</f>
        <v>0</v>
      </c>
      <c r="W1862" s="3">
        <v>1888</v>
      </c>
      <c r="X1862" s="30">
        <v>181.667</v>
      </c>
      <c r="Y1862" s="33">
        <f t="shared" si="157"/>
        <v>0.182</v>
      </c>
      <c r="AH1862" s="45">
        <f t="shared" ref="AH1862:AH1925" si="161">AE1862-AE1861</f>
        <v>0</v>
      </c>
      <c r="AJ1862" s="44">
        <f t="shared" si="158"/>
        <v>1.8879999999999999</v>
      </c>
      <c r="AP1862" s="46">
        <f t="shared" si="159"/>
        <v>0.182</v>
      </c>
    </row>
    <row r="1863" spans="19:42" ht="18">
      <c r="S1863" s="8">
        <f t="shared" si="160"/>
        <v>0</v>
      </c>
      <c r="W1863" s="3">
        <v>1889</v>
      </c>
      <c r="X1863" s="30">
        <v>181.72200000000001</v>
      </c>
      <c r="Y1863" s="33">
        <f t="shared" si="157"/>
        <v>0.182</v>
      </c>
      <c r="AH1863" s="45">
        <f t="shared" si="161"/>
        <v>0</v>
      </c>
      <c r="AJ1863" s="44">
        <f t="shared" si="158"/>
        <v>1.889</v>
      </c>
      <c r="AP1863" s="46">
        <f t="shared" si="159"/>
        <v>0.182</v>
      </c>
    </row>
    <row r="1864" spans="19:42" ht="18">
      <c r="S1864" s="8">
        <f t="shared" si="160"/>
        <v>0</v>
      </c>
      <c r="W1864" s="3">
        <v>1890</v>
      </c>
      <c r="X1864" s="30">
        <v>181.77799999999999</v>
      </c>
      <c r="Y1864" s="33">
        <f t="shared" si="157"/>
        <v>0.182</v>
      </c>
      <c r="AH1864" s="45">
        <f t="shared" si="161"/>
        <v>0</v>
      </c>
      <c r="AJ1864" s="44">
        <f t="shared" si="158"/>
        <v>1.89</v>
      </c>
      <c r="AP1864" s="46">
        <f t="shared" si="159"/>
        <v>0.182</v>
      </c>
    </row>
    <row r="1865" spans="19:42" ht="18">
      <c r="S1865" s="8">
        <f t="shared" si="160"/>
        <v>0</v>
      </c>
      <c r="W1865" s="3">
        <v>1891</v>
      </c>
      <c r="X1865" s="30">
        <v>181.833</v>
      </c>
      <c r="Y1865" s="33">
        <f t="shared" si="157"/>
        <v>0.182</v>
      </c>
      <c r="AH1865" s="45">
        <f t="shared" si="161"/>
        <v>0</v>
      </c>
      <c r="AJ1865" s="44">
        <f t="shared" si="158"/>
        <v>1.891</v>
      </c>
      <c r="AP1865" s="46">
        <f t="shared" si="159"/>
        <v>0.182</v>
      </c>
    </row>
    <row r="1866" spans="19:42" ht="18">
      <c r="S1866" s="8">
        <f t="shared" si="160"/>
        <v>0</v>
      </c>
      <c r="W1866" s="3">
        <v>1892</v>
      </c>
      <c r="X1866" s="30">
        <v>181.88900000000001</v>
      </c>
      <c r="Y1866" s="33">
        <f t="shared" si="157"/>
        <v>0.182</v>
      </c>
      <c r="AH1866" s="45">
        <f t="shared" si="161"/>
        <v>0</v>
      </c>
      <c r="AJ1866" s="44">
        <f t="shared" si="158"/>
        <v>1.8919999999999999</v>
      </c>
      <c r="AP1866" s="46">
        <f t="shared" si="159"/>
        <v>0.182</v>
      </c>
    </row>
    <row r="1867" spans="19:42" ht="18">
      <c r="S1867" s="8">
        <f t="shared" si="160"/>
        <v>0</v>
      </c>
      <c r="W1867" s="3">
        <v>1893</v>
      </c>
      <c r="X1867" s="30">
        <v>181.94399999999999</v>
      </c>
      <c r="Y1867" s="33">
        <f t="shared" si="157"/>
        <v>0.182</v>
      </c>
      <c r="AH1867" s="45">
        <f t="shared" si="161"/>
        <v>0</v>
      </c>
      <c r="AJ1867" s="44">
        <f t="shared" si="158"/>
        <v>1.893</v>
      </c>
      <c r="AP1867" s="46">
        <f t="shared" si="159"/>
        <v>0.182</v>
      </c>
    </row>
    <row r="1868" spans="19:42" ht="18">
      <c r="S1868" s="8">
        <f t="shared" si="160"/>
        <v>0</v>
      </c>
      <c r="W1868" s="3">
        <v>1894</v>
      </c>
      <c r="X1868" s="30">
        <v>182</v>
      </c>
      <c r="Y1868" s="33">
        <f t="shared" si="157"/>
        <v>0.182</v>
      </c>
      <c r="AH1868" s="45">
        <f t="shared" si="161"/>
        <v>0</v>
      </c>
      <c r="AJ1868" s="44">
        <f t="shared" si="158"/>
        <v>1.8939999999999999</v>
      </c>
      <c r="AP1868" s="46">
        <f t="shared" si="159"/>
        <v>0.182</v>
      </c>
    </row>
    <row r="1869" spans="19:42" ht="18">
      <c r="S1869" s="8">
        <f t="shared" si="160"/>
        <v>0</v>
      </c>
      <c r="W1869" s="3">
        <v>1895</v>
      </c>
      <c r="X1869" s="30">
        <v>182.05600000000001</v>
      </c>
      <c r="Y1869" s="33">
        <f t="shared" si="157"/>
        <v>0.182</v>
      </c>
      <c r="AH1869" s="45">
        <f t="shared" si="161"/>
        <v>0</v>
      </c>
      <c r="AJ1869" s="44">
        <f t="shared" si="158"/>
        <v>1.895</v>
      </c>
      <c r="AP1869" s="46">
        <f t="shared" si="159"/>
        <v>0.182</v>
      </c>
    </row>
    <row r="1870" spans="19:42" ht="18">
      <c r="S1870" s="8">
        <f t="shared" si="160"/>
        <v>0</v>
      </c>
      <c r="W1870" s="3">
        <v>1896</v>
      </c>
      <c r="X1870" s="30">
        <v>182.11099999999999</v>
      </c>
      <c r="Y1870" s="33">
        <f t="shared" si="157"/>
        <v>0.182</v>
      </c>
      <c r="AH1870" s="45">
        <f t="shared" si="161"/>
        <v>0</v>
      </c>
      <c r="AJ1870" s="44">
        <f t="shared" si="158"/>
        <v>1.8959999999999999</v>
      </c>
      <c r="AP1870" s="46">
        <f t="shared" si="159"/>
        <v>0.182</v>
      </c>
    </row>
    <row r="1871" spans="19:42" ht="18">
      <c r="S1871" s="8">
        <f t="shared" si="160"/>
        <v>0</v>
      </c>
      <c r="W1871" s="3">
        <v>1897</v>
      </c>
      <c r="X1871" s="30">
        <v>182.167</v>
      </c>
      <c r="Y1871" s="33">
        <f t="shared" si="157"/>
        <v>0.182</v>
      </c>
      <c r="AH1871" s="45">
        <f t="shared" si="161"/>
        <v>0</v>
      </c>
      <c r="AJ1871" s="44">
        <f t="shared" si="158"/>
        <v>1.897</v>
      </c>
      <c r="AP1871" s="46">
        <f t="shared" si="159"/>
        <v>0.182</v>
      </c>
    </row>
    <row r="1872" spans="19:42" ht="18">
      <c r="S1872" s="8">
        <f t="shared" si="160"/>
        <v>0</v>
      </c>
      <c r="W1872" s="3">
        <v>1898</v>
      </c>
      <c r="X1872" s="30">
        <v>182.22200000000001</v>
      </c>
      <c r="Y1872" s="33">
        <f t="shared" si="157"/>
        <v>0.182</v>
      </c>
      <c r="AH1872" s="45">
        <f t="shared" si="161"/>
        <v>0</v>
      </c>
      <c r="AJ1872" s="44">
        <f t="shared" si="158"/>
        <v>1.8979999999999999</v>
      </c>
      <c r="AP1872" s="46">
        <f t="shared" si="159"/>
        <v>0.182</v>
      </c>
    </row>
    <row r="1873" spans="19:42" ht="18">
      <c r="S1873" s="8">
        <f t="shared" si="160"/>
        <v>0</v>
      </c>
      <c r="W1873" s="3">
        <v>1899</v>
      </c>
      <c r="X1873" s="30">
        <v>182.27799999999999</v>
      </c>
      <c r="Y1873" s="33">
        <f t="shared" si="157"/>
        <v>0.182</v>
      </c>
      <c r="AH1873" s="45">
        <f t="shared" si="161"/>
        <v>0</v>
      </c>
      <c r="AJ1873" s="44">
        <f t="shared" si="158"/>
        <v>1.899</v>
      </c>
      <c r="AP1873" s="46">
        <f t="shared" si="159"/>
        <v>0.182</v>
      </c>
    </row>
    <row r="1874" spans="19:42" ht="18">
      <c r="S1874" s="8">
        <f t="shared" si="160"/>
        <v>0</v>
      </c>
      <c r="W1874" s="3">
        <v>1900</v>
      </c>
      <c r="X1874" s="30">
        <v>182.333</v>
      </c>
      <c r="Y1874" s="33">
        <f t="shared" si="157"/>
        <v>0.182</v>
      </c>
      <c r="AH1874" s="45">
        <f t="shared" si="161"/>
        <v>0</v>
      </c>
      <c r="AJ1874" s="44">
        <f t="shared" si="158"/>
        <v>1.9</v>
      </c>
      <c r="AP1874" s="46">
        <f t="shared" si="159"/>
        <v>0.182</v>
      </c>
    </row>
    <row r="1875" spans="19:42" ht="18">
      <c r="S1875" s="8">
        <f t="shared" si="160"/>
        <v>0</v>
      </c>
      <c r="W1875" s="3">
        <v>1901</v>
      </c>
      <c r="X1875" s="30">
        <v>182.38900000000001</v>
      </c>
      <c r="Y1875" s="33">
        <f t="shared" si="157"/>
        <v>0.182</v>
      </c>
      <c r="AH1875" s="45">
        <f t="shared" si="161"/>
        <v>0</v>
      </c>
      <c r="AJ1875" s="44">
        <f t="shared" si="158"/>
        <v>1.901</v>
      </c>
      <c r="AP1875" s="46">
        <f t="shared" si="159"/>
        <v>0.182</v>
      </c>
    </row>
    <row r="1876" spans="19:42" ht="18">
      <c r="S1876" s="8">
        <f t="shared" si="160"/>
        <v>0</v>
      </c>
      <c r="W1876" s="3">
        <v>1902</v>
      </c>
      <c r="X1876" s="30">
        <v>182.44399999999999</v>
      </c>
      <c r="Y1876" s="33">
        <f t="shared" si="157"/>
        <v>0.182</v>
      </c>
      <c r="AH1876" s="45">
        <f t="shared" si="161"/>
        <v>0</v>
      </c>
      <c r="AJ1876" s="44">
        <f t="shared" si="158"/>
        <v>1.9019999999999999</v>
      </c>
      <c r="AP1876" s="46">
        <f t="shared" si="159"/>
        <v>0.182</v>
      </c>
    </row>
    <row r="1877" spans="19:42" ht="18">
      <c r="S1877" s="8">
        <f t="shared" si="160"/>
        <v>0</v>
      </c>
      <c r="W1877" s="3">
        <v>1903</v>
      </c>
      <c r="X1877" s="30">
        <v>182.5</v>
      </c>
      <c r="Y1877" s="33">
        <f t="shared" si="157"/>
        <v>0.183</v>
      </c>
      <c r="AH1877" s="45">
        <f t="shared" si="161"/>
        <v>0</v>
      </c>
      <c r="AJ1877" s="44">
        <f t="shared" si="158"/>
        <v>1.903</v>
      </c>
      <c r="AP1877" s="46">
        <f t="shared" si="159"/>
        <v>0.183</v>
      </c>
    </row>
    <row r="1878" spans="19:42" ht="18">
      <c r="S1878" s="8">
        <f t="shared" si="160"/>
        <v>0</v>
      </c>
      <c r="W1878" s="3">
        <v>1904</v>
      </c>
      <c r="X1878" s="30">
        <v>182.55600000000001</v>
      </c>
      <c r="Y1878" s="33">
        <f t="shared" si="157"/>
        <v>0.183</v>
      </c>
      <c r="AH1878" s="45">
        <f t="shared" si="161"/>
        <v>0</v>
      </c>
      <c r="AJ1878" s="44">
        <f t="shared" si="158"/>
        <v>1.9039999999999999</v>
      </c>
      <c r="AP1878" s="46">
        <f t="shared" si="159"/>
        <v>0.183</v>
      </c>
    </row>
    <row r="1879" spans="19:42" ht="18">
      <c r="S1879" s="8">
        <f t="shared" si="160"/>
        <v>0</v>
      </c>
      <c r="W1879" s="3">
        <v>1905</v>
      </c>
      <c r="X1879" s="30">
        <v>182.61099999999999</v>
      </c>
      <c r="Y1879" s="33">
        <f t="shared" si="157"/>
        <v>0.183</v>
      </c>
      <c r="AH1879" s="45">
        <f t="shared" si="161"/>
        <v>0</v>
      </c>
      <c r="AJ1879" s="44">
        <f t="shared" si="158"/>
        <v>1.905</v>
      </c>
      <c r="AP1879" s="46">
        <f t="shared" si="159"/>
        <v>0.183</v>
      </c>
    </row>
    <row r="1880" spans="19:42" ht="18">
      <c r="S1880" s="8">
        <f t="shared" si="160"/>
        <v>0</v>
      </c>
      <c r="W1880" s="3">
        <v>1906</v>
      </c>
      <c r="X1880" s="30">
        <v>182.667</v>
      </c>
      <c r="Y1880" s="33">
        <f t="shared" si="157"/>
        <v>0.183</v>
      </c>
      <c r="AH1880" s="45">
        <f t="shared" si="161"/>
        <v>0</v>
      </c>
      <c r="AJ1880" s="44">
        <f t="shared" si="158"/>
        <v>1.9059999999999999</v>
      </c>
      <c r="AP1880" s="46">
        <f t="shared" si="159"/>
        <v>0.183</v>
      </c>
    </row>
    <row r="1881" spans="19:42" ht="18">
      <c r="S1881" s="8">
        <f t="shared" si="160"/>
        <v>0</v>
      </c>
      <c r="W1881" s="3">
        <v>1907</v>
      </c>
      <c r="X1881" s="30">
        <v>182.72200000000001</v>
      </c>
      <c r="Y1881" s="33">
        <f t="shared" si="157"/>
        <v>0.183</v>
      </c>
      <c r="AH1881" s="45">
        <f t="shared" si="161"/>
        <v>0</v>
      </c>
      <c r="AJ1881" s="44">
        <f t="shared" si="158"/>
        <v>1.907</v>
      </c>
      <c r="AP1881" s="46">
        <f t="shared" si="159"/>
        <v>0.183</v>
      </c>
    </row>
    <row r="1882" spans="19:42" ht="18">
      <c r="S1882" s="8">
        <f t="shared" si="160"/>
        <v>0</v>
      </c>
      <c r="W1882" s="3">
        <v>1908</v>
      </c>
      <c r="X1882" s="30">
        <v>182.77799999999999</v>
      </c>
      <c r="Y1882" s="33">
        <f t="shared" si="157"/>
        <v>0.183</v>
      </c>
      <c r="AH1882" s="45">
        <f t="shared" si="161"/>
        <v>0</v>
      </c>
      <c r="AJ1882" s="44">
        <f t="shared" si="158"/>
        <v>1.9079999999999999</v>
      </c>
      <c r="AP1882" s="46">
        <f t="shared" si="159"/>
        <v>0.183</v>
      </c>
    </row>
    <row r="1883" spans="19:42" ht="18">
      <c r="S1883" s="8">
        <f t="shared" si="160"/>
        <v>0</v>
      </c>
      <c r="W1883" s="3">
        <v>1909</v>
      </c>
      <c r="X1883" s="30">
        <v>182.833</v>
      </c>
      <c r="Y1883" s="33">
        <f t="shared" si="157"/>
        <v>0.183</v>
      </c>
      <c r="AH1883" s="45">
        <f t="shared" si="161"/>
        <v>0</v>
      </c>
      <c r="AJ1883" s="44">
        <f t="shared" si="158"/>
        <v>1.909</v>
      </c>
      <c r="AP1883" s="46">
        <f t="shared" si="159"/>
        <v>0.183</v>
      </c>
    </row>
    <row r="1884" spans="19:42" ht="18">
      <c r="S1884" s="8">
        <f t="shared" si="160"/>
        <v>0</v>
      </c>
      <c r="W1884" s="3">
        <v>1910</v>
      </c>
      <c r="X1884" s="30">
        <v>182.88900000000001</v>
      </c>
      <c r="Y1884" s="33">
        <f t="shared" si="157"/>
        <v>0.183</v>
      </c>
      <c r="AH1884" s="45">
        <f t="shared" si="161"/>
        <v>0</v>
      </c>
      <c r="AJ1884" s="44">
        <f t="shared" si="158"/>
        <v>1.91</v>
      </c>
      <c r="AP1884" s="46">
        <f t="shared" si="159"/>
        <v>0.183</v>
      </c>
    </row>
    <row r="1885" spans="19:42" ht="18">
      <c r="S1885" s="8">
        <f t="shared" si="160"/>
        <v>0</v>
      </c>
      <c r="W1885" s="3">
        <v>1911</v>
      </c>
      <c r="X1885" s="30">
        <v>182.94399999999999</v>
      </c>
      <c r="Y1885" s="33">
        <f t="shared" si="157"/>
        <v>0.183</v>
      </c>
      <c r="AH1885" s="45">
        <f t="shared" si="161"/>
        <v>0</v>
      </c>
      <c r="AJ1885" s="44">
        <f t="shared" si="158"/>
        <v>1.911</v>
      </c>
      <c r="AP1885" s="46">
        <f t="shared" si="159"/>
        <v>0.183</v>
      </c>
    </row>
    <row r="1886" spans="19:42" ht="18">
      <c r="S1886" s="8">
        <f t="shared" si="160"/>
        <v>0</v>
      </c>
      <c r="W1886" s="3">
        <v>1912</v>
      </c>
      <c r="X1886" s="30">
        <v>183</v>
      </c>
      <c r="Y1886" s="33">
        <f t="shared" si="157"/>
        <v>0.183</v>
      </c>
      <c r="AH1886" s="45">
        <f t="shared" si="161"/>
        <v>0</v>
      </c>
      <c r="AJ1886" s="44">
        <f t="shared" si="158"/>
        <v>1.9119999999999999</v>
      </c>
      <c r="AP1886" s="46">
        <f t="shared" si="159"/>
        <v>0.183</v>
      </c>
    </row>
    <row r="1887" spans="19:42" ht="18">
      <c r="S1887" s="8">
        <f t="shared" si="160"/>
        <v>0</v>
      </c>
      <c r="W1887" s="3">
        <v>1913</v>
      </c>
      <c r="X1887" s="30">
        <v>183.05600000000001</v>
      </c>
      <c r="Y1887" s="33">
        <f t="shared" si="157"/>
        <v>0.183</v>
      </c>
      <c r="AH1887" s="45">
        <f t="shared" si="161"/>
        <v>0</v>
      </c>
      <c r="AJ1887" s="44">
        <f t="shared" si="158"/>
        <v>1.913</v>
      </c>
      <c r="AP1887" s="46">
        <f t="shared" si="159"/>
        <v>0.183</v>
      </c>
    </row>
    <row r="1888" spans="19:42" ht="18">
      <c r="S1888" s="8">
        <f t="shared" si="160"/>
        <v>0</v>
      </c>
      <c r="W1888" s="3">
        <v>1914</v>
      </c>
      <c r="X1888" s="30">
        <v>183.11099999999999</v>
      </c>
      <c r="Y1888" s="33">
        <f t="shared" si="157"/>
        <v>0.183</v>
      </c>
      <c r="AH1888" s="45">
        <f t="shared" si="161"/>
        <v>0</v>
      </c>
      <c r="AJ1888" s="44">
        <f t="shared" si="158"/>
        <v>1.9139999999999999</v>
      </c>
      <c r="AP1888" s="46">
        <f t="shared" si="159"/>
        <v>0.183</v>
      </c>
    </row>
    <row r="1889" spans="19:42" ht="18">
      <c r="S1889" s="8">
        <f t="shared" si="160"/>
        <v>0</v>
      </c>
      <c r="W1889" s="3">
        <v>1915</v>
      </c>
      <c r="X1889" s="30">
        <v>183.167</v>
      </c>
      <c r="Y1889" s="33">
        <f t="shared" si="157"/>
        <v>0.183</v>
      </c>
      <c r="AH1889" s="45">
        <f t="shared" si="161"/>
        <v>0</v>
      </c>
      <c r="AJ1889" s="44">
        <f t="shared" si="158"/>
        <v>1.915</v>
      </c>
      <c r="AP1889" s="46">
        <f t="shared" si="159"/>
        <v>0.183</v>
      </c>
    </row>
    <row r="1890" spans="19:42" ht="18">
      <c r="S1890" s="8">
        <f t="shared" si="160"/>
        <v>0</v>
      </c>
      <c r="W1890" s="3">
        <v>1916</v>
      </c>
      <c r="X1890" s="30">
        <v>183.22200000000001</v>
      </c>
      <c r="Y1890" s="33">
        <f t="shared" si="157"/>
        <v>0.183</v>
      </c>
      <c r="AH1890" s="45">
        <f t="shared" si="161"/>
        <v>0</v>
      </c>
      <c r="AJ1890" s="44">
        <f t="shared" si="158"/>
        <v>1.9159999999999999</v>
      </c>
      <c r="AP1890" s="46">
        <f t="shared" si="159"/>
        <v>0.183</v>
      </c>
    </row>
    <row r="1891" spans="19:42" ht="18">
      <c r="S1891" s="8">
        <f t="shared" si="160"/>
        <v>0</v>
      </c>
      <c r="W1891" s="3">
        <v>1917</v>
      </c>
      <c r="X1891" s="30">
        <v>183.27799999999999</v>
      </c>
      <c r="Y1891" s="33">
        <f t="shared" si="157"/>
        <v>0.183</v>
      </c>
      <c r="AH1891" s="45">
        <f t="shared" si="161"/>
        <v>0</v>
      </c>
      <c r="AJ1891" s="44">
        <f t="shared" si="158"/>
        <v>1.917</v>
      </c>
      <c r="AP1891" s="46">
        <f t="shared" si="159"/>
        <v>0.183</v>
      </c>
    </row>
    <row r="1892" spans="19:42" ht="18">
      <c r="S1892" s="8">
        <f t="shared" si="160"/>
        <v>0</v>
      </c>
      <c r="W1892" s="3">
        <v>1918</v>
      </c>
      <c r="X1892" s="30">
        <v>183.333</v>
      </c>
      <c r="Y1892" s="33">
        <f t="shared" si="157"/>
        <v>0.183</v>
      </c>
      <c r="AH1892" s="45">
        <f t="shared" si="161"/>
        <v>0</v>
      </c>
      <c r="AJ1892" s="44">
        <f t="shared" si="158"/>
        <v>1.9179999999999999</v>
      </c>
      <c r="AP1892" s="46">
        <f t="shared" si="159"/>
        <v>0.183</v>
      </c>
    </row>
    <row r="1893" spans="19:42" ht="18">
      <c r="S1893" s="8">
        <f t="shared" si="160"/>
        <v>0</v>
      </c>
      <c r="W1893" s="3">
        <v>1919</v>
      </c>
      <c r="X1893" s="30">
        <v>183.38900000000001</v>
      </c>
      <c r="Y1893" s="33">
        <f t="shared" si="157"/>
        <v>0.183</v>
      </c>
      <c r="AH1893" s="45">
        <f t="shared" si="161"/>
        <v>0</v>
      </c>
      <c r="AJ1893" s="44">
        <f t="shared" si="158"/>
        <v>1.919</v>
      </c>
      <c r="AP1893" s="46">
        <f t="shared" si="159"/>
        <v>0.183</v>
      </c>
    </row>
    <row r="1894" spans="19:42" ht="18">
      <c r="S1894" s="8">
        <f t="shared" si="160"/>
        <v>0</v>
      </c>
      <c r="W1894" s="3">
        <v>1920</v>
      </c>
      <c r="X1894" s="30">
        <v>183.44399999999999</v>
      </c>
      <c r="Y1894" s="33">
        <f t="shared" si="157"/>
        <v>0.183</v>
      </c>
      <c r="AH1894" s="45">
        <f t="shared" si="161"/>
        <v>0</v>
      </c>
      <c r="AJ1894" s="44">
        <f t="shared" si="158"/>
        <v>1.92</v>
      </c>
      <c r="AP1894" s="46">
        <f t="shared" si="159"/>
        <v>0.183</v>
      </c>
    </row>
    <row r="1895" spans="19:42" ht="18">
      <c r="S1895" s="8">
        <f t="shared" si="160"/>
        <v>0</v>
      </c>
      <c r="W1895" s="3">
        <v>1921</v>
      </c>
      <c r="X1895" s="30">
        <v>183.5</v>
      </c>
      <c r="Y1895" s="33">
        <f t="shared" si="157"/>
        <v>0.184</v>
      </c>
      <c r="AH1895" s="45">
        <f t="shared" si="161"/>
        <v>0</v>
      </c>
      <c r="AJ1895" s="44">
        <f t="shared" si="158"/>
        <v>1.921</v>
      </c>
      <c r="AP1895" s="46">
        <f t="shared" si="159"/>
        <v>0.184</v>
      </c>
    </row>
    <row r="1896" spans="19:42" ht="18">
      <c r="S1896" s="8">
        <f t="shared" si="160"/>
        <v>0</v>
      </c>
      <c r="W1896" s="3">
        <v>1922</v>
      </c>
      <c r="X1896" s="30">
        <v>183.55600000000001</v>
      </c>
      <c r="Y1896" s="33">
        <f t="shared" si="157"/>
        <v>0.184</v>
      </c>
      <c r="AH1896" s="45">
        <f t="shared" si="161"/>
        <v>0</v>
      </c>
      <c r="AJ1896" s="44">
        <f t="shared" si="158"/>
        <v>1.9219999999999999</v>
      </c>
      <c r="AP1896" s="46">
        <f t="shared" si="159"/>
        <v>0.184</v>
      </c>
    </row>
    <row r="1897" spans="19:42" ht="18">
      <c r="S1897" s="8">
        <f t="shared" si="160"/>
        <v>0</v>
      </c>
      <c r="W1897" s="3">
        <v>1923</v>
      </c>
      <c r="X1897" s="30">
        <v>183.61099999999999</v>
      </c>
      <c r="Y1897" s="33">
        <f t="shared" si="157"/>
        <v>0.184</v>
      </c>
      <c r="AH1897" s="45">
        <f t="shared" si="161"/>
        <v>0</v>
      </c>
      <c r="AJ1897" s="44">
        <f t="shared" si="158"/>
        <v>1.923</v>
      </c>
      <c r="AP1897" s="46">
        <f t="shared" si="159"/>
        <v>0.184</v>
      </c>
    </row>
    <row r="1898" spans="19:42" ht="18">
      <c r="S1898" s="8">
        <f t="shared" si="160"/>
        <v>0</v>
      </c>
      <c r="W1898" s="3">
        <v>1924</v>
      </c>
      <c r="X1898" s="30">
        <v>183.667</v>
      </c>
      <c r="Y1898" s="33">
        <f t="shared" si="157"/>
        <v>0.184</v>
      </c>
      <c r="AH1898" s="45">
        <f t="shared" si="161"/>
        <v>0</v>
      </c>
      <c r="AJ1898" s="44">
        <f t="shared" si="158"/>
        <v>1.9239999999999999</v>
      </c>
      <c r="AP1898" s="46">
        <f t="shared" si="159"/>
        <v>0.184</v>
      </c>
    </row>
    <row r="1899" spans="19:42" ht="18">
      <c r="S1899" s="8">
        <f t="shared" si="160"/>
        <v>0</v>
      </c>
      <c r="W1899" s="3">
        <v>1925</v>
      </c>
      <c r="X1899" s="30">
        <v>183.72200000000001</v>
      </c>
      <c r="Y1899" s="33">
        <f t="shared" si="157"/>
        <v>0.184</v>
      </c>
      <c r="AH1899" s="45">
        <f t="shared" si="161"/>
        <v>0</v>
      </c>
      <c r="AJ1899" s="44">
        <f t="shared" si="158"/>
        <v>1.925</v>
      </c>
      <c r="AP1899" s="46">
        <f t="shared" si="159"/>
        <v>0.184</v>
      </c>
    </row>
    <row r="1900" spans="19:42" ht="18">
      <c r="S1900" s="8">
        <f t="shared" si="160"/>
        <v>0</v>
      </c>
      <c r="W1900" s="3">
        <v>1926</v>
      </c>
      <c r="X1900" s="30">
        <v>183.77799999999999</v>
      </c>
      <c r="Y1900" s="33">
        <f t="shared" si="157"/>
        <v>0.184</v>
      </c>
      <c r="AH1900" s="45">
        <f t="shared" si="161"/>
        <v>0</v>
      </c>
      <c r="AJ1900" s="44">
        <f t="shared" si="158"/>
        <v>1.9259999999999999</v>
      </c>
      <c r="AP1900" s="46">
        <f t="shared" si="159"/>
        <v>0.184</v>
      </c>
    </row>
    <row r="1901" spans="19:42" ht="18">
      <c r="S1901" s="8">
        <f t="shared" si="160"/>
        <v>0</v>
      </c>
      <c r="W1901" s="3">
        <v>1927</v>
      </c>
      <c r="X1901" s="30">
        <v>183.833</v>
      </c>
      <c r="Y1901" s="33">
        <f t="shared" si="157"/>
        <v>0.184</v>
      </c>
      <c r="AH1901" s="45">
        <f t="shared" si="161"/>
        <v>0</v>
      </c>
      <c r="AJ1901" s="44">
        <f t="shared" si="158"/>
        <v>1.927</v>
      </c>
      <c r="AP1901" s="46">
        <f t="shared" si="159"/>
        <v>0.184</v>
      </c>
    </row>
    <row r="1902" spans="19:42" ht="18">
      <c r="S1902" s="8">
        <f t="shared" si="160"/>
        <v>0</v>
      </c>
      <c r="W1902" s="3">
        <v>1928</v>
      </c>
      <c r="X1902" s="30">
        <v>183.88900000000001</v>
      </c>
      <c r="Y1902" s="33">
        <f t="shared" si="157"/>
        <v>0.184</v>
      </c>
      <c r="AH1902" s="45">
        <f t="shared" si="161"/>
        <v>0</v>
      </c>
      <c r="AJ1902" s="44">
        <f t="shared" si="158"/>
        <v>1.9279999999999999</v>
      </c>
      <c r="AP1902" s="46">
        <f t="shared" si="159"/>
        <v>0.184</v>
      </c>
    </row>
    <row r="1903" spans="19:42" ht="18">
      <c r="S1903" s="8">
        <f t="shared" si="160"/>
        <v>0</v>
      </c>
      <c r="W1903" s="3">
        <v>1929</v>
      </c>
      <c r="X1903" s="30">
        <v>183.94399999999999</v>
      </c>
      <c r="Y1903" s="33">
        <f t="shared" si="157"/>
        <v>0.184</v>
      </c>
      <c r="AH1903" s="45">
        <f t="shared" si="161"/>
        <v>0</v>
      </c>
      <c r="AJ1903" s="44">
        <f t="shared" si="158"/>
        <v>1.929</v>
      </c>
      <c r="AP1903" s="46">
        <f t="shared" si="159"/>
        <v>0.184</v>
      </c>
    </row>
    <row r="1904" spans="19:42" ht="18">
      <c r="S1904" s="8">
        <f t="shared" si="160"/>
        <v>0</v>
      </c>
      <c r="W1904" s="3">
        <v>1930</v>
      </c>
      <c r="X1904" s="30">
        <v>184</v>
      </c>
      <c r="Y1904" s="33">
        <f t="shared" si="157"/>
        <v>0.184</v>
      </c>
      <c r="AH1904" s="45">
        <f t="shared" si="161"/>
        <v>0</v>
      </c>
      <c r="AJ1904" s="44">
        <f t="shared" si="158"/>
        <v>1.93</v>
      </c>
      <c r="AP1904" s="46">
        <f t="shared" si="159"/>
        <v>0.184</v>
      </c>
    </row>
    <row r="1905" spans="19:42" ht="18">
      <c r="S1905" s="8">
        <f t="shared" si="160"/>
        <v>0</v>
      </c>
      <c r="W1905" s="3">
        <v>1931</v>
      </c>
      <c r="X1905" s="30">
        <v>184.05600000000001</v>
      </c>
      <c r="Y1905" s="33">
        <f t="shared" si="157"/>
        <v>0.184</v>
      </c>
      <c r="AH1905" s="45">
        <f t="shared" si="161"/>
        <v>0</v>
      </c>
      <c r="AJ1905" s="44">
        <f t="shared" si="158"/>
        <v>1.931</v>
      </c>
      <c r="AP1905" s="46">
        <f t="shared" si="159"/>
        <v>0.184</v>
      </c>
    </row>
    <row r="1906" spans="19:42" ht="18">
      <c r="S1906" s="8">
        <f t="shared" si="160"/>
        <v>0</v>
      </c>
      <c r="W1906" s="3">
        <v>1932</v>
      </c>
      <c r="X1906" s="30">
        <v>184.11099999999999</v>
      </c>
      <c r="Y1906" s="33">
        <f t="shared" si="157"/>
        <v>0.184</v>
      </c>
      <c r="AH1906" s="45">
        <f t="shared" si="161"/>
        <v>0</v>
      </c>
      <c r="AJ1906" s="44">
        <f t="shared" si="158"/>
        <v>1.9319999999999999</v>
      </c>
      <c r="AP1906" s="46">
        <f t="shared" si="159"/>
        <v>0.184</v>
      </c>
    </row>
    <row r="1907" spans="19:42" ht="18">
      <c r="S1907" s="8">
        <f t="shared" si="160"/>
        <v>0</v>
      </c>
      <c r="W1907" s="3">
        <v>1933</v>
      </c>
      <c r="X1907" s="30">
        <v>184.167</v>
      </c>
      <c r="Y1907" s="33">
        <f t="shared" si="157"/>
        <v>0.184</v>
      </c>
      <c r="AH1907" s="45">
        <f t="shared" si="161"/>
        <v>0</v>
      </c>
      <c r="AJ1907" s="44">
        <f t="shared" si="158"/>
        <v>1.9330000000000001</v>
      </c>
      <c r="AP1907" s="46">
        <f t="shared" si="159"/>
        <v>0.184</v>
      </c>
    </row>
    <row r="1908" spans="19:42" ht="18">
      <c r="S1908" s="8">
        <f t="shared" si="160"/>
        <v>0</v>
      </c>
      <c r="W1908" s="3">
        <v>1934</v>
      </c>
      <c r="X1908" s="30">
        <v>184.22200000000001</v>
      </c>
      <c r="Y1908" s="33">
        <f t="shared" si="157"/>
        <v>0.184</v>
      </c>
      <c r="AH1908" s="45">
        <f t="shared" si="161"/>
        <v>0</v>
      </c>
      <c r="AJ1908" s="44">
        <f t="shared" si="158"/>
        <v>1.9339999999999999</v>
      </c>
      <c r="AP1908" s="46">
        <f t="shared" si="159"/>
        <v>0.184</v>
      </c>
    </row>
    <row r="1909" spans="19:42" ht="18">
      <c r="S1909" s="8">
        <f t="shared" si="160"/>
        <v>0</v>
      </c>
      <c r="W1909" s="3">
        <v>1935</v>
      </c>
      <c r="X1909" s="30">
        <v>184.27799999999999</v>
      </c>
      <c r="Y1909" s="33">
        <f t="shared" si="157"/>
        <v>0.184</v>
      </c>
      <c r="AH1909" s="45">
        <f t="shared" si="161"/>
        <v>0</v>
      </c>
      <c r="AJ1909" s="44">
        <f t="shared" si="158"/>
        <v>1.9350000000000001</v>
      </c>
      <c r="AP1909" s="46">
        <f t="shared" si="159"/>
        <v>0.184</v>
      </c>
    </row>
    <row r="1910" spans="19:42" ht="18">
      <c r="S1910" s="8">
        <f t="shared" si="160"/>
        <v>0</v>
      </c>
      <c r="W1910" s="3">
        <v>1936</v>
      </c>
      <c r="X1910" s="30">
        <v>184.333</v>
      </c>
      <c r="Y1910" s="33">
        <f t="shared" si="157"/>
        <v>0.184</v>
      </c>
      <c r="AH1910" s="45">
        <f t="shared" si="161"/>
        <v>0</v>
      </c>
      <c r="AJ1910" s="44">
        <f t="shared" si="158"/>
        <v>1.9359999999999999</v>
      </c>
      <c r="AP1910" s="46">
        <f t="shared" si="159"/>
        <v>0.184</v>
      </c>
    </row>
    <row r="1911" spans="19:42" ht="18">
      <c r="S1911" s="8">
        <f t="shared" si="160"/>
        <v>0</v>
      </c>
      <c r="W1911" s="3">
        <v>1937</v>
      </c>
      <c r="X1911" s="30">
        <v>184.38900000000001</v>
      </c>
      <c r="Y1911" s="33">
        <f t="shared" si="157"/>
        <v>0.184</v>
      </c>
      <c r="AH1911" s="45">
        <f t="shared" si="161"/>
        <v>0</v>
      </c>
      <c r="AJ1911" s="44">
        <f t="shared" si="158"/>
        <v>1.9370000000000001</v>
      </c>
      <c r="AP1911" s="46">
        <f t="shared" si="159"/>
        <v>0.184</v>
      </c>
    </row>
    <row r="1912" spans="19:42" ht="18">
      <c r="S1912" s="8">
        <f t="shared" si="160"/>
        <v>0</v>
      </c>
      <c r="W1912" s="3">
        <v>1938</v>
      </c>
      <c r="X1912" s="30">
        <v>184.44399999999999</v>
      </c>
      <c r="Y1912" s="33">
        <f t="shared" si="157"/>
        <v>0.184</v>
      </c>
      <c r="AH1912" s="45">
        <f t="shared" si="161"/>
        <v>0</v>
      </c>
      <c r="AJ1912" s="44">
        <f t="shared" si="158"/>
        <v>1.9379999999999999</v>
      </c>
      <c r="AP1912" s="46">
        <f t="shared" si="159"/>
        <v>0.184</v>
      </c>
    </row>
    <row r="1913" spans="19:42" ht="18">
      <c r="S1913" s="8">
        <f t="shared" si="160"/>
        <v>0</v>
      </c>
      <c r="W1913" s="3">
        <v>1939</v>
      </c>
      <c r="X1913" s="30">
        <v>184.5</v>
      </c>
      <c r="Y1913" s="33">
        <f t="shared" si="157"/>
        <v>0.185</v>
      </c>
      <c r="AH1913" s="45">
        <f t="shared" si="161"/>
        <v>0</v>
      </c>
      <c r="AJ1913" s="44">
        <f t="shared" si="158"/>
        <v>1.9390000000000001</v>
      </c>
      <c r="AP1913" s="46">
        <f t="shared" si="159"/>
        <v>0.185</v>
      </c>
    </row>
    <row r="1914" spans="19:42" ht="18">
      <c r="S1914" s="8">
        <f t="shared" si="160"/>
        <v>0</v>
      </c>
      <c r="W1914" s="3">
        <v>1940</v>
      </c>
      <c r="X1914" s="30">
        <v>184.55600000000001</v>
      </c>
      <c r="Y1914" s="33">
        <f t="shared" si="157"/>
        <v>0.185</v>
      </c>
      <c r="AH1914" s="45">
        <f t="shared" si="161"/>
        <v>0</v>
      </c>
      <c r="AJ1914" s="44">
        <f t="shared" si="158"/>
        <v>1.94</v>
      </c>
      <c r="AP1914" s="46">
        <f t="shared" si="159"/>
        <v>0.185</v>
      </c>
    </row>
    <row r="1915" spans="19:42" ht="18">
      <c r="S1915" s="8">
        <f t="shared" si="160"/>
        <v>0</v>
      </c>
      <c r="W1915" s="3">
        <v>1941</v>
      </c>
      <c r="X1915" s="30">
        <v>184.61099999999999</v>
      </c>
      <c r="Y1915" s="33">
        <f t="shared" si="157"/>
        <v>0.185</v>
      </c>
      <c r="AH1915" s="45">
        <f t="shared" si="161"/>
        <v>0</v>
      </c>
      <c r="AJ1915" s="44">
        <f t="shared" si="158"/>
        <v>1.9410000000000001</v>
      </c>
      <c r="AP1915" s="46">
        <f t="shared" si="159"/>
        <v>0.185</v>
      </c>
    </row>
    <row r="1916" spans="19:42" ht="18">
      <c r="S1916" s="8">
        <f t="shared" si="160"/>
        <v>0</v>
      </c>
      <c r="W1916" s="3">
        <v>1942</v>
      </c>
      <c r="X1916" s="30">
        <v>184.667</v>
      </c>
      <c r="Y1916" s="33">
        <f t="shared" si="157"/>
        <v>0.185</v>
      </c>
      <c r="AH1916" s="45">
        <f t="shared" si="161"/>
        <v>0</v>
      </c>
      <c r="AJ1916" s="44">
        <f t="shared" si="158"/>
        <v>1.9419999999999999</v>
      </c>
      <c r="AP1916" s="46">
        <f t="shared" si="159"/>
        <v>0.185</v>
      </c>
    </row>
    <row r="1917" spans="19:42" ht="18">
      <c r="S1917" s="8">
        <f t="shared" si="160"/>
        <v>0</v>
      </c>
      <c r="W1917" s="3">
        <v>1943</v>
      </c>
      <c r="X1917" s="30">
        <v>184.72200000000001</v>
      </c>
      <c r="Y1917" s="33">
        <f t="shared" si="157"/>
        <v>0.185</v>
      </c>
      <c r="AH1917" s="45">
        <f t="shared" si="161"/>
        <v>0</v>
      </c>
      <c r="AJ1917" s="44">
        <f t="shared" si="158"/>
        <v>1.9430000000000001</v>
      </c>
      <c r="AP1917" s="46">
        <f t="shared" si="159"/>
        <v>0.185</v>
      </c>
    </row>
    <row r="1918" spans="19:42" ht="18">
      <c r="S1918" s="8">
        <f t="shared" si="160"/>
        <v>0</v>
      </c>
      <c r="W1918" s="3">
        <v>1944</v>
      </c>
      <c r="X1918" s="30">
        <v>184.77799999999999</v>
      </c>
      <c r="Y1918" s="33">
        <f t="shared" si="157"/>
        <v>0.185</v>
      </c>
      <c r="AH1918" s="45">
        <f t="shared" si="161"/>
        <v>0</v>
      </c>
      <c r="AJ1918" s="44">
        <f t="shared" si="158"/>
        <v>1.944</v>
      </c>
      <c r="AP1918" s="46">
        <f t="shared" si="159"/>
        <v>0.185</v>
      </c>
    </row>
    <row r="1919" spans="19:42" ht="18">
      <c r="S1919" s="8">
        <f t="shared" si="160"/>
        <v>0</v>
      </c>
      <c r="W1919" s="3">
        <v>1945</v>
      </c>
      <c r="X1919" s="30">
        <v>184.833</v>
      </c>
      <c r="Y1919" s="33">
        <f t="shared" si="157"/>
        <v>0.185</v>
      </c>
      <c r="AH1919" s="45">
        <f t="shared" si="161"/>
        <v>0</v>
      </c>
      <c r="AJ1919" s="44">
        <f t="shared" si="158"/>
        <v>1.9450000000000001</v>
      </c>
      <c r="AP1919" s="46">
        <f t="shared" si="159"/>
        <v>0.185</v>
      </c>
    </row>
    <row r="1920" spans="19:42" ht="18">
      <c r="S1920" s="8">
        <f t="shared" si="160"/>
        <v>0</v>
      </c>
      <c r="W1920" s="3">
        <v>1946</v>
      </c>
      <c r="X1920" s="30">
        <v>184.88900000000001</v>
      </c>
      <c r="Y1920" s="33">
        <f t="shared" si="157"/>
        <v>0.185</v>
      </c>
      <c r="AH1920" s="45">
        <f t="shared" si="161"/>
        <v>0</v>
      </c>
      <c r="AJ1920" s="44">
        <f t="shared" si="158"/>
        <v>1.946</v>
      </c>
      <c r="AP1920" s="46">
        <f t="shared" si="159"/>
        <v>0.185</v>
      </c>
    </row>
    <row r="1921" spans="19:42" ht="18">
      <c r="S1921" s="8">
        <f t="shared" si="160"/>
        <v>0</v>
      </c>
      <c r="W1921" s="3">
        <v>1947</v>
      </c>
      <c r="X1921" s="30">
        <v>184.94399999999999</v>
      </c>
      <c r="Y1921" s="33">
        <f t="shared" si="157"/>
        <v>0.185</v>
      </c>
      <c r="AH1921" s="45">
        <f t="shared" si="161"/>
        <v>0</v>
      </c>
      <c r="AJ1921" s="44">
        <f t="shared" si="158"/>
        <v>1.9470000000000001</v>
      </c>
      <c r="AP1921" s="46">
        <f t="shared" si="159"/>
        <v>0.185</v>
      </c>
    </row>
    <row r="1922" spans="19:42" ht="18">
      <c r="S1922" s="8">
        <f t="shared" si="160"/>
        <v>0</v>
      </c>
      <c r="W1922" s="3">
        <v>1948</v>
      </c>
      <c r="X1922" s="30">
        <v>185</v>
      </c>
      <c r="Y1922" s="33">
        <f t="shared" si="157"/>
        <v>0.185</v>
      </c>
      <c r="AH1922" s="45">
        <f t="shared" si="161"/>
        <v>0</v>
      </c>
      <c r="AJ1922" s="44">
        <f t="shared" si="158"/>
        <v>1.948</v>
      </c>
      <c r="AP1922" s="46">
        <f t="shared" si="159"/>
        <v>0.185</v>
      </c>
    </row>
    <row r="1923" spans="19:42" ht="18">
      <c r="S1923" s="8">
        <f t="shared" si="160"/>
        <v>0</v>
      </c>
      <c r="W1923" s="3">
        <v>1949</v>
      </c>
      <c r="X1923" s="30">
        <v>185.05600000000001</v>
      </c>
      <c r="Y1923" s="33">
        <f t="shared" si="157"/>
        <v>0.185</v>
      </c>
      <c r="AH1923" s="45">
        <f t="shared" si="161"/>
        <v>0</v>
      </c>
      <c r="AJ1923" s="44">
        <f t="shared" si="158"/>
        <v>1.9490000000000001</v>
      </c>
      <c r="AP1923" s="46">
        <f t="shared" si="159"/>
        <v>0.185</v>
      </c>
    </row>
    <row r="1924" spans="19:42" ht="18">
      <c r="S1924" s="8">
        <f t="shared" si="160"/>
        <v>0</v>
      </c>
      <c r="W1924" s="3">
        <v>1950</v>
      </c>
      <c r="X1924" s="30">
        <v>185.11099999999999</v>
      </c>
      <c r="Y1924" s="33">
        <f t="shared" si="157"/>
        <v>0.185</v>
      </c>
      <c r="AH1924" s="45">
        <f t="shared" si="161"/>
        <v>0</v>
      </c>
      <c r="AJ1924" s="44">
        <f t="shared" si="158"/>
        <v>1.95</v>
      </c>
      <c r="AP1924" s="46">
        <f t="shared" si="159"/>
        <v>0.185</v>
      </c>
    </row>
    <row r="1925" spans="19:42" ht="18">
      <c r="S1925" s="8">
        <f t="shared" si="160"/>
        <v>0</v>
      </c>
      <c r="W1925" s="3">
        <v>1951</v>
      </c>
      <c r="X1925" s="30">
        <v>185.167</v>
      </c>
      <c r="Y1925" s="33">
        <f t="shared" ref="Y1925:Y1988" si="162">ROUND(X1925/1000,3)</f>
        <v>0.185</v>
      </c>
      <c r="AH1925" s="45">
        <f t="shared" si="161"/>
        <v>0</v>
      </c>
      <c r="AJ1925" s="44">
        <f t="shared" ref="AJ1925:AJ1988" si="163">ROUND(W1925/1000,3)</f>
        <v>1.9510000000000001</v>
      </c>
      <c r="AP1925" s="46">
        <f t="shared" ref="AP1925:AP1988" si="164">ROUND(X1925/1000,3)</f>
        <v>0.185</v>
      </c>
    </row>
    <row r="1926" spans="19:42" ht="18">
      <c r="S1926" s="8">
        <f t="shared" ref="S1926:S1989" si="165">CEILING(R1926/50,0.5)</f>
        <v>0</v>
      </c>
      <c r="W1926" s="3">
        <v>1952</v>
      </c>
      <c r="X1926" s="30">
        <v>185.22200000000001</v>
      </c>
      <c r="Y1926" s="33">
        <f t="shared" si="162"/>
        <v>0.185</v>
      </c>
      <c r="AH1926" s="45">
        <f t="shared" ref="AH1926:AH1989" si="166">AE1926-AE1925</f>
        <v>0</v>
      </c>
      <c r="AJ1926" s="44">
        <f t="shared" si="163"/>
        <v>1.952</v>
      </c>
      <c r="AP1926" s="46">
        <f t="shared" si="164"/>
        <v>0.185</v>
      </c>
    </row>
    <row r="1927" spans="19:42" ht="18">
      <c r="S1927" s="8">
        <f t="shared" si="165"/>
        <v>0</v>
      </c>
      <c r="W1927" s="3">
        <v>1953</v>
      </c>
      <c r="X1927" s="30">
        <v>185.27799999999999</v>
      </c>
      <c r="Y1927" s="33">
        <f t="shared" si="162"/>
        <v>0.185</v>
      </c>
      <c r="AH1927" s="45">
        <f t="shared" si="166"/>
        <v>0</v>
      </c>
      <c r="AJ1927" s="44">
        <f t="shared" si="163"/>
        <v>1.9530000000000001</v>
      </c>
      <c r="AP1927" s="46">
        <f t="shared" si="164"/>
        <v>0.185</v>
      </c>
    </row>
    <row r="1928" spans="19:42" ht="18">
      <c r="S1928" s="8">
        <f t="shared" si="165"/>
        <v>0</v>
      </c>
      <c r="W1928" s="3">
        <v>1954</v>
      </c>
      <c r="X1928" s="30">
        <v>185.333</v>
      </c>
      <c r="Y1928" s="33">
        <f t="shared" si="162"/>
        <v>0.185</v>
      </c>
      <c r="AH1928" s="45">
        <f t="shared" si="166"/>
        <v>0</v>
      </c>
      <c r="AJ1928" s="44">
        <f t="shared" si="163"/>
        <v>1.954</v>
      </c>
      <c r="AP1928" s="46">
        <f t="shared" si="164"/>
        <v>0.185</v>
      </c>
    </row>
    <row r="1929" spans="19:42" ht="18">
      <c r="S1929" s="8">
        <f t="shared" si="165"/>
        <v>0</v>
      </c>
      <c r="W1929" s="3">
        <v>1955</v>
      </c>
      <c r="X1929" s="30">
        <v>185.38900000000001</v>
      </c>
      <c r="Y1929" s="33">
        <f t="shared" si="162"/>
        <v>0.185</v>
      </c>
      <c r="AH1929" s="45">
        <f t="shared" si="166"/>
        <v>0</v>
      </c>
      <c r="AJ1929" s="44">
        <f t="shared" si="163"/>
        <v>1.9550000000000001</v>
      </c>
      <c r="AP1929" s="46">
        <f t="shared" si="164"/>
        <v>0.185</v>
      </c>
    </row>
    <row r="1930" spans="19:42" ht="18">
      <c r="S1930" s="8">
        <f t="shared" si="165"/>
        <v>0</v>
      </c>
      <c r="W1930" s="3">
        <v>1956</v>
      </c>
      <c r="X1930" s="30">
        <v>185.44399999999999</v>
      </c>
      <c r="Y1930" s="33">
        <f t="shared" si="162"/>
        <v>0.185</v>
      </c>
      <c r="AH1930" s="45">
        <f t="shared" si="166"/>
        <v>0</v>
      </c>
      <c r="AJ1930" s="44">
        <f t="shared" si="163"/>
        <v>1.956</v>
      </c>
      <c r="AP1930" s="46">
        <f t="shared" si="164"/>
        <v>0.185</v>
      </c>
    </row>
    <row r="1931" spans="19:42" ht="18">
      <c r="S1931" s="8">
        <f t="shared" si="165"/>
        <v>0</v>
      </c>
      <c r="W1931" s="3">
        <v>1957</v>
      </c>
      <c r="X1931" s="30">
        <v>185.5</v>
      </c>
      <c r="Y1931" s="33">
        <f t="shared" si="162"/>
        <v>0.186</v>
      </c>
      <c r="AH1931" s="45">
        <f t="shared" si="166"/>
        <v>0</v>
      </c>
      <c r="AJ1931" s="44">
        <f t="shared" si="163"/>
        <v>1.9570000000000001</v>
      </c>
      <c r="AP1931" s="46">
        <f t="shared" si="164"/>
        <v>0.186</v>
      </c>
    </row>
    <row r="1932" spans="19:42" ht="18">
      <c r="S1932" s="8">
        <f t="shared" si="165"/>
        <v>0</v>
      </c>
      <c r="W1932" s="3">
        <v>1958</v>
      </c>
      <c r="X1932" s="30">
        <v>185.55600000000001</v>
      </c>
      <c r="Y1932" s="33">
        <f t="shared" si="162"/>
        <v>0.186</v>
      </c>
      <c r="AH1932" s="45">
        <f t="shared" si="166"/>
        <v>0</v>
      </c>
      <c r="AJ1932" s="44">
        <f t="shared" si="163"/>
        <v>1.958</v>
      </c>
      <c r="AP1932" s="46">
        <f t="shared" si="164"/>
        <v>0.186</v>
      </c>
    </row>
    <row r="1933" spans="19:42" ht="18">
      <c r="S1933" s="8">
        <f t="shared" si="165"/>
        <v>0</v>
      </c>
      <c r="W1933" s="3">
        <v>1959</v>
      </c>
      <c r="X1933" s="30">
        <v>185.61099999999999</v>
      </c>
      <c r="Y1933" s="33">
        <f t="shared" si="162"/>
        <v>0.186</v>
      </c>
      <c r="AH1933" s="45">
        <f t="shared" si="166"/>
        <v>0</v>
      </c>
      <c r="AJ1933" s="44">
        <f t="shared" si="163"/>
        <v>1.9590000000000001</v>
      </c>
      <c r="AP1933" s="46">
        <f t="shared" si="164"/>
        <v>0.186</v>
      </c>
    </row>
    <row r="1934" spans="19:42" ht="18">
      <c r="S1934" s="8">
        <f t="shared" si="165"/>
        <v>0</v>
      </c>
      <c r="W1934" s="3">
        <v>1960</v>
      </c>
      <c r="X1934" s="30">
        <v>185.667</v>
      </c>
      <c r="Y1934" s="33">
        <f t="shared" si="162"/>
        <v>0.186</v>
      </c>
      <c r="AH1934" s="45">
        <f t="shared" si="166"/>
        <v>0</v>
      </c>
      <c r="AJ1934" s="44">
        <f t="shared" si="163"/>
        <v>1.96</v>
      </c>
      <c r="AP1934" s="46">
        <f t="shared" si="164"/>
        <v>0.186</v>
      </c>
    </row>
    <row r="1935" spans="19:42" ht="18">
      <c r="S1935" s="8">
        <f t="shared" si="165"/>
        <v>0</v>
      </c>
      <c r="W1935" s="3">
        <v>1961</v>
      </c>
      <c r="X1935" s="30">
        <v>185.72200000000001</v>
      </c>
      <c r="Y1935" s="33">
        <f t="shared" si="162"/>
        <v>0.186</v>
      </c>
      <c r="AH1935" s="45">
        <f t="shared" si="166"/>
        <v>0</v>
      </c>
      <c r="AJ1935" s="44">
        <f t="shared" si="163"/>
        <v>1.9610000000000001</v>
      </c>
      <c r="AP1935" s="46">
        <f t="shared" si="164"/>
        <v>0.186</v>
      </c>
    </row>
    <row r="1936" spans="19:42" ht="18">
      <c r="S1936" s="8">
        <f t="shared" si="165"/>
        <v>0</v>
      </c>
      <c r="W1936" s="3">
        <v>1962</v>
      </c>
      <c r="X1936" s="30">
        <v>185.77799999999999</v>
      </c>
      <c r="Y1936" s="33">
        <f t="shared" si="162"/>
        <v>0.186</v>
      </c>
      <c r="AH1936" s="45">
        <f t="shared" si="166"/>
        <v>0</v>
      </c>
      <c r="AJ1936" s="44">
        <f t="shared" si="163"/>
        <v>1.962</v>
      </c>
      <c r="AP1936" s="46">
        <f t="shared" si="164"/>
        <v>0.186</v>
      </c>
    </row>
    <row r="1937" spans="19:42" ht="18">
      <c r="S1937" s="8">
        <f t="shared" si="165"/>
        <v>0</v>
      </c>
      <c r="W1937" s="3">
        <v>1963</v>
      </c>
      <c r="X1937" s="30">
        <v>185.833</v>
      </c>
      <c r="Y1937" s="33">
        <f t="shared" si="162"/>
        <v>0.186</v>
      </c>
      <c r="AH1937" s="45">
        <f t="shared" si="166"/>
        <v>0</v>
      </c>
      <c r="AJ1937" s="44">
        <f t="shared" si="163"/>
        <v>1.9630000000000001</v>
      </c>
      <c r="AP1937" s="46">
        <f t="shared" si="164"/>
        <v>0.186</v>
      </c>
    </row>
    <row r="1938" spans="19:42" ht="18">
      <c r="S1938" s="8">
        <f t="shared" si="165"/>
        <v>0</v>
      </c>
      <c r="W1938" s="3">
        <v>1964</v>
      </c>
      <c r="X1938" s="30">
        <v>185.88900000000001</v>
      </c>
      <c r="Y1938" s="33">
        <f t="shared" si="162"/>
        <v>0.186</v>
      </c>
      <c r="AH1938" s="45">
        <f t="shared" si="166"/>
        <v>0</v>
      </c>
      <c r="AJ1938" s="44">
        <f t="shared" si="163"/>
        <v>1.964</v>
      </c>
      <c r="AP1938" s="46">
        <f t="shared" si="164"/>
        <v>0.186</v>
      </c>
    </row>
    <row r="1939" spans="19:42" ht="18">
      <c r="S1939" s="8">
        <f t="shared" si="165"/>
        <v>0</v>
      </c>
      <c r="W1939" s="3">
        <v>1965</v>
      </c>
      <c r="X1939" s="30">
        <v>185.94399999999999</v>
      </c>
      <c r="Y1939" s="33">
        <f t="shared" si="162"/>
        <v>0.186</v>
      </c>
      <c r="AH1939" s="45">
        <f t="shared" si="166"/>
        <v>0</v>
      </c>
      <c r="AJ1939" s="44">
        <f t="shared" si="163"/>
        <v>1.9650000000000001</v>
      </c>
      <c r="AP1939" s="46">
        <f t="shared" si="164"/>
        <v>0.186</v>
      </c>
    </row>
    <row r="1940" spans="19:42" ht="18">
      <c r="S1940" s="8">
        <f t="shared" si="165"/>
        <v>0</v>
      </c>
      <c r="W1940" s="3">
        <v>1966</v>
      </c>
      <c r="X1940" s="30">
        <v>186</v>
      </c>
      <c r="Y1940" s="33">
        <f t="shared" si="162"/>
        <v>0.186</v>
      </c>
      <c r="AH1940" s="45">
        <f t="shared" si="166"/>
        <v>0</v>
      </c>
      <c r="AJ1940" s="44">
        <f t="shared" si="163"/>
        <v>1.966</v>
      </c>
      <c r="AP1940" s="46">
        <f t="shared" si="164"/>
        <v>0.186</v>
      </c>
    </row>
    <row r="1941" spans="19:42" ht="18">
      <c r="S1941" s="8">
        <f t="shared" si="165"/>
        <v>0</v>
      </c>
      <c r="W1941" s="3">
        <v>1967</v>
      </c>
      <c r="X1941" s="30">
        <v>186.05600000000001</v>
      </c>
      <c r="Y1941" s="33">
        <f t="shared" si="162"/>
        <v>0.186</v>
      </c>
      <c r="AH1941" s="45">
        <f t="shared" si="166"/>
        <v>0</v>
      </c>
      <c r="AJ1941" s="44">
        <f t="shared" si="163"/>
        <v>1.9670000000000001</v>
      </c>
      <c r="AP1941" s="46">
        <f t="shared" si="164"/>
        <v>0.186</v>
      </c>
    </row>
    <row r="1942" spans="19:42" ht="18">
      <c r="S1942" s="8">
        <f t="shared" si="165"/>
        <v>0</v>
      </c>
      <c r="W1942" s="3">
        <v>1968</v>
      </c>
      <c r="X1942" s="30">
        <v>186.11099999999999</v>
      </c>
      <c r="Y1942" s="33">
        <f t="shared" si="162"/>
        <v>0.186</v>
      </c>
      <c r="AH1942" s="45">
        <f t="shared" si="166"/>
        <v>0</v>
      </c>
      <c r="AJ1942" s="44">
        <f t="shared" si="163"/>
        <v>1.968</v>
      </c>
      <c r="AP1942" s="46">
        <f t="shared" si="164"/>
        <v>0.186</v>
      </c>
    </row>
    <row r="1943" spans="19:42" ht="18">
      <c r="S1943" s="8">
        <f t="shared" si="165"/>
        <v>0</v>
      </c>
      <c r="W1943" s="3">
        <v>1969</v>
      </c>
      <c r="X1943" s="30">
        <v>186.167</v>
      </c>
      <c r="Y1943" s="33">
        <f t="shared" si="162"/>
        <v>0.186</v>
      </c>
      <c r="AH1943" s="45">
        <f t="shared" si="166"/>
        <v>0</v>
      </c>
      <c r="AJ1943" s="44">
        <f t="shared" si="163"/>
        <v>1.9690000000000001</v>
      </c>
      <c r="AP1943" s="46">
        <f t="shared" si="164"/>
        <v>0.186</v>
      </c>
    </row>
    <row r="1944" spans="19:42" ht="18">
      <c r="S1944" s="8">
        <f t="shared" si="165"/>
        <v>0</v>
      </c>
      <c r="W1944" s="3">
        <v>1970</v>
      </c>
      <c r="X1944" s="30">
        <v>186.22200000000001</v>
      </c>
      <c r="Y1944" s="33">
        <f t="shared" si="162"/>
        <v>0.186</v>
      </c>
      <c r="AH1944" s="45">
        <f t="shared" si="166"/>
        <v>0</v>
      </c>
      <c r="AJ1944" s="44">
        <f t="shared" si="163"/>
        <v>1.97</v>
      </c>
      <c r="AP1944" s="46">
        <f t="shared" si="164"/>
        <v>0.186</v>
      </c>
    </row>
    <row r="1945" spans="19:42" ht="18">
      <c r="S1945" s="8">
        <f t="shared" si="165"/>
        <v>0</v>
      </c>
      <c r="W1945" s="3">
        <v>1971</v>
      </c>
      <c r="X1945" s="30">
        <v>186.27799999999999</v>
      </c>
      <c r="Y1945" s="33">
        <f t="shared" si="162"/>
        <v>0.186</v>
      </c>
      <c r="AH1945" s="45">
        <f t="shared" si="166"/>
        <v>0</v>
      </c>
      <c r="AJ1945" s="44">
        <f t="shared" si="163"/>
        <v>1.9710000000000001</v>
      </c>
      <c r="AP1945" s="46">
        <f t="shared" si="164"/>
        <v>0.186</v>
      </c>
    </row>
    <row r="1946" spans="19:42" ht="18">
      <c r="S1946" s="8">
        <f t="shared" si="165"/>
        <v>0</v>
      </c>
      <c r="W1946" s="3">
        <v>1972</v>
      </c>
      <c r="X1946" s="30">
        <v>186.333</v>
      </c>
      <c r="Y1946" s="33">
        <f t="shared" si="162"/>
        <v>0.186</v>
      </c>
      <c r="AH1946" s="45">
        <f t="shared" si="166"/>
        <v>0</v>
      </c>
      <c r="AJ1946" s="44">
        <f t="shared" si="163"/>
        <v>1.972</v>
      </c>
      <c r="AP1946" s="46">
        <f t="shared" si="164"/>
        <v>0.186</v>
      </c>
    </row>
    <row r="1947" spans="19:42" ht="18">
      <c r="S1947" s="8">
        <f t="shared" si="165"/>
        <v>0</v>
      </c>
      <c r="W1947" s="3">
        <v>1973</v>
      </c>
      <c r="X1947" s="30">
        <v>186.38900000000001</v>
      </c>
      <c r="Y1947" s="33">
        <f t="shared" si="162"/>
        <v>0.186</v>
      </c>
      <c r="AH1947" s="45">
        <f t="shared" si="166"/>
        <v>0</v>
      </c>
      <c r="AJ1947" s="44">
        <f t="shared" si="163"/>
        <v>1.9730000000000001</v>
      </c>
      <c r="AP1947" s="46">
        <f t="shared" si="164"/>
        <v>0.186</v>
      </c>
    </row>
    <row r="1948" spans="19:42" ht="18">
      <c r="S1948" s="8">
        <f t="shared" si="165"/>
        <v>0</v>
      </c>
      <c r="W1948" s="3">
        <v>1974</v>
      </c>
      <c r="X1948" s="30">
        <v>186.44399999999999</v>
      </c>
      <c r="Y1948" s="33">
        <f t="shared" si="162"/>
        <v>0.186</v>
      </c>
      <c r="AH1948" s="45">
        <f t="shared" si="166"/>
        <v>0</v>
      </c>
      <c r="AJ1948" s="44">
        <f t="shared" si="163"/>
        <v>1.974</v>
      </c>
      <c r="AP1948" s="46">
        <f t="shared" si="164"/>
        <v>0.186</v>
      </c>
    </row>
    <row r="1949" spans="19:42" ht="18">
      <c r="S1949" s="8">
        <f t="shared" si="165"/>
        <v>0</v>
      </c>
      <c r="W1949" s="3">
        <v>1975</v>
      </c>
      <c r="X1949" s="30">
        <v>186.5</v>
      </c>
      <c r="Y1949" s="33">
        <f t="shared" si="162"/>
        <v>0.187</v>
      </c>
      <c r="AH1949" s="45">
        <f t="shared" si="166"/>
        <v>0</v>
      </c>
      <c r="AJ1949" s="44">
        <f t="shared" si="163"/>
        <v>1.9750000000000001</v>
      </c>
      <c r="AP1949" s="46">
        <f t="shared" si="164"/>
        <v>0.187</v>
      </c>
    </row>
    <row r="1950" spans="19:42" ht="18">
      <c r="S1950" s="8">
        <f t="shared" si="165"/>
        <v>0</v>
      </c>
      <c r="W1950" s="3">
        <v>1976</v>
      </c>
      <c r="X1950" s="30">
        <v>186.55600000000001</v>
      </c>
      <c r="Y1950" s="33">
        <f t="shared" si="162"/>
        <v>0.187</v>
      </c>
      <c r="AH1950" s="45">
        <f t="shared" si="166"/>
        <v>0</v>
      </c>
      <c r="AJ1950" s="44">
        <f t="shared" si="163"/>
        <v>1.976</v>
      </c>
      <c r="AP1950" s="46">
        <f t="shared" si="164"/>
        <v>0.187</v>
      </c>
    </row>
    <row r="1951" spans="19:42" ht="18">
      <c r="S1951" s="8">
        <f t="shared" si="165"/>
        <v>0</v>
      </c>
      <c r="W1951" s="3">
        <v>1977</v>
      </c>
      <c r="X1951" s="30">
        <v>186.61099999999999</v>
      </c>
      <c r="Y1951" s="33">
        <f t="shared" si="162"/>
        <v>0.187</v>
      </c>
      <c r="AH1951" s="45">
        <f t="shared" si="166"/>
        <v>0</v>
      </c>
      <c r="AJ1951" s="44">
        <f t="shared" si="163"/>
        <v>1.9770000000000001</v>
      </c>
      <c r="AP1951" s="46">
        <f t="shared" si="164"/>
        <v>0.187</v>
      </c>
    </row>
    <row r="1952" spans="19:42" ht="18">
      <c r="S1952" s="8">
        <f t="shared" si="165"/>
        <v>0</v>
      </c>
      <c r="W1952" s="3">
        <v>1978</v>
      </c>
      <c r="X1952" s="30">
        <v>186.667</v>
      </c>
      <c r="Y1952" s="33">
        <f t="shared" si="162"/>
        <v>0.187</v>
      </c>
      <c r="AH1952" s="45">
        <f t="shared" si="166"/>
        <v>0</v>
      </c>
      <c r="AJ1952" s="44">
        <f t="shared" si="163"/>
        <v>1.978</v>
      </c>
      <c r="AP1952" s="46">
        <f t="shared" si="164"/>
        <v>0.187</v>
      </c>
    </row>
    <row r="1953" spans="19:42" ht="18">
      <c r="S1953" s="8">
        <f t="shared" si="165"/>
        <v>0</v>
      </c>
      <c r="W1953" s="3">
        <v>1979</v>
      </c>
      <c r="X1953" s="30">
        <v>186.72200000000001</v>
      </c>
      <c r="Y1953" s="33">
        <f t="shared" si="162"/>
        <v>0.187</v>
      </c>
      <c r="AH1953" s="45">
        <f t="shared" si="166"/>
        <v>0</v>
      </c>
      <c r="AJ1953" s="44">
        <f t="shared" si="163"/>
        <v>1.9790000000000001</v>
      </c>
      <c r="AP1953" s="46">
        <f t="shared" si="164"/>
        <v>0.187</v>
      </c>
    </row>
    <row r="1954" spans="19:42" ht="18">
      <c r="S1954" s="8">
        <f t="shared" si="165"/>
        <v>0</v>
      </c>
      <c r="W1954" s="3">
        <v>1980</v>
      </c>
      <c r="X1954" s="30">
        <v>186.77799999999999</v>
      </c>
      <c r="Y1954" s="33">
        <f t="shared" si="162"/>
        <v>0.187</v>
      </c>
      <c r="AH1954" s="45">
        <f t="shared" si="166"/>
        <v>0</v>
      </c>
      <c r="AJ1954" s="44">
        <f t="shared" si="163"/>
        <v>1.98</v>
      </c>
      <c r="AP1954" s="46">
        <f t="shared" si="164"/>
        <v>0.187</v>
      </c>
    </row>
    <row r="1955" spans="19:42" ht="18">
      <c r="S1955" s="8">
        <f t="shared" si="165"/>
        <v>0</v>
      </c>
      <c r="W1955" s="3">
        <v>1981</v>
      </c>
      <c r="X1955" s="30">
        <v>186.833</v>
      </c>
      <c r="Y1955" s="33">
        <f t="shared" si="162"/>
        <v>0.187</v>
      </c>
      <c r="AH1955" s="45">
        <f t="shared" si="166"/>
        <v>0</v>
      </c>
      <c r="AJ1955" s="44">
        <f t="shared" si="163"/>
        <v>1.9810000000000001</v>
      </c>
      <c r="AP1955" s="46">
        <f t="shared" si="164"/>
        <v>0.187</v>
      </c>
    </row>
    <row r="1956" spans="19:42" ht="18">
      <c r="S1956" s="8">
        <f t="shared" si="165"/>
        <v>0</v>
      </c>
      <c r="W1956" s="3">
        <v>1982</v>
      </c>
      <c r="X1956" s="30">
        <v>186.88900000000001</v>
      </c>
      <c r="Y1956" s="33">
        <f t="shared" si="162"/>
        <v>0.187</v>
      </c>
      <c r="AH1956" s="45">
        <f t="shared" si="166"/>
        <v>0</v>
      </c>
      <c r="AJ1956" s="44">
        <f t="shared" si="163"/>
        <v>1.982</v>
      </c>
      <c r="AP1956" s="46">
        <f t="shared" si="164"/>
        <v>0.187</v>
      </c>
    </row>
    <row r="1957" spans="19:42" ht="18">
      <c r="S1957" s="8">
        <f t="shared" si="165"/>
        <v>0</v>
      </c>
      <c r="W1957" s="3">
        <v>1983</v>
      </c>
      <c r="X1957" s="30">
        <v>186.94399999999999</v>
      </c>
      <c r="Y1957" s="33">
        <f t="shared" si="162"/>
        <v>0.187</v>
      </c>
      <c r="AH1957" s="45">
        <f t="shared" si="166"/>
        <v>0</v>
      </c>
      <c r="AJ1957" s="44">
        <f t="shared" si="163"/>
        <v>1.9830000000000001</v>
      </c>
      <c r="AP1957" s="46">
        <f t="shared" si="164"/>
        <v>0.187</v>
      </c>
    </row>
    <row r="1958" spans="19:42" ht="18">
      <c r="S1958" s="8">
        <f t="shared" si="165"/>
        <v>0</v>
      </c>
      <c r="W1958" s="3">
        <v>1984</v>
      </c>
      <c r="X1958" s="30">
        <v>187</v>
      </c>
      <c r="Y1958" s="33">
        <f t="shared" si="162"/>
        <v>0.187</v>
      </c>
      <c r="AH1958" s="45">
        <f t="shared" si="166"/>
        <v>0</v>
      </c>
      <c r="AJ1958" s="44">
        <f t="shared" si="163"/>
        <v>1.984</v>
      </c>
      <c r="AP1958" s="46">
        <f t="shared" si="164"/>
        <v>0.187</v>
      </c>
    </row>
    <row r="1959" spans="19:42" ht="18">
      <c r="S1959" s="8">
        <f t="shared" si="165"/>
        <v>0</v>
      </c>
      <c r="W1959" s="3">
        <v>1985</v>
      </c>
      <c r="X1959" s="30">
        <v>187.05600000000001</v>
      </c>
      <c r="Y1959" s="33">
        <f t="shared" si="162"/>
        <v>0.187</v>
      </c>
      <c r="AH1959" s="45">
        <f t="shared" si="166"/>
        <v>0</v>
      </c>
      <c r="AJ1959" s="44">
        <f t="shared" si="163"/>
        <v>1.9850000000000001</v>
      </c>
      <c r="AP1959" s="46">
        <f t="shared" si="164"/>
        <v>0.187</v>
      </c>
    </row>
    <row r="1960" spans="19:42" ht="18">
      <c r="S1960" s="8">
        <f t="shared" si="165"/>
        <v>0</v>
      </c>
      <c r="W1960" s="3">
        <v>1986</v>
      </c>
      <c r="X1960" s="30">
        <v>187.11099999999999</v>
      </c>
      <c r="Y1960" s="33">
        <f t="shared" si="162"/>
        <v>0.187</v>
      </c>
      <c r="AH1960" s="45">
        <f t="shared" si="166"/>
        <v>0</v>
      </c>
      <c r="AJ1960" s="44">
        <f t="shared" si="163"/>
        <v>1.986</v>
      </c>
      <c r="AP1960" s="46">
        <f t="shared" si="164"/>
        <v>0.187</v>
      </c>
    </row>
    <row r="1961" spans="19:42" ht="18">
      <c r="S1961" s="8">
        <f t="shared" si="165"/>
        <v>0</v>
      </c>
      <c r="W1961" s="3">
        <v>1987</v>
      </c>
      <c r="X1961" s="30">
        <v>187.167</v>
      </c>
      <c r="Y1961" s="33">
        <f t="shared" si="162"/>
        <v>0.187</v>
      </c>
      <c r="AH1961" s="45">
        <f t="shared" si="166"/>
        <v>0</v>
      </c>
      <c r="AJ1961" s="44">
        <f t="shared" si="163"/>
        <v>1.9870000000000001</v>
      </c>
      <c r="AP1961" s="46">
        <f t="shared" si="164"/>
        <v>0.187</v>
      </c>
    </row>
    <row r="1962" spans="19:42" ht="18">
      <c r="S1962" s="8">
        <f t="shared" si="165"/>
        <v>0</v>
      </c>
      <c r="W1962" s="3">
        <v>1988</v>
      </c>
      <c r="X1962" s="30">
        <v>187.22200000000001</v>
      </c>
      <c r="Y1962" s="33">
        <f t="shared" si="162"/>
        <v>0.187</v>
      </c>
      <c r="AH1962" s="45">
        <f t="shared" si="166"/>
        <v>0</v>
      </c>
      <c r="AJ1962" s="44">
        <f t="shared" si="163"/>
        <v>1.988</v>
      </c>
      <c r="AP1962" s="46">
        <f t="shared" si="164"/>
        <v>0.187</v>
      </c>
    </row>
    <row r="1963" spans="19:42" ht="18">
      <c r="S1963" s="8">
        <f t="shared" si="165"/>
        <v>0</v>
      </c>
      <c r="W1963" s="3">
        <v>1989</v>
      </c>
      <c r="X1963" s="30">
        <v>187.27799999999999</v>
      </c>
      <c r="Y1963" s="33">
        <f t="shared" si="162"/>
        <v>0.187</v>
      </c>
      <c r="AH1963" s="45">
        <f t="shared" si="166"/>
        <v>0</v>
      </c>
      <c r="AJ1963" s="44">
        <f t="shared" si="163"/>
        <v>1.9890000000000001</v>
      </c>
      <c r="AP1963" s="46">
        <f t="shared" si="164"/>
        <v>0.187</v>
      </c>
    </row>
    <row r="1964" spans="19:42" ht="18">
      <c r="S1964" s="8">
        <f t="shared" si="165"/>
        <v>0</v>
      </c>
      <c r="W1964" s="3">
        <v>1990</v>
      </c>
      <c r="X1964" s="30">
        <v>187.333</v>
      </c>
      <c r="Y1964" s="33">
        <f t="shared" si="162"/>
        <v>0.187</v>
      </c>
      <c r="AH1964" s="45">
        <f t="shared" si="166"/>
        <v>0</v>
      </c>
      <c r="AJ1964" s="44">
        <f t="shared" si="163"/>
        <v>1.99</v>
      </c>
      <c r="AP1964" s="46">
        <f t="shared" si="164"/>
        <v>0.187</v>
      </c>
    </row>
    <row r="1965" spans="19:42" ht="18">
      <c r="S1965" s="8">
        <f t="shared" si="165"/>
        <v>0</v>
      </c>
      <c r="W1965" s="3">
        <v>1991</v>
      </c>
      <c r="X1965" s="30">
        <v>187.38900000000001</v>
      </c>
      <c r="Y1965" s="33">
        <f t="shared" si="162"/>
        <v>0.187</v>
      </c>
      <c r="AH1965" s="45">
        <f t="shared" si="166"/>
        <v>0</v>
      </c>
      <c r="AJ1965" s="44">
        <f t="shared" si="163"/>
        <v>1.9910000000000001</v>
      </c>
      <c r="AP1965" s="46">
        <f t="shared" si="164"/>
        <v>0.187</v>
      </c>
    </row>
    <row r="1966" spans="19:42" ht="18">
      <c r="S1966" s="8">
        <f t="shared" si="165"/>
        <v>0</v>
      </c>
      <c r="W1966" s="3">
        <v>1992</v>
      </c>
      <c r="X1966" s="30">
        <v>187.44399999999999</v>
      </c>
      <c r="Y1966" s="33">
        <f t="shared" si="162"/>
        <v>0.187</v>
      </c>
      <c r="AH1966" s="45">
        <f t="shared" si="166"/>
        <v>0</v>
      </c>
      <c r="AJ1966" s="44">
        <f t="shared" si="163"/>
        <v>1.992</v>
      </c>
      <c r="AP1966" s="46">
        <f t="shared" si="164"/>
        <v>0.187</v>
      </c>
    </row>
    <row r="1967" spans="19:42" ht="18">
      <c r="S1967" s="8">
        <f t="shared" si="165"/>
        <v>0</v>
      </c>
      <c r="W1967" s="3">
        <v>1993</v>
      </c>
      <c r="X1967" s="30">
        <v>187.5</v>
      </c>
      <c r="Y1967" s="33">
        <f t="shared" si="162"/>
        <v>0.188</v>
      </c>
      <c r="AH1967" s="45">
        <f t="shared" si="166"/>
        <v>0</v>
      </c>
      <c r="AJ1967" s="44">
        <f t="shared" si="163"/>
        <v>1.9930000000000001</v>
      </c>
      <c r="AP1967" s="46">
        <f t="shared" si="164"/>
        <v>0.188</v>
      </c>
    </row>
    <row r="1968" spans="19:42" ht="18">
      <c r="S1968" s="8">
        <f t="shared" si="165"/>
        <v>0</v>
      </c>
      <c r="W1968" s="3">
        <v>1994</v>
      </c>
      <c r="X1968" s="30">
        <v>187.55600000000001</v>
      </c>
      <c r="Y1968" s="33">
        <f t="shared" si="162"/>
        <v>0.188</v>
      </c>
      <c r="AH1968" s="45">
        <f t="shared" si="166"/>
        <v>0</v>
      </c>
      <c r="AJ1968" s="44">
        <f t="shared" si="163"/>
        <v>1.994</v>
      </c>
      <c r="AP1968" s="46">
        <f t="shared" si="164"/>
        <v>0.188</v>
      </c>
    </row>
    <row r="1969" spans="19:42" ht="18">
      <c r="S1969" s="8">
        <f t="shared" si="165"/>
        <v>0</v>
      </c>
      <c r="W1969" s="3">
        <v>1995</v>
      </c>
      <c r="X1969" s="30">
        <v>187.61099999999999</v>
      </c>
      <c r="Y1969" s="33">
        <f t="shared" si="162"/>
        <v>0.188</v>
      </c>
      <c r="AH1969" s="45">
        <f t="shared" si="166"/>
        <v>0</v>
      </c>
      <c r="AJ1969" s="44">
        <f t="shared" si="163"/>
        <v>1.9950000000000001</v>
      </c>
      <c r="AP1969" s="46">
        <f t="shared" si="164"/>
        <v>0.188</v>
      </c>
    </row>
    <row r="1970" spans="19:42" ht="18">
      <c r="S1970" s="8">
        <f t="shared" si="165"/>
        <v>0</v>
      </c>
      <c r="W1970" s="3">
        <v>1996</v>
      </c>
      <c r="X1970" s="30">
        <v>187.667</v>
      </c>
      <c r="Y1970" s="33">
        <f t="shared" si="162"/>
        <v>0.188</v>
      </c>
      <c r="AH1970" s="45">
        <f t="shared" si="166"/>
        <v>0</v>
      </c>
      <c r="AJ1970" s="44">
        <f t="shared" si="163"/>
        <v>1.996</v>
      </c>
      <c r="AP1970" s="46">
        <f t="shared" si="164"/>
        <v>0.188</v>
      </c>
    </row>
    <row r="1971" spans="19:42" ht="18">
      <c r="S1971" s="8">
        <f t="shared" si="165"/>
        <v>0</v>
      </c>
      <c r="W1971" s="3">
        <v>1997</v>
      </c>
      <c r="X1971" s="30">
        <v>187.72200000000001</v>
      </c>
      <c r="Y1971" s="33">
        <f t="shared" si="162"/>
        <v>0.188</v>
      </c>
      <c r="AH1971" s="45">
        <f t="shared" si="166"/>
        <v>0</v>
      </c>
      <c r="AJ1971" s="44">
        <f t="shared" si="163"/>
        <v>1.9970000000000001</v>
      </c>
      <c r="AP1971" s="46">
        <f t="shared" si="164"/>
        <v>0.188</v>
      </c>
    </row>
    <row r="1972" spans="19:42" ht="18">
      <c r="S1972" s="8">
        <f t="shared" si="165"/>
        <v>0</v>
      </c>
      <c r="W1972" s="3">
        <v>1998</v>
      </c>
      <c r="X1972" s="30">
        <v>187.77799999999999</v>
      </c>
      <c r="Y1972" s="33">
        <f t="shared" si="162"/>
        <v>0.188</v>
      </c>
      <c r="AH1972" s="45">
        <f t="shared" si="166"/>
        <v>0</v>
      </c>
      <c r="AJ1972" s="44">
        <f t="shared" si="163"/>
        <v>1.998</v>
      </c>
      <c r="AP1972" s="46">
        <f t="shared" si="164"/>
        <v>0.188</v>
      </c>
    </row>
    <row r="1973" spans="19:42" ht="18">
      <c r="S1973" s="8">
        <f t="shared" si="165"/>
        <v>0</v>
      </c>
      <c r="W1973" s="3">
        <v>1999</v>
      </c>
      <c r="X1973" s="30">
        <v>187.833</v>
      </c>
      <c r="Y1973" s="33">
        <f t="shared" si="162"/>
        <v>0.188</v>
      </c>
      <c r="AH1973" s="45">
        <f t="shared" si="166"/>
        <v>0</v>
      </c>
      <c r="AJ1973" s="44">
        <f t="shared" si="163"/>
        <v>1.9990000000000001</v>
      </c>
      <c r="AP1973" s="46">
        <f t="shared" si="164"/>
        <v>0.188</v>
      </c>
    </row>
    <row r="1974" spans="19:42" ht="18">
      <c r="S1974" s="8">
        <f t="shared" si="165"/>
        <v>0</v>
      </c>
      <c r="W1974" s="3">
        <v>2000</v>
      </c>
      <c r="X1974" s="30">
        <v>187.88900000000001</v>
      </c>
      <c r="Y1974" s="33">
        <f t="shared" si="162"/>
        <v>0.188</v>
      </c>
      <c r="AH1974" s="45">
        <f t="shared" si="166"/>
        <v>0</v>
      </c>
      <c r="AJ1974" s="44">
        <f t="shared" si="163"/>
        <v>2</v>
      </c>
      <c r="AP1974" s="46">
        <f t="shared" si="164"/>
        <v>0.188</v>
      </c>
    </row>
    <row r="1975" spans="19:42" ht="18">
      <c r="S1975" s="8">
        <f t="shared" si="165"/>
        <v>0</v>
      </c>
      <c r="W1975" s="3">
        <v>2001</v>
      </c>
      <c r="X1975" s="30">
        <v>187.94399999999999</v>
      </c>
      <c r="Y1975" s="33">
        <f t="shared" si="162"/>
        <v>0.188</v>
      </c>
      <c r="AH1975" s="45">
        <f t="shared" si="166"/>
        <v>0</v>
      </c>
      <c r="AJ1975" s="44">
        <f t="shared" si="163"/>
        <v>2.0009999999999999</v>
      </c>
      <c r="AP1975" s="46">
        <f t="shared" si="164"/>
        <v>0.188</v>
      </c>
    </row>
    <row r="1976" spans="19:42" ht="18">
      <c r="S1976" s="8">
        <f t="shared" si="165"/>
        <v>0</v>
      </c>
      <c r="W1976" s="3">
        <v>2002</v>
      </c>
      <c r="X1976" s="30">
        <v>188</v>
      </c>
      <c r="Y1976" s="33">
        <f t="shared" si="162"/>
        <v>0.188</v>
      </c>
      <c r="AH1976" s="45">
        <f t="shared" si="166"/>
        <v>0</v>
      </c>
      <c r="AJ1976" s="44">
        <f t="shared" si="163"/>
        <v>2.0019999999999998</v>
      </c>
      <c r="AP1976" s="46">
        <f t="shared" si="164"/>
        <v>0.188</v>
      </c>
    </row>
    <row r="1977" spans="19:42" ht="18">
      <c r="S1977" s="8">
        <f t="shared" si="165"/>
        <v>0</v>
      </c>
      <c r="W1977" s="3">
        <v>2003</v>
      </c>
      <c r="X1977" s="30">
        <v>188.05600000000001</v>
      </c>
      <c r="Y1977" s="33">
        <f t="shared" si="162"/>
        <v>0.188</v>
      </c>
      <c r="AH1977" s="45">
        <f t="shared" si="166"/>
        <v>0</v>
      </c>
      <c r="AJ1977" s="44">
        <f t="shared" si="163"/>
        <v>2.0030000000000001</v>
      </c>
      <c r="AP1977" s="46">
        <f t="shared" si="164"/>
        <v>0.188</v>
      </c>
    </row>
    <row r="1978" spans="19:42" ht="18">
      <c r="S1978" s="8">
        <f t="shared" si="165"/>
        <v>0</v>
      </c>
      <c r="W1978" s="3">
        <v>2004</v>
      </c>
      <c r="X1978" s="30">
        <v>188.11099999999999</v>
      </c>
      <c r="Y1978" s="33">
        <f t="shared" si="162"/>
        <v>0.188</v>
      </c>
      <c r="AH1978" s="45">
        <f t="shared" si="166"/>
        <v>0</v>
      </c>
      <c r="AJ1978" s="44">
        <f t="shared" si="163"/>
        <v>2.004</v>
      </c>
      <c r="AP1978" s="46">
        <f t="shared" si="164"/>
        <v>0.188</v>
      </c>
    </row>
    <row r="1979" spans="19:42" ht="18">
      <c r="S1979" s="8">
        <f t="shared" si="165"/>
        <v>0</v>
      </c>
      <c r="W1979" s="3">
        <v>2005</v>
      </c>
      <c r="X1979" s="30">
        <v>188.167</v>
      </c>
      <c r="Y1979" s="33">
        <f t="shared" si="162"/>
        <v>0.188</v>
      </c>
      <c r="AH1979" s="45">
        <f t="shared" si="166"/>
        <v>0</v>
      </c>
      <c r="AJ1979" s="44">
        <f t="shared" si="163"/>
        <v>2.0049999999999999</v>
      </c>
      <c r="AP1979" s="46">
        <f t="shared" si="164"/>
        <v>0.188</v>
      </c>
    </row>
    <row r="1980" spans="19:42" ht="18">
      <c r="S1980" s="8">
        <f t="shared" si="165"/>
        <v>0</v>
      </c>
      <c r="W1980" s="3">
        <v>2006</v>
      </c>
      <c r="X1980" s="30">
        <v>188.22200000000001</v>
      </c>
      <c r="Y1980" s="33">
        <f t="shared" si="162"/>
        <v>0.188</v>
      </c>
      <c r="AH1980" s="45">
        <f t="shared" si="166"/>
        <v>0</v>
      </c>
      <c r="AJ1980" s="44">
        <f t="shared" si="163"/>
        <v>2.0059999999999998</v>
      </c>
      <c r="AP1980" s="46">
        <f t="shared" si="164"/>
        <v>0.188</v>
      </c>
    </row>
    <row r="1981" spans="19:42" ht="18">
      <c r="S1981" s="8">
        <f t="shared" si="165"/>
        <v>0</v>
      </c>
      <c r="W1981" s="3">
        <v>2007</v>
      </c>
      <c r="X1981" s="30">
        <v>188.27799999999999</v>
      </c>
      <c r="Y1981" s="33">
        <f t="shared" si="162"/>
        <v>0.188</v>
      </c>
      <c r="AH1981" s="45">
        <f t="shared" si="166"/>
        <v>0</v>
      </c>
      <c r="AJ1981" s="44">
        <f t="shared" si="163"/>
        <v>2.0070000000000001</v>
      </c>
      <c r="AP1981" s="46">
        <f t="shared" si="164"/>
        <v>0.188</v>
      </c>
    </row>
    <row r="1982" spans="19:42" ht="18">
      <c r="S1982" s="8">
        <f t="shared" si="165"/>
        <v>0</v>
      </c>
      <c r="W1982" s="3">
        <v>2008</v>
      </c>
      <c r="X1982" s="30">
        <v>188.333</v>
      </c>
      <c r="Y1982" s="33">
        <f t="shared" si="162"/>
        <v>0.188</v>
      </c>
      <c r="AH1982" s="45">
        <f t="shared" si="166"/>
        <v>0</v>
      </c>
      <c r="AJ1982" s="44">
        <f t="shared" si="163"/>
        <v>2.008</v>
      </c>
      <c r="AP1982" s="46">
        <f t="shared" si="164"/>
        <v>0.188</v>
      </c>
    </row>
    <row r="1983" spans="19:42" ht="18">
      <c r="S1983" s="8">
        <f t="shared" si="165"/>
        <v>0</v>
      </c>
      <c r="W1983" s="3">
        <v>2009</v>
      </c>
      <c r="X1983" s="30">
        <v>188.38900000000001</v>
      </c>
      <c r="Y1983" s="33">
        <f t="shared" si="162"/>
        <v>0.188</v>
      </c>
      <c r="AH1983" s="45">
        <f t="shared" si="166"/>
        <v>0</v>
      </c>
      <c r="AJ1983" s="44">
        <f t="shared" si="163"/>
        <v>2.0089999999999999</v>
      </c>
      <c r="AP1983" s="46">
        <f t="shared" si="164"/>
        <v>0.188</v>
      </c>
    </row>
    <row r="1984" spans="19:42" ht="18">
      <c r="S1984" s="8">
        <f t="shared" si="165"/>
        <v>0</v>
      </c>
      <c r="W1984" s="3">
        <v>2010</v>
      </c>
      <c r="X1984" s="30">
        <v>188.44399999999999</v>
      </c>
      <c r="Y1984" s="33">
        <f t="shared" si="162"/>
        <v>0.188</v>
      </c>
      <c r="AH1984" s="45">
        <f t="shared" si="166"/>
        <v>0</v>
      </c>
      <c r="AJ1984" s="44">
        <f t="shared" si="163"/>
        <v>2.0099999999999998</v>
      </c>
      <c r="AP1984" s="46">
        <f t="shared" si="164"/>
        <v>0.188</v>
      </c>
    </row>
    <row r="1985" spans="19:42" ht="18">
      <c r="S1985" s="8">
        <f t="shared" si="165"/>
        <v>0</v>
      </c>
      <c r="W1985" s="3">
        <v>2011</v>
      </c>
      <c r="X1985" s="30">
        <v>188.5</v>
      </c>
      <c r="Y1985" s="33">
        <f t="shared" si="162"/>
        <v>0.189</v>
      </c>
      <c r="AH1985" s="45">
        <f t="shared" si="166"/>
        <v>0</v>
      </c>
      <c r="AJ1985" s="44">
        <f t="shared" si="163"/>
        <v>2.0110000000000001</v>
      </c>
      <c r="AP1985" s="46">
        <f t="shared" si="164"/>
        <v>0.189</v>
      </c>
    </row>
    <row r="1986" spans="19:42" ht="18">
      <c r="S1986" s="8">
        <f t="shared" si="165"/>
        <v>0</v>
      </c>
      <c r="W1986" s="3">
        <v>2012</v>
      </c>
      <c r="X1986" s="30">
        <v>188.55600000000001</v>
      </c>
      <c r="Y1986" s="33">
        <f t="shared" si="162"/>
        <v>0.189</v>
      </c>
      <c r="AH1986" s="45">
        <f t="shared" si="166"/>
        <v>0</v>
      </c>
      <c r="AJ1986" s="44">
        <f t="shared" si="163"/>
        <v>2.012</v>
      </c>
      <c r="AP1986" s="46">
        <f t="shared" si="164"/>
        <v>0.189</v>
      </c>
    </row>
    <row r="1987" spans="19:42" ht="18">
      <c r="S1987" s="8">
        <f t="shared" si="165"/>
        <v>0</v>
      </c>
      <c r="W1987" s="3">
        <v>2013</v>
      </c>
      <c r="X1987" s="30">
        <v>188.61099999999999</v>
      </c>
      <c r="Y1987" s="33">
        <f t="shared" si="162"/>
        <v>0.189</v>
      </c>
      <c r="AH1987" s="45">
        <f t="shared" si="166"/>
        <v>0</v>
      </c>
      <c r="AJ1987" s="44">
        <f t="shared" si="163"/>
        <v>2.0129999999999999</v>
      </c>
      <c r="AP1987" s="46">
        <f t="shared" si="164"/>
        <v>0.189</v>
      </c>
    </row>
    <row r="1988" spans="19:42" ht="18">
      <c r="S1988" s="8">
        <f t="shared" si="165"/>
        <v>0</v>
      </c>
      <c r="W1988" s="3">
        <v>2014</v>
      </c>
      <c r="X1988" s="30">
        <v>188.667</v>
      </c>
      <c r="Y1988" s="33">
        <f t="shared" si="162"/>
        <v>0.189</v>
      </c>
      <c r="AH1988" s="45">
        <f t="shared" si="166"/>
        <v>0</v>
      </c>
      <c r="AJ1988" s="44">
        <f t="shared" si="163"/>
        <v>2.0139999999999998</v>
      </c>
      <c r="AP1988" s="46">
        <f t="shared" si="164"/>
        <v>0.189</v>
      </c>
    </row>
    <row r="1989" spans="19:42" ht="18">
      <c r="S1989" s="8">
        <f t="shared" si="165"/>
        <v>0</v>
      </c>
      <c r="W1989" s="3">
        <v>2015</v>
      </c>
      <c r="X1989" s="30">
        <v>188.72200000000001</v>
      </c>
      <c r="Y1989" s="33">
        <f t="shared" ref="Y1989:Y2052" si="167">ROUND(X1989/1000,3)</f>
        <v>0.189</v>
      </c>
      <c r="AH1989" s="45">
        <f t="shared" si="166"/>
        <v>0</v>
      </c>
      <c r="AJ1989" s="44">
        <f t="shared" ref="AJ1989:AJ2052" si="168">ROUND(W1989/1000,3)</f>
        <v>2.0150000000000001</v>
      </c>
      <c r="AP1989" s="46">
        <f t="shared" ref="AP1989:AP2052" si="169">ROUND(X1989/1000,3)</f>
        <v>0.189</v>
      </c>
    </row>
    <row r="1990" spans="19:42" ht="18">
      <c r="S1990" s="8">
        <f t="shared" ref="S1990:S2053" si="170">CEILING(R1990/50,0.5)</f>
        <v>0</v>
      </c>
      <c r="W1990" s="3">
        <v>2016</v>
      </c>
      <c r="X1990" s="30">
        <v>188.77799999999999</v>
      </c>
      <c r="Y1990" s="33">
        <f t="shared" si="167"/>
        <v>0.189</v>
      </c>
      <c r="AH1990" s="45">
        <f t="shared" ref="AH1990:AH2053" si="171">AE1990-AE1989</f>
        <v>0</v>
      </c>
      <c r="AJ1990" s="44">
        <f t="shared" si="168"/>
        <v>2.016</v>
      </c>
      <c r="AP1990" s="46">
        <f t="shared" si="169"/>
        <v>0.189</v>
      </c>
    </row>
    <row r="1991" spans="19:42" ht="18">
      <c r="S1991" s="8">
        <f t="shared" si="170"/>
        <v>0</v>
      </c>
      <c r="W1991" s="3">
        <v>2017</v>
      </c>
      <c r="X1991" s="30">
        <v>188.833</v>
      </c>
      <c r="Y1991" s="33">
        <f t="shared" si="167"/>
        <v>0.189</v>
      </c>
      <c r="AH1991" s="45">
        <f t="shared" si="171"/>
        <v>0</v>
      </c>
      <c r="AJ1991" s="44">
        <f t="shared" si="168"/>
        <v>2.0169999999999999</v>
      </c>
      <c r="AP1991" s="46">
        <f t="shared" si="169"/>
        <v>0.189</v>
      </c>
    </row>
    <row r="1992" spans="19:42" ht="18">
      <c r="S1992" s="8">
        <f t="shared" si="170"/>
        <v>0</v>
      </c>
      <c r="W1992" s="3">
        <v>2018</v>
      </c>
      <c r="X1992" s="30">
        <v>188.88900000000001</v>
      </c>
      <c r="Y1992" s="33">
        <f t="shared" si="167"/>
        <v>0.189</v>
      </c>
      <c r="AH1992" s="45">
        <f t="shared" si="171"/>
        <v>0</v>
      </c>
      <c r="AJ1992" s="44">
        <f t="shared" si="168"/>
        <v>2.0179999999999998</v>
      </c>
      <c r="AP1992" s="46">
        <f t="shared" si="169"/>
        <v>0.189</v>
      </c>
    </row>
    <row r="1993" spans="19:42" ht="18">
      <c r="S1993" s="8">
        <f t="shared" si="170"/>
        <v>0</v>
      </c>
      <c r="W1993" s="3">
        <v>2019</v>
      </c>
      <c r="X1993" s="30">
        <v>188.94399999999999</v>
      </c>
      <c r="Y1993" s="33">
        <f t="shared" si="167"/>
        <v>0.189</v>
      </c>
      <c r="AH1993" s="45">
        <f t="shared" si="171"/>
        <v>0</v>
      </c>
      <c r="AJ1993" s="44">
        <f t="shared" si="168"/>
        <v>2.0190000000000001</v>
      </c>
      <c r="AP1993" s="46">
        <f t="shared" si="169"/>
        <v>0.189</v>
      </c>
    </row>
    <row r="1994" spans="19:42" ht="18">
      <c r="S1994" s="8">
        <f t="shared" si="170"/>
        <v>0</v>
      </c>
      <c r="W1994" s="3">
        <v>2020</v>
      </c>
      <c r="X1994" s="30">
        <v>189</v>
      </c>
      <c r="Y1994" s="33">
        <f t="shared" si="167"/>
        <v>0.189</v>
      </c>
      <c r="AH1994" s="45">
        <f t="shared" si="171"/>
        <v>0</v>
      </c>
      <c r="AJ1994" s="44">
        <f t="shared" si="168"/>
        <v>2.02</v>
      </c>
      <c r="AP1994" s="46">
        <f t="shared" si="169"/>
        <v>0.189</v>
      </c>
    </row>
    <row r="1995" spans="19:42" ht="18">
      <c r="S1995" s="8">
        <f t="shared" si="170"/>
        <v>0</v>
      </c>
      <c r="W1995" s="3">
        <v>2021</v>
      </c>
      <c r="X1995" s="30">
        <v>188.95</v>
      </c>
      <c r="Y1995" s="33">
        <f t="shared" si="167"/>
        <v>0.189</v>
      </c>
      <c r="AH1995" s="45">
        <f t="shared" si="171"/>
        <v>0</v>
      </c>
      <c r="AJ1995" s="44">
        <f t="shared" si="168"/>
        <v>2.0209999999999999</v>
      </c>
      <c r="AP1995" s="46">
        <f t="shared" si="169"/>
        <v>0.189</v>
      </c>
    </row>
    <row r="1996" spans="19:42" ht="18">
      <c r="S1996" s="8">
        <f t="shared" si="170"/>
        <v>0</v>
      </c>
      <c r="W1996" s="3">
        <v>2022</v>
      </c>
      <c r="X1996" s="30">
        <v>188.9</v>
      </c>
      <c r="Y1996" s="33">
        <f t="shared" si="167"/>
        <v>0.189</v>
      </c>
      <c r="AH1996" s="45">
        <f t="shared" si="171"/>
        <v>0</v>
      </c>
      <c r="AJ1996" s="44">
        <f t="shared" si="168"/>
        <v>2.0219999999999998</v>
      </c>
      <c r="AP1996" s="46">
        <f t="shared" si="169"/>
        <v>0.189</v>
      </c>
    </row>
    <row r="1997" spans="19:42" ht="18">
      <c r="S1997" s="8">
        <f t="shared" si="170"/>
        <v>0</v>
      </c>
      <c r="W1997" s="3">
        <v>2023</v>
      </c>
      <c r="X1997" s="30">
        <v>188.85</v>
      </c>
      <c r="Y1997" s="33">
        <f t="shared" si="167"/>
        <v>0.189</v>
      </c>
      <c r="AH1997" s="45">
        <f t="shared" si="171"/>
        <v>0</v>
      </c>
      <c r="AJ1997" s="44">
        <f t="shared" si="168"/>
        <v>2.0230000000000001</v>
      </c>
      <c r="AP1997" s="46">
        <f t="shared" si="169"/>
        <v>0.189</v>
      </c>
    </row>
    <row r="1998" spans="19:42" ht="18">
      <c r="S1998" s="8">
        <f t="shared" si="170"/>
        <v>0</v>
      </c>
      <c r="W1998" s="3">
        <v>2024</v>
      </c>
      <c r="X1998" s="30">
        <v>188.8</v>
      </c>
      <c r="Y1998" s="33">
        <f t="shared" si="167"/>
        <v>0.189</v>
      </c>
      <c r="AH1998" s="45">
        <f t="shared" si="171"/>
        <v>0</v>
      </c>
      <c r="AJ1998" s="44">
        <f t="shared" si="168"/>
        <v>2.024</v>
      </c>
      <c r="AP1998" s="46">
        <f t="shared" si="169"/>
        <v>0.189</v>
      </c>
    </row>
    <row r="1999" spans="19:42" ht="18">
      <c r="S1999" s="8">
        <f t="shared" si="170"/>
        <v>0</v>
      </c>
      <c r="W1999" s="3">
        <v>2025</v>
      </c>
      <c r="X1999" s="30">
        <v>188.75</v>
      </c>
      <c r="Y1999" s="33">
        <f t="shared" si="167"/>
        <v>0.189</v>
      </c>
      <c r="AH1999" s="45">
        <f t="shared" si="171"/>
        <v>0</v>
      </c>
      <c r="AJ1999" s="44">
        <f t="shared" si="168"/>
        <v>2.0249999999999999</v>
      </c>
      <c r="AP1999" s="46">
        <f t="shared" si="169"/>
        <v>0.189</v>
      </c>
    </row>
    <row r="2000" spans="19:42" ht="18">
      <c r="S2000" s="8">
        <f t="shared" si="170"/>
        <v>0</v>
      </c>
      <c r="W2000" s="3">
        <v>2026</v>
      </c>
      <c r="X2000" s="30">
        <v>188.7</v>
      </c>
      <c r="Y2000" s="33">
        <f t="shared" si="167"/>
        <v>0.189</v>
      </c>
      <c r="AH2000" s="45">
        <f t="shared" si="171"/>
        <v>0</v>
      </c>
      <c r="AJ2000" s="44">
        <f t="shared" si="168"/>
        <v>2.0259999999999998</v>
      </c>
      <c r="AP2000" s="46">
        <f t="shared" si="169"/>
        <v>0.189</v>
      </c>
    </row>
    <row r="2001" spans="19:42" ht="18">
      <c r="S2001" s="8">
        <f t="shared" si="170"/>
        <v>0</v>
      </c>
      <c r="W2001" s="3">
        <v>2027</v>
      </c>
      <c r="X2001" s="30">
        <v>188.65</v>
      </c>
      <c r="Y2001" s="33">
        <f t="shared" si="167"/>
        <v>0.189</v>
      </c>
      <c r="AH2001" s="45">
        <f t="shared" si="171"/>
        <v>0</v>
      </c>
      <c r="AJ2001" s="44">
        <f t="shared" si="168"/>
        <v>2.0270000000000001</v>
      </c>
      <c r="AP2001" s="46">
        <f t="shared" si="169"/>
        <v>0.189</v>
      </c>
    </row>
    <row r="2002" spans="19:42" ht="18">
      <c r="S2002" s="8">
        <f t="shared" si="170"/>
        <v>0</v>
      </c>
      <c r="W2002" s="3">
        <v>2028</v>
      </c>
      <c r="X2002" s="30">
        <v>188.6</v>
      </c>
      <c r="Y2002" s="33">
        <f t="shared" si="167"/>
        <v>0.189</v>
      </c>
      <c r="AH2002" s="45">
        <f t="shared" si="171"/>
        <v>0</v>
      </c>
      <c r="AJ2002" s="44">
        <f t="shared" si="168"/>
        <v>2.028</v>
      </c>
      <c r="AP2002" s="46">
        <f t="shared" si="169"/>
        <v>0.189</v>
      </c>
    </row>
    <row r="2003" spans="19:42" ht="18">
      <c r="S2003" s="8">
        <f t="shared" si="170"/>
        <v>0</v>
      </c>
      <c r="W2003" s="3">
        <v>2029</v>
      </c>
      <c r="X2003" s="30">
        <v>188.55</v>
      </c>
      <c r="Y2003" s="33">
        <f t="shared" si="167"/>
        <v>0.189</v>
      </c>
      <c r="AH2003" s="45">
        <f t="shared" si="171"/>
        <v>0</v>
      </c>
      <c r="AJ2003" s="44">
        <f t="shared" si="168"/>
        <v>2.0289999999999999</v>
      </c>
      <c r="AP2003" s="46">
        <f t="shared" si="169"/>
        <v>0.189</v>
      </c>
    </row>
    <row r="2004" spans="19:42" ht="18">
      <c r="S2004" s="8">
        <f t="shared" si="170"/>
        <v>0</v>
      </c>
      <c r="W2004" s="3">
        <v>2030</v>
      </c>
      <c r="X2004" s="30">
        <v>188.5</v>
      </c>
      <c r="Y2004" s="33">
        <f t="shared" si="167"/>
        <v>0.189</v>
      </c>
      <c r="AH2004" s="45">
        <f t="shared" si="171"/>
        <v>0</v>
      </c>
      <c r="AJ2004" s="44">
        <f t="shared" si="168"/>
        <v>2.0299999999999998</v>
      </c>
      <c r="AP2004" s="46">
        <f t="shared" si="169"/>
        <v>0.189</v>
      </c>
    </row>
    <row r="2005" spans="19:42" ht="18">
      <c r="S2005" s="8">
        <f t="shared" si="170"/>
        <v>0</v>
      </c>
      <c r="W2005" s="3">
        <v>2031</v>
      </c>
      <c r="X2005" s="30">
        <v>188.45</v>
      </c>
      <c r="Y2005" s="33">
        <f t="shared" si="167"/>
        <v>0.188</v>
      </c>
      <c r="AH2005" s="45">
        <f t="shared" si="171"/>
        <v>0</v>
      </c>
      <c r="AJ2005" s="44">
        <f t="shared" si="168"/>
        <v>2.0310000000000001</v>
      </c>
      <c r="AP2005" s="46">
        <f t="shared" si="169"/>
        <v>0.188</v>
      </c>
    </row>
    <row r="2006" spans="19:42" ht="18">
      <c r="S2006" s="8">
        <f t="shared" si="170"/>
        <v>0</v>
      </c>
      <c r="W2006" s="3">
        <v>2032</v>
      </c>
      <c r="X2006" s="30">
        <v>188.4</v>
      </c>
      <c r="Y2006" s="33">
        <f t="shared" si="167"/>
        <v>0.188</v>
      </c>
      <c r="AH2006" s="45">
        <f t="shared" si="171"/>
        <v>0</v>
      </c>
      <c r="AJ2006" s="44">
        <f t="shared" si="168"/>
        <v>2.032</v>
      </c>
      <c r="AP2006" s="46">
        <f t="shared" si="169"/>
        <v>0.188</v>
      </c>
    </row>
    <row r="2007" spans="19:42" ht="18">
      <c r="S2007" s="8">
        <f t="shared" si="170"/>
        <v>0</v>
      </c>
      <c r="W2007" s="3">
        <v>2033</v>
      </c>
      <c r="X2007" s="30">
        <v>188.35</v>
      </c>
      <c r="Y2007" s="33">
        <f t="shared" si="167"/>
        <v>0.188</v>
      </c>
      <c r="AH2007" s="45">
        <f t="shared" si="171"/>
        <v>0</v>
      </c>
      <c r="AJ2007" s="44">
        <f t="shared" si="168"/>
        <v>2.0329999999999999</v>
      </c>
      <c r="AP2007" s="46">
        <f t="shared" si="169"/>
        <v>0.188</v>
      </c>
    </row>
    <row r="2008" spans="19:42" ht="18">
      <c r="S2008" s="8">
        <f t="shared" si="170"/>
        <v>0</v>
      </c>
      <c r="W2008" s="3">
        <v>2034</v>
      </c>
      <c r="X2008" s="30">
        <v>188.3</v>
      </c>
      <c r="Y2008" s="33">
        <f t="shared" si="167"/>
        <v>0.188</v>
      </c>
      <c r="AH2008" s="45">
        <f t="shared" si="171"/>
        <v>0</v>
      </c>
      <c r="AJ2008" s="44">
        <f t="shared" si="168"/>
        <v>2.0339999999999998</v>
      </c>
      <c r="AP2008" s="46">
        <f t="shared" si="169"/>
        <v>0.188</v>
      </c>
    </row>
    <row r="2009" spans="19:42" ht="18">
      <c r="S2009" s="8">
        <f t="shared" si="170"/>
        <v>0</v>
      </c>
      <c r="W2009" s="3">
        <v>2035</v>
      </c>
      <c r="X2009" s="30">
        <v>188.25</v>
      </c>
      <c r="Y2009" s="33">
        <f t="shared" si="167"/>
        <v>0.188</v>
      </c>
      <c r="AH2009" s="45">
        <f t="shared" si="171"/>
        <v>0</v>
      </c>
      <c r="AJ2009" s="44">
        <f t="shared" si="168"/>
        <v>2.0350000000000001</v>
      </c>
      <c r="AP2009" s="46">
        <f t="shared" si="169"/>
        <v>0.188</v>
      </c>
    </row>
    <row r="2010" spans="19:42" ht="18">
      <c r="S2010" s="8">
        <f t="shared" si="170"/>
        <v>0</v>
      </c>
      <c r="W2010" s="3">
        <v>2036</v>
      </c>
      <c r="X2010" s="30">
        <v>188.2</v>
      </c>
      <c r="Y2010" s="33">
        <f t="shared" si="167"/>
        <v>0.188</v>
      </c>
      <c r="AH2010" s="45">
        <f t="shared" si="171"/>
        <v>0</v>
      </c>
      <c r="AJ2010" s="44">
        <f t="shared" si="168"/>
        <v>2.036</v>
      </c>
      <c r="AP2010" s="46">
        <f t="shared" si="169"/>
        <v>0.188</v>
      </c>
    </row>
    <row r="2011" spans="19:42" ht="18">
      <c r="S2011" s="8">
        <f t="shared" si="170"/>
        <v>0</v>
      </c>
      <c r="W2011" s="3">
        <v>2037</v>
      </c>
      <c r="X2011" s="30">
        <v>188.15</v>
      </c>
      <c r="Y2011" s="33">
        <f t="shared" si="167"/>
        <v>0.188</v>
      </c>
      <c r="AH2011" s="45">
        <f t="shared" si="171"/>
        <v>0</v>
      </c>
      <c r="AJ2011" s="44">
        <f t="shared" si="168"/>
        <v>2.0369999999999999</v>
      </c>
      <c r="AP2011" s="46">
        <f t="shared" si="169"/>
        <v>0.188</v>
      </c>
    </row>
    <row r="2012" spans="19:42" ht="18">
      <c r="S2012" s="8">
        <f t="shared" si="170"/>
        <v>0</v>
      </c>
      <c r="W2012" s="3">
        <v>2038</v>
      </c>
      <c r="X2012" s="30">
        <v>188.1</v>
      </c>
      <c r="Y2012" s="33">
        <f t="shared" si="167"/>
        <v>0.188</v>
      </c>
      <c r="AH2012" s="45">
        <f t="shared" si="171"/>
        <v>0</v>
      </c>
      <c r="AJ2012" s="44">
        <f t="shared" si="168"/>
        <v>2.0379999999999998</v>
      </c>
      <c r="AP2012" s="46">
        <f t="shared" si="169"/>
        <v>0.188</v>
      </c>
    </row>
    <row r="2013" spans="19:42" ht="18">
      <c r="S2013" s="8">
        <f t="shared" si="170"/>
        <v>0</v>
      </c>
      <c r="W2013" s="3">
        <v>2039</v>
      </c>
      <c r="X2013" s="30">
        <v>188.05</v>
      </c>
      <c r="Y2013" s="33">
        <f t="shared" si="167"/>
        <v>0.188</v>
      </c>
      <c r="AH2013" s="45">
        <f t="shared" si="171"/>
        <v>0</v>
      </c>
      <c r="AJ2013" s="44">
        <f t="shared" si="168"/>
        <v>2.0390000000000001</v>
      </c>
      <c r="AP2013" s="46">
        <f t="shared" si="169"/>
        <v>0.188</v>
      </c>
    </row>
    <row r="2014" spans="19:42" ht="18">
      <c r="S2014" s="8">
        <f t="shared" si="170"/>
        <v>0</v>
      </c>
      <c r="W2014" s="3">
        <v>2040</v>
      </c>
      <c r="X2014" s="30">
        <v>188</v>
      </c>
      <c r="Y2014" s="33">
        <f t="shared" si="167"/>
        <v>0.188</v>
      </c>
      <c r="AH2014" s="45">
        <f t="shared" si="171"/>
        <v>0</v>
      </c>
      <c r="AJ2014" s="44">
        <f t="shared" si="168"/>
        <v>2.04</v>
      </c>
      <c r="AP2014" s="46">
        <f t="shared" si="169"/>
        <v>0.188</v>
      </c>
    </row>
    <row r="2015" spans="19:42" ht="18">
      <c r="S2015" s="8">
        <f t="shared" si="170"/>
        <v>0</v>
      </c>
      <c r="W2015" s="3">
        <v>2041</v>
      </c>
      <c r="X2015" s="30">
        <v>187.95</v>
      </c>
      <c r="Y2015" s="33">
        <f t="shared" si="167"/>
        <v>0.188</v>
      </c>
      <c r="AH2015" s="45">
        <f t="shared" si="171"/>
        <v>0</v>
      </c>
      <c r="AJ2015" s="44">
        <f t="shared" si="168"/>
        <v>2.0409999999999999</v>
      </c>
      <c r="AP2015" s="46">
        <f t="shared" si="169"/>
        <v>0.188</v>
      </c>
    </row>
    <row r="2016" spans="19:42" ht="18">
      <c r="S2016" s="8">
        <f t="shared" si="170"/>
        <v>0</v>
      </c>
      <c r="W2016" s="3">
        <v>2042</v>
      </c>
      <c r="X2016" s="30">
        <v>187.9</v>
      </c>
      <c r="Y2016" s="33">
        <f t="shared" si="167"/>
        <v>0.188</v>
      </c>
      <c r="AH2016" s="45">
        <f t="shared" si="171"/>
        <v>0</v>
      </c>
      <c r="AJ2016" s="44">
        <f t="shared" si="168"/>
        <v>2.0419999999999998</v>
      </c>
      <c r="AP2016" s="46">
        <f t="shared" si="169"/>
        <v>0.188</v>
      </c>
    </row>
    <row r="2017" spans="19:42" ht="18">
      <c r="S2017" s="8">
        <f t="shared" si="170"/>
        <v>0</v>
      </c>
      <c r="W2017" s="3">
        <v>2043</v>
      </c>
      <c r="X2017" s="30">
        <v>187.85</v>
      </c>
      <c r="Y2017" s="33">
        <f t="shared" si="167"/>
        <v>0.188</v>
      </c>
      <c r="AH2017" s="45">
        <f t="shared" si="171"/>
        <v>0</v>
      </c>
      <c r="AJ2017" s="44">
        <f t="shared" si="168"/>
        <v>2.0430000000000001</v>
      </c>
      <c r="AP2017" s="46">
        <f t="shared" si="169"/>
        <v>0.188</v>
      </c>
    </row>
    <row r="2018" spans="19:42" ht="18">
      <c r="S2018" s="8">
        <f t="shared" si="170"/>
        <v>0</v>
      </c>
      <c r="W2018" s="3">
        <v>2044</v>
      </c>
      <c r="X2018" s="30">
        <v>187.8</v>
      </c>
      <c r="Y2018" s="33">
        <f t="shared" si="167"/>
        <v>0.188</v>
      </c>
      <c r="AH2018" s="45">
        <f t="shared" si="171"/>
        <v>0</v>
      </c>
      <c r="AJ2018" s="44">
        <f t="shared" si="168"/>
        <v>2.044</v>
      </c>
      <c r="AP2018" s="46">
        <f t="shared" si="169"/>
        <v>0.188</v>
      </c>
    </row>
    <row r="2019" spans="19:42" ht="18">
      <c r="S2019" s="8">
        <f t="shared" si="170"/>
        <v>0</v>
      </c>
      <c r="W2019" s="3">
        <v>2045</v>
      </c>
      <c r="X2019" s="30">
        <v>187.75</v>
      </c>
      <c r="Y2019" s="33">
        <f t="shared" si="167"/>
        <v>0.188</v>
      </c>
      <c r="AH2019" s="45">
        <f t="shared" si="171"/>
        <v>0</v>
      </c>
      <c r="AJ2019" s="44">
        <f t="shared" si="168"/>
        <v>2.0449999999999999</v>
      </c>
      <c r="AP2019" s="46">
        <f t="shared" si="169"/>
        <v>0.188</v>
      </c>
    </row>
    <row r="2020" spans="19:42" ht="18">
      <c r="S2020" s="8">
        <f t="shared" si="170"/>
        <v>0</v>
      </c>
      <c r="W2020" s="3">
        <v>2046</v>
      </c>
      <c r="X2020" s="30">
        <v>187.7</v>
      </c>
      <c r="Y2020" s="33">
        <f t="shared" si="167"/>
        <v>0.188</v>
      </c>
      <c r="AH2020" s="45">
        <f t="shared" si="171"/>
        <v>0</v>
      </c>
      <c r="AJ2020" s="44">
        <f t="shared" si="168"/>
        <v>2.0459999999999998</v>
      </c>
      <c r="AP2020" s="46">
        <f t="shared" si="169"/>
        <v>0.188</v>
      </c>
    </row>
    <row r="2021" spans="19:42" ht="18">
      <c r="S2021" s="8">
        <f t="shared" si="170"/>
        <v>0</v>
      </c>
      <c r="W2021" s="3">
        <v>2047</v>
      </c>
      <c r="X2021" s="30">
        <v>187.65</v>
      </c>
      <c r="Y2021" s="33">
        <f t="shared" si="167"/>
        <v>0.188</v>
      </c>
      <c r="AH2021" s="45">
        <f t="shared" si="171"/>
        <v>0</v>
      </c>
      <c r="AJ2021" s="44">
        <f t="shared" si="168"/>
        <v>2.0470000000000002</v>
      </c>
      <c r="AP2021" s="46">
        <f t="shared" si="169"/>
        <v>0.188</v>
      </c>
    </row>
    <row r="2022" spans="19:42" ht="18">
      <c r="S2022" s="8">
        <f t="shared" si="170"/>
        <v>0</v>
      </c>
      <c r="W2022" s="3">
        <v>2048</v>
      </c>
      <c r="X2022" s="30">
        <v>187.6</v>
      </c>
      <c r="Y2022" s="33">
        <f t="shared" si="167"/>
        <v>0.188</v>
      </c>
      <c r="AH2022" s="45">
        <f t="shared" si="171"/>
        <v>0</v>
      </c>
      <c r="AJ2022" s="44">
        <f t="shared" si="168"/>
        <v>2.048</v>
      </c>
      <c r="AP2022" s="46">
        <f t="shared" si="169"/>
        <v>0.188</v>
      </c>
    </row>
    <row r="2023" spans="19:42" ht="18">
      <c r="S2023" s="8">
        <f t="shared" si="170"/>
        <v>0</v>
      </c>
      <c r="W2023" s="3">
        <v>2049</v>
      </c>
      <c r="X2023" s="30">
        <v>187.55</v>
      </c>
      <c r="Y2023" s="33">
        <f t="shared" si="167"/>
        <v>0.188</v>
      </c>
      <c r="AH2023" s="45">
        <f t="shared" si="171"/>
        <v>0</v>
      </c>
      <c r="AJ2023" s="44">
        <f t="shared" si="168"/>
        <v>2.0489999999999999</v>
      </c>
      <c r="AP2023" s="46">
        <f t="shared" si="169"/>
        <v>0.188</v>
      </c>
    </row>
    <row r="2024" spans="19:42" ht="18">
      <c r="S2024" s="8">
        <f t="shared" si="170"/>
        <v>0</v>
      </c>
      <c r="W2024" s="3">
        <v>2050</v>
      </c>
      <c r="X2024" s="30">
        <v>187.5</v>
      </c>
      <c r="Y2024" s="33">
        <f t="shared" si="167"/>
        <v>0.188</v>
      </c>
      <c r="AH2024" s="45">
        <f t="shared" si="171"/>
        <v>0</v>
      </c>
      <c r="AJ2024" s="44">
        <f t="shared" si="168"/>
        <v>2.0499999999999998</v>
      </c>
      <c r="AP2024" s="46">
        <f t="shared" si="169"/>
        <v>0.188</v>
      </c>
    </row>
    <row r="2025" spans="19:42" ht="18">
      <c r="S2025" s="8">
        <f t="shared" si="170"/>
        <v>0</v>
      </c>
      <c r="W2025" s="3">
        <v>2051</v>
      </c>
      <c r="X2025" s="30">
        <v>187.45</v>
      </c>
      <c r="Y2025" s="33">
        <f t="shared" si="167"/>
        <v>0.187</v>
      </c>
      <c r="AH2025" s="45">
        <f t="shared" si="171"/>
        <v>0</v>
      </c>
      <c r="AJ2025" s="44">
        <f t="shared" si="168"/>
        <v>2.0510000000000002</v>
      </c>
      <c r="AP2025" s="46">
        <f t="shared" si="169"/>
        <v>0.187</v>
      </c>
    </row>
    <row r="2026" spans="19:42" ht="18">
      <c r="S2026" s="8">
        <f t="shared" si="170"/>
        <v>0</v>
      </c>
      <c r="W2026" s="3">
        <v>2052</v>
      </c>
      <c r="X2026" s="30">
        <v>187.4</v>
      </c>
      <c r="Y2026" s="33">
        <f t="shared" si="167"/>
        <v>0.187</v>
      </c>
      <c r="AH2026" s="45">
        <f t="shared" si="171"/>
        <v>0</v>
      </c>
      <c r="AJ2026" s="44">
        <f t="shared" si="168"/>
        <v>2.052</v>
      </c>
      <c r="AP2026" s="46">
        <f t="shared" si="169"/>
        <v>0.187</v>
      </c>
    </row>
    <row r="2027" spans="19:42" ht="18">
      <c r="S2027" s="8">
        <f t="shared" si="170"/>
        <v>0</v>
      </c>
      <c r="W2027" s="3">
        <v>2053</v>
      </c>
      <c r="X2027" s="30">
        <v>187.35</v>
      </c>
      <c r="Y2027" s="33">
        <f t="shared" si="167"/>
        <v>0.187</v>
      </c>
      <c r="AH2027" s="45">
        <f t="shared" si="171"/>
        <v>0</v>
      </c>
      <c r="AJ2027" s="44">
        <f t="shared" si="168"/>
        <v>2.0529999999999999</v>
      </c>
      <c r="AP2027" s="46">
        <f t="shared" si="169"/>
        <v>0.187</v>
      </c>
    </row>
    <row r="2028" spans="19:42" ht="18">
      <c r="S2028" s="8">
        <f t="shared" si="170"/>
        <v>0</v>
      </c>
      <c r="W2028" s="3">
        <v>2054</v>
      </c>
      <c r="X2028" s="30">
        <v>187.3</v>
      </c>
      <c r="Y2028" s="33">
        <f t="shared" si="167"/>
        <v>0.187</v>
      </c>
      <c r="AH2028" s="45">
        <f t="shared" si="171"/>
        <v>0</v>
      </c>
      <c r="AJ2028" s="44">
        <f t="shared" si="168"/>
        <v>2.0539999999999998</v>
      </c>
      <c r="AP2028" s="46">
        <f t="shared" si="169"/>
        <v>0.187</v>
      </c>
    </row>
    <row r="2029" spans="19:42" ht="18">
      <c r="S2029" s="8">
        <f t="shared" si="170"/>
        <v>0</v>
      </c>
      <c r="W2029" s="3">
        <v>2055</v>
      </c>
      <c r="X2029" s="30">
        <v>187.25</v>
      </c>
      <c r="Y2029" s="33">
        <f t="shared" si="167"/>
        <v>0.187</v>
      </c>
      <c r="AH2029" s="45">
        <f t="shared" si="171"/>
        <v>0</v>
      </c>
      <c r="AJ2029" s="44">
        <f t="shared" si="168"/>
        <v>2.0550000000000002</v>
      </c>
      <c r="AP2029" s="46">
        <f t="shared" si="169"/>
        <v>0.187</v>
      </c>
    </row>
    <row r="2030" spans="19:42" ht="18">
      <c r="S2030" s="8">
        <f t="shared" si="170"/>
        <v>0</v>
      </c>
      <c r="W2030" s="3">
        <v>2056</v>
      </c>
      <c r="X2030" s="30">
        <v>187.2</v>
      </c>
      <c r="Y2030" s="33">
        <f t="shared" si="167"/>
        <v>0.187</v>
      </c>
      <c r="AH2030" s="45">
        <f t="shared" si="171"/>
        <v>0</v>
      </c>
      <c r="AJ2030" s="44">
        <f t="shared" si="168"/>
        <v>2.056</v>
      </c>
      <c r="AP2030" s="46">
        <f t="shared" si="169"/>
        <v>0.187</v>
      </c>
    </row>
    <row r="2031" spans="19:42" ht="18">
      <c r="S2031" s="8">
        <f t="shared" si="170"/>
        <v>0</v>
      </c>
      <c r="W2031" s="3">
        <v>2057</v>
      </c>
      <c r="X2031" s="30">
        <v>187.15</v>
      </c>
      <c r="Y2031" s="33">
        <f t="shared" si="167"/>
        <v>0.187</v>
      </c>
      <c r="AH2031" s="45">
        <f t="shared" si="171"/>
        <v>0</v>
      </c>
      <c r="AJ2031" s="44">
        <f t="shared" si="168"/>
        <v>2.0569999999999999</v>
      </c>
      <c r="AP2031" s="46">
        <f t="shared" si="169"/>
        <v>0.187</v>
      </c>
    </row>
    <row r="2032" spans="19:42" ht="18">
      <c r="S2032" s="8">
        <f t="shared" si="170"/>
        <v>0</v>
      </c>
      <c r="W2032" s="3">
        <v>2058</v>
      </c>
      <c r="X2032" s="30">
        <v>187.1</v>
      </c>
      <c r="Y2032" s="33">
        <f t="shared" si="167"/>
        <v>0.187</v>
      </c>
      <c r="AH2032" s="45">
        <f t="shared" si="171"/>
        <v>0</v>
      </c>
      <c r="AJ2032" s="44">
        <f t="shared" si="168"/>
        <v>2.0579999999999998</v>
      </c>
      <c r="AP2032" s="46">
        <f t="shared" si="169"/>
        <v>0.187</v>
      </c>
    </row>
    <row r="2033" spans="19:42" ht="18">
      <c r="S2033" s="8">
        <f t="shared" si="170"/>
        <v>0</v>
      </c>
      <c r="W2033" s="3">
        <v>2059</v>
      </c>
      <c r="X2033" s="30">
        <v>187.05</v>
      </c>
      <c r="Y2033" s="33">
        <f t="shared" si="167"/>
        <v>0.187</v>
      </c>
      <c r="AH2033" s="45">
        <f t="shared" si="171"/>
        <v>0</v>
      </c>
      <c r="AJ2033" s="44">
        <f t="shared" si="168"/>
        <v>2.0590000000000002</v>
      </c>
      <c r="AP2033" s="46">
        <f t="shared" si="169"/>
        <v>0.187</v>
      </c>
    </row>
    <row r="2034" spans="19:42" ht="18">
      <c r="S2034" s="8">
        <f t="shared" si="170"/>
        <v>0</v>
      </c>
      <c r="W2034" s="3">
        <v>2060</v>
      </c>
      <c r="X2034" s="30">
        <v>187</v>
      </c>
      <c r="Y2034" s="33">
        <f t="shared" si="167"/>
        <v>0.187</v>
      </c>
      <c r="AH2034" s="45">
        <f t="shared" si="171"/>
        <v>0</v>
      </c>
      <c r="AJ2034" s="44">
        <f t="shared" si="168"/>
        <v>2.06</v>
      </c>
      <c r="AP2034" s="46">
        <f t="shared" si="169"/>
        <v>0.187</v>
      </c>
    </row>
    <row r="2035" spans="19:42" ht="18">
      <c r="S2035" s="8">
        <f t="shared" si="170"/>
        <v>0</v>
      </c>
      <c r="W2035" s="3">
        <v>2061</v>
      </c>
      <c r="X2035" s="30">
        <v>186.95</v>
      </c>
      <c r="Y2035" s="33">
        <f t="shared" si="167"/>
        <v>0.187</v>
      </c>
      <c r="AH2035" s="45">
        <f t="shared" si="171"/>
        <v>0</v>
      </c>
      <c r="AJ2035" s="44">
        <f t="shared" si="168"/>
        <v>2.0609999999999999</v>
      </c>
      <c r="AP2035" s="46">
        <f t="shared" si="169"/>
        <v>0.187</v>
      </c>
    </row>
    <row r="2036" spans="19:42" ht="18">
      <c r="S2036" s="8">
        <f t="shared" si="170"/>
        <v>0</v>
      </c>
      <c r="W2036" s="3">
        <v>2062</v>
      </c>
      <c r="X2036" s="30">
        <v>186.9</v>
      </c>
      <c r="Y2036" s="33">
        <f t="shared" si="167"/>
        <v>0.187</v>
      </c>
      <c r="AH2036" s="45">
        <f t="shared" si="171"/>
        <v>0</v>
      </c>
      <c r="AJ2036" s="44">
        <f t="shared" si="168"/>
        <v>2.0619999999999998</v>
      </c>
      <c r="AP2036" s="46">
        <f t="shared" si="169"/>
        <v>0.187</v>
      </c>
    </row>
    <row r="2037" spans="19:42" ht="18">
      <c r="S2037" s="8">
        <f t="shared" si="170"/>
        <v>0</v>
      </c>
      <c r="W2037" s="3">
        <v>2063</v>
      </c>
      <c r="X2037" s="30">
        <v>186.85</v>
      </c>
      <c r="Y2037" s="33">
        <f t="shared" si="167"/>
        <v>0.187</v>
      </c>
      <c r="AH2037" s="45">
        <f t="shared" si="171"/>
        <v>0</v>
      </c>
      <c r="AJ2037" s="44">
        <f t="shared" si="168"/>
        <v>2.0630000000000002</v>
      </c>
      <c r="AP2037" s="46">
        <f t="shared" si="169"/>
        <v>0.187</v>
      </c>
    </row>
    <row r="2038" spans="19:42" ht="18">
      <c r="S2038" s="8">
        <f t="shared" si="170"/>
        <v>0</v>
      </c>
      <c r="W2038" s="3">
        <v>2064</v>
      </c>
      <c r="X2038" s="30">
        <v>186.8</v>
      </c>
      <c r="Y2038" s="33">
        <f t="shared" si="167"/>
        <v>0.187</v>
      </c>
      <c r="AH2038" s="45">
        <f t="shared" si="171"/>
        <v>0</v>
      </c>
      <c r="AJ2038" s="44">
        <f t="shared" si="168"/>
        <v>2.0640000000000001</v>
      </c>
      <c r="AP2038" s="46">
        <f t="shared" si="169"/>
        <v>0.187</v>
      </c>
    </row>
    <row r="2039" spans="19:42" ht="18">
      <c r="S2039" s="8">
        <f t="shared" si="170"/>
        <v>0</v>
      </c>
      <c r="W2039" s="3">
        <v>2065</v>
      </c>
      <c r="X2039" s="30">
        <v>186.75</v>
      </c>
      <c r="Y2039" s="33">
        <f t="shared" si="167"/>
        <v>0.187</v>
      </c>
      <c r="AH2039" s="45">
        <f t="shared" si="171"/>
        <v>0</v>
      </c>
      <c r="AJ2039" s="44">
        <f t="shared" si="168"/>
        <v>2.0649999999999999</v>
      </c>
      <c r="AP2039" s="46">
        <f t="shared" si="169"/>
        <v>0.187</v>
      </c>
    </row>
    <row r="2040" spans="19:42" ht="18">
      <c r="S2040" s="8">
        <f t="shared" si="170"/>
        <v>0</v>
      </c>
      <c r="W2040" s="3">
        <v>2066</v>
      </c>
      <c r="X2040" s="30">
        <v>186.7</v>
      </c>
      <c r="Y2040" s="33">
        <f t="shared" si="167"/>
        <v>0.187</v>
      </c>
      <c r="AH2040" s="45">
        <f t="shared" si="171"/>
        <v>0</v>
      </c>
      <c r="AJ2040" s="44">
        <f t="shared" si="168"/>
        <v>2.0659999999999998</v>
      </c>
      <c r="AP2040" s="46">
        <f t="shared" si="169"/>
        <v>0.187</v>
      </c>
    </row>
    <row r="2041" spans="19:42" ht="18">
      <c r="S2041" s="8">
        <f t="shared" si="170"/>
        <v>0</v>
      </c>
      <c r="W2041" s="3">
        <v>2067</v>
      </c>
      <c r="X2041" s="30">
        <v>186.65</v>
      </c>
      <c r="Y2041" s="33">
        <f t="shared" si="167"/>
        <v>0.187</v>
      </c>
      <c r="AH2041" s="45">
        <f t="shared" si="171"/>
        <v>0</v>
      </c>
      <c r="AJ2041" s="44">
        <f t="shared" si="168"/>
        <v>2.0670000000000002</v>
      </c>
      <c r="AP2041" s="46">
        <f t="shared" si="169"/>
        <v>0.187</v>
      </c>
    </row>
    <row r="2042" spans="19:42" ht="18">
      <c r="S2042" s="8">
        <f t="shared" si="170"/>
        <v>0</v>
      </c>
      <c r="W2042" s="3">
        <v>2068</v>
      </c>
      <c r="X2042" s="30">
        <v>186.6</v>
      </c>
      <c r="Y2042" s="33">
        <f t="shared" si="167"/>
        <v>0.187</v>
      </c>
      <c r="AH2042" s="45">
        <f t="shared" si="171"/>
        <v>0</v>
      </c>
      <c r="AJ2042" s="44">
        <f t="shared" si="168"/>
        <v>2.0680000000000001</v>
      </c>
      <c r="AP2042" s="46">
        <f t="shared" si="169"/>
        <v>0.187</v>
      </c>
    </row>
    <row r="2043" spans="19:42" ht="18">
      <c r="S2043" s="8">
        <f t="shared" si="170"/>
        <v>0</v>
      </c>
      <c r="W2043" s="3">
        <v>2069</v>
      </c>
      <c r="X2043" s="30">
        <v>186.55</v>
      </c>
      <c r="Y2043" s="33">
        <f t="shared" si="167"/>
        <v>0.187</v>
      </c>
      <c r="AH2043" s="45">
        <f t="shared" si="171"/>
        <v>0</v>
      </c>
      <c r="AJ2043" s="44">
        <f t="shared" si="168"/>
        <v>2.069</v>
      </c>
      <c r="AP2043" s="46">
        <f t="shared" si="169"/>
        <v>0.187</v>
      </c>
    </row>
    <row r="2044" spans="19:42" ht="18">
      <c r="S2044" s="8">
        <f t="shared" si="170"/>
        <v>0</v>
      </c>
      <c r="W2044" s="3">
        <v>2070</v>
      </c>
      <c r="X2044" s="30">
        <v>186.5</v>
      </c>
      <c r="Y2044" s="33">
        <f t="shared" si="167"/>
        <v>0.187</v>
      </c>
      <c r="AH2044" s="45">
        <f t="shared" si="171"/>
        <v>0</v>
      </c>
      <c r="AJ2044" s="44">
        <f t="shared" si="168"/>
        <v>2.0699999999999998</v>
      </c>
      <c r="AP2044" s="46">
        <f t="shared" si="169"/>
        <v>0.187</v>
      </c>
    </row>
    <row r="2045" spans="19:42" ht="18">
      <c r="S2045" s="8">
        <f t="shared" si="170"/>
        <v>0</v>
      </c>
      <c r="W2045" s="3">
        <v>2071</v>
      </c>
      <c r="X2045" s="30">
        <v>186.45</v>
      </c>
      <c r="Y2045" s="33">
        <f t="shared" si="167"/>
        <v>0.186</v>
      </c>
      <c r="AH2045" s="45">
        <f t="shared" si="171"/>
        <v>0</v>
      </c>
      <c r="AJ2045" s="44">
        <f t="shared" si="168"/>
        <v>2.0710000000000002</v>
      </c>
      <c r="AP2045" s="46">
        <f t="shared" si="169"/>
        <v>0.186</v>
      </c>
    </row>
    <row r="2046" spans="19:42" ht="18">
      <c r="S2046" s="8">
        <f t="shared" si="170"/>
        <v>0</v>
      </c>
      <c r="W2046" s="3">
        <v>2072</v>
      </c>
      <c r="X2046" s="30">
        <v>186.4</v>
      </c>
      <c r="Y2046" s="33">
        <f t="shared" si="167"/>
        <v>0.186</v>
      </c>
      <c r="AH2046" s="45">
        <f t="shared" si="171"/>
        <v>0</v>
      </c>
      <c r="AJ2046" s="44">
        <f t="shared" si="168"/>
        <v>2.0720000000000001</v>
      </c>
      <c r="AP2046" s="46">
        <f t="shared" si="169"/>
        <v>0.186</v>
      </c>
    </row>
    <row r="2047" spans="19:42" ht="18">
      <c r="S2047" s="8">
        <f t="shared" si="170"/>
        <v>0</v>
      </c>
      <c r="W2047" s="3">
        <v>2073</v>
      </c>
      <c r="X2047" s="30">
        <v>186.35</v>
      </c>
      <c r="Y2047" s="33">
        <f t="shared" si="167"/>
        <v>0.186</v>
      </c>
      <c r="AH2047" s="45">
        <f t="shared" si="171"/>
        <v>0</v>
      </c>
      <c r="AJ2047" s="44">
        <f t="shared" si="168"/>
        <v>2.073</v>
      </c>
      <c r="AP2047" s="46">
        <f t="shared" si="169"/>
        <v>0.186</v>
      </c>
    </row>
    <row r="2048" spans="19:42" ht="18">
      <c r="S2048" s="8">
        <f t="shared" si="170"/>
        <v>0</v>
      </c>
      <c r="W2048" s="3">
        <v>2074</v>
      </c>
      <c r="X2048" s="30">
        <v>186.3</v>
      </c>
      <c r="Y2048" s="33">
        <f t="shared" si="167"/>
        <v>0.186</v>
      </c>
      <c r="AH2048" s="45">
        <f t="shared" si="171"/>
        <v>0</v>
      </c>
      <c r="AJ2048" s="44">
        <f t="shared" si="168"/>
        <v>2.0739999999999998</v>
      </c>
      <c r="AP2048" s="46">
        <f t="shared" si="169"/>
        <v>0.186</v>
      </c>
    </row>
    <row r="2049" spans="19:42" ht="18">
      <c r="S2049" s="8">
        <f t="shared" si="170"/>
        <v>0</v>
      </c>
      <c r="W2049" s="3">
        <v>2075</v>
      </c>
      <c r="X2049" s="30">
        <v>186.25</v>
      </c>
      <c r="Y2049" s="33">
        <f t="shared" si="167"/>
        <v>0.186</v>
      </c>
      <c r="AH2049" s="45">
        <f t="shared" si="171"/>
        <v>0</v>
      </c>
      <c r="AJ2049" s="44">
        <f t="shared" si="168"/>
        <v>2.0750000000000002</v>
      </c>
      <c r="AP2049" s="46">
        <f t="shared" si="169"/>
        <v>0.186</v>
      </c>
    </row>
    <row r="2050" spans="19:42" ht="18">
      <c r="S2050" s="8">
        <f t="shared" si="170"/>
        <v>0</v>
      </c>
      <c r="W2050" s="3">
        <v>2076</v>
      </c>
      <c r="X2050" s="30">
        <v>186.2</v>
      </c>
      <c r="Y2050" s="33">
        <f t="shared" si="167"/>
        <v>0.186</v>
      </c>
      <c r="AH2050" s="45">
        <f t="shared" si="171"/>
        <v>0</v>
      </c>
      <c r="AJ2050" s="44">
        <f t="shared" si="168"/>
        <v>2.0760000000000001</v>
      </c>
      <c r="AP2050" s="46">
        <f t="shared" si="169"/>
        <v>0.186</v>
      </c>
    </row>
    <row r="2051" spans="19:42" ht="18">
      <c r="S2051" s="8">
        <f t="shared" si="170"/>
        <v>0</v>
      </c>
      <c r="W2051" s="3">
        <v>2077</v>
      </c>
      <c r="X2051" s="30">
        <v>186.15</v>
      </c>
      <c r="Y2051" s="33">
        <f t="shared" si="167"/>
        <v>0.186</v>
      </c>
      <c r="AH2051" s="45">
        <f t="shared" si="171"/>
        <v>0</v>
      </c>
      <c r="AJ2051" s="44">
        <f t="shared" si="168"/>
        <v>2.077</v>
      </c>
      <c r="AP2051" s="46">
        <f t="shared" si="169"/>
        <v>0.186</v>
      </c>
    </row>
    <row r="2052" spans="19:42" ht="18">
      <c r="S2052" s="8">
        <f t="shared" si="170"/>
        <v>0</v>
      </c>
      <c r="W2052" s="3">
        <v>2078</v>
      </c>
      <c r="X2052" s="30">
        <v>186.1</v>
      </c>
      <c r="Y2052" s="33">
        <f t="shared" si="167"/>
        <v>0.186</v>
      </c>
      <c r="AH2052" s="45">
        <f t="shared" si="171"/>
        <v>0</v>
      </c>
      <c r="AJ2052" s="44">
        <f t="shared" si="168"/>
        <v>2.0779999999999998</v>
      </c>
      <c r="AP2052" s="46">
        <f t="shared" si="169"/>
        <v>0.186</v>
      </c>
    </row>
    <row r="2053" spans="19:42" ht="18">
      <c r="S2053" s="8">
        <f t="shared" si="170"/>
        <v>0</v>
      </c>
      <c r="W2053" s="3">
        <v>2079</v>
      </c>
      <c r="X2053" s="30">
        <v>186.05</v>
      </c>
      <c r="Y2053" s="33">
        <f t="shared" ref="Y2053:Y2116" si="172">ROUND(X2053/1000,3)</f>
        <v>0.186</v>
      </c>
      <c r="AH2053" s="45">
        <f t="shared" si="171"/>
        <v>0</v>
      </c>
      <c r="AJ2053" s="44">
        <f t="shared" ref="AJ2053:AJ2116" si="173">ROUND(W2053/1000,3)</f>
        <v>2.0790000000000002</v>
      </c>
      <c r="AP2053" s="46">
        <f t="shared" ref="AP2053:AP2116" si="174">ROUND(X2053/1000,3)</f>
        <v>0.186</v>
      </c>
    </row>
    <row r="2054" spans="19:42" ht="18">
      <c r="S2054" s="8">
        <f t="shared" ref="S2054:S2117" si="175">CEILING(R2054/50,0.5)</f>
        <v>0</v>
      </c>
      <c r="W2054" s="3">
        <v>2080</v>
      </c>
      <c r="X2054" s="30">
        <v>186</v>
      </c>
      <c r="Y2054" s="33">
        <f t="shared" si="172"/>
        <v>0.186</v>
      </c>
      <c r="AH2054" s="45">
        <f t="shared" ref="AH2054:AH2117" si="176">AE2054-AE2053</f>
        <v>0</v>
      </c>
      <c r="AJ2054" s="44">
        <f t="shared" si="173"/>
        <v>2.08</v>
      </c>
      <c r="AP2054" s="46">
        <f t="shared" si="174"/>
        <v>0.186</v>
      </c>
    </row>
    <row r="2055" spans="19:42" ht="18">
      <c r="S2055" s="8">
        <f t="shared" si="175"/>
        <v>0</v>
      </c>
      <c r="W2055" s="3">
        <v>2081</v>
      </c>
      <c r="X2055" s="30">
        <v>185.95</v>
      </c>
      <c r="Y2055" s="33">
        <f t="shared" si="172"/>
        <v>0.186</v>
      </c>
      <c r="AH2055" s="45">
        <f t="shared" si="176"/>
        <v>0</v>
      </c>
      <c r="AJ2055" s="44">
        <f t="shared" si="173"/>
        <v>2.081</v>
      </c>
      <c r="AP2055" s="46">
        <f t="shared" si="174"/>
        <v>0.186</v>
      </c>
    </row>
    <row r="2056" spans="19:42" ht="18">
      <c r="S2056" s="8">
        <f t="shared" si="175"/>
        <v>0</v>
      </c>
      <c r="W2056" s="3">
        <v>2082</v>
      </c>
      <c r="X2056" s="30">
        <v>185.9</v>
      </c>
      <c r="Y2056" s="33">
        <f t="shared" si="172"/>
        <v>0.186</v>
      </c>
      <c r="AH2056" s="45">
        <f t="shared" si="176"/>
        <v>0</v>
      </c>
      <c r="AJ2056" s="44">
        <f t="shared" si="173"/>
        <v>2.0819999999999999</v>
      </c>
      <c r="AP2056" s="46">
        <f t="shared" si="174"/>
        <v>0.186</v>
      </c>
    </row>
    <row r="2057" spans="19:42" ht="18">
      <c r="S2057" s="8">
        <f t="shared" si="175"/>
        <v>0</v>
      </c>
      <c r="W2057" s="3">
        <v>2083</v>
      </c>
      <c r="X2057" s="30">
        <v>185.85</v>
      </c>
      <c r="Y2057" s="33">
        <f t="shared" si="172"/>
        <v>0.186</v>
      </c>
      <c r="AH2057" s="45">
        <f t="shared" si="176"/>
        <v>0</v>
      </c>
      <c r="AJ2057" s="44">
        <f t="shared" si="173"/>
        <v>2.0830000000000002</v>
      </c>
      <c r="AP2057" s="46">
        <f t="shared" si="174"/>
        <v>0.186</v>
      </c>
    </row>
    <row r="2058" spans="19:42" ht="18">
      <c r="S2058" s="8">
        <f t="shared" si="175"/>
        <v>0</v>
      </c>
      <c r="W2058" s="3">
        <v>2084</v>
      </c>
      <c r="X2058" s="30">
        <v>185.8</v>
      </c>
      <c r="Y2058" s="33">
        <f t="shared" si="172"/>
        <v>0.186</v>
      </c>
      <c r="AH2058" s="45">
        <f t="shared" si="176"/>
        <v>0</v>
      </c>
      <c r="AJ2058" s="44">
        <f t="shared" si="173"/>
        <v>2.0840000000000001</v>
      </c>
      <c r="AP2058" s="46">
        <f t="shared" si="174"/>
        <v>0.186</v>
      </c>
    </row>
    <row r="2059" spans="19:42" ht="18">
      <c r="S2059" s="8">
        <f t="shared" si="175"/>
        <v>0</v>
      </c>
      <c r="W2059" s="3">
        <v>2085</v>
      </c>
      <c r="X2059" s="30">
        <v>185.75</v>
      </c>
      <c r="Y2059" s="33">
        <f t="shared" si="172"/>
        <v>0.186</v>
      </c>
      <c r="AH2059" s="45">
        <f t="shared" si="176"/>
        <v>0</v>
      </c>
      <c r="AJ2059" s="44">
        <f t="shared" si="173"/>
        <v>2.085</v>
      </c>
      <c r="AP2059" s="46">
        <f t="shared" si="174"/>
        <v>0.186</v>
      </c>
    </row>
    <row r="2060" spans="19:42" ht="18">
      <c r="S2060" s="8">
        <f t="shared" si="175"/>
        <v>0</v>
      </c>
      <c r="W2060" s="3">
        <v>2086</v>
      </c>
      <c r="X2060" s="30">
        <v>185.7</v>
      </c>
      <c r="Y2060" s="33">
        <f t="shared" si="172"/>
        <v>0.186</v>
      </c>
      <c r="AH2060" s="45">
        <f t="shared" si="176"/>
        <v>0</v>
      </c>
      <c r="AJ2060" s="44">
        <f t="shared" si="173"/>
        <v>2.0859999999999999</v>
      </c>
      <c r="AP2060" s="46">
        <f t="shared" si="174"/>
        <v>0.186</v>
      </c>
    </row>
    <row r="2061" spans="19:42" ht="18">
      <c r="S2061" s="8">
        <f t="shared" si="175"/>
        <v>0</v>
      </c>
      <c r="W2061" s="3">
        <v>2087</v>
      </c>
      <c r="X2061" s="30">
        <v>185.65</v>
      </c>
      <c r="Y2061" s="33">
        <f t="shared" si="172"/>
        <v>0.186</v>
      </c>
      <c r="AH2061" s="45">
        <f t="shared" si="176"/>
        <v>0</v>
      </c>
      <c r="AJ2061" s="44">
        <f t="shared" si="173"/>
        <v>2.0870000000000002</v>
      </c>
      <c r="AP2061" s="46">
        <f t="shared" si="174"/>
        <v>0.186</v>
      </c>
    </row>
    <row r="2062" spans="19:42" ht="18">
      <c r="S2062" s="8">
        <f t="shared" si="175"/>
        <v>0</v>
      </c>
      <c r="W2062" s="3">
        <v>2088</v>
      </c>
      <c r="X2062" s="30">
        <v>185.6</v>
      </c>
      <c r="Y2062" s="33">
        <f t="shared" si="172"/>
        <v>0.186</v>
      </c>
      <c r="AH2062" s="45">
        <f t="shared" si="176"/>
        <v>0</v>
      </c>
      <c r="AJ2062" s="44">
        <f t="shared" si="173"/>
        <v>2.0880000000000001</v>
      </c>
      <c r="AP2062" s="46">
        <f t="shared" si="174"/>
        <v>0.186</v>
      </c>
    </row>
    <row r="2063" spans="19:42" ht="18">
      <c r="S2063" s="8">
        <f t="shared" si="175"/>
        <v>0</v>
      </c>
      <c r="W2063" s="3">
        <v>2089</v>
      </c>
      <c r="X2063" s="30">
        <v>185.55</v>
      </c>
      <c r="Y2063" s="33">
        <f t="shared" si="172"/>
        <v>0.186</v>
      </c>
      <c r="AH2063" s="45">
        <f t="shared" si="176"/>
        <v>0</v>
      </c>
      <c r="AJ2063" s="44">
        <f t="shared" si="173"/>
        <v>2.089</v>
      </c>
      <c r="AP2063" s="46">
        <f t="shared" si="174"/>
        <v>0.186</v>
      </c>
    </row>
    <row r="2064" spans="19:42" ht="18">
      <c r="S2064" s="8">
        <f t="shared" si="175"/>
        <v>0</v>
      </c>
      <c r="W2064" s="3">
        <v>2090</v>
      </c>
      <c r="X2064" s="30">
        <v>185.5</v>
      </c>
      <c r="Y2064" s="33">
        <f t="shared" si="172"/>
        <v>0.186</v>
      </c>
      <c r="AH2064" s="45">
        <f t="shared" si="176"/>
        <v>0</v>
      </c>
      <c r="AJ2064" s="44">
        <f t="shared" si="173"/>
        <v>2.09</v>
      </c>
      <c r="AP2064" s="46">
        <f t="shared" si="174"/>
        <v>0.186</v>
      </c>
    </row>
    <row r="2065" spans="19:42" ht="18">
      <c r="S2065" s="8">
        <f t="shared" si="175"/>
        <v>0</v>
      </c>
      <c r="W2065" s="3">
        <v>2091</v>
      </c>
      <c r="X2065" s="30">
        <v>185.45</v>
      </c>
      <c r="Y2065" s="33">
        <f t="shared" si="172"/>
        <v>0.185</v>
      </c>
      <c r="AH2065" s="45">
        <f t="shared" si="176"/>
        <v>0</v>
      </c>
      <c r="AJ2065" s="44">
        <f t="shared" si="173"/>
        <v>2.0910000000000002</v>
      </c>
      <c r="AP2065" s="46">
        <f t="shared" si="174"/>
        <v>0.185</v>
      </c>
    </row>
    <row r="2066" spans="19:42" ht="18">
      <c r="S2066" s="8">
        <f t="shared" si="175"/>
        <v>0</v>
      </c>
      <c r="W2066" s="3">
        <v>2092</v>
      </c>
      <c r="X2066" s="30">
        <v>185.4</v>
      </c>
      <c r="Y2066" s="33">
        <f t="shared" si="172"/>
        <v>0.185</v>
      </c>
      <c r="AH2066" s="45">
        <f t="shared" si="176"/>
        <v>0</v>
      </c>
      <c r="AJ2066" s="44">
        <f t="shared" si="173"/>
        <v>2.0920000000000001</v>
      </c>
      <c r="AP2066" s="46">
        <f t="shared" si="174"/>
        <v>0.185</v>
      </c>
    </row>
    <row r="2067" spans="19:42" ht="18">
      <c r="S2067" s="8">
        <f t="shared" si="175"/>
        <v>0</v>
      </c>
      <c r="W2067" s="3">
        <v>2093</v>
      </c>
      <c r="X2067" s="30">
        <v>185.35</v>
      </c>
      <c r="Y2067" s="33">
        <f t="shared" si="172"/>
        <v>0.185</v>
      </c>
      <c r="AH2067" s="45">
        <f t="shared" si="176"/>
        <v>0</v>
      </c>
      <c r="AJ2067" s="44">
        <f t="shared" si="173"/>
        <v>2.093</v>
      </c>
      <c r="AP2067" s="46">
        <f t="shared" si="174"/>
        <v>0.185</v>
      </c>
    </row>
    <row r="2068" spans="19:42" ht="18">
      <c r="S2068" s="8">
        <f t="shared" si="175"/>
        <v>0</v>
      </c>
      <c r="W2068" s="3">
        <v>2094</v>
      </c>
      <c r="X2068" s="30">
        <v>185.3</v>
      </c>
      <c r="Y2068" s="33">
        <f t="shared" si="172"/>
        <v>0.185</v>
      </c>
      <c r="AH2068" s="45">
        <f t="shared" si="176"/>
        <v>0</v>
      </c>
      <c r="AJ2068" s="44">
        <f t="shared" si="173"/>
        <v>2.0939999999999999</v>
      </c>
      <c r="AP2068" s="46">
        <f t="shared" si="174"/>
        <v>0.185</v>
      </c>
    </row>
    <row r="2069" spans="19:42" ht="18">
      <c r="S2069" s="8">
        <f t="shared" si="175"/>
        <v>0</v>
      </c>
      <c r="W2069" s="3">
        <v>2095</v>
      </c>
      <c r="X2069" s="30">
        <v>185.25</v>
      </c>
      <c r="Y2069" s="33">
        <f t="shared" si="172"/>
        <v>0.185</v>
      </c>
      <c r="AH2069" s="45">
        <f t="shared" si="176"/>
        <v>0</v>
      </c>
      <c r="AJ2069" s="44">
        <f t="shared" si="173"/>
        <v>2.0950000000000002</v>
      </c>
      <c r="AP2069" s="46">
        <f t="shared" si="174"/>
        <v>0.185</v>
      </c>
    </row>
    <row r="2070" spans="19:42" ht="18">
      <c r="S2070" s="8">
        <f t="shared" si="175"/>
        <v>0</v>
      </c>
      <c r="W2070" s="3">
        <v>2096</v>
      </c>
      <c r="X2070" s="30">
        <v>185.2</v>
      </c>
      <c r="Y2070" s="33">
        <f t="shared" si="172"/>
        <v>0.185</v>
      </c>
      <c r="AH2070" s="45">
        <f t="shared" si="176"/>
        <v>0</v>
      </c>
      <c r="AJ2070" s="44">
        <f t="shared" si="173"/>
        <v>2.0960000000000001</v>
      </c>
      <c r="AP2070" s="46">
        <f t="shared" si="174"/>
        <v>0.185</v>
      </c>
    </row>
    <row r="2071" spans="19:42" ht="18">
      <c r="S2071" s="8">
        <f t="shared" si="175"/>
        <v>0</v>
      </c>
      <c r="W2071" s="3">
        <v>2097</v>
      </c>
      <c r="X2071" s="30">
        <v>185.15</v>
      </c>
      <c r="Y2071" s="33">
        <f t="shared" si="172"/>
        <v>0.185</v>
      </c>
      <c r="AH2071" s="45">
        <f t="shared" si="176"/>
        <v>0</v>
      </c>
      <c r="AJ2071" s="44">
        <f t="shared" si="173"/>
        <v>2.097</v>
      </c>
      <c r="AP2071" s="46">
        <f t="shared" si="174"/>
        <v>0.185</v>
      </c>
    </row>
    <row r="2072" spans="19:42" ht="18">
      <c r="S2072" s="8">
        <f t="shared" si="175"/>
        <v>0</v>
      </c>
      <c r="W2072" s="3">
        <v>2098</v>
      </c>
      <c r="X2072" s="30">
        <v>185.1</v>
      </c>
      <c r="Y2072" s="33">
        <f t="shared" si="172"/>
        <v>0.185</v>
      </c>
      <c r="AH2072" s="45">
        <f t="shared" si="176"/>
        <v>0</v>
      </c>
      <c r="AJ2072" s="44">
        <f t="shared" si="173"/>
        <v>2.0979999999999999</v>
      </c>
      <c r="AP2072" s="46">
        <f t="shared" si="174"/>
        <v>0.185</v>
      </c>
    </row>
    <row r="2073" spans="19:42" ht="18">
      <c r="S2073" s="8">
        <f t="shared" si="175"/>
        <v>0</v>
      </c>
      <c r="W2073" s="3">
        <v>2099</v>
      </c>
      <c r="X2073" s="30">
        <v>185.05</v>
      </c>
      <c r="Y2073" s="33">
        <f t="shared" si="172"/>
        <v>0.185</v>
      </c>
      <c r="AH2073" s="45">
        <f t="shared" si="176"/>
        <v>0</v>
      </c>
      <c r="AJ2073" s="44">
        <f t="shared" si="173"/>
        <v>2.0990000000000002</v>
      </c>
      <c r="AP2073" s="46">
        <f t="shared" si="174"/>
        <v>0.185</v>
      </c>
    </row>
    <row r="2074" spans="19:42" ht="18">
      <c r="S2074" s="8">
        <f t="shared" si="175"/>
        <v>0</v>
      </c>
      <c r="W2074" s="3">
        <v>2100</v>
      </c>
      <c r="X2074" s="30">
        <v>185</v>
      </c>
      <c r="Y2074" s="33">
        <f t="shared" si="172"/>
        <v>0.185</v>
      </c>
      <c r="AH2074" s="45">
        <f t="shared" si="176"/>
        <v>0</v>
      </c>
      <c r="AJ2074" s="44">
        <f t="shared" si="173"/>
        <v>2.1</v>
      </c>
      <c r="AP2074" s="46">
        <f t="shared" si="174"/>
        <v>0.185</v>
      </c>
    </row>
    <row r="2075" spans="19:42" ht="18">
      <c r="S2075" s="8">
        <f t="shared" si="175"/>
        <v>0</v>
      </c>
      <c r="W2075" s="3">
        <v>2101</v>
      </c>
      <c r="X2075" s="30">
        <v>185.04400000000001</v>
      </c>
      <c r="Y2075" s="33">
        <f t="shared" si="172"/>
        <v>0.185</v>
      </c>
      <c r="AH2075" s="45">
        <f t="shared" si="176"/>
        <v>0</v>
      </c>
      <c r="AJ2075" s="44">
        <f t="shared" si="173"/>
        <v>2.101</v>
      </c>
      <c r="AP2075" s="46">
        <f t="shared" si="174"/>
        <v>0.185</v>
      </c>
    </row>
    <row r="2076" spans="19:42" ht="18">
      <c r="S2076" s="8">
        <f t="shared" si="175"/>
        <v>0</v>
      </c>
      <c r="W2076" s="3">
        <v>2102</v>
      </c>
      <c r="X2076" s="30">
        <v>185.089</v>
      </c>
      <c r="Y2076" s="33">
        <f t="shared" si="172"/>
        <v>0.185</v>
      </c>
      <c r="AH2076" s="45">
        <f t="shared" si="176"/>
        <v>0</v>
      </c>
      <c r="AJ2076" s="44">
        <f t="shared" si="173"/>
        <v>2.1019999999999999</v>
      </c>
      <c r="AP2076" s="46">
        <f t="shared" si="174"/>
        <v>0.185</v>
      </c>
    </row>
    <row r="2077" spans="19:42" ht="18">
      <c r="S2077" s="8">
        <f t="shared" si="175"/>
        <v>0</v>
      </c>
      <c r="W2077" s="3">
        <v>2103</v>
      </c>
      <c r="X2077" s="30">
        <v>185.13300000000001</v>
      </c>
      <c r="Y2077" s="33">
        <f t="shared" si="172"/>
        <v>0.185</v>
      </c>
      <c r="AH2077" s="45">
        <f t="shared" si="176"/>
        <v>0</v>
      </c>
      <c r="AJ2077" s="44">
        <f t="shared" si="173"/>
        <v>2.1030000000000002</v>
      </c>
      <c r="AP2077" s="46">
        <f t="shared" si="174"/>
        <v>0.185</v>
      </c>
    </row>
    <row r="2078" spans="19:42" ht="18">
      <c r="S2078" s="8">
        <f t="shared" si="175"/>
        <v>0</v>
      </c>
      <c r="W2078" s="3">
        <v>2104</v>
      </c>
      <c r="X2078" s="30">
        <v>185.178</v>
      </c>
      <c r="Y2078" s="33">
        <f t="shared" si="172"/>
        <v>0.185</v>
      </c>
      <c r="AH2078" s="45">
        <f t="shared" si="176"/>
        <v>0</v>
      </c>
      <c r="AJ2078" s="44">
        <f t="shared" si="173"/>
        <v>2.1040000000000001</v>
      </c>
      <c r="AP2078" s="46">
        <f t="shared" si="174"/>
        <v>0.185</v>
      </c>
    </row>
    <row r="2079" spans="19:42" ht="18">
      <c r="S2079" s="8">
        <f t="shared" si="175"/>
        <v>0</v>
      </c>
      <c r="W2079" s="3">
        <v>2105</v>
      </c>
      <c r="X2079" s="30">
        <v>185.22200000000001</v>
      </c>
      <c r="Y2079" s="33">
        <f t="shared" si="172"/>
        <v>0.185</v>
      </c>
      <c r="AH2079" s="45">
        <f t="shared" si="176"/>
        <v>0</v>
      </c>
      <c r="AJ2079" s="44">
        <f t="shared" si="173"/>
        <v>2.105</v>
      </c>
      <c r="AP2079" s="46">
        <f t="shared" si="174"/>
        <v>0.185</v>
      </c>
    </row>
    <row r="2080" spans="19:42" ht="18">
      <c r="S2080" s="8">
        <f t="shared" si="175"/>
        <v>0</v>
      </c>
      <c r="W2080" s="3">
        <v>2106</v>
      </c>
      <c r="X2080" s="30">
        <v>185.267</v>
      </c>
      <c r="Y2080" s="33">
        <f t="shared" si="172"/>
        <v>0.185</v>
      </c>
      <c r="AH2080" s="45">
        <f t="shared" si="176"/>
        <v>0</v>
      </c>
      <c r="AJ2080" s="44">
        <f t="shared" si="173"/>
        <v>2.1059999999999999</v>
      </c>
      <c r="AP2080" s="46">
        <f t="shared" si="174"/>
        <v>0.185</v>
      </c>
    </row>
    <row r="2081" spans="19:42" ht="18">
      <c r="S2081" s="8">
        <f t="shared" si="175"/>
        <v>0</v>
      </c>
      <c r="W2081" s="3">
        <v>2107</v>
      </c>
      <c r="X2081" s="30">
        <v>185.31100000000001</v>
      </c>
      <c r="Y2081" s="33">
        <f t="shared" si="172"/>
        <v>0.185</v>
      </c>
      <c r="AH2081" s="45">
        <f t="shared" si="176"/>
        <v>0</v>
      </c>
      <c r="AJ2081" s="44">
        <f t="shared" si="173"/>
        <v>2.1070000000000002</v>
      </c>
      <c r="AP2081" s="46">
        <f t="shared" si="174"/>
        <v>0.185</v>
      </c>
    </row>
    <row r="2082" spans="19:42" ht="18">
      <c r="S2082" s="8">
        <f t="shared" si="175"/>
        <v>0</v>
      </c>
      <c r="W2082" s="3">
        <v>2108</v>
      </c>
      <c r="X2082" s="30">
        <v>185.35599999999999</v>
      </c>
      <c r="Y2082" s="33">
        <f t="shared" si="172"/>
        <v>0.185</v>
      </c>
      <c r="AH2082" s="45">
        <f t="shared" si="176"/>
        <v>0</v>
      </c>
      <c r="AJ2082" s="44">
        <f t="shared" si="173"/>
        <v>2.1080000000000001</v>
      </c>
      <c r="AP2082" s="46">
        <f t="shared" si="174"/>
        <v>0.185</v>
      </c>
    </row>
    <row r="2083" spans="19:42" ht="18">
      <c r="S2083" s="8">
        <f t="shared" si="175"/>
        <v>0</v>
      </c>
      <c r="W2083" s="3">
        <v>2109</v>
      </c>
      <c r="X2083" s="30">
        <v>185.4</v>
      </c>
      <c r="Y2083" s="33">
        <f t="shared" si="172"/>
        <v>0.185</v>
      </c>
      <c r="AH2083" s="45">
        <f t="shared" si="176"/>
        <v>0</v>
      </c>
      <c r="AJ2083" s="44">
        <f t="shared" si="173"/>
        <v>2.109</v>
      </c>
      <c r="AP2083" s="46">
        <f t="shared" si="174"/>
        <v>0.185</v>
      </c>
    </row>
    <row r="2084" spans="19:42" ht="18">
      <c r="S2084" s="8">
        <f t="shared" si="175"/>
        <v>0</v>
      </c>
      <c r="W2084" s="3">
        <v>2110</v>
      </c>
      <c r="X2084" s="30">
        <v>185.44399999999999</v>
      </c>
      <c r="Y2084" s="33">
        <f t="shared" si="172"/>
        <v>0.185</v>
      </c>
      <c r="AH2084" s="45">
        <f t="shared" si="176"/>
        <v>0</v>
      </c>
      <c r="AJ2084" s="44">
        <f t="shared" si="173"/>
        <v>2.11</v>
      </c>
      <c r="AP2084" s="46">
        <f t="shared" si="174"/>
        <v>0.185</v>
      </c>
    </row>
    <row r="2085" spans="19:42" ht="18">
      <c r="S2085" s="8">
        <f t="shared" si="175"/>
        <v>0</v>
      </c>
      <c r="W2085" s="3">
        <v>2111</v>
      </c>
      <c r="X2085" s="30">
        <v>185.489</v>
      </c>
      <c r="Y2085" s="33">
        <f t="shared" si="172"/>
        <v>0.185</v>
      </c>
      <c r="AH2085" s="45">
        <f t="shared" si="176"/>
        <v>0</v>
      </c>
      <c r="AJ2085" s="44">
        <f t="shared" si="173"/>
        <v>2.1110000000000002</v>
      </c>
      <c r="AP2085" s="46">
        <f t="shared" si="174"/>
        <v>0.185</v>
      </c>
    </row>
    <row r="2086" spans="19:42" ht="18">
      <c r="S2086" s="8">
        <f t="shared" si="175"/>
        <v>0</v>
      </c>
      <c r="W2086" s="3">
        <v>2112</v>
      </c>
      <c r="X2086" s="30">
        <v>185.53299999999999</v>
      </c>
      <c r="Y2086" s="33">
        <f t="shared" si="172"/>
        <v>0.186</v>
      </c>
      <c r="AH2086" s="45">
        <f t="shared" si="176"/>
        <v>0</v>
      </c>
      <c r="AJ2086" s="44">
        <f t="shared" si="173"/>
        <v>2.1120000000000001</v>
      </c>
      <c r="AP2086" s="46">
        <f t="shared" si="174"/>
        <v>0.186</v>
      </c>
    </row>
    <row r="2087" spans="19:42" ht="18">
      <c r="S2087" s="8">
        <f t="shared" si="175"/>
        <v>0</v>
      </c>
      <c r="W2087" s="3">
        <v>2113</v>
      </c>
      <c r="X2087" s="30">
        <v>185.578</v>
      </c>
      <c r="Y2087" s="33">
        <f t="shared" si="172"/>
        <v>0.186</v>
      </c>
      <c r="AH2087" s="45">
        <f t="shared" si="176"/>
        <v>0</v>
      </c>
      <c r="AJ2087" s="44">
        <f t="shared" si="173"/>
        <v>2.113</v>
      </c>
      <c r="AP2087" s="46">
        <f t="shared" si="174"/>
        <v>0.186</v>
      </c>
    </row>
    <row r="2088" spans="19:42" ht="18">
      <c r="S2088" s="8">
        <f t="shared" si="175"/>
        <v>0</v>
      </c>
      <c r="W2088" s="3">
        <v>2114</v>
      </c>
      <c r="X2088" s="30">
        <v>185.62200000000001</v>
      </c>
      <c r="Y2088" s="33">
        <f t="shared" si="172"/>
        <v>0.186</v>
      </c>
      <c r="AH2088" s="45">
        <f t="shared" si="176"/>
        <v>0</v>
      </c>
      <c r="AJ2088" s="44">
        <f t="shared" si="173"/>
        <v>2.1139999999999999</v>
      </c>
      <c r="AP2088" s="46">
        <f t="shared" si="174"/>
        <v>0.186</v>
      </c>
    </row>
    <row r="2089" spans="19:42" ht="18">
      <c r="S2089" s="8">
        <f t="shared" si="175"/>
        <v>0</v>
      </c>
      <c r="W2089" s="3">
        <v>2115</v>
      </c>
      <c r="X2089" s="30">
        <v>185.667</v>
      </c>
      <c r="Y2089" s="33">
        <f t="shared" si="172"/>
        <v>0.186</v>
      </c>
      <c r="AH2089" s="45">
        <f t="shared" si="176"/>
        <v>0</v>
      </c>
      <c r="AJ2089" s="44">
        <f t="shared" si="173"/>
        <v>2.1150000000000002</v>
      </c>
      <c r="AP2089" s="46">
        <f t="shared" si="174"/>
        <v>0.186</v>
      </c>
    </row>
    <row r="2090" spans="19:42" ht="18">
      <c r="S2090" s="8">
        <f t="shared" si="175"/>
        <v>0</v>
      </c>
      <c r="W2090" s="3">
        <v>2116</v>
      </c>
      <c r="X2090" s="30">
        <v>185.71100000000001</v>
      </c>
      <c r="Y2090" s="33">
        <f t="shared" si="172"/>
        <v>0.186</v>
      </c>
      <c r="AH2090" s="45">
        <f t="shared" si="176"/>
        <v>0</v>
      </c>
      <c r="AJ2090" s="44">
        <f t="shared" si="173"/>
        <v>2.1160000000000001</v>
      </c>
      <c r="AP2090" s="46">
        <f t="shared" si="174"/>
        <v>0.186</v>
      </c>
    </row>
    <row r="2091" spans="19:42" ht="18">
      <c r="S2091" s="8">
        <f t="shared" si="175"/>
        <v>0</v>
      </c>
      <c r="W2091" s="3">
        <v>2117</v>
      </c>
      <c r="X2091" s="30">
        <v>185.756</v>
      </c>
      <c r="Y2091" s="33">
        <f t="shared" si="172"/>
        <v>0.186</v>
      </c>
      <c r="AH2091" s="45">
        <f t="shared" si="176"/>
        <v>0</v>
      </c>
      <c r="AJ2091" s="44">
        <f t="shared" si="173"/>
        <v>2.117</v>
      </c>
      <c r="AP2091" s="46">
        <f t="shared" si="174"/>
        <v>0.186</v>
      </c>
    </row>
    <row r="2092" spans="19:42" ht="18">
      <c r="S2092" s="8">
        <f t="shared" si="175"/>
        <v>0</v>
      </c>
      <c r="W2092" s="3">
        <v>2118</v>
      </c>
      <c r="X2092" s="30">
        <v>185.8</v>
      </c>
      <c r="Y2092" s="33">
        <f t="shared" si="172"/>
        <v>0.186</v>
      </c>
      <c r="AH2092" s="45">
        <f t="shared" si="176"/>
        <v>0</v>
      </c>
      <c r="AJ2092" s="44">
        <f t="shared" si="173"/>
        <v>2.1179999999999999</v>
      </c>
      <c r="AP2092" s="46">
        <f t="shared" si="174"/>
        <v>0.186</v>
      </c>
    </row>
    <row r="2093" spans="19:42" ht="18">
      <c r="S2093" s="8">
        <f t="shared" si="175"/>
        <v>0</v>
      </c>
      <c r="W2093" s="3">
        <v>2119</v>
      </c>
      <c r="X2093" s="30">
        <v>185.84399999999999</v>
      </c>
      <c r="Y2093" s="33">
        <f t="shared" si="172"/>
        <v>0.186</v>
      </c>
      <c r="AH2093" s="45">
        <f t="shared" si="176"/>
        <v>0</v>
      </c>
      <c r="AJ2093" s="44">
        <f t="shared" si="173"/>
        <v>2.1190000000000002</v>
      </c>
      <c r="AP2093" s="46">
        <f t="shared" si="174"/>
        <v>0.186</v>
      </c>
    </row>
    <row r="2094" spans="19:42" ht="18">
      <c r="S2094" s="8">
        <f t="shared" si="175"/>
        <v>0</v>
      </c>
      <c r="W2094" s="3">
        <v>2120</v>
      </c>
      <c r="X2094" s="30">
        <v>185.88900000000001</v>
      </c>
      <c r="Y2094" s="33">
        <f t="shared" si="172"/>
        <v>0.186</v>
      </c>
      <c r="AH2094" s="45">
        <f t="shared" si="176"/>
        <v>0</v>
      </c>
      <c r="AJ2094" s="44">
        <f t="shared" si="173"/>
        <v>2.12</v>
      </c>
      <c r="AP2094" s="46">
        <f t="shared" si="174"/>
        <v>0.186</v>
      </c>
    </row>
    <row r="2095" spans="19:42" ht="18">
      <c r="S2095" s="8">
        <f t="shared" si="175"/>
        <v>0</v>
      </c>
      <c r="W2095" s="3">
        <v>2121</v>
      </c>
      <c r="X2095" s="30">
        <v>185.93299999999999</v>
      </c>
      <c r="Y2095" s="33">
        <f t="shared" si="172"/>
        <v>0.186</v>
      </c>
      <c r="AH2095" s="45">
        <f t="shared" si="176"/>
        <v>0</v>
      </c>
      <c r="AJ2095" s="44">
        <f t="shared" si="173"/>
        <v>2.121</v>
      </c>
      <c r="AP2095" s="46">
        <f t="shared" si="174"/>
        <v>0.186</v>
      </c>
    </row>
    <row r="2096" spans="19:42" ht="18">
      <c r="S2096" s="8">
        <f t="shared" si="175"/>
        <v>0</v>
      </c>
      <c r="W2096" s="3">
        <v>2122</v>
      </c>
      <c r="X2096" s="30">
        <v>185.97800000000001</v>
      </c>
      <c r="Y2096" s="33">
        <f t="shared" si="172"/>
        <v>0.186</v>
      </c>
      <c r="AH2096" s="45">
        <f t="shared" si="176"/>
        <v>0</v>
      </c>
      <c r="AJ2096" s="44">
        <f t="shared" si="173"/>
        <v>2.1219999999999999</v>
      </c>
      <c r="AP2096" s="46">
        <f t="shared" si="174"/>
        <v>0.186</v>
      </c>
    </row>
    <row r="2097" spans="19:42" ht="18">
      <c r="S2097" s="8">
        <f t="shared" si="175"/>
        <v>0</v>
      </c>
      <c r="W2097" s="3">
        <v>2123</v>
      </c>
      <c r="X2097" s="30">
        <v>186.02199999999999</v>
      </c>
      <c r="Y2097" s="33">
        <f t="shared" si="172"/>
        <v>0.186</v>
      </c>
      <c r="AH2097" s="45">
        <f t="shared" si="176"/>
        <v>0</v>
      </c>
      <c r="AJ2097" s="44">
        <f t="shared" si="173"/>
        <v>2.1230000000000002</v>
      </c>
      <c r="AP2097" s="46">
        <f t="shared" si="174"/>
        <v>0.186</v>
      </c>
    </row>
    <row r="2098" spans="19:42" ht="18">
      <c r="S2098" s="8">
        <f t="shared" si="175"/>
        <v>0</v>
      </c>
      <c r="W2098" s="3">
        <v>2124</v>
      </c>
      <c r="X2098" s="30">
        <v>186.06700000000001</v>
      </c>
      <c r="Y2098" s="33">
        <f t="shared" si="172"/>
        <v>0.186</v>
      </c>
      <c r="AH2098" s="45">
        <f t="shared" si="176"/>
        <v>0</v>
      </c>
      <c r="AJ2098" s="44">
        <f t="shared" si="173"/>
        <v>2.1240000000000001</v>
      </c>
      <c r="AP2098" s="46">
        <f t="shared" si="174"/>
        <v>0.186</v>
      </c>
    </row>
    <row r="2099" spans="19:42" ht="18">
      <c r="S2099" s="8">
        <f t="shared" si="175"/>
        <v>0</v>
      </c>
      <c r="W2099" s="3">
        <v>2125</v>
      </c>
      <c r="X2099" s="30">
        <v>186.11099999999999</v>
      </c>
      <c r="Y2099" s="33">
        <f t="shared" si="172"/>
        <v>0.186</v>
      </c>
      <c r="AH2099" s="45">
        <f t="shared" si="176"/>
        <v>0</v>
      </c>
      <c r="AJ2099" s="44">
        <f t="shared" si="173"/>
        <v>2.125</v>
      </c>
      <c r="AP2099" s="46">
        <f t="shared" si="174"/>
        <v>0.186</v>
      </c>
    </row>
    <row r="2100" spans="19:42" ht="18">
      <c r="S2100" s="8">
        <f t="shared" si="175"/>
        <v>0</v>
      </c>
      <c r="W2100" s="3">
        <v>2126</v>
      </c>
      <c r="X2100" s="30">
        <v>186.15600000000001</v>
      </c>
      <c r="Y2100" s="33">
        <f t="shared" si="172"/>
        <v>0.186</v>
      </c>
      <c r="AH2100" s="45">
        <f t="shared" si="176"/>
        <v>0</v>
      </c>
      <c r="AJ2100" s="44">
        <f t="shared" si="173"/>
        <v>2.1259999999999999</v>
      </c>
      <c r="AP2100" s="46">
        <f t="shared" si="174"/>
        <v>0.186</v>
      </c>
    </row>
    <row r="2101" spans="19:42" ht="18">
      <c r="S2101" s="8">
        <f t="shared" si="175"/>
        <v>0</v>
      </c>
      <c r="W2101" s="3">
        <v>2127</v>
      </c>
      <c r="X2101" s="30">
        <v>186.2</v>
      </c>
      <c r="Y2101" s="33">
        <f t="shared" si="172"/>
        <v>0.186</v>
      </c>
      <c r="AH2101" s="45">
        <f t="shared" si="176"/>
        <v>0</v>
      </c>
      <c r="AJ2101" s="44">
        <f t="shared" si="173"/>
        <v>2.1269999999999998</v>
      </c>
      <c r="AP2101" s="46">
        <f t="shared" si="174"/>
        <v>0.186</v>
      </c>
    </row>
    <row r="2102" spans="19:42" ht="18">
      <c r="S2102" s="8">
        <f t="shared" si="175"/>
        <v>0</v>
      </c>
      <c r="W2102" s="3">
        <v>2128</v>
      </c>
      <c r="X2102" s="30">
        <v>186.244</v>
      </c>
      <c r="Y2102" s="33">
        <f t="shared" si="172"/>
        <v>0.186</v>
      </c>
      <c r="AH2102" s="45">
        <f t="shared" si="176"/>
        <v>0</v>
      </c>
      <c r="AJ2102" s="44">
        <f t="shared" si="173"/>
        <v>2.1280000000000001</v>
      </c>
      <c r="AP2102" s="46">
        <f t="shared" si="174"/>
        <v>0.186</v>
      </c>
    </row>
    <row r="2103" spans="19:42" ht="18">
      <c r="S2103" s="8">
        <f t="shared" si="175"/>
        <v>0</v>
      </c>
      <c r="W2103" s="3">
        <v>2129</v>
      </c>
      <c r="X2103" s="30">
        <v>186.28899999999999</v>
      </c>
      <c r="Y2103" s="33">
        <f t="shared" si="172"/>
        <v>0.186</v>
      </c>
      <c r="AH2103" s="45">
        <f t="shared" si="176"/>
        <v>0</v>
      </c>
      <c r="AJ2103" s="44">
        <f t="shared" si="173"/>
        <v>2.129</v>
      </c>
      <c r="AP2103" s="46">
        <f t="shared" si="174"/>
        <v>0.186</v>
      </c>
    </row>
    <row r="2104" spans="19:42" ht="18">
      <c r="S2104" s="8">
        <f t="shared" si="175"/>
        <v>0</v>
      </c>
      <c r="W2104" s="3">
        <v>2130</v>
      </c>
      <c r="X2104" s="30">
        <v>186.333</v>
      </c>
      <c r="Y2104" s="33">
        <f t="shared" si="172"/>
        <v>0.186</v>
      </c>
      <c r="AH2104" s="45">
        <f t="shared" si="176"/>
        <v>0</v>
      </c>
      <c r="AJ2104" s="44">
        <f t="shared" si="173"/>
        <v>2.13</v>
      </c>
      <c r="AP2104" s="46">
        <f t="shared" si="174"/>
        <v>0.186</v>
      </c>
    </row>
    <row r="2105" spans="19:42" ht="18">
      <c r="S2105" s="8">
        <f t="shared" si="175"/>
        <v>0</v>
      </c>
      <c r="W2105" s="3">
        <v>2131</v>
      </c>
      <c r="X2105" s="30">
        <v>186.37799999999999</v>
      </c>
      <c r="Y2105" s="33">
        <f t="shared" si="172"/>
        <v>0.186</v>
      </c>
      <c r="AH2105" s="45">
        <f t="shared" si="176"/>
        <v>0</v>
      </c>
      <c r="AJ2105" s="44">
        <f t="shared" si="173"/>
        <v>2.1309999999999998</v>
      </c>
      <c r="AP2105" s="46">
        <f t="shared" si="174"/>
        <v>0.186</v>
      </c>
    </row>
    <row r="2106" spans="19:42" ht="18">
      <c r="S2106" s="8">
        <f t="shared" si="175"/>
        <v>0</v>
      </c>
      <c r="W2106" s="3">
        <v>2132</v>
      </c>
      <c r="X2106" s="30">
        <v>186.422</v>
      </c>
      <c r="Y2106" s="33">
        <f t="shared" si="172"/>
        <v>0.186</v>
      </c>
      <c r="AH2106" s="45">
        <f t="shared" si="176"/>
        <v>0</v>
      </c>
      <c r="AJ2106" s="44">
        <f t="shared" si="173"/>
        <v>2.1320000000000001</v>
      </c>
      <c r="AP2106" s="46">
        <f t="shared" si="174"/>
        <v>0.186</v>
      </c>
    </row>
    <row r="2107" spans="19:42" ht="18">
      <c r="S2107" s="8">
        <f t="shared" si="175"/>
        <v>0</v>
      </c>
      <c r="W2107" s="3">
        <v>2133</v>
      </c>
      <c r="X2107" s="30">
        <v>186.46700000000001</v>
      </c>
      <c r="Y2107" s="33">
        <f t="shared" si="172"/>
        <v>0.186</v>
      </c>
      <c r="AH2107" s="45">
        <f t="shared" si="176"/>
        <v>0</v>
      </c>
      <c r="AJ2107" s="44">
        <f t="shared" si="173"/>
        <v>2.133</v>
      </c>
      <c r="AP2107" s="46">
        <f t="shared" si="174"/>
        <v>0.186</v>
      </c>
    </row>
    <row r="2108" spans="19:42" ht="18">
      <c r="S2108" s="8">
        <f t="shared" si="175"/>
        <v>0</v>
      </c>
      <c r="W2108" s="3">
        <v>2134</v>
      </c>
      <c r="X2108" s="30">
        <v>186.511</v>
      </c>
      <c r="Y2108" s="33">
        <f t="shared" si="172"/>
        <v>0.187</v>
      </c>
      <c r="AH2108" s="45">
        <f t="shared" si="176"/>
        <v>0</v>
      </c>
      <c r="AJ2108" s="44">
        <f t="shared" si="173"/>
        <v>2.1339999999999999</v>
      </c>
      <c r="AP2108" s="46">
        <f t="shared" si="174"/>
        <v>0.187</v>
      </c>
    </row>
    <row r="2109" spans="19:42" ht="18">
      <c r="S2109" s="8">
        <f t="shared" si="175"/>
        <v>0</v>
      </c>
      <c r="W2109" s="3">
        <v>2135</v>
      </c>
      <c r="X2109" s="30">
        <v>186.55600000000001</v>
      </c>
      <c r="Y2109" s="33">
        <f t="shared" si="172"/>
        <v>0.187</v>
      </c>
      <c r="AH2109" s="45">
        <f t="shared" si="176"/>
        <v>0</v>
      </c>
      <c r="AJ2109" s="44">
        <f t="shared" si="173"/>
        <v>2.1349999999999998</v>
      </c>
      <c r="AP2109" s="46">
        <f t="shared" si="174"/>
        <v>0.187</v>
      </c>
    </row>
    <row r="2110" spans="19:42" ht="18">
      <c r="S2110" s="8">
        <f t="shared" si="175"/>
        <v>0</v>
      </c>
      <c r="W2110" s="3">
        <v>2136</v>
      </c>
      <c r="X2110" s="30">
        <v>186.6</v>
      </c>
      <c r="Y2110" s="33">
        <f t="shared" si="172"/>
        <v>0.187</v>
      </c>
      <c r="AH2110" s="45">
        <f t="shared" si="176"/>
        <v>0</v>
      </c>
      <c r="AJ2110" s="44">
        <f t="shared" si="173"/>
        <v>2.1360000000000001</v>
      </c>
      <c r="AP2110" s="46">
        <f t="shared" si="174"/>
        <v>0.187</v>
      </c>
    </row>
    <row r="2111" spans="19:42" ht="18">
      <c r="S2111" s="8">
        <f t="shared" si="175"/>
        <v>0</v>
      </c>
      <c r="W2111" s="3">
        <v>2137</v>
      </c>
      <c r="X2111" s="30">
        <v>186.64400000000001</v>
      </c>
      <c r="Y2111" s="33">
        <f t="shared" si="172"/>
        <v>0.187</v>
      </c>
      <c r="AH2111" s="45">
        <f t="shared" si="176"/>
        <v>0</v>
      </c>
      <c r="AJ2111" s="44">
        <f t="shared" si="173"/>
        <v>2.137</v>
      </c>
      <c r="AP2111" s="46">
        <f t="shared" si="174"/>
        <v>0.187</v>
      </c>
    </row>
    <row r="2112" spans="19:42" ht="18">
      <c r="S2112" s="8">
        <f t="shared" si="175"/>
        <v>0</v>
      </c>
      <c r="W2112" s="3">
        <v>2138</v>
      </c>
      <c r="X2112" s="30">
        <v>186.68899999999999</v>
      </c>
      <c r="Y2112" s="33">
        <f t="shared" si="172"/>
        <v>0.187</v>
      </c>
      <c r="AH2112" s="45">
        <f t="shared" si="176"/>
        <v>0</v>
      </c>
      <c r="AJ2112" s="44">
        <f t="shared" si="173"/>
        <v>2.1379999999999999</v>
      </c>
      <c r="AP2112" s="46">
        <f t="shared" si="174"/>
        <v>0.187</v>
      </c>
    </row>
    <row r="2113" spans="19:42" ht="18">
      <c r="S2113" s="8">
        <f t="shared" si="175"/>
        <v>0</v>
      </c>
      <c r="W2113" s="3">
        <v>2139</v>
      </c>
      <c r="X2113" s="30">
        <v>186.733</v>
      </c>
      <c r="Y2113" s="33">
        <f t="shared" si="172"/>
        <v>0.187</v>
      </c>
      <c r="AH2113" s="45">
        <f t="shared" si="176"/>
        <v>0</v>
      </c>
      <c r="AJ2113" s="44">
        <f t="shared" si="173"/>
        <v>2.1389999999999998</v>
      </c>
      <c r="AP2113" s="46">
        <f t="shared" si="174"/>
        <v>0.187</v>
      </c>
    </row>
    <row r="2114" spans="19:42" ht="18">
      <c r="S2114" s="8">
        <f t="shared" si="175"/>
        <v>0</v>
      </c>
      <c r="W2114" s="3">
        <v>2140</v>
      </c>
      <c r="X2114" s="30">
        <v>186.77799999999999</v>
      </c>
      <c r="Y2114" s="33">
        <f t="shared" si="172"/>
        <v>0.187</v>
      </c>
      <c r="AH2114" s="45">
        <f t="shared" si="176"/>
        <v>0</v>
      </c>
      <c r="AJ2114" s="44">
        <f t="shared" si="173"/>
        <v>2.14</v>
      </c>
      <c r="AP2114" s="46">
        <f t="shared" si="174"/>
        <v>0.187</v>
      </c>
    </row>
    <row r="2115" spans="19:42" ht="18">
      <c r="S2115" s="8">
        <f t="shared" si="175"/>
        <v>0</v>
      </c>
      <c r="W2115" s="3">
        <v>2141</v>
      </c>
      <c r="X2115" s="30">
        <v>186.822</v>
      </c>
      <c r="Y2115" s="33">
        <f t="shared" si="172"/>
        <v>0.187</v>
      </c>
      <c r="AH2115" s="45">
        <f t="shared" si="176"/>
        <v>0</v>
      </c>
      <c r="AJ2115" s="44">
        <f t="shared" si="173"/>
        <v>2.141</v>
      </c>
      <c r="AP2115" s="46">
        <f t="shared" si="174"/>
        <v>0.187</v>
      </c>
    </row>
    <row r="2116" spans="19:42" ht="18">
      <c r="S2116" s="8">
        <f t="shared" si="175"/>
        <v>0</v>
      </c>
      <c r="W2116" s="3">
        <v>2142</v>
      </c>
      <c r="X2116" s="30">
        <v>186.86699999999999</v>
      </c>
      <c r="Y2116" s="33">
        <f t="shared" si="172"/>
        <v>0.187</v>
      </c>
      <c r="AH2116" s="45">
        <f t="shared" si="176"/>
        <v>0</v>
      </c>
      <c r="AJ2116" s="44">
        <f t="shared" si="173"/>
        <v>2.1419999999999999</v>
      </c>
      <c r="AP2116" s="46">
        <f t="shared" si="174"/>
        <v>0.187</v>
      </c>
    </row>
    <row r="2117" spans="19:42" ht="18">
      <c r="S2117" s="8">
        <f t="shared" si="175"/>
        <v>0</v>
      </c>
      <c r="W2117" s="3">
        <v>2143</v>
      </c>
      <c r="X2117" s="30">
        <v>186.911</v>
      </c>
      <c r="Y2117" s="33">
        <f t="shared" ref="Y2117:Y2180" si="177">ROUND(X2117/1000,3)</f>
        <v>0.187</v>
      </c>
      <c r="AH2117" s="45">
        <f t="shared" si="176"/>
        <v>0</v>
      </c>
      <c r="AJ2117" s="44">
        <f t="shared" ref="AJ2117:AJ2180" si="178">ROUND(W2117/1000,3)</f>
        <v>2.1429999999999998</v>
      </c>
      <c r="AP2117" s="46">
        <f t="shared" ref="AP2117:AP2180" si="179">ROUND(X2117/1000,3)</f>
        <v>0.187</v>
      </c>
    </row>
    <row r="2118" spans="19:42" ht="18">
      <c r="S2118" s="8">
        <f t="shared" ref="S2118:S2181" si="180">CEILING(R2118/50,0.5)</f>
        <v>0</v>
      </c>
      <c r="W2118" s="3">
        <v>2144</v>
      </c>
      <c r="X2118" s="30">
        <v>186.95599999999999</v>
      </c>
      <c r="Y2118" s="33">
        <f t="shared" si="177"/>
        <v>0.187</v>
      </c>
      <c r="AH2118" s="45">
        <f t="shared" ref="AH2118:AH2181" si="181">AE2118-AE2117</f>
        <v>0</v>
      </c>
      <c r="AJ2118" s="44">
        <f t="shared" si="178"/>
        <v>2.1440000000000001</v>
      </c>
      <c r="AP2118" s="46">
        <f t="shared" si="179"/>
        <v>0.187</v>
      </c>
    </row>
    <row r="2119" spans="19:42" ht="18">
      <c r="S2119" s="8">
        <f t="shared" si="180"/>
        <v>0</v>
      </c>
      <c r="W2119" s="3">
        <v>2145</v>
      </c>
      <c r="X2119" s="30">
        <v>187</v>
      </c>
      <c r="Y2119" s="33">
        <f t="shared" si="177"/>
        <v>0.187</v>
      </c>
      <c r="AH2119" s="45">
        <f t="shared" si="181"/>
        <v>0</v>
      </c>
      <c r="AJ2119" s="44">
        <f t="shared" si="178"/>
        <v>2.145</v>
      </c>
      <c r="AP2119" s="46">
        <f t="shared" si="179"/>
        <v>0.187</v>
      </c>
    </row>
    <row r="2120" spans="19:42" ht="18">
      <c r="S2120" s="8">
        <f t="shared" si="180"/>
        <v>0</v>
      </c>
      <c r="W2120" s="3">
        <v>2146</v>
      </c>
      <c r="X2120" s="30">
        <v>187.04400000000001</v>
      </c>
      <c r="Y2120" s="33">
        <f t="shared" si="177"/>
        <v>0.187</v>
      </c>
      <c r="AH2120" s="45">
        <f t="shared" si="181"/>
        <v>0</v>
      </c>
      <c r="AJ2120" s="44">
        <f t="shared" si="178"/>
        <v>2.1459999999999999</v>
      </c>
      <c r="AP2120" s="46">
        <f t="shared" si="179"/>
        <v>0.187</v>
      </c>
    </row>
    <row r="2121" spans="19:42" ht="18">
      <c r="S2121" s="8">
        <f t="shared" si="180"/>
        <v>0</v>
      </c>
      <c r="W2121" s="3">
        <v>2147</v>
      </c>
      <c r="X2121" s="30">
        <v>187.089</v>
      </c>
      <c r="Y2121" s="33">
        <f t="shared" si="177"/>
        <v>0.187</v>
      </c>
      <c r="AH2121" s="45">
        <f t="shared" si="181"/>
        <v>0</v>
      </c>
      <c r="AJ2121" s="44">
        <f t="shared" si="178"/>
        <v>2.1469999999999998</v>
      </c>
      <c r="AP2121" s="46">
        <f t="shared" si="179"/>
        <v>0.187</v>
      </c>
    </row>
    <row r="2122" spans="19:42" ht="18">
      <c r="S2122" s="8">
        <f t="shared" si="180"/>
        <v>0</v>
      </c>
      <c r="W2122" s="3">
        <v>2148</v>
      </c>
      <c r="X2122" s="30">
        <v>187.13300000000001</v>
      </c>
      <c r="Y2122" s="33">
        <f t="shared" si="177"/>
        <v>0.187</v>
      </c>
      <c r="AH2122" s="45">
        <f t="shared" si="181"/>
        <v>0</v>
      </c>
      <c r="AJ2122" s="44">
        <f t="shared" si="178"/>
        <v>2.1480000000000001</v>
      </c>
      <c r="AP2122" s="46">
        <f t="shared" si="179"/>
        <v>0.187</v>
      </c>
    </row>
    <row r="2123" spans="19:42" ht="18">
      <c r="S2123" s="8">
        <f t="shared" si="180"/>
        <v>0</v>
      </c>
      <c r="W2123" s="3">
        <v>2149</v>
      </c>
      <c r="X2123" s="30">
        <v>187.178</v>
      </c>
      <c r="Y2123" s="33">
        <f t="shared" si="177"/>
        <v>0.187</v>
      </c>
      <c r="AH2123" s="45">
        <f t="shared" si="181"/>
        <v>0</v>
      </c>
      <c r="AJ2123" s="44">
        <f t="shared" si="178"/>
        <v>2.149</v>
      </c>
      <c r="AP2123" s="46">
        <f t="shared" si="179"/>
        <v>0.187</v>
      </c>
    </row>
    <row r="2124" spans="19:42" ht="18">
      <c r="S2124" s="8">
        <f t="shared" si="180"/>
        <v>0</v>
      </c>
      <c r="W2124" s="3">
        <v>2150</v>
      </c>
      <c r="X2124" s="30">
        <v>187.22200000000001</v>
      </c>
      <c r="Y2124" s="33">
        <f t="shared" si="177"/>
        <v>0.187</v>
      </c>
      <c r="AH2124" s="45">
        <f t="shared" si="181"/>
        <v>0</v>
      </c>
      <c r="AJ2124" s="44">
        <f t="shared" si="178"/>
        <v>2.15</v>
      </c>
      <c r="AP2124" s="46">
        <f t="shared" si="179"/>
        <v>0.187</v>
      </c>
    </row>
    <row r="2125" spans="19:42" ht="18">
      <c r="S2125" s="8">
        <f t="shared" si="180"/>
        <v>0</v>
      </c>
      <c r="W2125" s="3">
        <v>2151</v>
      </c>
      <c r="X2125" s="30">
        <v>187.267</v>
      </c>
      <c r="Y2125" s="33">
        <f t="shared" si="177"/>
        <v>0.187</v>
      </c>
      <c r="AH2125" s="45">
        <f t="shared" si="181"/>
        <v>0</v>
      </c>
      <c r="AJ2125" s="44">
        <f t="shared" si="178"/>
        <v>2.1509999999999998</v>
      </c>
      <c r="AP2125" s="46">
        <f t="shared" si="179"/>
        <v>0.187</v>
      </c>
    </row>
    <row r="2126" spans="19:42" ht="18">
      <c r="S2126" s="8">
        <f t="shared" si="180"/>
        <v>0</v>
      </c>
      <c r="W2126" s="3">
        <v>2152</v>
      </c>
      <c r="X2126" s="30">
        <v>187.31100000000001</v>
      </c>
      <c r="Y2126" s="33">
        <f t="shared" si="177"/>
        <v>0.187</v>
      </c>
      <c r="AH2126" s="45">
        <f t="shared" si="181"/>
        <v>0</v>
      </c>
      <c r="AJ2126" s="44">
        <f t="shared" si="178"/>
        <v>2.1520000000000001</v>
      </c>
      <c r="AP2126" s="46">
        <f t="shared" si="179"/>
        <v>0.187</v>
      </c>
    </row>
    <row r="2127" spans="19:42" ht="18">
      <c r="S2127" s="8">
        <f t="shared" si="180"/>
        <v>0</v>
      </c>
      <c r="W2127" s="3">
        <v>2153</v>
      </c>
      <c r="X2127" s="30">
        <v>187.35599999999999</v>
      </c>
      <c r="Y2127" s="33">
        <f t="shared" si="177"/>
        <v>0.187</v>
      </c>
      <c r="AH2127" s="45">
        <f t="shared" si="181"/>
        <v>0</v>
      </c>
      <c r="AJ2127" s="44">
        <f t="shared" si="178"/>
        <v>2.153</v>
      </c>
      <c r="AP2127" s="46">
        <f t="shared" si="179"/>
        <v>0.187</v>
      </c>
    </row>
    <row r="2128" spans="19:42" ht="18">
      <c r="S2128" s="8">
        <f t="shared" si="180"/>
        <v>0</v>
      </c>
      <c r="W2128" s="3">
        <v>2154</v>
      </c>
      <c r="X2128" s="30">
        <v>187.4</v>
      </c>
      <c r="Y2128" s="33">
        <f t="shared" si="177"/>
        <v>0.187</v>
      </c>
      <c r="AH2128" s="45">
        <f t="shared" si="181"/>
        <v>0</v>
      </c>
      <c r="AJ2128" s="44">
        <f t="shared" si="178"/>
        <v>2.1539999999999999</v>
      </c>
      <c r="AP2128" s="46">
        <f t="shared" si="179"/>
        <v>0.187</v>
      </c>
    </row>
    <row r="2129" spans="19:42" ht="18">
      <c r="S2129" s="8">
        <f t="shared" si="180"/>
        <v>0</v>
      </c>
      <c r="W2129" s="3">
        <v>2155</v>
      </c>
      <c r="X2129" s="30">
        <v>187.44399999999999</v>
      </c>
      <c r="Y2129" s="33">
        <f t="shared" si="177"/>
        <v>0.187</v>
      </c>
      <c r="AH2129" s="45">
        <f t="shared" si="181"/>
        <v>0</v>
      </c>
      <c r="AJ2129" s="44">
        <f t="shared" si="178"/>
        <v>2.1549999999999998</v>
      </c>
      <c r="AP2129" s="46">
        <f t="shared" si="179"/>
        <v>0.187</v>
      </c>
    </row>
    <row r="2130" spans="19:42" ht="18">
      <c r="S2130" s="8">
        <f t="shared" si="180"/>
        <v>0</v>
      </c>
      <c r="W2130" s="3">
        <v>2156</v>
      </c>
      <c r="X2130" s="30">
        <v>187.489</v>
      </c>
      <c r="Y2130" s="33">
        <f t="shared" si="177"/>
        <v>0.187</v>
      </c>
      <c r="AH2130" s="45">
        <f t="shared" si="181"/>
        <v>0</v>
      </c>
      <c r="AJ2130" s="44">
        <f t="shared" si="178"/>
        <v>2.1560000000000001</v>
      </c>
      <c r="AP2130" s="46">
        <f t="shared" si="179"/>
        <v>0.187</v>
      </c>
    </row>
    <row r="2131" spans="19:42" ht="18">
      <c r="S2131" s="8">
        <f t="shared" si="180"/>
        <v>0</v>
      </c>
      <c r="W2131" s="3">
        <v>2157</v>
      </c>
      <c r="X2131" s="30">
        <v>187.53299999999999</v>
      </c>
      <c r="Y2131" s="33">
        <f t="shared" si="177"/>
        <v>0.188</v>
      </c>
      <c r="AH2131" s="45">
        <f t="shared" si="181"/>
        <v>0</v>
      </c>
      <c r="AJ2131" s="44">
        <f t="shared" si="178"/>
        <v>2.157</v>
      </c>
      <c r="AP2131" s="46">
        <f t="shared" si="179"/>
        <v>0.188</v>
      </c>
    </row>
    <row r="2132" spans="19:42" ht="18">
      <c r="S2132" s="8">
        <f t="shared" si="180"/>
        <v>0</v>
      </c>
      <c r="W2132" s="3">
        <v>2158</v>
      </c>
      <c r="X2132" s="30">
        <v>187.578</v>
      </c>
      <c r="Y2132" s="33">
        <f t="shared" si="177"/>
        <v>0.188</v>
      </c>
      <c r="AH2132" s="45">
        <f t="shared" si="181"/>
        <v>0</v>
      </c>
      <c r="AJ2132" s="44">
        <f t="shared" si="178"/>
        <v>2.1579999999999999</v>
      </c>
      <c r="AP2132" s="46">
        <f t="shared" si="179"/>
        <v>0.188</v>
      </c>
    </row>
    <row r="2133" spans="19:42" ht="18">
      <c r="S2133" s="8">
        <f t="shared" si="180"/>
        <v>0</v>
      </c>
      <c r="W2133" s="3">
        <v>2159</v>
      </c>
      <c r="X2133" s="30">
        <v>187.62200000000001</v>
      </c>
      <c r="Y2133" s="33">
        <f t="shared" si="177"/>
        <v>0.188</v>
      </c>
      <c r="AH2133" s="45">
        <f t="shared" si="181"/>
        <v>0</v>
      </c>
      <c r="AJ2133" s="44">
        <f t="shared" si="178"/>
        <v>2.1589999999999998</v>
      </c>
      <c r="AP2133" s="46">
        <f t="shared" si="179"/>
        <v>0.188</v>
      </c>
    </row>
    <row r="2134" spans="19:42" ht="18">
      <c r="S2134" s="8">
        <f t="shared" si="180"/>
        <v>0</v>
      </c>
      <c r="W2134" s="3">
        <v>2160</v>
      </c>
      <c r="X2134" s="30">
        <v>187.667</v>
      </c>
      <c r="Y2134" s="33">
        <f t="shared" si="177"/>
        <v>0.188</v>
      </c>
      <c r="AH2134" s="45">
        <f t="shared" si="181"/>
        <v>0</v>
      </c>
      <c r="AJ2134" s="44">
        <f t="shared" si="178"/>
        <v>2.16</v>
      </c>
      <c r="AP2134" s="46">
        <f t="shared" si="179"/>
        <v>0.188</v>
      </c>
    </row>
    <row r="2135" spans="19:42" ht="18">
      <c r="S2135" s="8">
        <f t="shared" si="180"/>
        <v>0</v>
      </c>
      <c r="W2135" s="3">
        <v>2161</v>
      </c>
      <c r="X2135" s="30">
        <v>187.71100000000001</v>
      </c>
      <c r="Y2135" s="33">
        <f t="shared" si="177"/>
        <v>0.188</v>
      </c>
      <c r="AH2135" s="45">
        <f t="shared" si="181"/>
        <v>0</v>
      </c>
      <c r="AJ2135" s="44">
        <f t="shared" si="178"/>
        <v>2.161</v>
      </c>
      <c r="AP2135" s="46">
        <f t="shared" si="179"/>
        <v>0.188</v>
      </c>
    </row>
    <row r="2136" spans="19:42" ht="18">
      <c r="S2136" s="8">
        <f t="shared" si="180"/>
        <v>0</v>
      </c>
      <c r="W2136" s="3">
        <v>2162</v>
      </c>
      <c r="X2136" s="30">
        <v>187.756</v>
      </c>
      <c r="Y2136" s="33">
        <f t="shared" si="177"/>
        <v>0.188</v>
      </c>
      <c r="AH2136" s="45">
        <f t="shared" si="181"/>
        <v>0</v>
      </c>
      <c r="AJ2136" s="44">
        <f t="shared" si="178"/>
        <v>2.1619999999999999</v>
      </c>
      <c r="AP2136" s="46">
        <f t="shared" si="179"/>
        <v>0.188</v>
      </c>
    </row>
    <row r="2137" spans="19:42" ht="18">
      <c r="S2137" s="8">
        <f t="shared" si="180"/>
        <v>0</v>
      </c>
      <c r="W2137" s="3">
        <v>2163</v>
      </c>
      <c r="X2137" s="30">
        <v>187.8</v>
      </c>
      <c r="Y2137" s="33">
        <f t="shared" si="177"/>
        <v>0.188</v>
      </c>
      <c r="AH2137" s="45">
        <f t="shared" si="181"/>
        <v>0</v>
      </c>
      <c r="AJ2137" s="44">
        <f t="shared" si="178"/>
        <v>2.1629999999999998</v>
      </c>
      <c r="AP2137" s="46">
        <f t="shared" si="179"/>
        <v>0.188</v>
      </c>
    </row>
    <row r="2138" spans="19:42" ht="18">
      <c r="S2138" s="8">
        <f t="shared" si="180"/>
        <v>0</v>
      </c>
      <c r="W2138" s="3">
        <v>2164</v>
      </c>
      <c r="X2138" s="30">
        <v>187.84399999999999</v>
      </c>
      <c r="Y2138" s="33">
        <f t="shared" si="177"/>
        <v>0.188</v>
      </c>
      <c r="AH2138" s="45">
        <f t="shared" si="181"/>
        <v>0</v>
      </c>
      <c r="AJ2138" s="44">
        <f t="shared" si="178"/>
        <v>2.1640000000000001</v>
      </c>
      <c r="AP2138" s="46">
        <f t="shared" si="179"/>
        <v>0.188</v>
      </c>
    </row>
    <row r="2139" spans="19:42" ht="18">
      <c r="S2139" s="8">
        <f t="shared" si="180"/>
        <v>0</v>
      </c>
      <c r="W2139" s="3">
        <v>2165</v>
      </c>
      <c r="X2139" s="30">
        <v>187.88900000000001</v>
      </c>
      <c r="Y2139" s="33">
        <f t="shared" si="177"/>
        <v>0.188</v>
      </c>
      <c r="AH2139" s="45">
        <f t="shared" si="181"/>
        <v>0</v>
      </c>
      <c r="AJ2139" s="44">
        <f t="shared" si="178"/>
        <v>2.165</v>
      </c>
      <c r="AP2139" s="46">
        <f t="shared" si="179"/>
        <v>0.188</v>
      </c>
    </row>
    <row r="2140" spans="19:42" ht="18">
      <c r="S2140" s="8">
        <f t="shared" si="180"/>
        <v>0</v>
      </c>
      <c r="W2140" s="3">
        <v>2166</v>
      </c>
      <c r="X2140" s="30">
        <v>187.93299999999999</v>
      </c>
      <c r="Y2140" s="33">
        <f t="shared" si="177"/>
        <v>0.188</v>
      </c>
      <c r="AH2140" s="45">
        <f t="shared" si="181"/>
        <v>0</v>
      </c>
      <c r="AJ2140" s="44">
        <f t="shared" si="178"/>
        <v>2.1659999999999999</v>
      </c>
      <c r="AP2140" s="46">
        <f t="shared" si="179"/>
        <v>0.188</v>
      </c>
    </row>
    <row r="2141" spans="19:42" ht="18">
      <c r="S2141" s="8">
        <f t="shared" si="180"/>
        <v>0</v>
      </c>
      <c r="W2141" s="3">
        <v>2167</v>
      </c>
      <c r="X2141" s="30">
        <v>187.97800000000001</v>
      </c>
      <c r="Y2141" s="33">
        <f t="shared" si="177"/>
        <v>0.188</v>
      </c>
      <c r="AH2141" s="45">
        <f t="shared" si="181"/>
        <v>0</v>
      </c>
      <c r="AJ2141" s="44">
        <f t="shared" si="178"/>
        <v>2.1669999999999998</v>
      </c>
      <c r="AP2141" s="46">
        <f t="shared" si="179"/>
        <v>0.188</v>
      </c>
    </row>
    <row r="2142" spans="19:42" ht="18">
      <c r="S2142" s="8">
        <f t="shared" si="180"/>
        <v>0</v>
      </c>
      <c r="W2142" s="3">
        <v>2168</v>
      </c>
      <c r="X2142" s="30">
        <v>188.02199999999999</v>
      </c>
      <c r="Y2142" s="33">
        <f t="shared" si="177"/>
        <v>0.188</v>
      </c>
      <c r="AH2142" s="45">
        <f t="shared" si="181"/>
        <v>0</v>
      </c>
      <c r="AJ2142" s="44">
        <f t="shared" si="178"/>
        <v>2.1680000000000001</v>
      </c>
      <c r="AP2142" s="46">
        <f t="shared" si="179"/>
        <v>0.188</v>
      </c>
    </row>
    <row r="2143" spans="19:42" ht="18">
      <c r="S2143" s="8">
        <f t="shared" si="180"/>
        <v>0</v>
      </c>
      <c r="W2143" s="3">
        <v>2169</v>
      </c>
      <c r="X2143" s="30">
        <v>188.06700000000001</v>
      </c>
      <c r="Y2143" s="33">
        <f t="shared" si="177"/>
        <v>0.188</v>
      </c>
      <c r="AH2143" s="45">
        <f t="shared" si="181"/>
        <v>0</v>
      </c>
      <c r="AJ2143" s="44">
        <f t="shared" si="178"/>
        <v>2.169</v>
      </c>
      <c r="AP2143" s="46">
        <f t="shared" si="179"/>
        <v>0.188</v>
      </c>
    </row>
    <row r="2144" spans="19:42" ht="18">
      <c r="S2144" s="8">
        <f t="shared" si="180"/>
        <v>0</v>
      </c>
      <c r="W2144" s="3">
        <v>2170</v>
      </c>
      <c r="X2144" s="30">
        <v>188.11099999999999</v>
      </c>
      <c r="Y2144" s="33">
        <f t="shared" si="177"/>
        <v>0.188</v>
      </c>
      <c r="AH2144" s="45">
        <f t="shared" si="181"/>
        <v>0</v>
      </c>
      <c r="AJ2144" s="44">
        <f t="shared" si="178"/>
        <v>2.17</v>
      </c>
      <c r="AP2144" s="46">
        <f t="shared" si="179"/>
        <v>0.188</v>
      </c>
    </row>
    <row r="2145" spans="19:42" ht="18">
      <c r="S2145" s="8">
        <f t="shared" si="180"/>
        <v>0</v>
      </c>
      <c r="W2145" s="3">
        <v>2171</v>
      </c>
      <c r="X2145" s="30">
        <v>188.15600000000001</v>
      </c>
      <c r="Y2145" s="33">
        <f t="shared" si="177"/>
        <v>0.188</v>
      </c>
      <c r="AH2145" s="45">
        <f t="shared" si="181"/>
        <v>0</v>
      </c>
      <c r="AJ2145" s="44">
        <f t="shared" si="178"/>
        <v>2.1709999999999998</v>
      </c>
      <c r="AP2145" s="46">
        <f t="shared" si="179"/>
        <v>0.188</v>
      </c>
    </row>
    <row r="2146" spans="19:42" ht="18">
      <c r="S2146" s="8">
        <f t="shared" si="180"/>
        <v>0</v>
      </c>
      <c r="W2146" s="3">
        <v>2172</v>
      </c>
      <c r="X2146" s="30">
        <v>188.2</v>
      </c>
      <c r="Y2146" s="33">
        <f t="shared" si="177"/>
        <v>0.188</v>
      </c>
      <c r="AH2146" s="45">
        <f t="shared" si="181"/>
        <v>0</v>
      </c>
      <c r="AJ2146" s="44">
        <f t="shared" si="178"/>
        <v>2.1720000000000002</v>
      </c>
      <c r="AP2146" s="46">
        <f t="shared" si="179"/>
        <v>0.188</v>
      </c>
    </row>
    <row r="2147" spans="19:42" ht="18">
      <c r="S2147" s="8">
        <f t="shared" si="180"/>
        <v>0</v>
      </c>
      <c r="W2147" s="3">
        <v>2173</v>
      </c>
      <c r="X2147" s="30">
        <v>188.244</v>
      </c>
      <c r="Y2147" s="33">
        <f t="shared" si="177"/>
        <v>0.188</v>
      </c>
      <c r="AH2147" s="45">
        <f t="shared" si="181"/>
        <v>0</v>
      </c>
      <c r="AJ2147" s="44">
        <f t="shared" si="178"/>
        <v>2.173</v>
      </c>
      <c r="AP2147" s="46">
        <f t="shared" si="179"/>
        <v>0.188</v>
      </c>
    </row>
    <row r="2148" spans="19:42" ht="18">
      <c r="S2148" s="8">
        <f t="shared" si="180"/>
        <v>0</v>
      </c>
      <c r="W2148" s="3">
        <v>2174</v>
      </c>
      <c r="X2148" s="30">
        <v>188.28899999999999</v>
      </c>
      <c r="Y2148" s="33">
        <f t="shared" si="177"/>
        <v>0.188</v>
      </c>
      <c r="AH2148" s="45">
        <f t="shared" si="181"/>
        <v>0</v>
      </c>
      <c r="AJ2148" s="44">
        <f t="shared" si="178"/>
        <v>2.1739999999999999</v>
      </c>
      <c r="AP2148" s="46">
        <f t="shared" si="179"/>
        <v>0.188</v>
      </c>
    </row>
    <row r="2149" spans="19:42" ht="18">
      <c r="S2149" s="8">
        <f t="shared" si="180"/>
        <v>0</v>
      </c>
      <c r="W2149" s="3">
        <v>2175</v>
      </c>
      <c r="X2149" s="30">
        <v>188.333</v>
      </c>
      <c r="Y2149" s="33">
        <f t="shared" si="177"/>
        <v>0.188</v>
      </c>
      <c r="AH2149" s="45">
        <f t="shared" si="181"/>
        <v>0</v>
      </c>
      <c r="AJ2149" s="44">
        <f t="shared" si="178"/>
        <v>2.1749999999999998</v>
      </c>
      <c r="AP2149" s="46">
        <f t="shared" si="179"/>
        <v>0.188</v>
      </c>
    </row>
    <row r="2150" spans="19:42" ht="18">
      <c r="S2150" s="8">
        <f t="shared" si="180"/>
        <v>0</v>
      </c>
      <c r="W2150" s="3">
        <v>2176</v>
      </c>
      <c r="X2150" s="30">
        <v>188.37799999999999</v>
      </c>
      <c r="Y2150" s="33">
        <f t="shared" si="177"/>
        <v>0.188</v>
      </c>
      <c r="AH2150" s="45">
        <f t="shared" si="181"/>
        <v>0</v>
      </c>
      <c r="AJ2150" s="44">
        <f t="shared" si="178"/>
        <v>2.1760000000000002</v>
      </c>
      <c r="AP2150" s="46">
        <f t="shared" si="179"/>
        <v>0.188</v>
      </c>
    </row>
    <row r="2151" spans="19:42" ht="18">
      <c r="S2151" s="8">
        <f t="shared" si="180"/>
        <v>0</v>
      </c>
      <c r="W2151" s="3">
        <v>2177</v>
      </c>
      <c r="X2151" s="30">
        <v>188.422</v>
      </c>
      <c r="Y2151" s="33">
        <f t="shared" si="177"/>
        <v>0.188</v>
      </c>
      <c r="AH2151" s="45">
        <f t="shared" si="181"/>
        <v>0</v>
      </c>
      <c r="AJ2151" s="44">
        <f t="shared" si="178"/>
        <v>2.177</v>
      </c>
      <c r="AP2151" s="46">
        <f t="shared" si="179"/>
        <v>0.188</v>
      </c>
    </row>
    <row r="2152" spans="19:42" ht="18">
      <c r="S2152" s="8">
        <f t="shared" si="180"/>
        <v>0</v>
      </c>
      <c r="W2152" s="3">
        <v>2178</v>
      </c>
      <c r="X2152" s="30">
        <v>188.46700000000001</v>
      </c>
      <c r="Y2152" s="33">
        <f t="shared" si="177"/>
        <v>0.188</v>
      </c>
      <c r="AH2152" s="45">
        <f t="shared" si="181"/>
        <v>0</v>
      </c>
      <c r="AJ2152" s="44">
        <f t="shared" si="178"/>
        <v>2.1779999999999999</v>
      </c>
      <c r="AP2152" s="46">
        <f t="shared" si="179"/>
        <v>0.188</v>
      </c>
    </row>
    <row r="2153" spans="19:42" ht="18">
      <c r="S2153" s="8">
        <f t="shared" si="180"/>
        <v>0</v>
      </c>
      <c r="W2153" s="3">
        <v>2179</v>
      </c>
      <c r="X2153" s="30">
        <v>188.511</v>
      </c>
      <c r="Y2153" s="33">
        <f t="shared" si="177"/>
        <v>0.189</v>
      </c>
      <c r="AH2153" s="45">
        <f t="shared" si="181"/>
        <v>0</v>
      </c>
      <c r="AJ2153" s="44">
        <f t="shared" si="178"/>
        <v>2.1789999999999998</v>
      </c>
      <c r="AP2153" s="46">
        <f t="shared" si="179"/>
        <v>0.189</v>
      </c>
    </row>
    <row r="2154" spans="19:42" ht="18">
      <c r="S2154" s="8">
        <f t="shared" si="180"/>
        <v>0</v>
      </c>
      <c r="W2154" s="3">
        <v>2180</v>
      </c>
      <c r="X2154" s="30">
        <v>188.55600000000001</v>
      </c>
      <c r="Y2154" s="33">
        <f t="shared" si="177"/>
        <v>0.189</v>
      </c>
      <c r="AH2154" s="45">
        <f t="shared" si="181"/>
        <v>0</v>
      </c>
      <c r="AJ2154" s="44">
        <f t="shared" si="178"/>
        <v>2.1800000000000002</v>
      </c>
      <c r="AP2154" s="46">
        <f t="shared" si="179"/>
        <v>0.189</v>
      </c>
    </row>
    <row r="2155" spans="19:42" ht="18">
      <c r="S2155" s="8">
        <f t="shared" si="180"/>
        <v>0</v>
      </c>
      <c r="W2155" s="3">
        <v>2181</v>
      </c>
      <c r="X2155" s="30">
        <v>188.6</v>
      </c>
      <c r="Y2155" s="33">
        <f t="shared" si="177"/>
        <v>0.189</v>
      </c>
      <c r="AH2155" s="45">
        <f t="shared" si="181"/>
        <v>0</v>
      </c>
      <c r="AJ2155" s="44">
        <f t="shared" si="178"/>
        <v>2.181</v>
      </c>
      <c r="AP2155" s="46">
        <f t="shared" si="179"/>
        <v>0.189</v>
      </c>
    </row>
    <row r="2156" spans="19:42" ht="18">
      <c r="S2156" s="8">
        <f t="shared" si="180"/>
        <v>0</v>
      </c>
      <c r="W2156" s="3">
        <v>2182</v>
      </c>
      <c r="X2156" s="30">
        <v>188.64400000000001</v>
      </c>
      <c r="Y2156" s="33">
        <f t="shared" si="177"/>
        <v>0.189</v>
      </c>
      <c r="AH2156" s="45">
        <f t="shared" si="181"/>
        <v>0</v>
      </c>
      <c r="AJ2156" s="44">
        <f t="shared" si="178"/>
        <v>2.1819999999999999</v>
      </c>
      <c r="AP2156" s="46">
        <f t="shared" si="179"/>
        <v>0.189</v>
      </c>
    </row>
    <row r="2157" spans="19:42" ht="18">
      <c r="S2157" s="8">
        <f t="shared" si="180"/>
        <v>0</v>
      </c>
      <c r="W2157" s="3">
        <v>2183</v>
      </c>
      <c r="X2157" s="30">
        <v>188.68899999999999</v>
      </c>
      <c r="Y2157" s="33">
        <f t="shared" si="177"/>
        <v>0.189</v>
      </c>
      <c r="AH2157" s="45">
        <f t="shared" si="181"/>
        <v>0</v>
      </c>
      <c r="AJ2157" s="44">
        <f t="shared" si="178"/>
        <v>2.1829999999999998</v>
      </c>
      <c r="AP2157" s="46">
        <f t="shared" si="179"/>
        <v>0.189</v>
      </c>
    </row>
    <row r="2158" spans="19:42" ht="18">
      <c r="S2158" s="8">
        <f t="shared" si="180"/>
        <v>0</v>
      </c>
      <c r="W2158" s="3">
        <v>2184</v>
      </c>
      <c r="X2158" s="30">
        <v>188.733</v>
      </c>
      <c r="Y2158" s="33">
        <f t="shared" si="177"/>
        <v>0.189</v>
      </c>
      <c r="AH2158" s="45">
        <f t="shared" si="181"/>
        <v>0</v>
      </c>
      <c r="AJ2158" s="44">
        <f t="shared" si="178"/>
        <v>2.1840000000000002</v>
      </c>
      <c r="AP2158" s="46">
        <f t="shared" si="179"/>
        <v>0.189</v>
      </c>
    </row>
    <row r="2159" spans="19:42" ht="18">
      <c r="S2159" s="8">
        <f t="shared" si="180"/>
        <v>0</v>
      </c>
      <c r="W2159" s="3">
        <v>2185</v>
      </c>
      <c r="X2159" s="30">
        <v>188.77799999999999</v>
      </c>
      <c r="Y2159" s="33">
        <f t="shared" si="177"/>
        <v>0.189</v>
      </c>
      <c r="AH2159" s="45">
        <f t="shared" si="181"/>
        <v>0</v>
      </c>
      <c r="AJ2159" s="44">
        <f t="shared" si="178"/>
        <v>2.1850000000000001</v>
      </c>
      <c r="AP2159" s="46">
        <f t="shared" si="179"/>
        <v>0.189</v>
      </c>
    </row>
    <row r="2160" spans="19:42" ht="18">
      <c r="S2160" s="8">
        <f t="shared" si="180"/>
        <v>0</v>
      </c>
      <c r="W2160" s="3">
        <v>2186</v>
      </c>
      <c r="X2160" s="30">
        <v>188.822</v>
      </c>
      <c r="Y2160" s="33">
        <f t="shared" si="177"/>
        <v>0.189</v>
      </c>
      <c r="AH2160" s="45">
        <f t="shared" si="181"/>
        <v>0</v>
      </c>
      <c r="AJ2160" s="44">
        <f t="shared" si="178"/>
        <v>2.1859999999999999</v>
      </c>
      <c r="AP2160" s="46">
        <f t="shared" si="179"/>
        <v>0.189</v>
      </c>
    </row>
    <row r="2161" spans="19:42" ht="18">
      <c r="S2161" s="8">
        <f t="shared" si="180"/>
        <v>0</v>
      </c>
      <c r="W2161" s="3">
        <v>2187</v>
      </c>
      <c r="X2161" s="30">
        <v>188.86699999999999</v>
      </c>
      <c r="Y2161" s="33">
        <f t="shared" si="177"/>
        <v>0.189</v>
      </c>
      <c r="AH2161" s="45">
        <f t="shared" si="181"/>
        <v>0</v>
      </c>
      <c r="AJ2161" s="44">
        <f t="shared" si="178"/>
        <v>2.1869999999999998</v>
      </c>
      <c r="AP2161" s="46">
        <f t="shared" si="179"/>
        <v>0.189</v>
      </c>
    </row>
    <row r="2162" spans="19:42" ht="18">
      <c r="S2162" s="8">
        <f t="shared" si="180"/>
        <v>0</v>
      </c>
      <c r="W2162" s="3">
        <v>2188</v>
      </c>
      <c r="X2162" s="30">
        <v>188.911</v>
      </c>
      <c r="Y2162" s="33">
        <f t="shared" si="177"/>
        <v>0.189</v>
      </c>
      <c r="AH2162" s="45">
        <f t="shared" si="181"/>
        <v>0</v>
      </c>
      <c r="AJ2162" s="44">
        <f t="shared" si="178"/>
        <v>2.1880000000000002</v>
      </c>
      <c r="AP2162" s="46">
        <f t="shared" si="179"/>
        <v>0.189</v>
      </c>
    </row>
    <row r="2163" spans="19:42" ht="18">
      <c r="S2163" s="8">
        <f t="shared" si="180"/>
        <v>0</v>
      </c>
      <c r="W2163" s="3">
        <v>2189</v>
      </c>
      <c r="X2163" s="30">
        <v>188.95599999999999</v>
      </c>
      <c r="Y2163" s="33">
        <f t="shared" si="177"/>
        <v>0.189</v>
      </c>
      <c r="AH2163" s="45">
        <f t="shared" si="181"/>
        <v>0</v>
      </c>
      <c r="AJ2163" s="44">
        <f t="shared" si="178"/>
        <v>2.1890000000000001</v>
      </c>
      <c r="AP2163" s="46">
        <f t="shared" si="179"/>
        <v>0.189</v>
      </c>
    </row>
    <row r="2164" spans="19:42" ht="18">
      <c r="S2164" s="8">
        <f t="shared" si="180"/>
        <v>0</v>
      </c>
      <c r="W2164" s="3">
        <v>2190</v>
      </c>
      <c r="X2164" s="30">
        <v>189</v>
      </c>
      <c r="Y2164" s="33">
        <f t="shared" si="177"/>
        <v>0.189</v>
      </c>
      <c r="AH2164" s="45">
        <f t="shared" si="181"/>
        <v>0</v>
      </c>
      <c r="AJ2164" s="44">
        <f t="shared" si="178"/>
        <v>2.19</v>
      </c>
      <c r="AP2164" s="46">
        <f t="shared" si="179"/>
        <v>0.189</v>
      </c>
    </row>
    <row r="2165" spans="19:42" ht="18">
      <c r="S2165" s="8">
        <f t="shared" si="180"/>
        <v>0</v>
      </c>
      <c r="W2165" s="3">
        <v>2191</v>
      </c>
      <c r="X2165" s="30">
        <v>189.03299999999999</v>
      </c>
      <c r="Y2165" s="33">
        <f t="shared" si="177"/>
        <v>0.189</v>
      </c>
      <c r="AH2165" s="45">
        <f t="shared" si="181"/>
        <v>0</v>
      </c>
      <c r="AJ2165" s="44">
        <f t="shared" si="178"/>
        <v>2.1909999999999998</v>
      </c>
      <c r="AP2165" s="46">
        <f t="shared" si="179"/>
        <v>0.189</v>
      </c>
    </row>
    <row r="2166" spans="19:42" ht="18">
      <c r="S2166" s="8">
        <f t="shared" si="180"/>
        <v>0</v>
      </c>
      <c r="W2166" s="3">
        <v>2192</v>
      </c>
      <c r="X2166" s="30">
        <v>189.06700000000001</v>
      </c>
      <c r="Y2166" s="33">
        <f t="shared" si="177"/>
        <v>0.189</v>
      </c>
      <c r="AH2166" s="45">
        <f t="shared" si="181"/>
        <v>0</v>
      </c>
      <c r="AJ2166" s="44">
        <f t="shared" si="178"/>
        <v>2.1920000000000002</v>
      </c>
      <c r="AP2166" s="46">
        <f t="shared" si="179"/>
        <v>0.189</v>
      </c>
    </row>
    <row r="2167" spans="19:42" ht="18">
      <c r="S2167" s="8">
        <f t="shared" si="180"/>
        <v>0</v>
      </c>
      <c r="W2167" s="3">
        <v>2193</v>
      </c>
      <c r="X2167" s="30">
        <v>189.1</v>
      </c>
      <c r="Y2167" s="33">
        <f t="shared" si="177"/>
        <v>0.189</v>
      </c>
      <c r="AH2167" s="45">
        <f t="shared" si="181"/>
        <v>0</v>
      </c>
      <c r="AJ2167" s="44">
        <f t="shared" si="178"/>
        <v>2.1930000000000001</v>
      </c>
      <c r="AP2167" s="46">
        <f t="shared" si="179"/>
        <v>0.189</v>
      </c>
    </row>
    <row r="2168" spans="19:42" ht="18">
      <c r="S2168" s="8">
        <f t="shared" si="180"/>
        <v>0</v>
      </c>
      <c r="W2168" s="3">
        <v>2194</v>
      </c>
      <c r="X2168" s="30">
        <v>189.13300000000001</v>
      </c>
      <c r="Y2168" s="33">
        <f t="shared" si="177"/>
        <v>0.189</v>
      </c>
      <c r="AH2168" s="45">
        <f t="shared" si="181"/>
        <v>0</v>
      </c>
      <c r="AJ2168" s="44">
        <f t="shared" si="178"/>
        <v>2.194</v>
      </c>
      <c r="AP2168" s="46">
        <f t="shared" si="179"/>
        <v>0.189</v>
      </c>
    </row>
    <row r="2169" spans="19:42" ht="18">
      <c r="S2169" s="8">
        <f t="shared" si="180"/>
        <v>0</v>
      </c>
      <c r="W2169" s="3">
        <v>2195</v>
      </c>
      <c r="X2169" s="30">
        <v>189.167</v>
      </c>
      <c r="Y2169" s="33">
        <f t="shared" si="177"/>
        <v>0.189</v>
      </c>
      <c r="AH2169" s="45">
        <f t="shared" si="181"/>
        <v>0</v>
      </c>
      <c r="AJ2169" s="44">
        <f t="shared" si="178"/>
        <v>2.1949999999999998</v>
      </c>
      <c r="AP2169" s="46">
        <f t="shared" si="179"/>
        <v>0.189</v>
      </c>
    </row>
    <row r="2170" spans="19:42" ht="18">
      <c r="S2170" s="8">
        <f t="shared" si="180"/>
        <v>0</v>
      </c>
      <c r="W2170" s="3">
        <v>2196</v>
      </c>
      <c r="X2170" s="30">
        <v>189.2</v>
      </c>
      <c r="Y2170" s="33">
        <f t="shared" si="177"/>
        <v>0.189</v>
      </c>
      <c r="AH2170" s="45">
        <f t="shared" si="181"/>
        <v>0</v>
      </c>
      <c r="AJ2170" s="44">
        <f t="shared" si="178"/>
        <v>2.1960000000000002</v>
      </c>
      <c r="AP2170" s="46">
        <f t="shared" si="179"/>
        <v>0.189</v>
      </c>
    </row>
    <row r="2171" spans="19:42" ht="18">
      <c r="S2171" s="8">
        <f t="shared" si="180"/>
        <v>0</v>
      </c>
      <c r="W2171" s="3">
        <v>2197</v>
      </c>
      <c r="X2171" s="30">
        <v>189.233</v>
      </c>
      <c r="Y2171" s="33">
        <f t="shared" si="177"/>
        <v>0.189</v>
      </c>
      <c r="AH2171" s="45">
        <f t="shared" si="181"/>
        <v>0</v>
      </c>
      <c r="AJ2171" s="44">
        <f t="shared" si="178"/>
        <v>2.1970000000000001</v>
      </c>
      <c r="AP2171" s="46">
        <f t="shared" si="179"/>
        <v>0.189</v>
      </c>
    </row>
    <row r="2172" spans="19:42" ht="18">
      <c r="S2172" s="8">
        <f t="shared" si="180"/>
        <v>0</v>
      </c>
      <c r="W2172" s="3">
        <v>2198</v>
      </c>
      <c r="X2172" s="30">
        <v>189.267</v>
      </c>
      <c r="Y2172" s="33">
        <f t="shared" si="177"/>
        <v>0.189</v>
      </c>
      <c r="AH2172" s="45">
        <f t="shared" si="181"/>
        <v>0</v>
      </c>
      <c r="AJ2172" s="44">
        <f t="shared" si="178"/>
        <v>2.198</v>
      </c>
      <c r="AP2172" s="46">
        <f t="shared" si="179"/>
        <v>0.189</v>
      </c>
    </row>
    <row r="2173" spans="19:42" ht="18">
      <c r="S2173" s="8">
        <f t="shared" si="180"/>
        <v>0</v>
      </c>
      <c r="W2173" s="3">
        <v>2199</v>
      </c>
      <c r="X2173" s="30">
        <v>189.3</v>
      </c>
      <c r="Y2173" s="33">
        <f t="shared" si="177"/>
        <v>0.189</v>
      </c>
      <c r="AH2173" s="45">
        <f t="shared" si="181"/>
        <v>0</v>
      </c>
      <c r="AJ2173" s="44">
        <f t="shared" si="178"/>
        <v>2.1989999999999998</v>
      </c>
      <c r="AP2173" s="46">
        <f t="shared" si="179"/>
        <v>0.189</v>
      </c>
    </row>
    <row r="2174" spans="19:42" ht="18">
      <c r="S2174" s="8">
        <f t="shared" si="180"/>
        <v>0</v>
      </c>
      <c r="W2174" s="3">
        <v>2200</v>
      </c>
      <c r="X2174" s="30">
        <v>189.333</v>
      </c>
      <c r="Y2174" s="33">
        <f t="shared" si="177"/>
        <v>0.189</v>
      </c>
      <c r="AH2174" s="45">
        <f t="shared" si="181"/>
        <v>0</v>
      </c>
      <c r="AJ2174" s="44">
        <f t="shared" si="178"/>
        <v>2.2000000000000002</v>
      </c>
      <c r="AP2174" s="46">
        <f t="shared" si="179"/>
        <v>0.189</v>
      </c>
    </row>
    <row r="2175" spans="19:42" ht="18">
      <c r="S2175" s="8">
        <f t="shared" si="180"/>
        <v>0</v>
      </c>
      <c r="W2175" s="3">
        <v>2201</v>
      </c>
      <c r="X2175" s="30">
        <v>189.36699999999999</v>
      </c>
      <c r="Y2175" s="33">
        <f t="shared" si="177"/>
        <v>0.189</v>
      </c>
      <c r="AH2175" s="45">
        <f t="shared" si="181"/>
        <v>0</v>
      </c>
      <c r="AJ2175" s="44">
        <f t="shared" si="178"/>
        <v>2.2010000000000001</v>
      </c>
      <c r="AP2175" s="46">
        <f t="shared" si="179"/>
        <v>0.189</v>
      </c>
    </row>
    <row r="2176" spans="19:42" ht="18">
      <c r="S2176" s="8">
        <f t="shared" si="180"/>
        <v>0</v>
      </c>
      <c r="W2176" s="3">
        <v>2202</v>
      </c>
      <c r="X2176" s="30">
        <v>189.4</v>
      </c>
      <c r="Y2176" s="33">
        <f t="shared" si="177"/>
        <v>0.189</v>
      </c>
      <c r="AH2176" s="45">
        <f t="shared" si="181"/>
        <v>0</v>
      </c>
      <c r="AJ2176" s="44">
        <f t="shared" si="178"/>
        <v>2.202</v>
      </c>
      <c r="AP2176" s="46">
        <f t="shared" si="179"/>
        <v>0.189</v>
      </c>
    </row>
    <row r="2177" spans="19:42" ht="18">
      <c r="S2177" s="8">
        <f t="shared" si="180"/>
        <v>0</v>
      </c>
      <c r="W2177" s="3">
        <v>2203</v>
      </c>
      <c r="X2177" s="30">
        <v>189.43299999999999</v>
      </c>
      <c r="Y2177" s="33">
        <f t="shared" si="177"/>
        <v>0.189</v>
      </c>
      <c r="AH2177" s="45">
        <f t="shared" si="181"/>
        <v>0</v>
      </c>
      <c r="AJ2177" s="44">
        <f t="shared" si="178"/>
        <v>2.2029999999999998</v>
      </c>
      <c r="AP2177" s="46">
        <f t="shared" si="179"/>
        <v>0.189</v>
      </c>
    </row>
    <row r="2178" spans="19:42" ht="18">
      <c r="S2178" s="8">
        <f t="shared" si="180"/>
        <v>0</v>
      </c>
      <c r="W2178" s="3">
        <v>2204</v>
      </c>
      <c r="X2178" s="30">
        <v>189.46700000000001</v>
      </c>
      <c r="Y2178" s="33">
        <f t="shared" si="177"/>
        <v>0.189</v>
      </c>
      <c r="AH2178" s="45">
        <f t="shared" si="181"/>
        <v>0</v>
      </c>
      <c r="AJ2178" s="44">
        <f t="shared" si="178"/>
        <v>2.2040000000000002</v>
      </c>
      <c r="AP2178" s="46">
        <f t="shared" si="179"/>
        <v>0.189</v>
      </c>
    </row>
    <row r="2179" spans="19:42" ht="18">
      <c r="S2179" s="8">
        <f t="shared" si="180"/>
        <v>0</v>
      </c>
      <c r="W2179" s="3">
        <v>2205</v>
      </c>
      <c r="X2179" s="30">
        <v>189.5</v>
      </c>
      <c r="Y2179" s="33">
        <f t="shared" si="177"/>
        <v>0.19</v>
      </c>
      <c r="AH2179" s="45">
        <f t="shared" si="181"/>
        <v>0</v>
      </c>
      <c r="AJ2179" s="44">
        <f t="shared" si="178"/>
        <v>2.2050000000000001</v>
      </c>
      <c r="AP2179" s="46">
        <f t="shared" si="179"/>
        <v>0.19</v>
      </c>
    </row>
    <row r="2180" spans="19:42" ht="18">
      <c r="S2180" s="8">
        <f t="shared" si="180"/>
        <v>0</v>
      </c>
      <c r="W2180" s="3">
        <v>2206</v>
      </c>
      <c r="X2180" s="30">
        <v>189.53299999999999</v>
      </c>
      <c r="Y2180" s="33">
        <f t="shared" si="177"/>
        <v>0.19</v>
      </c>
      <c r="AH2180" s="45">
        <f t="shared" si="181"/>
        <v>0</v>
      </c>
      <c r="AJ2180" s="44">
        <f t="shared" si="178"/>
        <v>2.206</v>
      </c>
      <c r="AP2180" s="46">
        <f t="shared" si="179"/>
        <v>0.19</v>
      </c>
    </row>
    <row r="2181" spans="19:42" ht="18">
      <c r="S2181" s="8">
        <f t="shared" si="180"/>
        <v>0</v>
      </c>
      <c r="W2181" s="3">
        <v>2207</v>
      </c>
      <c r="X2181" s="30">
        <v>189.56700000000001</v>
      </c>
      <c r="Y2181" s="33">
        <f t="shared" ref="Y2181:Y2244" si="182">ROUND(X2181/1000,3)</f>
        <v>0.19</v>
      </c>
      <c r="AH2181" s="45">
        <f t="shared" si="181"/>
        <v>0</v>
      </c>
      <c r="AJ2181" s="44">
        <f t="shared" ref="AJ2181:AJ2244" si="183">ROUND(W2181/1000,3)</f>
        <v>2.2069999999999999</v>
      </c>
      <c r="AP2181" s="46">
        <f t="shared" ref="AP2181:AP2244" si="184">ROUND(X2181/1000,3)</f>
        <v>0.19</v>
      </c>
    </row>
    <row r="2182" spans="19:42" ht="18">
      <c r="S2182" s="8">
        <f t="shared" ref="S2182:S2245" si="185">CEILING(R2182/50,0.5)</f>
        <v>0</v>
      </c>
      <c r="W2182" s="3">
        <v>2208</v>
      </c>
      <c r="X2182" s="30">
        <v>189.6</v>
      </c>
      <c r="Y2182" s="33">
        <f t="shared" si="182"/>
        <v>0.19</v>
      </c>
      <c r="AH2182" s="45">
        <f t="shared" ref="AH2182:AH2245" si="186">AE2182-AE2181</f>
        <v>0</v>
      </c>
      <c r="AJ2182" s="44">
        <f t="shared" si="183"/>
        <v>2.2080000000000002</v>
      </c>
      <c r="AP2182" s="46">
        <f t="shared" si="184"/>
        <v>0.19</v>
      </c>
    </row>
    <row r="2183" spans="19:42" ht="18">
      <c r="S2183" s="8">
        <f t="shared" si="185"/>
        <v>0</v>
      </c>
      <c r="W2183" s="3">
        <v>2209</v>
      </c>
      <c r="X2183" s="30">
        <v>189.63300000000001</v>
      </c>
      <c r="Y2183" s="33">
        <f t="shared" si="182"/>
        <v>0.19</v>
      </c>
      <c r="AH2183" s="45">
        <f t="shared" si="186"/>
        <v>0</v>
      </c>
      <c r="AJ2183" s="44">
        <f t="shared" si="183"/>
        <v>2.2090000000000001</v>
      </c>
      <c r="AP2183" s="46">
        <f t="shared" si="184"/>
        <v>0.19</v>
      </c>
    </row>
    <row r="2184" spans="19:42" ht="18">
      <c r="S2184" s="8">
        <f t="shared" si="185"/>
        <v>0</v>
      </c>
      <c r="W2184" s="3">
        <v>2210</v>
      </c>
      <c r="X2184" s="30">
        <v>189.667</v>
      </c>
      <c r="Y2184" s="33">
        <f t="shared" si="182"/>
        <v>0.19</v>
      </c>
      <c r="AH2184" s="45">
        <f t="shared" si="186"/>
        <v>0</v>
      </c>
      <c r="AJ2184" s="44">
        <f t="shared" si="183"/>
        <v>2.21</v>
      </c>
      <c r="AP2184" s="46">
        <f t="shared" si="184"/>
        <v>0.19</v>
      </c>
    </row>
    <row r="2185" spans="19:42" ht="18">
      <c r="S2185" s="8">
        <f t="shared" si="185"/>
        <v>0</v>
      </c>
      <c r="W2185" s="3">
        <v>2211</v>
      </c>
      <c r="X2185" s="30">
        <v>189.7</v>
      </c>
      <c r="Y2185" s="33">
        <f t="shared" si="182"/>
        <v>0.19</v>
      </c>
      <c r="AH2185" s="45">
        <f t="shared" si="186"/>
        <v>0</v>
      </c>
      <c r="AJ2185" s="44">
        <f t="shared" si="183"/>
        <v>2.2109999999999999</v>
      </c>
      <c r="AP2185" s="46">
        <f t="shared" si="184"/>
        <v>0.19</v>
      </c>
    </row>
    <row r="2186" spans="19:42" ht="18">
      <c r="S2186" s="8">
        <f t="shared" si="185"/>
        <v>0</v>
      </c>
      <c r="W2186" s="3">
        <v>2212</v>
      </c>
      <c r="X2186" s="30">
        <v>189.733</v>
      </c>
      <c r="Y2186" s="33">
        <f t="shared" si="182"/>
        <v>0.19</v>
      </c>
      <c r="AH2186" s="45">
        <f t="shared" si="186"/>
        <v>0</v>
      </c>
      <c r="AJ2186" s="44">
        <f t="shared" si="183"/>
        <v>2.2120000000000002</v>
      </c>
      <c r="AP2186" s="46">
        <f t="shared" si="184"/>
        <v>0.19</v>
      </c>
    </row>
    <row r="2187" spans="19:42" ht="18">
      <c r="S2187" s="8">
        <f t="shared" si="185"/>
        <v>0</v>
      </c>
      <c r="W2187" s="3">
        <v>2213</v>
      </c>
      <c r="X2187" s="30">
        <v>189.767</v>
      </c>
      <c r="Y2187" s="33">
        <f t="shared" si="182"/>
        <v>0.19</v>
      </c>
      <c r="AH2187" s="45">
        <f t="shared" si="186"/>
        <v>0</v>
      </c>
      <c r="AJ2187" s="44">
        <f t="shared" si="183"/>
        <v>2.2130000000000001</v>
      </c>
      <c r="AP2187" s="46">
        <f t="shared" si="184"/>
        <v>0.19</v>
      </c>
    </row>
    <row r="2188" spans="19:42" ht="18">
      <c r="S2188" s="8">
        <f t="shared" si="185"/>
        <v>0</v>
      </c>
      <c r="W2188" s="3">
        <v>2214</v>
      </c>
      <c r="X2188" s="30">
        <v>189.8</v>
      </c>
      <c r="Y2188" s="33">
        <f t="shared" si="182"/>
        <v>0.19</v>
      </c>
      <c r="AH2188" s="45">
        <f t="shared" si="186"/>
        <v>0</v>
      </c>
      <c r="AJ2188" s="44">
        <f t="shared" si="183"/>
        <v>2.214</v>
      </c>
      <c r="AP2188" s="46">
        <f t="shared" si="184"/>
        <v>0.19</v>
      </c>
    </row>
    <row r="2189" spans="19:42" ht="18">
      <c r="S2189" s="8">
        <f t="shared" si="185"/>
        <v>0</v>
      </c>
      <c r="W2189" s="3">
        <v>2215</v>
      </c>
      <c r="X2189" s="30">
        <v>189.833</v>
      </c>
      <c r="Y2189" s="33">
        <f t="shared" si="182"/>
        <v>0.19</v>
      </c>
      <c r="AH2189" s="45">
        <f t="shared" si="186"/>
        <v>0</v>
      </c>
      <c r="AJ2189" s="44">
        <f t="shared" si="183"/>
        <v>2.2149999999999999</v>
      </c>
      <c r="AP2189" s="46">
        <f t="shared" si="184"/>
        <v>0.19</v>
      </c>
    </row>
    <row r="2190" spans="19:42" ht="18">
      <c r="S2190" s="8">
        <f t="shared" si="185"/>
        <v>0</v>
      </c>
      <c r="W2190" s="3">
        <v>2216</v>
      </c>
      <c r="X2190" s="30">
        <v>189.86699999999999</v>
      </c>
      <c r="Y2190" s="33">
        <f t="shared" si="182"/>
        <v>0.19</v>
      </c>
      <c r="AH2190" s="45">
        <f t="shared" si="186"/>
        <v>0</v>
      </c>
      <c r="AJ2190" s="44">
        <f t="shared" si="183"/>
        <v>2.2160000000000002</v>
      </c>
      <c r="AP2190" s="46">
        <f t="shared" si="184"/>
        <v>0.19</v>
      </c>
    </row>
    <row r="2191" spans="19:42" ht="18">
      <c r="S2191" s="8">
        <f t="shared" si="185"/>
        <v>0</v>
      </c>
      <c r="W2191" s="3">
        <v>2217</v>
      </c>
      <c r="X2191" s="30">
        <v>189.9</v>
      </c>
      <c r="Y2191" s="33">
        <f t="shared" si="182"/>
        <v>0.19</v>
      </c>
      <c r="AH2191" s="45">
        <f t="shared" si="186"/>
        <v>0</v>
      </c>
      <c r="AJ2191" s="44">
        <f t="shared" si="183"/>
        <v>2.2170000000000001</v>
      </c>
      <c r="AP2191" s="46">
        <f t="shared" si="184"/>
        <v>0.19</v>
      </c>
    </row>
    <row r="2192" spans="19:42" ht="18">
      <c r="S2192" s="8">
        <f t="shared" si="185"/>
        <v>0</v>
      </c>
      <c r="W2192" s="3">
        <v>2218</v>
      </c>
      <c r="X2192" s="30">
        <v>189.93299999999999</v>
      </c>
      <c r="Y2192" s="33">
        <f t="shared" si="182"/>
        <v>0.19</v>
      </c>
      <c r="AH2192" s="45">
        <f t="shared" si="186"/>
        <v>0</v>
      </c>
      <c r="AJ2192" s="44">
        <f t="shared" si="183"/>
        <v>2.218</v>
      </c>
      <c r="AP2192" s="46">
        <f t="shared" si="184"/>
        <v>0.19</v>
      </c>
    </row>
    <row r="2193" spans="19:42" ht="18">
      <c r="S2193" s="8">
        <f t="shared" si="185"/>
        <v>0</v>
      </c>
      <c r="W2193" s="3">
        <v>2219</v>
      </c>
      <c r="X2193" s="30">
        <v>189.96700000000001</v>
      </c>
      <c r="Y2193" s="33">
        <f t="shared" si="182"/>
        <v>0.19</v>
      </c>
      <c r="AH2193" s="45">
        <f t="shared" si="186"/>
        <v>0</v>
      </c>
      <c r="AJ2193" s="44">
        <f t="shared" si="183"/>
        <v>2.2189999999999999</v>
      </c>
      <c r="AP2193" s="46">
        <f t="shared" si="184"/>
        <v>0.19</v>
      </c>
    </row>
    <row r="2194" spans="19:42" ht="18">
      <c r="S2194" s="8">
        <f t="shared" si="185"/>
        <v>0</v>
      </c>
      <c r="W2194" s="3">
        <v>2220</v>
      </c>
      <c r="X2194" s="30">
        <v>190</v>
      </c>
      <c r="Y2194" s="33">
        <f t="shared" si="182"/>
        <v>0.19</v>
      </c>
      <c r="AH2194" s="45">
        <f t="shared" si="186"/>
        <v>0</v>
      </c>
      <c r="AJ2194" s="44">
        <f t="shared" si="183"/>
        <v>2.2200000000000002</v>
      </c>
      <c r="AP2194" s="46">
        <f t="shared" si="184"/>
        <v>0.19</v>
      </c>
    </row>
    <row r="2195" spans="19:42" ht="18">
      <c r="S2195" s="8">
        <f t="shared" si="185"/>
        <v>0</v>
      </c>
      <c r="W2195" s="3">
        <v>2221</v>
      </c>
      <c r="X2195" s="30">
        <v>190.03299999999999</v>
      </c>
      <c r="Y2195" s="33">
        <f t="shared" si="182"/>
        <v>0.19</v>
      </c>
      <c r="AH2195" s="45">
        <f t="shared" si="186"/>
        <v>0</v>
      </c>
      <c r="AJ2195" s="44">
        <f t="shared" si="183"/>
        <v>2.2210000000000001</v>
      </c>
      <c r="AP2195" s="46">
        <f t="shared" si="184"/>
        <v>0.19</v>
      </c>
    </row>
    <row r="2196" spans="19:42" ht="18">
      <c r="S2196" s="8">
        <f t="shared" si="185"/>
        <v>0</v>
      </c>
      <c r="W2196" s="3">
        <v>2222</v>
      </c>
      <c r="X2196" s="30">
        <v>190.06700000000001</v>
      </c>
      <c r="Y2196" s="33">
        <f t="shared" si="182"/>
        <v>0.19</v>
      </c>
      <c r="AH2196" s="45">
        <f t="shared" si="186"/>
        <v>0</v>
      </c>
      <c r="AJ2196" s="44">
        <f t="shared" si="183"/>
        <v>2.222</v>
      </c>
      <c r="AP2196" s="46">
        <f t="shared" si="184"/>
        <v>0.19</v>
      </c>
    </row>
    <row r="2197" spans="19:42" ht="18">
      <c r="S2197" s="8">
        <f t="shared" si="185"/>
        <v>0</v>
      </c>
      <c r="W2197" s="3">
        <v>2223</v>
      </c>
      <c r="X2197" s="30">
        <v>190.1</v>
      </c>
      <c r="Y2197" s="33">
        <f t="shared" si="182"/>
        <v>0.19</v>
      </c>
      <c r="AH2197" s="45">
        <f t="shared" si="186"/>
        <v>0</v>
      </c>
      <c r="AJ2197" s="44">
        <f t="shared" si="183"/>
        <v>2.2229999999999999</v>
      </c>
      <c r="AP2197" s="46">
        <f t="shared" si="184"/>
        <v>0.19</v>
      </c>
    </row>
    <row r="2198" spans="19:42" ht="18">
      <c r="S2198" s="8">
        <f t="shared" si="185"/>
        <v>0</v>
      </c>
      <c r="W2198" s="3">
        <v>2224</v>
      </c>
      <c r="X2198" s="30">
        <v>190.13300000000001</v>
      </c>
      <c r="Y2198" s="33">
        <f t="shared" si="182"/>
        <v>0.19</v>
      </c>
      <c r="AH2198" s="45">
        <f t="shared" si="186"/>
        <v>0</v>
      </c>
      <c r="AJ2198" s="44">
        <f t="shared" si="183"/>
        <v>2.2240000000000002</v>
      </c>
      <c r="AP2198" s="46">
        <f t="shared" si="184"/>
        <v>0.19</v>
      </c>
    </row>
    <row r="2199" spans="19:42" ht="18">
      <c r="S2199" s="8">
        <f t="shared" si="185"/>
        <v>0</v>
      </c>
      <c r="W2199" s="3">
        <v>2225</v>
      </c>
      <c r="X2199" s="30">
        <v>190.167</v>
      </c>
      <c r="Y2199" s="33">
        <f t="shared" si="182"/>
        <v>0.19</v>
      </c>
      <c r="AH2199" s="45">
        <f t="shared" si="186"/>
        <v>0</v>
      </c>
      <c r="AJ2199" s="44">
        <f t="shared" si="183"/>
        <v>2.2250000000000001</v>
      </c>
      <c r="AP2199" s="46">
        <f t="shared" si="184"/>
        <v>0.19</v>
      </c>
    </row>
    <row r="2200" spans="19:42" ht="18">
      <c r="S2200" s="8">
        <f t="shared" si="185"/>
        <v>0</v>
      </c>
      <c r="W2200" s="3">
        <v>2226</v>
      </c>
      <c r="X2200" s="30">
        <v>190.2</v>
      </c>
      <c r="Y2200" s="33">
        <f t="shared" si="182"/>
        <v>0.19</v>
      </c>
      <c r="AH2200" s="45">
        <f t="shared" si="186"/>
        <v>0</v>
      </c>
      <c r="AJ2200" s="44">
        <f t="shared" si="183"/>
        <v>2.226</v>
      </c>
      <c r="AP2200" s="46">
        <f t="shared" si="184"/>
        <v>0.19</v>
      </c>
    </row>
    <row r="2201" spans="19:42" ht="18">
      <c r="S2201" s="8">
        <f t="shared" si="185"/>
        <v>0</v>
      </c>
      <c r="W2201" s="3">
        <v>2227</v>
      </c>
      <c r="X2201" s="30">
        <v>190.233</v>
      </c>
      <c r="Y2201" s="33">
        <f t="shared" si="182"/>
        <v>0.19</v>
      </c>
      <c r="AH2201" s="45">
        <f t="shared" si="186"/>
        <v>0</v>
      </c>
      <c r="AJ2201" s="44">
        <f t="shared" si="183"/>
        <v>2.2269999999999999</v>
      </c>
      <c r="AP2201" s="46">
        <f t="shared" si="184"/>
        <v>0.19</v>
      </c>
    </row>
    <row r="2202" spans="19:42" ht="18">
      <c r="S2202" s="8">
        <f t="shared" si="185"/>
        <v>0</v>
      </c>
      <c r="W2202" s="3">
        <v>2228</v>
      </c>
      <c r="X2202" s="30">
        <v>190.267</v>
      </c>
      <c r="Y2202" s="33">
        <f t="shared" si="182"/>
        <v>0.19</v>
      </c>
      <c r="AH2202" s="45">
        <f t="shared" si="186"/>
        <v>0</v>
      </c>
      <c r="AJ2202" s="44">
        <f t="shared" si="183"/>
        <v>2.2280000000000002</v>
      </c>
      <c r="AP2202" s="46">
        <f t="shared" si="184"/>
        <v>0.19</v>
      </c>
    </row>
    <row r="2203" spans="19:42" ht="18">
      <c r="S2203" s="8">
        <f t="shared" si="185"/>
        <v>0</v>
      </c>
      <c r="W2203" s="3">
        <v>2229</v>
      </c>
      <c r="X2203" s="30">
        <v>190.3</v>
      </c>
      <c r="Y2203" s="33">
        <f t="shared" si="182"/>
        <v>0.19</v>
      </c>
      <c r="AH2203" s="45">
        <f t="shared" si="186"/>
        <v>0</v>
      </c>
      <c r="AJ2203" s="44">
        <f t="shared" si="183"/>
        <v>2.2290000000000001</v>
      </c>
      <c r="AP2203" s="46">
        <f t="shared" si="184"/>
        <v>0.19</v>
      </c>
    </row>
    <row r="2204" spans="19:42" ht="18">
      <c r="S2204" s="8">
        <f t="shared" si="185"/>
        <v>0</v>
      </c>
      <c r="W2204" s="3">
        <v>2230</v>
      </c>
      <c r="X2204" s="30">
        <v>190.333</v>
      </c>
      <c r="Y2204" s="33">
        <f t="shared" si="182"/>
        <v>0.19</v>
      </c>
      <c r="AH2204" s="45">
        <f t="shared" si="186"/>
        <v>0</v>
      </c>
      <c r="AJ2204" s="44">
        <f t="shared" si="183"/>
        <v>2.23</v>
      </c>
      <c r="AP2204" s="46">
        <f t="shared" si="184"/>
        <v>0.19</v>
      </c>
    </row>
    <row r="2205" spans="19:42" ht="18">
      <c r="S2205" s="8">
        <f t="shared" si="185"/>
        <v>0</v>
      </c>
      <c r="W2205" s="3">
        <v>2231</v>
      </c>
      <c r="X2205" s="30">
        <v>190.36699999999999</v>
      </c>
      <c r="Y2205" s="33">
        <f t="shared" si="182"/>
        <v>0.19</v>
      </c>
      <c r="AH2205" s="45">
        <f t="shared" si="186"/>
        <v>0</v>
      </c>
      <c r="AJ2205" s="44">
        <f t="shared" si="183"/>
        <v>2.2309999999999999</v>
      </c>
      <c r="AP2205" s="46">
        <f t="shared" si="184"/>
        <v>0.19</v>
      </c>
    </row>
    <row r="2206" spans="19:42" ht="18">
      <c r="S2206" s="8">
        <f t="shared" si="185"/>
        <v>0</v>
      </c>
      <c r="W2206" s="3">
        <v>2232</v>
      </c>
      <c r="X2206" s="30">
        <v>190.4</v>
      </c>
      <c r="Y2206" s="33">
        <f t="shared" si="182"/>
        <v>0.19</v>
      </c>
      <c r="AH2206" s="45">
        <f t="shared" si="186"/>
        <v>0</v>
      </c>
      <c r="AJ2206" s="44">
        <f t="shared" si="183"/>
        <v>2.2320000000000002</v>
      </c>
      <c r="AP2206" s="46">
        <f t="shared" si="184"/>
        <v>0.19</v>
      </c>
    </row>
    <row r="2207" spans="19:42" ht="18">
      <c r="S2207" s="8">
        <f t="shared" si="185"/>
        <v>0</v>
      </c>
      <c r="W2207" s="3">
        <v>2233</v>
      </c>
      <c r="X2207" s="30">
        <v>190.43299999999999</v>
      </c>
      <c r="Y2207" s="33">
        <f t="shared" si="182"/>
        <v>0.19</v>
      </c>
      <c r="AH2207" s="45">
        <f t="shared" si="186"/>
        <v>0</v>
      </c>
      <c r="AJ2207" s="44">
        <f t="shared" si="183"/>
        <v>2.2330000000000001</v>
      </c>
      <c r="AP2207" s="46">
        <f t="shared" si="184"/>
        <v>0.19</v>
      </c>
    </row>
    <row r="2208" spans="19:42" ht="18">
      <c r="S2208" s="8">
        <f t="shared" si="185"/>
        <v>0</v>
      </c>
      <c r="W2208" s="3">
        <v>2234</v>
      </c>
      <c r="X2208" s="30">
        <v>190.46700000000001</v>
      </c>
      <c r="Y2208" s="33">
        <f t="shared" si="182"/>
        <v>0.19</v>
      </c>
      <c r="AH2208" s="45">
        <f t="shared" si="186"/>
        <v>0</v>
      </c>
      <c r="AJ2208" s="44">
        <f t="shared" si="183"/>
        <v>2.234</v>
      </c>
      <c r="AP2208" s="46">
        <f t="shared" si="184"/>
        <v>0.19</v>
      </c>
    </row>
    <row r="2209" spans="19:42" ht="18">
      <c r="S2209" s="8">
        <f t="shared" si="185"/>
        <v>0</v>
      </c>
      <c r="W2209" s="3">
        <v>2235</v>
      </c>
      <c r="X2209" s="30">
        <v>190.5</v>
      </c>
      <c r="Y2209" s="33">
        <f t="shared" si="182"/>
        <v>0.191</v>
      </c>
      <c r="AH2209" s="45">
        <f t="shared" si="186"/>
        <v>0</v>
      </c>
      <c r="AJ2209" s="44">
        <f t="shared" si="183"/>
        <v>2.2349999999999999</v>
      </c>
      <c r="AP2209" s="46">
        <f t="shared" si="184"/>
        <v>0.191</v>
      </c>
    </row>
    <row r="2210" spans="19:42" ht="18">
      <c r="S2210" s="8">
        <f t="shared" si="185"/>
        <v>0</v>
      </c>
      <c r="W2210" s="3">
        <v>2236</v>
      </c>
      <c r="X2210" s="30">
        <v>190.53299999999999</v>
      </c>
      <c r="Y2210" s="33">
        <f t="shared" si="182"/>
        <v>0.191</v>
      </c>
      <c r="AH2210" s="45">
        <f t="shared" si="186"/>
        <v>0</v>
      </c>
      <c r="AJ2210" s="44">
        <f t="shared" si="183"/>
        <v>2.2360000000000002</v>
      </c>
      <c r="AP2210" s="46">
        <f t="shared" si="184"/>
        <v>0.191</v>
      </c>
    </row>
    <row r="2211" spans="19:42" ht="18">
      <c r="S2211" s="8">
        <f t="shared" si="185"/>
        <v>0</v>
      </c>
      <c r="W2211" s="3">
        <v>2237</v>
      </c>
      <c r="X2211" s="30">
        <v>190.56700000000001</v>
      </c>
      <c r="Y2211" s="33">
        <f t="shared" si="182"/>
        <v>0.191</v>
      </c>
      <c r="AH2211" s="45">
        <f t="shared" si="186"/>
        <v>0</v>
      </c>
      <c r="AJ2211" s="44">
        <f t="shared" si="183"/>
        <v>2.2370000000000001</v>
      </c>
      <c r="AP2211" s="46">
        <f t="shared" si="184"/>
        <v>0.191</v>
      </c>
    </row>
    <row r="2212" spans="19:42" ht="18">
      <c r="S2212" s="8">
        <f t="shared" si="185"/>
        <v>0</v>
      </c>
      <c r="W2212" s="3">
        <v>2238</v>
      </c>
      <c r="X2212" s="30">
        <v>190.6</v>
      </c>
      <c r="Y2212" s="33">
        <f t="shared" si="182"/>
        <v>0.191</v>
      </c>
      <c r="AH2212" s="45">
        <f t="shared" si="186"/>
        <v>0</v>
      </c>
      <c r="AJ2212" s="44">
        <f t="shared" si="183"/>
        <v>2.238</v>
      </c>
      <c r="AP2212" s="46">
        <f t="shared" si="184"/>
        <v>0.191</v>
      </c>
    </row>
    <row r="2213" spans="19:42" ht="18">
      <c r="S2213" s="8">
        <f t="shared" si="185"/>
        <v>0</v>
      </c>
      <c r="W2213" s="3">
        <v>2239</v>
      </c>
      <c r="X2213" s="30">
        <v>190.63300000000001</v>
      </c>
      <c r="Y2213" s="33">
        <f t="shared" si="182"/>
        <v>0.191</v>
      </c>
      <c r="AH2213" s="45">
        <f t="shared" si="186"/>
        <v>0</v>
      </c>
      <c r="AJ2213" s="44">
        <f t="shared" si="183"/>
        <v>2.2389999999999999</v>
      </c>
      <c r="AP2213" s="46">
        <f t="shared" si="184"/>
        <v>0.191</v>
      </c>
    </row>
    <row r="2214" spans="19:42" ht="18">
      <c r="S2214" s="8">
        <f t="shared" si="185"/>
        <v>0</v>
      </c>
      <c r="W2214" s="3">
        <v>2240</v>
      </c>
      <c r="X2214" s="30">
        <v>190.667</v>
      </c>
      <c r="Y2214" s="33">
        <f t="shared" si="182"/>
        <v>0.191</v>
      </c>
      <c r="AH2214" s="45">
        <f t="shared" si="186"/>
        <v>0</v>
      </c>
      <c r="AJ2214" s="44">
        <f t="shared" si="183"/>
        <v>2.2400000000000002</v>
      </c>
      <c r="AP2214" s="46">
        <f t="shared" si="184"/>
        <v>0.191</v>
      </c>
    </row>
    <row r="2215" spans="19:42" ht="18">
      <c r="S2215" s="8">
        <f t="shared" si="185"/>
        <v>0</v>
      </c>
      <c r="W2215" s="3">
        <v>2241</v>
      </c>
      <c r="X2215" s="30">
        <v>190.7</v>
      </c>
      <c r="Y2215" s="33">
        <f t="shared" si="182"/>
        <v>0.191</v>
      </c>
      <c r="AH2215" s="45">
        <f t="shared" si="186"/>
        <v>0</v>
      </c>
      <c r="AJ2215" s="44">
        <f t="shared" si="183"/>
        <v>2.2410000000000001</v>
      </c>
      <c r="AP2215" s="46">
        <f t="shared" si="184"/>
        <v>0.191</v>
      </c>
    </row>
    <row r="2216" spans="19:42" ht="18">
      <c r="S2216" s="8">
        <f t="shared" si="185"/>
        <v>0</v>
      </c>
      <c r="W2216" s="3">
        <v>2242</v>
      </c>
      <c r="X2216" s="30">
        <v>190.733</v>
      </c>
      <c r="Y2216" s="33">
        <f t="shared" si="182"/>
        <v>0.191</v>
      </c>
      <c r="AH2216" s="45">
        <f t="shared" si="186"/>
        <v>0</v>
      </c>
      <c r="AJ2216" s="44">
        <f t="shared" si="183"/>
        <v>2.242</v>
      </c>
      <c r="AP2216" s="46">
        <f t="shared" si="184"/>
        <v>0.191</v>
      </c>
    </row>
    <row r="2217" spans="19:42" ht="18">
      <c r="S2217" s="8">
        <f t="shared" si="185"/>
        <v>0</v>
      </c>
      <c r="W2217" s="3">
        <v>2243</v>
      </c>
      <c r="X2217" s="30">
        <v>190.767</v>
      </c>
      <c r="Y2217" s="33">
        <f t="shared" si="182"/>
        <v>0.191</v>
      </c>
      <c r="AH2217" s="45">
        <f t="shared" si="186"/>
        <v>0</v>
      </c>
      <c r="AJ2217" s="44">
        <f t="shared" si="183"/>
        <v>2.2429999999999999</v>
      </c>
      <c r="AP2217" s="46">
        <f t="shared" si="184"/>
        <v>0.191</v>
      </c>
    </row>
    <row r="2218" spans="19:42" ht="18">
      <c r="S2218" s="8">
        <f t="shared" si="185"/>
        <v>0</v>
      </c>
      <c r="W2218" s="3">
        <v>2244</v>
      </c>
      <c r="X2218" s="30">
        <v>190.8</v>
      </c>
      <c r="Y2218" s="33">
        <f t="shared" si="182"/>
        <v>0.191</v>
      </c>
      <c r="AH2218" s="45">
        <f t="shared" si="186"/>
        <v>0</v>
      </c>
      <c r="AJ2218" s="44">
        <f t="shared" si="183"/>
        <v>2.2440000000000002</v>
      </c>
      <c r="AP2218" s="46">
        <f t="shared" si="184"/>
        <v>0.191</v>
      </c>
    </row>
    <row r="2219" spans="19:42" ht="18">
      <c r="S2219" s="8">
        <f t="shared" si="185"/>
        <v>0</v>
      </c>
      <c r="W2219" s="3">
        <v>2245</v>
      </c>
      <c r="X2219" s="30">
        <v>190.833</v>
      </c>
      <c r="Y2219" s="33">
        <f t="shared" si="182"/>
        <v>0.191</v>
      </c>
      <c r="AH2219" s="45">
        <f t="shared" si="186"/>
        <v>0</v>
      </c>
      <c r="AJ2219" s="44">
        <f t="shared" si="183"/>
        <v>2.2450000000000001</v>
      </c>
      <c r="AP2219" s="46">
        <f t="shared" si="184"/>
        <v>0.191</v>
      </c>
    </row>
    <row r="2220" spans="19:42" ht="18">
      <c r="S2220" s="8">
        <f t="shared" si="185"/>
        <v>0</v>
      </c>
      <c r="W2220" s="3">
        <v>2246</v>
      </c>
      <c r="X2220" s="30">
        <v>190.86699999999999</v>
      </c>
      <c r="Y2220" s="33">
        <f t="shared" si="182"/>
        <v>0.191</v>
      </c>
      <c r="AH2220" s="45">
        <f t="shared" si="186"/>
        <v>0</v>
      </c>
      <c r="AJ2220" s="44">
        <f t="shared" si="183"/>
        <v>2.246</v>
      </c>
      <c r="AP2220" s="46">
        <f t="shared" si="184"/>
        <v>0.191</v>
      </c>
    </row>
    <row r="2221" spans="19:42" ht="18">
      <c r="S2221" s="8">
        <f t="shared" si="185"/>
        <v>0</v>
      </c>
      <c r="W2221" s="3">
        <v>2247</v>
      </c>
      <c r="X2221" s="30">
        <v>190.9</v>
      </c>
      <c r="Y2221" s="33">
        <f t="shared" si="182"/>
        <v>0.191</v>
      </c>
      <c r="AH2221" s="45">
        <f t="shared" si="186"/>
        <v>0</v>
      </c>
      <c r="AJ2221" s="44">
        <f t="shared" si="183"/>
        <v>2.2469999999999999</v>
      </c>
      <c r="AP2221" s="46">
        <f t="shared" si="184"/>
        <v>0.191</v>
      </c>
    </row>
    <row r="2222" spans="19:42" ht="18">
      <c r="S2222" s="8">
        <f t="shared" si="185"/>
        <v>0</v>
      </c>
      <c r="W2222" s="3">
        <v>2248</v>
      </c>
      <c r="X2222" s="30">
        <v>190.93299999999999</v>
      </c>
      <c r="Y2222" s="33">
        <f t="shared" si="182"/>
        <v>0.191</v>
      </c>
      <c r="AH2222" s="45">
        <f t="shared" si="186"/>
        <v>0</v>
      </c>
      <c r="AJ2222" s="44">
        <f t="shared" si="183"/>
        <v>2.2480000000000002</v>
      </c>
      <c r="AP2222" s="46">
        <f t="shared" si="184"/>
        <v>0.191</v>
      </c>
    </row>
    <row r="2223" spans="19:42" ht="18">
      <c r="S2223" s="8">
        <f t="shared" si="185"/>
        <v>0</v>
      </c>
      <c r="W2223" s="3">
        <v>2249</v>
      </c>
      <c r="X2223" s="30">
        <v>190.96700000000001</v>
      </c>
      <c r="Y2223" s="33">
        <f t="shared" si="182"/>
        <v>0.191</v>
      </c>
      <c r="AH2223" s="45">
        <f t="shared" si="186"/>
        <v>0</v>
      </c>
      <c r="AJ2223" s="44">
        <f t="shared" si="183"/>
        <v>2.2490000000000001</v>
      </c>
      <c r="AP2223" s="46">
        <f t="shared" si="184"/>
        <v>0.191</v>
      </c>
    </row>
    <row r="2224" spans="19:42" ht="18">
      <c r="S2224" s="8">
        <f t="shared" si="185"/>
        <v>0</v>
      </c>
      <c r="W2224" s="3">
        <v>2250</v>
      </c>
      <c r="X2224" s="30">
        <v>191</v>
      </c>
      <c r="Y2224" s="33">
        <f t="shared" si="182"/>
        <v>0.191</v>
      </c>
      <c r="AH2224" s="45">
        <f t="shared" si="186"/>
        <v>0</v>
      </c>
      <c r="AJ2224" s="44">
        <f t="shared" si="183"/>
        <v>2.25</v>
      </c>
      <c r="AP2224" s="46">
        <f t="shared" si="184"/>
        <v>0.191</v>
      </c>
    </row>
    <row r="2225" spans="19:42" ht="18">
      <c r="S2225" s="8">
        <f t="shared" si="185"/>
        <v>0</v>
      </c>
      <c r="W2225" s="3">
        <v>2251</v>
      </c>
      <c r="X2225" s="30">
        <v>191.03299999999999</v>
      </c>
      <c r="Y2225" s="33">
        <f t="shared" si="182"/>
        <v>0.191</v>
      </c>
      <c r="AH2225" s="45">
        <f t="shared" si="186"/>
        <v>0</v>
      </c>
      <c r="AJ2225" s="44">
        <f t="shared" si="183"/>
        <v>2.2509999999999999</v>
      </c>
      <c r="AP2225" s="46">
        <f t="shared" si="184"/>
        <v>0.191</v>
      </c>
    </row>
    <row r="2226" spans="19:42" ht="18">
      <c r="S2226" s="8">
        <f t="shared" si="185"/>
        <v>0</v>
      </c>
      <c r="W2226" s="3">
        <v>2252</v>
      </c>
      <c r="X2226" s="30">
        <v>191.06700000000001</v>
      </c>
      <c r="Y2226" s="33">
        <f t="shared" si="182"/>
        <v>0.191</v>
      </c>
      <c r="AH2226" s="45">
        <f t="shared" si="186"/>
        <v>0</v>
      </c>
      <c r="AJ2226" s="44">
        <f t="shared" si="183"/>
        <v>2.2519999999999998</v>
      </c>
      <c r="AP2226" s="46">
        <f t="shared" si="184"/>
        <v>0.191</v>
      </c>
    </row>
    <row r="2227" spans="19:42" ht="18">
      <c r="S2227" s="8">
        <f t="shared" si="185"/>
        <v>0</v>
      </c>
      <c r="W2227" s="3">
        <v>2253</v>
      </c>
      <c r="X2227" s="30">
        <v>191.1</v>
      </c>
      <c r="Y2227" s="33">
        <f t="shared" si="182"/>
        <v>0.191</v>
      </c>
      <c r="AH2227" s="45">
        <f t="shared" si="186"/>
        <v>0</v>
      </c>
      <c r="AJ2227" s="44">
        <f t="shared" si="183"/>
        <v>2.2530000000000001</v>
      </c>
      <c r="AP2227" s="46">
        <f t="shared" si="184"/>
        <v>0.191</v>
      </c>
    </row>
    <row r="2228" spans="19:42" ht="18">
      <c r="S2228" s="8">
        <f t="shared" si="185"/>
        <v>0</v>
      </c>
      <c r="W2228" s="3">
        <v>2254</v>
      </c>
      <c r="X2228" s="30">
        <v>191.13300000000001</v>
      </c>
      <c r="Y2228" s="33">
        <f t="shared" si="182"/>
        <v>0.191</v>
      </c>
      <c r="AH2228" s="45">
        <f t="shared" si="186"/>
        <v>0</v>
      </c>
      <c r="AJ2228" s="44">
        <f t="shared" si="183"/>
        <v>2.254</v>
      </c>
      <c r="AP2228" s="46">
        <f t="shared" si="184"/>
        <v>0.191</v>
      </c>
    </row>
    <row r="2229" spans="19:42" ht="18">
      <c r="S2229" s="8">
        <f t="shared" si="185"/>
        <v>0</v>
      </c>
      <c r="W2229" s="3">
        <v>2255</v>
      </c>
      <c r="X2229" s="30">
        <v>191.167</v>
      </c>
      <c r="Y2229" s="33">
        <f t="shared" si="182"/>
        <v>0.191</v>
      </c>
      <c r="AH2229" s="45">
        <f t="shared" si="186"/>
        <v>0</v>
      </c>
      <c r="AJ2229" s="44">
        <f t="shared" si="183"/>
        <v>2.2549999999999999</v>
      </c>
      <c r="AP2229" s="46">
        <f t="shared" si="184"/>
        <v>0.191</v>
      </c>
    </row>
    <row r="2230" spans="19:42" ht="18">
      <c r="S2230" s="8">
        <f t="shared" si="185"/>
        <v>0</v>
      </c>
      <c r="W2230" s="3">
        <v>2256</v>
      </c>
      <c r="X2230" s="30">
        <v>191.2</v>
      </c>
      <c r="Y2230" s="33">
        <f t="shared" si="182"/>
        <v>0.191</v>
      </c>
      <c r="AH2230" s="45">
        <f t="shared" si="186"/>
        <v>0</v>
      </c>
      <c r="AJ2230" s="44">
        <f t="shared" si="183"/>
        <v>2.2559999999999998</v>
      </c>
      <c r="AP2230" s="46">
        <f t="shared" si="184"/>
        <v>0.191</v>
      </c>
    </row>
    <row r="2231" spans="19:42" ht="18">
      <c r="S2231" s="8">
        <f t="shared" si="185"/>
        <v>0</v>
      </c>
      <c r="W2231" s="3">
        <v>2257</v>
      </c>
      <c r="X2231" s="30">
        <v>191.233</v>
      </c>
      <c r="Y2231" s="33">
        <f t="shared" si="182"/>
        <v>0.191</v>
      </c>
      <c r="AH2231" s="45">
        <f t="shared" si="186"/>
        <v>0</v>
      </c>
      <c r="AJ2231" s="44">
        <f t="shared" si="183"/>
        <v>2.2570000000000001</v>
      </c>
      <c r="AP2231" s="46">
        <f t="shared" si="184"/>
        <v>0.191</v>
      </c>
    </row>
    <row r="2232" spans="19:42" ht="18">
      <c r="S2232" s="8">
        <f t="shared" si="185"/>
        <v>0</v>
      </c>
      <c r="W2232" s="3">
        <v>2258</v>
      </c>
      <c r="X2232" s="30">
        <v>191.267</v>
      </c>
      <c r="Y2232" s="33">
        <f t="shared" si="182"/>
        <v>0.191</v>
      </c>
      <c r="AH2232" s="45">
        <f t="shared" si="186"/>
        <v>0</v>
      </c>
      <c r="AJ2232" s="44">
        <f t="shared" si="183"/>
        <v>2.258</v>
      </c>
      <c r="AP2232" s="46">
        <f t="shared" si="184"/>
        <v>0.191</v>
      </c>
    </row>
    <row r="2233" spans="19:42" ht="18">
      <c r="S2233" s="8">
        <f t="shared" si="185"/>
        <v>0</v>
      </c>
      <c r="W2233" s="3">
        <v>2259</v>
      </c>
      <c r="X2233" s="30">
        <v>191.3</v>
      </c>
      <c r="Y2233" s="33">
        <f t="shared" si="182"/>
        <v>0.191</v>
      </c>
      <c r="AH2233" s="45">
        <f t="shared" si="186"/>
        <v>0</v>
      </c>
      <c r="AJ2233" s="44">
        <f t="shared" si="183"/>
        <v>2.2589999999999999</v>
      </c>
      <c r="AP2233" s="46">
        <f t="shared" si="184"/>
        <v>0.191</v>
      </c>
    </row>
    <row r="2234" spans="19:42" ht="18">
      <c r="S2234" s="8">
        <f t="shared" si="185"/>
        <v>0</v>
      </c>
      <c r="W2234" s="3">
        <v>2260</v>
      </c>
      <c r="X2234" s="30">
        <v>191.333</v>
      </c>
      <c r="Y2234" s="33">
        <f t="shared" si="182"/>
        <v>0.191</v>
      </c>
      <c r="AH2234" s="45">
        <f t="shared" si="186"/>
        <v>0</v>
      </c>
      <c r="AJ2234" s="44">
        <f t="shared" si="183"/>
        <v>2.2599999999999998</v>
      </c>
      <c r="AP2234" s="46">
        <f t="shared" si="184"/>
        <v>0.191</v>
      </c>
    </row>
    <row r="2235" spans="19:42" ht="18">
      <c r="S2235" s="8">
        <f t="shared" si="185"/>
        <v>0</v>
      </c>
      <c r="W2235" s="3">
        <v>2261</v>
      </c>
      <c r="X2235" s="30">
        <v>191.36699999999999</v>
      </c>
      <c r="Y2235" s="33">
        <f t="shared" si="182"/>
        <v>0.191</v>
      </c>
      <c r="AH2235" s="45">
        <f t="shared" si="186"/>
        <v>0</v>
      </c>
      <c r="AJ2235" s="44">
        <f t="shared" si="183"/>
        <v>2.2610000000000001</v>
      </c>
      <c r="AP2235" s="46">
        <f t="shared" si="184"/>
        <v>0.191</v>
      </c>
    </row>
    <row r="2236" spans="19:42" ht="18">
      <c r="S2236" s="8">
        <f t="shared" si="185"/>
        <v>0</v>
      </c>
      <c r="W2236" s="3">
        <v>2262</v>
      </c>
      <c r="X2236" s="30">
        <v>191.4</v>
      </c>
      <c r="Y2236" s="33">
        <f t="shared" si="182"/>
        <v>0.191</v>
      </c>
      <c r="AH2236" s="45">
        <f t="shared" si="186"/>
        <v>0</v>
      </c>
      <c r="AJ2236" s="44">
        <f t="shared" si="183"/>
        <v>2.262</v>
      </c>
      <c r="AP2236" s="46">
        <f t="shared" si="184"/>
        <v>0.191</v>
      </c>
    </row>
    <row r="2237" spans="19:42" ht="18">
      <c r="S2237" s="8">
        <f t="shared" si="185"/>
        <v>0</v>
      </c>
      <c r="W2237" s="3">
        <v>2263</v>
      </c>
      <c r="X2237" s="30">
        <v>191.43299999999999</v>
      </c>
      <c r="Y2237" s="33">
        <f t="shared" si="182"/>
        <v>0.191</v>
      </c>
      <c r="AH2237" s="45">
        <f t="shared" si="186"/>
        <v>0</v>
      </c>
      <c r="AJ2237" s="44">
        <f t="shared" si="183"/>
        <v>2.2629999999999999</v>
      </c>
      <c r="AP2237" s="46">
        <f t="shared" si="184"/>
        <v>0.191</v>
      </c>
    </row>
    <row r="2238" spans="19:42" ht="18">
      <c r="S2238" s="8">
        <f t="shared" si="185"/>
        <v>0</v>
      </c>
      <c r="W2238" s="3">
        <v>2264</v>
      </c>
      <c r="X2238" s="30">
        <v>191.46700000000001</v>
      </c>
      <c r="Y2238" s="33">
        <f t="shared" si="182"/>
        <v>0.191</v>
      </c>
      <c r="AH2238" s="45">
        <f t="shared" si="186"/>
        <v>0</v>
      </c>
      <c r="AJ2238" s="44">
        <f t="shared" si="183"/>
        <v>2.2639999999999998</v>
      </c>
      <c r="AP2238" s="46">
        <f t="shared" si="184"/>
        <v>0.191</v>
      </c>
    </row>
    <row r="2239" spans="19:42" ht="18">
      <c r="S2239" s="8">
        <f t="shared" si="185"/>
        <v>0</v>
      </c>
      <c r="W2239" s="3">
        <v>2265</v>
      </c>
      <c r="X2239" s="30">
        <v>191.5</v>
      </c>
      <c r="Y2239" s="33">
        <f t="shared" si="182"/>
        <v>0.192</v>
      </c>
      <c r="AH2239" s="45">
        <f t="shared" si="186"/>
        <v>0</v>
      </c>
      <c r="AJ2239" s="44">
        <f t="shared" si="183"/>
        <v>2.2650000000000001</v>
      </c>
      <c r="AP2239" s="46">
        <f t="shared" si="184"/>
        <v>0.192</v>
      </c>
    </row>
    <row r="2240" spans="19:42" ht="18">
      <c r="S2240" s="8">
        <f t="shared" si="185"/>
        <v>0</v>
      </c>
      <c r="W2240" s="3">
        <v>2266</v>
      </c>
      <c r="X2240" s="30">
        <v>191.53299999999999</v>
      </c>
      <c r="Y2240" s="33">
        <f t="shared" si="182"/>
        <v>0.192</v>
      </c>
      <c r="AH2240" s="45">
        <f t="shared" si="186"/>
        <v>0</v>
      </c>
      <c r="AJ2240" s="44">
        <f t="shared" si="183"/>
        <v>2.266</v>
      </c>
      <c r="AP2240" s="46">
        <f t="shared" si="184"/>
        <v>0.192</v>
      </c>
    </row>
    <row r="2241" spans="19:42" ht="18">
      <c r="S2241" s="8">
        <f t="shared" si="185"/>
        <v>0</v>
      </c>
      <c r="W2241" s="3">
        <v>2267</v>
      </c>
      <c r="X2241" s="30">
        <v>191.56700000000001</v>
      </c>
      <c r="Y2241" s="33">
        <f t="shared" si="182"/>
        <v>0.192</v>
      </c>
      <c r="AH2241" s="45">
        <f t="shared" si="186"/>
        <v>0</v>
      </c>
      <c r="AJ2241" s="44">
        <f t="shared" si="183"/>
        <v>2.2669999999999999</v>
      </c>
      <c r="AP2241" s="46">
        <f t="shared" si="184"/>
        <v>0.192</v>
      </c>
    </row>
    <row r="2242" spans="19:42" ht="18">
      <c r="S2242" s="8">
        <f t="shared" si="185"/>
        <v>0</v>
      </c>
      <c r="W2242" s="3">
        <v>2268</v>
      </c>
      <c r="X2242" s="30">
        <v>191.6</v>
      </c>
      <c r="Y2242" s="33">
        <f t="shared" si="182"/>
        <v>0.192</v>
      </c>
      <c r="AH2242" s="45">
        <f t="shared" si="186"/>
        <v>0</v>
      </c>
      <c r="AJ2242" s="44">
        <f t="shared" si="183"/>
        <v>2.2679999999999998</v>
      </c>
      <c r="AP2242" s="46">
        <f t="shared" si="184"/>
        <v>0.192</v>
      </c>
    </row>
    <row r="2243" spans="19:42" ht="18">
      <c r="S2243" s="8">
        <f t="shared" si="185"/>
        <v>0</v>
      </c>
      <c r="W2243" s="3">
        <v>2269</v>
      </c>
      <c r="X2243" s="30">
        <v>191.63300000000001</v>
      </c>
      <c r="Y2243" s="33">
        <f t="shared" si="182"/>
        <v>0.192</v>
      </c>
      <c r="AH2243" s="45">
        <f t="shared" si="186"/>
        <v>0</v>
      </c>
      <c r="AJ2243" s="44">
        <f t="shared" si="183"/>
        <v>2.2690000000000001</v>
      </c>
      <c r="AP2243" s="46">
        <f t="shared" si="184"/>
        <v>0.192</v>
      </c>
    </row>
    <row r="2244" spans="19:42" ht="18">
      <c r="S2244" s="8">
        <f t="shared" si="185"/>
        <v>0</v>
      </c>
      <c r="W2244" s="3">
        <v>2270</v>
      </c>
      <c r="X2244" s="30">
        <v>191.667</v>
      </c>
      <c r="Y2244" s="33">
        <f t="shared" si="182"/>
        <v>0.192</v>
      </c>
      <c r="AH2244" s="45">
        <f t="shared" si="186"/>
        <v>0</v>
      </c>
      <c r="AJ2244" s="44">
        <f t="shared" si="183"/>
        <v>2.27</v>
      </c>
      <c r="AP2244" s="46">
        <f t="shared" si="184"/>
        <v>0.192</v>
      </c>
    </row>
    <row r="2245" spans="19:42" ht="18">
      <c r="S2245" s="8">
        <f t="shared" si="185"/>
        <v>0</v>
      </c>
      <c r="W2245" s="3">
        <v>2271</v>
      </c>
      <c r="X2245" s="30">
        <v>191.7</v>
      </c>
      <c r="Y2245" s="33">
        <f t="shared" ref="Y2245:Y2308" si="187">ROUND(X2245/1000,3)</f>
        <v>0.192</v>
      </c>
      <c r="AH2245" s="45">
        <f t="shared" si="186"/>
        <v>0</v>
      </c>
      <c r="AJ2245" s="44">
        <f t="shared" ref="AJ2245:AJ2308" si="188">ROUND(W2245/1000,3)</f>
        <v>2.2709999999999999</v>
      </c>
      <c r="AP2245" s="46">
        <f t="shared" ref="AP2245:AP2308" si="189">ROUND(X2245/1000,3)</f>
        <v>0.192</v>
      </c>
    </row>
    <row r="2246" spans="19:42" ht="18">
      <c r="S2246" s="8">
        <f t="shared" ref="S2246:S2309" si="190">CEILING(R2246/50,0.5)</f>
        <v>0</v>
      </c>
      <c r="W2246" s="3">
        <v>2272</v>
      </c>
      <c r="X2246" s="30">
        <v>191.733</v>
      </c>
      <c r="Y2246" s="33">
        <f t="shared" si="187"/>
        <v>0.192</v>
      </c>
      <c r="AH2246" s="45">
        <f t="shared" ref="AH2246:AH2309" si="191">AE2246-AE2245</f>
        <v>0</v>
      </c>
      <c r="AJ2246" s="44">
        <f t="shared" si="188"/>
        <v>2.2719999999999998</v>
      </c>
      <c r="AP2246" s="46">
        <f t="shared" si="189"/>
        <v>0.192</v>
      </c>
    </row>
    <row r="2247" spans="19:42" ht="18">
      <c r="S2247" s="8">
        <f t="shared" si="190"/>
        <v>0</v>
      </c>
      <c r="W2247" s="3">
        <v>2273</v>
      </c>
      <c r="X2247" s="30">
        <v>191.767</v>
      </c>
      <c r="Y2247" s="33">
        <f t="shared" si="187"/>
        <v>0.192</v>
      </c>
      <c r="AH2247" s="45">
        <f t="shared" si="191"/>
        <v>0</v>
      </c>
      <c r="AJ2247" s="44">
        <f t="shared" si="188"/>
        <v>2.2730000000000001</v>
      </c>
      <c r="AP2247" s="46">
        <f t="shared" si="189"/>
        <v>0.192</v>
      </c>
    </row>
    <row r="2248" spans="19:42" ht="18">
      <c r="S2248" s="8">
        <f t="shared" si="190"/>
        <v>0</v>
      </c>
      <c r="W2248" s="3">
        <v>2274</v>
      </c>
      <c r="X2248" s="30">
        <v>191.8</v>
      </c>
      <c r="Y2248" s="33">
        <f t="shared" si="187"/>
        <v>0.192</v>
      </c>
      <c r="AH2248" s="45">
        <f t="shared" si="191"/>
        <v>0</v>
      </c>
      <c r="AJ2248" s="44">
        <f t="shared" si="188"/>
        <v>2.274</v>
      </c>
      <c r="AP2248" s="46">
        <f t="shared" si="189"/>
        <v>0.192</v>
      </c>
    </row>
    <row r="2249" spans="19:42" ht="18">
      <c r="S2249" s="8">
        <f t="shared" si="190"/>
        <v>0</v>
      </c>
      <c r="W2249" s="3">
        <v>2275</v>
      </c>
      <c r="X2249" s="30">
        <v>191.833</v>
      </c>
      <c r="Y2249" s="33">
        <f t="shared" si="187"/>
        <v>0.192</v>
      </c>
      <c r="AH2249" s="45">
        <f t="shared" si="191"/>
        <v>0</v>
      </c>
      <c r="AJ2249" s="44">
        <f t="shared" si="188"/>
        <v>2.2749999999999999</v>
      </c>
      <c r="AP2249" s="46">
        <f t="shared" si="189"/>
        <v>0.192</v>
      </c>
    </row>
    <row r="2250" spans="19:42" ht="18">
      <c r="S2250" s="8">
        <f t="shared" si="190"/>
        <v>0</v>
      </c>
      <c r="W2250" s="3">
        <v>2276</v>
      </c>
      <c r="X2250" s="30">
        <v>191.86699999999999</v>
      </c>
      <c r="Y2250" s="33">
        <f t="shared" si="187"/>
        <v>0.192</v>
      </c>
      <c r="AH2250" s="45">
        <f t="shared" si="191"/>
        <v>0</v>
      </c>
      <c r="AJ2250" s="44">
        <f t="shared" si="188"/>
        <v>2.2759999999999998</v>
      </c>
      <c r="AP2250" s="46">
        <f t="shared" si="189"/>
        <v>0.192</v>
      </c>
    </row>
    <row r="2251" spans="19:42" ht="18">
      <c r="S2251" s="8">
        <f t="shared" si="190"/>
        <v>0</v>
      </c>
      <c r="W2251" s="3">
        <v>2277</v>
      </c>
      <c r="X2251" s="30">
        <v>191.9</v>
      </c>
      <c r="Y2251" s="33">
        <f t="shared" si="187"/>
        <v>0.192</v>
      </c>
      <c r="AH2251" s="45">
        <f t="shared" si="191"/>
        <v>0</v>
      </c>
      <c r="AJ2251" s="44">
        <f t="shared" si="188"/>
        <v>2.2770000000000001</v>
      </c>
      <c r="AP2251" s="46">
        <f t="shared" si="189"/>
        <v>0.192</v>
      </c>
    </row>
    <row r="2252" spans="19:42" ht="18">
      <c r="S2252" s="8">
        <f t="shared" si="190"/>
        <v>0</v>
      </c>
      <c r="W2252" s="3">
        <v>2278</v>
      </c>
      <c r="X2252" s="30">
        <v>191.93299999999999</v>
      </c>
      <c r="Y2252" s="33">
        <f t="shared" si="187"/>
        <v>0.192</v>
      </c>
      <c r="AH2252" s="45">
        <f t="shared" si="191"/>
        <v>0</v>
      </c>
      <c r="AJ2252" s="44">
        <f t="shared" si="188"/>
        <v>2.278</v>
      </c>
      <c r="AP2252" s="46">
        <f t="shared" si="189"/>
        <v>0.192</v>
      </c>
    </row>
    <row r="2253" spans="19:42" ht="18">
      <c r="S2253" s="8">
        <f t="shared" si="190"/>
        <v>0</v>
      </c>
      <c r="W2253" s="3">
        <v>2279</v>
      </c>
      <c r="X2253" s="30">
        <v>191.96700000000001</v>
      </c>
      <c r="Y2253" s="33">
        <f t="shared" si="187"/>
        <v>0.192</v>
      </c>
      <c r="AH2253" s="45">
        <f t="shared" si="191"/>
        <v>0</v>
      </c>
      <c r="AJ2253" s="44">
        <f t="shared" si="188"/>
        <v>2.2789999999999999</v>
      </c>
      <c r="AP2253" s="46">
        <f t="shared" si="189"/>
        <v>0.192</v>
      </c>
    </row>
    <row r="2254" spans="19:42" ht="18">
      <c r="S2254" s="8">
        <f t="shared" si="190"/>
        <v>0</v>
      </c>
      <c r="W2254" s="3">
        <v>2280</v>
      </c>
      <c r="X2254" s="30">
        <v>192</v>
      </c>
      <c r="Y2254" s="33">
        <f t="shared" si="187"/>
        <v>0.192</v>
      </c>
      <c r="AH2254" s="45">
        <f t="shared" si="191"/>
        <v>0</v>
      </c>
      <c r="AJ2254" s="44">
        <f t="shared" si="188"/>
        <v>2.2799999999999998</v>
      </c>
      <c r="AP2254" s="46">
        <f t="shared" si="189"/>
        <v>0.192</v>
      </c>
    </row>
    <row r="2255" spans="19:42" ht="18">
      <c r="S2255" s="8">
        <f t="shared" si="190"/>
        <v>0</v>
      </c>
      <c r="W2255" s="3">
        <v>2281</v>
      </c>
      <c r="X2255" s="30">
        <v>192.04400000000001</v>
      </c>
      <c r="Y2255" s="33">
        <f t="shared" si="187"/>
        <v>0.192</v>
      </c>
      <c r="AH2255" s="45">
        <f t="shared" si="191"/>
        <v>0</v>
      </c>
      <c r="AJ2255" s="44">
        <f t="shared" si="188"/>
        <v>2.2810000000000001</v>
      </c>
      <c r="AP2255" s="46">
        <f t="shared" si="189"/>
        <v>0.192</v>
      </c>
    </row>
    <row r="2256" spans="19:42" ht="18">
      <c r="S2256" s="8">
        <f t="shared" si="190"/>
        <v>0</v>
      </c>
      <c r="W2256" s="3">
        <v>2282</v>
      </c>
      <c r="X2256" s="30">
        <v>192.089</v>
      </c>
      <c r="Y2256" s="33">
        <f t="shared" si="187"/>
        <v>0.192</v>
      </c>
      <c r="AH2256" s="45">
        <f t="shared" si="191"/>
        <v>0</v>
      </c>
      <c r="AJ2256" s="44">
        <f t="shared" si="188"/>
        <v>2.282</v>
      </c>
      <c r="AP2256" s="46">
        <f t="shared" si="189"/>
        <v>0.192</v>
      </c>
    </row>
    <row r="2257" spans="19:42" ht="18">
      <c r="S2257" s="8">
        <f t="shared" si="190"/>
        <v>0</v>
      </c>
      <c r="W2257" s="3">
        <v>2283</v>
      </c>
      <c r="X2257" s="30">
        <v>192.13300000000001</v>
      </c>
      <c r="Y2257" s="33">
        <f t="shared" si="187"/>
        <v>0.192</v>
      </c>
      <c r="AH2257" s="45">
        <f t="shared" si="191"/>
        <v>0</v>
      </c>
      <c r="AJ2257" s="44">
        <f t="shared" si="188"/>
        <v>2.2829999999999999</v>
      </c>
      <c r="AP2257" s="46">
        <f t="shared" si="189"/>
        <v>0.192</v>
      </c>
    </row>
    <row r="2258" spans="19:42" ht="18">
      <c r="S2258" s="8">
        <f t="shared" si="190"/>
        <v>0</v>
      </c>
      <c r="W2258" s="3">
        <v>2284</v>
      </c>
      <c r="X2258" s="30">
        <v>192.178</v>
      </c>
      <c r="Y2258" s="33">
        <f t="shared" si="187"/>
        <v>0.192</v>
      </c>
      <c r="AH2258" s="45">
        <f t="shared" si="191"/>
        <v>0</v>
      </c>
      <c r="AJ2258" s="44">
        <f t="shared" si="188"/>
        <v>2.2839999999999998</v>
      </c>
      <c r="AP2258" s="46">
        <f t="shared" si="189"/>
        <v>0.192</v>
      </c>
    </row>
    <row r="2259" spans="19:42" ht="18">
      <c r="S2259" s="8">
        <f t="shared" si="190"/>
        <v>0</v>
      </c>
      <c r="W2259" s="3">
        <v>2285</v>
      </c>
      <c r="X2259" s="30">
        <v>192.22200000000001</v>
      </c>
      <c r="Y2259" s="33">
        <f t="shared" si="187"/>
        <v>0.192</v>
      </c>
      <c r="AH2259" s="45">
        <f t="shared" si="191"/>
        <v>0</v>
      </c>
      <c r="AJ2259" s="44">
        <f t="shared" si="188"/>
        <v>2.2850000000000001</v>
      </c>
      <c r="AP2259" s="46">
        <f t="shared" si="189"/>
        <v>0.192</v>
      </c>
    </row>
    <row r="2260" spans="19:42" ht="18">
      <c r="S2260" s="8">
        <f t="shared" si="190"/>
        <v>0</v>
      </c>
      <c r="W2260" s="3">
        <v>2286</v>
      </c>
      <c r="X2260" s="30">
        <v>192.267</v>
      </c>
      <c r="Y2260" s="33">
        <f t="shared" si="187"/>
        <v>0.192</v>
      </c>
      <c r="AH2260" s="45">
        <f t="shared" si="191"/>
        <v>0</v>
      </c>
      <c r="AJ2260" s="44">
        <f t="shared" si="188"/>
        <v>2.286</v>
      </c>
      <c r="AP2260" s="46">
        <f t="shared" si="189"/>
        <v>0.192</v>
      </c>
    </row>
    <row r="2261" spans="19:42" ht="18">
      <c r="S2261" s="8">
        <f t="shared" si="190"/>
        <v>0</v>
      </c>
      <c r="W2261" s="3">
        <v>2287</v>
      </c>
      <c r="X2261" s="30">
        <v>192.31100000000001</v>
      </c>
      <c r="Y2261" s="33">
        <f t="shared" si="187"/>
        <v>0.192</v>
      </c>
      <c r="AH2261" s="45">
        <f t="shared" si="191"/>
        <v>0</v>
      </c>
      <c r="AJ2261" s="44">
        <f t="shared" si="188"/>
        <v>2.2869999999999999</v>
      </c>
      <c r="AP2261" s="46">
        <f t="shared" si="189"/>
        <v>0.192</v>
      </c>
    </row>
    <row r="2262" spans="19:42" ht="18">
      <c r="S2262" s="8">
        <f t="shared" si="190"/>
        <v>0</v>
      </c>
      <c r="W2262" s="3">
        <v>2288</v>
      </c>
      <c r="X2262" s="30">
        <v>192.35599999999999</v>
      </c>
      <c r="Y2262" s="33">
        <f t="shared" si="187"/>
        <v>0.192</v>
      </c>
      <c r="AH2262" s="45">
        <f t="shared" si="191"/>
        <v>0</v>
      </c>
      <c r="AJ2262" s="44">
        <f t="shared" si="188"/>
        <v>2.2879999999999998</v>
      </c>
      <c r="AP2262" s="46">
        <f t="shared" si="189"/>
        <v>0.192</v>
      </c>
    </row>
    <row r="2263" spans="19:42" ht="18">
      <c r="S2263" s="8">
        <f t="shared" si="190"/>
        <v>0</v>
      </c>
      <c r="W2263" s="3">
        <v>2289</v>
      </c>
      <c r="X2263" s="30">
        <v>192.4</v>
      </c>
      <c r="Y2263" s="33">
        <f t="shared" si="187"/>
        <v>0.192</v>
      </c>
      <c r="AH2263" s="45">
        <f t="shared" si="191"/>
        <v>0</v>
      </c>
      <c r="AJ2263" s="44">
        <f t="shared" si="188"/>
        <v>2.2890000000000001</v>
      </c>
      <c r="AP2263" s="46">
        <f t="shared" si="189"/>
        <v>0.192</v>
      </c>
    </row>
    <row r="2264" spans="19:42" ht="18">
      <c r="S2264" s="8">
        <f t="shared" si="190"/>
        <v>0</v>
      </c>
      <c r="W2264" s="3">
        <v>2290</v>
      </c>
      <c r="X2264" s="30">
        <v>192.44399999999999</v>
      </c>
      <c r="Y2264" s="33">
        <f t="shared" si="187"/>
        <v>0.192</v>
      </c>
      <c r="AH2264" s="45">
        <f t="shared" si="191"/>
        <v>0</v>
      </c>
      <c r="AJ2264" s="44">
        <f t="shared" si="188"/>
        <v>2.29</v>
      </c>
      <c r="AP2264" s="46">
        <f t="shared" si="189"/>
        <v>0.192</v>
      </c>
    </row>
    <row r="2265" spans="19:42" ht="18">
      <c r="S2265" s="8">
        <f t="shared" si="190"/>
        <v>0</v>
      </c>
      <c r="W2265" s="3">
        <v>2291</v>
      </c>
      <c r="X2265" s="30">
        <v>192.489</v>
      </c>
      <c r="Y2265" s="33">
        <f t="shared" si="187"/>
        <v>0.192</v>
      </c>
      <c r="AH2265" s="45">
        <f t="shared" si="191"/>
        <v>0</v>
      </c>
      <c r="AJ2265" s="44">
        <f t="shared" si="188"/>
        <v>2.2909999999999999</v>
      </c>
      <c r="AP2265" s="46">
        <f t="shared" si="189"/>
        <v>0.192</v>
      </c>
    </row>
    <row r="2266" spans="19:42" ht="18">
      <c r="S2266" s="8">
        <f t="shared" si="190"/>
        <v>0</v>
      </c>
      <c r="W2266" s="3">
        <v>2292</v>
      </c>
      <c r="X2266" s="30">
        <v>192.53299999999999</v>
      </c>
      <c r="Y2266" s="33">
        <f t="shared" si="187"/>
        <v>0.193</v>
      </c>
      <c r="AH2266" s="45">
        <f t="shared" si="191"/>
        <v>0</v>
      </c>
      <c r="AJ2266" s="44">
        <f t="shared" si="188"/>
        <v>2.2919999999999998</v>
      </c>
      <c r="AP2266" s="46">
        <f t="shared" si="189"/>
        <v>0.193</v>
      </c>
    </row>
    <row r="2267" spans="19:42" ht="18">
      <c r="S2267" s="8">
        <f t="shared" si="190"/>
        <v>0</v>
      </c>
      <c r="W2267" s="3">
        <v>2293</v>
      </c>
      <c r="X2267" s="30">
        <v>192.578</v>
      </c>
      <c r="Y2267" s="33">
        <f t="shared" si="187"/>
        <v>0.193</v>
      </c>
      <c r="AH2267" s="45">
        <f t="shared" si="191"/>
        <v>0</v>
      </c>
      <c r="AJ2267" s="44">
        <f t="shared" si="188"/>
        <v>2.2930000000000001</v>
      </c>
      <c r="AP2267" s="46">
        <f t="shared" si="189"/>
        <v>0.193</v>
      </c>
    </row>
    <row r="2268" spans="19:42" ht="18">
      <c r="S2268" s="8">
        <f t="shared" si="190"/>
        <v>0</v>
      </c>
      <c r="W2268" s="3">
        <v>2294</v>
      </c>
      <c r="X2268" s="30">
        <v>192.62200000000001</v>
      </c>
      <c r="Y2268" s="33">
        <f t="shared" si="187"/>
        <v>0.193</v>
      </c>
      <c r="AH2268" s="45">
        <f t="shared" si="191"/>
        <v>0</v>
      </c>
      <c r="AJ2268" s="44">
        <f t="shared" si="188"/>
        <v>2.294</v>
      </c>
      <c r="AP2268" s="46">
        <f t="shared" si="189"/>
        <v>0.193</v>
      </c>
    </row>
    <row r="2269" spans="19:42" ht="18">
      <c r="S2269" s="8">
        <f t="shared" si="190"/>
        <v>0</v>
      </c>
      <c r="W2269" s="3">
        <v>2295</v>
      </c>
      <c r="X2269" s="30">
        <v>192.667</v>
      </c>
      <c r="Y2269" s="33">
        <f t="shared" si="187"/>
        <v>0.193</v>
      </c>
      <c r="AH2269" s="45">
        <f t="shared" si="191"/>
        <v>0</v>
      </c>
      <c r="AJ2269" s="44">
        <f t="shared" si="188"/>
        <v>2.2949999999999999</v>
      </c>
      <c r="AP2269" s="46">
        <f t="shared" si="189"/>
        <v>0.193</v>
      </c>
    </row>
    <row r="2270" spans="19:42" ht="18">
      <c r="S2270" s="8">
        <f t="shared" si="190"/>
        <v>0</v>
      </c>
      <c r="W2270" s="3">
        <v>2296</v>
      </c>
      <c r="X2270" s="30">
        <v>192.71100000000001</v>
      </c>
      <c r="Y2270" s="33">
        <f t="shared" si="187"/>
        <v>0.193</v>
      </c>
      <c r="AH2270" s="45">
        <f t="shared" si="191"/>
        <v>0</v>
      </c>
      <c r="AJ2270" s="44">
        <f t="shared" si="188"/>
        <v>2.2959999999999998</v>
      </c>
      <c r="AP2270" s="46">
        <f t="shared" si="189"/>
        <v>0.193</v>
      </c>
    </row>
    <row r="2271" spans="19:42" ht="18">
      <c r="S2271" s="8">
        <f t="shared" si="190"/>
        <v>0</v>
      </c>
      <c r="W2271" s="3">
        <v>2297</v>
      </c>
      <c r="X2271" s="30">
        <v>192.756</v>
      </c>
      <c r="Y2271" s="33">
        <f t="shared" si="187"/>
        <v>0.193</v>
      </c>
      <c r="AH2271" s="45">
        <f t="shared" si="191"/>
        <v>0</v>
      </c>
      <c r="AJ2271" s="44">
        <f t="shared" si="188"/>
        <v>2.2970000000000002</v>
      </c>
      <c r="AP2271" s="46">
        <f t="shared" si="189"/>
        <v>0.193</v>
      </c>
    </row>
    <row r="2272" spans="19:42" ht="18">
      <c r="S2272" s="8">
        <f t="shared" si="190"/>
        <v>0</v>
      </c>
      <c r="W2272" s="3">
        <v>2298</v>
      </c>
      <c r="X2272" s="30">
        <v>192.8</v>
      </c>
      <c r="Y2272" s="33">
        <f t="shared" si="187"/>
        <v>0.193</v>
      </c>
      <c r="AH2272" s="45">
        <f t="shared" si="191"/>
        <v>0</v>
      </c>
      <c r="AJ2272" s="44">
        <f t="shared" si="188"/>
        <v>2.298</v>
      </c>
      <c r="AP2272" s="46">
        <f t="shared" si="189"/>
        <v>0.193</v>
      </c>
    </row>
    <row r="2273" spans="19:42" ht="18">
      <c r="S2273" s="8">
        <f t="shared" si="190"/>
        <v>0</v>
      </c>
      <c r="W2273" s="3">
        <v>2299</v>
      </c>
      <c r="X2273" s="30">
        <v>192.84399999999999</v>
      </c>
      <c r="Y2273" s="33">
        <f t="shared" si="187"/>
        <v>0.193</v>
      </c>
      <c r="AH2273" s="45">
        <f t="shared" si="191"/>
        <v>0</v>
      </c>
      <c r="AJ2273" s="44">
        <f t="shared" si="188"/>
        <v>2.2989999999999999</v>
      </c>
      <c r="AP2273" s="46">
        <f t="shared" si="189"/>
        <v>0.193</v>
      </c>
    </row>
    <row r="2274" spans="19:42" ht="18">
      <c r="S2274" s="8">
        <f t="shared" si="190"/>
        <v>0</v>
      </c>
      <c r="W2274" s="3">
        <v>2300</v>
      </c>
      <c r="X2274" s="30">
        <v>192.88900000000001</v>
      </c>
      <c r="Y2274" s="33">
        <f t="shared" si="187"/>
        <v>0.193</v>
      </c>
      <c r="AH2274" s="45">
        <f t="shared" si="191"/>
        <v>0</v>
      </c>
      <c r="AJ2274" s="44">
        <f t="shared" si="188"/>
        <v>2.2999999999999998</v>
      </c>
      <c r="AP2274" s="46">
        <f t="shared" si="189"/>
        <v>0.193</v>
      </c>
    </row>
    <row r="2275" spans="19:42" ht="18">
      <c r="S2275" s="8">
        <f t="shared" si="190"/>
        <v>0</v>
      </c>
      <c r="W2275" s="3">
        <v>2301</v>
      </c>
      <c r="X2275" s="30">
        <v>192.93299999999999</v>
      </c>
      <c r="Y2275" s="33">
        <f t="shared" si="187"/>
        <v>0.193</v>
      </c>
      <c r="AH2275" s="45">
        <f t="shared" si="191"/>
        <v>0</v>
      </c>
      <c r="AJ2275" s="44">
        <f t="shared" si="188"/>
        <v>2.3010000000000002</v>
      </c>
      <c r="AP2275" s="46">
        <f t="shared" si="189"/>
        <v>0.193</v>
      </c>
    </row>
    <row r="2276" spans="19:42" ht="18">
      <c r="S2276" s="8">
        <f t="shared" si="190"/>
        <v>0</v>
      </c>
      <c r="W2276" s="3">
        <v>2302</v>
      </c>
      <c r="X2276" s="30">
        <v>192.97800000000001</v>
      </c>
      <c r="Y2276" s="33">
        <f t="shared" si="187"/>
        <v>0.193</v>
      </c>
      <c r="AH2276" s="45">
        <f t="shared" si="191"/>
        <v>0</v>
      </c>
      <c r="AJ2276" s="44">
        <f t="shared" si="188"/>
        <v>2.302</v>
      </c>
      <c r="AP2276" s="46">
        <f t="shared" si="189"/>
        <v>0.193</v>
      </c>
    </row>
    <row r="2277" spans="19:42" ht="18">
      <c r="S2277" s="8">
        <f t="shared" si="190"/>
        <v>0</v>
      </c>
      <c r="W2277" s="3">
        <v>2303</v>
      </c>
      <c r="X2277" s="30">
        <v>193.02199999999999</v>
      </c>
      <c r="Y2277" s="33">
        <f t="shared" si="187"/>
        <v>0.193</v>
      </c>
      <c r="AH2277" s="45">
        <f t="shared" si="191"/>
        <v>0</v>
      </c>
      <c r="AJ2277" s="44">
        <f t="shared" si="188"/>
        <v>2.3029999999999999</v>
      </c>
      <c r="AP2277" s="46">
        <f t="shared" si="189"/>
        <v>0.193</v>
      </c>
    </row>
    <row r="2278" spans="19:42" ht="18">
      <c r="S2278" s="8">
        <f t="shared" si="190"/>
        <v>0</v>
      </c>
      <c r="W2278" s="3">
        <v>2304</v>
      </c>
      <c r="X2278" s="30">
        <v>193.06700000000001</v>
      </c>
      <c r="Y2278" s="33">
        <f t="shared" si="187"/>
        <v>0.193</v>
      </c>
      <c r="AH2278" s="45">
        <f t="shared" si="191"/>
        <v>0</v>
      </c>
      <c r="AJ2278" s="44">
        <f t="shared" si="188"/>
        <v>2.3039999999999998</v>
      </c>
      <c r="AP2278" s="46">
        <f t="shared" si="189"/>
        <v>0.193</v>
      </c>
    </row>
    <row r="2279" spans="19:42" ht="18">
      <c r="S2279" s="8">
        <f t="shared" si="190"/>
        <v>0</v>
      </c>
      <c r="W2279" s="3">
        <v>2305</v>
      </c>
      <c r="X2279" s="30">
        <v>193.11099999999999</v>
      </c>
      <c r="Y2279" s="33">
        <f t="shared" si="187"/>
        <v>0.193</v>
      </c>
      <c r="AH2279" s="45">
        <f t="shared" si="191"/>
        <v>0</v>
      </c>
      <c r="AJ2279" s="44">
        <f t="shared" si="188"/>
        <v>2.3050000000000002</v>
      </c>
      <c r="AP2279" s="46">
        <f t="shared" si="189"/>
        <v>0.193</v>
      </c>
    </row>
    <row r="2280" spans="19:42" ht="18">
      <c r="S2280" s="8">
        <f t="shared" si="190"/>
        <v>0</v>
      </c>
      <c r="W2280" s="3">
        <v>2306</v>
      </c>
      <c r="X2280" s="30">
        <v>193.15600000000001</v>
      </c>
      <c r="Y2280" s="33">
        <f t="shared" si="187"/>
        <v>0.193</v>
      </c>
      <c r="AH2280" s="45">
        <f t="shared" si="191"/>
        <v>0</v>
      </c>
      <c r="AJ2280" s="44">
        <f t="shared" si="188"/>
        <v>2.306</v>
      </c>
      <c r="AP2280" s="46">
        <f t="shared" si="189"/>
        <v>0.193</v>
      </c>
    </row>
    <row r="2281" spans="19:42" ht="18">
      <c r="S2281" s="8">
        <f t="shared" si="190"/>
        <v>0</v>
      </c>
      <c r="W2281" s="3">
        <v>2307</v>
      </c>
      <c r="X2281" s="30">
        <v>193.2</v>
      </c>
      <c r="Y2281" s="33">
        <f t="shared" si="187"/>
        <v>0.193</v>
      </c>
      <c r="AH2281" s="45">
        <f t="shared" si="191"/>
        <v>0</v>
      </c>
      <c r="AJ2281" s="44">
        <f t="shared" si="188"/>
        <v>2.3069999999999999</v>
      </c>
      <c r="AP2281" s="46">
        <f t="shared" si="189"/>
        <v>0.193</v>
      </c>
    </row>
    <row r="2282" spans="19:42" ht="18">
      <c r="S2282" s="8">
        <f t="shared" si="190"/>
        <v>0</v>
      </c>
      <c r="W2282" s="3">
        <v>2308</v>
      </c>
      <c r="X2282" s="30">
        <v>193.244</v>
      </c>
      <c r="Y2282" s="33">
        <f t="shared" si="187"/>
        <v>0.193</v>
      </c>
      <c r="AH2282" s="45">
        <f t="shared" si="191"/>
        <v>0</v>
      </c>
      <c r="AJ2282" s="44">
        <f t="shared" si="188"/>
        <v>2.3079999999999998</v>
      </c>
      <c r="AP2282" s="46">
        <f t="shared" si="189"/>
        <v>0.193</v>
      </c>
    </row>
    <row r="2283" spans="19:42" ht="18">
      <c r="S2283" s="8">
        <f t="shared" si="190"/>
        <v>0</v>
      </c>
      <c r="W2283" s="3">
        <v>2309</v>
      </c>
      <c r="X2283" s="30">
        <v>193.28899999999999</v>
      </c>
      <c r="Y2283" s="33">
        <f t="shared" si="187"/>
        <v>0.193</v>
      </c>
      <c r="AH2283" s="45">
        <f t="shared" si="191"/>
        <v>0</v>
      </c>
      <c r="AJ2283" s="44">
        <f t="shared" si="188"/>
        <v>2.3090000000000002</v>
      </c>
      <c r="AP2283" s="46">
        <f t="shared" si="189"/>
        <v>0.193</v>
      </c>
    </row>
    <row r="2284" spans="19:42" ht="18">
      <c r="S2284" s="8">
        <f t="shared" si="190"/>
        <v>0</v>
      </c>
      <c r="W2284" s="3">
        <v>2310</v>
      </c>
      <c r="X2284" s="30">
        <v>193.333</v>
      </c>
      <c r="Y2284" s="33">
        <f t="shared" si="187"/>
        <v>0.193</v>
      </c>
      <c r="AH2284" s="45">
        <f t="shared" si="191"/>
        <v>0</v>
      </c>
      <c r="AJ2284" s="44">
        <f t="shared" si="188"/>
        <v>2.31</v>
      </c>
      <c r="AP2284" s="46">
        <f t="shared" si="189"/>
        <v>0.193</v>
      </c>
    </row>
    <row r="2285" spans="19:42" ht="18">
      <c r="S2285" s="8">
        <f t="shared" si="190"/>
        <v>0</v>
      </c>
      <c r="W2285" s="3">
        <v>2311</v>
      </c>
      <c r="X2285" s="30">
        <v>193.37799999999999</v>
      </c>
      <c r="Y2285" s="33">
        <f t="shared" si="187"/>
        <v>0.193</v>
      </c>
      <c r="AH2285" s="45">
        <f t="shared" si="191"/>
        <v>0</v>
      </c>
      <c r="AJ2285" s="44">
        <f t="shared" si="188"/>
        <v>2.3109999999999999</v>
      </c>
      <c r="AP2285" s="46">
        <f t="shared" si="189"/>
        <v>0.193</v>
      </c>
    </row>
    <row r="2286" spans="19:42" ht="18">
      <c r="S2286" s="8">
        <f t="shared" si="190"/>
        <v>0</v>
      </c>
      <c r="W2286" s="3">
        <v>2312</v>
      </c>
      <c r="X2286" s="30">
        <v>193.422</v>
      </c>
      <c r="Y2286" s="33">
        <f t="shared" si="187"/>
        <v>0.193</v>
      </c>
      <c r="AH2286" s="45">
        <f t="shared" si="191"/>
        <v>0</v>
      </c>
      <c r="AJ2286" s="44">
        <f t="shared" si="188"/>
        <v>2.3119999999999998</v>
      </c>
      <c r="AP2286" s="46">
        <f t="shared" si="189"/>
        <v>0.193</v>
      </c>
    </row>
    <row r="2287" spans="19:42" ht="18">
      <c r="S2287" s="8">
        <f t="shared" si="190"/>
        <v>0</v>
      </c>
      <c r="W2287" s="3">
        <v>2313</v>
      </c>
      <c r="X2287" s="30">
        <v>193.46700000000001</v>
      </c>
      <c r="Y2287" s="33">
        <f t="shared" si="187"/>
        <v>0.193</v>
      </c>
      <c r="AH2287" s="45">
        <f t="shared" si="191"/>
        <v>0</v>
      </c>
      <c r="AJ2287" s="44">
        <f t="shared" si="188"/>
        <v>2.3130000000000002</v>
      </c>
      <c r="AP2287" s="46">
        <f t="shared" si="189"/>
        <v>0.193</v>
      </c>
    </row>
    <row r="2288" spans="19:42" ht="18">
      <c r="S2288" s="8">
        <f t="shared" si="190"/>
        <v>0</v>
      </c>
      <c r="W2288" s="3">
        <v>2314</v>
      </c>
      <c r="X2288" s="30">
        <v>193.511</v>
      </c>
      <c r="Y2288" s="33">
        <f t="shared" si="187"/>
        <v>0.19400000000000001</v>
      </c>
      <c r="AH2288" s="45">
        <f t="shared" si="191"/>
        <v>0</v>
      </c>
      <c r="AJ2288" s="44">
        <f t="shared" si="188"/>
        <v>2.3140000000000001</v>
      </c>
      <c r="AP2288" s="46">
        <f t="shared" si="189"/>
        <v>0.19400000000000001</v>
      </c>
    </row>
    <row r="2289" spans="19:42" ht="18">
      <c r="S2289" s="8">
        <f t="shared" si="190"/>
        <v>0</v>
      </c>
      <c r="W2289" s="3">
        <v>2315</v>
      </c>
      <c r="X2289" s="30">
        <v>193.55600000000001</v>
      </c>
      <c r="Y2289" s="33">
        <f t="shared" si="187"/>
        <v>0.19400000000000001</v>
      </c>
      <c r="AH2289" s="45">
        <f t="shared" si="191"/>
        <v>0</v>
      </c>
      <c r="AJ2289" s="44">
        <f t="shared" si="188"/>
        <v>2.3149999999999999</v>
      </c>
      <c r="AP2289" s="46">
        <f t="shared" si="189"/>
        <v>0.19400000000000001</v>
      </c>
    </row>
    <row r="2290" spans="19:42" ht="18">
      <c r="S2290" s="8">
        <f t="shared" si="190"/>
        <v>0</v>
      </c>
      <c r="W2290" s="3">
        <v>2316</v>
      </c>
      <c r="X2290" s="30">
        <v>193.6</v>
      </c>
      <c r="Y2290" s="33">
        <f t="shared" si="187"/>
        <v>0.19400000000000001</v>
      </c>
      <c r="AH2290" s="45">
        <f t="shared" si="191"/>
        <v>0</v>
      </c>
      <c r="AJ2290" s="44">
        <f t="shared" si="188"/>
        <v>2.3159999999999998</v>
      </c>
      <c r="AP2290" s="46">
        <f t="shared" si="189"/>
        <v>0.19400000000000001</v>
      </c>
    </row>
    <row r="2291" spans="19:42" ht="18">
      <c r="S2291" s="8">
        <f t="shared" si="190"/>
        <v>0</v>
      </c>
      <c r="W2291" s="3">
        <v>2317</v>
      </c>
      <c r="X2291" s="30">
        <v>193.64400000000001</v>
      </c>
      <c r="Y2291" s="33">
        <f t="shared" si="187"/>
        <v>0.19400000000000001</v>
      </c>
      <c r="AH2291" s="45">
        <f t="shared" si="191"/>
        <v>0</v>
      </c>
      <c r="AJ2291" s="44">
        <f t="shared" si="188"/>
        <v>2.3170000000000002</v>
      </c>
      <c r="AP2291" s="46">
        <f t="shared" si="189"/>
        <v>0.19400000000000001</v>
      </c>
    </row>
    <row r="2292" spans="19:42" ht="18">
      <c r="S2292" s="8">
        <f t="shared" si="190"/>
        <v>0</v>
      </c>
      <c r="W2292" s="3">
        <v>2318</v>
      </c>
      <c r="X2292" s="30">
        <v>193.68899999999999</v>
      </c>
      <c r="Y2292" s="33">
        <f t="shared" si="187"/>
        <v>0.19400000000000001</v>
      </c>
      <c r="AH2292" s="45">
        <f t="shared" si="191"/>
        <v>0</v>
      </c>
      <c r="AJ2292" s="44">
        <f t="shared" si="188"/>
        <v>2.3180000000000001</v>
      </c>
      <c r="AP2292" s="46">
        <f t="shared" si="189"/>
        <v>0.19400000000000001</v>
      </c>
    </row>
    <row r="2293" spans="19:42" ht="18">
      <c r="S2293" s="8">
        <f t="shared" si="190"/>
        <v>0</v>
      </c>
      <c r="W2293" s="3">
        <v>2319</v>
      </c>
      <c r="X2293" s="30">
        <v>193.733</v>
      </c>
      <c r="Y2293" s="33">
        <f t="shared" si="187"/>
        <v>0.19400000000000001</v>
      </c>
      <c r="AH2293" s="45">
        <f t="shared" si="191"/>
        <v>0</v>
      </c>
      <c r="AJ2293" s="44">
        <f t="shared" si="188"/>
        <v>2.319</v>
      </c>
      <c r="AP2293" s="46">
        <f t="shared" si="189"/>
        <v>0.19400000000000001</v>
      </c>
    </row>
    <row r="2294" spans="19:42" ht="18">
      <c r="S2294" s="8">
        <f t="shared" si="190"/>
        <v>0</v>
      </c>
      <c r="W2294" s="3">
        <v>2320</v>
      </c>
      <c r="X2294" s="30">
        <v>193.77799999999999</v>
      </c>
      <c r="Y2294" s="33">
        <f t="shared" si="187"/>
        <v>0.19400000000000001</v>
      </c>
      <c r="AH2294" s="45">
        <f t="shared" si="191"/>
        <v>0</v>
      </c>
      <c r="AJ2294" s="44">
        <f t="shared" si="188"/>
        <v>2.3199999999999998</v>
      </c>
      <c r="AP2294" s="46">
        <f t="shared" si="189"/>
        <v>0.19400000000000001</v>
      </c>
    </row>
    <row r="2295" spans="19:42" ht="18">
      <c r="S2295" s="8">
        <f t="shared" si="190"/>
        <v>0</v>
      </c>
      <c r="W2295" s="3">
        <v>2321</v>
      </c>
      <c r="X2295" s="30">
        <v>193.822</v>
      </c>
      <c r="Y2295" s="33">
        <f t="shared" si="187"/>
        <v>0.19400000000000001</v>
      </c>
      <c r="AH2295" s="45">
        <f t="shared" si="191"/>
        <v>0</v>
      </c>
      <c r="AJ2295" s="44">
        <f t="shared" si="188"/>
        <v>2.3210000000000002</v>
      </c>
      <c r="AP2295" s="46">
        <f t="shared" si="189"/>
        <v>0.19400000000000001</v>
      </c>
    </row>
    <row r="2296" spans="19:42" ht="18">
      <c r="S2296" s="8">
        <f t="shared" si="190"/>
        <v>0</v>
      </c>
      <c r="W2296" s="3">
        <v>2322</v>
      </c>
      <c r="X2296" s="30">
        <v>193.86699999999999</v>
      </c>
      <c r="Y2296" s="33">
        <f t="shared" si="187"/>
        <v>0.19400000000000001</v>
      </c>
      <c r="AH2296" s="45">
        <f t="shared" si="191"/>
        <v>0</v>
      </c>
      <c r="AJ2296" s="44">
        <f t="shared" si="188"/>
        <v>2.3220000000000001</v>
      </c>
      <c r="AP2296" s="46">
        <f t="shared" si="189"/>
        <v>0.19400000000000001</v>
      </c>
    </row>
    <row r="2297" spans="19:42" ht="18">
      <c r="S2297" s="8">
        <f t="shared" si="190"/>
        <v>0</v>
      </c>
      <c r="W2297" s="3">
        <v>2323</v>
      </c>
      <c r="X2297" s="30">
        <v>193.911</v>
      </c>
      <c r="Y2297" s="33">
        <f t="shared" si="187"/>
        <v>0.19400000000000001</v>
      </c>
      <c r="AH2297" s="45">
        <f t="shared" si="191"/>
        <v>0</v>
      </c>
      <c r="AJ2297" s="44">
        <f t="shared" si="188"/>
        <v>2.323</v>
      </c>
      <c r="AP2297" s="46">
        <f t="shared" si="189"/>
        <v>0.19400000000000001</v>
      </c>
    </row>
    <row r="2298" spans="19:42" ht="18">
      <c r="S2298" s="8">
        <f t="shared" si="190"/>
        <v>0</v>
      </c>
      <c r="W2298" s="3">
        <v>2324</v>
      </c>
      <c r="X2298" s="30">
        <v>193.95599999999999</v>
      </c>
      <c r="Y2298" s="33">
        <f t="shared" si="187"/>
        <v>0.19400000000000001</v>
      </c>
      <c r="AH2298" s="45">
        <f t="shared" si="191"/>
        <v>0</v>
      </c>
      <c r="AJ2298" s="44">
        <f t="shared" si="188"/>
        <v>2.3239999999999998</v>
      </c>
      <c r="AP2298" s="46">
        <f t="shared" si="189"/>
        <v>0.19400000000000001</v>
      </c>
    </row>
    <row r="2299" spans="19:42" ht="18">
      <c r="S2299" s="8">
        <f t="shared" si="190"/>
        <v>0</v>
      </c>
      <c r="W2299" s="3">
        <v>2325</v>
      </c>
      <c r="X2299" s="30">
        <v>194</v>
      </c>
      <c r="Y2299" s="33">
        <f t="shared" si="187"/>
        <v>0.19400000000000001</v>
      </c>
      <c r="AH2299" s="45">
        <f t="shared" si="191"/>
        <v>0</v>
      </c>
      <c r="AJ2299" s="44">
        <f t="shared" si="188"/>
        <v>2.3250000000000002</v>
      </c>
      <c r="AP2299" s="46">
        <f t="shared" si="189"/>
        <v>0.19400000000000001</v>
      </c>
    </row>
    <row r="2300" spans="19:42" ht="18">
      <c r="S2300" s="8">
        <f t="shared" si="190"/>
        <v>0</v>
      </c>
      <c r="W2300" s="3">
        <v>2326</v>
      </c>
      <c r="X2300" s="30">
        <v>194.04400000000001</v>
      </c>
      <c r="Y2300" s="33">
        <f t="shared" si="187"/>
        <v>0.19400000000000001</v>
      </c>
      <c r="AH2300" s="45">
        <f t="shared" si="191"/>
        <v>0</v>
      </c>
      <c r="AJ2300" s="44">
        <f t="shared" si="188"/>
        <v>2.3260000000000001</v>
      </c>
      <c r="AP2300" s="46">
        <f t="shared" si="189"/>
        <v>0.19400000000000001</v>
      </c>
    </row>
    <row r="2301" spans="19:42" ht="18">
      <c r="S2301" s="8">
        <f t="shared" si="190"/>
        <v>0</v>
      </c>
      <c r="W2301" s="3">
        <v>2327</v>
      </c>
      <c r="X2301" s="30">
        <v>194.089</v>
      </c>
      <c r="Y2301" s="33">
        <f t="shared" si="187"/>
        <v>0.19400000000000001</v>
      </c>
      <c r="AH2301" s="45">
        <f t="shared" si="191"/>
        <v>0</v>
      </c>
      <c r="AJ2301" s="44">
        <f t="shared" si="188"/>
        <v>2.327</v>
      </c>
      <c r="AP2301" s="46">
        <f t="shared" si="189"/>
        <v>0.19400000000000001</v>
      </c>
    </row>
    <row r="2302" spans="19:42" ht="18">
      <c r="S2302" s="8">
        <f t="shared" si="190"/>
        <v>0</v>
      </c>
      <c r="W2302" s="3">
        <v>2328</v>
      </c>
      <c r="X2302" s="30">
        <v>194.13300000000001</v>
      </c>
      <c r="Y2302" s="33">
        <f t="shared" si="187"/>
        <v>0.19400000000000001</v>
      </c>
      <c r="AH2302" s="45">
        <f t="shared" si="191"/>
        <v>0</v>
      </c>
      <c r="AJ2302" s="44">
        <f t="shared" si="188"/>
        <v>2.3279999999999998</v>
      </c>
      <c r="AP2302" s="46">
        <f t="shared" si="189"/>
        <v>0.19400000000000001</v>
      </c>
    </row>
    <row r="2303" spans="19:42" ht="18">
      <c r="S2303" s="8">
        <f t="shared" si="190"/>
        <v>0</v>
      </c>
      <c r="W2303" s="3">
        <v>2329</v>
      </c>
      <c r="X2303" s="30">
        <v>194.178</v>
      </c>
      <c r="Y2303" s="33">
        <f t="shared" si="187"/>
        <v>0.19400000000000001</v>
      </c>
      <c r="AH2303" s="45">
        <f t="shared" si="191"/>
        <v>0</v>
      </c>
      <c r="AJ2303" s="44">
        <f t="shared" si="188"/>
        <v>2.3290000000000002</v>
      </c>
      <c r="AP2303" s="46">
        <f t="shared" si="189"/>
        <v>0.19400000000000001</v>
      </c>
    </row>
    <row r="2304" spans="19:42" ht="18">
      <c r="S2304" s="8">
        <f t="shared" si="190"/>
        <v>0</v>
      </c>
      <c r="W2304" s="3">
        <v>2330</v>
      </c>
      <c r="X2304" s="30">
        <v>194.22200000000001</v>
      </c>
      <c r="Y2304" s="33">
        <f t="shared" si="187"/>
        <v>0.19400000000000001</v>
      </c>
      <c r="AH2304" s="45">
        <f t="shared" si="191"/>
        <v>0</v>
      </c>
      <c r="AJ2304" s="44">
        <f t="shared" si="188"/>
        <v>2.33</v>
      </c>
      <c r="AP2304" s="46">
        <f t="shared" si="189"/>
        <v>0.19400000000000001</v>
      </c>
    </row>
    <row r="2305" spans="19:42" ht="18">
      <c r="S2305" s="8">
        <f t="shared" si="190"/>
        <v>0</v>
      </c>
      <c r="W2305" s="3">
        <v>2331</v>
      </c>
      <c r="X2305" s="30">
        <v>194.267</v>
      </c>
      <c r="Y2305" s="33">
        <f t="shared" si="187"/>
        <v>0.19400000000000001</v>
      </c>
      <c r="AH2305" s="45">
        <f t="shared" si="191"/>
        <v>0</v>
      </c>
      <c r="AJ2305" s="44">
        <f t="shared" si="188"/>
        <v>2.331</v>
      </c>
      <c r="AP2305" s="46">
        <f t="shared" si="189"/>
        <v>0.19400000000000001</v>
      </c>
    </row>
    <row r="2306" spans="19:42" ht="18">
      <c r="S2306" s="8">
        <f t="shared" si="190"/>
        <v>0</v>
      </c>
      <c r="W2306" s="3">
        <v>2332</v>
      </c>
      <c r="X2306" s="30">
        <v>194.31100000000001</v>
      </c>
      <c r="Y2306" s="33">
        <f t="shared" si="187"/>
        <v>0.19400000000000001</v>
      </c>
      <c r="AH2306" s="45">
        <f t="shared" si="191"/>
        <v>0</v>
      </c>
      <c r="AJ2306" s="44">
        <f t="shared" si="188"/>
        <v>2.3319999999999999</v>
      </c>
      <c r="AP2306" s="46">
        <f t="shared" si="189"/>
        <v>0.19400000000000001</v>
      </c>
    </row>
    <row r="2307" spans="19:42" ht="18">
      <c r="S2307" s="8">
        <f t="shared" si="190"/>
        <v>0</v>
      </c>
      <c r="W2307" s="3">
        <v>2333</v>
      </c>
      <c r="X2307" s="30">
        <v>194.35599999999999</v>
      </c>
      <c r="Y2307" s="33">
        <f t="shared" si="187"/>
        <v>0.19400000000000001</v>
      </c>
      <c r="AH2307" s="45">
        <f t="shared" si="191"/>
        <v>0</v>
      </c>
      <c r="AJ2307" s="44">
        <f t="shared" si="188"/>
        <v>2.3330000000000002</v>
      </c>
      <c r="AP2307" s="46">
        <f t="shared" si="189"/>
        <v>0.19400000000000001</v>
      </c>
    </row>
    <row r="2308" spans="19:42" ht="18">
      <c r="S2308" s="8">
        <f t="shared" si="190"/>
        <v>0</v>
      </c>
      <c r="W2308" s="3">
        <v>2334</v>
      </c>
      <c r="X2308" s="30">
        <v>194.4</v>
      </c>
      <c r="Y2308" s="33">
        <f t="shared" si="187"/>
        <v>0.19400000000000001</v>
      </c>
      <c r="AH2308" s="45">
        <f t="shared" si="191"/>
        <v>0</v>
      </c>
      <c r="AJ2308" s="44">
        <f t="shared" si="188"/>
        <v>2.3340000000000001</v>
      </c>
      <c r="AP2308" s="46">
        <f t="shared" si="189"/>
        <v>0.19400000000000001</v>
      </c>
    </row>
    <row r="2309" spans="19:42" ht="18">
      <c r="S2309" s="8">
        <f t="shared" si="190"/>
        <v>0</v>
      </c>
      <c r="W2309" s="3">
        <v>2335</v>
      </c>
      <c r="X2309" s="30">
        <v>194.44399999999999</v>
      </c>
      <c r="Y2309" s="33">
        <f t="shared" ref="Y2309:Y2372" si="192">ROUND(X2309/1000,3)</f>
        <v>0.19400000000000001</v>
      </c>
      <c r="AH2309" s="45">
        <f t="shared" si="191"/>
        <v>0</v>
      </c>
      <c r="AJ2309" s="44">
        <f t="shared" ref="AJ2309:AJ2372" si="193">ROUND(W2309/1000,3)</f>
        <v>2.335</v>
      </c>
      <c r="AP2309" s="46">
        <f t="shared" ref="AP2309:AP2372" si="194">ROUND(X2309/1000,3)</f>
        <v>0.19400000000000001</v>
      </c>
    </row>
    <row r="2310" spans="19:42" ht="18">
      <c r="S2310" s="8">
        <f t="shared" ref="S2310:S2373" si="195">CEILING(R2310/50,0.5)</f>
        <v>0</v>
      </c>
      <c r="W2310" s="3">
        <v>2336</v>
      </c>
      <c r="X2310" s="30">
        <v>194.489</v>
      </c>
      <c r="Y2310" s="33">
        <f t="shared" si="192"/>
        <v>0.19400000000000001</v>
      </c>
      <c r="AH2310" s="45">
        <f t="shared" ref="AH2310:AH2373" si="196">AE2310-AE2309</f>
        <v>0</v>
      </c>
      <c r="AJ2310" s="44">
        <f t="shared" si="193"/>
        <v>2.3359999999999999</v>
      </c>
      <c r="AP2310" s="46">
        <f t="shared" si="194"/>
        <v>0.19400000000000001</v>
      </c>
    </row>
    <row r="2311" spans="19:42" ht="18">
      <c r="S2311" s="8">
        <f t="shared" si="195"/>
        <v>0</v>
      </c>
      <c r="W2311" s="3">
        <v>2337</v>
      </c>
      <c r="X2311" s="30">
        <v>194.53299999999999</v>
      </c>
      <c r="Y2311" s="33">
        <f t="shared" si="192"/>
        <v>0.19500000000000001</v>
      </c>
      <c r="AH2311" s="45">
        <f t="shared" si="196"/>
        <v>0</v>
      </c>
      <c r="AJ2311" s="44">
        <f t="shared" si="193"/>
        <v>2.3370000000000002</v>
      </c>
      <c r="AP2311" s="46">
        <f t="shared" si="194"/>
        <v>0.19500000000000001</v>
      </c>
    </row>
    <row r="2312" spans="19:42" ht="18">
      <c r="S2312" s="8">
        <f t="shared" si="195"/>
        <v>0</v>
      </c>
      <c r="W2312" s="3">
        <v>2338</v>
      </c>
      <c r="X2312" s="30">
        <v>194.578</v>
      </c>
      <c r="Y2312" s="33">
        <f t="shared" si="192"/>
        <v>0.19500000000000001</v>
      </c>
      <c r="AH2312" s="45">
        <f t="shared" si="196"/>
        <v>0</v>
      </c>
      <c r="AJ2312" s="44">
        <f t="shared" si="193"/>
        <v>2.3380000000000001</v>
      </c>
      <c r="AP2312" s="46">
        <f t="shared" si="194"/>
        <v>0.19500000000000001</v>
      </c>
    </row>
    <row r="2313" spans="19:42" ht="18">
      <c r="S2313" s="8">
        <f t="shared" si="195"/>
        <v>0</v>
      </c>
      <c r="W2313" s="3">
        <v>2339</v>
      </c>
      <c r="X2313" s="30">
        <v>194.62200000000001</v>
      </c>
      <c r="Y2313" s="33">
        <f t="shared" si="192"/>
        <v>0.19500000000000001</v>
      </c>
      <c r="AH2313" s="45">
        <f t="shared" si="196"/>
        <v>0</v>
      </c>
      <c r="AJ2313" s="44">
        <f t="shared" si="193"/>
        <v>2.339</v>
      </c>
      <c r="AP2313" s="46">
        <f t="shared" si="194"/>
        <v>0.19500000000000001</v>
      </c>
    </row>
    <row r="2314" spans="19:42" ht="18">
      <c r="S2314" s="8">
        <f t="shared" si="195"/>
        <v>0</v>
      </c>
      <c r="W2314" s="3">
        <v>2340</v>
      </c>
      <c r="X2314" s="30">
        <v>194.667</v>
      </c>
      <c r="Y2314" s="33">
        <f t="shared" si="192"/>
        <v>0.19500000000000001</v>
      </c>
      <c r="AH2314" s="45">
        <f t="shared" si="196"/>
        <v>0</v>
      </c>
      <c r="AJ2314" s="44">
        <f t="shared" si="193"/>
        <v>2.34</v>
      </c>
      <c r="AP2314" s="46">
        <f t="shared" si="194"/>
        <v>0.19500000000000001</v>
      </c>
    </row>
    <row r="2315" spans="19:42" ht="18">
      <c r="S2315" s="8">
        <f t="shared" si="195"/>
        <v>0</v>
      </c>
      <c r="W2315" s="3">
        <v>2341</v>
      </c>
      <c r="X2315" s="30">
        <v>194.71100000000001</v>
      </c>
      <c r="Y2315" s="33">
        <f t="shared" si="192"/>
        <v>0.19500000000000001</v>
      </c>
      <c r="AH2315" s="45">
        <f t="shared" si="196"/>
        <v>0</v>
      </c>
      <c r="AJ2315" s="44">
        <f t="shared" si="193"/>
        <v>2.3410000000000002</v>
      </c>
      <c r="AP2315" s="46">
        <f t="shared" si="194"/>
        <v>0.19500000000000001</v>
      </c>
    </row>
    <row r="2316" spans="19:42" ht="18">
      <c r="S2316" s="8">
        <f t="shared" si="195"/>
        <v>0</v>
      </c>
      <c r="W2316" s="3">
        <v>2342</v>
      </c>
      <c r="X2316" s="30">
        <v>194.756</v>
      </c>
      <c r="Y2316" s="33">
        <f t="shared" si="192"/>
        <v>0.19500000000000001</v>
      </c>
      <c r="AH2316" s="45">
        <f t="shared" si="196"/>
        <v>0</v>
      </c>
      <c r="AJ2316" s="44">
        <f t="shared" si="193"/>
        <v>2.3420000000000001</v>
      </c>
      <c r="AP2316" s="46">
        <f t="shared" si="194"/>
        <v>0.19500000000000001</v>
      </c>
    </row>
    <row r="2317" spans="19:42" ht="18">
      <c r="S2317" s="8">
        <f t="shared" si="195"/>
        <v>0</v>
      </c>
      <c r="W2317" s="3">
        <v>2343</v>
      </c>
      <c r="X2317" s="30">
        <v>194.8</v>
      </c>
      <c r="Y2317" s="33">
        <f t="shared" si="192"/>
        <v>0.19500000000000001</v>
      </c>
      <c r="AH2317" s="45">
        <f t="shared" si="196"/>
        <v>0</v>
      </c>
      <c r="AJ2317" s="44">
        <f t="shared" si="193"/>
        <v>2.343</v>
      </c>
      <c r="AP2317" s="46">
        <f t="shared" si="194"/>
        <v>0.19500000000000001</v>
      </c>
    </row>
    <row r="2318" spans="19:42" ht="18">
      <c r="S2318" s="8">
        <f t="shared" si="195"/>
        <v>0</v>
      </c>
      <c r="W2318" s="3">
        <v>2344</v>
      </c>
      <c r="X2318" s="30">
        <v>194.84399999999999</v>
      </c>
      <c r="Y2318" s="33">
        <f t="shared" si="192"/>
        <v>0.19500000000000001</v>
      </c>
      <c r="AH2318" s="45">
        <f t="shared" si="196"/>
        <v>0</v>
      </c>
      <c r="AJ2318" s="44">
        <f t="shared" si="193"/>
        <v>2.3439999999999999</v>
      </c>
      <c r="AP2318" s="46">
        <f t="shared" si="194"/>
        <v>0.19500000000000001</v>
      </c>
    </row>
    <row r="2319" spans="19:42" ht="18">
      <c r="S2319" s="8">
        <f t="shared" si="195"/>
        <v>0</v>
      </c>
      <c r="W2319" s="3">
        <v>2345</v>
      </c>
      <c r="X2319" s="30">
        <v>194.88900000000001</v>
      </c>
      <c r="Y2319" s="33">
        <f t="shared" si="192"/>
        <v>0.19500000000000001</v>
      </c>
      <c r="AH2319" s="45">
        <f t="shared" si="196"/>
        <v>0</v>
      </c>
      <c r="AJ2319" s="44">
        <f t="shared" si="193"/>
        <v>2.3450000000000002</v>
      </c>
      <c r="AP2319" s="46">
        <f t="shared" si="194"/>
        <v>0.19500000000000001</v>
      </c>
    </row>
    <row r="2320" spans="19:42" ht="18">
      <c r="S2320" s="8">
        <f t="shared" si="195"/>
        <v>0</v>
      </c>
      <c r="W2320" s="3">
        <v>2346</v>
      </c>
      <c r="X2320" s="30">
        <v>194.93299999999999</v>
      </c>
      <c r="Y2320" s="33">
        <f t="shared" si="192"/>
        <v>0.19500000000000001</v>
      </c>
      <c r="AH2320" s="45">
        <f t="shared" si="196"/>
        <v>0</v>
      </c>
      <c r="AJ2320" s="44">
        <f t="shared" si="193"/>
        <v>2.3460000000000001</v>
      </c>
      <c r="AP2320" s="46">
        <f t="shared" si="194"/>
        <v>0.19500000000000001</v>
      </c>
    </row>
    <row r="2321" spans="19:42" ht="18">
      <c r="S2321" s="8">
        <f t="shared" si="195"/>
        <v>0</v>
      </c>
      <c r="W2321" s="3">
        <v>2347</v>
      </c>
      <c r="X2321" s="30">
        <v>194.97800000000001</v>
      </c>
      <c r="Y2321" s="33">
        <f t="shared" si="192"/>
        <v>0.19500000000000001</v>
      </c>
      <c r="AH2321" s="45">
        <f t="shared" si="196"/>
        <v>0</v>
      </c>
      <c r="AJ2321" s="44">
        <f t="shared" si="193"/>
        <v>2.347</v>
      </c>
      <c r="AP2321" s="46">
        <f t="shared" si="194"/>
        <v>0.19500000000000001</v>
      </c>
    </row>
    <row r="2322" spans="19:42" ht="18">
      <c r="S2322" s="8">
        <f t="shared" si="195"/>
        <v>0</v>
      </c>
      <c r="W2322" s="3">
        <v>2348</v>
      </c>
      <c r="X2322" s="30">
        <v>195.02199999999999</v>
      </c>
      <c r="Y2322" s="33">
        <f t="shared" si="192"/>
        <v>0.19500000000000001</v>
      </c>
      <c r="AH2322" s="45">
        <f t="shared" si="196"/>
        <v>0</v>
      </c>
      <c r="AJ2322" s="44">
        <f t="shared" si="193"/>
        <v>2.3479999999999999</v>
      </c>
      <c r="AP2322" s="46">
        <f t="shared" si="194"/>
        <v>0.19500000000000001</v>
      </c>
    </row>
    <row r="2323" spans="19:42" ht="18">
      <c r="S2323" s="8">
        <f t="shared" si="195"/>
        <v>0</v>
      </c>
      <c r="W2323" s="3">
        <v>2349</v>
      </c>
      <c r="X2323" s="30">
        <v>195.06700000000001</v>
      </c>
      <c r="Y2323" s="33">
        <f t="shared" si="192"/>
        <v>0.19500000000000001</v>
      </c>
      <c r="AH2323" s="45">
        <f t="shared" si="196"/>
        <v>0</v>
      </c>
      <c r="AJ2323" s="44">
        <f t="shared" si="193"/>
        <v>2.3490000000000002</v>
      </c>
      <c r="AP2323" s="46">
        <f t="shared" si="194"/>
        <v>0.19500000000000001</v>
      </c>
    </row>
    <row r="2324" spans="19:42" ht="18">
      <c r="S2324" s="8">
        <f t="shared" si="195"/>
        <v>0</v>
      </c>
      <c r="W2324" s="3">
        <v>2350</v>
      </c>
      <c r="X2324" s="30">
        <v>195.11099999999999</v>
      </c>
      <c r="Y2324" s="33">
        <f t="shared" si="192"/>
        <v>0.19500000000000001</v>
      </c>
      <c r="AH2324" s="45">
        <f t="shared" si="196"/>
        <v>0</v>
      </c>
      <c r="AJ2324" s="44">
        <f t="shared" si="193"/>
        <v>2.35</v>
      </c>
      <c r="AP2324" s="46">
        <f t="shared" si="194"/>
        <v>0.19500000000000001</v>
      </c>
    </row>
    <row r="2325" spans="19:42" ht="18">
      <c r="S2325" s="8">
        <f t="shared" si="195"/>
        <v>0</v>
      </c>
      <c r="W2325" s="3">
        <v>2351</v>
      </c>
      <c r="X2325" s="30">
        <v>195.15600000000001</v>
      </c>
      <c r="Y2325" s="33">
        <f t="shared" si="192"/>
        <v>0.19500000000000001</v>
      </c>
      <c r="AH2325" s="45">
        <f t="shared" si="196"/>
        <v>0</v>
      </c>
      <c r="AJ2325" s="44">
        <f t="shared" si="193"/>
        <v>2.351</v>
      </c>
      <c r="AP2325" s="46">
        <f t="shared" si="194"/>
        <v>0.19500000000000001</v>
      </c>
    </row>
    <row r="2326" spans="19:42" ht="18">
      <c r="S2326" s="8">
        <f t="shared" si="195"/>
        <v>0</v>
      </c>
      <c r="W2326" s="3">
        <v>2352</v>
      </c>
      <c r="X2326" s="30">
        <v>195.2</v>
      </c>
      <c r="Y2326" s="33">
        <f t="shared" si="192"/>
        <v>0.19500000000000001</v>
      </c>
      <c r="AH2326" s="45">
        <f t="shared" si="196"/>
        <v>0</v>
      </c>
      <c r="AJ2326" s="44">
        <f t="shared" si="193"/>
        <v>2.3519999999999999</v>
      </c>
      <c r="AP2326" s="46">
        <f t="shared" si="194"/>
        <v>0.19500000000000001</v>
      </c>
    </row>
    <row r="2327" spans="19:42" ht="18">
      <c r="S2327" s="8">
        <f t="shared" si="195"/>
        <v>0</v>
      </c>
      <c r="W2327" s="3">
        <v>2353</v>
      </c>
      <c r="X2327" s="30">
        <v>195.244</v>
      </c>
      <c r="Y2327" s="33">
        <f t="shared" si="192"/>
        <v>0.19500000000000001</v>
      </c>
      <c r="AH2327" s="45">
        <f t="shared" si="196"/>
        <v>0</v>
      </c>
      <c r="AJ2327" s="44">
        <f t="shared" si="193"/>
        <v>2.3530000000000002</v>
      </c>
      <c r="AP2327" s="46">
        <f t="shared" si="194"/>
        <v>0.19500000000000001</v>
      </c>
    </row>
    <row r="2328" spans="19:42" ht="18">
      <c r="S2328" s="8">
        <f t="shared" si="195"/>
        <v>0</v>
      </c>
      <c r="W2328" s="3">
        <v>2354</v>
      </c>
      <c r="X2328" s="30">
        <v>195.28899999999999</v>
      </c>
      <c r="Y2328" s="33">
        <f t="shared" si="192"/>
        <v>0.19500000000000001</v>
      </c>
      <c r="AH2328" s="45">
        <f t="shared" si="196"/>
        <v>0</v>
      </c>
      <c r="AJ2328" s="44">
        <f t="shared" si="193"/>
        <v>2.3540000000000001</v>
      </c>
      <c r="AP2328" s="46">
        <f t="shared" si="194"/>
        <v>0.19500000000000001</v>
      </c>
    </row>
    <row r="2329" spans="19:42" ht="18">
      <c r="S2329" s="8">
        <f t="shared" si="195"/>
        <v>0</v>
      </c>
      <c r="W2329" s="3">
        <v>2355</v>
      </c>
      <c r="X2329" s="30">
        <v>195.333</v>
      </c>
      <c r="Y2329" s="33">
        <f t="shared" si="192"/>
        <v>0.19500000000000001</v>
      </c>
      <c r="AH2329" s="45">
        <f t="shared" si="196"/>
        <v>0</v>
      </c>
      <c r="AJ2329" s="44">
        <f t="shared" si="193"/>
        <v>2.355</v>
      </c>
      <c r="AP2329" s="46">
        <f t="shared" si="194"/>
        <v>0.19500000000000001</v>
      </c>
    </row>
    <row r="2330" spans="19:42" ht="18">
      <c r="S2330" s="8">
        <f t="shared" si="195"/>
        <v>0</v>
      </c>
      <c r="W2330" s="3">
        <v>2356</v>
      </c>
      <c r="X2330" s="30">
        <v>195.37799999999999</v>
      </c>
      <c r="Y2330" s="33">
        <f t="shared" si="192"/>
        <v>0.19500000000000001</v>
      </c>
      <c r="AH2330" s="45">
        <f t="shared" si="196"/>
        <v>0</v>
      </c>
      <c r="AJ2330" s="44">
        <f t="shared" si="193"/>
        <v>2.3559999999999999</v>
      </c>
      <c r="AP2330" s="46">
        <f t="shared" si="194"/>
        <v>0.19500000000000001</v>
      </c>
    </row>
    <row r="2331" spans="19:42" ht="18">
      <c r="S2331" s="8">
        <f t="shared" si="195"/>
        <v>0</v>
      </c>
      <c r="W2331" s="3">
        <v>2357</v>
      </c>
      <c r="X2331" s="30">
        <v>195.422</v>
      </c>
      <c r="Y2331" s="33">
        <f t="shared" si="192"/>
        <v>0.19500000000000001</v>
      </c>
      <c r="AH2331" s="45">
        <f t="shared" si="196"/>
        <v>0</v>
      </c>
      <c r="AJ2331" s="44">
        <f t="shared" si="193"/>
        <v>2.3570000000000002</v>
      </c>
      <c r="AP2331" s="46">
        <f t="shared" si="194"/>
        <v>0.19500000000000001</v>
      </c>
    </row>
    <row r="2332" spans="19:42" ht="18">
      <c r="S2332" s="8">
        <f t="shared" si="195"/>
        <v>0</v>
      </c>
      <c r="W2332" s="3">
        <v>2358</v>
      </c>
      <c r="X2332" s="30">
        <v>195.46700000000001</v>
      </c>
      <c r="Y2332" s="33">
        <f t="shared" si="192"/>
        <v>0.19500000000000001</v>
      </c>
      <c r="AH2332" s="45">
        <f t="shared" si="196"/>
        <v>0</v>
      </c>
      <c r="AJ2332" s="44">
        <f t="shared" si="193"/>
        <v>2.3580000000000001</v>
      </c>
      <c r="AP2332" s="46">
        <f t="shared" si="194"/>
        <v>0.19500000000000001</v>
      </c>
    </row>
    <row r="2333" spans="19:42" ht="18">
      <c r="S2333" s="8">
        <f t="shared" si="195"/>
        <v>0</v>
      </c>
      <c r="W2333" s="3">
        <v>2359</v>
      </c>
      <c r="X2333" s="30">
        <v>195.511</v>
      </c>
      <c r="Y2333" s="33">
        <f t="shared" si="192"/>
        <v>0.19600000000000001</v>
      </c>
      <c r="AH2333" s="45">
        <f t="shared" si="196"/>
        <v>0</v>
      </c>
      <c r="AJ2333" s="44">
        <f t="shared" si="193"/>
        <v>2.359</v>
      </c>
      <c r="AP2333" s="46">
        <f t="shared" si="194"/>
        <v>0.19600000000000001</v>
      </c>
    </row>
    <row r="2334" spans="19:42" ht="18">
      <c r="S2334" s="8">
        <f t="shared" si="195"/>
        <v>0</v>
      </c>
      <c r="W2334" s="3">
        <v>2360</v>
      </c>
      <c r="X2334" s="30">
        <v>195.55600000000001</v>
      </c>
      <c r="Y2334" s="33">
        <f t="shared" si="192"/>
        <v>0.19600000000000001</v>
      </c>
      <c r="AH2334" s="45">
        <f t="shared" si="196"/>
        <v>0</v>
      </c>
      <c r="AJ2334" s="44">
        <f t="shared" si="193"/>
        <v>2.36</v>
      </c>
      <c r="AP2334" s="46">
        <f t="shared" si="194"/>
        <v>0.19600000000000001</v>
      </c>
    </row>
    <row r="2335" spans="19:42" ht="18">
      <c r="S2335" s="8">
        <f t="shared" si="195"/>
        <v>0</v>
      </c>
      <c r="W2335" s="3">
        <v>2361</v>
      </c>
      <c r="X2335" s="30">
        <v>195.6</v>
      </c>
      <c r="Y2335" s="33">
        <f t="shared" si="192"/>
        <v>0.19600000000000001</v>
      </c>
      <c r="AH2335" s="45">
        <f t="shared" si="196"/>
        <v>0</v>
      </c>
      <c r="AJ2335" s="44">
        <f t="shared" si="193"/>
        <v>2.3610000000000002</v>
      </c>
      <c r="AP2335" s="46">
        <f t="shared" si="194"/>
        <v>0.19600000000000001</v>
      </c>
    </row>
    <row r="2336" spans="19:42" ht="18">
      <c r="S2336" s="8">
        <f t="shared" si="195"/>
        <v>0</v>
      </c>
      <c r="W2336" s="3">
        <v>2362</v>
      </c>
      <c r="X2336" s="30">
        <v>195.64400000000001</v>
      </c>
      <c r="Y2336" s="33">
        <f t="shared" si="192"/>
        <v>0.19600000000000001</v>
      </c>
      <c r="AH2336" s="45">
        <f t="shared" si="196"/>
        <v>0</v>
      </c>
      <c r="AJ2336" s="44">
        <f t="shared" si="193"/>
        <v>2.3620000000000001</v>
      </c>
      <c r="AP2336" s="46">
        <f t="shared" si="194"/>
        <v>0.19600000000000001</v>
      </c>
    </row>
    <row r="2337" spans="19:42" ht="18">
      <c r="S2337" s="8">
        <f t="shared" si="195"/>
        <v>0</v>
      </c>
      <c r="W2337" s="3">
        <v>2363</v>
      </c>
      <c r="X2337" s="30">
        <v>195.68899999999999</v>
      </c>
      <c r="Y2337" s="33">
        <f t="shared" si="192"/>
        <v>0.19600000000000001</v>
      </c>
      <c r="AH2337" s="45">
        <f t="shared" si="196"/>
        <v>0</v>
      </c>
      <c r="AJ2337" s="44">
        <f t="shared" si="193"/>
        <v>2.363</v>
      </c>
      <c r="AP2337" s="46">
        <f t="shared" si="194"/>
        <v>0.19600000000000001</v>
      </c>
    </row>
    <row r="2338" spans="19:42" ht="18">
      <c r="S2338" s="8">
        <f t="shared" si="195"/>
        <v>0</v>
      </c>
      <c r="W2338" s="3">
        <v>2364</v>
      </c>
      <c r="X2338" s="30">
        <v>195.733</v>
      </c>
      <c r="Y2338" s="33">
        <f t="shared" si="192"/>
        <v>0.19600000000000001</v>
      </c>
      <c r="AH2338" s="45">
        <f t="shared" si="196"/>
        <v>0</v>
      </c>
      <c r="AJ2338" s="44">
        <f t="shared" si="193"/>
        <v>2.3639999999999999</v>
      </c>
      <c r="AP2338" s="46">
        <f t="shared" si="194"/>
        <v>0.19600000000000001</v>
      </c>
    </row>
    <row r="2339" spans="19:42" ht="18">
      <c r="S2339" s="8">
        <f t="shared" si="195"/>
        <v>0</v>
      </c>
      <c r="W2339" s="3">
        <v>2365</v>
      </c>
      <c r="X2339" s="30">
        <v>195.77799999999999</v>
      </c>
      <c r="Y2339" s="33">
        <f t="shared" si="192"/>
        <v>0.19600000000000001</v>
      </c>
      <c r="AH2339" s="45">
        <f t="shared" si="196"/>
        <v>0</v>
      </c>
      <c r="AJ2339" s="44">
        <f t="shared" si="193"/>
        <v>2.3650000000000002</v>
      </c>
      <c r="AP2339" s="46">
        <f t="shared" si="194"/>
        <v>0.19600000000000001</v>
      </c>
    </row>
    <row r="2340" spans="19:42" ht="18">
      <c r="S2340" s="8">
        <f t="shared" si="195"/>
        <v>0</v>
      </c>
      <c r="W2340" s="3">
        <v>2366</v>
      </c>
      <c r="X2340" s="30">
        <v>195.822</v>
      </c>
      <c r="Y2340" s="33">
        <f t="shared" si="192"/>
        <v>0.19600000000000001</v>
      </c>
      <c r="AH2340" s="45">
        <f t="shared" si="196"/>
        <v>0</v>
      </c>
      <c r="AJ2340" s="44">
        <f t="shared" si="193"/>
        <v>2.3660000000000001</v>
      </c>
      <c r="AP2340" s="46">
        <f t="shared" si="194"/>
        <v>0.19600000000000001</v>
      </c>
    </row>
    <row r="2341" spans="19:42" ht="18">
      <c r="S2341" s="8">
        <f t="shared" si="195"/>
        <v>0</v>
      </c>
      <c r="W2341" s="3">
        <v>2367</v>
      </c>
      <c r="X2341" s="30">
        <v>195.86699999999999</v>
      </c>
      <c r="Y2341" s="33">
        <f t="shared" si="192"/>
        <v>0.19600000000000001</v>
      </c>
      <c r="AH2341" s="45">
        <f t="shared" si="196"/>
        <v>0</v>
      </c>
      <c r="AJ2341" s="44">
        <f t="shared" si="193"/>
        <v>2.367</v>
      </c>
      <c r="AP2341" s="46">
        <f t="shared" si="194"/>
        <v>0.19600000000000001</v>
      </c>
    </row>
    <row r="2342" spans="19:42" ht="18">
      <c r="S2342" s="8">
        <f t="shared" si="195"/>
        <v>0</v>
      </c>
      <c r="W2342" s="3">
        <v>2368</v>
      </c>
      <c r="X2342" s="30">
        <v>195.911</v>
      </c>
      <c r="Y2342" s="33">
        <f t="shared" si="192"/>
        <v>0.19600000000000001</v>
      </c>
      <c r="AH2342" s="45">
        <f t="shared" si="196"/>
        <v>0</v>
      </c>
      <c r="AJ2342" s="44">
        <f t="shared" si="193"/>
        <v>2.3679999999999999</v>
      </c>
      <c r="AP2342" s="46">
        <f t="shared" si="194"/>
        <v>0.19600000000000001</v>
      </c>
    </row>
    <row r="2343" spans="19:42" ht="18">
      <c r="S2343" s="8">
        <f t="shared" si="195"/>
        <v>0</v>
      </c>
      <c r="W2343" s="3">
        <v>2369</v>
      </c>
      <c r="X2343" s="30">
        <v>195.95599999999999</v>
      </c>
      <c r="Y2343" s="33">
        <f t="shared" si="192"/>
        <v>0.19600000000000001</v>
      </c>
      <c r="AH2343" s="45">
        <f t="shared" si="196"/>
        <v>0</v>
      </c>
      <c r="AJ2343" s="44">
        <f t="shared" si="193"/>
        <v>2.3690000000000002</v>
      </c>
      <c r="AP2343" s="46">
        <f t="shared" si="194"/>
        <v>0.19600000000000001</v>
      </c>
    </row>
    <row r="2344" spans="19:42" ht="18">
      <c r="S2344" s="8">
        <f t="shared" si="195"/>
        <v>0</v>
      </c>
      <c r="W2344" s="3">
        <v>2370</v>
      </c>
      <c r="X2344" s="30">
        <v>196</v>
      </c>
      <c r="Y2344" s="33">
        <f t="shared" si="192"/>
        <v>0.19600000000000001</v>
      </c>
      <c r="AH2344" s="45">
        <f t="shared" si="196"/>
        <v>0</v>
      </c>
      <c r="AJ2344" s="44">
        <f t="shared" si="193"/>
        <v>2.37</v>
      </c>
      <c r="AP2344" s="46">
        <f t="shared" si="194"/>
        <v>0.19600000000000001</v>
      </c>
    </row>
    <row r="2345" spans="19:42" ht="18">
      <c r="S2345" s="8">
        <f t="shared" si="195"/>
        <v>0</v>
      </c>
      <c r="W2345" s="3">
        <v>2371</v>
      </c>
      <c r="X2345" s="30">
        <v>196.03800000000001</v>
      </c>
      <c r="Y2345" s="33">
        <f t="shared" si="192"/>
        <v>0.19600000000000001</v>
      </c>
      <c r="AH2345" s="45">
        <f t="shared" si="196"/>
        <v>0</v>
      </c>
      <c r="AJ2345" s="44">
        <f t="shared" si="193"/>
        <v>2.371</v>
      </c>
      <c r="AP2345" s="46">
        <f t="shared" si="194"/>
        <v>0.19600000000000001</v>
      </c>
    </row>
    <row r="2346" spans="19:42" ht="18">
      <c r="S2346" s="8">
        <f t="shared" si="195"/>
        <v>0</v>
      </c>
      <c r="W2346" s="3">
        <v>2372</v>
      </c>
      <c r="X2346" s="30">
        <v>196.07499999999999</v>
      </c>
      <c r="Y2346" s="33">
        <f t="shared" si="192"/>
        <v>0.19600000000000001</v>
      </c>
      <c r="AH2346" s="45">
        <f t="shared" si="196"/>
        <v>0</v>
      </c>
      <c r="AJ2346" s="44">
        <f t="shared" si="193"/>
        <v>2.3719999999999999</v>
      </c>
      <c r="AP2346" s="46">
        <f t="shared" si="194"/>
        <v>0.19600000000000001</v>
      </c>
    </row>
    <row r="2347" spans="19:42" ht="18">
      <c r="S2347" s="8">
        <f t="shared" si="195"/>
        <v>0</v>
      </c>
      <c r="W2347" s="3">
        <v>2373</v>
      </c>
      <c r="X2347" s="30">
        <v>196.113</v>
      </c>
      <c r="Y2347" s="33">
        <f t="shared" si="192"/>
        <v>0.19600000000000001</v>
      </c>
      <c r="AH2347" s="45">
        <f t="shared" si="196"/>
        <v>0</v>
      </c>
      <c r="AJ2347" s="44">
        <f t="shared" si="193"/>
        <v>2.3730000000000002</v>
      </c>
      <c r="AP2347" s="46">
        <f t="shared" si="194"/>
        <v>0.19600000000000001</v>
      </c>
    </row>
    <row r="2348" spans="19:42" ht="18">
      <c r="S2348" s="8">
        <f t="shared" si="195"/>
        <v>0</v>
      </c>
      <c r="W2348" s="3">
        <v>2374</v>
      </c>
      <c r="X2348" s="30">
        <v>196.15</v>
      </c>
      <c r="Y2348" s="33">
        <f t="shared" si="192"/>
        <v>0.19600000000000001</v>
      </c>
      <c r="AH2348" s="45">
        <f t="shared" si="196"/>
        <v>0</v>
      </c>
      <c r="AJ2348" s="44">
        <f t="shared" si="193"/>
        <v>2.3740000000000001</v>
      </c>
      <c r="AP2348" s="46">
        <f t="shared" si="194"/>
        <v>0.19600000000000001</v>
      </c>
    </row>
    <row r="2349" spans="19:42" ht="18">
      <c r="S2349" s="8">
        <f t="shared" si="195"/>
        <v>0</v>
      </c>
      <c r="W2349" s="3">
        <v>2375</v>
      </c>
      <c r="X2349" s="30">
        <v>196.18799999999999</v>
      </c>
      <c r="Y2349" s="33">
        <f t="shared" si="192"/>
        <v>0.19600000000000001</v>
      </c>
      <c r="AH2349" s="45">
        <f t="shared" si="196"/>
        <v>0</v>
      </c>
      <c r="AJ2349" s="44">
        <f t="shared" si="193"/>
        <v>2.375</v>
      </c>
      <c r="AP2349" s="46">
        <f t="shared" si="194"/>
        <v>0.19600000000000001</v>
      </c>
    </row>
    <row r="2350" spans="19:42" ht="18">
      <c r="S2350" s="8">
        <f t="shared" si="195"/>
        <v>0</v>
      </c>
      <c r="W2350" s="3">
        <v>2376</v>
      </c>
      <c r="X2350" s="30">
        <v>196.22499999999999</v>
      </c>
      <c r="Y2350" s="33">
        <f t="shared" si="192"/>
        <v>0.19600000000000001</v>
      </c>
      <c r="AH2350" s="45">
        <f t="shared" si="196"/>
        <v>0</v>
      </c>
      <c r="AJ2350" s="44">
        <f t="shared" si="193"/>
        <v>2.3759999999999999</v>
      </c>
      <c r="AP2350" s="46">
        <f t="shared" si="194"/>
        <v>0.19600000000000001</v>
      </c>
    </row>
    <row r="2351" spans="19:42" ht="18">
      <c r="S2351" s="8">
        <f t="shared" si="195"/>
        <v>0</v>
      </c>
      <c r="W2351" s="3">
        <v>2377</v>
      </c>
      <c r="X2351" s="30">
        <v>196.26300000000001</v>
      </c>
      <c r="Y2351" s="33">
        <f t="shared" si="192"/>
        <v>0.19600000000000001</v>
      </c>
      <c r="AH2351" s="45">
        <f t="shared" si="196"/>
        <v>0</v>
      </c>
      <c r="AJ2351" s="44">
        <f t="shared" si="193"/>
        <v>2.3769999999999998</v>
      </c>
      <c r="AP2351" s="46">
        <f t="shared" si="194"/>
        <v>0.19600000000000001</v>
      </c>
    </row>
    <row r="2352" spans="19:42" ht="18">
      <c r="S2352" s="8">
        <f t="shared" si="195"/>
        <v>0</v>
      </c>
      <c r="W2352" s="3">
        <v>2378</v>
      </c>
      <c r="X2352" s="30">
        <v>196.3</v>
      </c>
      <c r="Y2352" s="33">
        <f t="shared" si="192"/>
        <v>0.19600000000000001</v>
      </c>
      <c r="AH2352" s="45">
        <f t="shared" si="196"/>
        <v>0</v>
      </c>
      <c r="AJ2352" s="44">
        <f t="shared" si="193"/>
        <v>2.3780000000000001</v>
      </c>
      <c r="AP2352" s="46">
        <f t="shared" si="194"/>
        <v>0.19600000000000001</v>
      </c>
    </row>
    <row r="2353" spans="19:42" ht="18">
      <c r="S2353" s="8">
        <f t="shared" si="195"/>
        <v>0</v>
      </c>
      <c r="W2353" s="3">
        <v>2379</v>
      </c>
      <c r="X2353" s="30">
        <v>196.33799999999999</v>
      </c>
      <c r="Y2353" s="33">
        <f t="shared" si="192"/>
        <v>0.19600000000000001</v>
      </c>
      <c r="AH2353" s="45">
        <f t="shared" si="196"/>
        <v>0</v>
      </c>
      <c r="AJ2353" s="44">
        <f t="shared" si="193"/>
        <v>2.379</v>
      </c>
      <c r="AP2353" s="46">
        <f t="shared" si="194"/>
        <v>0.19600000000000001</v>
      </c>
    </row>
    <row r="2354" spans="19:42" ht="18">
      <c r="S2354" s="8">
        <f t="shared" si="195"/>
        <v>0</v>
      </c>
      <c r="W2354" s="3">
        <v>2380</v>
      </c>
      <c r="X2354" s="30">
        <v>196.375</v>
      </c>
      <c r="Y2354" s="33">
        <f t="shared" si="192"/>
        <v>0.19600000000000001</v>
      </c>
      <c r="AH2354" s="45">
        <f t="shared" si="196"/>
        <v>0</v>
      </c>
      <c r="AJ2354" s="44">
        <f t="shared" si="193"/>
        <v>2.38</v>
      </c>
      <c r="AP2354" s="46">
        <f t="shared" si="194"/>
        <v>0.19600000000000001</v>
      </c>
    </row>
    <row r="2355" spans="19:42" ht="18">
      <c r="S2355" s="8">
        <f t="shared" si="195"/>
        <v>0</v>
      </c>
      <c r="W2355" s="3">
        <v>2381</v>
      </c>
      <c r="X2355" s="30">
        <v>196.41300000000001</v>
      </c>
      <c r="Y2355" s="33">
        <f t="shared" si="192"/>
        <v>0.19600000000000001</v>
      </c>
      <c r="AH2355" s="45">
        <f t="shared" si="196"/>
        <v>0</v>
      </c>
      <c r="AJ2355" s="44">
        <f t="shared" si="193"/>
        <v>2.3809999999999998</v>
      </c>
      <c r="AP2355" s="46">
        <f t="shared" si="194"/>
        <v>0.19600000000000001</v>
      </c>
    </row>
    <row r="2356" spans="19:42" ht="18">
      <c r="S2356" s="8">
        <f t="shared" si="195"/>
        <v>0</v>
      </c>
      <c r="W2356" s="3">
        <v>2382</v>
      </c>
      <c r="X2356" s="30">
        <v>196.45</v>
      </c>
      <c r="Y2356" s="33">
        <f t="shared" si="192"/>
        <v>0.19600000000000001</v>
      </c>
      <c r="AH2356" s="45">
        <f t="shared" si="196"/>
        <v>0</v>
      </c>
      <c r="AJ2356" s="44">
        <f t="shared" si="193"/>
        <v>2.3820000000000001</v>
      </c>
      <c r="AP2356" s="46">
        <f t="shared" si="194"/>
        <v>0.19600000000000001</v>
      </c>
    </row>
    <row r="2357" spans="19:42" ht="18">
      <c r="S2357" s="8">
        <f t="shared" si="195"/>
        <v>0</v>
      </c>
      <c r="W2357" s="3">
        <v>2383</v>
      </c>
      <c r="X2357" s="30">
        <v>196.488</v>
      </c>
      <c r="Y2357" s="33">
        <f t="shared" si="192"/>
        <v>0.19600000000000001</v>
      </c>
      <c r="AH2357" s="45">
        <f t="shared" si="196"/>
        <v>0</v>
      </c>
      <c r="AJ2357" s="44">
        <f t="shared" si="193"/>
        <v>2.383</v>
      </c>
      <c r="AP2357" s="46">
        <f t="shared" si="194"/>
        <v>0.19600000000000001</v>
      </c>
    </row>
    <row r="2358" spans="19:42" ht="18">
      <c r="S2358" s="8">
        <f t="shared" si="195"/>
        <v>0</v>
      </c>
      <c r="W2358" s="3">
        <v>2384</v>
      </c>
      <c r="X2358" s="30">
        <v>196.52500000000001</v>
      </c>
      <c r="Y2358" s="33">
        <f t="shared" si="192"/>
        <v>0.19700000000000001</v>
      </c>
      <c r="AH2358" s="45">
        <f t="shared" si="196"/>
        <v>0</v>
      </c>
      <c r="AJ2358" s="44">
        <f t="shared" si="193"/>
        <v>2.3839999999999999</v>
      </c>
      <c r="AP2358" s="46">
        <f t="shared" si="194"/>
        <v>0.19700000000000001</v>
      </c>
    </row>
    <row r="2359" spans="19:42" ht="18">
      <c r="S2359" s="8">
        <f t="shared" si="195"/>
        <v>0</v>
      </c>
      <c r="W2359" s="3">
        <v>2385</v>
      </c>
      <c r="X2359" s="30">
        <v>196.56299999999999</v>
      </c>
      <c r="Y2359" s="33">
        <f t="shared" si="192"/>
        <v>0.19700000000000001</v>
      </c>
      <c r="AH2359" s="45">
        <f t="shared" si="196"/>
        <v>0</v>
      </c>
      <c r="AJ2359" s="44">
        <f t="shared" si="193"/>
        <v>2.3849999999999998</v>
      </c>
      <c r="AP2359" s="46">
        <f t="shared" si="194"/>
        <v>0.19700000000000001</v>
      </c>
    </row>
    <row r="2360" spans="19:42" ht="18">
      <c r="S2360" s="8">
        <f t="shared" si="195"/>
        <v>0</v>
      </c>
      <c r="W2360" s="3">
        <v>2386</v>
      </c>
      <c r="X2360" s="30">
        <v>196.6</v>
      </c>
      <c r="Y2360" s="33">
        <f t="shared" si="192"/>
        <v>0.19700000000000001</v>
      </c>
      <c r="AH2360" s="45">
        <f t="shared" si="196"/>
        <v>0</v>
      </c>
      <c r="AJ2360" s="44">
        <f t="shared" si="193"/>
        <v>2.3860000000000001</v>
      </c>
      <c r="AP2360" s="46">
        <f t="shared" si="194"/>
        <v>0.19700000000000001</v>
      </c>
    </row>
    <row r="2361" spans="19:42" ht="18">
      <c r="S2361" s="8">
        <f t="shared" si="195"/>
        <v>0</v>
      </c>
      <c r="W2361" s="3">
        <v>2387</v>
      </c>
      <c r="X2361" s="30">
        <v>196.63800000000001</v>
      </c>
      <c r="Y2361" s="33">
        <f t="shared" si="192"/>
        <v>0.19700000000000001</v>
      </c>
      <c r="AH2361" s="45">
        <f t="shared" si="196"/>
        <v>0</v>
      </c>
      <c r="AJ2361" s="44">
        <f t="shared" si="193"/>
        <v>2.387</v>
      </c>
      <c r="AP2361" s="46">
        <f t="shared" si="194"/>
        <v>0.19700000000000001</v>
      </c>
    </row>
    <row r="2362" spans="19:42" ht="18">
      <c r="S2362" s="8">
        <f t="shared" si="195"/>
        <v>0</v>
      </c>
      <c r="W2362" s="3">
        <v>2388</v>
      </c>
      <c r="X2362" s="30">
        <v>196.67500000000001</v>
      </c>
      <c r="Y2362" s="33">
        <f t="shared" si="192"/>
        <v>0.19700000000000001</v>
      </c>
      <c r="AH2362" s="45">
        <f t="shared" si="196"/>
        <v>0</v>
      </c>
      <c r="AJ2362" s="44">
        <f t="shared" si="193"/>
        <v>2.3879999999999999</v>
      </c>
      <c r="AP2362" s="46">
        <f t="shared" si="194"/>
        <v>0.19700000000000001</v>
      </c>
    </row>
    <row r="2363" spans="19:42" ht="18">
      <c r="S2363" s="8">
        <f t="shared" si="195"/>
        <v>0</v>
      </c>
      <c r="W2363" s="3">
        <v>2389</v>
      </c>
      <c r="X2363" s="30">
        <v>196.71299999999999</v>
      </c>
      <c r="Y2363" s="33">
        <f t="shared" si="192"/>
        <v>0.19700000000000001</v>
      </c>
      <c r="AH2363" s="45">
        <f t="shared" si="196"/>
        <v>0</v>
      </c>
      <c r="AJ2363" s="44">
        <f t="shared" si="193"/>
        <v>2.3889999999999998</v>
      </c>
      <c r="AP2363" s="46">
        <f t="shared" si="194"/>
        <v>0.19700000000000001</v>
      </c>
    </row>
    <row r="2364" spans="19:42" ht="18">
      <c r="S2364" s="8">
        <f t="shared" si="195"/>
        <v>0</v>
      </c>
      <c r="W2364" s="3">
        <v>2390</v>
      </c>
      <c r="X2364" s="30">
        <v>196.75</v>
      </c>
      <c r="Y2364" s="33">
        <f t="shared" si="192"/>
        <v>0.19700000000000001</v>
      </c>
      <c r="AH2364" s="45">
        <f t="shared" si="196"/>
        <v>0</v>
      </c>
      <c r="AJ2364" s="44">
        <f t="shared" si="193"/>
        <v>2.39</v>
      </c>
      <c r="AP2364" s="46">
        <f t="shared" si="194"/>
        <v>0.19700000000000001</v>
      </c>
    </row>
    <row r="2365" spans="19:42" ht="18">
      <c r="S2365" s="8">
        <f t="shared" si="195"/>
        <v>0</v>
      </c>
      <c r="W2365" s="3">
        <v>2391</v>
      </c>
      <c r="X2365" s="30">
        <v>196.78800000000001</v>
      </c>
      <c r="Y2365" s="33">
        <f t="shared" si="192"/>
        <v>0.19700000000000001</v>
      </c>
      <c r="AH2365" s="45">
        <f t="shared" si="196"/>
        <v>0</v>
      </c>
      <c r="AJ2365" s="44">
        <f t="shared" si="193"/>
        <v>2.391</v>
      </c>
      <c r="AP2365" s="46">
        <f t="shared" si="194"/>
        <v>0.19700000000000001</v>
      </c>
    </row>
    <row r="2366" spans="19:42" ht="18">
      <c r="S2366" s="8">
        <f t="shared" si="195"/>
        <v>0</v>
      </c>
      <c r="W2366" s="3">
        <v>2392</v>
      </c>
      <c r="X2366" s="30">
        <v>196.82499999999999</v>
      </c>
      <c r="Y2366" s="33">
        <f t="shared" si="192"/>
        <v>0.19700000000000001</v>
      </c>
      <c r="AH2366" s="45">
        <f t="shared" si="196"/>
        <v>0</v>
      </c>
      <c r="AJ2366" s="44">
        <f t="shared" si="193"/>
        <v>2.3919999999999999</v>
      </c>
      <c r="AP2366" s="46">
        <f t="shared" si="194"/>
        <v>0.19700000000000001</v>
      </c>
    </row>
    <row r="2367" spans="19:42" ht="18">
      <c r="S2367" s="8">
        <f t="shared" si="195"/>
        <v>0</v>
      </c>
      <c r="W2367" s="3">
        <v>2393</v>
      </c>
      <c r="X2367" s="30">
        <v>196.863</v>
      </c>
      <c r="Y2367" s="33">
        <f t="shared" si="192"/>
        <v>0.19700000000000001</v>
      </c>
      <c r="AH2367" s="45">
        <f t="shared" si="196"/>
        <v>0</v>
      </c>
      <c r="AJ2367" s="44">
        <f t="shared" si="193"/>
        <v>2.3929999999999998</v>
      </c>
      <c r="AP2367" s="46">
        <f t="shared" si="194"/>
        <v>0.19700000000000001</v>
      </c>
    </row>
    <row r="2368" spans="19:42" ht="18">
      <c r="S2368" s="8">
        <f t="shared" si="195"/>
        <v>0</v>
      </c>
      <c r="W2368" s="3">
        <v>2394</v>
      </c>
      <c r="X2368" s="30">
        <v>196.9</v>
      </c>
      <c r="Y2368" s="33">
        <f t="shared" si="192"/>
        <v>0.19700000000000001</v>
      </c>
      <c r="AH2368" s="45">
        <f t="shared" si="196"/>
        <v>0</v>
      </c>
      <c r="AJ2368" s="44">
        <f t="shared" si="193"/>
        <v>2.3940000000000001</v>
      </c>
      <c r="AP2368" s="46">
        <f t="shared" si="194"/>
        <v>0.19700000000000001</v>
      </c>
    </row>
    <row r="2369" spans="19:42" ht="18">
      <c r="S2369" s="8">
        <f t="shared" si="195"/>
        <v>0</v>
      </c>
      <c r="W2369" s="3">
        <v>2395</v>
      </c>
      <c r="X2369" s="30">
        <v>196.93799999999999</v>
      </c>
      <c r="Y2369" s="33">
        <f t="shared" si="192"/>
        <v>0.19700000000000001</v>
      </c>
      <c r="AH2369" s="45">
        <f t="shared" si="196"/>
        <v>0</v>
      </c>
      <c r="AJ2369" s="44">
        <f t="shared" si="193"/>
        <v>2.395</v>
      </c>
      <c r="AP2369" s="46">
        <f t="shared" si="194"/>
        <v>0.19700000000000001</v>
      </c>
    </row>
    <row r="2370" spans="19:42" ht="18">
      <c r="S2370" s="8">
        <f t="shared" si="195"/>
        <v>0</v>
      </c>
      <c r="W2370" s="3">
        <v>2396</v>
      </c>
      <c r="X2370" s="30">
        <v>196.97499999999999</v>
      </c>
      <c r="Y2370" s="33">
        <f t="shared" si="192"/>
        <v>0.19700000000000001</v>
      </c>
      <c r="AH2370" s="45">
        <f t="shared" si="196"/>
        <v>0</v>
      </c>
      <c r="AJ2370" s="44">
        <f t="shared" si="193"/>
        <v>2.3959999999999999</v>
      </c>
      <c r="AP2370" s="46">
        <f t="shared" si="194"/>
        <v>0.19700000000000001</v>
      </c>
    </row>
    <row r="2371" spans="19:42" ht="18">
      <c r="S2371" s="8">
        <f t="shared" si="195"/>
        <v>0</v>
      </c>
      <c r="W2371" s="3">
        <v>2397</v>
      </c>
      <c r="X2371" s="30">
        <v>197.01300000000001</v>
      </c>
      <c r="Y2371" s="33">
        <f t="shared" si="192"/>
        <v>0.19700000000000001</v>
      </c>
      <c r="AH2371" s="45">
        <f t="shared" si="196"/>
        <v>0</v>
      </c>
      <c r="AJ2371" s="44">
        <f t="shared" si="193"/>
        <v>2.3969999999999998</v>
      </c>
      <c r="AP2371" s="46">
        <f t="shared" si="194"/>
        <v>0.19700000000000001</v>
      </c>
    </row>
    <row r="2372" spans="19:42" ht="18">
      <c r="S2372" s="8">
        <f t="shared" si="195"/>
        <v>0</v>
      </c>
      <c r="W2372" s="3">
        <v>2398</v>
      </c>
      <c r="X2372" s="30">
        <v>197.05</v>
      </c>
      <c r="Y2372" s="33">
        <f t="shared" si="192"/>
        <v>0.19700000000000001</v>
      </c>
      <c r="AH2372" s="45">
        <f t="shared" si="196"/>
        <v>0</v>
      </c>
      <c r="AJ2372" s="44">
        <f t="shared" si="193"/>
        <v>2.3980000000000001</v>
      </c>
      <c r="AP2372" s="46">
        <f t="shared" si="194"/>
        <v>0.19700000000000001</v>
      </c>
    </row>
    <row r="2373" spans="19:42" ht="18">
      <c r="S2373" s="8">
        <f t="shared" si="195"/>
        <v>0</v>
      </c>
      <c r="W2373" s="3">
        <v>2399</v>
      </c>
      <c r="X2373" s="30">
        <v>197.08799999999999</v>
      </c>
      <c r="Y2373" s="33">
        <f t="shared" ref="Y2373:Y2436" si="197">ROUND(X2373/1000,3)</f>
        <v>0.19700000000000001</v>
      </c>
      <c r="AH2373" s="45">
        <f t="shared" si="196"/>
        <v>0</v>
      </c>
      <c r="AJ2373" s="44">
        <f t="shared" ref="AJ2373:AJ2436" si="198">ROUND(W2373/1000,3)</f>
        <v>2.399</v>
      </c>
      <c r="AP2373" s="46">
        <f t="shared" ref="AP2373:AP2436" si="199">ROUND(X2373/1000,3)</f>
        <v>0.19700000000000001</v>
      </c>
    </row>
    <row r="2374" spans="19:42" ht="18">
      <c r="S2374" s="8">
        <f t="shared" ref="S2374:S2437" si="200">CEILING(R2374/50,0.5)</f>
        <v>0</v>
      </c>
      <c r="W2374" s="3">
        <v>2400</v>
      </c>
      <c r="X2374" s="30">
        <v>197.125</v>
      </c>
      <c r="Y2374" s="33">
        <f t="shared" si="197"/>
        <v>0.19700000000000001</v>
      </c>
      <c r="AH2374" s="45">
        <f t="shared" ref="AH2374:AH2437" si="201">AE2374-AE2373</f>
        <v>0</v>
      </c>
      <c r="AJ2374" s="44">
        <f t="shared" si="198"/>
        <v>2.4</v>
      </c>
      <c r="AP2374" s="46">
        <f t="shared" si="199"/>
        <v>0.19700000000000001</v>
      </c>
    </row>
    <row r="2375" spans="19:42" ht="18">
      <c r="S2375" s="8">
        <f t="shared" si="200"/>
        <v>0</v>
      </c>
      <c r="W2375" s="3">
        <v>2401</v>
      </c>
      <c r="X2375" s="30">
        <v>197.16300000000001</v>
      </c>
      <c r="Y2375" s="33">
        <f t="shared" si="197"/>
        <v>0.19700000000000001</v>
      </c>
      <c r="AH2375" s="45">
        <f t="shared" si="201"/>
        <v>0</v>
      </c>
      <c r="AJ2375" s="44">
        <f t="shared" si="198"/>
        <v>2.4009999999999998</v>
      </c>
      <c r="AP2375" s="46">
        <f t="shared" si="199"/>
        <v>0.19700000000000001</v>
      </c>
    </row>
    <row r="2376" spans="19:42" ht="18">
      <c r="S2376" s="8">
        <f t="shared" si="200"/>
        <v>0</v>
      </c>
      <c r="W2376" s="3">
        <v>2402</v>
      </c>
      <c r="X2376" s="30">
        <v>197.2</v>
      </c>
      <c r="Y2376" s="33">
        <f t="shared" si="197"/>
        <v>0.19700000000000001</v>
      </c>
      <c r="AH2376" s="45">
        <f t="shared" si="201"/>
        <v>0</v>
      </c>
      <c r="AJ2376" s="44">
        <f t="shared" si="198"/>
        <v>2.4020000000000001</v>
      </c>
      <c r="AP2376" s="46">
        <f t="shared" si="199"/>
        <v>0.19700000000000001</v>
      </c>
    </row>
    <row r="2377" spans="19:42" ht="18">
      <c r="S2377" s="8">
        <f t="shared" si="200"/>
        <v>0</v>
      </c>
      <c r="W2377" s="3">
        <v>2403</v>
      </c>
      <c r="X2377" s="30">
        <v>197.238</v>
      </c>
      <c r="Y2377" s="33">
        <f t="shared" si="197"/>
        <v>0.19700000000000001</v>
      </c>
      <c r="AH2377" s="45">
        <f t="shared" si="201"/>
        <v>0</v>
      </c>
      <c r="AJ2377" s="44">
        <f t="shared" si="198"/>
        <v>2.403</v>
      </c>
      <c r="AP2377" s="46">
        <f t="shared" si="199"/>
        <v>0.19700000000000001</v>
      </c>
    </row>
    <row r="2378" spans="19:42" ht="18">
      <c r="S2378" s="8">
        <f t="shared" si="200"/>
        <v>0</v>
      </c>
      <c r="W2378" s="3">
        <v>2404</v>
      </c>
      <c r="X2378" s="30">
        <v>197.27500000000001</v>
      </c>
      <c r="Y2378" s="33">
        <f t="shared" si="197"/>
        <v>0.19700000000000001</v>
      </c>
      <c r="AH2378" s="45">
        <f t="shared" si="201"/>
        <v>0</v>
      </c>
      <c r="AJ2378" s="44">
        <f t="shared" si="198"/>
        <v>2.4039999999999999</v>
      </c>
      <c r="AP2378" s="46">
        <f t="shared" si="199"/>
        <v>0.19700000000000001</v>
      </c>
    </row>
    <row r="2379" spans="19:42" ht="18">
      <c r="S2379" s="8">
        <f t="shared" si="200"/>
        <v>0</v>
      </c>
      <c r="W2379" s="3">
        <v>2405</v>
      </c>
      <c r="X2379" s="30">
        <v>197.31299999999999</v>
      </c>
      <c r="Y2379" s="33">
        <f t="shared" si="197"/>
        <v>0.19700000000000001</v>
      </c>
      <c r="AH2379" s="45">
        <f t="shared" si="201"/>
        <v>0</v>
      </c>
      <c r="AJ2379" s="44">
        <f t="shared" si="198"/>
        <v>2.4049999999999998</v>
      </c>
      <c r="AP2379" s="46">
        <f t="shared" si="199"/>
        <v>0.19700000000000001</v>
      </c>
    </row>
    <row r="2380" spans="19:42" ht="18">
      <c r="S2380" s="8">
        <f t="shared" si="200"/>
        <v>0</v>
      </c>
      <c r="W2380" s="3">
        <v>2406</v>
      </c>
      <c r="X2380" s="30">
        <v>197.35</v>
      </c>
      <c r="Y2380" s="33">
        <f t="shared" si="197"/>
        <v>0.19700000000000001</v>
      </c>
      <c r="AH2380" s="45">
        <f t="shared" si="201"/>
        <v>0</v>
      </c>
      <c r="AJ2380" s="44">
        <f t="shared" si="198"/>
        <v>2.4060000000000001</v>
      </c>
      <c r="AP2380" s="46">
        <f t="shared" si="199"/>
        <v>0.19700000000000001</v>
      </c>
    </row>
    <row r="2381" spans="19:42" ht="18">
      <c r="S2381" s="8">
        <f t="shared" si="200"/>
        <v>0</v>
      </c>
      <c r="W2381" s="3">
        <v>2407</v>
      </c>
      <c r="X2381" s="30">
        <v>197.38800000000001</v>
      </c>
      <c r="Y2381" s="33">
        <f t="shared" si="197"/>
        <v>0.19700000000000001</v>
      </c>
      <c r="AH2381" s="45">
        <f t="shared" si="201"/>
        <v>0</v>
      </c>
      <c r="AJ2381" s="44">
        <f t="shared" si="198"/>
        <v>2.407</v>
      </c>
      <c r="AP2381" s="46">
        <f t="shared" si="199"/>
        <v>0.19700000000000001</v>
      </c>
    </row>
    <row r="2382" spans="19:42" ht="18">
      <c r="S2382" s="8">
        <f t="shared" si="200"/>
        <v>0</v>
      </c>
      <c r="W2382" s="3">
        <v>2408</v>
      </c>
      <c r="X2382" s="30">
        <v>197.42500000000001</v>
      </c>
      <c r="Y2382" s="33">
        <f t="shared" si="197"/>
        <v>0.19700000000000001</v>
      </c>
      <c r="AH2382" s="45">
        <f t="shared" si="201"/>
        <v>0</v>
      </c>
      <c r="AJ2382" s="44">
        <f t="shared" si="198"/>
        <v>2.4079999999999999</v>
      </c>
      <c r="AP2382" s="46">
        <f t="shared" si="199"/>
        <v>0.19700000000000001</v>
      </c>
    </row>
    <row r="2383" spans="19:42" ht="18">
      <c r="S2383" s="8">
        <f t="shared" si="200"/>
        <v>0</v>
      </c>
      <c r="W2383" s="3">
        <v>2409</v>
      </c>
      <c r="X2383" s="30">
        <v>197.46299999999999</v>
      </c>
      <c r="Y2383" s="33">
        <f t="shared" si="197"/>
        <v>0.19700000000000001</v>
      </c>
      <c r="AH2383" s="45">
        <f t="shared" si="201"/>
        <v>0</v>
      </c>
      <c r="AJ2383" s="44">
        <f t="shared" si="198"/>
        <v>2.4089999999999998</v>
      </c>
      <c r="AP2383" s="46">
        <f t="shared" si="199"/>
        <v>0.19700000000000001</v>
      </c>
    </row>
    <row r="2384" spans="19:42" ht="18">
      <c r="S2384" s="8">
        <f t="shared" si="200"/>
        <v>0</v>
      </c>
      <c r="W2384" s="3">
        <v>2410</v>
      </c>
      <c r="X2384" s="30">
        <v>197.5</v>
      </c>
      <c r="Y2384" s="33">
        <f t="shared" si="197"/>
        <v>0.19800000000000001</v>
      </c>
      <c r="AH2384" s="45">
        <f t="shared" si="201"/>
        <v>0</v>
      </c>
      <c r="AJ2384" s="44">
        <f t="shared" si="198"/>
        <v>2.41</v>
      </c>
      <c r="AP2384" s="46">
        <f t="shared" si="199"/>
        <v>0.19800000000000001</v>
      </c>
    </row>
    <row r="2385" spans="19:42" ht="18">
      <c r="S2385" s="8">
        <f t="shared" si="200"/>
        <v>0</v>
      </c>
      <c r="W2385" s="3">
        <v>2411</v>
      </c>
      <c r="X2385" s="30">
        <v>197.53800000000001</v>
      </c>
      <c r="Y2385" s="33">
        <f t="shared" si="197"/>
        <v>0.19800000000000001</v>
      </c>
      <c r="AH2385" s="45">
        <f t="shared" si="201"/>
        <v>0</v>
      </c>
      <c r="AJ2385" s="44">
        <f t="shared" si="198"/>
        <v>2.411</v>
      </c>
      <c r="AP2385" s="46">
        <f t="shared" si="199"/>
        <v>0.19800000000000001</v>
      </c>
    </row>
    <row r="2386" spans="19:42" ht="18">
      <c r="S2386" s="8">
        <f t="shared" si="200"/>
        <v>0</v>
      </c>
      <c r="W2386" s="3">
        <v>2412</v>
      </c>
      <c r="X2386" s="30">
        <v>197.57499999999999</v>
      </c>
      <c r="Y2386" s="33">
        <f t="shared" si="197"/>
        <v>0.19800000000000001</v>
      </c>
      <c r="AH2386" s="45">
        <f t="shared" si="201"/>
        <v>0</v>
      </c>
      <c r="AJ2386" s="44">
        <f t="shared" si="198"/>
        <v>2.4119999999999999</v>
      </c>
      <c r="AP2386" s="46">
        <f t="shared" si="199"/>
        <v>0.19800000000000001</v>
      </c>
    </row>
    <row r="2387" spans="19:42" ht="18">
      <c r="S2387" s="8">
        <f t="shared" si="200"/>
        <v>0</v>
      </c>
      <c r="W2387" s="3">
        <v>2413</v>
      </c>
      <c r="X2387" s="30">
        <v>197.613</v>
      </c>
      <c r="Y2387" s="33">
        <f t="shared" si="197"/>
        <v>0.19800000000000001</v>
      </c>
      <c r="AH2387" s="45">
        <f t="shared" si="201"/>
        <v>0</v>
      </c>
      <c r="AJ2387" s="44">
        <f t="shared" si="198"/>
        <v>2.4129999999999998</v>
      </c>
      <c r="AP2387" s="46">
        <f t="shared" si="199"/>
        <v>0.19800000000000001</v>
      </c>
    </row>
    <row r="2388" spans="19:42" ht="18">
      <c r="S2388" s="8">
        <f t="shared" si="200"/>
        <v>0</v>
      </c>
      <c r="W2388" s="3">
        <v>2414</v>
      </c>
      <c r="X2388" s="30">
        <v>197.65</v>
      </c>
      <c r="Y2388" s="33">
        <f t="shared" si="197"/>
        <v>0.19800000000000001</v>
      </c>
      <c r="AH2388" s="45">
        <f t="shared" si="201"/>
        <v>0</v>
      </c>
      <c r="AJ2388" s="44">
        <f t="shared" si="198"/>
        <v>2.4140000000000001</v>
      </c>
      <c r="AP2388" s="46">
        <f t="shared" si="199"/>
        <v>0.19800000000000001</v>
      </c>
    </row>
    <row r="2389" spans="19:42" ht="18">
      <c r="S2389" s="8">
        <f t="shared" si="200"/>
        <v>0</v>
      </c>
      <c r="W2389" s="3">
        <v>2415</v>
      </c>
      <c r="X2389" s="30">
        <v>197.68799999999999</v>
      </c>
      <c r="Y2389" s="33">
        <f t="shared" si="197"/>
        <v>0.19800000000000001</v>
      </c>
      <c r="AH2389" s="45">
        <f t="shared" si="201"/>
        <v>0</v>
      </c>
      <c r="AJ2389" s="44">
        <f t="shared" si="198"/>
        <v>2.415</v>
      </c>
      <c r="AP2389" s="46">
        <f t="shared" si="199"/>
        <v>0.19800000000000001</v>
      </c>
    </row>
    <row r="2390" spans="19:42" ht="18">
      <c r="S2390" s="8">
        <f t="shared" si="200"/>
        <v>0</v>
      </c>
      <c r="W2390" s="3">
        <v>2416</v>
      </c>
      <c r="X2390" s="30">
        <v>197.72499999999999</v>
      </c>
      <c r="Y2390" s="33">
        <f t="shared" si="197"/>
        <v>0.19800000000000001</v>
      </c>
      <c r="AH2390" s="45">
        <f t="shared" si="201"/>
        <v>0</v>
      </c>
      <c r="AJ2390" s="44">
        <f t="shared" si="198"/>
        <v>2.4159999999999999</v>
      </c>
      <c r="AP2390" s="46">
        <f t="shared" si="199"/>
        <v>0.19800000000000001</v>
      </c>
    </row>
    <row r="2391" spans="19:42" ht="18">
      <c r="S2391" s="8">
        <f t="shared" si="200"/>
        <v>0</v>
      </c>
      <c r="W2391" s="3">
        <v>2417</v>
      </c>
      <c r="X2391" s="30">
        <v>197.76300000000001</v>
      </c>
      <c r="Y2391" s="33">
        <f t="shared" si="197"/>
        <v>0.19800000000000001</v>
      </c>
      <c r="AH2391" s="45">
        <f t="shared" si="201"/>
        <v>0</v>
      </c>
      <c r="AJ2391" s="44">
        <f t="shared" si="198"/>
        <v>2.4169999999999998</v>
      </c>
      <c r="AP2391" s="46">
        <f t="shared" si="199"/>
        <v>0.19800000000000001</v>
      </c>
    </row>
    <row r="2392" spans="19:42" ht="18">
      <c r="S2392" s="8">
        <f t="shared" si="200"/>
        <v>0</v>
      </c>
      <c r="W2392" s="3">
        <v>2418</v>
      </c>
      <c r="X2392" s="30">
        <v>197.8</v>
      </c>
      <c r="Y2392" s="33">
        <f t="shared" si="197"/>
        <v>0.19800000000000001</v>
      </c>
      <c r="AH2392" s="45">
        <f t="shared" si="201"/>
        <v>0</v>
      </c>
      <c r="AJ2392" s="44">
        <f t="shared" si="198"/>
        <v>2.4180000000000001</v>
      </c>
      <c r="AP2392" s="46">
        <f t="shared" si="199"/>
        <v>0.19800000000000001</v>
      </c>
    </row>
    <row r="2393" spans="19:42" ht="18">
      <c r="S2393" s="8">
        <f t="shared" si="200"/>
        <v>0</v>
      </c>
      <c r="W2393" s="3">
        <v>2419</v>
      </c>
      <c r="X2393" s="30">
        <v>197.83799999999999</v>
      </c>
      <c r="Y2393" s="33">
        <f t="shared" si="197"/>
        <v>0.19800000000000001</v>
      </c>
      <c r="AH2393" s="45">
        <f t="shared" si="201"/>
        <v>0</v>
      </c>
      <c r="AJ2393" s="44">
        <f t="shared" si="198"/>
        <v>2.419</v>
      </c>
      <c r="AP2393" s="46">
        <f t="shared" si="199"/>
        <v>0.19800000000000001</v>
      </c>
    </row>
    <row r="2394" spans="19:42" ht="18">
      <c r="S2394" s="8">
        <f t="shared" si="200"/>
        <v>0</v>
      </c>
      <c r="W2394" s="3">
        <v>2420</v>
      </c>
      <c r="X2394" s="30">
        <v>197.875</v>
      </c>
      <c r="Y2394" s="33">
        <f t="shared" si="197"/>
        <v>0.19800000000000001</v>
      </c>
      <c r="AH2394" s="45">
        <f t="shared" si="201"/>
        <v>0</v>
      </c>
      <c r="AJ2394" s="44">
        <f t="shared" si="198"/>
        <v>2.42</v>
      </c>
      <c r="AP2394" s="46">
        <f t="shared" si="199"/>
        <v>0.19800000000000001</v>
      </c>
    </row>
    <row r="2395" spans="19:42" ht="18">
      <c r="S2395" s="8">
        <f t="shared" si="200"/>
        <v>0</v>
      </c>
      <c r="W2395" s="3">
        <v>2421</v>
      </c>
      <c r="X2395" s="30">
        <v>197.91300000000001</v>
      </c>
      <c r="Y2395" s="33">
        <f t="shared" si="197"/>
        <v>0.19800000000000001</v>
      </c>
      <c r="AH2395" s="45">
        <f t="shared" si="201"/>
        <v>0</v>
      </c>
      <c r="AJ2395" s="44">
        <f t="shared" si="198"/>
        <v>2.4209999999999998</v>
      </c>
      <c r="AP2395" s="46">
        <f t="shared" si="199"/>
        <v>0.19800000000000001</v>
      </c>
    </row>
    <row r="2396" spans="19:42" ht="18">
      <c r="S2396" s="8">
        <f t="shared" si="200"/>
        <v>0</v>
      </c>
      <c r="W2396" s="3">
        <v>2422</v>
      </c>
      <c r="X2396" s="30">
        <v>197.95</v>
      </c>
      <c r="Y2396" s="33">
        <f t="shared" si="197"/>
        <v>0.19800000000000001</v>
      </c>
      <c r="AH2396" s="45">
        <f t="shared" si="201"/>
        <v>0</v>
      </c>
      <c r="AJ2396" s="44">
        <f t="shared" si="198"/>
        <v>2.4220000000000002</v>
      </c>
      <c r="AP2396" s="46">
        <f t="shared" si="199"/>
        <v>0.19800000000000001</v>
      </c>
    </row>
    <row r="2397" spans="19:42" ht="18">
      <c r="S2397" s="8">
        <f t="shared" si="200"/>
        <v>0</v>
      </c>
      <c r="W2397" s="3">
        <v>2423</v>
      </c>
      <c r="X2397" s="30">
        <v>197.988</v>
      </c>
      <c r="Y2397" s="33">
        <f t="shared" si="197"/>
        <v>0.19800000000000001</v>
      </c>
      <c r="AH2397" s="45">
        <f t="shared" si="201"/>
        <v>0</v>
      </c>
      <c r="AJ2397" s="44">
        <f t="shared" si="198"/>
        <v>2.423</v>
      </c>
      <c r="AP2397" s="46">
        <f t="shared" si="199"/>
        <v>0.19800000000000001</v>
      </c>
    </row>
    <row r="2398" spans="19:42" ht="18">
      <c r="S2398" s="8">
        <f t="shared" si="200"/>
        <v>0</v>
      </c>
      <c r="W2398" s="3">
        <v>2424</v>
      </c>
      <c r="X2398" s="30">
        <v>198.02500000000001</v>
      </c>
      <c r="Y2398" s="33">
        <f t="shared" si="197"/>
        <v>0.19800000000000001</v>
      </c>
      <c r="AH2398" s="45">
        <f t="shared" si="201"/>
        <v>0</v>
      </c>
      <c r="AJ2398" s="44">
        <f t="shared" si="198"/>
        <v>2.4239999999999999</v>
      </c>
      <c r="AP2398" s="46">
        <f t="shared" si="199"/>
        <v>0.19800000000000001</v>
      </c>
    </row>
    <row r="2399" spans="19:42" ht="18">
      <c r="S2399" s="8">
        <f t="shared" si="200"/>
        <v>0</v>
      </c>
      <c r="W2399" s="3">
        <v>2425</v>
      </c>
      <c r="X2399" s="30">
        <v>198.06299999999999</v>
      </c>
      <c r="Y2399" s="33">
        <f t="shared" si="197"/>
        <v>0.19800000000000001</v>
      </c>
      <c r="AH2399" s="45">
        <f t="shared" si="201"/>
        <v>0</v>
      </c>
      <c r="AJ2399" s="44">
        <f t="shared" si="198"/>
        <v>2.4249999999999998</v>
      </c>
      <c r="AP2399" s="46">
        <f t="shared" si="199"/>
        <v>0.19800000000000001</v>
      </c>
    </row>
    <row r="2400" spans="19:42" ht="18">
      <c r="S2400" s="8">
        <f t="shared" si="200"/>
        <v>0</v>
      </c>
      <c r="W2400" s="3">
        <v>2426</v>
      </c>
      <c r="X2400" s="30">
        <v>198.1</v>
      </c>
      <c r="Y2400" s="33">
        <f t="shared" si="197"/>
        <v>0.19800000000000001</v>
      </c>
      <c r="AH2400" s="45">
        <f t="shared" si="201"/>
        <v>0</v>
      </c>
      <c r="AJ2400" s="44">
        <f t="shared" si="198"/>
        <v>2.4260000000000002</v>
      </c>
      <c r="AP2400" s="46">
        <f t="shared" si="199"/>
        <v>0.19800000000000001</v>
      </c>
    </row>
    <row r="2401" spans="19:42" ht="18">
      <c r="S2401" s="8">
        <f t="shared" si="200"/>
        <v>0</v>
      </c>
      <c r="W2401" s="3">
        <v>2427</v>
      </c>
      <c r="X2401" s="30">
        <v>198.13800000000001</v>
      </c>
      <c r="Y2401" s="33">
        <f t="shared" si="197"/>
        <v>0.19800000000000001</v>
      </c>
      <c r="AH2401" s="45">
        <f t="shared" si="201"/>
        <v>0</v>
      </c>
      <c r="AJ2401" s="44">
        <f t="shared" si="198"/>
        <v>2.427</v>
      </c>
      <c r="AP2401" s="46">
        <f t="shared" si="199"/>
        <v>0.19800000000000001</v>
      </c>
    </row>
    <row r="2402" spans="19:42" ht="18">
      <c r="S2402" s="8">
        <f t="shared" si="200"/>
        <v>0</v>
      </c>
      <c r="W2402" s="3">
        <v>2428</v>
      </c>
      <c r="X2402" s="30">
        <v>198.17500000000001</v>
      </c>
      <c r="Y2402" s="33">
        <f t="shared" si="197"/>
        <v>0.19800000000000001</v>
      </c>
      <c r="AH2402" s="45">
        <f t="shared" si="201"/>
        <v>0</v>
      </c>
      <c r="AJ2402" s="44">
        <f t="shared" si="198"/>
        <v>2.4279999999999999</v>
      </c>
      <c r="AP2402" s="46">
        <f t="shared" si="199"/>
        <v>0.19800000000000001</v>
      </c>
    </row>
    <row r="2403" spans="19:42" ht="18">
      <c r="S2403" s="8">
        <f t="shared" si="200"/>
        <v>0</v>
      </c>
      <c r="W2403" s="3">
        <v>2429</v>
      </c>
      <c r="X2403" s="30">
        <v>198.21299999999999</v>
      </c>
      <c r="Y2403" s="33">
        <f t="shared" si="197"/>
        <v>0.19800000000000001</v>
      </c>
      <c r="AH2403" s="45">
        <f t="shared" si="201"/>
        <v>0</v>
      </c>
      <c r="AJ2403" s="44">
        <f t="shared" si="198"/>
        <v>2.4289999999999998</v>
      </c>
      <c r="AP2403" s="46">
        <f t="shared" si="199"/>
        <v>0.19800000000000001</v>
      </c>
    </row>
    <row r="2404" spans="19:42" ht="18">
      <c r="S2404" s="8">
        <f t="shared" si="200"/>
        <v>0</v>
      </c>
      <c r="W2404" s="3">
        <v>2430</v>
      </c>
      <c r="X2404" s="30">
        <v>198.25</v>
      </c>
      <c r="Y2404" s="33">
        <f t="shared" si="197"/>
        <v>0.19800000000000001</v>
      </c>
      <c r="AH2404" s="45">
        <f t="shared" si="201"/>
        <v>0</v>
      </c>
      <c r="AJ2404" s="44">
        <f t="shared" si="198"/>
        <v>2.4300000000000002</v>
      </c>
      <c r="AP2404" s="46">
        <f t="shared" si="199"/>
        <v>0.19800000000000001</v>
      </c>
    </row>
    <row r="2405" spans="19:42" ht="18">
      <c r="S2405" s="8">
        <f t="shared" si="200"/>
        <v>0</v>
      </c>
      <c r="W2405" s="3">
        <v>2431</v>
      </c>
      <c r="X2405" s="30">
        <v>198.28800000000001</v>
      </c>
      <c r="Y2405" s="33">
        <f t="shared" si="197"/>
        <v>0.19800000000000001</v>
      </c>
      <c r="AH2405" s="45">
        <f t="shared" si="201"/>
        <v>0</v>
      </c>
      <c r="AJ2405" s="44">
        <f t="shared" si="198"/>
        <v>2.431</v>
      </c>
      <c r="AP2405" s="46">
        <f t="shared" si="199"/>
        <v>0.19800000000000001</v>
      </c>
    </row>
    <row r="2406" spans="19:42" ht="18">
      <c r="S2406" s="8">
        <f t="shared" si="200"/>
        <v>0</v>
      </c>
      <c r="W2406" s="3">
        <v>2432</v>
      </c>
      <c r="X2406" s="30">
        <v>198.32499999999999</v>
      </c>
      <c r="Y2406" s="33">
        <f t="shared" si="197"/>
        <v>0.19800000000000001</v>
      </c>
      <c r="AH2406" s="45">
        <f t="shared" si="201"/>
        <v>0</v>
      </c>
      <c r="AJ2406" s="44">
        <f t="shared" si="198"/>
        <v>2.4319999999999999</v>
      </c>
      <c r="AP2406" s="46">
        <f t="shared" si="199"/>
        <v>0.19800000000000001</v>
      </c>
    </row>
    <row r="2407" spans="19:42" ht="18">
      <c r="S2407" s="8">
        <f t="shared" si="200"/>
        <v>0</v>
      </c>
      <c r="W2407" s="3">
        <v>2433</v>
      </c>
      <c r="X2407" s="30">
        <v>198.363</v>
      </c>
      <c r="Y2407" s="33">
        <f t="shared" si="197"/>
        <v>0.19800000000000001</v>
      </c>
      <c r="AH2407" s="45">
        <f t="shared" si="201"/>
        <v>0</v>
      </c>
      <c r="AJ2407" s="44">
        <f t="shared" si="198"/>
        <v>2.4329999999999998</v>
      </c>
      <c r="AP2407" s="46">
        <f t="shared" si="199"/>
        <v>0.19800000000000001</v>
      </c>
    </row>
    <row r="2408" spans="19:42" ht="18">
      <c r="S2408" s="8">
        <f t="shared" si="200"/>
        <v>0</v>
      </c>
      <c r="W2408" s="3">
        <v>2434</v>
      </c>
      <c r="X2408" s="30">
        <v>198.4</v>
      </c>
      <c r="Y2408" s="33">
        <f t="shared" si="197"/>
        <v>0.19800000000000001</v>
      </c>
      <c r="AH2408" s="45">
        <f t="shared" si="201"/>
        <v>0</v>
      </c>
      <c r="AJ2408" s="44">
        <f t="shared" si="198"/>
        <v>2.4340000000000002</v>
      </c>
      <c r="AP2408" s="46">
        <f t="shared" si="199"/>
        <v>0.19800000000000001</v>
      </c>
    </row>
    <row r="2409" spans="19:42" ht="18">
      <c r="S2409" s="8">
        <f t="shared" si="200"/>
        <v>0</v>
      </c>
      <c r="W2409" s="3">
        <v>2435</v>
      </c>
      <c r="X2409" s="30">
        <v>198.43799999999999</v>
      </c>
      <c r="Y2409" s="33">
        <f t="shared" si="197"/>
        <v>0.19800000000000001</v>
      </c>
      <c r="AH2409" s="45">
        <f t="shared" si="201"/>
        <v>0</v>
      </c>
      <c r="AJ2409" s="44">
        <f t="shared" si="198"/>
        <v>2.4350000000000001</v>
      </c>
      <c r="AP2409" s="46">
        <f t="shared" si="199"/>
        <v>0.19800000000000001</v>
      </c>
    </row>
    <row r="2410" spans="19:42" ht="18">
      <c r="S2410" s="8">
        <f t="shared" si="200"/>
        <v>0</v>
      </c>
      <c r="W2410" s="3">
        <v>2436</v>
      </c>
      <c r="X2410" s="30">
        <v>198.47499999999999</v>
      </c>
      <c r="Y2410" s="33">
        <f t="shared" si="197"/>
        <v>0.19800000000000001</v>
      </c>
      <c r="AH2410" s="45">
        <f t="shared" si="201"/>
        <v>0</v>
      </c>
      <c r="AJ2410" s="44">
        <f t="shared" si="198"/>
        <v>2.4359999999999999</v>
      </c>
      <c r="AP2410" s="46">
        <f t="shared" si="199"/>
        <v>0.19800000000000001</v>
      </c>
    </row>
    <row r="2411" spans="19:42" ht="18">
      <c r="S2411" s="8">
        <f t="shared" si="200"/>
        <v>0</v>
      </c>
      <c r="W2411" s="3">
        <v>2437</v>
      </c>
      <c r="X2411" s="30">
        <v>198.51300000000001</v>
      </c>
      <c r="Y2411" s="33">
        <f t="shared" si="197"/>
        <v>0.19900000000000001</v>
      </c>
      <c r="AH2411" s="45">
        <f t="shared" si="201"/>
        <v>0</v>
      </c>
      <c r="AJ2411" s="44">
        <f t="shared" si="198"/>
        <v>2.4369999999999998</v>
      </c>
      <c r="AP2411" s="46">
        <f t="shared" si="199"/>
        <v>0.19900000000000001</v>
      </c>
    </row>
    <row r="2412" spans="19:42" ht="18">
      <c r="S2412" s="8">
        <f t="shared" si="200"/>
        <v>0</v>
      </c>
      <c r="W2412" s="3">
        <v>2438</v>
      </c>
      <c r="X2412" s="30">
        <v>198.55</v>
      </c>
      <c r="Y2412" s="33">
        <f t="shared" si="197"/>
        <v>0.19900000000000001</v>
      </c>
      <c r="AH2412" s="45">
        <f t="shared" si="201"/>
        <v>0</v>
      </c>
      <c r="AJ2412" s="44">
        <f t="shared" si="198"/>
        <v>2.4380000000000002</v>
      </c>
      <c r="AP2412" s="46">
        <f t="shared" si="199"/>
        <v>0.19900000000000001</v>
      </c>
    </row>
    <row r="2413" spans="19:42" ht="18">
      <c r="S2413" s="8">
        <f t="shared" si="200"/>
        <v>0</v>
      </c>
      <c r="W2413" s="3">
        <v>2439</v>
      </c>
      <c r="X2413" s="30">
        <v>198.58799999999999</v>
      </c>
      <c r="Y2413" s="33">
        <f t="shared" si="197"/>
        <v>0.19900000000000001</v>
      </c>
      <c r="AH2413" s="45">
        <f t="shared" si="201"/>
        <v>0</v>
      </c>
      <c r="AJ2413" s="44">
        <f t="shared" si="198"/>
        <v>2.4390000000000001</v>
      </c>
      <c r="AP2413" s="46">
        <f t="shared" si="199"/>
        <v>0.19900000000000001</v>
      </c>
    </row>
    <row r="2414" spans="19:42" ht="18">
      <c r="S2414" s="8">
        <f t="shared" si="200"/>
        <v>0</v>
      </c>
      <c r="W2414" s="3">
        <v>2440</v>
      </c>
      <c r="X2414" s="30">
        <v>198.625</v>
      </c>
      <c r="Y2414" s="33">
        <f t="shared" si="197"/>
        <v>0.19900000000000001</v>
      </c>
      <c r="AH2414" s="45">
        <f t="shared" si="201"/>
        <v>0</v>
      </c>
      <c r="AJ2414" s="44">
        <f t="shared" si="198"/>
        <v>2.44</v>
      </c>
      <c r="AP2414" s="46">
        <f t="shared" si="199"/>
        <v>0.19900000000000001</v>
      </c>
    </row>
    <row r="2415" spans="19:42" ht="18">
      <c r="S2415" s="8">
        <f t="shared" si="200"/>
        <v>0</v>
      </c>
      <c r="W2415" s="3">
        <v>2441</v>
      </c>
      <c r="X2415" s="30">
        <v>198.66300000000001</v>
      </c>
      <c r="Y2415" s="33">
        <f t="shared" si="197"/>
        <v>0.19900000000000001</v>
      </c>
      <c r="AH2415" s="45">
        <f t="shared" si="201"/>
        <v>0</v>
      </c>
      <c r="AJ2415" s="44">
        <f t="shared" si="198"/>
        <v>2.4409999999999998</v>
      </c>
      <c r="AP2415" s="46">
        <f t="shared" si="199"/>
        <v>0.19900000000000001</v>
      </c>
    </row>
    <row r="2416" spans="19:42" ht="18">
      <c r="S2416" s="8">
        <f t="shared" si="200"/>
        <v>0</v>
      </c>
      <c r="W2416" s="3">
        <v>2442</v>
      </c>
      <c r="X2416" s="30">
        <v>198.7</v>
      </c>
      <c r="Y2416" s="33">
        <f t="shared" si="197"/>
        <v>0.19900000000000001</v>
      </c>
      <c r="AH2416" s="45">
        <f t="shared" si="201"/>
        <v>0</v>
      </c>
      <c r="AJ2416" s="44">
        <f t="shared" si="198"/>
        <v>2.4420000000000002</v>
      </c>
      <c r="AP2416" s="46">
        <f t="shared" si="199"/>
        <v>0.19900000000000001</v>
      </c>
    </row>
    <row r="2417" spans="19:42" ht="18">
      <c r="S2417" s="8">
        <f t="shared" si="200"/>
        <v>0</v>
      </c>
      <c r="W2417" s="3">
        <v>2443</v>
      </c>
      <c r="X2417" s="30">
        <v>198.738</v>
      </c>
      <c r="Y2417" s="33">
        <f t="shared" si="197"/>
        <v>0.19900000000000001</v>
      </c>
      <c r="AH2417" s="45">
        <f t="shared" si="201"/>
        <v>0</v>
      </c>
      <c r="AJ2417" s="44">
        <f t="shared" si="198"/>
        <v>2.4430000000000001</v>
      </c>
      <c r="AP2417" s="46">
        <f t="shared" si="199"/>
        <v>0.19900000000000001</v>
      </c>
    </row>
    <row r="2418" spans="19:42" ht="18">
      <c r="S2418" s="8">
        <f t="shared" si="200"/>
        <v>0</v>
      </c>
      <c r="W2418" s="3">
        <v>2444</v>
      </c>
      <c r="X2418" s="30">
        <v>198.77500000000001</v>
      </c>
      <c r="Y2418" s="33">
        <f t="shared" si="197"/>
        <v>0.19900000000000001</v>
      </c>
      <c r="AH2418" s="45">
        <f t="shared" si="201"/>
        <v>0</v>
      </c>
      <c r="AJ2418" s="44">
        <f t="shared" si="198"/>
        <v>2.444</v>
      </c>
      <c r="AP2418" s="46">
        <f t="shared" si="199"/>
        <v>0.19900000000000001</v>
      </c>
    </row>
    <row r="2419" spans="19:42" ht="18">
      <c r="S2419" s="8">
        <f t="shared" si="200"/>
        <v>0</v>
      </c>
      <c r="W2419" s="3">
        <v>2445</v>
      </c>
      <c r="X2419" s="30">
        <v>198.81299999999999</v>
      </c>
      <c r="Y2419" s="33">
        <f t="shared" si="197"/>
        <v>0.19900000000000001</v>
      </c>
      <c r="AH2419" s="45">
        <f t="shared" si="201"/>
        <v>0</v>
      </c>
      <c r="AJ2419" s="44">
        <f t="shared" si="198"/>
        <v>2.4449999999999998</v>
      </c>
      <c r="AP2419" s="46">
        <f t="shared" si="199"/>
        <v>0.19900000000000001</v>
      </c>
    </row>
    <row r="2420" spans="19:42" ht="18">
      <c r="S2420" s="8">
        <f t="shared" si="200"/>
        <v>0</v>
      </c>
      <c r="W2420" s="3">
        <v>2446</v>
      </c>
      <c r="X2420" s="30">
        <v>198.85</v>
      </c>
      <c r="Y2420" s="33">
        <f t="shared" si="197"/>
        <v>0.19900000000000001</v>
      </c>
      <c r="AH2420" s="45">
        <f t="shared" si="201"/>
        <v>0</v>
      </c>
      <c r="AJ2420" s="44">
        <f t="shared" si="198"/>
        <v>2.4460000000000002</v>
      </c>
      <c r="AP2420" s="46">
        <f t="shared" si="199"/>
        <v>0.19900000000000001</v>
      </c>
    </row>
    <row r="2421" spans="19:42" ht="18">
      <c r="S2421" s="8">
        <f t="shared" si="200"/>
        <v>0</v>
      </c>
      <c r="W2421" s="3">
        <v>2447</v>
      </c>
      <c r="X2421" s="30">
        <v>198.88800000000001</v>
      </c>
      <c r="Y2421" s="33">
        <f t="shared" si="197"/>
        <v>0.19900000000000001</v>
      </c>
      <c r="AH2421" s="45">
        <f t="shared" si="201"/>
        <v>0</v>
      </c>
      <c r="AJ2421" s="44">
        <f t="shared" si="198"/>
        <v>2.4470000000000001</v>
      </c>
      <c r="AP2421" s="46">
        <f t="shared" si="199"/>
        <v>0.19900000000000001</v>
      </c>
    </row>
    <row r="2422" spans="19:42" ht="18">
      <c r="S2422" s="8">
        <f t="shared" si="200"/>
        <v>0</v>
      </c>
      <c r="W2422" s="3">
        <v>2448</v>
      </c>
      <c r="X2422" s="30">
        <v>198.92500000000001</v>
      </c>
      <c r="Y2422" s="33">
        <f t="shared" si="197"/>
        <v>0.19900000000000001</v>
      </c>
      <c r="AH2422" s="45">
        <f t="shared" si="201"/>
        <v>0</v>
      </c>
      <c r="AJ2422" s="44">
        <f t="shared" si="198"/>
        <v>2.448</v>
      </c>
      <c r="AP2422" s="46">
        <f t="shared" si="199"/>
        <v>0.19900000000000001</v>
      </c>
    </row>
    <row r="2423" spans="19:42" ht="18">
      <c r="S2423" s="8">
        <f t="shared" si="200"/>
        <v>0</v>
      </c>
      <c r="W2423" s="3">
        <v>2449</v>
      </c>
      <c r="X2423" s="30">
        <v>198.96299999999999</v>
      </c>
      <c r="Y2423" s="33">
        <f t="shared" si="197"/>
        <v>0.19900000000000001</v>
      </c>
      <c r="AH2423" s="45">
        <f t="shared" si="201"/>
        <v>0</v>
      </c>
      <c r="AJ2423" s="44">
        <f t="shared" si="198"/>
        <v>2.4489999999999998</v>
      </c>
      <c r="AP2423" s="46">
        <f t="shared" si="199"/>
        <v>0.19900000000000001</v>
      </c>
    </row>
    <row r="2424" spans="19:42" ht="18">
      <c r="S2424" s="8">
        <f t="shared" si="200"/>
        <v>0</v>
      </c>
      <c r="W2424" s="3">
        <v>2450</v>
      </c>
      <c r="X2424" s="30">
        <v>199</v>
      </c>
      <c r="Y2424" s="33">
        <f t="shared" si="197"/>
        <v>0.19900000000000001</v>
      </c>
      <c r="AH2424" s="45">
        <f t="shared" si="201"/>
        <v>0</v>
      </c>
      <c r="AJ2424" s="44">
        <f t="shared" si="198"/>
        <v>2.4500000000000002</v>
      </c>
      <c r="AP2424" s="46">
        <f t="shared" si="199"/>
        <v>0.19900000000000001</v>
      </c>
    </row>
    <row r="2425" spans="19:42" ht="18">
      <c r="S2425" s="8">
        <f t="shared" si="200"/>
        <v>0</v>
      </c>
      <c r="W2425" s="3">
        <v>2451</v>
      </c>
      <c r="X2425" s="30">
        <v>199.04400000000001</v>
      </c>
      <c r="Y2425" s="33">
        <f t="shared" si="197"/>
        <v>0.19900000000000001</v>
      </c>
      <c r="AH2425" s="45">
        <f t="shared" si="201"/>
        <v>0</v>
      </c>
      <c r="AJ2425" s="44">
        <f t="shared" si="198"/>
        <v>2.4510000000000001</v>
      </c>
      <c r="AP2425" s="46">
        <f t="shared" si="199"/>
        <v>0.19900000000000001</v>
      </c>
    </row>
    <row r="2426" spans="19:42" ht="18">
      <c r="S2426" s="8">
        <f t="shared" si="200"/>
        <v>0</v>
      </c>
      <c r="W2426" s="3">
        <v>2452</v>
      </c>
      <c r="X2426" s="30">
        <v>199.089</v>
      </c>
      <c r="Y2426" s="33">
        <f t="shared" si="197"/>
        <v>0.19900000000000001</v>
      </c>
      <c r="AH2426" s="45">
        <f t="shared" si="201"/>
        <v>0</v>
      </c>
      <c r="AJ2426" s="44">
        <f t="shared" si="198"/>
        <v>2.452</v>
      </c>
      <c r="AP2426" s="46">
        <f t="shared" si="199"/>
        <v>0.19900000000000001</v>
      </c>
    </row>
    <row r="2427" spans="19:42" ht="18">
      <c r="S2427" s="8">
        <f t="shared" si="200"/>
        <v>0</v>
      </c>
      <c r="W2427" s="3">
        <v>2453</v>
      </c>
      <c r="X2427" s="30">
        <v>199.13300000000001</v>
      </c>
      <c r="Y2427" s="33">
        <f t="shared" si="197"/>
        <v>0.19900000000000001</v>
      </c>
      <c r="AH2427" s="45">
        <f t="shared" si="201"/>
        <v>0</v>
      </c>
      <c r="AJ2427" s="44">
        <f t="shared" si="198"/>
        <v>2.4529999999999998</v>
      </c>
      <c r="AP2427" s="46">
        <f t="shared" si="199"/>
        <v>0.19900000000000001</v>
      </c>
    </row>
    <row r="2428" spans="19:42" ht="18">
      <c r="S2428" s="8">
        <f t="shared" si="200"/>
        <v>0</v>
      </c>
      <c r="W2428" s="3">
        <v>2454</v>
      </c>
      <c r="X2428" s="30">
        <v>199.178</v>
      </c>
      <c r="Y2428" s="33">
        <f t="shared" si="197"/>
        <v>0.19900000000000001</v>
      </c>
      <c r="AH2428" s="45">
        <f t="shared" si="201"/>
        <v>0</v>
      </c>
      <c r="AJ2428" s="44">
        <f t="shared" si="198"/>
        <v>2.4540000000000002</v>
      </c>
      <c r="AP2428" s="46">
        <f t="shared" si="199"/>
        <v>0.19900000000000001</v>
      </c>
    </row>
    <row r="2429" spans="19:42" ht="18">
      <c r="S2429" s="8">
        <f t="shared" si="200"/>
        <v>0</v>
      </c>
      <c r="W2429" s="3">
        <v>2455</v>
      </c>
      <c r="X2429" s="30">
        <v>199.22200000000001</v>
      </c>
      <c r="Y2429" s="33">
        <f t="shared" si="197"/>
        <v>0.19900000000000001</v>
      </c>
      <c r="AH2429" s="45">
        <f t="shared" si="201"/>
        <v>0</v>
      </c>
      <c r="AJ2429" s="44">
        <f t="shared" si="198"/>
        <v>2.4550000000000001</v>
      </c>
      <c r="AP2429" s="46">
        <f t="shared" si="199"/>
        <v>0.19900000000000001</v>
      </c>
    </row>
    <row r="2430" spans="19:42" ht="18">
      <c r="S2430" s="8">
        <f t="shared" si="200"/>
        <v>0</v>
      </c>
      <c r="W2430" s="3">
        <v>2456</v>
      </c>
      <c r="X2430" s="30">
        <v>199.267</v>
      </c>
      <c r="Y2430" s="33">
        <f t="shared" si="197"/>
        <v>0.19900000000000001</v>
      </c>
      <c r="AH2430" s="45">
        <f t="shared" si="201"/>
        <v>0</v>
      </c>
      <c r="AJ2430" s="44">
        <f t="shared" si="198"/>
        <v>2.456</v>
      </c>
      <c r="AP2430" s="46">
        <f t="shared" si="199"/>
        <v>0.19900000000000001</v>
      </c>
    </row>
    <row r="2431" spans="19:42" ht="18">
      <c r="S2431" s="8">
        <f t="shared" si="200"/>
        <v>0</v>
      </c>
      <c r="W2431" s="3">
        <v>2457</v>
      </c>
      <c r="X2431" s="30">
        <v>199.31100000000001</v>
      </c>
      <c r="Y2431" s="33">
        <f t="shared" si="197"/>
        <v>0.19900000000000001</v>
      </c>
      <c r="AH2431" s="45">
        <f t="shared" si="201"/>
        <v>0</v>
      </c>
      <c r="AJ2431" s="44">
        <f t="shared" si="198"/>
        <v>2.4569999999999999</v>
      </c>
      <c r="AP2431" s="46">
        <f t="shared" si="199"/>
        <v>0.19900000000000001</v>
      </c>
    </row>
    <row r="2432" spans="19:42" ht="18">
      <c r="S2432" s="8">
        <f t="shared" si="200"/>
        <v>0</v>
      </c>
      <c r="W2432" s="3">
        <v>2458</v>
      </c>
      <c r="X2432" s="30">
        <v>199.35599999999999</v>
      </c>
      <c r="Y2432" s="33">
        <f t="shared" si="197"/>
        <v>0.19900000000000001</v>
      </c>
      <c r="AH2432" s="45">
        <f t="shared" si="201"/>
        <v>0</v>
      </c>
      <c r="AJ2432" s="44">
        <f t="shared" si="198"/>
        <v>2.4580000000000002</v>
      </c>
      <c r="AP2432" s="46">
        <f t="shared" si="199"/>
        <v>0.19900000000000001</v>
      </c>
    </row>
    <row r="2433" spans="19:42" ht="18">
      <c r="S2433" s="8">
        <f t="shared" si="200"/>
        <v>0</v>
      </c>
      <c r="W2433" s="3">
        <v>2459</v>
      </c>
      <c r="X2433" s="30">
        <v>199.4</v>
      </c>
      <c r="Y2433" s="33">
        <f t="shared" si="197"/>
        <v>0.19900000000000001</v>
      </c>
      <c r="AH2433" s="45">
        <f t="shared" si="201"/>
        <v>0</v>
      </c>
      <c r="AJ2433" s="44">
        <f t="shared" si="198"/>
        <v>2.4590000000000001</v>
      </c>
      <c r="AP2433" s="46">
        <f t="shared" si="199"/>
        <v>0.19900000000000001</v>
      </c>
    </row>
    <row r="2434" spans="19:42" ht="18">
      <c r="S2434" s="8">
        <f t="shared" si="200"/>
        <v>0</v>
      </c>
      <c r="W2434" s="3">
        <v>2460</v>
      </c>
      <c r="X2434" s="30">
        <v>199.44399999999999</v>
      </c>
      <c r="Y2434" s="33">
        <f t="shared" si="197"/>
        <v>0.19900000000000001</v>
      </c>
      <c r="AH2434" s="45">
        <f t="shared" si="201"/>
        <v>0</v>
      </c>
      <c r="AJ2434" s="44">
        <f t="shared" si="198"/>
        <v>2.46</v>
      </c>
      <c r="AP2434" s="46">
        <f t="shared" si="199"/>
        <v>0.19900000000000001</v>
      </c>
    </row>
    <row r="2435" spans="19:42" ht="18">
      <c r="S2435" s="8">
        <f t="shared" si="200"/>
        <v>0</v>
      </c>
      <c r="W2435" s="3">
        <v>2461</v>
      </c>
      <c r="X2435" s="30">
        <v>199.489</v>
      </c>
      <c r="Y2435" s="33">
        <f t="shared" si="197"/>
        <v>0.19900000000000001</v>
      </c>
      <c r="AH2435" s="45">
        <f t="shared" si="201"/>
        <v>0</v>
      </c>
      <c r="AJ2435" s="44">
        <f t="shared" si="198"/>
        <v>2.4609999999999999</v>
      </c>
      <c r="AP2435" s="46">
        <f t="shared" si="199"/>
        <v>0.19900000000000001</v>
      </c>
    </row>
    <row r="2436" spans="19:42" ht="18">
      <c r="S2436" s="8">
        <f t="shared" si="200"/>
        <v>0</v>
      </c>
      <c r="W2436" s="3">
        <v>2462</v>
      </c>
      <c r="X2436" s="30">
        <v>199.53299999999999</v>
      </c>
      <c r="Y2436" s="33">
        <f t="shared" si="197"/>
        <v>0.2</v>
      </c>
      <c r="AH2436" s="45">
        <f t="shared" si="201"/>
        <v>0</v>
      </c>
      <c r="AJ2436" s="44">
        <f t="shared" si="198"/>
        <v>2.4620000000000002</v>
      </c>
      <c r="AP2436" s="46">
        <f t="shared" si="199"/>
        <v>0.2</v>
      </c>
    </row>
    <row r="2437" spans="19:42" ht="18">
      <c r="S2437" s="8">
        <f t="shared" si="200"/>
        <v>0</v>
      </c>
      <c r="W2437" s="3">
        <v>2463</v>
      </c>
      <c r="X2437" s="30">
        <v>199.578</v>
      </c>
      <c r="Y2437" s="33">
        <f t="shared" ref="Y2437:Y2500" si="202">ROUND(X2437/1000,3)</f>
        <v>0.2</v>
      </c>
      <c r="AH2437" s="45">
        <f t="shared" si="201"/>
        <v>0</v>
      </c>
      <c r="AJ2437" s="44">
        <f t="shared" ref="AJ2437:AJ2500" si="203">ROUND(W2437/1000,3)</f>
        <v>2.4630000000000001</v>
      </c>
      <c r="AP2437" s="46">
        <f t="shared" ref="AP2437:AP2500" si="204">ROUND(X2437/1000,3)</f>
        <v>0.2</v>
      </c>
    </row>
    <row r="2438" spans="19:42" ht="18">
      <c r="S2438" s="8">
        <f t="shared" ref="S2438:S2501" si="205">CEILING(R2438/50,0.5)</f>
        <v>0</v>
      </c>
      <c r="W2438" s="3">
        <v>2464</v>
      </c>
      <c r="X2438" s="30">
        <v>199.62200000000001</v>
      </c>
      <c r="Y2438" s="33">
        <f t="shared" si="202"/>
        <v>0.2</v>
      </c>
      <c r="AH2438" s="45">
        <f t="shared" ref="AH2438:AH2501" si="206">AE2438-AE2437</f>
        <v>0</v>
      </c>
      <c r="AJ2438" s="44">
        <f t="shared" si="203"/>
        <v>2.464</v>
      </c>
      <c r="AP2438" s="46">
        <f t="shared" si="204"/>
        <v>0.2</v>
      </c>
    </row>
    <row r="2439" spans="19:42" ht="18">
      <c r="S2439" s="8">
        <f t="shared" si="205"/>
        <v>0</v>
      </c>
      <c r="W2439" s="3">
        <v>2465</v>
      </c>
      <c r="X2439" s="30">
        <v>199.667</v>
      </c>
      <c r="Y2439" s="33">
        <f t="shared" si="202"/>
        <v>0.2</v>
      </c>
      <c r="AH2439" s="45">
        <f t="shared" si="206"/>
        <v>0</v>
      </c>
      <c r="AJ2439" s="44">
        <f t="shared" si="203"/>
        <v>2.4649999999999999</v>
      </c>
      <c r="AP2439" s="46">
        <f t="shared" si="204"/>
        <v>0.2</v>
      </c>
    </row>
    <row r="2440" spans="19:42" ht="18">
      <c r="S2440" s="8">
        <f t="shared" si="205"/>
        <v>0</v>
      </c>
      <c r="W2440" s="3">
        <v>2466</v>
      </c>
      <c r="X2440" s="30">
        <v>199.71100000000001</v>
      </c>
      <c r="Y2440" s="33">
        <f t="shared" si="202"/>
        <v>0.2</v>
      </c>
      <c r="AH2440" s="45">
        <f t="shared" si="206"/>
        <v>0</v>
      </c>
      <c r="AJ2440" s="44">
        <f t="shared" si="203"/>
        <v>2.4660000000000002</v>
      </c>
      <c r="AP2440" s="46">
        <f t="shared" si="204"/>
        <v>0.2</v>
      </c>
    </row>
    <row r="2441" spans="19:42" ht="18">
      <c r="S2441" s="8">
        <f t="shared" si="205"/>
        <v>0</v>
      </c>
      <c r="W2441" s="3">
        <v>2467</v>
      </c>
      <c r="X2441" s="30">
        <v>199.756</v>
      </c>
      <c r="Y2441" s="33">
        <f t="shared" si="202"/>
        <v>0.2</v>
      </c>
      <c r="AH2441" s="45">
        <f t="shared" si="206"/>
        <v>0</v>
      </c>
      <c r="AJ2441" s="44">
        <f t="shared" si="203"/>
        <v>2.4670000000000001</v>
      </c>
      <c r="AP2441" s="46">
        <f t="shared" si="204"/>
        <v>0.2</v>
      </c>
    </row>
    <row r="2442" spans="19:42" ht="18">
      <c r="S2442" s="8">
        <f t="shared" si="205"/>
        <v>0</v>
      </c>
      <c r="W2442" s="3">
        <v>2468</v>
      </c>
      <c r="X2442" s="30">
        <v>199.8</v>
      </c>
      <c r="Y2442" s="33">
        <f t="shared" si="202"/>
        <v>0.2</v>
      </c>
      <c r="AH2442" s="45">
        <f t="shared" si="206"/>
        <v>0</v>
      </c>
      <c r="AJ2442" s="44">
        <f t="shared" si="203"/>
        <v>2.468</v>
      </c>
      <c r="AP2442" s="46">
        <f t="shared" si="204"/>
        <v>0.2</v>
      </c>
    </row>
    <row r="2443" spans="19:42" ht="18">
      <c r="S2443" s="8">
        <f t="shared" si="205"/>
        <v>0</v>
      </c>
      <c r="W2443" s="3">
        <v>2469</v>
      </c>
      <c r="X2443" s="30">
        <v>199.84399999999999</v>
      </c>
      <c r="Y2443" s="33">
        <f t="shared" si="202"/>
        <v>0.2</v>
      </c>
      <c r="AH2443" s="45">
        <f t="shared" si="206"/>
        <v>0</v>
      </c>
      <c r="AJ2443" s="44">
        <f t="shared" si="203"/>
        <v>2.4689999999999999</v>
      </c>
      <c r="AP2443" s="46">
        <f t="shared" si="204"/>
        <v>0.2</v>
      </c>
    </row>
    <row r="2444" spans="19:42" ht="18">
      <c r="S2444" s="8">
        <f t="shared" si="205"/>
        <v>0</v>
      </c>
      <c r="W2444" s="3">
        <v>2470</v>
      </c>
      <c r="X2444" s="30">
        <v>199.88900000000001</v>
      </c>
      <c r="Y2444" s="33">
        <f t="shared" si="202"/>
        <v>0.2</v>
      </c>
      <c r="AH2444" s="45">
        <f t="shared" si="206"/>
        <v>0</v>
      </c>
      <c r="AJ2444" s="44">
        <f t="shared" si="203"/>
        <v>2.4700000000000002</v>
      </c>
      <c r="AP2444" s="46">
        <f t="shared" si="204"/>
        <v>0.2</v>
      </c>
    </row>
    <row r="2445" spans="19:42" ht="18">
      <c r="S2445" s="8">
        <f t="shared" si="205"/>
        <v>0</v>
      </c>
      <c r="W2445" s="3">
        <v>2471</v>
      </c>
      <c r="X2445" s="30">
        <v>199.93299999999999</v>
      </c>
      <c r="Y2445" s="33">
        <f t="shared" si="202"/>
        <v>0.2</v>
      </c>
      <c r="AH2445" s="45">
        <f t="shared" si="206"/>
        <v>0</v>
      </c>
      <c r="AJ2445" s="44">
        <f t="shared" si="203"/>
        <v>2.4710000000000001</v>
      </c>
      <c r="AP2445" s="46">
        <f t="shared" si="204"/>
        <v>0.2</v>
      </c>
    </row>
    <row r="2446" spans="19:42" ht="18">
      <c r="S2446" s="8">
        <f t="shared" si="205"/>
        <v>0</v>
      </c>
      <c r="W2446" s="3">
        <v>2472</v>
      </c>
      <c r="X2446" s="30">
        <v>199.97800000000001</v>
      </c>
      <c r="Y2446" s="33">
        <f t="shared" si="202"/>
        <v>0.2</v>
      </c>
      <c r="AH2446" s="45">
        <f t="shared" si="206"/>
        <v>0</v>
      </c>
      <c r="AJ2446" s="44">
        <f t="shared" si="203"/>
        <v>2.472</v>
      </c>
      <c r="AP2446" s="46">
        <f t="shared" si="204"/>
        <v>0.2</v>
      </c>
    </row>
    <row r="2447" spans="19:42" ht="18">
      <c r="S2447" s="8">
        <f t="shared" si="205"/>
        <v>0</v>
      </c>
      <c r="W2447" s="3">
        <v>2473</v>
      </c>
      <c r="X2447" s="30">
        <v>200.02199999999999</v>
      </c>
      <c r="Y2447" s="33">
        <f t="shared" si="202"/>
        <v>0.2</v>
      </c>
      <c r="AH2447" s="45">
        <f t="shared" si="206"/>
        <v>0</v>
      </c>
      <c r="AJ2447" s="44">
        <f t="shared" si="203"/>
        <v>2.4729999999999999</v>
      </c>
      <c r="AP2447" s="46">
        <f t="shared" si="204"/>
        <v>0.2</v>
      </c>
    </row>
    <row r="2448" spans="19:42" ht="18">
      <c r="S2448" s="8">
        <f t="shared" si="205"/>
        <v>0</v>
      </c>
      <c r="W2448" s="3">
        <v>2474</v>
      </c>
      <c r="X2448" s="30">
        <v>200.06700000000001</v>
      </c>
      <c r="Y2448" s="33">
        <f t="shared" si="202"/>
        <v>0.2</v>
      </c>
      <c r="AH2448" s="45">
        <f t="shared" si="206"/>
        <v>0</v>
      </c>
      <c r="AJ2448" s="44">
        <f t="shared" si="203"/>
        <v>2.4740000000000002</v>
      </c>
      <c r="AP2448" s="46">
        <f t="shared" si="204"/>
        <v>0.2</v>
      </c>
    </row>
    <row r="2449" spans="19:42" ht="18">
      <c r="S2449" s="8">
        <f t="shared" si="205"/>
        <v>0</v>
      </c>
      <c r="W2449" s="3">
        <v>2475</v>
      </c>
      <c r="X2449" s="30">
        <v>200.11099999999999</v>
      </c>
      <c r="Y2449" s="33">
        <f t="shared" si="202"/>
        <v>0.2</v>
      </c>
      <c r="AH2449" s="45">
        <f t="shared" si="206"/>
        <v>0</v>
      </c>
      <c r="AJ2449" s="44">
        <f t="shared" si="203"/>
        <v>2.4750000000000001</v>
      </c>
      <c r="AP2449" s="46">
        <f t="shared" si="204"/>
        <v>0.2</v>
      </c>
    </row>
    <row r="2450" spans="19:42" ht="18">
      <c r="S2450" s="8">
        <f t="shared" si="205"/>
        <v>0</v>
      </c>
      <c r="W2450" s="3">
        <v>2476</v>
      </c>
      <c r="X2450" s="30">
        <v>200.15600000000001</v>
      </c>
      <c r="Y2450" s="33">
        <f t="shared" si="202"/>
        <v>0.2</v>
      </c>
      <c r="AH2450" s="45">
        <f t="shared" si="206"/>
        <v>0</v>
      </c>
      <c r="AJ2450" s="44">
        <f t="shared" si="203"/>
        <v>2.476</v>
      </c>
      <c r="AP2450" s="46">
        <f t="shared" si="204"/>
        <v>0.2</v>
      </c>
    </row>
    <row r="2451" spans="19:42" ht="18">
      <c r="S2451" s="8">
        <f t="shared" si="205"/>
        <v>0</v>
      </c>
      <c r="W2451" s="3">
        <v>2477</v>
      </c>
      <c r="X2451" s="30">
        <v>200.2</v>
      </c>
      <c r="Y2451" s="33">
        <f t="shared" si="202"/>
        <v>0.2</v>
      </c>
      <c r="AH2451" s="45">
        <f t="shared" si="206"/>
        <v>0</v>
      </c>
      <c r="AJ2451" s="44">
        <f t="shared" si="203"/>
        <v>2.4769999999999999</v>
      </c>
      <c r="AP2451" s="46">
        <f t="shared" si="204"/>
        <v>0.2</v>
      </c>
    </row>
    <row r="2452" spans="19:42" ht="18">
      <c r="S2452" s="8">
        <f t="shared" si="205"/>
        <v>0</v>
      </c>
      <c r="W2452" s="3">
        <v>2478</v>
      </c>
      <c r="X2452" s="30">
        <v>200.244</v>
      </c>
      <c r="Y2452" s="33">
        <f t="shared" si="202"/>
        <v>0.2</v>
      </c>
      <c r="AH2452" s="45">
        <f t="shared" si="206"/>
        <v>0</v>
      </c>
      <c r="AJ2452" s="44">
        <f t="shared" si="203"/>
        <v>2.4780000000000002</v>
      </c>
      <c r="AP2452" s="46">
        <f t="shared" si="204"/>
        <v>0.2</v>
      </c>
    </row>
    <row r="2453" spans="19:42" ht="18">
      <c r="S2453" s="8">
        <f t="shared" si="205"/>
        <v>0</v>
      </c>
      <c r="W2453" s="3">
        <v>2479</v>
      </c>
      <c r="X2453" s="30">
        <v>200.28899999999999</v>
      </c>
      <c r="Y2453" s="33">
        <f t="shared" si="202"/>
        <v>0.2</v>
      </c>
      <c r="AH2453" s="45">
        <f t="shared" si="206"/>
        <v>0</v>
      </c>
      <c r="AJ2453" s="44">
        <f t="shared" si="203"/>
        <v>2.4790000000000001</v>
      </c>
      <c r="AP2453" s="46">
        <f t="shared" si="204"/>
        <v>0.2</v>
      </c>
    </row>
    <row r="2454" spans="19:42" ht="18">
      <c r="S2454" s="8">
        <f t="shared" si="205"/>
        <v>0</v>
      </c>
      <c r="W2454" s="3">
        <v>2480</v>
      </c>
      <c r="X2454" s="30">
        <v>200.333</v>
      </c>
      <c r="Y2454" s="33">
        <f t="shared" si="202"/>
        <v>0.2</v>
      </c>
      <c r="AH2454" s="45">
        <f t="shared" si="206"/>
        <v>0</v>
      </c>
      <c r="AJ2454" s="44">
        <f t="shared" si="203"/>
        <v>2.48</v>
      </c>
      <c r="AP2454" s="46">
        <f t="shared" si="204"/>
        <v>0.2</v>
      </c>
    </row>
    <row r="2455" spans="19:42" ht="18">
      <c r="S2455" s="8">
        <f t="shared" si="205"/>
        <v>0</v>
      </c>
      <c r="W2455" s="3">
        <v>2481</v>
      </c>
      <c r="X2455" s="30">
        <v>200.37799999999999</v>
      </c>
      <c r="Y2455" s="33">
        <f t="shared" si="202"/>
        <v>0.2</v>
      </c>
      <c r="AH2455" s="45">
        <f t="shared" si="206"/>
        <v>0</v>
      </c>
      <c r="AJ2455" s="44">
        <f t="shared" si="203"/>
        <v>2.4809999999999999</v>
      </c>
      <c r="AP2455" s="46">
        <f t="shared" si="204"/>
        <v>0.2</v>
      </c>
    </row>
    <row r="2456" spans="19:42" ht="18">
      <c r="S2456" s="8">
        <f t="shared" si="205"/>
        <v>0</v>
      </c>
      <c r="W2456" s="3">
        <v>2482</v>
      </c>
      <c r="X2456" s="30">
        <v>200.422</v>
      </c>
      <c r="Y2456" s="33">
        <f t="shared" si="202"/>
        <v>0.2</v>
      </c>
      <c r="AH2456" s="45">
        <f t="shared" si="206"/>
        <v>0</v>
      </c>
      <c r="AJ2456" s="44">
        <f t="shared" si="203"/>
        <v>2.4820000000000002</v>
      </c>
      <c r="AP2456" s="46">
        <f t="shared" si="204"/>
        <v>0.2</v>
      </c>
    </row>
    <row r="2457" spans="19:42" ht="18">
      <c r="S2457" s="8">
        <f t="shared" si="205"/>
        <v>0</v>
      </c>
      <c r="W2457" s="3">
        <v>2483</v>
      </c>
      <c r="X2457" s="30">
        <v>200.46700000000001</v>
      </c>
      <c r="Y2457" s="33">
        <f t="shared" si="202"/>
        <v>0.2</v>
      </c>
      <c r="AH2457" s="45">
        <f t="shared" si="206"/>
        <v>0</v>
      </c>
      <c r="AJ2457" s="44">
        <f t="shared" si="203"/>
        <v>2.4830000000000001</v>
      </c>
      <c r="AP2457" s="46">
        <f t="shared" si="204"/>
        <v>0.2</v>
      </c>
    </row>
    <row r="2458" spans="19:42" ht="18">
      <c r="S2458" s="8">
        <f t="shared" si="205"/>
        <v>0</v>
      </c>
      <c r="W2458" s="3">
        <v>2484</v>
      </c>
      <c r="X2458" s="30">
        <v>200.511</v>
      </c>
      <c r="Y2458" s="33">
        <f t="shared" si="202"/>
        <v>0.20100000000000001</v>
      </c>
      <c r="AH2458" s="45">
        <f t="shared" si="206"/>
        <v>0</v>
      </c>
      <c r="AJ2458" s="44">
        <f t="shared" si="203"/>
        <v>2.484</v>
      </c>
      <c r="AP2458" s="46">
        <f t="shared" si="204"/>
        <v>0.20100000000000001</v>
      </c>
    </row>
    <row r="2459" spans="19:42" ht="18">
      <c r="S2459" s="8">
        <f t="shared" si="205"/>
        <v>0</v>
      </c>
      <c r="W2459" s="3">
        <v>2485</v>
      </c>
      <c r="X2459" s="30">
        <v>200.55600000000001</v>
      </c>
      <c r="Y2459" s="33">
        <f t="shared" si="202"/>
        <v>0.20100000000000001</v>
      </c>
      <c r="AH2459" s="45">
        <f t="shared" si="206"/>
        <v>0</v>
      </c>
      <c r="AJ2459" s="44">
        <f t="shared" si="203"/>
        <v>2.4849999999999999</v>
      </c>
      <c r="AP2459" s="46">
        <f t="shared" si="204"/>
        <v>0.20100000000000001</v>
      </c>
    </row>
    <row r="2460" spans="19:42" ht="18">
      <c r="S2460" s="8">
        <f t="shared" si="205"/>
        <v>0</v>
      </c>
      <c r="W2460" s="3">
        <v>2486</v>
      </c>
      <c r="X2460" s="30">
        <v>200.6</v>
      </c>
      <c r="Y2460" s="33">
        <f t="shared" si="202"/>
        <v>0.20100000000000001</v>
      </c>
      <c r="AH2460" s="45">
        <f t="shared" si="206"/>
        <v>0</v>
      </c>
      <c r="AJ2460" s="44">
        <f t="shared" si="203"/>
        <v>2.4860000000000002</v>
      </c>
      <c r="AP2460" s="46">
        <f t="shared" si="204"/>
        <v>0.20100000000000001</v>
      </c>
    </row>
    <row r="2461" spans="19:42" ht="18">
      <c r="S2461" s="8">
        <f t="shared" si="205"/>
        <v>0</v>
      </c>
      <c r="W2461" s="3">
        <v>2487</v>
      </c>
      <c r="X2461" s="30">
        <v>200.64400000000001</v>
      </c>
      <c r="Y2461" s="33">
        <f t="shared" si="202"/>
        <v>0.20100000000000001</v>
      </c>
      <c r="AH2461" s="45">
        <f t="shared" si="206"/>
        <v>0</v>
      </c>
      <c r="AJ2461" s="44">
        <f t="shared" si="203"/>
        <v>2.4870000000000001</v>
      </c>
      <c r="AP2461" s="46">
        <f t="shared" si="204"/>
        <v>0.20100000000000001</v>
      </c>
    </row>
    <row r="2462" spans="19:42" ht="18">
      <c r="S2462" s="8">
        <f t="shared" si="205"/>
        <v>0</v>
      </c>
      <c r="W2462" s="3">
        <v>2488</v>
      </c>
      <c r="X2462" s="30">
        <v>200.68899999999999</v>
      </c>
      <c r="Y2462" s="33">
        <f t="shared" si="202"/>
        <v>0.20100000000000001</v>
      </c>
      <c r="AH2462" s="45">
        <f t="shared" si="206"/>
        <v>0</v>
      </c>
      <c r="AJ2462" s="44">
        <f t="shared" si="203"/>
        <v>2.488</v>
      </c>
      <c r="AP2462" s="46">
        <f t="shared" si="204"/>
        <v>0.20100000000000001</v>
      </c>
    </row>
    <row r="2463" spans="19:42" ht="18">
      <c r="S2463" s="8">
        <f t="shared" si="205"/>
        <v>0</v>
      </c>
      <c r="W2463" s="3">
        <v>2489</v>
      </c>
      <c r="X2463" s="30">
        <v>200.733</v>
      </c>
      <c r="Y2463" s="33">
        <f t="shared" si="202"/>
        <v>0.20100000000000001</v>
      </c>
      <c r="AH2463" s="45">
        <f t="shared" si="206"/>
        <v>0</v>
      </c>
      <c r="AJ2463" s="44">
        <f t="shared" si="203"/>
        <v>2.4889999999999999</v>
      </c>
      <c r="AP2463" s="46">
        <f t="shared" si="204"/>
        <v>0.20100000000000001</v>
      </c>
    </row>
    <row r="2464" spans="19:42" ht="18">
      <c r="S2464" s="8">
        <f t="shared" si="205"/>
        <v>0</v>
      </c>
      <c r="W2464" s="3">
        <v>2490</v>
      </c>
      <c r="X2464" s="30">
        <v>200.77799999999999</v>
      </c>
      <c r="Y2464" s="33">
        <f t="shared" si="202"/>
        <v>0.20100000000000001</v>
      </c>
      <c r="AH2464" s="45">
        <f t="shared" si="206"/>
        <v>0</v>
      </c>
      <c r="AJ2464" s="44">
        <f t="shared" si="203"/>
        <v>2.4900000000000002</v>
      </c>
      <c r="AP2464" s="46">
        <f t="shared" si="204"/>
        <v>0.20100000000000001</v>
      </c>
    </row>
    <row r="2465" spans="19:42" ht="18">
      <c r="S2465" s="8">
        <f t="shared" si="205"/>
        <v>0</v>
      </c>
      <c r="W2465" s="3">
        <v>2491</v>
      </c>
      <c r="X2465" s="30">
        <v>200.822</v>
      </c>
      <c r="Y2465" s="33">
        <f t="shared" si="202"/>
        <v>0.20100000000000001</v>
      </c>
      <c r="AH2465" s="45">
        <f t="shared" si="206"/>
        <v>0</v>
      </c>
      <c r="AJ2465" s="44">
        <f t="shared" si="203"/>
        <v>2.4910000000000001</v>
      </c>
      <c r="AP2465" s="46">
        <f t="shared" si="204"/>
        <v>0.20100000000000001</v>
      </c>
    </row>
    <row r="2466" spans="19:42" ht="18">
      <c r="S2466" s="8">
        <f t="shared" si="205"/>
        <v>0</v>
      </c>
      <c r="W2466" s="3">
        <v>2492</v>
      </c>
      <c r="X2466" s="30">
        <v>200.86699999999999</v>
      </c>
      <c r="Y2466" s="33">
        <f t="shared" si="202"/>
        <v>0.20100000000000001</v>
      </c>
      <c r="AH2466" s="45">
        <f t="shared" si="206"/>
        <v>0</v>
      </c>
      <c r="AJ2466" s="44">
        <f t="shared" si="203"/>
        <v>2.492</v>
      </c>
      <c r="AP2466" s="46">
        <f t="shared" si="204"/>
        <v>0.20100000000000001</v>
      </c>
    </row>
    <row r="2467" spans="19:42" ht="18">
      <c r="S2467" s="8">
        <f t="shared" si="205"/>
        <v>0</v>
      </c>
      <c r="W2467" s="3">
        <v>2493</v>
      </c>
      <c r="X2467" s="30">
        <v>200.911</v>
      </c>
      <c r="Y2467" s="33">
        <f t="shared" si="202"/>
        <v>0.20100000000000001</v>
      </c>
      <c r="AH2467" s="45">
        <f t="shared" si="206"/>
        <v>0</v>
      </c>
      <c r="AJ2467" s="44">
        <f t="shared" si="203"/>
        <v>2.4929999999999999</v>
      </c>
      <c r="AP2467" s="46">
        <f t="shared" si="204"/>
        <v>0.20100000000000001</v>
      </c>
    </row>
    <row r="2468" spans="19:42" ht="18">
      <c r="S2468" s="8">
        <f t="shared" si="205"/>
        <v>0</v>
      </c>
      <c r="W2468" s="3">
        <v>2494</v>
      </c>
      <c r="X2468" s="30">
        <v>200.95599999999999</v>
      </c>
      <c r="Y2468" s="33">
        <f t="shared" si="202"/>
        <v>0.20100000000000001</v>
      </c>
      <c r="AH2468" s="45">
        <f t="shared" si="206"/>
        <v>0</v>
      </c>
      <c r="AJ2468" s="44">
        <f t="shared" si="203"/>
        <v>2.4940000000000002</v>
      </c>
      <c r="AP2468" s="46">
        <f t="shared" si="204"/>
        <v>0.20100000000000001</v>
      </c>
    </row>
    <row r="2469" spans="19:42" ht="18">
      <c r="S2469" s="8">
        <f t="shared" si="205"/>
        <v>0</v>
      </c>
      <c r="W2469" s="3">
        <v>2495</v>
      </c>
      <c r="X2469" s="30">
        <v>201</v>
      </c>
      <c r="Y2469" s="33">
        <f t="shared" si="202"/>
        <v>0.20100000000000001</v>
      </c>
      <c r="AH2469" s="45">
        <f t="shared" si="206"/>
        <v>0</v>
      </c>
      <c r="AJ2469" s="44">
        <f t="shared" si="203"/>
        <v>2.4950000000000001</v>
      </c>
      <c r="AP2469" s="46">
        <f t="shared" si="204"/>
        <v>0.20100000000000001</v>
      </c>
    </row>
    <row r="2470" spans="19:42" ht="18">
      <c r="S2470" s="8">
        <f t="shared" si="205"/>
        <v>0</v>
      </c>
      <c r="W2470" s="3">
        <v>2496</v>
      </c>
      <c r="X2470" s="30">
        <v>201.04400000000001</v>
      </c>
      <c r="Y2470" s="33">
        <f t="shared" si="202"/>
        <v>0.20100000000000001</v>
      </c>
      <c r="AH2470" s="45">
        <f t="shared" si="206"/>
        <v>0</v>
      </c>
      <c r="AJ2470" s="44">
        <f t="shared" si="203"/>
        <v>2.496</v>
      </c>
      <c r="AP2470" s="46">
        <f t="shared" si="204"/>
        <v>0.20100000000000001</v>
      </c>
    </row>
    <row r="2471" spans="19:42" ht="18">
      <c r="S2471" s="8">
        <f t="shared" si="205"/>
        <v>0</v>
      </c>
      <c r="W2471" s="3">
        <v>2497</v>
      </c>
      <c r="X2471" s="30">
        <v>201.089</v>
      </c>
      <c r="Y2471" s="33">
        <f t="shared" si="202"/>
        <v>0.20100000000000001</v>
      </c>
      <c r="AH2471" s="45">
        <f t="shared" si="206"/>
        <v>0</v>
      </c>
      <c r="AJ2471" s="44">
        <f t="shared" si="203"/>
        <v>2.4969999999999999</v>
      </c>
      <c r="AP2471" s="46">
        <f t="shared" si="204"/>
        <v>0.20100000000000001</v>
      </c>
    </row>
    <row r="2472" spans="19:42" ht="18">
      <c r="S2472" s="8">
        <f t="shared" si="205"/>
        <v>0</v>
      </c>
      <c r="W2472" s="3">
        <v>2498</v>
      </c>
      <c r="X2472" s="30">
        <v>201.13300000000001</v>
      </c>
      <c r="Y2472" s="33">
        <f t="shared" si="202"/>
        <v>0.20100000000000001</v>
      </c>
      <c r="AH2472" s="45">
        <f t="shared" si="206"/>
        <v>0</v>
      </c>
      <c r="AJ2472" s="44">
        <f t="shared" si="203"/>
        <v>2.4980000000000002</v>
      </c>
      <c r="AP2472" s="46">
        <f t="shared" si="204"/>
        <v>0.20100000000000001</v>
      </c>
    </row>
    <row r="2473" spans="19:42" ht="18">
      <c r="S2473" s="8">
        <f t="shared" si="205"/>
        <v>0</v>
      </c>
      <c r="W2473" s="3">
        <v>2499</v>
      </c>
      <c r="X2473" s="30">
        <v>201.178</v>
      </c>
      <c r="Y2473" s="33">
        <f t="shared" si="202"/>
        <v>0.20100000000000001</v>
      </c>
      <c r="AH2473" s="45">
        <f t="shared" si="206"/>
        <v>0</v>
      </c>
      <c r="AJ2473" s="44">
        <f t="shared" si="203"/>
        <v>2.4990000000000001</v>
      </c>
      <c r="AP2473" s="46">
        <f t="shared" si="204"/>
        <v>0.20100000000000001</v>
      </c>
    </row>
    <row r="2474" spans="19:42" ht="18">
      <c r="S2474" s="8">
        <f t="shared" si="205"/>
        <v>0</v>
      </c>
      <c r="W2474" s="3">
        <v>2500</v>
      </c>
      <c r="X2474" s="30">
        <v>201.22200000000001</v>
      </c>
      <c r="Y2474" s="33">
        <f t="shared" si="202"/>
        <v>0.20100000000000001</v>
      </c>
      <c r="AH2474" s="45">
        <f t="shared" si="206"/>
        <v>0</v>
      </c>
      <c r="AJ2474" s="44">
        <f t="shared" si="203"/>
        <v>2.5</v>
      </c>
      <c r="AP2474" s="46">
        <f t="shared" si="204"/>
        <v>0.20100000000000001</v>
      </c>
    </row>
    <row r="2475" spans="19:42" ht="18">
      <c r="S2475" s="8">
        <f t="shared" si="205"/>
        <v>0</v>
      </c>
      <c r="W2475" s="3">
        <v>2501</v>
      </c>
      <c r="X2475" s="30">
        <v>201.267</v>
      </c>
      <c r="Y2475" s="33">
        <f t="shared" si="202"/>
        <v>0.20100000000000001</v>
      </c>
      <c r="AH2475" s="45">
        <f t="shared" si="206"/>
        <v>0</v>
      </c>
      <c r="AJ2475" s="44">
        <f t="shared" si="203"/>
        <v>2.5009999999999999</v>
      </c>
      <c r="AP2475" s="46">
        <f t="shared" si="204"/>
        <v>0.20100000000000001</v>
      </c>
    </row>
    <row r="2476" spans="19:42" ht="18">
      <c r="S2476" s="8">
        <f t="shared" si="205"/>
        <v>0</v>
      </c>
      <c r="W2476" s="3">
        <v>2502</v>
      </c>
      <c r="X2476" s="30">
        <v>201.31100000000001</v>
      </c>
      <c r="Y2476" s="33">
        <f t="shared" si="202"/>
        <v>0.20100000000000001</v>
      </c>
      <c r="AH2476" s="45">
        <f t="shared" si="206"/>
        <v>0</v>
      </c>
      <c r="AJ2476" s="44">
        <f t="shared" si="203"/>
        <v>2.5019999999999998</v>
      </c>
      <c r="AP2476" s="46">
        <f t="shared" si="204"/>
        <v>0.20100000000000001</v>
      </c>
    </row>
    <row r="2477" spans="19:42" ht="18">
      <c r="S2477" s="8">
        <f t="shared" si="205"/>
        <v>0</v>
      </c>
      <c r="W2477" s="3">
        <v>2503</v>
      </c>
      <c r="X2477" s="30">
        <v>201.35599999999999</v>
      </c>
      <c r="Y2477" s="33">
        <f t="shared" si="202"/>
        <v>0.20100000000000001</v>
      </c>
      <c r="AH2477" s="45">
        <f t="shared" si="206"/>
        <v>0</v>
      </c>
      <c r="AJ2477" s="44">
        <f t="shared" si="203"/>
        <v>2.5030000000000001</v>
      </c>
      <c r="AP2477" s="46">
        <f t="shared" si="204"/>
        <v>0.20100000000000001</v>
      </c>
    </row>
    <row r="2478" spans="19:42" ht="18">
      <c r="S2478" s="8">
        <f t="shared" si="205"/>
        <v>0</v>
      </c>
      <c r="W2478" s="3">
        <v>2504</v>
      </c>
      <c r="X2478" s="30">
        <v>201.4</v>
      </c>
      <c r="Y2478" s="33">
        <f t="shared" si="202"/>
        <v>0.20100000000000001</v>
      </c>
      <c r="AH2478" s="45">
        <f t="shared" si="206"/>
        <v>0</v>
      </c>
      <c r="AJ2478" s="44">
        <f t="shared" si="203"/>
        <v>2.504</v>
      </c>
      <c r="AP2478" s="46">
        <f t="shared" si="204"/>
        <v>0.20100000000000001</v>
      </c>
    </row>
    <row r="2479" spans="19:42" ht="18">
      <c r="S2479" s="8">
        <f t="shared" si="205"/>
        <v>0</v>
      </c>
      <c r="W2479" s="3">
        <v>2505</v>
      </c>
      <c r="X2479" s="30">
        <v>201.44399999999999</v>
      </c>
      <c r="Y2479" s="33">
        <f t="shared" si="202"/>
        <v>0.20100000000000001</v>
      </c>
      <c r="AH2479" s="45">
        <f t="shared" si="206"/>
        <v>0</v>
      </c>
      <c r="AJ2479" s="44">
        <f t="shared" si="203"/>
        <v>2.5049999999999999</v>
      </c>
      <c r="AP2479" s="46">
        <f t="shared" si="204"/>
        <v>0.20100000000000001</v>
      </c>
    </row>
    <row r="2480" spans="19:42" ht="18">
      <c r="S2480" s="8">
        <f t="shared" si="205"/>
        <v>0</v>
      </c>
      <c r="W2480" s="3">
        <v>2506</v>
      </c>
      <c r="X2480" s="30">
        <v>201.489</v>
      </c>
      <c r="Y2480" s="33">
        <f t="shared" si="202"/>
        <v>0.20100000000000001</v>
      </c>
      <c r="AH2480" s="45">
        <f t="shared" si="206"/>
        <v>0</v>
      </c>
      <c r="AJ2480" s="44">
        <f t="shared" si="203"/>
        <v>2.5059999999999998</v>
      </c>
      <c r="AP2480" s="46">
        <f t="shared" si="204"/>
        <v>0.20100000000000001</v>
      </c>
    </row>
    <row r="2481" spans="19:42" ht="18">
      <c r="S2481" s="8">
        <f t="shared" si="205"/>
        <v>0</v>
      </c>
      <c r="W2481" s="3">
        <v>2507</v>
      </c>
      <c r="X2481" s="30">
        <v>201.53299999999999</v>
      </c>
      <c r="Y2481" s="33">
        <f t="shared" si="202"/>
        <v>0.20200000000000001</v>
      </c>
      <c r="AH2481" s="45">
        <f t="shared" si="206"/>
        <v>0</v>
      </c>
      <c r="AJ2481" s="44">
        <f t="shared" si="203"/>
        <v>2.5070000000000001</v>
      </c>
      <c r="AP2481" s="46">
        <f t="shared" si="204"/>
        <v>0.20200000000000001</v>
      </c>
    </row>
    <row r="2482" spans="19:42" ht="18">
      <c r="S2482" s="8">
        <f t="shared" si="205"/>
        <v>0</v>
      </c>
      <c r="W2482" s="3">
        <v>2508</v>
      </c>
      <c r="X2482" s="30">
        <v>201.578</v>
      </c>
      <c r="Y2482" s="33">
        <f t="shared" si="202"/>
        <v>0.20200000000000001</v>
      </c>
      <c r="AH2482" s="45">
        <f t="shared" si="206"/>
        <v>0</v>
      </c>
      <c r="AJ2482" s="44">
        <f t="shared" si="203"/>
        <v>2.508</v>
      </c>
      <c r="AP2482" s="46">
        <f t="shared" si="204"/>
        <v>0.20200000000000001</v>
      </c>
    </row>
    <row r="2483" spans="19:42" ht="18">
      <c r="S2483" s="8">
        <f t="shared" si="205"/>
        <v>0</v>
      </c>
      <c r="W2483" s="3">
        <v>2509</v>
      </c>
      <c r="X2483" s="30">
        <v>201.62200000000001</v>
      </c>
      <c r="Y2483" s="33">
        <f t="shared" si="202"/>
        <v>0.20200000000000001</v>
      </c>
      <c r="AH2483" s="45">
        <f t="shared" si="206"/>
        <v>0</v>
      </c>
      <c r="AJ2483" s="44">
        <f t="shared" si="203"/>
        <v>2.5089999999999999</v>
      </c>
      <c r="AP2483" s="46">
        <f t="shared" si="204"/>
        <v>0.20200000000000001</v>
      </c>
    </row>
    <row r="2484" spans="19:42" ht="18">
      <c r="S2484" s="8">
        <f t="shared" si="205"/>
        <v>0</v>
      </c>
      <c r="W2484" s="3">
        <v>2510</v>
      </c>
      <c r="X2484" s="30">
        <v>201.667</v>
      </c>
      <c r="Y2484" s="33">
        <f t="shared" si="202"/>
        <v>0.20200000000000001</v>
      </c>
      <c r="AH2484" s="45">
        <f t="shared" si="206"/>
        <v>0</v>
      </c>
      <c r="AJ2484" s="44">
        <f t="shared" si="203"/>
        <v>2.5099999999999998</v>
      </c>
      <c r="AP2484" s="46">
        <f t="shared" si="204"/>
        <v>0.20200000000000001</v>
      </c>
    </row>
    <row r="2485" spans="19:42" ht="18">
      <c r="S2485" s="8">
        <f t="shared" si="205"/>
        <v>0</v>
      </c>
      <c r="W2485" s="3">
        <v>2511</v>
      </c>
      <c r="X2485" s="30">
        <v>201.71100000000001</v>
      </c>
      <c r="Y2485" s="33">
        <f t="shared" si="202"/>
        <v>0.20200000000000001</v>
      </c>
      <c r="AH2485" s="45">
        <f t="shared" si="206"/>
        <v>0</v>
      </c>
      <c r="AJ2485" s="44">
        <f t="shared" si="203"/>
        <v>2.5110000000000001</v>
      </c>
      <c r="AP2485" s="46">
        <f t="shared" si="204"/>
        <v>0.20200000000000001</v>
      </c>
    </row>
    <row r="2486" spans="19:42" ht="18">
      <c r="S2486" s="8">
        <f t="shared" si="205"/>
        <v>0</v>
      </c>
      <c r="W2486" s="3">
        <v>2512</v>
      </c>
      <c r="X2486" s="30">
        <v>201.756</v>
      </c>
      <c r="Y2486" s="33">
        <f t="shared" si="202"/>
        <v>0.20200000000000001</v>
      </c>
      <c r="AH2486" s="45">
        <f t="shared" si="206"/>
        <v>0</v>
      </c>
      <c r="AJ2486" s="44">
        <f t="shared" si="203"/>
        <v>2.512</v>
      </c>
      <c r="AP2486" s="46">
        <f t="shared" si="204"/>
        <v>0.20200000000000001</v>
      </c>
    </row>
    <row r="2487" spans="19:42" ht="18">
      <c r="S2487" s="8">
        <f t="shared" si="205"/>
        <v>0</v>
      </c>
      <c r="W2487" s="3">
        <v>2513</v>
      </c>
      <c r="X2487" s="30">
        <v>201.8</v>
      </c>
      <c r="Y2487" s="33">
        <f t="shared" si="202"/>
        <v>0.20200000000000001</v>
      </c>
      <c r="AH2487" s="45">
        <f t="shared" si="206"/>
        <v>0</v>
      </c>
      <c r="AJ2487" s="44">
        <f t="shared" si="203"/>
        <v>2.5129999999999999</v>
      </c>
      <c r="AP2487" s="46">
        <f t="shared" si="204"/>
        <v>0.20200000000000001</v>
      </c>
    </row>
    <row r="2488" spans="19:42" ht="18">
      <c r="S2488" s="8">
        <f t="shared" si="205"/>
        <v>0</v>
      </c>
      <c r="W2488" s="3">
        <v>2514</v>
      </c>
      <c r="X2488" s="30">
        <v>201.84399999999999</v>
      </c>
      <c r="Y2488" s="33">
        <f t="shared" si="202"/>
        <v>0.20200000000000001</v>
      </c>
      <c r="AH2488" s="45">
        <f t="shared" si="206"/>
        <v>0</v>
      </c>
      <c r="AJ2488" s="44">
        <f t="shared" si="203"/>
        <v>2.5139999999999998</v>
      </c>
      <c r="AP2488" s="46">
        <f t="shared" si="204"/>
        <v>0.20200000000000001</v>
      </c>
    </row>
    <row r="2489" spans="19:42" ht="18">
      <c r="S2489" s="8">
        <f t="shared" si="205"/>
        <v>0</v>
      </c>
      <c r="W2489" s="3">
        <v>2515</v>
      </c>
      <c r="X2489" s="30">
        <v>201.88900000000001</v>
      </c>
      <c r="Y2489" s="33">
        <f t="shared" si="202"/>
        <v>0.20200000000000001</v>
      </c>
      <c r="AH2489" s="45">
        <f t="shared" si="206"/>
        <v>0</v>
      </c>
      <c r="AJ2489" s="44">
        <f t="shared" si="203"/>
        <v>2.5150000000000001</v>
      </c>
      <c r="AP2489" s="46">
        <f t="shared" si="204"/>
        <v>0.20200000000000001</v>
      </c>
    </row>
    <row r="2490" spans="19:42" ht="18">
      <c r="S2490" s="8">
        <f t="shared" si="205"/>
        <v>0</v>
      </c>
      <c r="W2490" s="3">
        <v>2516</v>
      </c>
      <c r="X2490" s="30">
        <v>201.93299999999999</v>
      </c>
      <c r="Y2490" s="33">
        <f t="shared" si="202"/>
        <v>0.20200000000000001</v>
      </c>
      <c r="AH2490" s="45">
        <f t="shared" si="206"/>
        <v>0</v>
      </c>
      <c r="AJ2490" s="44">
        <f t="shared" si="203"/>
        <v>2.516</v>
      </c>
      <c r="AP2490" s="46">
        <f t="shared" si="204"/>
        <v>0.20200000000000001</v>
      </c>
    </row>
    <row r="2491" spans="19:42" ht="18">
      <c r="S2491" s="8">
        <f t="shared" si="205"/>
        <v>0</v>
      </c>
      <c r="W2491" s="3">
        <v>2517</v>
      </c>
      <c r="X2491" s="30">
        <v>201.97800000000001</v>
      </c>
      <c r="Y2491" s="33">
        <f t="shared" si="202"/>
        <v>0.20200000000000001</v>
      </c>
      <c r="AH2491" s="45">
        <f t="shared" si="206"/>
        <v>0</v>
      </c>
      <c r="AJ2491" s="44">
        <f t="shared" si="203"/>
        <v>2.5169999999999999</v>
      </c>
      <c r="AP2491" s="46">
        <f t="shared" si="204"/>
        <v>0.20200000000000001</v>
      </c>
    </row>
    <row r="2492" spans="19:42" ht="18">
      <c r="S2492" s="8">
        <f t="shared" si="205"/>
        <v>0</v>
      </c>
      <c r="W2492" s="3">
        <v>2518</v>
      </c>
      <c r="X2492" s="30">
        <v>202.02199999999999</v>
      </c>
      <c r="Y2492" s="33">
        <f t="shared" si="202"/>
        <v>0.20200000000000001</v>
      </c>
      <c r="AH2492" s="45">
        <f t="shared" si="206"/>
        <v>0</v>
      </c>
      <c r="AJ2492" s="44">
        <f t="shared" si="203"/>
        <v>2.5179999999999998</v>
      </c>
      <c r="AP2492" s="46">
        <f t="shared" si="204"/>
        <v>0.20200000000000001</v>
      </c>
    </row>
    <row r="2493" spans="19:42" ht="18">
      <c r="S2493" s="8">
        <f t="shared" si="205"/>
        <v>0</v>
      </c>
      <c r="W2493" s="3">
        <v>2519</v>
      </c>
      <c r="X2493" s="30">
        <v>202.06700000000001</v>
      </c>
      <c r="Y2493" s="33">
        <f t="shared" si="202"/>
        <v>0.20200000000000001</v>
      </c>
      <c r="AH2493" s="45">
        <f t="shared" si="206"/>
        <v>0</v>
      </c>
      <c r="AJ2493" s="44">
        <f t="shared" si="203"/>
        <v>2.5190000000000001</v>
      </c>
      <c r="AP2493" s="46">
        <f t="shared" si="204"/>
        <v>0.20200000000000001</v>
      </c>
    </row>
    <row r="2494" spans="19:42" ht="18">
      <c r="S2494" s="8">
        <f t="shared" si="205"/>
        <v>0</v>
      </c>
      <c r="W2494" s="3">
        <v>2520</v>
      </c>
      <c r="X2494" s="30">
        <v>202.11099999999999</v>
      </c>
      <c r="Y2494" s="33">
        <f t="shared" si="202"/>
        <v>0.20200000000000001</v>
      </c>
      <c r="AH2494" s="45">
        <f t="shared" si="206"/>
        <v>0</v>
      </c>
      <c r="AJ2494" s="44">
        <f t="shared" si="203"/>
        <v>2.52</v>
      </c>
      <c r="AP2494" s="46">
        <f t="shared" si="204"/>
        <v>0.20200000000000001</v>
      </c>
    </row>
    <row r="2495" spans="19:42" ht="18">
      <c r="S2495" s="8">
        <f t="shared" si="205"/>
        <v>0</v>
      </c>
      <c r="W2495" s="3">
        <v>2521</v>
      </c>
      <c r="X2495" s="30">
        <v>202.15600000000001</v>
      </c>
      <c r="Y2495" s="33">
        <f t="shared" si="202"/>
        <v>0.20200000000000001</v>
      </c>
      <c r="AH2495" s="45">
        <f t="shared" si="206"/>
        <v>0</v>
      </c>
      <c r="AJ2495" s="44">
        <f t="shared" si="203"/>
        <v>2.5209999999999999</v>
      </c>
      <c r="AP2495" s="46">
        <f t="shared" si="204"/>
        <v>0.20200000000000001</v>
      </c>
    </row>
    <row r="2496" spans="19:42" ht="18">
      <c r="S2496" s="8">
        <f t="shared" si="205"/>
        <v>0</v>
      </c>
      <c r="W2496" s="3">
        <v>2522</v>
      </c>
      <c r="X2496" s="30">
        <v>202.2</v>
      </c>
      <c r="Y2496" s="33">
        <f t="shared" si="202"/>
        <v>0.20200000000000001</v>
      </c>
      <c r="AH2496" s="45">
        <f t="shared" si="206"/>
        <v>0</v>
      </c>
      <c r="AJ2496" s="44">
        <f t="shared" si="203"/>
        <v>2.5219999999999998</v>
      </c>
      <c r="AP2496" s="46">
        <f t="shared" si="204"/>
        <v>0.20200000000000001</v>
      </c>
    </row>
    <row r="2497" spans="19:42" ht="18">
      <c r="S2497" s="8">
        <f t="shared" si="205"/>
        <v>0</v>
      </c>
      <c r="W2497" s="3">
        <v>2523</v>
      </c>
      <c r="X2497" s="30">
        <v>202.244</v>
      </c>
      <c r="Y2497" s="33">
        <f t="shared" si="202"/>
        <v>0.20200000000000001</v>
      </c>
      <c r="AH2497" s="45">
        <f t="shared" si="206"/>
        <v>0</v>
      </c>
      <c r="AJ2497" s="44">
        <f t="shared" si="203"/>
        <v>2.5230000000000001</v>
      </c>
      <c r="AP2497" s="46">
        <f t="shared" si="204"/>
        <v>0.20200000000000001</v>
      </c>
    </row>
    <row r="2498" spans="19:42" ht="18">
      <c r="S2498" s="8">
        <f t="shared" si="205"/>
        <v>0</v>
      </c>
      <c r="W2498" s="3">
        <v>2524</v>
      </c>
      <c r="X2498" s="30">
        <v>202.28899999999999</v>
      </c>
      <c r="Y2498" s="33">
        <f t="shared" si="202"/>
        <v>0.20200000000000001</v>
      </c>
      <c r="AH2498" s="45">
        <f t="shared" si="206"/>
        <v>0</v>
      </c>
      <c r="AJ2498" s="44">
        <f t="shared" si="203"/>
        <v>2.524</v>
      </c>
      <c r="AP2498" s="46">
        <f t="shared" si="204"/>
        <v>0.20200000000000001</v>
      </c>
    </row>
    <row r="2499" spans="19:42" ht="18">
      <c r="S2499" s="8">
        <f t="shared" si="205"/>
        <v>0</v>
      </c>
      <c r="W2499" s="3">
        <v>2525</v>
      </c>
      <c r="X2499" s="30">
        <v>202.333</v>
      </c>
      <c r="Y2499" s="33">
        <f t="shared" si="202"/>
        <v>0.20200000000000001</v>
      </c>
      <c r="AH2499" s="45">
        <f t="shared" si="206"/>
        <v>0</v>
      </c>
      <c r="AJ2499" s="44">
        <f t="shared" si="203"/>
        <v>2.5249999999999999</v>
      </c>
      <c r="AP2499" s="46">
        <f t="shared" si="204"/>
        <v>0.20200000000000001</v>
      </c>
    </row>
    <row r="2500" spans="19:42" ht="18">
      <c r="S2500" s="8">
        <f t="shared" si="205"/>
        <v>0</v>
      </c>
      <c r="W2500" s="3">
        <v>2526</v>
      </c>
      <c r="X2500" s="30">
        <v>202.37799999999999</v>
      </c>
      <c r="Y2500" s="33">
        <f t="shared" si="202"/>
        <v>0.20200000000000001</v>
      </c>
      <c r="AH2500" s="45">
        <f t="shared" si="206"/>
        <v>0</v>
      </c>
      <c r="AJ2500" s="44">
        <f t="shared" si="203"/>
        <v>2.5259999999999998</v>
      </c>
      <c r="AP2500" s="46">
        <f t="shared" si="204"/>
        <v>0.20200000000000001</v>
      </c>
    </row>
    <row r="2501" spans="19:42" ht="18">
      <c r="S2501" s="8">
        <f t="shared" si="205"/>
        <v>0</v>
      </c>
      <c r="W2501" s="3">
        <v>2527</v>
      </c>
      <c r="X2501" s="30">
        <v>202.422</v>
      </c>
      <c r="Y2501" s="33">
        <f t="shared" ref="Y2501:Y2564" si="207">ROUND(X2501/1000,3)</f>
        <v>0.20200000000000001</v>
      </c>
      <c r="AH2501" s="45">
        <f t="shared" si="206"/>
        <v>0</v>
      </c>
      <c r="AJ2501" s="44">
        <f t="shared" ref="AJ2501:AJ2564" si="208">ROUND(W2501/1000,3)</f>
        <v>2.5270000000000001</v>
      </c>
      <c r="AP2501" s="46">
        <f t="shared" ref="AP2501:AP2564" si="209">ROUND(X2501/1000,3)</f>
        <v>0.20200000000000001</v>
      </c>
    </row>
    <row r="2502" spans="19:42" ht="18">
      <c r="S2502" s="8">
        <f t="shared" ref="S2502:S2565" si="210">CEILING(R2502/50,0.5)</f>
        <v>0</v>
      </c>
      <c r="W2502" s="3">
        <v>2528</v>
      </c>
      <c r="X2502" s="30">
        <v>202.46700000000001</v>
      </c>
      <c r="Y2502" s="33">
        <f t="shared" si="207"/>
        <v>0.20200000000000001</v>
      </c>
      <c r="AH2502" s="45">
        <f t="shared" ref="AH2502:AH2565" si="211">AE2502-AE2501</f>
        <v>0</v>
      </c>
      <c r="AJ2502" s="44">
        <f t="shared" si="208"/>
        <v>2.528</v>
      </c>
      <c r="AP2502" s="46">
        <f t="shared" si="209"/>
        <v>0.20200000000000001</v>
      </c>
    </row>
    <row r="2503" spans="19:42" ht="18">
      <c r="S2503" s="8">
        <f t="shared" si="210"/>
        <v>0</v>
      </c>
      <c r="W2503" s="3">
        <v>2529</v>
      </c>
      <c r="X2503" s="30">
        <v>202.511</v>
      </c>
      <c r="Y2503" s="33">
        <f t="shared" si="207"/>
        <v>0.20300000000000001</v>
      </c>
      <c r="AH2503" s="45">
        <f t="shared" si="211"/>
        <v>0</v>
      </c>
      <c r="AJ2503" s="44">
        <f t="shared" si="208"/>
        <v>2.5289999999999999</v>
      </c>
      <c r="AP2503" s="46">
        <f t="shared" si="209"/>
        <v>0.20300000000000001</v>
      </c>
    </row>
    <row r="2504" spans="19:42" ht="18">
      <c r="S2504" s="8">
        <f t="shared" si="210"/>
        <v>0</v>
      </c>
      <c r="W2504" s="3">
        <v>2530</v>
      </c>
      <c r="X2504" s="30">
        <v>202.55600000000001</v>
      </c>
      <c r="Y2504" s="33">
        <f t="shared" si="207"/>
        <v>0.20300000000000001</v>
      </c>
      <c r="AH2504" s="45">
        <f t="shared" si="211"/>
        <v>0</v>
      </c>
      <c r="AJ2504" s="44">
        <f t="shared" si="208"/>
        <v>2.5299999999999998</v>
      </c>
      <c r="AP2504" s="46">
        <f t="shared" si="209"/>
        <v>0.20300000000000001</v>
      </c>
    </row>
    <row r="2505" spans="19:42" ht="18">
      <c r="S2505" s="8">
        <f t="shared" si="210"/>
        <v>0</v>
      </c>
      <c r="W2505" s="3">
        <v>2531</v>
      </c>
      <c r="X2505" s="30">
        <v>202.6</v>
      </c>
      <c r="Y2505" s="33">
        <f t="shared" si="207"/>
        <v>0.20300000000000001</v>
      </c>
      <c r="AH2505" s="45">
        <f t="shared" si="211"/>
        <v>0</v>
      </c>
      <c r="AJ2505" s="44">
        <f t="shared" si="208"/>
        <v>2.5310000000000001</v>
      </c>
      <c r="AP2505" s="46">
        <f t="shared" si="209"/>
        <v>0.20300000000000001</v>
      </c>
    </row>
    <row r="2506" spans="19:42" ht="18">
      <c r="S2506" s="8">
        <f t="shared" si="210"/>
        <v>0</v>
      </c>
      <c r="W2506" s="3">
        <v>2532</v>
      </c>
      <c r="X2506" s="30">
        <v>202.64400000000001</v>
      </c>
      <c r="Y2506" s="33">
        <f t="shared" si="207"/>
        <v>0.20300000000000001</v>
      </c>
      <c r="AH2506" s="45">
        <f t="shared" si="211"/>
        <v>0</v>
      </c>
      <c r="AJ2506" s="44">
        <f t="shared" si="208"/>
        <v>2.532</v>
      </c>
      <c r="AP2506" s="46">
        <f t="shared" si="209"/>
        <v>0.20300000000000001</v>
      </c>
    </row>
    <row r="2507" spans="19:42" ht="18">
      <c r="S2507" s="8">
        <f t="shared" si="210"/>
        <v>0</v>
      </c>
      <c r="W2507" s="3">
        <v>2533</v>
      </c>
      <c r="X2507" s="30">
        <v>202.68899999999999</v>
      </c>
      <c r="Y2507" s="33">
        <f t="shared" si="207"/>
        <v>0.20300000000000001</v>
      </c>
      <c r="AH2507" s="45">
        <f t="shared" si="211"/>
        <v>0</v>
      </c>
      <c r="AJ2507" s="44">
        <f t="shared" si="208"/>
        <v>2.5329999999999999</v>
      </c>
      <c r="AP2507" s="46">
        <f t="shared" si="209"/>
        <v>0.20300000000000001</v>
      </c>
    </row>
    <row r="2508" spans="19:42" ht="18">
      <c r="S2508" s="8">
        <f t="shared" si="210"/>
        <v>0</v>
      </c>
      <c r="W2508" s="3">
        <v>2534</v>
      </c>
      <c r="X2508" s="30">
        <v>202.733</v>
      </c>
      <c r="Y2508" s="33">
        <f t="shared" si="207"/>
        <v>0.20300000000000001</v>
      </c>
      <c r="AH2508" s="45">
        <f t="shared" si="211"/>
        <v>0</v>
      </c>
      <c r="AJ2508" s="44">
        <f t="shared" si="208"/>
        <v>2.5339999999999998</v>
      </c>
      <c r="AP2508" s="46">
        <f t="shared" si="209"/>
        <v>0.20300000000000001</v>
      </c>
    </row>
    <row r="2509" spans="19:42" ht="18">
      <c r="S2509" s="8">
        <f t="shared" si="210"/>
        <v>0</v>
      </c>
      <c r="W2509" s="3">
        <v>2535</v>
      </c>
      <c r="X2509" s="30">
        <v>202.77799999999999</v>
      </c>
      <c r="Y2509" s="33">
        <f t="shared" si="207"/>
        <v>0.20300000000000001</v>
      </c>
      <c r="AH2509" s="45">
        <f t="shared" si="211"/>
        <v>0</v>
      </c>
      <c r="AJ2509" s="44">
        <f t="shared" si="208"/>
        <v>2.5350000000000001</v>
      </c>
      <c r="AP2509" s="46">
        <f t="shared" si="209"/>
        <v>0.20300000000000001</v>
      </c>
    </row>
    <row r="2510" spans="19:42" ht="18">
      <c r="S2510" s="8">
        <f t="shared" si="210"/>
        <v>0</v>
      </c>
      <c r="W2510" s="3">
        <v>2536</v>
      </c>
      <c r="X2510" s="30">
        <v>202.822</v>
      </c>
      <c r="Y2510" s="33">
        <f t="shared" si="207"/>
        <v>0.20300000000000001</v>
      </c>
      <c r="AH2510" s="45">
        <f t="shared" si="211"/>
        <v>0</v>
      </c>
      <c r="AJ2510" s="44">
        <f t="shared" si="208"/>
        <v>2.536</v>
      </c>
      <c r="AP2510" s="46">
        <f t="shared" si="209"/>
        <v>0.20300000000000001</v>
      </c>
    </row>
    <row r="2511" spans="19:42" ht="18">
      <c r="S2511" s="8">
        <f t="shared" si="210"/>
        <v>0</v>
      </c>
      <c r="W2511" s="3">
        <v>2537</v>
      </c>
      <c r="X2511" s="30">
        <v>202.86699999999999</v>
      </c>
      <c r="Y2511" s="33">
        <f t="shared" si="207"/>
        <v>0.20300000000000001</v>
      </c>
      <c r="AH2511" s="45">
        <f t="shared" si="211"/>
        <v>0</v>
      </c>
      <c r="AJ2511" s="44">
        <f t="shared" si="208"/>
        <v>2.5369999999999999</v>
      </c>
      <c r="AP2511" s="46">
        <f t="shared" si="209"/>
        <v>0.20300000000000001</v>
      </c>
    </row>
    <row r="2512" spans="19:42" ht="18">
      <c r="S2512" s="8">
        <f t="shared" si="210"/>
        <v>0</v>
      </c>
      <c r="W2512" s="3">
        <v>2538</v>
      </c>
      <c r="X2512" s="30">
        <v>202.911</v>
      </c>
      <c r="Y2512" s="33">
        <f t="shared" si="207"/>
        <v>0.20300000000000001</v>
      </c>
      <c r="AH2512" s="45">
        <f t="shared" si="211"/>
        <v>0</v>
      </c>
      <c r="AJ2512" s="44">
        <f t="shared" si="208"/>
        <v>2.5379999999999998</v>
      </c>
      <c r="AP2512" s="46">
        <f t="shared" si="209"/>
        <v>0.20300000000000001</v>
      </c>
    </row>
    <row r="2513" spans="19:42" ht="18">
      <c r="S2513" s="8">
        <f t="shared" si="210"/>
        <v>0</v>
      </c>
      <c r="W2513" s="3">
        <v>2539</v>
      </c>
      <c r="X2513" s="30">
        <v>202.95599999999999</v>
      </c>
      <c r="Y2513" s="33">
        <f t="shared" si="207"/>
        <v>0.20300000000000001</v>
      </c>
      <c r="AH2513" s="45">
        <f t="shared" si="211"/>
        <v>0</v>
      </c>
      <c r="AJ2513" s="44">
        <f t="shared" si="208"/>
        <v>2.5390000000000001</v>
      </c>
      <c r="AP2513" s="46">
        <f t="shared" si="209"/>
        <v>0.20300000000000001</v>
      </c>
    </row>
    <row r="2514" spans="19:42" ht="18">
      <c r="S2514" s="8">
        <f t="shared" si="210"/>
        <v>0</v>
      </c>
      <c r="W2514" s="3">
        <v>2540</v>
      </c>
      <c r="X2514" s="30">
        <v>203</v>
      </c>
      <c r="Y2514" s="33">
        <f t="shared" si="207"/>
        <v>0.20300000000000001</v>
      </c>
      <c r="AH2514" s="45">
        <f t="shared" si="211"/>
        <v>0</v>
      </c>
      <c r="AJ2514" s="44">
        <f t="shared" si="208"/>
        <v>2.54</v>
      </c>
      <c r="AP2514" s="46">
        <f t="shared" si="209"/>
        <v>0.20300000000000001</v>
      </c>
    </row>
    <row r="2515" spans="19:42" ht="18">
      <c r="S2515" s="8">
        <f t="shared" si="210"/>
        <v>0</v>
      </c>
      <c r="W2515" s="3">
        <v>2541</v>
      </c>
      <c r="X2515" s="30">
        <v>203.06700000000001</v>
      </c>
      <c r="Y2515" s="33">
        <f t="shared" si="207"/>
        <v>0.20300000000000001</v>
      </c>
      <c r="AH2515" s="45">
        <f t="shared" si="211"/>
        <v>0</v>
      </c>
      <c r="AJ2515" s="44">
        <f t="shared" si="208"/>
        <v>2.5409999999999999</v>
      </c>
      <c r="AP2515" s="46">
        <f t="shared" si="209"/>
        <v>0.20300000000000001</v>
      </c>
    </row>
    <row r="2516" spans="19:42" ht="18">
      <c r="S2516" s="8">
        <f t="shared" si="210"/>
        <v>0</v>
      </c>
      <c r="W2516" s="3">
        <v>2542</v>
      </c>
      <c r="X2516" s="30">
        <v>203.13300000000001</v>
      </c>
      <c r="Y2516" s="33">
        <f t="shared" si="207"/>
        <v>0.20300000000000001</v>
      </c>
      <c r="AH2516" s="45">
        <f t="shared" si="211"/>
        <v>0</v>
      </c>
      <c r="AJ2516" s="44">
        <f t="shared" si="208"/>
        <v>2.5419999999999998</v>
      </c>
      <c r="AP2516" s="46">
        <f t="shared" si="209"/>
        <v>0.20300000000000001</v>
      </c>
    </row>
    <row r="2517" spans="19:42" ht="18">
      <c r="S2517" s="8">
        <f t="shared" si="210"/>
        <v>0</v>
      </c>
      <c r="W2517" s="3">
        <v>2543</v>
      </c>
      <c r="X2517" s="30">
        <v>203.2</v>
      </c>
      <c r="Y2517" s="33">
        <f t="shared" si="207"/>
        <v>0.20300000000000001</v>
      </c>
      <c r="AH2517" s="45">
        <f t="shared" si="211"/>
        <v>0</v>
      </c>
      <c r="AJ2517" s="44">
        <f t="shared" si="208"/>
        <v>2.5430000000000001</v>
      </c>
      <c r="AP2517" s="46">
        <f t="shared" si="209"/>
        <v>0.20300000000000001</v>
      </c>
    </row>
    <row r="2518" spans="19:42" ht="18">
      <c r="S2518" s="8">
        <f t="shared" si="210"/>
        <v>0</v>
      </c>
      <c r="W2518" s="3">
        <v>2544</v>
      </c>
      <c r="X2518" s="30">
        <v>203.267</v>
      </c>
      <c r="Y2518" s="33">
        <f t="shared" si="207"/>
        <v>0.20300000000000001</v>
      </c>
      <c r="AH2518" s="45">
        <f t="shared" si="211"/>
        <v>0</v>
      </c>
      <c r="AJ2518" s="44">
        <f t="shared" si="208"/>
        <v>2.544</v>
      </c>
      <c r="AP2518" s="46">
        <f t="shared" si="209"/>
        <v>0.20300000000000001</v>
      </c>
    </row>
    <row r="2519" spans="19:42" ht="18">
      <c r="S2519" s="8">
        <f t="shared" si="210"/>
        <v>0</v>
      </c>
      <c r="W2519" s="3">
        <v>2545</v>
      </c>
      <c r="X2519" s="30">
        <v>203.333</v>
      </c>
      <c r="Y2519" s="33">
        <f t="shared" si="207"/>
        <v>0.20300000000000001</v>
      </c>
      <c r="AH2519" s="45">
        <f t="shared" si="211"/>
        <v>0</v>
      </c>
      <c r="AJ2519" s="44">
        <f t="shared" si="208"/>
        <v>2.5449999999999999</v>
      </c>
      <c r="AP2519" s="46">
        <f t="shared" si="209"/>
        <v>0.20300000000000001</v>
      </c>
    </row>
    <row r="2520" spans="19:42" ht="18">
      <c r="S2520" s="8">
        <f t="shared" si="210"/>
        <v>0</v>
      </c>
      <c r="W2520" s="3">
        <v>2546</v>
      </c>
      <c r="X2520" s="30">
        <v>203.4</v>
      </c>
      <c r="Y2520" s="33">
        <f t="shared" si="207"/>
        <v>0.20300000000000001</v>
      </c>
      <c r="AH2520" s="45">
        <f t="shared" si="211"/>
        <v>0</v>
      </c>
      <c r="AJ2520" s="44">
        <f t="shared" si="208"/>
        <v>2.5459999999999998</v>
      </c>
      <c r="AP2520" s="46">
        <f t="shared" si="209"/>
        <v>0.20300000000000001</v>
      </c>
    </row>
    <row r="2521" spans="19:42" ht="18">
      <c r="S2521" s="8">
        <f t="shared" si="210"/>
        <v>0</v>
      </c>
      <c r="W2521" s="3">
        <v>2547</v>
      </c>
      <c r="X2521" s="30">
        <v>203.46700000000001</v>
      </c>
      <c r="Y2521" s="33">
        <f t="shared" si="207"/>
        <v>0.20300000000000001</v>
      </c>
      <c r="AH2521" s="45">
        <f t="shared" si="211"/>
        <v>0</v>
      </c>
      <c r="AJ2521" s="44">
        <f t="shared" si="208"/>
        <v>2.5470000000000002</v>
      </c>
      <c r="AP2521" s="46">
        <f t="shared" si="209"/>
        <v>0.20300000000000001</v>
      </c>
    </row>
    <row r="2522" spans="19:42" ht="18">
      <c r="S2522" s="8">
        <f t="shared" si="210"/>
        <v>0</v>
      </c>
      <c r="W2522" s="3">
        <v>2548</v>
      </c>
      <c r="X2522" s="30">
        <v>203.53299999999999</v>
      </c>
      <c r="Y2522" s="33">
        <f t="shared" si="207"/>
        <v>0.20399999999999999</v>
      </c>
      <c r="AH2522" s="45">
        <f t="shared" si="211"/>
        <v>0</v>
      </c>
      <c r="AJ2522" s="44">
        <f t="shared" si="208"/>
        <v>2.548</v>
      </c>
      <c r="AP2522" s="46">
        <f t="shared" si="209"/>
        <v>0.20399999999999999</v>
      </c>
    </row>
    <row r="2523" spans="19:42" ht="18">
      <c r="S2523" s="8">
        <f t="shared" si="210"/>
        <v>0</v>
      </c>
      <c r="W2523" s="3">
        <v>2549</v>
      </c>
      <c r="X2523" s="30">
        <v>203.6</v>
      </c>
      <c r="Y2523" s="33">
        <f t="shared" si="207"/>
        <v>0.20399999999999999</v>
      </c>
      <c r="AH2523" s="45">
        <f t="shared" si="211"/>
        <v>0</v>
      </c>
      <c r="AJ2523" s="44">
        <f t="shared" si="208"/>
        <v>2.5489999999999999</v>
      </c>
      <c r="AP2523" s="46">
        <f t="shared" si="209"/>
        <v>0.20399999999999999</v>
      </c>
    </row>
    <row r="2524" spans="19:42" ht="18">
      <c r="S2524" s="8">
        <f t="shared" si="210"/>
        <v>0</v>
      </c>
      <c r="W2524" s="3">
        <v>2550</v>
      </c>
      <c r="X2524" s="30">
        <v>203.667</v>
      </c>
      <c r="Y2524" s="33">
        <f t="shared" si="207"/>
        <v>0.20399999999999999</v>
      </c>
      <c r="AH2524" s="45">
        <f t="shared" si="211"/>
        <v>0</v>
      </c>
      <c r="AJ2524" s="44">
        <f t="shared" si="208"/>
        <v>2.5499999999999998</v>
      </c>
      <c r="AP2524" s="46">
        <f t="shared" si="209"/>
        <v>0.20399999999999999</v>
      </c>
    </row>
    <row r="2525" spans="19:42" ht="18">
      <c r="S2525" s="8">
        <f t="shared" si="210"/>
        <v>0</v>
      </c>
      <c r="W2525" s="3">
        <v>2551</v>
      </c>
      <c r="X2525" s="30">
        <v>203.733</v>
      </c>
      <c r="Y2525" s="33">
        <f t="shared" si="207"/>
        <v>0.20399999999999999</v>
      </c>
      <c r="AH2525" s="45">
        <f t="shared" si="211"/>
        <v>0</v>
      </c>
      <c r="AJ2525" s="44">
        <f t="shared" si="208"/>
        <v>2.5510000000000002</v>
      </c>
      <c r="AP2525" s="46">
        <f t="shared" si="209"/>
        <v>0.20399999999999999</v>
      </c>
    </row>
    <row r="2526" spans="19:42" ht="18">
      <c r="S2526" s="8">
        <f t="shared" si="210"/>
        <v>0</v>
      </c>
      <c r="W2526" s="3">
        <v>2552</v>
      </c>
      <c r="X2526" s="30">
        <v>203.8</v>
      </c>
      <c r="Y2526" s="33">
        <f t="shared" si="207"/>
        <v>0.20399999999999999</v>
      </c>
      <c r="AH2526" s="45">
        <f t="shared" si="211"/>
        <v>0</v>
      </c>
      <c r="AJ2526" s="44">
        <f t="shared" si="208"/>
        <v>2.552</v>
      </c>
      <c r="AP2526" s="46">
        <f t="shared" si="209"/>
        <v>0.20399999999999999</v>
      </c>
    </row>
    <row r="2527" spans="19:42" ht="18">
      <c r="S2527" s="8">
        <f t="shared" si="210"/>
        <v>0</v>
      </c>
      <c r="W2527" s="3">
        <v>2553</v>
      </c>
      <c r="X2527" s="30">
        <v>203.86699999999999</v>
      </c>
      <c r="Y2527" s="33">
        <f t="shared" si="207"/>
        <v>0.20399999999999999</v>
      </c>
      <c r="AH2527" s="45">
        <f t="shared" si="211"/>
        <v>0</v>
      </c>
      <c r="AJ2527" s="44">
        <f t="shared" si="208"/>
        <v>2.5529999999999999</v>
      </c>
      <c r="AP2527" s="46">
        <f t="shared" si="209"/>
        <v>0.20399999999999999</v>
      </c>
    </row>
    <row r="2528" spans="19:42" ht="18">
      <c r="S2528" s="8">
        <f t="shared" si="210"/>
        <v>0</v>
      </c>
      <c r="W2528" s="3">
        <v>2554</v>
      </c>
      <c r="X2528" s="30">
        <v>203.93299999999999</v>
      </c>
      <c r="Y2528" s="33">
        <f t="shared" si="207"/>
        <v>0.20399999999999999</v>
      </c>
      <c r="AH2528" s="45">
        <f t="shared" si="211"/>
        <v>0</v>
      </c>
      <c r="AJ2528" s="44">
        <f t="shared" si="208"/>
        <v>2.5539999999999998</v>
      </c>
      <c r="AP2528" s="46">
        <f t="shared" si="209"/>
        <v>0.20399999999999999</v>
      </c>
    </row>
    <row r="2529" spans="19:42" ht="18">
      <c r="S2529" s="8">
        <f t="shared" si="210"/>
        <v>0</v>
      </c>
      <c r="W2529" s="3">
        <v>2555</v>
      </c>
      <c r="X2529" s="30">
        <v>204</v>
      </c>
      <c r="Y2529" s="33">
        <f t="shared" si="207"/>
        <v>0.20399999999999999</v>
      </c>
      <c r="AH2529" s="45">
        <f t="shared" si="211"/>
        <v>0</v>
      </c>
      <c r="AJ2529" s="44">
        <f t="shared" si="208"/>
        <v>2.5550000000000002</v>
      </c>
      <c r="AP2529" s="46">
        <f t="shared" si="209"/>
        <v>0.20399999999999999</v>
      </c>
    </row>
    <row r="2530" spans="19:42" ht="18">
      <c r="S2530" s="8">
        <f t="shared" si="210"/>
        <v>0</v>
      </c>
      <c r="W2530" s="3">
        <v>2556</v>
      </c>
      <c r="X2530" s="30">
        <v>204.06700000000001</v>
      </c>
      <c r="Y2530" s="33">
        <f t="shared" si="207"/>
        <v>0.20399999999999999</v>
      </c>
      <c r="AH2530" s="45">
        <f t="shared" si="211"/>
        <v>0</v>
      </c>
      <c r="AJ2530" s="44">
        <f t="shared" si="208"/>
        <v>2.556</v>
      </c>
      <c r="AP2530" s="46">
        <f t="shared" si="209"/>
        <v>0.20399999999999999</v>
      </c>
    </row>
    <row r="2531" spans="19:42" ht="18">
      <c r="S2531" s="8">
        <f t="shared" si="210"/>
        <v>0</v>
      </c>
      <c r="W2531" s="3">
        <v>2557</v>
      </c>
      <c r="X2531" s="30">
        <v>204.13300000000001</v>
      </c>
      <c r="Y2531" s="33">
        <f t="shared" si="207"/>
        <v>0.20399999999999999</v>
      </c>
      <c r="AH2531" s="45">
        <f t="shared" si="211"/>
        <v>0</v>
      </c>
      <c r="AJ2531" s="44">
        <f t="shared" si="208"/>
        <v>2.5569999999999999</v>
      </c>
      <c r="AP2531" s="46">
        <f t="shared" si="209"/>
        <v>0.20399999999999999</v>
      </c>
    </row>
    <row r="2532" spans="19:42" ht="18">
      <c r="S2532" s="8">
        <f t="shared" si="210"/>
        <v>0</v>
      </c>
      <c r="W2532" s="3">
        <v>2558</v>
      </c>
      <c r="X2532" s="30">
        <v>204.2</v>
      </c>
      <c r="Y2532" s="33">
        <f t="shared" si="207"/>
        <v>0.20399999999999999</v>
      </c>
      <c r="AH2532" s="45">
        <f t="shared" si="211"/>
        <v>0</v>
      </c>
      <c r="AJ2532" s="44">
        <f t="shared" si="208"/>
        <v>2.5579999999999998</v>
      </c>
      <c r="AP2532" s="46">
        <f t="shared" si="209"/>
        <v>0.20399999999999999</v>
      </c>
    </row>
    <row r="2533" spans="19:42" ht="18">
      <c r="S2533" s="8">
        <f t="shared" si="210"/>
        <v>0</v>
      </c>
      <c r="W2533" s="3">
        <v>2559</v>
      </c>
      <c r="X2533" s="30">
        <v>204.267</v>
      </c>
      <c r="Y2533" s="33">
        <f t="shared" si="207"/>
        <v>0.20399999999999999</v>
      </c>
      <c r="AH2533" s="45">
        <f t="shared" si="211"/>
        <v>0</v>
      </c>
      <c r="AJ2533" s="44">
        <f t="shared" si="208"/>
        <v>2.5590000000000002</v>
      </c>
      <c r="AP2533" s="46">
        <f t="shared" si="209"/>
        <v>0.20399999999999999</v>
      </c>
    </row>
    <row r="2534" spans="19:42" ht="18">
      <c r="S2534" s="8">
        <f t="shared" si="210"/>
        <v>0</v>
      </c>
      <c r="W2534" s="3">
        <v>2560</v>
      </c>
      <c r="X2534" s="30">
        <v>204.333</v>
      </c>
      <c r="Y2534" s="33">
        <f t="shared" si="207"/>
        <v>0.20399999999999999</v>
      </c>
      <c r="AH2534" s="45">
        <f t="shared" si="211"/>
        <v>0</v>
      </c>
      <c r="AJ2534" s="44">
        <f t="shared" si="208"/>
        <v>2.56</v>
      </c>
      <c r="AP2534" s="46">
        <f t="shared" si="209"/>
        <v>0.20399999999999999</v>
      </c>
    </row>
    <row r="2535" spans="19:42" ht="18">
      <c r="S2535" s="8">
        <f t="shared" si="210"/>
        <v>0</v>
      </c>
      <c r="W2535" s="3">
        <v>2561</v>
      </c>
      <c r="X2535" s="30">
        <v>204.4</v>
      </c>
      <c r="Y2535" s="33">
        <f t="shared" si="207"/>
        <v>0.20399999999999999</v>
      </c>
      <c r="AH2535" s="45">
        <f t="shared" si="211"/>
        <v>0</v>
      </c>
      <c r="AJ2535" s="44">
        <f t="shared" si="208"/>
        <v>2.5609999999999999</v>
      </c>
      <c r="AP2535" s="46">
        <f t="shared" si="209"/>
        <v>0.20399999999999999</v>
      </c>
    </row>
    <row r="2536" spans="19:42" ht="18">
      <c r="S2536" s="8">
        <f t="shared" si="210"/>
        <v>0</v>
      </c>
      <c r="W2536" s="3">
        <v>2562</v>
      </c>
      <c r="X2536" s="30">
        <v>204.46700000000001</v>
      </c>
      <c r="Y2536" s="33">
        <f t="shared" si="207"/>
        <v>0.20399999999999999</v>
      </c>
      <c r="AH2536" s="45">
        <f t="shared" si="211"/>
        <v>0</v>
      </c>
      <c r="AJ2536" s="44">
        <f t="shared" si="208"/>
        <v>2.5619999999999998</v>
      </c>
      <c r="AP2536" s="46">
        <f t="shared" si="209"/>
        <v>0.20399999999999999</v>
      </c>
    </row>
    <row r="2537" spans="19:42" ht="18">
      <c r="S2537" s="8">
        <f t="shared" si="210"/>
        <v>0</v>
      </c>
      <c r="W2537" s="3">
        <v>2563</v>
      </c>
      <c r="X2537" s="30">
        <v>204.53299999999999</v>
      </c>
      <c r="Y2537" s="33">
        <f t="shared" si="207"/>
        <v>0.20499999999999999</v>
      </c>
      <c r="AH2537" s="45">
        <f t="shared" si="211"/>
        <v>0</v>
      </c>
      <c r="AJ2537" s="44">
        <f t="shared" si="208"/>
        <v>2.5630000000000002</v>
      </c>
      <c r="AP2537" s="46">
        <f t="shared" si="209"/>
        <v>0.20499999999999999</v>
      </c>
    </row>
    <row r="2538" spans="19:42" ht="18">
      <c r="S2538" s="8">
        <f t="shared" si="210"/>
        <v>0</v>
      </c>
      <c r="W2538" s="3">
        <v>2564</v>
      </c>
      <c r="X2538" s="30">
        <v>204.6</v>
      </c>
      <c r="Y2538" s="33">
        <f t="shared" si="207"/>
        <v>0.20499999999999999</v>
      </c>
      <c r="AH2538" s="45">
        <f t="shared" si="211"/>
        <v>0</v>
      </c>
      <c r="AJ2538" s="44">
        <f t="shared" si="208"/>
        <v>2.5640000000000001</v>
      </c>
      <c r="AP2538" s="46">
        <f t="shared" si="209"/>
        <v>0.20499999999999999</v>
      </c>
    </row>
    <row r="2539" spans="19:42" ht="18">
      <c r="S2539" s="8">
        <f t="shared" si="210"/>
        <v>0</v>
      </c>
      <c r="W2539" s="3">
        <v>2565</v>
      </c>
      <c r="X2539" s="30">
        <v>204.667</v>
      </c>
      <c r="Y2539" s="33">
        <f t="shared" si="207"/>
        <v>0.20499999999999999</v>
      </c>
      <c r="AH2539" s="45">
        <f t="shared" si="211"/>
        <v>0</v>
      </c>
      <c r="AJ2539" s="44">
        <f t="shared" si="208"/>
        <v>2.5649999999999999</v>
      </c>
      <c r="AP2539" s="46">
        <f t="shared" si="209"/>
        <v>0.20499999999999999</v>
      </c>
    </row>
    <row r="2540" spans="19:42" ht="18">
      <c r="S2540" s="8">
        <f t="shared" si="210"/>
        <v>0</v>
      </c>
      <c r="W2540" s="3">
        <v>2566</v>
      </c>
      <c r="X2540" s="30">
        <v>204.733</v>
      </c>
      <c r="Y2540" s="33">
        <f t="shared" si="207"/>
        <v>0.20499999999999999</v>
      </c>
      <c r="AH2540" s="45">
        <f t="shared" si="211"/>
        <v>0</v>
      </c>
      <c r="AJ2540" s="44">
        <f t="shared" si="208"/>
        <v>2.5659999999999998</v>
      </c>
      <c r="AP2540" s="46">
        <f t="shared" si="209"/>
        <v>0.20499999999999999</v>
      </c>
    </row>
    <row r="2541" spans="19:42" ht="18">
      <c r="S2541" s="8">
        <f t="shared" si="210"/>
        <v>0</v>
      </c>
      <c r="W2541" s="3">
        <v>2567</v>
      </c>
      <c r="X2541" s="30">
        <v>204.8</v>
      </c>
      <c r="Y2541" s="33">
        <f t="shared" si="207"/>
        <v>0.20499999999999999</v>
      </c>
      <c r="AH2541" s="45">
        <f t="shared" si="211"/>
        <v>0</v>
      </c>
      <c r="AJ2541" s="44">
        <f t="shared" si="208"/>
        <v>2.5670000000000002</v>
      </c>
      <c r="AP2541" s="46">
        <f t="shared" si="209"/>
        <v>0.20499999999999999</v>
      </c>
    </row>
    <row r="2542" spans="19:42" ht="18">
      <c r="S2542" s="8">
        <f t="shared" si="210"/>
        <v>0</v>
      </c>
      <c r="W2542" s="3">
        <v>2568</v>
      </c>
      <c r="X2542" s="30">
        <v>204.86699999999999</v>
      </c>
      <c r="Y2542" s="33">
        <f t="shared" si="207"/>
        <v>0.20499999999999999</v>
      </c>
      <c r="AH2542" s="45">
        <f t="shared" si="211"/>
        <v>0</v>
      </c>
      <c r="AJ2542" s="44">
        <f t="shared" si="208"/>
        <v>2.5680000000000001</v>
      </c>
      <c r="AP2542" s="46">
        <f t="shared" si="209"/>
        <v>0.20499999999999999</v>
      </c>
    </row>
    <row r="2543" spans="19:42" ht="18">
      <c r="S2543" s="8">
        <f t="shared" si="210"/>
        <v>0</v>
      </c>
      <c r="W2543" s="3">
        <v>2569</v>
      </c>
      <c r="X2543" s="30">
        <v>204.93299999999999</v>
      </c>
      <c r="Y2543" s="33">
        <f t="shared" si="207"/>
        <v>0.20499999999999999</v>
      </c>
      <c r="AH2543" s="45">
        <f t="shared" si="211"/>
        <v>0</v>
      </c>
      <c r="AJ2543" s="44">
        <f t="shared" si="208"/>
        <v>2.569</v>
      </c>
      <c r="AP2543" s="46">
        <f t="shared" si="209"/>
        <v>0.20499999999999999</v>
      </c>
    </row>
    <row r="2544" spans="19:42" ht="18">
      <c r="S2544" s="8">
        <f t="shared" si="210"/>
        <v>0</v>
      </c>
      <c r="W2544" s="3">
        <v>2570</v>
      </c>
      <c r="X2544" s="30">
        <v>205</v>
      </c>
      <c r="Y2544" s="33">
        <f t="shared" si="207"/>
        <v>0.20499999999999999</v>
      </c>
      <c r="AH2544" s="45">
        <f t="shared" si="211"/>
        <v>0</v>
      </c>
      <c r="AJ2544" s="44">
        <f t="shared" si="208"/>
        <v>2.57</v>
      </c>
      <c r="AP2544" s="46">
        <f t="shared" si="209"/>
        <v>0.20499999999999999</v>
      </c>
    </row>
    <row r="2545" spans="19:42" ht="18">
      <c r="S2545" s="8">
        <f t="shared" si="210"/>
        <v>0</v>
      </c>
      <c r="W2545" s="3">
        <v>2571</v>
      </c>
      <c r="X2545" s="30">
        <v>205.06700000000001</v>
      </c>
      <c r="Y2545" s="33">
        <f t="shared" si="207"/>
        <v>0.20499999999999999</v>
      </c>
      <c r="AH2545" s="45">
        <f t="shared" si="211"/>
        <v>0</v>
      </c>
      <c r="AJ2545" s="44">
        <f t="shared" si="208"/>
        <v>2.5710000000000002</v>
      </c>
      <c r="AP2545" s="46">
        <f t="shared" si="209"/>
        <v>0.20499999999999999</v>
      </c>
    </row>
    <row r="2546" spans="19:42" ht="18">
      <c r="S2546" s="8">
        <f t="shared" si="210"/>
        <v>0</v>
      </c>
      <c r="W2546" s="3">
        <v>2572</v>
      </c>
      <c r="X2546" s="30">
        <v>205.13300000000001</v>
      </c>
      <c r="Y2546" s="33">
        <f t="shared" si="207"/>
        <v>0.20499999999999999</v>
      </c>
      <c r="AH2546" s="45">
        <f t="shared" si="211"/>
        <v>0</v>
      </c>
      <c r="AJ2546" s="44">
        <f t="shared" si="208"/>
        <v>2.5720000000000001</v>
      </c>
      <c r="AP2546" s="46">
        <f t="shared" si="209"/>
        <v>0.20499999999999999</v>
      </c>
    </row>
    <row r="2547" spans="19:42" ht="18">
      <c r="S2547" s="8">
        <f t="shared" si="210"/>
        <v>0</v>
      </c>
      <c r="W2547" s="3">
        <v>2573</v>
      </c>
      <c r="X2547" s="30">
        <v>205.2</v>
      </c>
      <c r="Y2547" s="33">
        <f t="shared" si="207"/>
        <v>0.20499999999999999</v>
      </c>
      <c r="AH2547" s="45">
        <f t="shared" si="211"/>
        <v>0</v>
      </c>
      <c r="AJ2547" s="44">
        <f t="shared" si="208"/>
        <v>2.573</v>
      </c>
      <c r="AP2547" s="46">
        <f t="shared" si="209"/>
        <v>0.20499999999999999</v>
      </c>
    </row>
    <row r="2548" spans="19:42" ht="18">
      <c r="S2548" s="8">
        <f t="shared" si="210"/>
        <v>0</v>
      </c>
      <c r="W2548" s="3">
        <v>2574</v>
      </c>
      <c r="X2548" s="30">
        <v>205.267</v>
      </c>
      <c r="Y2548" s="33">
        <f t="shared" si="207"/>
        <v>0.20499999999999999</v>
      </c>
      <c r="AH2548" s="45">
        <f t="shared" si="211"/>
        <v>0</v>
      </c>
      <c r="AJ2548" s="44">
        <f t="shared" si="208"/>
        <v>2.5739999999999998</v>
      </c>
      <c r="AP2548" s="46">
        <f t="shared" si="209"/>
        <v>0.20499999999999999</v>
      </c>
    </row>
    <row r="2549" spans="19:42" ht="18">
      <c r="S2549" s="8">
        <f t="shared" si="210"/>
        <v>0</v>
      </c>
      <c r="W2549" s="3">
        <v>2575</v>
      </c>
      <c r="X2549" s="30">
        <v>205.333</v>
      </c>
      <c r="Y2549" s="33">
        <f t="shared" si="207"/>
        <v>0.20499999999999999</v>
      </c>
      <c r="AH2549" s="45">
        <f t="shared" si="211"/>
        <v>0</v>
      </c>
      <c r="AJ2549" s="44">
        <f t="shared" si="208"/>
        <v>2.5750000000000002</v>
      </c>
      <c r="AP2549" s="46">
        <f t="shared" si="209"/>
        <v>0.20499999999999999</v>
      </c>
    </row>
    <row r="2550" spans="19:42" ht="18">
      <c r="S2550" s="8">
        <f t="shared" si="210"/>
        <v>0</v>
      </c>
      <c r="W2550" s="3">
        <v>2576</v>
      </c>
      <c r="X2550" s="30">
        <v>205.4</v>
      </c>
      <c r="Y2550" s="33">
        <f t="shared" si="207"/>
        <v>0.20499999999999999</v>
      </c>
      <c r="AH2550" s="45">
        <f t="shared" si="211"/>
        <v>0</v>
      </c>
      <c r="AJ2550" s="44">
        <f t="shared" si="208"/>
        <v>2.5760000000000001</v>
      </c>
      <c r="AP2550" s="46">
        <f t="shared" si="209"/>
        <v>0.20499999999999999</v>
      </c>
    </row>
    <row r="2551" spans="19:42" ht="18">
      <c r="S2551" s="8">
        <f t="shared" si="210"/>
        <v>0</v>
      </c>
      <c r="W2551" s="3">
        <v>2577</v>
      </c>
      <c r="X2551" s="30">
        <v>205.46700000000001</v>
      </c>
      <c r="Y2551" s="33">
        <f t="shared" si="207"/>
        <v>0.20499999999999999</v>
      </c>
      <c r="AH2551" s="45">
        <f t="shared" si="211"/>
        <v>0</v>
      </c>
      <c r="AJ2551" s="44">
        <f t="shared" si="208"/>
        <v>2.577</v>
      </c>
      <c r="AP2551" s="46">
        <f t="shared" si="209"/>
        <v>0.20499999999999999</v>
      </c>
    </row>
    <row r="2552" spans="19:42" ht="18">
      <c r="S2552" s="8">
        <f t="shared" si="210"/>
        <v>0</v>
      </c>
      <c r="W2552" s="3">
        <v>2578</v>
      </c>
      <c r="X2552" s="30">
        <v>205.53299999999999</v>
      </c>
      <c r="Y2552" s="33">
        <f t="shared" si="207"/>
        <v>0.20599999999999999</v>
      </c>
      <c r="AH2552" s="45">
        <f t="shared" si="211"/>
        <v>0</v>
      </c>
      <c r="AJ2552" s="44">
        <f t="shared" si="208"/>
        <v>2.5779999999999998</v>
      </c>
      <c r="AP2552" s="46">
        <f t="shared" si="209"/>
        <v>0.20599999999999999</v>
      </c>
    </row>
    <row r="2553" spans="19:42" ht="18">
      <c r="S2553" s="8">
        <f t="shared" si="210"/>
        <v>0</v>
      </c>
      <c r="W2553" s="3">
        <v>2579</v>
      </c>
      <c r="X2553" s="30">
        <v>205.6</v>
      </c>
      <c r="Y2553" s="33">
        <f t="shared" si="207"/>
        <v>0.20599999999999999</v>
      </c>
      <c r="AH2553" s="45">
        <f t="shared" si="211"/>
        <v>0</v>
      </c>
      <c r="AJ2553" s="44">
        <f t="shared" si="208"/>
        <v>2.5790000000000002</v>
      </c>
      <c r="AP2553" s="46">
        <f t="shared" si="209"/>
        <v>0.20599999999999999</v>
      </c>
    </row>
    <row r="2554" spans="19:42" ht="18">
      <c r="S2554" s="8">
        <f t="shared" si="210"/>
        <v>0</v>
      </c>
      <c r="W2554" s="3">
        <v>2580</v>
      </c>
      <c r="X2554" s="30">
        <v>205.667</v>
      </c>
      <c r="Y2554" s="33">
        <f t="shared" si="207"/>
        <v>0.20599999999999999</v>
      </c>
      <c r="AH2554" s="45">
        <f t="shared" si="211"/>
        <v>0</v>
      </c>
      <c r="AJ2554" s="44">
        <f t="shared" si="208"/>
        <v>2.58</v>
      </c>
      <c r="AP2554" s="46">
        <f t="shared" si="209"/>
        <v>0.20599999999999999</v>
      </c>
    </row>
    <row r="2555" spans="19:42" ht="18">
      <c r="S2555" s="8">
        <f t="shared" si="210"/>
        <v>0</v>
      </c>
      <c r="W2555" s="3">
        <v>2581</v>
      </c>
      <c r="X2555" s="30">
        <v>205.733</v>
      </c>
      <c r="Y2555" s="33">
        <f t="shared" si="207"/>
        <v>0.20599999999999999</v>
      </c>
      <c r="AH2555" s="45">
        <f t="shared" si="211"/>
        <v>0</v>
      </c>
      <c r="AJ2555" s="44">
        <f t="shared" si="208"/>
        <v>2.581</v>
      </c>
      <c r="AP2555" s="46">
        <f t="shared" si="209"/>
        <v>0.20599999999999999</v>
      </c>
    </row>
    <row r="2556" spans="19:42" ht="18">
      <c r="S2556" s="8">
        <f t="shared" si="210"/>
        <v>0</v>
      </c>
      <c r="W2556" s="3">
        <v>2582</v>
      </c>
      <c r="X2556" s="30">
        <v>205.8</v>
      </c>
      <c r="Y2556" s="33">
        <f t="shared" si="207"/>
        <v>0.20599999999999999</v>
      </c>
      <c r="AH2556" s="45">
        <f t="shared" si="211"/>
        <v>0</v>
      </c>
      <c r="AJ2556" s="44">
        <f t="shared" si="208"/>
        <v>2.5819999999999999</v>
      </c>
      <c r="AP2556" s="46">
        <f t="shared" si="209"/>
        <v>0.20599999999999999</v>
      </c>
    </row>
    <row r="2557" spans="19:42" ht="18">
      <c r="S2557" s="8">
        <f t="shared" si="210"/>
        <v>0</v>
      </c>
      <c r="W2557" s="3">
        <v>2583</v>
      </c>
      <c r="X2557" s="30">
        <v>205.86699999999999</v>
      </c>
      <c r="Y2557" s="33">
        <f t="shared" si="207"/>
        <v>0.20599999999999999</v>
      </c>
      <c r="AH2557" s="45">
        <f t="shared" si="211"/>
        <v>0</v>
      </c>
      <c r="AJ2557" s="44">
        <f t="shared" si="208"/>
        <v>2.5830000000000002</v>
      </c>
      <c r="AP2557" s="46">
        <f t="shared" si="209"/>
        <v>0.20599999999999999</v>
      </c>
    </row>
    <row r="2558" spans="19:42" ht="18">
      <c r="S2558" s="8">
        <f t="shared" si="210"/>
        <v>0</v>
      </c>
      <c r="W2558" s="3">
        <v>2584</v>
      </c>
      <c r="X2558" s="30">
        <v>205.93299999999999</v>
      </c>
      <c r="Y2558" s="33">
        <f t="shared" si="207"/>
        <v>0.20599999999999999</v>
      </c>
      <c r="AH2558" s="45">
        <f t="shared" si="211"/>
        <v>0</v>
      </c>
      <c r="AJ2558" s="44">
        <f t="shared" si="208"/>
        <v>2.5840000000000001</v>
      </c>
      <c r="AP2558" s="46">
        <f t="shared" si="209"/>
        <v>0.20599999999999999</v>
      </c>
    </row>
    <row r="2559" spans="19:42" ht="18">
      <c r="S2559" s="8">
        <f t="shared" si="210"/>
        <v>0</v>
      </c>
      <c r="W2559" s="3">
        <v>2585</v>
      </c>
      <c r="X2559" s="30">
        <v>206</v>
      </c>
      <c r="Y2559" s="33">
        <f t="shared" si="207"/>
        <v>0.20599999999999999</v>
      </c>
      <c r="AH2559" s="45">
        <f t="shared" si="211"/>
        <v>0</v>
      </c>
      <c r="AJ2559" s="44">
        <f t="shared" si="208"/>
        <v>2.585</v>
      </c>
      <c r="AP2559" s="46">
        <f t="shared" si="209"/>
        <v>0.20599999999999999</v>
      </c>
    </row>
    <row r="2560" spans="19:42" ht="18">
      <c r="S2560" s="8">
        <f t="shared" si="210"/>
        <v>0</v>
      </c>
      <c r="W2560" s="3">
        <v>2586</v>
      </c>
      <c r="X2560" s="30">
        <v>206.06700000000001</v>
      </c>
      <c r="Y2560" s="33">
        <f t="shared" si="207"/>
        <v>0.20599999999999999</v>
      </c>
      <c r="AH2560" s="45">
        <f t="shared" si="211"/>
        <v>0</v>
      </c>
      <c r="AJ2560" s="44">
        <f t="shared" si="208"/>
        <v>2.5859999999999999</v>
      </c>
      <c r="AP2560" s="46">
        <f t="shared" si="209"/>
        <v>0.20599999999999999</v>
      </c>
    </row>
    <row r="2561" spans="19:42" ht="18">
      <c r="S2561" s="8">
        <f t="shared" si="210"/>
        <v>0</v>
      </c>
      <c r="W2561" s="3">
        <v>2587</v>
      </c>
      <c r="X2561" s="30">
        <v>206.13300000000001</v>
      </c>
      <c r="Y2561" s="33">
        <f t="shared" si="207"/>
        <v>0.20599999999999999</v>
      </c>
      <c r="AH2561" s="45">
        <f t="shared" si="211"/>
        <v>0</v>
      </c>
      <c r="AJ2561" s="44">
        <f t="shared" si="208"/>
        <v>2.5870000000000002</v>
      </c>
      <c r="AP2561" s="46">
        <f t="shared" si="209"/>
        <v>0.20599999999999999</v>
      </c>
    </row>
    <row r="2562" spans="19:42" ht="18">
      <c r="S2562" s="8">
        <f t="shared" si="210"/>
        <v>0</v>
      </c>
      <c r="W2562" s="3">
        <v>2588</v>
      </c>
      <c r="X2562" s="30">
        <v>206.2</v>
      </c>
      <c r="Y2562" s="33">
        <f t="shared" si="207"/>
        <v>0.20599999999999999</v>
      </c>
      <c r="AH2562" s="45">
        <f t="shared" si="211"/>
        <v>0</v>
      </c>
      <c r="AJ2562" s="44">
        <f t="shared" si="208"/>
        <v>2.5880000000000001</v>
      </c>
      <c r="AP2562" s="46">
        <f t="shared" si="209"/>
        <v>0.20599999999999999</v>
      </c>
    </row>
    <row r="2563" spans="19:42" ht="18">
      <c r="S2563" s="8">
        <f t="shared" si="210"/>
        <v>0</v>
      </c>
      <c r="W2563" s="3">
        <v>2589</v>
      </c>
      <c r="X2563" s="30">
        <v>206.267</v>
      </c>
      <c r="Y2563" s="33">
        <f t="shared" si="207"/>
        <v>0.20599999999999999</v>
      </c>
      <c r="AH2563" s="45">
        <f t="shared" si="211"/>
        <v>0</v>
      </c>
      <c r="AJ2563" s="44">
        <f t="shared" si="208"/>
        <v>2.589</v>
      </c>
      <c r="AP2563" s="46">
        <f t="shared" si="209"/>
        <v>0.20599999999999999</v>
      </c>
    </row>
    <row r="2564" spans="19:42" ht="18">
      <c r="S2564" s="8">
        <f t="shared" si="210"/>
        <v>0</v>
      </c>
      <c r="W2564" s="3">
        <v>2590</v>
      </c>
      <c r="X2564" s="30">
        <v>206.333</v>
      </c>
      <c r="Y2564" s="33">
        <f t="shared" si="207"/>
        <v>0.20599999999999999</v>
      </c>
      <c r="AH2564" s="45">
        <f t="shared" si="211"/>
        <v>0</v>
      </c>
      <c r="AJ2564" s="44">
        <f t="shared" si="208"/>
        <v>2.59</v>
      </c>
      <c r="AP2564" s="46">
        <f t="shared" si="209"/>
        <v>0.20599999999999999</v>
      </c>
    </row>
    <row r="2565" spans="19:42" ht="18">
      <c r="S2565" s="8">
        <f t="shared" si="210"/>
        <v>0</v>
      </c>
      <c r="W2565" s="3">
        <v>2591</v>
      </c>
      <c r="X2565" s="30">
        <v>206.4</v>
      </c>
      <c r="Y2565" s="33">
        <f t="shared" ref="Y2565:Y2628" si="212">ROUND(X2565/1000,3)</f>
        <v>0.20599999999999999</v>
      </c>
      <c r="AH2565" s="45">
        <f t="shared" si="211"/>
        <v>0</v>
      </c>
      <c r="AJ2565" s="44">
        <f t="shared" ref="AJ2565:AJ2628" si="213">ROUND(W2565/1000,3)</f>
        <v>2.5910000000000002</v>
      </c>
      <c r="AP2565" s="46">
        <f t="shared" ref="AP2565:AP2628" si="214">ROUND(X2565/1000,3)</f>
        <v>0.20599999999999999</v>
      </c>
    </row>
    <row r="2566" spans="19:42" ht="18">
      <c r="S2566" s="8">
        <f t="shared" ref="S2566:S2629" si="215">CEILING(R2566/50,0.5)</f>
        <v>0</v>
      </c>
      <c r="W2566" s="3">
        <v>2592</v>
      </c>
      <c r="X2566" s="30">
        <v>206.46700000000001</v>
      </c>
      <c r="Y2566" s="33">
        <f t="shared" si="212"/>
        <v>0.20599999999999999</v>
      </c>
      <c r="AH2566" s="45">
        <f t="shared" ref="AH2566:AH2629" si="216">AE2566-AE2565</f>
        <v>0</v>
      </c>
      <c r="AJ2566" s="44">
        <f t="shared" si="213"/>
        <v>2.5920000000000001</v>
      </c>
      <c r="AP2566" s="46">
        <f t="shared" si="214"/>
        <v>0.20599999999999999</v>
      </c>
    </row>
    <row r="2567" spans="19:42" ht="18">
      <c r="S2567" s="8">
        <f t="shared" si="215"/>
        <v>0</v>
      </c>
      <c r="W2567" s="3">
        <v>2593</v>
      </c>
      <c r="X2567" s="30">
        <v>206.53299999999999</v>
      </c>
      <c r="Y2567" s="33">
        <f t="shared" si="212"/>
        <v>0.20699999999999999</v>
      </c>
      <c r="AH2567" s="45">
        <f t="shared" si="216"/>
        <v>0</v>
      </c>
      <c r="AJ2567" s="44">
        <f t="shared" si="213"/>
        <v>2.593</v>
      </c>
      <c r="AP2567" s="46">
        <f t="shared" si="214"/>
        <v>0.20699999999999999</v>
      </c>
    </row>
    <row r="2568" spans="19:42" ht="18">
      <c r="S2568" s="8">
        <f t="shared" si="215"/>
        <v>0</v>
      </c>
      <c r="W2568" s="3">
        <v>2594</v>
      </c>
      <c r="X2568" s="30">
        <v>206.6</v>
      </c>
      <c r="Y2568" s="33">
        <f t="shared" si="212"/>
        <v>0.20699999999999999</v>
      </c>
      <c r="AH2568" s="45">
        <f t="shared" si="216"/>
        <v>0</v>
      </c>
      <c r="AJ2568" s="44">
        <f t="shared" si="213"/>
        <v>2.5939999999999999</v>
      </c>
      <c r="AP2568" s="46">
        <f t="shared" si="214"/>
        <v>0.20699999999999999</v>
      </c>
    </row>
    <row r="2569" spans="19:42" ht="18">
      <c r="S2569" s="8">
        <f t="shared" si="215"/>
        <v>0</v>
      </c>
      <c r="W2569" s="3">
        <v>2595</v>
      </c>
      <c r="X2569" s="30">
        <v>206.667</v>
      </c>
      <c r="Y2569" s="33">
        <f t="shared" si="212"/>
        <v>0.20699999999999999</v>
      </c>
      <c r="AH2569" s="45">
        <f t="shared" si="216"/>
        <v>0</v>
      </c>
      <c r="AJ2569" s="44">
        <f t="shared" si="213"/>
        <v>2.5950000000000002</v>
      </c>
      <c r="AP2569" s="46">
        <f t="shared" si="214"/>
        <v>0.20699999999999999</v>
      </c>
    </row>
    <row r="2570" spans="19:42" ht="18">
      <c r="S2570" s="8">
        <f t="shared" si="215"/>
        <v>0</v>
      </c>
      <c r="W2570" s="3">
        <v>2596</v>
      </c>
      <c r="X2570" s="30">
        <v>206.733</v>
      </c>
      <c r="Y2570" s="33">
        <f t="shared" si="212"/>
        <v>0.20699999999999999</v>
      </c>
      <c r="AH2570" s="45">
        <f t="shared" si="216"/>
        <v>0</v>
      </c>
      <c r="AJ2570" s="44">
        <f t="shared" si="213"/>
        <v>2.5960000000000001</v>
      </c>
      <c r="AP2570" s="46">
        <f t="shared" si="214"/>
        <v>0.20699999999999999</v>
      </c>
    </row>
    <row r="2571" spans="19:42" ht="18">
      <c r="S2571" s="8">
        <f t="shared" si="215"/>
        <v>0</v>
      </c>
      <c r="W2571" s="3">
        <v>2597</v>
      </c>
      <c r="X2571" s="30">
        <v>206.8</v>
      </c>
      <c r="Y2571" s="33">
        <f t="shared" si="212"/>
        <v>0.20699999999999999</v>
      </c>
      <c r="AH2571" s="45">
        <f t="shared" si="216"/>
        <v>0</v>
      </c>
      <c r="AJ2571" s="44">
        <f t="shared" si="213"/>
        <v>2.597</v>
      </c>
      <c r="AP2571" s="46">
        <f t="shared" si="214"/>
        <v>0.20699999999999999</v>
      </c>
    </row>
    <row r="2572" spans="19:42" ht="18">
      <c r="S2572" s="8">
        <f t="shared" si="215"/>
        <v>0</v>
      </c>
      <c r="W2572" s="3">
        <v>2598</v>
      </c>
      <c r="X2572" s="30">
        <v>206.86699999999999</v>
      </c>
      <c r="Y2572" s="33">
        <f t="shared" si="212"/>
        <v>0.20699999999999999</v>
      </c>
      <c r="AH2572" s="45">
        <f t="shared" si="216"/>
        <v>0</v>
      </c>
      <c r="AJ2572" s="44">
        <f t="shared" si="213"/>
        <v>2.5979999999999999</v>
      </c>
      <c r="AP2572" s="46">
        <f t="shared" si="214"/>
        <v>0.20699999999999999</v>
      </c>
    </row>
    <row r="2573" spans="19:42" ht="18">
      <c r="S2573" s="8">
        <f t="shared" si="215"/>
        <v>0</v>
      </c>
      <c r="W2573" s="3">
        <v>2599</v>
      </c>
      <c r="X2573" s="30">
        <v>206.93299999999999</v>
      </c>
      <c r="Y2573" s="33">
        <f t="shared" si="212"/>
        <v>0.20699999999999999</v>
      </c>
      <c r="AH2573" s="45">
        <f t="shared" si="216"/>
        <v>0</v>
      </c>
      <c r="AJ2573" s="44">
        <f t="shared" si="213"/>
        <v>2.5990000000000002</v>
      </c>
      <c r="AP2573" s="46">
        <f t="shared" si="214"/>
        <v>0.20699999999999999</v>
      </c>
    </row>
    <row r="2574" spans="19:42" ht="18">
      <c r="S2574" s="8">
        <f t="shared" si="215"/>
        <v>0</v>
      </c>
      <c r="W2574" s="3">
        <v>2600</v>
      </c>
      <c r="X2574" s="30">
        <v>207</v>
      </c>
      <c r="Y2574" s="33">
        <f t="shared" si="212"/>
        <v>0.20699999999999999</v>
      </c>
      <c r="AH2574" s="45">
        <f t="shared" si="216"/>
        <v>0</v>
      </c>
      <c r="AJ2574" s="44">
        <f t="shared" si="213"/>
        <v>2.6</v>
      </c>
      <c r="AP2574" s="46">
        <f t="shared" si="214"/>
        <v>0.20699999999999999</v>
      </c>
    </row>
    <row r="2575" spans="19:42" ht="18">
      <c r="S2575" s="8">
        <f t="shared" si="215"/>
        <v>0</v>
      </c>
      <c r="W2575" s="3">
        <v>2601</v>
      </c>
      <c r="X2575" s="30">
        <v>207.06700000000001</v>
      </c>
      <c r="Y2575" s="33">
        <f t="shared" si="212"/>
        <v>0.20699999999999999</v>
      </c>
      <c r="AH2575" s="45">
        <f t="shared" si="216"/>
        <v>0</v>
      </c>
      <c r="AJ2575" s="44">
        <f t="shared" si="213"/>
        <v>2.601</v>
      </c>
      <c r="AP2575" s="46">
        <f t="shared" si="214"/>
        <v>0.20699999999999999</v>
      </c>
    </row>
    <row r="2576" spans="19:42" ht="18">
      <c r="S2576" s="8">
        <f t="shared" si="215"/>
        <v>0</v>
      </c>
      <c r="W2576" s="3">
        <v>2602</v>
      </c>
      <c r="X2576" s="30">
        <v>207.13300000000001</v>
      </c>
      <c r="Y2576" s="33">
        <f t="shared" si="212"/>
        <v>0.20699999999999999</v>
      </c>
      <c r="AH2576" s="45">
        <f t="shared" si="216"/>
        <v>0</v>
      </c>
      <c r="AJ2576" s="44">
        <f t="shared" si="213"/>
        <v>2.6019999999999999</v>
      </c>
      <c r="AP2576" s="46">
        <f t="shared" si="214"/>
        <v>0.20699999999999999</v>
      </c>
    </row>
    <row r="2577" spans="19:42" ht="18">
      <c r="S2577" s="8">
        <f t="shared" si="215"/>
        <v>0</v>
      </c>
      <c r="W2577" s="3">
        <v>2603</v>
      </c>
      <c r="X2577" s="30">
        <v>207.2</v>
      </c>
      <c r="Y2577" s="33">
        <f t="shared" si="212"/>
        <v>0.20699999999999999</v>
      </c>
      <c r="AH2577" s="45">
        <f t="shared" si="216"/>
        <v>0</v>
      </c>
      <c r="AJ2577" s="44">
        <f t="shared" si="213"/>
        <v>2.6030000000000002</v>
      </c>
      <c r="AP2577" s="46">
        <f t="shared" si="214"/>
        <v>0.20699999999999999</v>
      </c>
    </row>
    <row r="2578" spans="19:42" ht="18">
      <c r="S2578" s="8">
        <f t="shared" si="215"/>
        <v>0</v>
      </c>
      <c r="W2578" s="3">
        <v>2604</v>
      </c>
      <c r="X2578" s="30">
        <v>207.267</v>
      </c>
      <c r="Y2578" s="33">
        <f t="shared" si="212"/>
        <v>0.20699999999999999</v>
      </c>
      <c r="AH2578" s="45">
        <f t="shared" si="216"/>
        <v>0</v>
      </c>
      <c r="AJ2578" s="44">
        <f t="shared" si="213"/>
        <v>2.6040000000000001</v>
      </c>
      <c r="AP2578" s="46">
        <f t="shared" si="214"/>
        <v>0.20699999999999999</v>
      </c>
    </row>
    <row r="2579" spans="19:42" ht="18">
      <c r="S2579" s="8">
        <f t="shared" si="215"/>
        <v>0</v>
      </c>
      <c r="W2579" s="3">
        <v>2605</v>
      </c>
      <c r="X2579" s="30">
        <v>207.333</v>
      </c>
      <c r="Y2579" s="33">
        <f t="shared" si="212"/>
        <v>0.20699999999999999</v>
      </c>
      <c r="AH2579" s="45">
        <f t="shared" si="216"/>
        <v>0</v>
      </c>
      <c r="AJ2579" s="44">
        <f t="shared" si="213"/>
        <v>2.605</v>
      </c>
      <c r="AP2579" s="46">
        <f t="shared" si="214"/>
        <v>0.20699999999999999</v>
      </c>
    </row>
    <row r="2580" spans="19:42" ht="18">
      <c r="S2580" s="8">
        <f t="shared" si="215"/>
        <v>0</v>
      </c>
      <c r="W2580" s="3">
        <v>2606</v>
      </c>
      <c r="X2580" s="30">
        <v>207.4</v>
      </c>
      <c r="Y2580" s="33">
        <f t="shared" si="212"/>
        <v>0.20699999999999999</v>
      </c>
      <c r="AH2580" s="45">
        <f t="shared" si="216"/>
        <v>0</v>
      </c>
      <c r="AJ2580" s="44">
        <f t="shared" si="213"/>
        <v>2.6059999999999999</v>
      </c>
      <c r="AP2580" s="46">
        <f t="shared" si="214"/>
        <v>0.20699999999999999</v>
      </c>
    </row>
    <row r="2581" spans="19:42" ht="18">
      <c r="S2581" s="8">
        <f t="shared" si="215"/>
        <v>0</v>
      </c>
      <c r="W2581" s="3">
        <v>2607</v>
      </c>
      <c r="X2581" s="30">
        <v>207.46700000000001</v>
      </c>
      <c r="Y2581" s="33">
        <f t="shared" si="212"/>
        <v>0.20699999999999999</v>
      </c>
      <c r="AH2581" s="45">
        <f t="shared" si="216"/>
        <v>0</v>
      </c>
      <c r="AJ2581" s="44">
        <f t="shared" si="213"/>
        <v>2.6070000000000002</v>
      </c>
      <c r="AP2581" s="46">
        <f t="shared" si="214"/>
        <v>0.20699999999999999</v>
      </c>
    </row>
    <row r="2582" spans="19:42" ht="18">
      <c r="S2582" s="8">
        <f t="shared" si="215"/>
        <v>0</v>
      </c>
      <c r="W2582" s="3">
        <v>2608</v>
      </c>
      <c r="X2582" s="30">
        <v>207.53299999999999</v>
      </c>
      <c r="Y2582" s="33">
        <f t="shared" si="212"/>
        <v>0.20799999999999999</v>
      </c>
      <c r="AH2582" s="45">
        <f t="shared" si="216"/>
        <v>0</v>
      </c>
      <c r="AJ2582" s="44">
        <f t="shared" si="213"/>
        <v>2.6080000000000001</v>
      </c>
      <c r="AP2582" s="46">
        <f t="shared" si="214"/>
        <v>0.20799999999999999</v>
      </c>
    </row>
    <row r="2583" spans="19:42" ht="18">
      <c r="S2583" s="8">
        <f t="shared" si="215"/>
        <v>0</v>
      </c>
      <c r="W2583" s="3">
        <v>2609</v>
      </c>
      <c r="X2583" s="30">
        <v>207.6</v>
      </c>
      <c r="Y2583" s="33">
        <f t="shared" si="212"/>
        <v>0.20799999999999999</v>
      </c>
      <c r="AH2583" s="45">
        <f t="shared" si="216"/>
        <v>0</v>
      </c>
      <c r="AJ2583" s="44">
        <f t="shared" si="213"/>
        <v>2.609</v>
      </c>
      <c r="AP2583" s="46">
        <f t="shared" si="214"/>
        <v>0.20799999999999999</v>
      </c>
    </row>
    <row r="2584" spans="19:42" ht="18">
      <c r="S2584" s="8">
        <f t="shared" si="215"/>
        <v>0</v>
      </c>
      <c r="W2584" s="3">
        <v>2610</v>
      </c>
      <c r="X2584" s="30">
        <v>207.667</v>
      </c>
      <c r="Y2584" s="33">
        <f t="shared" si="212"/>
        <v>0.20799999999999999</v>
      </c>
      <c r="AH2584" s="45">
        <f t="shared" si="216"/>
        <v>0</v>
      </c>
      <c r="AJ2584" s="44">
        <f t="shared" si="213"/>
        <v>2.61</v>
      </c>
      <c r="AP2584" s="46">
        <f t="shared" si="214"/>
        <v>0.20799999999999999</v>
      </c>
    </row>
    <row r="2585" spans="19:42" ht="18">
      <c r="S2585" s="8">
        <f t="shared" si="215"/>
        <v>0</v>
      </c>
      <c r="W2585" s="3">
        <v>2611</v>
      </c>
      <c r="X2585" s="30">
        <v>207.733</v>
      </c>
      <c r="Y2585" s="33">
        <f t="shared" si="212"/>
        <v>0.20799999999999999</v>
      </c>
      <c r="AH2585" s="45">
        <f t="shared" si="216"/>
        <v>0</v>
      </c>
      <c r="AJ2585" s="44">
        <f t="shared" si="213"/>
        <v>2.6110000000000002</v>
      </c>
      <c r="AP2585" s="46">
        <f t="shared" si="214"/>
        <v>0.20799999999999999</v>
      </c>
    </row>
    <row r="2586" spans="19:42" ht="18">
      <c r="S2586" s="8">
        <f t="shared" si="215"/>
        <v>0</v>
      </c>
      <c r="W2586" s="3">
        <v>2612</v>
      </c>
      <c r="X2586" s="30">
        <v>207.8</v>
      </c>
      <c r="Y2586" s="33">
        <f t="shared" si="212"/>
        <v>0.20799999999999999</v>
      </c>
      <c r="AH2586" s="45">
        <f t="shared" si="216"/>
        <v>0</v>
      </c>
      <c r="AJ2586" s="44">
        <f t="shared" si="213"/>
        <v>2.6120000000000001</v>
      </c>
      <c r="AP2586" s="46">
        <f t="shared" si="214"/>
        <v>0.20799999999999999</v>
      </c>
    </row>
    <row r="2587" spans="19:42" ht="18">
      <c r="S2587" s="8">
        <f t="shared" si="215"/>
        <v>0</v>
      </c>
      <c r="W2587" s="3">
        <v>2613</v>
      </c>
      <c r="X2587" s="30">
        <v>207.86699999999999</v>
      </c>
      <c r="Y2587" s="33">
        <f t="shared" si="212"/>
        <v>0.20799999999999999</v>
      </c>
      <c r="AH2587" s="45">
        <f t="shared" si="216"/>
        <v>0</v>
      </c>
      <c r="AJ2587" s="44">
        <f t="shared" si="213"/>
        <v>2.613</v>
      </c>
      <c r="AP2587" s="46">
        <f t="shared" si="214"/>
        <v>0.20799999999999999</v>
      </c>
    </row>
    <row r="2588" spans="19:42" ht="18">
      <c r="S2588" s="8">
        <f t="shared" si="215"/>
        <v>0</v>
      </c>
      <c r="W2588" s="3">
        <v>2614</v>
      </c>
      <c r="X2588" s="30">
        <v>207.93299999999999</v>
      </c>
      <c r="Y2588" s="33">
        <f t="shared" si="212"/>
        <v>0.20799999999999999</v>
      </c>
      <c r="AH2588" s="45">
        <f t="shared" si="216"/>
        <v>0</v>
      </c>
      <c r="AJ2588" s="44">
        <f t="shared" si="213"/>
        <v>2.6139999999999999</v>
      </c>
      <c r="AP2588" s="46">
        <f t="shared" si="214"/>
        <v>0.20799999999999999</v>
      </c>
    </row>
    <row r="2589" spans="19:42" ht="18">
      <c r="S2589" s="8">
        <f t="shared" si="215"/>
        <v>0</v>
      </c>
      <c r="W2589" s="3">
        <v>2615</v>
      </c>
      <c r="X2589" s="30">
        <v>208</v>
      </c>
      <c r="Y2589" s="33">
        <f t="shared" si="212"/>
        <v>0.20799999999999999</v>
      </c>
      <c r="AH2589" s="45">
        <f t="shared" si="216"/>
        <v>0</v>
      </c>
      <c r="AJ2589" s="44">
        <f t="shared" si="213"/>
        <v>2.6150000000000002</v>
      </c>
      <c r="AP2589" s="46">
        <f t="shared" si="214"/>
        <v>0.20799999999999999</v>
      </c>
    </row>
    <row r="2590" spans="19:42" ht="18">
      <c r="S2590" s="8">
        <f t="shared" si="215"/>
        <v>0</v>
      </c>
      <c r="W2590" s="3">
        <v>2616</v>
      </c>
      <c r="X2590" s="30">
        <v>208.06700000000001</v>
      </c>
      <c r="Y2590" s="33">
        <f t="shared" si="212"/>
        <v>0.20799999999999999</v>
      </c>
      <c r="AH2590" s="45">
        <f t="shared" si="216"/>
        <v>0</v>
      </c>
      <c r="AJ2590" s="44">
        <f t="shared" si="213"/>
        <v>2.6160000000000001</v>
      </c>
      <c r="AP2590" s="46">
        <f t="shared" si="214"/>
        <v>0.20799999999999999</v>
      </c>
    </row>
    <row r="2591" spans="19:42" ht="18">
      <c r="S2591" s="8">
        <f t="shared" si="215"/>
        <v>0</v>
      </c>
      <c r="W2591" s="3">
        <v>2617</v>
      </c>
      <c r="X2591" s="30">
        <v>208.13300000000001</v>
      </c>
      <c r="Y2591" s="33">
        <f t="shared" si="212"/>
        <v>0.20799999999999999</v>
      </c>
      <c r="AH2591" s="45">
        <f t="shared" si="216"/>
        <v>0</v>
      </c>
      <c r="AJ2591" s="44">
        <f t="shared" si="213"/>
        <v>2.617</v>
      </c>
      <c r="AP2591" s="46">
        <f t="shared" si="214"/>
        <v>0.20799999999999999</v>
      </c>
    </row>
    <row r="2592" spans="19:42" ht="18">
      <c r="S2592" s="8">
        <f t="shared" si="215"/>
        <v>0</v>
      </c>
      <c r="W2592" s="3">
        <v>2618</v>
      </c>
      <c r="X2592" s="30">
        <v>208.2</v>
      </c>
      <c r="Y2592" s="33">
        <f t="shared" si="212"/>
        <v>0.20799999999999999</v>
      </c>
      <c r="AH2592" s="45">
        <f t="shared" si="216"/>
        <v>0</v>
      </c>
      <c r="AJ2592" s="44">
        <f t="shared" si="213"/>
        <v>2.6179999999999999</v>
      </c>
      <c r="AP2592" s="46">
        <f t="shared" si="214"/>
        <v>0.20799999999999999</v>
      </c>
    </row>
    <row r="2593" spans="19:42" ht="18">
      <c r="S2593" s="8">
        <f t="shared" si="215"/>
        <v>0</v>
      </c>
      <c r="W2593" s="3">
        <v>2619</v>
      </c>
      <c r="X2593" s="30">
        <v>208.267</v>
      </c>
      <c r="Y2593" s="33">
        <f t="shared" si="212"/>
        <v>0.20799999999999999</v>
      </c>
      <c r="AH2593" s="45">
        <f t="shared" si="216"/>
        <v>0</v>
      </c>
      <c r="AJ2593" s="44">
        <f t="shared" si="213"/>
        <v>2.6190000000000002</v>
      </c>
      <c r="AP2593" s="46">
        <f t="shared" si="214"/>
        <v>0.20799999999999999</v>
      </c>
    </row>
    <row r="2594" spans="19:42" ht="18">
      <c r="S2594" s="8">
        <f t="shared" si="215"/>
        <v>0</v>
      </c>
      <c r="W2594" s="3">
        <v>2620</v>
      </c>
      <c r="X2594" s="30">
        <v>208.333</v>
      </c>
      <c r="Y2594" s="33">
        <f t="shared" si="212"/>
        <v>0.20799999999999999</v>
      </c>
      <c r="AH2594" s="45">
        <f t="shared" si="216"/>
        <v>0</v>
      </c>
      <c r="AJ2594" s="44">
        <f t="shared" si="213"/>
        <v>2.62</v>
      </c>
      <c r="AP2594" s="46">
        <f t="shared" si="214"/>
        <v>0.20799999999999999</v>
      </c>
    </row>
    <row r="2595" spans="19:42" ht="18">
      <c r="S2595" s="8">
        <f t="shared" si="215"/>
        <v>0</v>
      </c>
      <c r="W2595" s="3">
        <v>2621</v>
      </c>
      <c r="X2595" s="30">
        <v>208.4</v>
      </c>
      <c r="Y2595" s="33">
        <f t="shared" si="212"/>
        <v>0.20799999999999999</v>
      </c>
      <c r="AH2595" s="45">
        <f t="shared" si="216"/>
        <v>0</v>
      </c>
      <c r="AJ2595" s="44">
        <f t="shared" si="213"/>
        <v>2.621</v>
      </c>
      <c r="AP2595" s="46">
        <f t="shared" si="214"/>
        <v>0.20799999999999999</v>
      </c>
    </row>
    <row r="2596" spans="19:42" ht="18">
      <c r="S2596" s="8">
        <f t="shared" si="215"/>
        <v>0</v>
      </c>
      <c r="W2596" s="3">
        <v>2622</v>
      </c>
      <c r="X2596" s="30">
        <v>208.46700000000001</v>
      </c>
      <c r="Y2596" s="33">
        <f t="shared" si="212"/>
        <v>0.20799999999999999</v>
      </c>
      <c r="AH2596" s="45">
        <f t="shared" si="216"/>
        <v>0</v>
      </c>
      <c r="AJ2596" s="44">
        <f t="shared" si="213"/>
        <v>2.6219999999999999</v>
      </c>
      <c r="AP2596" s="46">
        <f t="shared" si="214"/>
        <v>0.20799999999999999</v>
      </c>
    </row>
    <row r="2597" spans="19:42" ht="18">
      <c r="S2597" s="8">
        <f t="shared" si="215"/>
        <v>0</v>
      </c>
      <c r="W2597" s="3">
        <v>2623</v>
      </c>
      <c r="X2597" s="30">
        <v>208.53299999999999</v>
      </c>
      <c r="Y2597" s="33">
        <f t="shared" si="212"/>
        <v>0.20899999999999999</v>
      </c>
      <c r="AH2597" s="45">
        <f t="shared" si="216"/>
        <v>0</v>
      </c>
      <c r="AJ2597" s="44">
        <f t="shared" si="213"/>
        <v>2.6230000000000002</v>
      </c>
      <c r="AP2597" s="46">
        <f t="shared" si="214"/>
        <v>0.20899999999999999</v>
      </c>
    </row>
    <row r="2598" spans="19:42" ht="18">
      <c r="S2598" s="8">
        <f t="shared" si="215"/>
        <v>0</v>
      </c>
      <c r="W2598" s="3">
        <v>2624</v>
      </c>
      <c r="X2598" s="30">
        <v>208.6</v>
      </c>
      <c r="Y2598" s="33">
        <f t="shared" si="212"/>
        <v>0.20899999999999999</v>
      </c>
      <c r="AH2598" s="45">
        <f t="shared" si="216"/>
        <v>0</v>
      </c>
      <c r="AJ2598" s="44">
        <f t="shared" si="213"/>
        <v>2.6240000000000001</v>
      </c>
      <c r="AP2598" s="46">
        <f t="shared" si="214"/>
        <v>0.20899999999999999</v>
      </c>
    </row>
    <row r="2599" spans="19:42" ht="18">
      <c r="S2599" s="8">
        <f t="shared" si="215"/>
        <v>0</v>
      </c>
      <c r="W2599" s="3">
        <v>2625</v>
      </c>
      <c r="X2599" s="30">
        <v>208.667</v>
      </c>
      <c r="Y2599" s="33">
        <f t="shared" si="212"/>
        <v>0.20899999999999999</v>
      </c>
      <c r="AH2599" s="45">
        <f t="shared" si="216"/>
        <v>0</v>
      </c>
      <c r="AJ2599" s="44">
        <f t="shared" si="213"/>
        <v>2.625</v>
      </c>
      <c r="AP2599" s="46">
        <f t="shared" si="214"/>
        <v>0.20899999999999999</v>
      </c>
    </row>
    <row r="2600" spans="19:42" ht="18">
      <c r="S2600" s="8">
        <f t="shared" si="215"/>
        <v>0</v>
      </c>
      <c r="W2600" s="3">
        <v>2626</v>
      </c>
      <c r="X2600" s="30">
        <v>208.733</v>
      </c>
      <c r="Y2600" s="33">
        <f t="shared" si="212"/>
        <v>0.20899999999999999</v>
      </c>
      <c r="AH2600" s="45">
        <f t="shared" si="216"/>
        <v>0</v>
      </c>
      <c r="AJ2600" s="44">
        <f t="shared" si="213"/>
        <v>2.6259999999999999</v>
      </c>
      <c r="AP2600" s="46">
        <f t="shared" si="214"/>
        <v>0.20899999999999999</v>
      </c>
    </row>
    <row r="2601" spans="19:42" ht="18">
      <c r="S2601" s="8">
        <f t="shared" si="215"/>
        <v>0</v>
      </c>
      <c r="W2601" s="3">
        <v>2627</v>
      </c>
      <c r="X2601" s="30">
        <v>208.8</v>
      </c>
      <c r="Y2601" s="33">
        <f t="shared" si="212"/>
        <v>0.20899999999999999</v>
      </c>
      <c r="AH2601" s="45">
        <f t="shared" si="216"/>
        <v>0</v>
      </c>
      <c r="AJ2601" s="44">
        <f t="shared" si="213"/>
        <v>2.6269999999999998</v>
      </c>
      <c r="AP2601" s="46">
        <f t="shared" si="214"/>
        <v>0.20899999999999999</v>
      </c>
    </row>
    <row r="2602" spans="19:42" ht="18">
      <c r="S2602" s="8">
        <f t="shared" si="215"/>
        <v>0</v>
      </c>
      <c r="W2602" s="3">
        <v>2628</v>
      </c>
      <c r="X2602" s="30">
        <v>208.86699999999999</v>
      </c>
      <c r="Y2602" s="33">
        <f t="shared" si="212"/>
        <v>0.20899999999999999</v>
      </c>
      <c r="AH2602" s="45">
        <f t="shared" si="216"/>
        <v>0</v>
      </c>
      <c r="AJ2602" s="44">
        <f t="shared" si="213"/>
        <v>2.6280000000000001</v>
      </c>
      <c r="AP2602" s="46">
        <f t="shared" si="214"/>
        <v>0.20899999999999999</v>
      </c>
    </row>
    <row r="2603" spans="19:42" ht="18">
      <c r="S2603" s="8">
        <f t="shared" si="215"/>
        <v>0</v>
      </c>
      <c r="W2603" s="3">
        <v>2629</v>
      </c>
      <c r="X2603" s="30">
        <v>208.93299999999999</v>
      </c>
      <c r="Y2603" s="33">
        <f t="shared" si="212"/>
        <v>0.20899999999999999</v>
      </c>
      <c r="AH2603" s="45">
        <f t="shared" si="216"/>
        <v>0</v>
      </c>
      <c r="AJ2603" s="44">
        <f t="shared" si="213"/>
        <v>2.629</v>
      </c>
      <c r="AP2603" s="46">
        <f t="shared" si="214"/>
        <v>0.20899999999999999</v>
      </c>
    </row>
    <row r="2604" spans="19:42" ht="18">
      <c r="S2604" s="8">
        <f t="shared" si="215"/>
        <v>0</v>
      </c>
      <c r="W2604" s="3">
        <v>2630</v>
      </c>
      <c r="X2604" s="30">
        <v>209</v>
      </c>
      <c r="Y2604" s="33">
        <f t="shared" si="212"/>
        <v>0.20899999999999999</v>
      </c>
      <c r="AH2604" s="45">
        <f t="shared" si="216"/>
        <v>0</v>
      </c>
      <c r="AJ2604" s="44">
        <f t="shared" si="213"/>
        <v>2.63</v>
      </c>
      <c r="AP2604" s="46">
        <f t="shared" si="214"/>
        <v>0.20899999999999999</v>
      </c>
    </row>
    <row r="2605" spans="19:42" ht="18">
      <c r="S2605" s="8">
        <f t="shared" si="215"/>
        <v>0</v>
      </c>
      <c r="W2605" s="3">
        <v>2631</v>
      </c>
      <c r="X2605" s="30">
        <v>208.77099999999999</v>
      </c>
      <c r="Y2605" s="33">
        <f t="shared" si="212"/>
        <v>0.20899999999999999</v>
      </c>
      <c r="AH2605" s="45">
        <f t="shared" si="216"/>
        <v>0</v>
      </c>
      <c r="AJ2605" s="44">
        <f t="shared" si="213"/>
        <v>2.6309999999999998</v>
      </c>
      <c r="AP2605" s="46">
        <f t="shared" si="214"/>
        <v>0.20899999999999999</v>
      </c>
    </row>
    <row r="2606" spans="19:42" ht="18">
      <c r="S2606" s="8">
        <f t="shared" si="215"/>
        <v>0</v>
      </c>
      <c r="W2606" s="3">
        <v>2632</v>
      </c>
      <c r="X2606" s="30">
        <v>208.54300000000001</v>
      </c>
      <c r="Y2606" s="33">
        <f t="shared" si="212"/>
        <v>0.20899999999999999</v>
      </c>
      <c r="AH2606" s="45">
        <f t="shared" si="216"/>
        <v>0</v>
      </c>
      <c r="AJ2606" s="44">
        <f t="shared" si="213"/>
        <v>2.6320000000000001</v>
      </c>
      <c r="AP2606" s="46">
        <f t="shared" si="214"/>
        <v>0.20899999999999999</v>
      </c>
    </row>
    <row r="2607" spans="19:42" ht="18">
      <c r="S2607" s="8">
        <f t="shared" si="215"/>
        <v>0</v>
      </c>
      <c r="W2607" s="3">
        <v>2633</v>
      </c>
      <c r="X2607" s="30">
        <v>208.31399999999999</v>
      </c>
      <c r="Y2607" s="33">
        <f t="shared" si="212"/>
        <v>0.20799999999999999</v>
      </c>
      <c r="AH2607" s="45">
        <f t="shared" si="216"/>
        <v>0</v>
      </c>
      <c r="AJ2607" s="44">
        <f t="shared" si="213"/>
        <v>2.633</v>
      </c>
      <c r="AP2607" s="46">
        <f t="shared" si="214"/>
        <v>0.20799999999999999</v>
      </c>
    </row>
    <row r="2608" spans="19:42" ht="18">
      <c r="S2608" s="8">
        <f t="shared" si="215"/>
        <v>0</v>
      </c>
      <c r="W2608" s="3">
        <v>2634</v>
      </c>
      <c r="X2608" s="30">
        <v>208.08600000000001</v>
      </c>
      <c r="Y2608" s="33">
        <f t="shared" si="212"/>
        <v>0.20799999999999999</v>
      </c>
      <c r="AH2608" s="45">
        <f t="shared" si="216"/>
        <v>0</v>
      </c>
      <c r="AJ2608" s="44">
        <f t="shared" si="213"/>
        <v>2.6339999999999999</v>
      </c>
      <c r="AP2608" s="46">
        <f t="shared" si="214"/>
        <v>0.20799999999999999</v>
      </c>
    </row>
    <row r="2609" spans="19:42" ht="18">
      <c r="S2609" s="8">
        <f t="shared" si="215"/>
        <v>0</v>
      </c>
      <c r="W2609" s="3">
        <v>2635</v>
      </c>
      <c r="X2609" s="30">
        <v>207.857</v>
      </c>
      <c r="Y2609" s="33">
        <f t="shared" si="212"/>
        <v>0.20799999999999999</v>
      </c>
      <c r="AH2609" s="45">
        <f t="shared" si="216"/>
        <v>0</v>
      </c>
      <c r="AJ2609" s="44">
        <f t="shared" si="213"/>
        <v>2.6349999999999998</v>
      </c>
      <c r="AP2609" s="46">
        <f t="shared" si="214"/>
        <v>0.20799999999999999</v>
      </c>
    </row>
    <row r="2610" spans="19:42" ht="18">
      <c r="S2610" s="8">
        <f t="shared" si="215"/>
        <v>0</v>
      </c>
      <c r="W2610" s="3">
        <v>2636</v>
      </c>
      <c r="X2610" s="30">
        <v>207.62899999999999</v>
      </c>
      <c r="Y2610" s="33">
        <f t="shared" si="212"/>
        <v>0.20799999999999999</v>
      </c>
      <c r="AH2610" s="45">
        <f t="shared" si="216"/>
        <v>0</v>
      </c>
      <c r="AJ2610" s="44">
        <f t="shared" si="213"/>
        <v>2.6360000000000001</v>
      </c>
      <c r="AP2610" s="46">
        <f t="shared" si="214"/>
        <v>0.20799999999999999</v>
      </c>
    </row>
    <row r="2611" spans="19:42" ht="18">
      <c r="S2611" s="8">
        <f t="shared" si="215"/>
        <v>0</v>
      </c>
      <c r="W2611" s="3">
        <v>2637</v>
      </c>
      <c r="X2611" s="30">
        <v>207.4</v>
      </c>
      <c r="Y2611" s="33">
        <f t="shared" si="212"/>
        <v>0.20699999999999999</v>
      </c>
      <c r="AH2611" s="45">
        <f t="shared" si="216"/>
        <v>0</v>
      </c>
      <c r="AJ2611" s="44">
        <f t="shared" si="213"/>
        <v>2.637</v>
      </c>
      <c r="AP2611" s="46">
        <f t="shared" si="214"/>
        <v>0.20699999999999999</v>
      </c>
    </row>
    <row r="2612" spans="19:42" ht="18">
      <c r="S2612" s="8">
        <f t="shared" si="215"/>
        <v>0</v>
      </c>
      <c r="W2612" s="3">
        <v>2638</v>
      </c>
      <c r="X2612" s="30">
        <v>207.17099999999999</v>
      </c>
      <c r="Y2612" s="33">
        <f t="shared" si="212"/>
        <v>0.20699999999999999</v>
      </c>
      <c r="AH2612" s="45">
        <f t="shared" si="216"/>
        <v>0</v>
      </c>
      <c r="AJ2612" s="44">
        <f t="shared" si="213"/>
        <v>2.6379999999999999</v>
      </c>
      <c r="AP2612" s="46">
        <f t="shared" si="214"/>
        <v>0.20699999999999999</v>
      </c>
    </row>
    <row r="2613" spans="19:42" ht="18">
      <c r="S2613" s="8">
        <f t="shared" si="215"/>
        <v>0</v>
      </c>
      <c r="W2613" s="3">
        <v>2639</v>
      </c>
      <c r="X2613" s="30">
        <v>206.94300000000001</v>
      </c>
      <c r="Y2613" s="33">
        <f t="shared" si="212"/>
        <v>0.20699999999999999</v>
      </c>
      <c r="AH2613" s="45">
        <f t="shared" si="216"/>
        <v>0</v>
      </c>
      <c r="AJ2613" s="44">
        <f t="shared" si="213"/>
        <v>2.6389999999999998</v>
      </c>
      <c r="AP2613" s="46">
        <f t="shared" si="214"/>
        <v>0.20699999999999999</v>
      </c>
    </row>
    <row r="2614" spans="19:42" ht="18">
      <c r="S2614" s="8">
        <f t="shared" si="215"/>
        <v>0</v>
      </c>
      <c r="W2614" s="3">
        <v>2640</v>
      </c>
      <c r="X2614" s="30">
        <v>206.714</v>
      </c>
      <c r="Y2614" s="33">
        <f t="shared" si="212"/>
        <v>0.20699999999999999</v>
      </c>
      <c r="AH2614" s="45">
        <f t="shared" si="216"/>
        <v>0</v>
      </c>
      <c r="AJ2614" s="44">
        <f t="shared" si="213"/>
        <v>2.64</v>
      </c>
      <c r="AP2614" s="46">
        <f t="shared" si="214"/>
        <v>0.20699999999999999</v>
      </c>
    </row>
    <row r="2615" spans="19:42" ht="18">
      <c r="S2615" s="8">
        <f t="shared" si="215"/>
        <v>0</v>
      </c>
      <c r="W2615" s="3">
        <v>2641</v>
      </c>
      <c r="X2615" s="30">
        <v>206.48599999999999</v>
      </c>
      <c r="Y2615" s="33">
        <f t="shared" si="212"/>
        <v>0.20599999999999999</v>
      </c>
      <c r="AH2615" s="45">
        <f t="shared" si="216"/>
        <v>0</v>
      </c>
      <c r="AJ2615" s="44">
        <f t="shared" si="213"/>
        <v>2.641</v>
      </c>
      <c r="AP2615" s="46">
        <f t="shared" si="214"/>
        <v>0.20599999999999999</v>
      </c>
    </row>
    <row r="2616" spans="19:42" ht="18">
      <c r="S2616" s="8">
        <f t="shared" si="215"/>
        <v>0</v>
      </c>
      <c r="W2616" s="3">
        <v>2642</v>
      </c>
      <c r="X2616" s="30">
        <v>206.25700000000001</v>
      </c>
      <c r="Y2616" s="33">
        <f t="shared" si="212"/>
        <v>0.20599999999999999</v>
      </c>
      <c r="AH2616" s="45">
        <f t="shared" si="216"/>
        <v>0</v>
      </c>
      <c r="AJ2616" s="44">
        <f t="shared" si="213"/>
        <v>2.6419999999999999</v>
      </c>
      <c r="AP2616" s="46">
        <f t="shared" si="214"/>
        <v>0.20599999999999999</v>
      </c>
    </row>
    <row r="2617" spans="19:42" ht="18">
      <c r="S2617" s="8">
        <f t="shared" si="215"/>
        <v>0</v>
      </c>
      <c r="W2617" s="3">
        <v>2643</v>
      </c>
      <c r="X2617" s="30">
        <v>206.029</v>
      </c>
      <c r="Y2617" s="33">
        <f t="shared" si="212"/>
        <v>0.20599999999999999</v>
      </c>
      <c r="AH2617" s="45">
        <f t="shared" si="216"/>
        <v>0</v>
      </c>
      <c r="AJ2617" s="44">
        <f t="shared" si="213"/>
        <v>2.6429999999999998</v>
      </c>
      <c r="AP2617" s="46">
        <f t="shared" si="214"/>
        <v>0.20599999999999999</v>
      </c>
    </row>
    <row r="2618" spans="19:42" ht="18">
      <c r="S2618" s="8">
        <f t="shared" si="215"/>
        <v>0</v>
      </c>
      <c r="W2618" s="3">
        <v>2644</v>
      </c>
      <c r="X2618" s="30">
        <v>205.8</v>
      </c>
      <c r="Y2618" s="33">
        <f t="shared" si="212"/>
        <v>0.20599999999999999</v>
      </c>
      <c r="AH2618" s="45">
        <f t="shared" si="216"/>
        <v>0</v>
      </c>
      <c r="AJ2618" s="44">
        <f t="shared" si="213"/>
        <v>2.6440000000000001</v>
      </c>
      <c r="AP2618" s="46">
        <f t="shared" si="214"/>
        <v>0.20599999999999999</v>
      </c>
    </row>
    <row r="2619" spans="19:42" ht="18">
      <c r="S2619" s="8">
        <f t="shared" si="215"/>
        <v>0</v>
      </c>
      <c r="W2619" s="3">
        <v>2645</v>
      </c>
      <c r="X2619" s="30">
        <v>205.571</v>
      </c>
      <c r="Y2619" s="33">
        <f t="shared" si="212"/>
        <v>0.20599999999999999</v>
      </c>
      <c r="AH2619" s="45">
        <f t="shared" si="216"/>
        <v>0</v>
      </c>
      <c r="AJ2619" s="44">
        <f t="shared" si="213"/>
        <v>2.645</v>
      </c>
      <c r="AP2619" s="46">
        <f t="shared" si="214"/>
        <v>0.20599999999999999</v>
      </c>
    </row>
    <row r="2620" spans="19:42" ht="18">
      <c r="S2620" s="8">
        <f t="shared" si="215"/>
        <v>0</v>
      </c>
      <c r="W2620" s="3">
        <v>2646</v>
      </c>
      <c r="X2620" s="30">
        <v>205.34299999999999</v>
      </c>
      <c r="Y2620" s="33">
        <f t="shared" si="212"/>
        <v>0.20499999999999999</v>
      </c>
      <c r="AH2620" s="45">
        <f t="shared" si="216"/>
        <v>0</v>
      </c>
      <c r="AJ2620" s="44">
        <f t="shared" si="213"/>
        <v>2.6459999999999999</v>
      </c>
      <c r="AP2620" s="46">
        <f t="shared" si="214"/>
        <v>0.20499999999999999</v>
      </c>
    </row>
    <row r="2621" spans="19:42" ht="18">
      <c r="S2621" s="8">
        <f t="shared" si="215"/>
        <v>0</v>
      </c>
      <c r="W2621" s="3">
        <v>2647</v>
      </c>
      <c r="X2621" s="30">
        <v>205.114</v>
      </c>
      <c r="Y2621" s="33">
        <f t="shared" si="212"/>
        <v>0.20499999999999999</v>
      </c>
      <c r="AH2621" s="45">
        <f t="shared" si="216"/>
        <v>0</v>
      </c>
      <c r="AJ2621" s="44">
        <f t="shared" si="213"/>
        <v>2.6469999999999998</v>
      </c>
      <c r="AP2621" s="46">
        <f t="shared" si="214"/>
        <v>0.20499999999999999</v>
      </c>
    </row>
    <row r="2622" spans="19:42" ht="18">
      <c r="S2622" s="8">
        <f t="shared" si="215"/>
        <v>0</v>
      </c>
      <c r="W2622" s="3">
        <v>2648</v>
      </c>
      <c r="X2622" s="30">
        <v>204.886</v>
      </c>
      <c r="Y2622" s="33">
        <f t="shared" si="212"/>
        <v>0.20499999999999999</v>
      </c>
      <c r="AH2622" s="45">
        <f t="shared" si="216"/>
        <v>0</v>
      </c>
      <c r="AJ2622" s="44">
        <f t="shared" si="213"/>
        <v>2.6480000000000001</v>
      </c>
      <c r="AP2622" s="46">
        <f t="shared" si="214"/>
        <v>0.20499999999999999</v>
      </c>
    </row>
    <row r="2623" spans="19:42" ht="18">
      <c r="S2623" s="8">
        <f t="shared" si="215"/>
        <v>0</v>
      </c>
      <c r="W2623" s="3">
        <v>2649</v>
      </c>
      <c r="X2623" s="30">
        <v>204.65700000000001</v>
      </c>
      <c r="Y2623" s="33">
        <f t="shared" si="212"/>
        <v>0.20499999999999999</v>
      </c>
      <c r="AH2623" s="45">
        <f t="shared" si="216"/>
        <v>0</v>
      </c>
      <c r="AJ2623" s="44">
        <f t="shared" si="213"/>
        <v>2.649</v>
      </c>
      <c r="AP2623" s="46">
        <f t="shared" si="214"/>
        <v>0.20499999999999999</v>
      </c>
    </row>
    <row r="2624" spans="19:42" ht="18">
      <c r="S2624" s="8">
        <f t="shared" si="215"/>
        <v>0</v>
      </c>
      <c r="W2624" s="3">
        <v>2650</v>
      </c>
      <c r="X2624" s="30">
        <v>204.429</v>
      </c>
      <c r="Y2624" s="33">
        <f t="shared" si="212"/>
        <v>0.20399999999999999</v>
      </c>
      <c r="AH2624" s="45">
        <f t="shared" si="216"/>
        <v>0</v>
      </c>
      <c r="AJ2624" s="44">
        <f t="shared" si="213"/>
        <v>2.65</v>
      </c>
      <c r="AP2624" s="46">
        <f t="shared" si="214"/>
        <v>0.20399999999999999</v>
      </c>
    </row>
    <row r="2625" spans="19:42" ht="18">
      <c r="S2625" s="8">
        <f t="shared" si="215"/>
        <v>0</v>
      </c>
      <c r="W2625" s="3">
        <v>2651</v>
      </c>
      <c r="X2625" s="30">
        <v>204.2</v>
      </c>
      <c r="Y2625" s="33">
        <f t="shared" si="212"/>
        <v>0.20399999999999999</v>
      </c>
      <c r="AH2625" s="45">
        <f t="shared" si="216"/>
        <v>0</v>
      </c>
      <c r="AJ2625" s="44">
        <f t="shared" si="213"/>
        <v>2.6509999999999998</v>
      </c>
      <c r="AP2625" s="46">
        <f t="shared" si="214"/>
        <v>0.20399999999999999</v>
      </c>
    </row>
    <row r="2626" spans="19:42" ht="18">
      <c r="S2626" s="8">
        <f t="shared" si="215"/>
        <v>0</v>
      </c>
      <c r="W2626" s="3">
        <v>2652</v>
      </c>
      <c r="X2626" s="30">
        <v>203.971</v>
      </c>
      <c r="Y2626" s="33">
        <f t="shared" si="212"/>
        <v>0.20399999999999999</v>
      </c>
      <c r="AH2626" s="45">
        <f t="shared" si="216"/>
        <v>0</v>
      </c>
      <c r="AJ2626" s="44">
        <f t="shared" si="213"/>
        <v>2.6520000000000001</v>
      </c>
      <c r="AP2626" s="46">
        <f t="shared" si="214"/>
        <v>0.20399999999999999</v>
      </c>
    </row>
    <row r="2627" spans="19:42" ht="18">
      <c r="S2627" s="8">
        <f t="shared" si="215"/>
        <v>0</v>
      </c>
      <c r="W2627" s="3">
        <v>2653</v>
      </c>
      <c r="X2627" s="30">
        <v>203.74299999999999</v>
      </c>
      <c r="Y2627" s="33">
        <f t="shared" si="212"/>
        <v>0.20399999999999999</v>
      </c>
      <c r="AH2627" s="45">
        <f t="shared" si="216"/>
        <v>0</v>
      </c>
      <c r="AJ2627" s="44">
        <f t="shared" si="213"/>
        <v>2.653</v>
      </c>
      <c r="AP2627" s="46">
        <f t="shared" si="214"/>
        <v>0.20399999999999999</v>
      </c>
    </row>
    <row r="2628" spans="19:42" ht="18">
      <c r="S2628" s="8">
        <f t="shared" si="215"/>
        <v>0</v>
      </c>
      <c r="W2628" s="3">
        <v>2654</v>
      </c>
      <c r="X2628" s="30">
        <v>203.51400000000001</v>
      </c>
      <c r="Y2628" s="33">
        <f t="shared" si="212"/>
        <v>0.20399999999999999</v>
      </c>
      <c r="AH2628" s="45">
        <f t="shared" si="216"/>
        <v>0</v>
      </c>
      <c r="AJ2628" s="44">
        <f t="shared" si="213"/>
        <v>2.6539999999999999</v>
      </c>
      <c r="AP2628" s="46">
        <f t="shared" si="214"/>
        <v>0.20399999999999999</v>
      </c>
    </row>
    <row r="2629" spans="19:42" ht="18">
      <c r="S2629" s="8">
        <f t="shared" si="215"/>
        <v>0</v>
      </c>
      <c r="W2629" s="3">
        <v>2655</v>
      </c>
      <c r="X2629" s="30">
        <v>203.286</v>
      </c>
      <c r="Y2629" s="33">
        <f t="shared" ref="Y2629:Y2692" si="217">ROUND(X2629/1000,3)</f>
        <v>0.20300000000000001</v>
      </c>
      <c r="AH2629" s="45">
        <f t="shared" si="216"/>
        <v>0</v>
      </c>
      <c r="AJ2629" s="44">
        <f t="shared" ref="AJ2629:AJ2692" si="218">ROUND(W2629/1000,3)</f>
        <v>2.6549999999999998</v>
      </c>
      <c r="AP2629" s="46">
        <f t="shared" ref="AP2629:AP2692" si="219">ROUND(X2629/1000,3)</f>
        <v>0.20300000000000001</v>
      </c>
    </row>
    <row r="2630" spans="19:42" ht="18">
      <c r="S2630" s="8">
        <f t="shared" ref="S2630:S2693" si="220">CEILING(R2630/50,0.5)</f>
        <v>0</v>
      </c>
      <c r="W2630" s="3">
        <v>2656</v>
      </c>
      <c r="X2630" s="30">
        <v>203.05699999999999</v>
      </c>
      <c r="Y2630" s="33">
        <f t="shared" si="217"/>
        <v>0.20300000000000001</v>
      </c>
      <c r="AH2630" s="45">
        <f t="shared" ref="AH2630:AH2693" si="221">AE2630-AE2629</f>
        <v>0</v>
      </c>
      <c r="AJ2630" s="44">
        <f t="shared" si="218"/>
        <v>2.6560000000000001</v>
      </c>
      <c r="AP2630" s="46">
        <f t="shared" si="219"/>
        <v>0.20300000000000001</v>
      </c>
    </row>
    <row r="2631" spans="19:42" ht="18">
      <c r="S2631" s="8">
        <f t="shared" si="220"/>
        <v>0</v>
      </c>
      <c r="W2631" s="3">
        <v>2657</v>
      </c>
      <c r="X2631" s="30">
        <v>202.82900000000001</v>
      </c>
      <c r="Y2631" s="33">
        <f t="shared" si="217"/>
        <v>0.20300000000000001</v>
      </c>
      <c r="AH2631" s="45">
        <f t="shared" si="221"/>
        <v>0</v>
      </c>
      <c r="AJ2631" s="44">
        <f t="shared" si="218"/>
        <v>2.657</v>
      </c>
      <c r="AP2631" s="46">
        <f t="shared" si="219"/>
        <v>0.20300000000000001</v>
      </c>
    </row>
    <row r="2632" spans="19:42" ht="18">
      <c r="S2632" s="8">
        <f t="shared" si="220"/>
        <v>0</v>
      </c>
      <c r="W2632" s="3">
        <v>2658</v>
      </c>
      <c r="X2632" s="30">
        <v>202.6</v>
      </c>
      <c r="Y2632" s="33">
        <f t="shared" si="217"/>
        <v>0.20300000000000001</v>
      </c>
      <c r="AH2632" s="45">
        <f t="shared" si="221"/>
        <v>0</v>
      </c>
      <c r="AJ2632" s="44">
        <f t="shared" si="218"/>
        <v>2.6579999999999999</v>
      </c>
      <c r="AP2632" s="46">
        <f t="shared" si="219"/>
        <v>0.20300000000000001</v>
      </c>
    </row>
    <row r="2633" spans="19:42" ht="18">
      <c r="S2633" s="8">
        <f t="shared" si="220"/>
        <v>0</v>
      </c>
      <c r="W2633" s="3">
        <v>2659</v>
      </c>
      <c r="X2633" s="30">
        <v>202.37100000000001</v>
      </c>
      <c r="Y2633" s="33">
        <f t="shared" si="217"/>
        <v>0.20200000000000001</v>
      </c>
      <c r="AH2633" s="45">
        <f t="shared" si="221"/>
        <v>0</v>
      </c>
      <c r="AJ2633" s="44">
        <f t="shared" si="218"/>
        <v>2.6589999999999998</v>
      </c>
      <c r="AP2633" s="46">
        <f t="shared" si="219"/>
        <v>0.20200000000000001</v>
      </c>
    </row>
    <row r="2634" spans="19:42" ht="18">
      <c r="S2634" s="8">
        <f t="shared" si="220"/>
        <v>0</v>
      </c>
      <c r="W2634" s="3">
        <v>2660</v>
      </c>
      <c r="X2634" s="30">
        <v>202.143</v>
      </c>
      <c r="Y2634" s="33">
        <f t="shared" si="217"/>
        <v>0.20200000000000001</v>
      </c>
      <c r="AH2634" s="45">
        <f t="shared" si="221"/>
        <v>0</v>
      </c>
      <c r="AJ2634" s="44">
        <f t="shared" si="218"/>
        <v>2.66</v>
      </c>
      <c r="AP2634" s="46">
        <f t="shared" si="219"/>
        <v>0.20200000000000001</v>
      </c>
    </row>
    <row r="2635" spans="19:42" ht="18">
      <c r="S2635" s="8">
        <f t="shared" si="220"/>
        <v>0</v>
      </c>
      <c r="W2635" s="3">
        <v>2661</v>
      </c>
      <c r="X2635" s="30">
        <v>201.91399999999999</v>
      </c>
      <c r="Y2635" s="33">
        <f t="shared" si="217"/>
        <v>0.20200000000000001</v>
      </c>
      <c r="AH2635" s="45">
        <f t="shared" si="221"/>
        <v>0</v>
      </c>
      <c r="AJ2635" s="44">
        <f t="shared" si="218"/>
        <v>2.661</v>
      </c>
      <c r="AP2635" s="46">
        <f t="shared" si="219"/>
        <v>0.20200000000000001</v>
      </c>
    </row>
    <row r="2636" spans="19:42" ht="18">
      <c r="S2636" s="8">
        <f t="shared" si="220"/>
        <v>0</v>
      </c>
      <c r="W2636" s="3">
        <v>2662</v>
      </c>
      <c r="X2636" s="30">
        <v>201.68600000000001</v>
      </c>
      <c r="Y2636" s="33">
        <f t="shared" si="217"/>
        <v>0.20200000000000001</v>
      </c>
      <c r="AH2636" s="45">
        <f t="shared" si="221"/>
        <v>0</v>
      </c>
      <c r="AJ2636" s="44">
        <f t="shared" si="218"/>
        <v>2.6619999999999999</v>
      </c>
      <c r="AP2636" s="46">
        <f t="shared" si="219"/>
        <v>0.20200000000000001</v>
      </c>
    </row>
    <row r="2637" spans="19:42" ht="18">
      <c r="S2637" s="8">
        <f t="shared" si="220"/>
        <v>0</v>
      </c>
      <c r="W2637" s="3">
        <v>2663</v>
      </c>
      <c r="X2637" s="30">
        <v>201.45699999999999</v>
      </c>
      <c r="Y2637" s="33">
        <f t="shared" si="217"/>
        <v>0.20100000000000001</v>
      </c>
      <c r="AH2637" s="45">
        <f t="shared" si="221"/>
        <v>0</v>
      </c>
      <c r="AJ2637" s="44">
        <f t="shared" si="218"/>
        <v>2.6629999999999998</v>
      </c>
      <c r="AP2637" s="46">
        <f t="shared" si="219"/>
        <v>0.20100000000000001</v>
      </c>
    </row>
    <row r="2638" spans="19:42" ht="18">
      <c r="S2638" s="8">
        <f t="shared" si="220"/>
        <v>0</v>
      </c>
      <c r="W2638" s="3">
        <v>2664</v>
      </c>
      <c r="X2638" s="30">
        <v>201.22900000000001</v>
      </c>
      <c r="Y2638" s="33">
        <f t="shared" si="217"/>
        <v>0.20100000000000001</v>
      </c>
      <c r="AH2638" s="45">
        <f t="shared" si="221"/>
        <v>0</v>
      </c>
      <c r="AJ2638" s="44">
        <f t="shared" si="218"/>
        <v>2.6640000000000001</v>
      </c>
      <c r="AP2638" s="46">
        <f t="shared" si="219"/>
        <v>0.20100000000000001</v>
      </c>
    </row>
    <row r="2639" spans="19:42" ht="18">
      <c r="S2639" s="8">
        <f t="shared" si="220"/>
        <v>0</v>
      </c>
      <c r="W2639" s="3">
        <v>2665</v>
      </c>
      <c r="X2639" s="30">
        <v>201</v>
      </c>
      <c r="Y2639" s="33">
        <f t="shared" si="217"/>
        <v>0.20100000000000001</v>
      </c>
      <c r="AH2639" s="45">
        <f t="shared" si="221"/>
        <v>0</v>
      </c>
      <c r="AJ2639" s="44">
        <f t="shared" si="218"/>
        <v>2.665</v>
      </c>
      <c r="AP2639" s="46">
        <f t="shared" si="219"/>
        <v>0.20100000000000001</v>
      </c>
    </row>
    <row r="2640" spans="19:42" ht="18">
      <c r="S2640" s="8">
        <f t="shared" si="220"/>
        <v>0</v>
      </c>
      <c r="W2640" s="3">
        <v>2666</v>
      </c>
      <c r="X2640" s="30">
        <v>200.77099999999999</v>
      </c>
      <c r="Y2640" s="33">
        <f t="shared" si="217"/>
        <v>0.20100000000000001</v>
      </c>
      <c r="AH2640" s="45">
        <f t="shared" si="221"/>
        <v>0</v>
      </c>
      <c r="AJ2640" s="44">
        <f t="shared" si="218"/>
        <v>2.6659999999999999</v>
      </c>
      <c r="AP2640" s="46">
        <f t="shared" si="219"/>
        <v>0.20100000000000001</v>
      </c>
    </row>
    <row r="2641" spans="19:42" ht="18">
      <c r="S2641" s="8">
        <f t="shared" si="220"/>
        <v>0</v>
      </c>
      <c r="W2641" s="3">
        <v>2667</v>
      </c>
      <c r="X2641" s="30">
        <v>200.54300000000001</v>
      </c>
      <c r="Y2641" s="33">
        <f t="shared" si="217"/>
        <v>0.20100000000000001</v>
      </c>
      <c r="AH2641" s="45">
        <f t="shared" si="221"/>
        <v>0</v>
      </c>
      <c r="AJ2641" s="44">
        <f t="shared" si="218"/>
        <v>2.6669999999999998</v>
      </c>
      <c r="AP2641" s="46">
        <f t="shared" si="219"/>
        <v>0.20100000000000001</v>
      </c>
    </row>
    <row r="2642" spans="19:42" ht="18">
      <c r="S2642" s="8">
        <f t="shared" si="220"/>
        <v>0</v>
      </c>
      <c r="W2642" s="3">
        <v>2668</v>
      </c>
      <c r="X2642" s="30">
        <v>200.31399999999999</v>
      </c>
      <c r="Y2642" s="33">
        <f t="shared" si="217"/>
        <v>0.2</v>
      </c>
      <c r="AH2642" s="45">
        <f t="shared" si="221"/>
        <v>0</v>
      </c>
      <c r="AJ2642" s="44">
        <f t="shared" si="218"/>
        <v>2.6680000000000001</v>
      </c>
      <c r="AP2642" s="46">
        <f t="shared" si="219"/>
        <v>0.2</v>
      </c>
    </row>
    <row r="2643" spans="19:42" ht="18">
      <c r="S2643" s="8">
        <f t="shared" si="220"/>
        <v>0</v>
      </c>
      <c r="W2643" s="3">
        <v>2669</v>
      </c>
      <c r="X2643" s="30">
        <v>200.08600000000001</v>
      </c>
      <c r="Y2643" s="33">
        <f t="shared" si="217"/>
        <v>0.2</v>
      </c>
      <c r="AH2643" s="45">
        <f t="shared" si="221"/>
        <v>0</v>
      </c>
      <c r="AJ2643" s="44">
        <f t="shared" si="218"/>
        <v>2.669</v>
      </c>
      <c r="AP2643" s="46">
        <f t="shared" si="219"/>
        <v>0.2</v>
      </c>
    </row>
    <row r="2644" spans="19:42" ht="18">
      <c r="S2644" s="8">
        <f t="shared" si="220"/>
        <v>0</v>
      </c>
      <c r="W2644" s="3">
        <v>2670</v>
      </c>
      <c r="X2644" s="30">
        <v>199.857</v>
      </c>
      <c r="Y2644" s="33">
        <f t="shared" si="217"/>
        <v>0.2</v>
      </c>
      <c r="AH2644" s="45">
        <f t="shared" si="221"/>
        <v>0</v>
      </c>
      <c r="AJ2644" s="44">
        <f t="shared" si="218"/>
        <v>2.67</v>
      </c>
      <c r="AP2644" s="46">
        <f t="shared" si="219"/>
        <v>0.2</v>
      </c>
    </row>
    <row r="2645" spans="19:42" ht="18">
      <c r="S2645" s="8">
        <f t="shared" si="220"/>
        <v>0</v>
      </c>
      <c r="W2645" s="3">
        <v>2671</v>
      </c>
      <c r="X2645" s="30">
        <v>199.62899999999999</v>
      </c>
      <c r="Y2645" s="33">
        <f t="shared" si="217"/>
        <v>0.2</v>
      </c>
      <c r="AH2645" s="45">
        <f t="shared" si="221"/>
        <v>0</v>
      </c>
      <c r="AJ2645" s="44">
        <f t="shared" si="218"/>
        <v>2.6709999999999998</v>
      </c>
      <c r="AP2645" s="46">
        <f t="shared" si="219"/>
        <v>0.2</v>
      </c>
    </row>
    <row r="2646" spans="19:42" ht="18">
      <c r="S2646" s="8">
        <f t="shared" si="220"/>
        <v>0</v>
      </c>
      <c r="W2646" s="3">
        <v>2672</v>
      </c>
      <c r="X2646" s="30">
        <v>199.4</v>
      </c>
      <c r="Y2646" s="33">
        <f t="shared" si="217"/>
        <v>0.19900000000000001</v>
      </c>
      <c r="AH2646" s="45">
        <f t="shared" si="221"/>
        <v>0</v>
      </c>
      <c r="AJ2646" s="44">
        <f t="shared" si="218"/>
        <v>2.6720000000000002</v>
      </c>
      <c r="AP2646" s="46">
        <f t="shared" si="219"/>
        <v>0.19900000000000001</v>
      </c>
    </row>
    <row r="2647" spans="19:42" ht="18">
      <c r="S2647" s="8">
        <f t="shared" si="220"/>
        <v>0</v>
      </c>
      <c r="W2647" s="3">
        <v>2673</v>
      </c>
      <c r="X2647" s="30">
        <v>199.17099999999999</v>
      </c>
      <c r="Y2647" s="33">
        <f t="shared" si="217"/>
        <v>0.19900000000000001</v>
      </c>
      <c r="AH2647" s="45">
        <f t="shared" si="221"/>
        <v>0</v>
      </c>
      <c r="AJ2647" s="44">
        <f t="shared" si="218"/>
        <v>2.673</v>
      </c>
      <c r="AP2647" s="46">
        <f t="shared" si="219"/>
        <v>0.19900000000000001</v>
      </c>
    </row>
    <row r="2648" spans="19:42" ht="18">
      <c r="S2648" s="8">
        <f t="shared" si="220"/>
        <v>0</v>
      </c>
      <c r="W2648" s="3">
        <v>2674</v>
      </c>
      <c r="X2648" s="30">
        <v>198.94300000000001</v>
      </c>
      <c r="Y2648" s="33">
        <f t="shared" si="217"/>
        <v>0.19900000000000001</v>
      </c>
      <c r="AH2648" s="45">
        <f t="shared" si="221"/>
        <v>0</v>
      </c>
      <c r="AJ2648" s="44">
        <f t="shared" si="218"/>
        <v>2.6739999999999999</v>
      </c>
      <c r="AP2648" s="46">
        <f t="shared" si="219"/>
        <v>0.19900000000000001</v>
      </c>
    </row>
    <row r="2649" spans="19:42" ht="18">
      <c r="S2649" s="8">
        <f t="shared" si="220"/>
        <v>0</v>
      </c>
      <c r="W2649" s="3">
        <v>2675</v>
      </c>
      <c r="X2649" s="30">
        <v>198.714</v>
      </c>
      <c r="Y2649" s="33">
        <f t="shared" si="217"/>
        <v>0.19900000000000001</v>
      </c>
      <c r="AH2649" s="45">
        <f t="shared" si="221"/>
        <v>0</v>
      </c>
      <c r="AJ2649" s="44">
        <f t="shared" si="218"/>
        <v>2.6749999999999998</v>
      </c>
      <c r="AP2649" s="46">
        <f t="shared" si="219"/>
        <v>0.19900000000000001</v>
      </c>
    </row>
    <row r="2650" spans="19:42" ht="18">
      <c r="S2650" s="8">
        <f t="shared" si="220"/>
        <v>0</v>
      </c>
      <c r="W2650" s="3">
        <v>2676</v>
      </c>
      <c r="X2650" s="30">
        <v>198.48599999999999</v>
      </c>
      <c r="Y2650" s="33">
        <f t="shared" si="217"/>
        <v>0.19800000000000001</v>
      </c>
      <c r="AH2650" s="45">
        <f t="shared" si="221"/>
        <v>0</v>
      </c>
      <c r="AJ2650" s="44">
        <f t="shared" si="218"/>
        <v>2.6760000000000002</v>
      </c>
      <c r="AP2650" s="46">
        <f t="shared" si="219"/>
        <v>0.19800000000000001</v>
      </c>
    </row>
    <row r="2651" spans="19:42" ht="18">
      <c r="S2651" s="8">
        <f t="shared" si="220"/>
        <v>0</v>
      </c>
      <c r="W2651" s="3">
        <v>2677</v>
      </c>
      <c r="X2651" s="30">
        <v>198.25700000000001</v>
      </c>
      <c r="Y2651" s="33">
        <f t="shared" si="217"/>
        <v>0.19800000000000001</v>
      </c>
      <c r="AH2651" s="45">
        <f t="shared" si="221"/>
        <v>0</v>
      </c>
      <c r="AJ2651" s="44">
        <f t="shared" si="218"/>
        <v>2.677</v>
      </c>
      <c r="AP2651" s="46">
        <f t="shared" si="219"/>
        <v>0.19800000000000001</v>
      </c>
    </row>
    <row r="2652" spans="19:42" ht="18">
      <c r="S2652" s="8">
        <f t="shared" si="220"/>
        <v>0</v>
      </c>
      <c r="W2652" s="3">
        <v>2678</v>
      </c>
      <c r="X2652" s="30">
        <v>198.029</v>
      </c>
      <c r="Y2652" s="33">
        <f t="shared" si="217"/>
        <v>0.19800000000000001</v>
      </c>
      <c r="AH2652" s="45">
        <f t="shared" si="221"/>
        <v>0</v>
      </c>
      <c r="AJ2652" s="44">
        <f t="shared" si="218"/>
        <v>2.6779999999999999</v>
      </c>
      <c r="AP2652" s="46">
        <f t="shared" si="219"/>
        <v>0.19800000000000001</v>
      </c>
    </row>
    <row r="2653" spans="19:42" ht="18">
      <c r="S2653" s="8">
        <f t="shared" si="220"/>
        <v>0</v>
      </c>
      <c r="W2653" s="3">
        <v>2679</v>
      </c>
      <c r="X2653" s="30">
        <v>197.8</v>
      </c>
      <c r="Y2653" s="33">
        <f t="shared" si="217"/>
        <v>0.19800000000000001</v>
      </c>
      <c r="AH2653" s="45">
        <f t="shared" si="221"/>
        <v>0</v>
      </c>
      <c r="AJ2653" s="44">
        <f t="shared" si="218"/>
        <v>2.6789999999999998</v>
      </c>
      <c r="AP2653" s="46">
        <f t="shared" si="219"/>
        <v>0.19800000000000001</v>
      </c>
    </row>
    <row r="2654" spans="19:42" ht="18">
      <c r="S2654" s="8">
        <f t="shared" si="220"/>
        <v>0</v>
      </c>
      <c r="W2654" s="3">
        <v>2680</v>
      </c>
      <c r="X2654" s="30">
        <v>197.571</v>
      </c>
      <c r="Y2654" s="33">
        <f t="shared" si="217"/>
        <v>0.19800000000000001</v>
      </c>
      <c r="AH2654" s="45">
        <f t="shared" si="221"/>
        <v>0</v>
      </c>
      <c r="AJ2654" s="44">
        <f t="shared" si="218"/>
        <v>2.68</v>
      </c>
      <c r="AP2654" s="46">
        <f t="shared" si="219"/>
        <v>0.19800000000000001</v>
      </c>
    </row>
    <row r="2655" spans="19:42" ht="18">
      <c r="S2655" s="8">
        <f t="shared" si="220"/>
        <v>0</v>
      </c>
      <c r="W2655" s="3">
        <v>2681</v>
      </c>
      <c r="X2655" s="30">
        <v>197.34299999999999</v>
      </c>
      <c r="Y2655" s="33">
        <f t="shared" si="217"/>
        <v>0.19700000000000001</v>
      </c>
      <c r="AH2655" s="45">
        <f t="shared" si="221"/>
        <v>0</v>
      </c>
      <c r="AJ2655" s="44">
        <f t="shared" si="218"/>
        <v>2.681</v>
      </c>
      <c r="AP2655" s="46">
        <f t="shared" si="219"/>
        <v>0.19700000000000001</v>
      </c>
    </row>
    <row r="2656" spans="19:42" ht="18">
      <c r="S2656" s="8">
        <f t="shared" si="220"/>
        <v>0</v>
      </c>
      <c r="W2656" s="3">
        <v>2682</v>
      </c>
      <c r="X2656" s="30">
        <v>197.114</v>
      </c>
      <c r="Y2656" s="33">
        <f t="shared" si="217"/>
        <v>0.19700000000000001</v>
      </c>
      <c r="AH2656" s="45">
        <f t="shared" si="221"/>
        <v>0</v>
      </c>
      <c r="AJ2656" s="44">
        <f t="shared" si="218"/>
        <v>2.6819999999999999</v>
      </c>
      <c r="AP2656" s="46">
        <f t="shared" si="219"/>
        <v>0.19700000000000001</v>
      </c>
    </row>
    <row r="2657" spans="19:42" ht="18">
      <c r="S2657" s="8">
        <f t="shared" si="220"/>
        <v>0</v>
      </c>
      <c r="W2657" s="3">
        <v>2683</v>
      </c>
      <c r="X2657" s="30">
        <v>196.886</v>
      </c>
      <c r="Y2657" s="33">
        <f t="shared" si="217"/>
        <v>0.19700000000000001</v>
      </c>
      <c r="AH2657" s="45">
        <f t="shared" si="221"/>
        <v>0</v>
      </c>
      <c r="AJ2657" s="44">
        <f t="shared" si="218"/>
        <v>2.6829999999999998</v>
      </c>
      <c r="AP2657" s="46">
        <f t="shared" si="219"/>
        <v>0.19700000000000001</v>
      </c>
    </row>
    <row r="2658" spans="19:42" ht="18">
      <c r="S2658" s="8">
        <f t="shared" si="220"/>
        <v>0</v>
      </c>
      <c r="W2658" s="3">
        <v>2684</v>
      </c>
      <c r="X2658" s="30">
        <v>196.65700000000001</v>
      </c>
      <c r="Y2658" s="33">
        <f t="shared" si="217"/>
        <v>0.19700000000000001</v>
      </c>
      <c r="AH2658" s="45">
        <f t="shared" si="221"/>
        <v>0</v>
      </c>
      <c r="AJ2658" s="44">
        <f t="shared" si="218"/>
        <v>2.6840000000000002</v>
      </c>
      <c r="AP2658" s="46">
        <f t="shared" si="219"/>
        <v>0.19700000000000001</v>
      </c>
    </row>
    <row r="2659" spans="19:42" ht="18">
      <c r="S2659" s="8">
        <f t="shared" si="220"/>
        <v>0</v>
      </c>
      <c r="W2659" s="3">
        <v>2685</v>
      </c>
      <c r="X2659" s="30">
        <v>196.429</v>
      </c>
      <c r="Y2659" s="33">
        <f t="shared" si="217"/>
        <v>0.19600000000000001</v>
      </c>
      <c r="AH2659" s="45">
        <f t="shared" si="221"/>
        <v>0</v>
      </c>
      <c r="AJ2659" s="44">
        <f t="shared" si="218"/>
        <v>2.6850000000000001</v>
      </c>
      <c r="AP2659" s="46">
        <f t="shared" si="219"/>
        <v>0.19600000000000001</v>
      </c>
    </row>
    <row r="2660" spans="19:42" ht="18">
      <c r="S2660" s="8">
        <f t="shared" si="220"/>
        <v>0</v>
      </c>
      <c r="W2660" s="3">
        <v>2686</v>
      </c>
      <c r="X2660" s="30">
        <v>196.2</v>
      </c>
      <c r="Y2660" s="33">
        <f t="shared" si="217"/>
        <v>0.19600000000000001</v>
      </c>
      <c r="AH2660" s="45">
        <f t="shared" si="221"/>
        <v>0</v>
      </c>
      <c r="AJ2660" s="44">
        <f t="shared" si="218"/>
        <v>2.6859999999999999</v>
      </c>
      <c r="AP2660" s="46">
        <f t="shared" si="219"/>
        <v>0.19600000000000001</v>
      </c>
    </row>
    <row r="2661" spans="19:42" ht="18">
      <c r="S2661" s="8">
        <f t="shared" si="220"/>
        <v>0</v>
      </c>
      <c r="W2661" s="3">
        <v>2687</v>
      </c>
      <c r="X2661" s="30">
        <v>195.971</v>
      </c>
      <c r="Y2661" s="33">
        <f t="shared" si="217"/>
        <v>0.19600000000000001</v>
      </c>
      <c r="AH2661" s="45">
        <f t="shared" si="221"/>
        <v>0</v>
      </c>
      <c r="AJ2661" s="44">
        <f t="shared" si="218"/>
        <v>2.6869999999999998</v>
      </c>
      <c r="AP2661" s="46">
        <f t="shared" si="219"/>
        <v>0.19600000000000001</v>
      </c>
    </row>
    <row r="2662" spans="19:42" ht="18">
      <c r="S2662" s="8">
        <f t="shared" si="220"/>
        <v>0</v>
      </c>
      <c r="W2662" s="3">
        <v>2688</v>
      </c>
      <c r="X2662" s="30">
        <v>195.74299999999999</v>
      </c>
      <c r="Y2662" s="33">
        <f t="shared" si="217"/>
        <v>0.19600000000000001</v>
      </c>
      <c r="AH2662" s="45">
        <f t="shared" si="221"/>
        <v>0</v>
      </c>
      <c r="AJ2662" s="44">
        <f t="shared" si="218"/>
        <v>2.6880000000000002</v>
      </c>
      <c r="AP2662" s="46">
        <f t="shared" si="219"/>
        <v>0.19600000000000001</v>
      </c>
    </row>
    <row r="2663" spans="19:42" ht="18">
      <c r="S2663" s="8">
        <f t="shared" si="220"/>
        <v>0</v>
      </c>
      <c r="W2663" s="3">
        <v>2689</v>
      </c>
      <c r="X2663" s="30">
        <v>195.51400000000001</v>
      </c>
      <c r="Y2663" s="33">
        <f t="shared" si="217"/>
        <v>0.19600000000000001</v>
      </c>
      <c r="AH2663" s="45">
        <f t="shared" si="221"/>
        <v>0</v>
      </c>
      <c r="AJ2663" s="44">
        <f t="shared" si="218"/>
        <v>2.6890000000000001</v>
      </c>
      <c r="AP2663" s="46">
        <f t="shared" si="219"/>
        <v>0.19600000000000001</v>
      </c>
    </row>
    <row r="2664" spans="19:42" ht="18">
      <c r="S2664" s="8">
        <f t="shared" si="220"/>
        <v>0</v>
      </c>
      <c r="W2664" s="3">
        <v>2690</v>
      </c>
      <c r="X2664" s="30">
        <v>195.286</v>
      </c>
      <c r="Y2664" s="33">
        <f t="shared" si="217"/>
        <v>0.19500000000000001</v>
      </c>
      <c r="AH2664" s="45">
        <f t="shared" si="221"/>
        <v>0</v>
      </c>
      <c r="AJ2664" s="44">
        <f t="shared" si="218"/>
        <v>2.69</v>
      </c>
      <c r="AP2664" s="46">
        <f t="shared" si="219"/>
        <v>0.19500000000000001</v>
      </c>
    </row>
    <row r="2665" spans="19:42" ht="18">
      <c r="S2665" s="8">
        <f t="shared" si="220"/>
        <v>0</v>
      </c>
      <c r="W2665" s="3">
        <v>2691</v>
      </c>
      <c r="X2665" s="30">
        <v>195.05699999999999</v>
      </c>
      <c r="Y2665" s="33">
        <f t="shared" si="217"/>
        <v>0.19500000000000001</v>
      </c>
      <c r="AH2665" s="45">
        <f t="shared" si="221"/>
        <v>0</v>
      </c>
      <c r="AJ2665" s="44">
        <f t="shared" si="218"/>
        <v>2.6909999999999998</v>
      </c>
      <c r="AP2665" s="46">
        <f t="shared" si="219"/>
        <v>0.19500000000000001</v>
      </c>
    </row>
    <row r="2666" spans="19:42" ht="18">
      <c r="S2666" s="8">
        <f t="shared" si="220"/>
        <v>0</v>
      </c>
      <c r="W2666" s="3">
        <v>2692</v>
      </c>
      <c r="X2666" s="30">
        <v>194.82900000000001</v>
      </c>
      <c r="Y2666" s="33">
        <f t="shared" si="217"/>
        <v>0.19500000000000001</v>
      </c>
      <c r="AH2666" s="45">
        <f t="shared" si="221"/>
        <v>0</v>
      </c>
      <c r="AJ2666" s="44">
        <f t="shared" si="218"/>
        <v>2.6920000000000002</v>
      </c>
      <c r="AP2666" s="46">
        <f t="shared" si="219"/>
        <v>0.19500000000000001</v>
      </c>
    </row>
    <row r="2667" spans="19:42" ht="18">
      <c r="S2667" s="8">
        <f t="shared" si="220"/>
        <v>0</v>
      </c>
      <c r="W2667" s="3">
        <v>2693</v>
      </c>
      <c r="X2667" s="30">
        <v>194.6</v>
      </c>
      <c r="Y2667" s="33">
        <f t="shared" si="217"/>
        <v>0.19500000000000001</v>
      </c>
      <c r="AH2667" s="45">
        <f t="shared" si="221"/>
        <v>0</v>
      </c>
      <c r="AJ2667" s="44">
        <f t="shared" si="218"/>
        <v>2.6930000000000001</v>
      </c>
      <c r="AP2667" s="46">
        <f t="shared" si="219"/>
        <v>0.19500000000000001</v>
      </c>
    </row>
    <row r="2668" spans="19:42" ht="18">
      <c r="S2668" s="8">
        <f t="shared" si="220"/>
        <v>0</v>
      </c>
      <c r="W2668" s="3">
        <v>2694</v>
      </c>
      <c r="X2668" s="30">
        <v>194.37100000000001</v>
      </c>
      <c r="Y2668" s="33">
        <f t="shared" si="217"/>
        <v>0.19400000000000001</v>
      </c>
      <c r="AH2668" s="45">
        <f t="shared" si="221"/>
        <v>0</v>
      </c>
      <c r="AJ2668" s="44">
        <f t="shared" si="218"/>
        <v>2.694</v>
      </c>
      <c r="AP2668" s="46">
        <f t="shared" si="219"/>
        <v>0.19400000000000001</v>
      </c>
    </row>
    <row r="2669" spans="19:42" ht="18">
      <c r="S2669" s="8">
        <f t="shared" si="220"/>
        <v>0</v>
      </c>
      <c r="W2669" s="3">
        <v>2695</v>
      </c>
      <c r="X2669" s="30">
        <v>194.143</v>
      </c>
      <c r="Y2669" s="33">
        <f t="shared" si="217"/>
        <v>0.19400000000000001</v>
      </c>
      <c r="AH2669" s="45">
        <f t="shared" si="221"/>
        <v>0</v>
      </c>
      <c r="AJ2669" s="44">
        <f t="shared" si="218"/>
        <v>2.6949999999999998</v>
      </c>
      <c r="AP2669" s="46">
        <f t="shared" si="219"/>
        <v>0.19400000000000001</v>
      </c>
    </row>
    <row r="2670" spans="19:42" ht="18">
      <c r="S2670" s="8">
        <f t="shared" si="220"/>
        <v>0</v>
      </c>
      <c r="W2670" s="3">
        <v>2696</v>
      </c>
      <c r="X2670" s="30">
        <v>193.91399999999999</v>
      </c>
      <c r="Y2670" s="33">
        <f t="shared" si="217"/>
        <v>0.19400000000000001</v>
      </c>
      <c r="AH2670" s="45">
        <f t="shared" si="221"/>
        <v>0</v>
      </c>
      <c r="AJ2670" s="44">
        <f t="shared" si="218"/>
        <v>2.6960000000000002</v>
      </c>
      <c r="AP2670" s="46">
        <f t="shared" si="219"/>
        <v>0.19400000000000001</v>
      </c>
    </row>
    <row r="2671" spans="19:42" ht="18">
      <c r="S2671" s="8">
        <f t="shared" si="220"/>
        <v>0</v>
      </c>
      <c r="W2671" s="3">
        <v>2697</v>
      </c>
      <c r="X2671" s="30">
        <v>193.68600000000001</v>
      </c>
      <c r="Y2671" s="33">
        <f t="shared" si="217"/>
        <v>0.19400000000000001</v>
      </c>
      <c r="AH2671" s="45">
        <f t="shared" si="221"/>
        <v>0</v>
      </c>
      <c r="AJ2671" s="44">
        <f t="shared" si="218"/>
        <v>2.6970000000000001</v>
      </c>
      <c r="AP2671" s="46">
        <f t="shared" si="219"/>
        <v>0.19400000000000001</v>
      </c>
    </row>
    <row r="2672" spans="19:42" ht="18">
      <c r="S2672" s="8">
        <f t="shared" si="220"/>
        <v>0</v>
      </c>
      <c r="W2672" s="3">
        <v>2698</v>
      </c>
      <c r="X2672" s="30">
        <v>193.45699999999999</v>
      </c>
      <c r="Y2672" s="33">
        <f t="shared" si="217"/>
        <v>0.193</v>
      </c>
      <c r="AH2672" s="45">
        <f t="shared" si="221"/>
        <v>0</v>
      </c>
      <c r="AJ2672" s="44">
        <f t="shared" si="218"/>
        <v>2.698</v>
      </c>
      <c r="AP2672" s="46">
        <f t="shared" si="219"/>
        <v>0.193</v>
      </c>
    </row>
    <row r="2673" spans="19:42" ht="18">
      <c r="S2673" s="8">
        <f t="shared" si="220"/>
        <v>0</v>
      </c>
      <c r="W2673" s="3">
        <v>2699</v>
      </c>
      <c r="X2673" s="30">
        <v>193.22900000000001</v>
      </c>
      <c r="Y2673" s="33">
        <f t="shared" si="217"/>
        <v>0.193</v>
      </c>
      <c r="AH2673" s="45">
        <f t="shared" si="221"/>
        <v>0</v>
      </c>
      <c r="AJ2673" s="44">
        <f t="shared" si="218"/>
        <v>2.6989999999999998</v>
      </c>
      <c r="AP2673" s="46">
        <f t="shared" si="219"/>
        <v>0.193</v>
      </c>
    </row>
    <row r="2674" spans="19:42" ht="18">
      <c r="S2674" s="8">
        <f t="shared" si="220"/>
        <v>0</v>
      </c>
      <c r="W2674" s="3">
        <v>2700</v>
      </c>
      <c r="X2674" s="30">
        <v>193</v>
      </c>
      <c r="Y2674" s="33">
        <f t="shared" si="217"/>
        <v>0.193</v>
      </c>
      <c r="AH2674" s="45">
        <f t="shared" si="221"/>
        <v>0</v>
      </c>
      <c r="AJ2674" s="44">
        <f t="shared" si="218"/>
        <v>2.7</v>
      </c>
      <c r="AP2674" s="46">
        <f t="shared" si="219"/>
        <v>0.193</v>
      </c>
    </row>
    <row r="2675" spans="19:42" ht="18">
      <c r="S2675" s="8">
        <f t="shared" si="220"/>
        <v>0</v>
      </c>
      <c r="W2675" s="3">
        <v>2701</v>
      </c>
      <c r="X2675" s="30">
        <v>193.03800000000001</v>
      </c>
      <c r="Y2675" s="33">
        <f t="shared" si="217"/>
        <v>0.193</v>
      </c>
      <c r="AH2675" s="45">
        <f t="shared" si="221"/>
        <v>0</v>
      </c>
      <c r="AJ2675" s="44">
        <f t="shared" si="218"/>
        <v>2.7010000000000001</v>
      </c>
      <c r="AP2675" s="46">
        <f t="shared" si="219"/>
        <v>0.193</v>
      </c>
    </row>
    <row r="2676" spans="19:42" ht="18">
      <c r="S2676" s="8">
        <f t="shared" si="220"/>
        <v>0</v>
      </c>
      <c r="W2676" s="3">
        <v>2702</v>
      </c>
      <c r="X2676" s="30">
        <v>193.07499999999999</v>
      </c>
      <c r="Y2676" s="33">
        <f t="shared" si="217"/>
        <v>0.193</v>
      </c>
      <c r="AH2676" s="45">
        <f t="shared" si="221"/>
        <v>0</v>
      </c>
      <c r="AJ2676" s="44">
        <f t="shared" si="218"/>
        <v>2.702</v>
      </c>
      <c r="AP2676" s="46">
        <f t="shared" si="219"/>
        <v>0.193</v>
      </c>
    </row>
    <row r="2677" spans="19:42" ht="18">
      <c r="S2677" s="8">
        <f t="shared" si="220"/>
        <v>0</v>
      </c>
      <c r="W2677" s="3">
        <v>2703</v>
      </c>
      <c r="X2677" s="30">
        <v>193.113</v>
      </c>
      <c r="Y2677" s="33">
        <f t="shared" si="217"/>
        <v>0.193</v>
      </c>
      <c r="AH2677" s="45">
        <f t="shared" si="221"/>
        <v>0</v>
      </c>
      <c r="AJ2677" s="44">
        <f t="shared" si="218"/>
        <v>2.7029999999999998</v>
      </c>
      <c r="AP2677" s="46">
        <f t="shared" si="219"/>
        <v>0.193</v>
      </c>
    </row>
    <row r="2678" spans="19:42" ht="18">
      <c r="S2678" s="8">
        <f t="shared" si="220"/>
        <v>0</v>
      </c>
      <c r="W2678" s="3">
        <v>2704</v>
      </c>
      <c r="X2678" s="30">
        <v>193.15</v>
      </c>
      <c r="Y2678" s="33">
        <f t="shared" si="217"/>
        <v>0.193</v>
      </c>
      <c r="AH2678" s="45">
        <f t="shared" si="221"/>
        <v>0</v>
      </c>
      <c r="AJ2678" s="44">
        <f t="shared" si="218"/>
        <v>2.7040000000000002</v>
      </c>
      <c r="AP2678" s="46">
        <f t="shared" si="219"/>
        <v>0.193</v>
      </c>
    </row>
    <row r="2679" spans="19:42" ht="18">
      <c r="S2679" s="8">
        <f t="shared" si="220"/>
        <v>0</v>
      </c>
      <c r="W2679" s="3">
        <v>2705</v>
      </c>
      <c r="X2679" s="30">
        <v>193.18799999999999</v>
      </c>
      <c r="Y2679" s="33">
        <f t="shared" si="217"/>
        <v>0.193</v>
      </c>
      <c r="AH2679" s="45">
        <f t="shared" si="221"/>
        <v>0</v>
      </c>
      <c r="AJ2679" s="44">
        <f t="shared" si="218"/>
        <v>2.7050000000000001</v>
      </c>
      <c r="AP2679" s="46">
        <f t="shared" si="219"/>
        <v>0.193</v>
      </c>
    </row>
    <row r="2680" spans="19:42" ht="18">
      <c r="S2680" s="8">
        <f t="shared" si="220"/>
        <v>0</v>
      </c>
      <c r="W2680" s="3">
        <v>2706</v>
      </c>
      <c r="X2680" s="30">
        <v>193.22499999999999</v>
      </c>
      <c r="Y2680" s="33">
        <f t="shared" si="217"/>
        <v>0.193</v>
      </c>
      <c r="AH2680" s="45">
        <f t="shared" si="221"/>
        <v>0</v>
      </c>
      <c r="AJ2680" s="44">
        <f t="shared" si="218"/>
        <v>2.706</v>
      </c>
      <c r="AP2680" s="46">
        <f t="shared" si="219"/>
        <v>0.193</v>
      </c>
    </row>
    <row r="2681" spans="19:42" ht="18">
      <c r="S2681" s="8">
        <f t="shared" si="220"/>
        <v>0</v>
      </c>
      <c r="W2681" s="3">
        <v>2707</v>
      </c>
      <c r="X2681" s="30">
        <v>193.26300000000001</v>
      </c>
      <c r="Y2681" s="33">
        <f t="shared" si="217"/>
        <v>0.193</v>
      </c>
      <c r="AH2681" s="45">
        <f t="shared" si="221"/>
        <v>0</v>
      </c>
      <c r="AJ2681" s="44">
        <f t="shared" si="218"/>
        <v>2.7069999999999999</v>
      </c>
      <c r="AP2681" s="46">
        <f t="shared" si="219"/>
        <v>0.193</v>
      </c>
    </row>
    <row r="2682" spans="19:42" ht="18">
      <c r="S2682" s="8">
        <f t="shared" si="220"/>
        <v>0</v>
      </c>
      <c r="W2682" s="3">
        <v>2708</v>
      </c>
      <c r="X2682" s="30">
        <v>193.3</v>
      </c>
      <c r="Y2682" s="33">
        <f t="shared" si="217"/>
        <v>0.193</v>
      </c>
      <c r="AH2682" s="45">
        <f t="shared" si="221"/>
        <v>0</v>
      </c>
      <c r="AJ2682" s="44">
        <f t="shared" si="218"/>
        <v>2.7080000000000002</v>
      </c>
      <c r="AP2682" s="46">
        <f t="shared" si="219"/>
        <v>0.193</v>
      </c>
    </row>
    <row r="2683" spans="19:42" ht="18">
      <c r="S2683" s="8">
        <f t="shared" si="220"/>
        <v>0</v>
      </c>
      <c r="W2683" s="3">
        <v>2709</v>
      </c>
      <c r="X2683" s="30">
        <v>193.33799999999999</v>
      </c>
      <c r="Y2683" s="33">
        <f t="shared" si="217"/>
        <v>0.193</v>
      </c>
      <c r="AH2683" s="45">
        <f t="shared" si="221"/>
        <v>0</v>
      </c>
      <c r="AJ2683" s="44">
        <f t="shared" si="218"/>
        <v>2.7090000000000001</v>
      </c>
      <c r="AP2683" s="46">
        <f t="shared" si="219"/>
        <v>0.193</v>
      </c>
    </row>
    <row r="2684" spans="19:42" ht="18">
      <c r="S2684" s="8">
        <f t="shared" si="220"/>
        <v>0</v>
      </c>
      <c r="W2684" s="3">
        <v>2710</v>
      </c>
      <c r="X2684" s="30">
        <v>193.375</v>
      </c>
      <c r="Y2684" s="33">
        <f t="shared" si="217"/>
        <v>0.193</v>
      </c>
      <c r="AH2684" s="45">
        <f t="shared" si="221"/>
        <v>0</v>
      </c>
      <c r="AJ2684" s="44">
        <f t="shared" si="218"/>
        <v>2.71</v>
      </c>
      <c r="AP2684" s="46">
        <f t="shared" si="219"/>
        <v>0.193</v>
      </c>
    </row>
    <row r="2685" spans="19:42" ht="18">
      <c r="S2685" s="8">
        <f t="shared" si="220"/>
        <v>0</v>
      </c>
      <c r="W2685" s="3">
        <v>2711</v>
      </c>
      <c r="X2685" s="30">
        <v>193.41300000000001</v>
      </c>
      <c r="Y2685" s="33">
        <f t="shared" si="217"/>
        <v>0.193</v>
      </c>
      <c r="AH2685" s="45">
        <f t="shared" si="221"/>
        <v>0</v>
      </c>
      <c r="AJ2685" s="44">
        <f t="shared" si="218"/>
        <v>2.7109999999999999</v>
      </c>
      <c r="AP2685" s="46">
        <f t="shared" si="219"/>
        <v>0.193</v>
      </c>
    </row>
    <row r="2686" spans="19:42" ht="18">
      <c r="S2686" s="8">
        <f t="shared" si="220"/>
        <v>0</v>
      </c>
      <c r="W2686" s="3">
        <v>2712</v>
      </c>
      <c r="X2686" s="30">
        <v>193.45</v>
      </c>
      <c r="Y2686" s="33">
        <f t="shared" si="217"/>
        <v>0.193</v>
      </c>
      <c r="AH2686" s="45">
        <f t="shared" si="221"/>
        <v>0</v>
      </c>
      <c r="AJ2686" s="44">
        <f t="shared" si="218"/>
        <v>2.7120000000000002</v>
      </c>
      <c r="AP2686" s="46">
        <f t="shared" si="219"/>
        <v>0.193</v>
      </c>
    </row>
    <row r="2687" spans="19:42" ht="18">
      <c r="S2687" s="8">
        <f t="shared" si="220"/>
        <v>0</v>
      </c>
      <c r="W2687" s="3">
        <v>2713</v>
      </c>
      <c r="X2687" s="30">
        <v>193.488</v>
      </c>
      <c r="Y2687" s="33">
        <f t="shared" si="217"/>
        <v>0.193</v>
      </c>
      <c r="AH2687" s="45">
        <f t="shared" si="221"/>
        <v>0</v>
      </c>
      <c r="AJ2687" s="44">
        <f t="shared" si="218"/>
        <v>2.7130000000000001</v>
      </c>
      <c r="AP2687" s="46">
        <f t="shared" si="219"/>
        <v>0.193</v>
      </c>
    </row>
    <row r="2688" spans="19:42" ht="18">
      <c r="S2688" s="8">
        <f t="shared" si="220"/>
        <v>0</v>
      </c>
      <c r="W2688" s="3">
        <v>2714</v>
      </c>
      <c r="X2688" s="30">
        <v>193.52500000000001</v>
      </c>
      <c r="Y2688" s="33">
        <f t="shared" si="217"/>
        <v>0.19400000000000001</v>
      </c>
      <c r="AH2688" s="45">
        <f t="shared" si="221"/>
        <v>0</v>
      </c>
      <c r="AJ2688" s="44">
        <f t="shared" si="218"/>
        <v>2.714</v>
      </c>
      <c r="AP2688" s="46">
        <f t="shared" si="219"/>
        <v>0.19400000000000001</v>
      </c>
    </row>
    <row r="2689" spans="19:42" ht="18">
      <c r="S2689" s="8">
        <f t="shared" si="220"/>
        <v>0</v>
      </c>
      <c r="W2689" s="3">
        <v>2715</v>
      </c>
      <c r="X2689" s="30">
        <v>193.56299999999999</v>
      </c>
      <c r="Y2689" s="33">
        <f t="shared" si="217"/>
        <v>0.19400000000000001</v>
      </c>
      <c r="AH2689" s="45">
        <f t="shared" si="221"/>
        <v>0</v>
      </c>
      <c r="AJ2689" s="44">
        <f t="shared" si="218"/>
        <v>2.7149999999999999</v>
      </c>
      <c r="AP2689" s="46">
        <f t="shared" si="219"/>
        <v>0.19400000000000001</v>
      </c>
    </row>
    <row r="2690" spans="19:42" ht="18">
      <c r="S2690" s="8">
        <f t="shared" si="220"/>
        <v>0</v>
      </c>
      <c r="W2690" s="3">
        <v>2716</v>
      </c>
      <c r="X2690" s="30">
        <v>193.6</v>
      </c>
      <c r="Y2690" s="33">
        <f t="shared" si="217"/>
        <v>0.19400000000000001</v>
      </c>
      <c r="AH2690" s="45">
        <f t="shared" si="221"/>
        <v>0</v>
      </c>
      <c r="AJ2690" s="44">
        <f t="shared" si="218"/>
        <v>2.7160000000000002</v>
      </c>
      <c r="AP2690" s="46">
        <f t="shared" si="219"/>
        <v>0.19400000000000001</v>
      </c>
    </row>
    <row r="2691" spans="19:42" ht="18">
      <c r="S2691" s="8">
        <f t="shared" si="220"/>
        <v>0</v>
      </c>
      <c r="W2691" s="3">
        <v>2717</v>
      </c>
      <c r="X2691" s="30">
        <v>193.63800000000001</v>
      </c>
      <c r="Y2691" s="33">
        <f t="shared" si="217"/>
        <v>0.19400000000000001</v>
      </c>
      <c r="AH2691" s="45">
        <f t="shared" si="221"/>
        <v>0</v>
      </c>
      <c r="AJ2691" s="44">
        <f t="shared" si="218"/>
        <v>2.7170000000000001</v>
      </c>
      <c r="AP2691" s="46">
        <f t="shared" si="219"/>
        <v>0.19400000000000001</v>
      </c>
    </row>
    <row r="2692" spans="19:42" ht="18">
      <c r="S2692" s="8">
        <f t="shared" si="220"/>
        <v>0</v>
      </c>
      <c r="W2692" s="3">
        <v>2718</v>
      </c>
      <c r="X2692" s="30">
        <v>193.67500000000001</v>
      </c>
      <c r="Y2692" s="33">
        <f t="shared" si="217"/>
        <v>0.19400000000000001</v>
      </c>
      <c r="AH2692" s="45">
        <f t="shared" si="221"/>
        <v>0</v>
      </c>
      <c r="AJ2692" s="44">
        <f t="shared" si="218"/>
        <v>2.718</v>
      </c>
      <c r="AP2692" s="46">
        <f t="shared" si="219"/>
        <v>0.19400000000000001</v>
      </c>
    </row>
    <row r="2693" spans="19:42" ht="18">
      <c r="S2693" s="8">
        <f t="shared" si="220"/>
        <v>0</v>
      </c>
      <c r="W2693" s="3">
        <v>2719</v>
      </c>
      <c r="X2693" s="30">
        <v>193.71299999999999</v>
      </c>
      <c r="Y2693" s="33">
        <f t="shared" ref="Y2693:Y2756" si="222">ROUND(X2693/1000,3)</f>
        <v>0.19400000000000001</v>
      </c>
      <c r="AH2693" s="45">
        <f t="shared" si="221"/>
        <v>0</v>
      </c>
      <c r="AJ2693" s="44">
        <f t="shared" ref="AJ2693:AJ2756" si="223">ROUND(W2693/1000,3)</f>
        <v>2.7189999999999999</v>
      </c>
      <c r="AP2693" s="46">
        <f t="shared" ref="AP2693:AP2756" si="224">ROUND(X2693/1000,3)</f>
        <v>0.19400000000000001</v>
      </c>
    </row>
    <row r="2694" spans="19:42" ht="18">
      <c r="S2694" s="8">
        <f t="shared" ref="S2694:S2757" si="225">CEILING(R2694/50,0.5)</f>
        <v>0</v>
      </c>
      <c r="W2694" s="3">
        <v>2720</v>
      </c>
      <c r="X2694" s="30">
        <v>193.75</v>
      </c>
      <c r="Y2694" s="33">
        <f t="shared" si="222"/>
        <v>0.19400000000000001</v>
      </c>
      <c r="AH2694" s="45">
        <f t="shared" ref="AH2694:AH2757" si="226">AE2694-AE2693</f>
        <v>0</v>
      </c>
      <c r="AJ2694" s="44">
        <f t="shared" si="223"/>
        <v>2.72</v>
      </c>
      <c r="AP2694" s="46">
        <f t="shared" si="224"/>
        <v>0.19400000000000001</v>
      </c>
    </row>
    <row r="2695" spans="19:42" ht="18">
      <c r="S2695" s="8">
        <f t="shared" si="225"/>
        <v>0</v>
      </c>
      <c r="W2695" s="3">
        <v>2721</v>
      </c>
      <c r="X2695" s="30">
        <v>193.78800000000001</v>
      </c>
      <c r="Y2695" s="33">
        <f t="shared" si="222"/>
        <v>0.19400000000000001</v>
      </c>
      <c r="AH2695" s="45">
        <f t="shared" si="226"/>
        <v>0</v>
      </c>
      <c r="AJ2695" s="44">
        <f t="shared" si="223"/>
        <v>2.7210000000000001</v>
      </c>
      <c r="AP2695" s="46">
        <f t="shared" si="224"/>
        <v>0.19400000000000001</v>
      </c>
    </row>
    <row r="2696" spans="19:42" ht="18">
      <c r="S2696" s="8">
        <f t="shared" si="225"/>
        <v>0</v>
      </c>
      <c r="W2696" s="3">
        <v>2722</v>
      </c>
      <c r="X2696" s="30">
        <v>193.82499999999999</v>
      </c>
      <c r="Y2696" s="33">
        <f t="shared" si="222"/>
        <v>0.19400000000000001</v>
      </c>
      <c r="AH2696" s="45">
        <f t="shared" si="226"/>
        <v>0</v>
      </c>
      <c r="AJ2696" s="44">
        <f t="shared" si="223"/>
        <v>2.722</v>
      </c>
      <c r="AP2696" s="46">
        <f t="shared" si="224"/>
        <v>0.19400000000000001</v>
      </c>
    </row>
    <row r="2697" spans="19:42" ht="18">
      <c r="S2697" s="8">
        <f t="shared" si="225"/>
        <v>0</v>
      </c>
      <c r="W2697" s="3">
        <v>2723</v>
      </c>
      <c r="X2697" s="30">
        <v>193.863</v>
      </c>
      <c r="Y2697" s="33">
        <f t="shared" si="222"/>
        <v>0.19400000000000001</v>
      </c>
      <c r="AH2697" s="45">
        <f t="shared" si="226"/>
        <v>0</v>
      </c>
      <c r="AJ2697" s="44">
        <f t="shared" si="223"/>
        <v>2.7229999999999999</v>
      </c>
      <c r="AP2697" s="46">
        <f t="shared" si="224"/>
        <v>0.19400000000000001</v>
      </c>
    </row>
    <row r="2698" spans="19:42" ht="18">
      <c r="S2698" s="8">
        <f t="shared" si="225"/>
        <v>0</v>
      </c>
      <c r="W2698" s="3">
        <v>2724</v>
      </c>
      <c r="X2698" s="30">
        <v>193.9</v>
      </c>
      <c r="Y2698" s="33">
        <f t="shared" si="222"/>
        <v>0.19400000000000001</v>
      </c>
      <c r="AH2698" s="45">
        <f t="shared" si="226"/>
        <v>0</v>
      </c>
      <c r="AJ2698" s="44">
        <f t="shared" si="223"/>
        <v>2.7240000000000002</v>
      </c>
      <c r="AP2698" s="46">
        <f t="shared" si="224"/>
        <v>0.19400000000000001</v>
      </c>
    </row>
    <row r="2699" spans="19:42" ht="18">
      <c r="S2699" s="8">
        <f t="shared" si="225"/>
        <v>0</v>
      </c>
      <c r="W2699" s="3">
        <v>2725</v>
      </c>
      <c r="X2699" s="30">
        <v>193.93799999999999</v>
      </c>
      <c r="Y2699" s="33">
        <f t="shared" si="222"/>
        <v>0.19400000000000001</v>
      </c>
      <c r="AH2699" s="45">
        <f t="shared" si="226"/>
        <v>0</v>
      </c>
      <c r="AJ2699" s="44">
        <f t="shared" si="223"/>
        <v>2.7250000000000001</v>
      </c>
      <c r="AP2699" s="46">
        <f t="shared" si="224"/>
        <v>0.19400000000000001</v>
      </c>
    </row>
    <row r="2700" spans="19:42" ht="18">
      <c r="S2700" s="8">
        <f t="shared" si="225"/>
        <v>0</v>
      </c>
      <c r="W2700" s="3">
        <v>2726</v>
      </c>
      <c r="X2700" s="30">
        <v>193.97499999999999</v>
      </c>
      <c r="Y2700" s="33">
        <f t="shared" si="222"/>
        <v>0.19400000000000001</v>
      </c>
      <c r="AH2700" s="45">
        <f t="shared" si="226"/>
        <v>0</v>
      </c>
      <c r="AJ2700" s="44">
        <f t="shared" si="223"/>
        <v>2.726</v>
      </c>
      <c r="AP2700" s="46">
        <f t="shared" si="224"/>
        <v>0.19400000000000001</v>
      </c>
    </row>
    <row r="2701" spans="19:42" ht="18">
      <c r="S2701" s="8">
        <f t="shared" si="225"/>
        <v>0</v>
      </c>
      <c r="W2701" s="3">
        <v>2727</v>
      </c>
      <c r="X2701" s="30">
        <v>194.01300000000001</v>
      </c>
      <c r="Y2701" s="33">
        <f t="shared" si="222"/>
        <v>0.19400000000000001</v>
      </c>
      <c r="AH2701" s="45">
        <f t="shared" si="226"/>
        <v>0</v>
      </c>
      <c r="AJ2701" s="44">
        <f t="shared" si="223"/>
        <v>2.7269999999999999</v>
      </c>
      <c r="AP2701" s="46">
        <f t="shared" si="224"/>
        <v>0.19400000000000001</v>
      </c>
    </row>
    <row r="2702" spans="19:42" ht="18">
      <c r="S2702" s="8">
        <f t="shared" si="225"/>
        <v>0</v>
      </c>
      <c r="W2702" s="3">
        <v>2728</v>
      </c>
      <c r="X2702" s="30">
        <v>194.05</v>
      </c>
      <c r="Y2702" s="33">
        <f t="shared" si="222"/>
        <v>0.19400000000000001</v>
      </c>
      <c r="AH2702" s="45">
        <f t="shared" si="226"/>
        <v>0</v>
      </c>
      <c r="AJ2702" s="44">
        <f t="shared" si="223"/>
        <v>2.7280000000000002</v>
      </c>
      <c r="AP2702" s="46">
        <f t="shared" si="224"/>
        <v>0.19400000000000001</v>
      </c>
    </row>
    <row r="2703" spans="19:42" ht="18">
      <c r="S2703" s="8">
        <f t="shared" si="225"/>
        <v>0</v>
      </c>
      <c r="W2703" s="3">
        <v>2729</v>
      </c>
      <c r="X2703" s="30">
        <v>194.08799999999999</v>
      </c>
      <c r="Y2703" s="33">
        <f t="shared" si="222"/>
        <v>0.19400000000000001</v>
      </c>
      <c r="AH2703" s="45">
        <f t="shared" si="226"/>
        <v>0</v>
      </c>
      <c r="AJ2703" s="44">
        <f t="shared" si="223"/>
        <v>2.7290000000000001</v>
      </c>
      <c r="AP2703" s="46">
        <f t="shared" si="224"/>
        <v>0.19400000000000001</v>
      </c>
    </row>
    <row r="2704" spans="19:42" ht="18">
      <c r="S2704" s="8">
        <f t="shared" si="225"/>
        <v>0</v>
      </c>
      <c r="W2704" s="3">
        <v>2730</v>
      </c>
      <c r="X2704" s="30">
        <v>194.125</v>
      </c>
      <c r="Y2704" s="33">
        <f t="shared" si="222"/>
        <v>0.19400000000000001</v>
      </c>
      <c r="AH2704" s="45">
        <f t="shared" si="226"/>
        <v>0</v>
      </c>
      <c r="AJ2704" s="44">
        <f t="shared" si="223"/>
        <v>2.73</v>
      </c>
      <c r="AP2704" s="46">
        <f t="shared" si="224"/>
        <v>0.19400000000000001</v>
      </c>
    </row>
    <row r="2705" spans="19:42" ht="18">
      <c r="S2705" s="8">
        <f t="shared" si="225"/>
        <v>0</v>
      </c>
      <c r="W2705" s="3">
        <v>2731</v>
      </c>
      <c r="X2705" s="30">
        <v>194.16300000000001</v>
      </c>
      <c r="Y2705" s="33">
        <f t="shared" si="222"/>
        <v>0.19400000000000001</v>
      </c>
      <c r="AH2705" s="45">
        <f t="shared" si="226"/>
        <v>0</v>
      </c>
      <c r="AJ2705" s="44">
        <f t="shared" si="223"/>
        <v>2.7309999999999999</v>
      </c>
      <c r="AP2705" s="46">
        <f t="shared" si="224"/>
        <v>0.19400000000000001</v>
      </c>
    </row>
    <row r="2706" spans="19:42" ht="18">
      <c r="S2706" s="8">
        <f t="shared" si="225"/>
        <v>0</v>
      </c>
      <c r="W2706" s="3">
        <v>2732</v>
      </c>
      <c r="X2706" s="30">
        <v>194.2</v>
      </c>
      <c r="Y2706" s="33">
        <f t="shared" si="222"/>
        <v>0.19400000000000001</v>
      </c>
      <c r="AH2706" s="45">
        <f t="shared" si="226"/>
        <v>0</v>
      </c>
      <c r="AJ2706" s="44">
        <f t="shared" si="223"/>
        <v>2.7320000000000002</v>
      </c>
      <c r="AP2706" s="46">
        <f t="shared" si="224"/>
        <v>0.19400000000000001</v>
      </c>
    </row>
    <row r="2707" spans="19:42" ht="18">
      <c r="S2707" s="8">
        <f t="shared" si="225"/>
        <v>0</v>
      </c>
      <c r="W2707" s="3">
        <v>2733</v>
      </c>
      <c r="X2707" s="30">
        <v>194.238</v>
      </c>
      <c r="Y2707" s="33">
        <f t="shared" si="222"/>
        <v>0.19400000000000001</v>
      </c>
      <c r="AH2707" s="45">
        <f t="shared" si="226"/>
        <v>0</v>
      </c>
      <c r="AJ2707" s="44">
        <f t="shared" si="223"/>
        <v>2.7330000000000001</v>
      </c>
      <c r="AP2707" s="46">
        <f t="shared" si="224"/>
        <v>0.19400000000000001</v>
      </c>
    </row>
    <row r="2708" spans="19:42" ht="18">
      <c r="S2708" s="8">
        <f t="shared" si="225"/>
        <v>0</v>
      </c>
      <c r="W2708" s="3">
        <v>2734</v>
      </c>
      <c r="X2708" s="30">
        <v>194.27500000000001</v>
      </c>
      <c r="Y2708" s="33">
        <f t="shared" si="222"/>
        <v>0.19400000000000001</v>
      </c>
      <c r="AH2708" s="45">
        <f t="shared" si="226"/>
        <v>0</v>
      </c>
      <c r="AJ2708" s="44">
        <f t="shared" si="223"/>
        <v>2.734</v>
      </c>
      <c r="AP2708" s="46">
        <f t="shared" si="224"/>
        <v>0.19400000000000001</v>
      </c>
    </row>
    <row r="2709" spans="19:42" ht="18">
      <c r="S2709" s="8">
        <f t="shared" si="225"/>
        <v>0</v>
      </c>
      <c r="W2709" s="3">
        <v>2735</v>
      </c>
      <c r="X2709" s="30">
        <v>194.31299999999999</v>
      </c>
      <c r="Y2709" s="33">
        <f t="shared" si="222"/>
        <v>0.19400000000000001</v>
      </c>
      <c r="AH2709" s="45">
        <f t="shared" si="226"/>
        <v>0</v>
      </c>
      <c r="AJ2709" s="44">
        <f t="shared" si="223"/>
        <v>2.7349999999999999</v>
      </c>
      <c r="AP2709" s="46">
        <f t="shared" si="224"/>
        <v>0.19400000000000001</v>
      </c>
    </row>
    <row r="2710" spans="19:42" ht="18">
      <c r="S2710" s="8">
        <f t="shared" si="225"/>
        <v>0</v>
      </c>
      <c r="W2710" s="3">
        <v>2736</v>
      </c>
      <c r="X2710" s="30">
        <v>194.35</v>
      </c>
      <c r="Y2710" s="33">
        <f t="shared" si="222"/>
        <v>0.19400000000000001</v>
      </c>
      <c r="AH2710" s="45">
        <f t="shared" si="226"/>
        <v>0</v>
      </c>
      <c r="AJ2710" s="44">
        <f t="shared" si="223"/>
        <v>2.7360000000000002</v>
      </c>
      <c r="AP2710" s="46">
        <f t="shared" si="224"/>
        <v>0.19400000000000001</v>
      </c>
    </row>
    <row r="2711" spans="19:42" ht="18">
      <c r="S2711" s="8">
        <f t="shared" si="225"/>
        <v>0</v>
      </c>
      <c r="W2711" s="3">
        <v>2737</v>
      </c>
      <c r="X2711" s="30">
        <v>194.38800000000001</v>
      </c>
      <c r="Y2711" s="33">
        <f t="shared" si="222"/>
        <v>0.19400000000000001</v>
      </c>
      <c r="AH2711" s="45">
        <f t="shared" si="226"/>
        <v>0</v>
      </c>
      <c r="AJ2711" s="44">
        <f t="shared" si="223"/>
        <v>2.7370000000000001</v>
      </c>
      <c r="AP2711" s="46">
        <f t="shared" si="224"/>
        <v>0.19400000000000001</v>
      </c>
    </row>
    <row r="2712" spans="19:42" ht="18">
      <c r="S2712" s="8">
        <f t="shared" si="225"/>
        <v>0</v>
      </c>
      <c r="W2712" s="3">
        <v>2738</v>
      </c>
      <c r="X2712" s="30">
        <v>194.42500000000001</v>
      </c>
      <c r="Y2712" s="33">
        <f t="shared" si="222"/>
        <v>0.19400000000000001</v>
      </c>
      <c r="AH2712" s="45">
        <f t="shared" si="226"/>
        <v>0</v>
      </c>
      <c r="AJ2712" s="44">
        <f t="shared" si="223"/>
        <v>2.738</v>
      </c>
      <c r="AP2712" s="46">
        <f t="shared" si="224"/>
        <v>0.19400000000000001</v>
      </c>
    </row>
    <row r="2713" spans="19:42" ht="18">
      <c r="S2713" s="8">
        <f t="shared" si="225"/>
        <v>0</v>
      </c>
      <c r="W2713" s="3">
        <v>2739</v>
      </c>
      <c r="X2713" s="30">
        <v>194.46299999999999</v>
      </c>
      <c r="Y2713" s="33">
        <f t="shared" si="222"/>
        <v>0.19400000000000001</v>
      </c>
      <c r="AH2713" s="45">
        <f t="shared" si="226"/>
        <v>0</v>
      </c>
      <c r="AJ2713" s="44">
        <f t="shared" si="223"/>
        <v>2.7389999999999999</v>
      </c>
      <c r="AP2713" s="46">
        <f t="shared" si="224"/>
        <v>0.19400000000000001</v>
      </c>
    </row>
    <row r="2714" spans="19:42" ht="18">
      <c r="S2714" s="8">
        <f t="shared" si="225"/>
        <v>0</v>
      </c>
      <c r="W2714" s="3">
        <v>2740</v>
      </c>
      <c r="X2714" s="30">
        <v>194.5</v>
      </c>
      <c r="Y2714" s="33">
        <f t="shared" si="222"/>
        <v>0.19500000000000001</v>
      </c>
      <c r="AH2714" s="45">
        <f t="shared" si="226"/>
        <v>0</v>
      </c>
      <c r="AJ2714" s="44">
        <f t="shared" si="223"/>
        <v>2.74</v>
      </c>
      <c r="AP2714" s="46">
        <f t="shared" si="224"/>
        <v>0.19500000000000001</v>
      </c>
    </row>
    <row r="2715" spans="19:42" ht="18">
      <c r="S2715" s="8">
        <f t="shared" si="225"/>
        <v>0</v>
      </c>
      <c r="W2715" s="3">
        <v>2741</v>
      </c>
      <c r="X2715" s="30">
        <v>194.53800000000001</v>
      </c>
      <c r="Y2715" s="33">
        <f t="shared" si="222"/>
        <v>0.19500000000000001</v>
      </c>
      <c r="AH2715" s="45">
        <f t="shared" si="226"/>
        <v>0</v>
      </c>
      <c r="AJ2715" s="44">
        <f t="shared" si="223"/>
        <v>2.7410000000000001</v>
      </c>
      <c r="AP2715" s="46">
        <f t="shared" si="224"/>
        <v>0.19500000000000001</v>
      </c>
    </row>
    <row r="2716" spans="19:42" ht="18">
      <c r="S2716" s="8">
        <f t="shared" si="225"/>
        <v>0</v>
      </c>
      <c r="W2716" s="3">
        <v>2742</v>
      </c>
      <c r="X2716" s="30">
        <v>194.57499999999999</v>
      </c>
      <c r="Y2716" s="33">
        <f t="shared" si="222"/>
        <v>0.19500000000000001</v>
      </c>
      <c r="AH2716" s="45">
        <f t="shared" si="226"/>
        <v>0</v>
      </c>
      <c r="AJ2716" s="44">
        <f t="shared" si="223"/>
        <v>2.742</v>
      </c>
      <c r="AP2716" s="46">
        <f t="shared" si="224"/>
        <v>0.19500000000000001</v>
      </c>
    </row>
    <row r="2717" spans="19:42" ht="18">
      <c r="S2717" s="8">
        <f t="shared" si="225"/>
        <v>0</v>
      </c>
      <c r="W2717" s="3">
        <v>2743</v>
      </c>
      <c r="X2717" s="30">
        <v>194.613</v>
      </c>
      <c r="Y2717" s="33">
        <f t="shared" si="222"/>
        <v>0.19500000000000001</v>
      </c>
      <c r="AH2717" s="45">
        <f t="shared" si="226"/>
        <v>0</v>
      </c>
      <c r="AJ2717" s="44">
        <f t="shared" si="223"/>
        <v>2.7429999999999999</v>
      </c>
      <c r="AP2717" s="46">
        <f t="shared" si="224"/>
        <v>0.19500000000000001</v>
      </c>
    </row>
    <row r="2718" spans="19:42" ht="18">
      <c r="S2718" s="8">
        <f t="shared" si="225"/>
        <v>0</v>
      </c>
      <c r="W2718" s="3">
        <v>2744</v>
      </c>
      <c r="X2718" s="30">
        <v>194.65</v>
      </c>
      <c r="Y2718" s="33">
        <f t="shared" si="222"/>
        <v>0.19500000000000001</v>
      </c>
      <c r="AH2718" s="45">
        <f t="shared" si="226"/>
        <v>0</v>
      </c>
      <c r="AJ2718" s="44">
        <f t="shared" si="223"/>
        <v>2.7440000000000002</v>
      </c>
      <c r="AP2718" s="46">
        <f t="shared" si="224"/>
        <v>0.19500000000000001</v>
      </c>
    </row>
    <row r="2719" spans="19:42" ht="18">
      <c r="S2719" s="8">
        <f t="shared" si="225"/>
        <v>0</v>
      </c>
      <c r="W2719" s="3">
        <v>2745</v>
      </c>
      <c r="X2719" s="30">
        <v>194.68799999999999</v>
      </c>
      <c r="Y2719" s="33">
        <f t="shared" si="222"/>
        <v>0.19500000000000001</v>
      </c>
      <c r="AH2719" s="45">
        <f t="shared" si="226"/>
        <v>0</v>
      </c>
      <c r="AJ2719" s="44">
        <f t="shared" si="223"/>
        <v>2.7450000000000001</v>
      </c>
      <c r="AP2719" s="46">
        <f t="shared" si="224"/>
        <v>0.19500000000000001</v>
      </c>
    </row>
    <row r="2720" spans="19:42" ht="18">
      <c r="S2720" s="8">
        <f t="shared" si="225"/>
        <v>0</v>
      </c>
      <c r="W2720" s="3">
        <v>2746</v>
      </c>
      <c r="X2720" s="30">
        <v>194.72499999999999</v>
      </c>
      <c r="Y2720" s="33">
        <f t="shared" si="222"/>
        <v>0.19500000000000001</v>
      </c>
      <c r="AH2720" s="45">
        <f t="shared" si="226"/>
        <v>0</v>
      </c>
      <c r="AJ2720" s="44">
        <f t="shared" si="223"/>
        <v>2.746</v>
      </c>
      <c r="AP2720" s="46">
        <f t="shared" si="224"/>
        <v>0.19500000000000001</v>
      </c>
    </row>
    <row r="2721" spans="19:42" ht="18">
      <c r="S2721" s="8">
        <f t="shared" si="225"/>
        <v>0</v>
      </c>
      <c r="W2721" s="3">
        <v>2747</v>
      </c>
      <c r="X2721" s="30">
        <v>194.76300000000001</v>
      </c>
      <c r="Y2721" s="33">
        <f t="shared" si="222"/>
        <v>0.19500000000000001</v>
      </c>
      <c r="AH2721" s="45">
        <f t="shared" si="226"/>
        <v>0</v>
      </c>
      <c r="AJ2721" s="44">
        <f t="shared" si="223"/>
        <v>2.7469999999999999</v>
      </c>
      <c r="AP2721" s="46">
        <f t="shared" si="224"/>
        <v>0.19500000000000001</v>
      </c>
    </row>
    <row r="2722" spans="19:42" ht="18">
      <c r="S2722" s="8">
        <f t="shared" si="225"/>
        <v>0</v>
      </c>
      <c r="W2722" s="3">
        <v>2748</v>
      </c>
      <c r="X2722" s="30">
        <v>194.8</v>
      </c>
      <c r="Y2722" s="33">
        <f t="shared" si="222"/>
        <v>0.19500000000000001</v>
      </c>
      <c r="AH2722" s="45">
        <f t="shared" si="226"/>
        <v>0</v>
      </c>
      <c r="AJ2722" s="44">
        <f t="shared" si="223"/>
        <v>2.7480000000000002</v>
      </c>
      <c r="AP2722" s="46">
        <f t="shared" si="224"/>
        <v>0.19500000000000001</v>
      </c>
    </row>
    <row r="2723" spans="19:42" ht="18">
      <c r="S2723" s="8">
        <f t="shared" si="225"/>
        <v>0</v>
      </c>
      <c r="W2723" s="3">
        <v>2749</v>
      </c>
      <c r="X2723" s="30">
        <v>194.83799999999999</v>
      </c>
      <c r="Y2723" s="33">
        <f t="shared" si="222"/>
        <v>0.19500000000000001</v>
      </c>
      <c r="AH2723" s="45">
        <f t="shared" si="226"/>
        <v>0</v>
      </c>
      <c r="AJ2723" s="44">
        <f t="shared" si="223"/>
        <v>2.7490000000000001</v>
      </c>
      <c r="AP2723" s="46">
        <f t="shared" si="224"/>
        <v>0.19500000000000001</v>
      </c>
    </row>
    <row r="2724" spans="19:42" ht="18">
      <c r="S2724" s="8">
        <f t="shared" si="225"/>
        <v>0</v>
      </c>
      <c r="W2724" s="3">
        <v>2750</v>
      </c>
      <c r="X2724" s="30">
        <v>194.875</v>
      </c>
      <c r="Y2724" s="33">
        <f t="shared" si="222"/>
        <v>0.19500000000000001</v>
      </c>
      <c r="AH2724" s="45">
        <f t="shared" si="226"/>
        <v>0</v>
      </c>
      <c r="AJ2724" s="44">
        <f t="shared" si="223"/>
        <v>2.75</v>
      </c>
      <c r="AP2724" s="46">
        <f t="shared" si="224"/>
        <v>0.19500000000000001</v>
      </c>
    </row>
    <row r="2725" spans="19:42" ht="18">
      <c r="S2725" s="8">
        <f t="shared" si="225"/>
        <v>0</v>
      </c>
      <c r="W2725" s="3">
        <v>2751</v>
      </c>
      <c r="X2725" s="30">
        <v>194.91300000000001</v>
      </c>
      <c r="Y2725" s="33">
        <f t="shared" si="222"/>
        <v>0.19500000000000001</v>
      </c>
      <c r="AH2725" s="45">
        <f t="shared" si="226"/>
        <v>0</v>
      </c>
      <c r="AJ2725" s="44">
        <f t="shared" si="223"/>
        <v>2.7509999999999999</v>
      </c>
      <c r="AP2725" s="46">
        <f t="shared" si="224"/>
        <v>0.19500000000000001</v>
      </c>
    </row>
    <row r="2726" spans="19:42" ht="18">
      <c r="S2726" s="8">
        <f t="shared" si="225"/>
        <v>0</v>
      </c>
      <c r="W2726" s="3">
        <v>2752</v>
      </c>
      <c r="X2726" s="30">
        <v>194.95</v>
      </c>
      <c r="Y2726" s="33">
        <f t="shared" si="222"/>
        <v>0.19500000000000001</v>
      </c>
      <c r="AH2726" s="45">
        <f t="shared" si="226"/>
        <v>0</v>
      </c>
      <c r="AJ2726" s="44">
        <f t="shared" si="223"/>
        <v>2.7519999999999998</v>
      </c>
      <c r="AP2726" s="46">
        <f t="shared" si="224"/>
        <v>0.19500000000000001</v>
      </c>
    </row>
    <row r="2727" spans="19:42" ht="18">
      <c r="S2727" s="8">
        <f t="shared" si="225"/>
        <v>0</v>
      </c>
      <c r="W2727" s="3">
        <v>2753</v>
      </c>
      <c r="X2727" s="30">
        <v>194.988</v>
      </c>
      <c r="Y2727" s="33">
        <f t="shared" si="222"/>
        <v>0.19500000000000001</v>
      </c>
      <c r="AH2727" s="45">
        <f t="shared" si="226"/>
        <v>0</v>
      </c>
      <c r="AJ2727" s="44">
        <f t="shared" si="223"/>
        <v>2.7530000000000001</v>
      </c>
      <c r="AP2727" s="46">
        <f t="shared" si="224"/>
        <v>0.19500000000000001</v>
      </c>
    </row>
    <row r="2728" spans="19:42" ht="18">
      <c r="S2728" s="8">
        <f t="shared" si="225"/>
        <v>0</v>
      </c>
      <c r="W2728" s="3">
        <v>2754</v>
      </c>
      <c r="X2728" s="30">
        <v>195.02500000000001</v>
      </c>
      <c r="Y2728" s="33">
        <f t="shared" si="222"/>
        <v>0.19500000000000001</v>
      </c>
      <c r="AH2728" s="45">
        <f t="shared" si="226"/>
        <v>0</v>
      </c>
      <c r="AJ2728" s="44">
        <f t="shared" si="223"/>
        <v>2.754</v>
      </c>
      <c r="AP2728" s="46">
        <f t="shared" si="224"/>
        <v>0.19500000000000001</v>
      </c>
    </row>
    <row r="2729" spans="19:42" ht="18">
      <c r="S2729" s="8">
        <f t="shared" si="225"/>
        <v>0</v>
      </c>
      <c r="W2729" s="3">
        <v>2755</v>
      </c>
      <c r="X2729" s="30">
        <v>195.06299999999999</v>
      </c>
      <c r="Y2729" s="33">
        <f t="shared" si="222"/>
        <v>0.19500000000000001</v>
      </c>
      <c r="AH2729" s="45">
        <f t="shared" si="226"/>
        <v>0</v>
      </c>
      <c r="AJ2729" s="44">
        <f t="shared" si="223"/>
        <v>2.7549999999999999</v>
      </c>
      <c r="AP2729" s="46">
        <f t="shared" si="224"/>
        <v>0.19500000000000001</v>
      </c>
    </row>
    <row r="2730" spans="19:42" ht="18">
      <c r="S2730" s="8">
        <f t="shared" si="225"/>
        <v>0</v>
      </c>
      <c r="W2730" s="3">
        <v>2756</v>
      </c>
      <c r="X2730" s="30">
        <v>195.1</v>
      </c>
      <c r="Y2730" s="33">
        <f t="shared" si="222"/>
        <v>0.19500000000000001</v>
      </c>
      <c r="AH2730" s="45">
        <f t="shared" si="226"/>
        <v>0</v>
      </c>
      <c r="AJ2730" s="44">
        <f t="shared" si="223"/>
        <v>2.7559999999999998</v>
      </c>
      <c r="AP2730" s="46">
        <f t="shared" si="224"/>
        <v>0.19500000000000001</v>
      </c>
    </row>
    <row r="2731" spans="19:42" ht="18">
      <c r="S2731" s="8">
        <f t="shared" si="225"/>
        <v>0</v>
      </c>
      <c r="W2731" s="3">
        <v>2757</v>
      </c>
      <c r="X2731" s="30">
        <v>195.13800000000001</v>
      </c>
      <c r="Y2731" s="33">
        <f t="shared" si="222"/>
        <v>0.19500000000000001</v>
      </c>
      <c r="AH2731" s="45">
        <f t="shared" si="226"/>
        <v>0</v>
      </c>
      <c r="AJ2731" s="44">
        <f t="shared" si="223"/>
        <v>2.7570000000000001</v>
      </c>
      <c r="AP2731" s="46">
        <f t="shared" si="224"/>
        <v>0.19500000000000001</v>
      </c>
    </row>
    <row r="2732" spans="19:42" ht="18">
      <c r="S2732" s="8">
        <f t="shared" si="225"/>
        <v>0</v>
      </c>
      <c r="W2732" s="3">
        <v>2758</v>
      </c>
      <c r="X2732" s="30">
        <v>195.17500000000001</v>
      </c>
      <c r="Y2732" s="33">
        <f t="shared" si="222"/>
        <v>0.19500000000000001</v>
      </c>
      <c r="AH2732" s="45">
        <f t="shared" si="226"/>
        <v>0</v>
      </c>
      <c r="AJ2732" s="44">
        <f t="shared" si="223"/>
        <v>2.758</v>
      </c>
      <c r="AP2732" s="46">
        <f t="shared" si="224"/>
        <v>0.19500000000000001</v>
      </c>
    </row>
    <row r="2733" spans="19:42" ht="18">
      <c r="S2733" s="8">
        <f t="shared" si="225"/>
        <v>0</v>
      </c>
      <c r="W2733" s="3">
        <v>2759</v>
      </c>
      <c r="X2733" s="30">
        <v>195.21299999999999</v>
      </c>
      <c r="Y2733" s="33">
        <f t="shared" si="222"/>
        <v>0.19500000000000001</v>
      </c>
      <c r="AH2733" s="45">
        <f t="shared" si="226"/>
        <v>0</v>
      </c>
      <c r="AJ2733" s="44">
        <f t="shared" si="223"/>
        <v>2.7589999999999999</v>
      </c>
      <c r="AP2733" s="46">
        <f t="shared" si="224"/>
        <v>0.19500000000000001</v>
      </c>
    </row>
    <row r="2734" spans="19:42" ht="18">
      <c r="S2734" s="8">
        <f t="shared" si="225"/>
        <v>0</v>
      </c>
      <c r="W2734" s="3">
        <v>2760</v>
      </c>
      <c r="X2734" s="30">
        <v>195.25</v>
      </c>
      <c r="Y2734" s="33">
        <f t="shared" si="222"/>
        <v>0.19500000000000001</v>
      </c>
      <c r="AH2734" s="45">
        <f t="shared" si="226"/>
        <v>0</v>
      </c>
      <c r="AJ2734" s="44">
        <f t="shared" si="223"/>
        <v>2.76</v>
      </c>
      <c r="AP2734" s="46">
        <f t="shared" si="224"/>
        <v>0.19500000000000001</v>
      </c>
    </row>
    <row r="2735" spans="19:42" ht="18">
      <c r="S2735" s="8">
        <f t="shared" si="225"/>
        <v>0</v>
      </c>
      <c r="W2735" s="3">
        <v>2761</v>
      </c>
      <c r="X2735" s="30">
        <v>195.28800000000001</v>
      </c>
      <c r="Y2735" s="33">
        <f t="shared" si="222"/>
        <v>0.19500000000000001</v>
      </c>
      <c r="AH2735" s="45">
        <f t="shared" si="226"/>
        <v>0</v>
      </c>
      <c r="AJ2735" s="44">
        <f t="shared" si="223"/>
        <v>2.7610000000000001</v>
      </c>
      <c r="AP2735" s="46">
        <f t="shared" si="224"/>
        <v>0.19500000000000001</v>
      </c>
    </row>
    <row r="2736" spans="19:42" ht="18">
      <c r="S2736" s="8">
        <f t="shared" si="225"/>
        <v>0</v>
      </c>
      <c r="W2736" s="3">
        <v>2762</v>
      </c>
      <c r="X2736" s="30">
        <v>195.32499999999999</v>
      </c>
      <c r="Y2736" s="33">
        <f t="shared" si="222"/>
        <v>0.19500000000000001</v>
      </c>
      <c r="AH2736" s="45">
        <f t="shared" si="226"/>
        <v>0</v>
      </c>
      <c r="AJ2736" s="44">
        <f t="shared" si="223"/>
        <v>2.762</v>
      </c>
      <c r="AP2736" s="46">
        <f t="shared" si="224"/>
        <v>0.19500000000000001</v>
      </c>
    </row>
    <row r="2737" spans="19:42" ht="18">
      <c r="S2737" s="8">
        <f t="shared" si="225"/>
        <v>0</v>
      </c>
      <c r="W2737" s="3">
        <v>2763</v>
      </c>
      <c r="X2737" s="30">
        <v>195.363</v>
      </c>
      <c r="Y2737" s="33">
        <f t="shared" si="222"/>
        <v>0.19500000000000001</v>
      </c>
      <c r="AH2737" s="45">
        <f t="shared" si="226"/>
        <v>0</v>
      </c>
      <c r="AJ2737" s="44">
        <f t="shared" si="223"/>
        <v>2.7629999999999999</v>
      </c>
      <c r="AP2737" s="46">
        <f t="shared" si="224"/>
        <v>0.19500000000000001</v>
      </c>
    </row>
    <row r="2738" spans="19:42" ht="18">
      <c r="S2738" s="8">
        <f t="shared" si="225"/>
        <v>0</v>
      </c>
      <c r="W2738" s="3">
        <v>2764</v>
      </c>
      <c r="X2738" s="30">
        <v>195.4</v>
      </c>
      <c r="Y2738" s="33">
        <f t="shared" si="222"/>
        <v>0.19500000000000001</v>
      </c>
      <c r="AH2738" s="45">
        <f t="shared" si="226"/>
        <v>0</v>
      </c>
      <c r="AJ2738" s="44">
        <f t="shared" si="223"/>
        <v>2.7639999999999998</v>
      </c>
      <c r="AP2738" s="46">
        <f t="shared" si="224"/>
        <v>0.19500000000000001</v>
      </c>
    </row>
    <row r="2739" spans="19:42" ht="18">
      <c r="S2739" s="8">
        <f t="shared" si="225"/>
        <v>0</v>
      </c>
      <c r="W2739" s="3">
        <v>2765</v>
      </c>
      <c r="X2739" s="30">
        <v>195.43799999999999</v>
      </c>
      <c r="Y2739" s="33">
        <f t="shared" si="222"/>
        <v>0.19500000000000001</v>
      </c>
      <c r="AH2739" s="45">
        <f t="shared" si="226"/>
        <v>0</v>
      </c>
      <c r="AJ2739" s="44">
        <f t="shared" si="223"/>
        <v>2.7650000000000001</v>
      </c>
      <c r="AP2739" s="46">
        <f t="shared" si="224"/>
        <v>0.19500000000000001</v>
      </c>
    </row>
    <row r="2740" spans="19:42" ht="18">
      <c r="S2740" s="8">
        <f t="shared" si="225"/>
        <v>0</v>
      </c>
      <c r="W2740" s="3">
        <v>2766</v>
      </c>
      <c r="X2740" s="30">
        <v>195.47499999999999</v>
      </c>
      <c r="Y2740" s="33">
        <f t="shared" si="222"/>
        <v>0.19500000000000001</v>
      </c>
      <c r="AH2740" s="45">
        <f t="shared" si="226"/>
        <v>0</v>
      </c>
      <c r="AJ2740" s="44">
        <f t="shared" si="223"/>
        <v>2.766</v>
      </c>
      <c r="AP2740" s="46">
        <f t="shared" si="224"/>
        <v>0.19500000000000001</v>
      </c>
    </row>
    <row r="2741" spans="19:42" ht="18">
      <c r="S2741" s="8">
        <f t="shared" si="225"/>
        <v>0</v>
      </c>
      <c r="W2741" s="3">
        <v>2767</v>
      </c>
      <c r="X2741" s="30">
        <v>195.51300000000001</v>
      </c>
      <c r="Y2741" s="33">
        <f t="shared" si="222"/>
        <v>0.19600000000000001</v>
      </c>
      <c r="AH2741" s="45">
        <f t="shared" si="226"/>
        <v>0</v>
      </c>
      <c r="AJ2741" s="44">
        <f t="shared" si="223"/>
        <v>2.7669999999999999</v>
      </c>
      <c r="AP2741" s="46">
        <f t="shared" si="224"/>
        <v>0.19600000000000001</v>
      </c>
    </row>
    <row r="2742" spans="19:42" ht="18">
      <c r="S2742" s="8">
        <f t="shared" si="225"/>
        <v>0</v>
      </c>
      <c r="W2742" s="3">
        <v>2768</v>
      </c>
      <c r="X2742" s="30">
        <v>195.55</v>
      </c>
      <c r="Y2742" s="33">
        <f t="shared" si="222"/>
        <v>0.19600000000000001</v>
      </c>
      <c r="AH2742" s="45">
        <f t="shared" si="226"/>
        <v>0</v>
      </c>
      <c r="AJ2742" s="44">
        <f t="shared" si="223"/>
        <v>2.7679999999999998</v>
      </c>
      <c r="AP2742" s="46">
        <f t="shared" si="224"/>
        <v>0.19600000000000001</v>
      </c>
    </row>
    <row r="2743" spans="19:42" ht="18">
      <c r="S2743" s="8">
        <f t="shared" si="225"/>
        <v>0</v>
      </c>
      <c r="W2743" s="3">
        <v>2769</v>
      </c>
      <c r="X2743" s="30">
        <v>195.58799999999999</v>
      </c>
      <c r="Y2743" s="33">
        <f t="shared" si="222"/>
        <v>0.19600000000000001</v>
      </c>
      <c r="AH2743" s="45">
        <f t="shared" si="226"/>
        <v>0</v>
      </c>
      <c r="AJ2743" s="44">
        <f t="shared" si="223"/>
        <v>2.7690000000000001</v>
      </c>
      <c r="AP2743" s="46">
        <f t="shared" si="224"/>
        <v>0.19600000000000001</v>
      </c>
    </row>
    <row r="2744" spans="19:42" ht="18">
      <c r="S2744" s="8">
        <f t="shared" si="225"/>
        <v>0</v>
      </c>
      <c r="W2744" s="3">
        <v>2770</v>
      </c>
      <c r="X2744" s="30">
        <v>195.625</v>
      </c>
      <c r="Y2744" s="33">
        <f t="shared" si="222"/>
        <v>0.19600000000000001</v>
      </c>
      <c r="AH2744" s="45">
        <f t="shared" si="226"/>
        <v>0</v>
      </c>
      <c r="AJ2744" s="44">
        <f t="shared" si="223"/>
        <v>2.77</v>
      </c>
      <c r="AP2744" s="46">
        <f t="shared" si="224"/>
        <v>0.19600000000000001</v>
      </c>
    </row>
    <row r="2745" spans="19:42" ht="18">
      <c r="S2745" s="8">
        <f t="shared" si="225"/>
        <v>0</v>
      </c>
      <c r="W2745" s="3">
        <v>2771</v>
      </c>
      <c r="X2745" s="30">
        <v>195.66300000000001</v>
      </c>
      <c r="Y2745" s="33">
        <f t="shared" si="222"/>
        <v>0.19600000000000001</v>
      </c>
      <c r="AH2745" s="45">
        <f t="shared" si="226"/>
        <v>0</v>
      </c>
      <c r="AJ2745" s="44">
        <f t="shared" si="223"/>
        <v>2.7709999999999999</v>
      </c>
      <c r="AP2745" s="46">
        <f t="shared" si="224"/>
        <v>0.19600000000000001</v>
      </c>
    </row>
    <row r="2746" spans="19:42" ht="18">
      <c r="S2746" s="8">
        <f t="shared" si="225"/>
        <v>0</v>
      </c>
      <c r="W2746" s="3">
        <v>2772</v>
      </c>
      <c r="X2746" s="30">
        <v>195.7</v>
      </c>
      <c r="Y2746" s="33">
        <f t="shared" si="222"/>
        <v>0.19600000000000001</v>
      </c>
      <c r="AH2746" s="45">
        <f t="shared" si="226"/>
        <v>0</v>
      </c>
      <c r="AJ2746" s="44">
        <f t="shared" si="223"/>
        <v>2.7719999999999998</v>
      </c>
      <c r="AP2746" s="46">
        <f t="shared" si="224"/>
        <v>0.19600000000000001</v>
      </c>
    </row>
    <row r="2747" spans="19:42" ht="18">
      <c r="S2747" s="8">
        <f t="shared" si="225"/>
        <v>0</v>
      </c>
      <c r="W2747" s="3">
        <v>2773</v>
      </c>
      <c r="X2747" s="30">
        <v>195.738</v>
      </c>
      <c r="Y2747" s="33">
        <f t="shared" si="222"/>
        <v>0.19600000000000001</v>
      </c>
      <c r="AH2747" s="45">
        <f t="shared" si="226"/>
        <v>0</v>
      </c>
      <c r="AJ2747" s="44">
        <f t="shared" si="223"/>
        <v>2.7730000000000001</v>
      </c>
      <c r="AP2747" s="46">
        <f t="shared" si="224"/>
        <v>0.19600000000000001</v>
      </c>
    </row>
    <row r="2748" spans="19:42" ht="18">
      <c r="S2748" s="8">
        <f t="shared" si="225"/>
        <v>0</v>
      </c>
      <c r="W2748" s="3">
        <v>2774</v>
      </c>
      <c r="X2748" s="30">
        <v>195.77500000000001</v>
      </c>
      <c r="Y2748" s="33">
        <f t="shared" si="222"/>
        <v>0.19600000000000001</v>
      </c>
      <c r="AH2748" s="45">
        <f t="shared" si="226"/>
        <v>0</v>
      </c>
      <c r="AJ2748" s="44">
        <f t="shared" si="223"/>
        <v>2.774</v>
      </c>
      <c r="AP2748" s="46">
        <f t="shared" si="224"/>
        <v>0.19600000000000001</v>
      </c>
    </row>
    <row r="2749" spans="19:42" ht="18">
      <c r="S2749" s="8">
        <f t="shared" si="225"/>
        <v>0</v>
      </c>
      <c r="W2749" s="3">
        <v>2775</v>
      </c>
      <c r="X2749" s="30">
        <v>195.81299999999999</v>
      </c>
      <c r="Y2749" s="33">
        <f t="shared" si="222"/>
        <v>0.19600000000000001</v>
      </c>
      <c r="AH2749" s="45">
        <f t="shared" si="226"/>
        <v>0</v>
      </c>
      <c r="AJ2749" s="44">
        <f t="shared" si="223"/>
        <v>2.7749999999999999</v>
      </c>
      <c r="AP2749" s="46">
        <f t="shared" si="224"/>
        <v>0.19600000000000001</v>
      </c>
    </row>
    <row r="2750" spans="19:42" ht="18">
      <c r="S2750" s="8">
        <f t="shared" si="225"/>
        <v>0</v>
      </c>
      <c r="W2750" s="3">
        <v>2776</v>
      </c>
      <c r="X2750" s="30">
        <v>195.85</v>
      </c>
      <c r="Y2750" s="33">
        <f t="shared" si="222"/>
        <v>0.19600000000000001</v>
      </c>
      <c r="AH2750" s="45">
        <f t="shared" si="226"/>
        <v>0</v>
      </c>
      <c r="AJ2750" s="44">
        <f t="shared" si="223"/>
        <v>2.7759999999999998</v>
      </c>
      <c r="AP2750" s="46">
        <f t="shared" si="224"/>
        <v>0.19600000000000001</v>
      </c>
    </row>
    <row r="2751" spans="19:42" ht="18">
      <c r="S2751" s="8">
        <f t="shared" si="225"/>
        <v>0</v>
      </c>
      <c r="W2751" s="3">
        <v>2777</v>
      </c>
      <c r="X2751" s="30">
        <v>195.88800000000001</v>
      </c>
      <c r="Y2751" s="33">
        <f t="shared" si="222"/>
        <v>0.19600000000000001</v>
      </c>
      <c r="AH2751" s="45">
        <f t="shared" si="226"/>
        <v>0</v>
      </c>
      <c r="AJ2751" s="44">
        <f t="shared" si="223"/>
        <v>2.7770000000000001</v>
      </c>
      <c r="AP2751" s="46">
        <f t="shared" si="224"/>
        <v>0.19600000000000001</v>
      </c>
    </row>
    <row r="2752" spans="19:42" ht="18">
      <c r="S2752" s="8">
        <f t="shared" si="225"/>
        <v>0</v>
      </c>
      <c r="W2752" s="3">
        <v>2778</v>
      </c>
      <c r="X2752" s="30">
        <v>195.92500000000001</v>
      </c>
      <c r="Y2752" s="33">
        <f t="shared" si="222"/>
        <v>0.19600000000000001</v>
      </c>
      <c r="AH2752" s="45">
        <f t="shared" si="226"/>
        <v>0</v>
      </c>
      <c r="AJ2752" s="44">
        <f t="shared" si="223"/>
        <v>2.778</v>
      </c>
      <c r="AP2752" s="46">
        <f t="shared" si="224"/>
        <v>0.19600000000000001</v>
      </c>
    </row>
    <row r="2753" spans="19:42" ht="18">
      <c r="S2753" s="8">
        <f t="shared" si="225"/>
        <v>0</v>
      </c>
      <c r="W2753" s="3">
        <v>2779</v>
      </c>
      <c r="X2753" s="30">
        <v>195.96299999999999</v>
      </c>
      <c r="Y2753" s="33">
        <f t="shared" si="222"/>
        <v>0.19600000000000001</v>
      </c>
      <c r="AH2753" s="45">
        <f t="shared" si="226"/>
        <v>0</v>
      </c>
      <c r="AJ2753" s="44">
        <f t="shared" si="223"/>
        <v>2.7789999999999999</v>
      </c>
      <c r="AP2753" s="46">
        <f t="shared" si="224"/>
        <v>0.19600000000000001</v>
      </c>
    </row>
    <row r="2754" spans="19:42" ht="18">
      <c r="S2754" s="8">
        <f t="shared" si="225"/>
        <v>0</v>
      </c>
      <c r="W2754" s="3">
        <v>2780</v>
      </c>
      <c r="X2754" s="30">
        <v>196</v>
      </c>
      <c r="Y2754" s="33">
        <f t="shared" si="222"/>
        <v>0.19600000000000001</v>
      </c>
      <c r="AH2754" s="45">
        <f t="shared" si="226"/>
        <v>0</v>
      </c>
      <c r="AJ2754" s="44">
        <f t="shared" si="223"/>
        <v>2.78</v>
      </c>
      <c r="AP2754" s="46">
        <f t="shared" si="224"/>
        <v>0.19600000000000001</v>
      </c>
    </row>
    <row r="2755" spans="19:42" ht="18">
      <c r="S2755" s="8">
        <f t="shared" si="225"/>
        <v>0</v>
      </c>
      <c r="W2755" s="3">
        <v>2781</v>
      </c>
      <c r="X2755" s="30">
        <v>196.05</v>
      </c>
      <c r="Y2755" s="33">
        <f t="shared" si="222"/>
        <v>0.19600000000000001</v>
      </c>
      <c r="AH2755" s="45">
        <f t="shared" si="226"/>
        <v>0</v>
      </c>
      <c r="AJ2755" s="44">
        <f t="shared" si="223"/>
        <v>2.7810000000000001</v>
      </c>
      <c r="AP2755" s="46">
        <f t="shared" si="224"/>
        <v>0.19600000000000001</v>
      </c>
    </row>
    <row r="2756" spans="19:42" ht="18">
      <c r="S2756" s="8">
        <f t="shared" si="225"/>
        <v>0</v>
      </c>
      <c r="W2756" s="3">
        <v>2782</v>
      </c>
      <c r="X2756" s="30">
        <v>196.1</v>
      </c>
      <c r="Y2756" s="33">
        <f t="shared" si="222"/>
        <v>0.19600000000000001</v>
      </c>
      <c r="AH2756" s="45">
        <f t="shared" si="226"/>
        <v>0</v>
      </c>
      <c r="AJ2756" s="44">
        <f t="shared" si="223"/>
        <v>2.782</v>
      </c>
      <c r="AP2756" s="46">
        <f t="shared" si="224"/>
        <v>0.19600000000000001</v>
      </c>
    </row>
    <row r="2757" spans="19:42" ht="18">
      <c r="S2757" s="8">
        <f t="shared" si="225"/>
        <v>0</v>
      </c>
      <c r="W2757" s="3">
        <v>2783</v>
      </c>
      <c r="X2757" s="30">
        <v>196.15</v>
      </c>
      <c r="Y2757" s="33">
        <f t="shared" ref="Y2757:Y2820" si="227">ROUND(X2757/1000,3)</f>
        <v>0.19600000000000001</v>
      </c>
      <c r="AH2757" s="45">
        <f t="shared" si="226"/>
        <v>0</v>
      </c>
      <c r="AJ2757" s="44">
        <f t="shared" ref="AJ2757:AJ2820" si="228">ROUND(W2757/1000,3)</f>
        <v>2.7829999999999999</v>
      </c>
      <c r="AP2757" s="46">
        <f t="shared" ref="AP2757:AP2820" si="229">ROUND(X2757/1000,3)</f>
        <v>0.19600000000000001</v>
      </c>
    </row>
    <row r="2758" spans="19:42" ht="18">
      <c r="S2758" s="8">
        <f t="shared" ref="S2758:S2821" si="230">CEILING(R2758/50,0.5)</f>
        <v>0</v>
      </c>
      <c r="W2758" s="3">
        <v>2784</v>
      </c>
      <c r="X2758" s="30">
        <v>196.2</v>
      </c>
      <c r="Y2758" s="33">
        <f t="shared" si="227"/>
        <v>0.19600000000000001</v>
      </c>
      <c r="AH2758" s="45">
        <f t="shared" ref="AH2758:AH2821" si="231">AE2758-AE2757</f>
        <v>0</v>
      </c>
      <c r="AJ2758" s="44">
        <f t="shared" si="228"/>
        <v>2.7839999999999998</v>
      </c>
      <c r="AP2758" s="46">
        <f t="shared" si="229"/>
        <v>0.19600000000000001</v>
      </c>
    </row>
    <row r="2759" spans="19:42" ht="18">
      <c r="S2759" s="8">
        <f t="shared" si="230"/>
        <v>0</v>
      </c>
      <c r="W2759" s="3">
        <v>2785</v>
      </c>
      <c r="X2759" s="30">
        <v>196.25</v>
      </c>
      <c r="Y2759" s="33">
        <f t="shared" si="227"/>
        <v>0.19600000000000001</v>
      </c>
      <c r="AH2759" s="45">
        <f t="shared" si="231"/>
        <v>0</v>
      </c>
      <c r="AJ2759" s="44">
        <f t="shared" si="228"/>
        <v>2.7850000000000001</v>
      </c>
      <c r="AP2759" s="46">
        <f t="shared" si="229"/>
        <v>0.19600000000000001</v>
      </c>
    </row>
    <row r="2760" spans="19:42" ht="18">
      <c r="S2760" s="8">
        <f t="shared" si="230"/>
        <v>0</v>
      </c>
      <c r="W2760" s="3">
        <v>2786</v>
      </c>
      <c r="X2760" s="30">
        <v>196.3</v>
      </c>
      <c r="Y2760" s="33">
        <f t="shared" si="227"/>
        <v>0.19600000000000001</v>
      </c>
      <c r="AH2760" s="45">
        <f t="shared" si="231"/>
        <v>0</v>
      </c>
      <c r="AJ2760" s="44">
        <f t="shared" si="228"/>
        <v>2.786</v>
      </c>
      <c r="AP2760" s="46">
        <f t="shared" si="229"/>
        <v>0.19600000000000001</v>
      </c>
    </row>
    <row r="2761" spans="19:42" ht="18">
      <c r="S2761" s="8">
        <f t="shared" si="230"/>
        <v>0</v>
      </c>
      <c r="W2761" s="3">
        <v>2787</v>
      </c>
      <c r="X2761" s="30">
        <v>196.35</v>
      </c>
      <c r="Y2761" s="33">
        <f t="shared" si="227"/>
        <v>0.19600000000000001</v>
      </c>
      <c r="AH2761" s="45">
        <f t="shared" si="231"/>
        <v>0</v>
      </c>
      <c r="AJ2761" s="44">
        <f t="shared" si="228"/>
        <v>2.7869999999999999</v>
      </c>
      <c r="AP2761" s="46">
        <f t="shared" si="229"/>
        <v>0.19600000000000001</v>
      </c>
    </row>
    <row r="2762" spans="19:42" ht="18">
      <c r="S2762" s="8">
        <f t="shared" si="230"/>
        <v>0</v>
      </c>
      <c r="W2762" s="3">
        <v>2788</v>
      </c>
      <c r="X2762" s="30">
        <v>196.4</v>
      </c>
      <c r="Y2762" s="33">
        <f t="shared" si="227"/>
        <v>0.19600000000000001</v>
      </c>
      <c r="AH2762" s="45">
        <f t="shared" si="231"/>
        <v>0</v>
      </c>
      <c r="AJ2762" s="44">
        <f t="shared" si="228"/>
        <v>2.7879999999999998</v>
      </c>
      <c r="AP2762" s="46">
        <f t="shared" si="229"/>
        <v>0.19600000000000001</v>
      </c>
    </row>
    <row r="2763" spans="19:42" ht="18">
      <c r="S2763" s="8">
        <f t="shared" si="230"/>
        <v>0</v>
      </c>
      <c r="W2763" s="3">
        <v>2789</v>
      </c>
      <c r="X2763" s="30">
        <v>196.45</v>
      </c>
      <c r="Y2763" s="33">
        <f t="shared" si="227"/>
        <v>0.19600000000000001</v>
      </c>
      <c r="AH2763" s="45">
        <f t="shared" si="231"/>
        <v>0</v>
      </c>
      <c r="AJ2763" s="44">
        <f t="shared" si="228"/>
        <v>2.7890000000000001</v>
      </c>
      <c r="AP2763" s="46">
        <f t="shared" si="229"/>
        <v>0.19600000000000001</v>
      </c>
    </row>
    <row r="2764" spans="19:42" ht="18">
      <c r="S2764" s="8">
        <f t="shared" si="230"/>
        <v>0</v>
      </c>
      <c r="W2764" s="3">
        <v>2790</v>
      </c>
      <c r="X2764" s="30">
        <v>196.5</v>
      </c>
      <c r="Y2764" s="33">
        <f t="shared" si="227"/>
        <v>0.19700000000000001</v>
      </c>
      <c r="AH2764" s="45">
        <f t="shared" si="231"/>
        <v>0</v>
      </c>
      <c r="AJ2764" s="44">
        <f t="shared" si="228"/>
        <v>2.79</v>
      </c>
      <c r="AP2764" s="46">
        <f t="shared" si="229"/>
        <v>0.19700000000000001</v>
      </c>
    </row>
    <row r="2765" spans="19:42" ht="18">
      <c r="S2765" s="8">
        <f t="shared" si="230"/>
        <v>0</v>
      </c>
      <c r="W2765" s="3">
        <v>2791</v>
      </c>
      <c r="X2765" s="30">
        <v>196.55</v>
      </c>
      <c r="Y2765" s="33">
        <f t="shared" si="227"/>
        <v>0.19700000000000001</v>
      </c>
      <c r="AH2765" s="45">
        <f t="shared" si="231"/>
        <v>0</v>
      </c>
      <c r="AJ2765" s="44">
        <f t="shared" si="228"/>
        <v>2.7909999999999999</v>
      </c>
      <c r="AP2765" s="46">
        <f t="shared" si="229"/>
        <v>0.19700000000000001</v>
      </c>
    </row>
    <row r="2766" spans="19:42" ht="18">
      <c r="S2766" s="8">
        <f t="shared" si="230"/>
        <v>0</v>
      </c>
      <c r="W2766" s="3">
        <v>2792</v>
      </c>
      <c r="X2766" s="30">
        <v>196.6</v>
      </c>
      <c r="Y2766" s="33">
        <f t="shared" si="227"/>
        <v>0.19700000000000001</v>
      </c>
      <c r="AH2766" s="45">
        <f t="shared" si="231"/>
        <v>0</v>
      </c>
      <c r="AJ2766" s="44">
        <f t="shared" si="228"/>
        <v>2.7919999999999998</v>
      </c>
      <c r="AP2766" s="46">
        <f t="shared" si="229"/>
        <v>0.19700000000000001</v>
      </c>
    </row>
    <row r="2767" spans="19:42" ht="18">
      <c r="S2767" s="8">
        <f t="shared" si="230"/>
        <v>0</v>
      </c>
      <c r="W2767" s="3">
        <v>2793</v>
      </c>
      <c r="X2767" s="30">
        <v>196.65</v>
      </c>
      <c r="Y2767" s="33">
        <f t="shared" si="227"/>
        <v>0.19700000000000001</v>
      </c>
      <c r="AH2767" s="45">
        <f t="shared" si="231"/>
        <v>0</v>
      </c>
      <c r="AJ2767" s="44">
        <f t="shared" si="228"/>
        <v>2.7930000000000001</v>
      </c>
      <c r="AP2767" s="46">
        <f t="shared" si="229"/>
        <v>0.19700000000000001</v>
      </c>
    </row>
    <row r="2768" spans="19:42" ht="18">
      <c r="S2768" s="8">
        <f t="shared" si="230"/>
        <v>0</v>
      </c>
      <c r="W2768" s="3">
        <v>2794</v>
      </c>
      <c r="X2768" s="30">
        <v>196.7</v>
      </c>
      <c r="Y2768" s="33">
        <f t="shared" si="227"/>
        <v>0.19700000000000001</v>
      </c>
      <c r="AH2768" s="45">
        <f t="shared" si="231"/>
        <v>0</v>
      </c>
      <c r="AJ2768" s="44">
        <f t="shared" si="228"/>
        <v>2.794</v>
      </c>
      <c r="AP2768" s="46">
        <f t="shared" si="229"/>
        <v>0.19700000000000001</v>
      </c>
    </row>
    <row r="2769" spans="19:42" ht="18">
      <c r="S2769" s="8">
        <f t="shared" si="230"/>
        <v>0</v>
      </c>
      <c r="W2769" s="3">
        <v>2795</v>
      </c>
      <c r="X2769" s="30">
        <v>196.75</v>
      </c>
      <c r="Y2769" s="33">
        <f t="shared" si="227"/>
        <v>0.19700000000000001</v>
      </c>
      <c r="AH2769" s="45">
        <f t="shared" si="231"/>
        <v>0</v>
      </c>
      <c r="AJ2769" s="44">
        <f t="shared" si="228"/>
        <v>2.7949999999999999</v>
      </c>
      <c r="AP2769" s="46">
        <f t="shared" si="229"/>
        <v>0.19700000000000001</v>
      </c>
    </row>
    <row r="2770" spans="19:42" ht="18">
      <c r="S2770" s="8">
        <f t="shared" si="230"/>
        <v>0</v>
      </c>
      <c r="W2770" s="3">
        <v>2796</v>
      </c>
      <c r="X2770" s="30">
        <v>196.8</v>
      </c>
      <c r="Y2770" s="33">
        <f t="shared" si="227"/>
        <v>0.19700000000000001</v>
      </c>
      <c r="AH2770" s="45">
        <f t="shared" si="231"/>
        <v>0</v>
      </c>
      <c r="AJ2770" s="44">
        <f t="shared" si="228"/>
        <v>2.7959999999999998</v>
      </c>
      <c r="AP2770" s="46">
        <f t="shared" si="229"/>
        <v>0.19700000000000001</v>
      </c>
    </row>
    <row r="2771" spans="19:42" ht="18">
      <c r="S2771" s="8">
        <f t="shared" si="230"/>
        <v>0</v>
      </c>
      <c r="W2771" s="3">
        <v>2797</v>
      </c>
      <c r="X2771" s="30">
        <v>196.85</v>
      </c>
      <c r="Y2771" s="33">
        <f t="shared" si="227"/>
        <v>0.19700000000000001</v>
      </c>
      <c r="AH2771" s="45">
        <f t="shared" si="231"/>
        <v>0</v>
      </c>
      <c r="AJ2771" s="44">
        <f t="shared" si="228"/>
        <v>2.7970000000000002</v>
      </c>
      <c r="AP2771" s="46">
        <f t="shared" si="229"/>
        <v>0.19700000000000001</v>
      </c>
    </row>
    <row r="2772" spans="19:42" ht="18">
      <c r="S2772" s="8">
        <f t="shared" si="230"/>
        <v>0</v>
      </c>
      <c r="W2772" s="3">
        <v>2798</v>
      </c>
      <c r="X2772" s="30">
        <v>196.9</v>
      </c>
      <c r="Y2772" s="33">
        <f t="shared" si="227"/>
        <v>0.19700000000000001</v>
      </c>
      <c r="AH2772" s="45">
        <f t="shared" si="231"/>
        <v>0</v>
      </c>
      <c r="AJ2772" s="44">
        <f t="shared" si="228"/>
        <v>2.798</v>
      </c>
      <c r="AP2772" s="46">
        <f t="shared" si="229"/>
        <v>0.19700000000000001</v>
      </c>
    </row>
    <row r="2773" spans="19:42" ht="18">
      <c r="S2773" s="8">
        <f t="shared" si="230"/>
        <v>0</v>
      </c>
      <c r="W2773" s="3">
        <v>2799</v>
      </c>
      <c r="X2773" s="30">
        <v>196.95</v>
      </c>
      <c r="Y2773" s="33">
        <f t="shared" si="227"/>
        <v>0.19700000000000001</v>
      </c>
      <c r="AH2773" s="45">
        <f t="shared" si="231"/>
        <v>0</v>
      </c>
      <c r="AJ2773" s="44">
        <f t="shared" si="228"/>
        <v>2.7989999999999999</v>
      </c>
      <c r="AP2773" s="46">
        <f t="shared" si="229"/>
        <v>0.19700000000000001</v>
      </c>
    </row>
    <row r="2774" spans="19:42" ht="18">
      <c r="S2774" s="8">
        <f t="shared" si="230"/>
        <v>0</v>
      </c>
      <c r="W2774" s="3">
        <v>2800</v>
      </c>
      <c r="X2774" s="30">
        <v>197</v>
      </c>
      <c r="Y2774" s="33">
        <f t="shared" si="227"/>
        <v>0.19700000000000001</v>
      </c>
      <c r="AH2774" s="45">
        <f t="shared" si="231"/>
        <v>0</v>
      </c>
      <c r="AJ2774" s="44">
        <f t="shared" si="228"/>
        <v>2.8</v>
      </c>
      <c r="AP2774" s="46">
        <f t="shared" si="229"/>
        <v>0.19700000000000001</v>
      </c>
    </row>
    <row r="2775" spans="19:42" ht="18">
      <c r="S2775" s="8">
        <f t="shared" si="230"/>
        <v>0</v>
      </c>
      <c r="W2775" s="3">
        <v>2801</v>
      </c>
      <c r="X2775" s="30">
        <v>197.05</v>
      </c>
      <c r="Y2775" s="33">
        <f t="shared" si="227"/>
        <v>0.19700000000000001</v>
      </c>
      <c r="AH2775" s="45">
        <f t="shared" si="231"/>
        <v>0</v>
      </c>
      <c r="AJ2775" s="44">
        <f t="shared" si="228"/>
        <v>2.8010000000000002</v>
      </c>
      <c r="AP2775" s="46">
        <f t="shared" si="229"/>
        <v>0.19700000000000001</v>
      </c>
    </row>
    <row r="2776" spans="19:42" ht="18">
      <c r="S2776" s="8">
        <f t="shared" si="230"/>
        <v>0</v>
      </c>
      <c r="W2776" s="3">
        <v>2802</v>
      </c>
      <c r="X2776" s="30">
        <v>197.1</v>
      </c>
      <c r="Y2776" s="33">
        <f t="shared" si="227"/>
        <v>0.19700000000000001</v>
      </c>
      <c r="AH2776" s="45">
        <f t="shared" si="231"/>
        <v>0</v>
      </c>
      <c r="AJ2776" s="44">
        <f t="shared" si="228"/>
        <v>2.802</v>
      </c>
      <c r="AP2776" s="46">
        <f t="shared" si="229"/>
        <v>0.19700000000000001</v>
      </c>
    </row>
    <row r="2777" spans="19:42" ht="18">
      <c r="S2777" s="8">
        <f t="shared" si="230"/>
        <v>0</v>
      </c>
      <c r="W2777" s="3">
        <v>2803</v>
      </c>
      <c r="X2777" s="30">
        <v>197.15</v>
      </c>
      <c r="Y2777" s="33">
        <f t="shared" si="227"/>
        <v>0.19700000000000001</v>
      </c>
      <c r="AH2777" s="45">
        <f t="shared" si="231"/>
        <v>0</v>
      </c>
      <c r="AJ2777" s="44">
        <f t="shared" si="228"/>
        <v>2.8029999999999999</v>
      </c>
      <c r="AP2777" s="46">
        <f t="shared" si="229"/>
        <v>0.19700000000000001</v>
      </c>
    </row>
    <row r="2778" spans="19:42" ht="18">
      <c r="S2778" s="8">
        <f t="shared" si="230"/>
        <v>0</v>
      </c>
      <c r="W2778" s="3">
        <v>2804</v>
      </c>
      <c r="X2778" s="30">
        <v>197.2</v>
      </c>
      <c r="Y2778" s="33">
        <f t="shared" si="227"/>
        <v>0.19700000000000001</v>
      </c>
      <c r="AH2778" s="45">
        <f t="shared" si="231"/>
        <v>0</v>
      </c>
      <c r="AJ2778" s="44">
        <f t="shared" si="228"/>
        <v>2.8039999999999998</v>
      </c>
      <c r="AP2778" s="46">
        <f t="shared" si="229"/>
        <v>0.19700000000000001</v>
      </c>
    </row>
    <row r="2779" spans="19:42" ht="18">
      <c r="S2779" s="8">
        <f t="shared" si="230"/>
        <v>0</v>
      </c>
      <c r="W2779" s="3">
        <v>2805</v>
      </c>
      <c r="X2779" s="30">
        <v>197.25</v>
      </c>
      <c r="Y2779" s="33">
        <f t="shared" si="227"/>
        <v>0.19700000000000001</v>
      </c>
      <c r="AH2779" s="45">
        <f t="shared" si="231"/>
        <v>0</v>
      </c>
      <c r="AJ2779" s="44">
        <f t="shared" si="228"/>
        <v>2.8050000000000002</v>
      </c>
      <c r="AP2779" s="46">
        <f t="shared" si="229"/>
        <v>0.19700000000000001</v>
      </c>
    </row>
    <row r="2780" spans="19:42" ht="18">
      <c r="S2780" s="8">
        <f t="shared" si="230"/>
        <v>0</v>
      </c>
      <c r="W2780" s="3">
        <v>2806</v>
      </c>
      <c r="X2780" s="30">
        <v>197.3</v>
      </c>
      <c r="Y2780" s="33">
        <f t="shared" si="227"/>
        <v>0.19700000000000001</v>
      </c>
      <c r="AH2780" s="45">
        <f t="shared" si="231"/>
        <v>0</v>
      </c>
      <c r="AJ2780" s="44">
        <f t="shared" si="228"/>
        <v>2.806</v>
      </c>
      <c r="AP2780" s="46">
        <f t="shared" si="229"/>
        <v>0.19700000000000001</v>
      </c>
    </row>
    <row r="2781" spans="19:42" ht="18">
      <c r="S2781" s="8">
        <f t="shared" si="230"/>
        <v>0</v>
      </c>
      <c r="W2781" s="3">
        <v>2807</v>
      </c>
      <c r="X2781" s="30">
        <v>197.35</v>
      </c>
      <c r="Y2781" s="33">
        <f t="shared" si="227"/>
        <v>0.19700000000000001</v>
      </c>
      <c r="AH2781" s="45">
        <f t="shared" si="231"/>
        <v>0</v>
      </c>
      <c r="AJ2781" s="44">
        <f t="shared" si="228"/>
        <v>2.8069999999999999</v>
      </c>
      <c r="AP2781" s="46">
        <f t="shared" si="229"/>
        <v>0.19700000000000001</v>
      </c>
    </row>
    <row r="2782" spans="19:42" ht="18">
      <c r="S2782" s="8">
        <f t="shared" si="230"/>
        <v>0</v>
      </c>
      <c r="W2782" s="3">
        <v>2808</v>
      </c>
      <c r="X2782" s="30">
        <v>197.4</v>
      </c>
      <c r="Y2782" s="33">
        <f t="shared" si="227"/>
        <v>0.19700000000000001</v>
      </c>
      <c r="AH2782" s="45">
        <f t="shared" si="231"/>
        <v>0</v>
      </c>
      <c r="AJ2782" s="44">
        <f t="shared" si="228"/>
        <v>2.8079999999999998</v>
      </c>
      <c r="AP2782" s="46">
        <f t="shared" si="229"/>
        <v>0.19700000000000001</v>
      </c>
    </row>
    <row r="2783" spans="19:42" ht="18">
      <c r="S2783" s="8">
        <f t="shared" si="230"/>
        <v>0</v>
      </c>
      <c r="W2783" s="3">
        <v>2809</v>
      </c>
      <c r="X2783" s="30">
        <v>197.45</v>
      </c>
      <c r="Y2783" s="33">
        <f t="shared" si="227"/>
        <v>0.19700000000000001</v>
      </c>
      <c r="AH2783" s="45">
        <f t="shared" si="231"/>
        <v>0</v>
      </c>
      <c r="AJ2783" s="44">
        <f t="shared" si="228"/>
        <v>2.8090000000000002</v>
      </c>
      <c r="AP2783" s="46">
        <f t="shared" si="229"/>
        <v>0.19700000000000001</v>
      </c>
    </row>
    <row r="2784" spans="19:42" ht="18">
      <c r="S2784" s="8">
        <f t="shared" si="230"/>
        <v>0</v>
      </c>
      <c r="W2784" s="3">
        <v>2810</v>
      </c>
      <c r="X2784" s="30">
        <v>197.5</v>
      </c>
      <c r="Y2784" s="33">
        <f t="shared" si="227"/>
        <v>0.19800000000000001</v>
      </c>
      <c r="AH2784" s="45">
        <f t="shared" si="231"/>
        <v>0</v>
      </c>
      <c r="AJ2784" s="44">
        <f t="shared" si="228"/>
        <v>2.81</v>
      </c>
      <c r="AP2784" s="46">
        <f t="shared" si="229"/>
        <v>0.19800000000000001</v>
      </c>
    </row>
    <row r="2785" spans="19:42" ht="18">
      <c r="S2785" s="8">
        <f t="shared" si="230"/>
        <v>0</v>
      </c>
      <c r="W2785" s="3">
        <v>2811</v>
      </c>
      <c r="X2785" s="30">
        <v>197.55</v>
      </c>
      <c r="Y2785" s="33">
        <f t="shared" si="227"/>
        <v>0.19800000000000001</v>
      </c>
      <c r="AH2785" s="45">
        <f t="shared" si="231"/>
        <v>0</v>
      </c>
      <c r="AJ2785" s="44">
        <f t="shared" si="228"/>
        <v>2.8109999999999999</v>
      </c>
      <c r="AP2785" s="46">
        <f t="shared" si="229"/>
        <v>0.19800000000000001</v>
      </c>
    </row>
    <row r="2786" spans="19:42" ht="18">
      <c r="S2786" s="8">
        <f t="shared" si="230"/>
        <v>0</v>
      </c>
      <c r="W2786" s="3">
        <v>2812</v>
      </c>
      <c r="X2786" s="30">
        <v>197.6</v>
      </c>
      <c r="Y2786" s="33">
        <f t="shared" si="227"/>
        <v>0.19800000000000001</v>
      </c>
      <c r="AH2786" s="45">
        <f t="shared" si="231"/>
        <v>0</v>
      </c>
      <c r="AJ2786" s="44">
        <f t="shared" si="228"/>
        <v>2.8119999999999998</v>
      </c>
      <c r="AP2786" s="46">
        <f t="shared" si="229"/>
        <v>0.19800000000000001</v>
      </c>
    </row>
    <row r="2787" spans="19:42" ht="18">
      <c r="S2787" s="8">
        <f t="shared" si="230"/>
        <v>0</v>
      </c>
      <c r="W2787" s="3">
        <v>2813</v>
      </c>
      <c r="X2787" s="30">
        <v>197.65</v>
      </c>
      <c r="Y2787" s="33">
        <f t="shared" si="227"/>
        <v>0.19800000000000001</v>
      </c>
      <c r="AH2787" s="45">
        <f t="shared" si="231"/>
        <v>0</v>
      </c>
      <c r="AJ2787" s="44">
        <f t="shared" si="228"/>
        <v>2.8130000000000002</v>
      </c>
      <c r="AP2787" s="46">
        <f t="shared" si="229"/>
        <v>0.19800000000000001</v>
      </c>
    </row>
    <row r="2788" spans="19:42" ht="18">
      <c r="S2788" s="8">
        <f t="shared" si="230"/>
        <v>0</v>
      </c>
      <c r="W2788" s="3">
        <v>2814</v>
      </c>
      <c r="X2788" s="30">
        <v>197.7</v>
      </c>
      <c r="Y2788" s="33">
        <f t="shared" si="227"/>
        <v>0.19800000000000001</v>
      </c>
      <c r="AH2788" s="45">
        <f t="shared" si="231"/>
        <v>0</v>
      </c>
      <c r="AJ2788" s="44">
        <f t="shared" si="228"/>
        <v>2.8140000000000001</v>
      </c>
      <c r="AP2788" s="46">
        <f t="shared" si="229"/>
        <v>0.19800000000000001</v>
      </c>
    </row>
    <row r="2789" spans="19:42" ht="18">
      <c r="S2789" s="8">
        <f t="shared" si="230"/>
        <v>0</v>
      </c>
      <c r="W2789" s="3">
        <v>2815</v>
      </c>
      <c r="X2789" s="30">
        <v>197.75</v>
      </c>
      <c r="Y2789" s="33">
        <f t="shared" si="227"/>
        <v>0.19800000000000001</v>
      </c>
      <c r="AH2789" s="45">
        <f t="shared" si="231"/>
        <v>0</v>
      </c>
      <c r="AJ2789" s="44">
        <f t="shared" si="228"/>
        <v>2.8149999999999999</v>
      </c>
      <c r="AP2789" s="46">
        <f t="shared" si="229"/>
        <v>0.19800000000000001</v>
      </c>
    </row>
    <row r="2790" spans="19:42" ht="18">
      <c r="S2790" s="8">
        <f t="shared" si="230"/>
        <v>0</v>
      </c>
      <c r="W2790" s="3">
        <v>2816</v>
      </c>
      <c r="X2790" s="30">
        <v>197.8</v>
      </c>
      <c r="Y2790" s="33">
        <f t="shared" si="227"/>
        <v>0.19800000000000001</v>
      </c>
      <c r="AH2790" s="45">
        <f t="shared" si="231"/>
        <v>0</v>
      </c>
      <c r="AJ2790" s="44">
        <f t="shared" si="228"/>
        <v>2.8159999999999998</v>
      </c>
      <c r="AP2790" s="46">
        <f t="shared" si="229"/>
        <v>0.19800000000000001</v>
      </c>
    </row>
    <row r="2791" spans="19:42" ht="18">
      <c r="S2791" s="8">
        <f t="shared" si="230"/>
        <v>0</v>
      </c>
      <c r="W2791" s="3">
        <v>2817</v>
      </c>
      <c r="X2791" s="30">
        <v>197.85</v>
      </c>
      <c r="Y2791" s="33">
        <f t="shared" si="227"/>
        <v>0.19800000000000001</v>
      </c>
      <c r="AH2791" s="45">
        <f t="shared" si="231"/>
        <v>0</v>
      </c>
      <c r="AJ2791" s="44">
        <f t="shared" si="228"/>
        <v>2.8170000000000002</v>
      </c>
      <c r="AP2791" s="46">
        <f t="shared" si="229"/>
        <v>0.19800000000000001</v>
      </c>
    </row>
    <row r="2792" spans="19:42" ht="18">
      <c r="S2792" s="8">
        <f t="shared" si="230"/>
        <v>0</v>
      </c>
      <c r="W2792" s="3">
        <v>2818</v>
      </c>
      <c r="X2792" s="30">
        <v>197.9</v>
      </c>
      <c r="Y2792" s="33">
        <f t="shared" si="227"/>
        <v>0.19800000000000001</v>
      </c>
      <c r="AH2792" s="45">
        <f t="shared" si="231"/>
        <v>0</v>
      </c>
      <c r="AJ2792" s="44">
        <f t="shared" si="228"/>
        <v>2.8180000000000001</v>
      </c>
      <c r="AP2792" s="46">
        <f t="shared" si="229"/>
        <v>0.19800000000000001</v>
      </c>
    </row>
    <row r="2793" spans="19:42" ht="18">
      <c r="S2793" s="8">
        <f t="shared" si="230"/>
        <v>0</v>
      </c>
      <c r="W2793" s="3">
        <v>2819</v>
      </c>
      <c r="X2793" s="30">
        <v>197.95</v>
      </c>
      <c r="Y2793" s="33">
        <f t="shared" si="227"/>
        <v>0.19800000000000001</v>
      </c>
      <c r="AH2793" s="45">
        <f t="shared" si="231"/>
        <v>0</v>
      </c>
      <c r="AJ2793" s="44">
        <f t="shared" si="228"/>
        <v>2.819</v>
      </c>
      <c r="AP2793" s="46">
        <f t="shared" si="229"/>
        <v>0.19800000000000001</v>
      </c>
    </row>
    <row r="2794" spans="19:42" ht="18">
      <c r="S2794" s="8">
        <f t="shared" si="230"/>
        <v>0</v>
      </c>
      <c r="W2794" s="3">
        <v>2820</v>
      </c>
      <c r="X2794" s="30">
        <v>198</v>
      </c>
      <c r="Y2794" s="33">
        <f t="shared" si="227"/>
        <v>0.19800000000000001</v>
      </c>
      <c r="AH2794" s="45">
        <f t="shared" si="231"/>
        <v>0</v>
      </c>
      <c r="AJ2794" s="44">
        <f t="shared" si="228"/>
        <v>2.82</v>
      </c>
      <c r="AP2794" s="46">
        <f t="shared" si="229"/>
        <v>0.19800000000000001</v>
      </c>
    </row>
    <row r="2795" spans="19:42" ht="18">
      <c r="S2795" s="8">
        <f t="shared" si="230"/>
        <v>0</v>
      </c>
      <c r="W2795" s="3">
        <v>2821</v>
      </c>
      <c r="X2795" s="30">
        <v>198.05</v>
      </c>
      <c r="Y2795" s="33">
        <f t="shared" si="227"/>
        <v>0.19800000000000001</v>
      </c>
      <c r="AH2795" s="45">
        <f t="shared" si="231"/>
        <v>0</v>
      </c>
      <c r="AJ2795" s="44">
        <f t="shared" si="228"/>
        <v>2.8210000000000002</v>
      </c>
      <c r="AP2795" s="46">
        <f t="shared" si="229"/>
        <v>0.19800000000000001</v>
      </c>
    </row>
    <row r="2796" spans="19:42" ht="18">
      <c r="S2796" s="8">
        <f t="shared" si="230"/>
        <v>0</v>
      </c>
      <c r="W2796" s="3">
        <v>2822</v>
      </c>
      <c r="X2796" s="30">
        <v>198.1</v>
      </c>
      <c r="Y2796" s="33">
        <f t="shared" si="227"/>
        <v>0.19800000000000001</v>
      </c>
      <c r="AH2796" s="45">
        <f t="shared" si="231"/>
        <v>0</v>
      </c>
      <c r="AJ2796" s="44">
        <f t="shared" si="228"/>
        <v>2.8220000000000001</v>
      </c>
      <c r="AP2796" s="46">
        <f t="shared" si="229"/>
        <v>0.19800000000000001</v>
      </c>
    </row>
    <row r="2797" spans="19:42" ht="18">
      <c r="S2797" s="8">
        <f t="shared" si="230"/>
        <v>0</v>
      </c>
      <c r="W2797" s="3">
        <v>2823</v>
      </c>
      <c r="X2797" s="30">
        <v>198.15</v>
      </c>
      <c r="Y2797" s="33">
        <f t="shared" si="227"/>
        <v>0.19800000000000001</v>
      </c>
      <c r="AH2797" s="45">
        <f t="shared" si="231"/>
        <v>0</v>
      </c>
      <c r="AJ2797" s="44">
        <f t="shared" si="228"/>
        <v>2.823</v>
      </c>
      <c r="AP2797" s="46">
        <f t="shared" si="229"/>
        <v>0.19800000000000001</v>
      </c>
    </row>
    <row r="2798" spans="19:42" ht="18">
      <c r="S2798" s="8">
        <f t="shared" si="230"/>
        <v>0</v>
      </c>
      <c r="W2798" s="3">
        <v>2824</v>
      </c>
      <c r="X2798" s="30">
        <v>198.2</v>
      </c>
      <c r="Y2798" s="33">
        <f t="shared" si="227"/>
        <v>0.19800000000000001</v>
      </c>
      <c r="AH2798" s="45">
        <f t="shared" si="231"/>
        <v>0</v>
      </c>
      <c r="AJ2798" s="44">
        <f t="shared" si="228"/>
        <v>2.8239999999999998</v>
      </c>
      <c r="AP2798" s="46">
        <f t="shared" si="229"/>
        <v>0.19800000000000001</v>
      </c>
    </row>
    <row r="2799" spans="19:42" ht="18">
      <c r="S2799" s="8">
        <f t="shared" si="230"/>
        <v>0</v>
      </c>
      <c r="W2799" s="3">
        <v>2825</v>
      </c>
      <c r="X2799" s="30">
        <v>198.25</v>
      </c>
      <c r="Y2799" s="33">
        <f t="shared" si="227"/>
        <v>0.19800000000000001</v>
      </c>
      <c r="AH2799" s="45">
        <f t="shared" si="231"/>
        <v>0</v>
      </c>
      <c r="AJ2799" s="44">
        <f t="shared" si="228"/>
        <v>2.8250000000000002</v>
      </c>
      <c r="AP2799" s="46">
        <f t="shared" si="229"/>
        <v>0.19800000000000001</v>
      </c>
    </row>
    <row r="2800" spans="19:42" ht="18">
      <c r="S2800" s="8">
        <f t="shared" si="230"/>
        <v>0</v>
      </c>
      <c r="W2800" s="3">
        <v>2826</v>
      </c>
      <c r="X2800" s="30">
        <v>198.3</v>
      </c>
      <c r="Y2800" s="33">
        <f t="shared" si="227"/>
        <v>0.19800000000000001</v>
      </c>
      <c r="AH2800" s="45">
        <f t="shared" si="231"/>
        <v>0</v>
      </c>
      <c r="AJ2800" s="44">
        <f t="shared" si="228"/>
        <v>2.8260000000000001</v>
      </c>
      <c r="AP2800" s="46">
        <f t="shared" si="229"/>
        <v>0.19800000000000001</v>
      </c>
    </row>
    <row r="2801" spans="19:42" ht="18">
      <c r="S2801" s="8">
        <f t="shared" si="230"/>
        <v>0</v>
      </c>
      <c r="W2801" s="3">
        <v>2827</v>
      </c>
      <c r="X2801" s="30">
        <v>198.35</v>
      </c>
      <c r="Y2801" s="33">
        <f t="shared" si="227"/>
        <v>0.19800000000000001</v>
      </c>
      <c r="AH2801" s="45">
        <f t="shared" si="231"/>
        <v>0</v>
      </c>
      <c r="AJ2801" s="44">
        <f t="shared" si="228"/>
        <v>2.827</v>
      </c>
      <c r="AP2801" s="46">
        <f t="shared" si="229"/>
        <v>0.19800000000000001</v>
      </c>
    </row>
    <row r="2802" spans="19:42" ht="18">
      <c r="S2802" s="8">
        <f t="shared" si="230"/>
        <v>0</v>
      </c>
      <c r="W2802" s="3">
        <v>2828</v>
      </c>
      <c r="X2802" s="30">
        <v>198.4</v>
      </c>
      <c r="Y2802" s="33">
        <f t="shared" si="227"/>
        <v>0.19800000000000001</v>
      </c>
      <c r="AH2802" s="45">
        <f t="shared" si="231"/>
        <v>0</v>
      </c>
      <c r="AJ2802" s="44">
        <f t="shared" si="228"/>
        <v>2.8279999999999998</v>
      </c>
      <c r="AP2802" s="46">
        <f t="shared" si="229"/>
        <v>0.19800000000000001</v>
      </c>
    </row>
    <row r="2803" spans="19:42" ht="18">
      <c r="S2803" s="8">
        <f t="shared" si="230"/>
        <v>0</v>
      </c>
      <c r="W2803" s="3">
        <v>2829</v>
      </c>
      <c r="X2803" s="30">
        <v>198.45</v>
      </c>
      <c r="Y2803" s="33">
        <f t="shared" si="227"/>
        <v>0.19800000000000001</v>
      </c>
      <c r="AH2803" s="45">
        <f t="shared" si="231"/>
        <v>0</v>
      </c>
      <c r="AJ2803" s="44">
        <f t="shared" si="228"/>
        <v>2.8290000000000002</v>
      </c>
      <c r="AP2803" s="46">
        <f t="shared" si="229"/>
        <v>0.19800000000000001</v>
      </c>
    </row>
    <row r="2804" spans="19:42" ht="18">
      <c r="S2804" s="8">
        <f t="shared" si="230"/>
        <v>0</v>
      </c>
      <c r="W2804" s="3">
        <v>2830</v>
      </c>
      <c r="X2804" s="30">
        <v>198.5</v>
      </c>
      <c r="Y2804" s="33">
        <f t="shared" si="227"/>
        <v>0.19900000000000001</v>
      </c>
      <c r="AH2804" s="45">
        <f t="shared" si="231"/>
        <v>0</v>
      </c>
      <c r="AJ2804" s="44">
        <f t="shared" si="228"/>
        <v>2.83</v>
      </c>
      <c r="AP2804" s="46">
        <f t="shared" si="229"/>
        <v>0.19900000000000001</v>
      </c>
    </row>
    <row r="2805" spans="19:42" ht="18">
      <c r="S2805" s="8">
        <f t="shared" si="230"/>
        <v>0</v>
      </c>
      <c r="W2805" s="3">
        <v>2831</v>
      </c>
      <c r="X2805" s="30">
        <v>198.55</v>
      </c>
      <c r="Y2805" s="33">
        <f t="shared" si="227"/>
        <v>0.19900000000000001</v>
      </c>
      <c r="AH2805" s="45">
        <f t="shared" si="231"/>
        <v>0</v>
      </c>
      <c r="AJ2805" s="44">
        <f t="shared" si="228"/>
        <v>2.831</v>
      </c>
      <c r="AP2805" s="46">
        <f t="shared" si="229"/>
        <v>0.19900000000000001</v>
      </c>
    </row>
    <row r="2806" spans="19:42" ht="18">
      <c r="S2806" s="8">
        <f t="shared" si="230"/>
        <v>0</v>
      </c>
      <c r="W2806" s="3">
        <v>2832</v>
      </c>
      <c r="X2806" s="30">
        <v>198.6</v>
      </c>
      <c r="Y2806" s="33">
        <f t="shared" si="227"/>
        <v>0.19900000000000001</v>
      </c>
      <c r="AH2806" s="45">
        <f t="shared" si="231"/>
        <v>0</v>
      </c>
      <c r="AJ2806" s="44">
        <f t="shared" si="228"/>
        <v>2.8319999999999999</v>
      </c>
      <c r="AP2806" s="46">
        <f t="shared" si="229"/>
        <v>0.19900000000000001</v>
      </c>
    </row>
    <row r="2807" spans="19:42" ht="18">
      <c r="S2807" s="8">
        <f t="shared" si="230"/>
        <v>0</v>
      </c>
      <c r="W2807" s="3">
        <v>2833</v>
      </c>
      <c r="X2807" s="30">
        <v>198.65</v>
      </c>
      <c r="Y2807" s="33">
        <f t="shared" si="227"/>
        <v>0.19900000000000001</v>
      </c>
      <c r="AH2807" s="45">
        <f t="shared" si="231"/>
        <v>0</v>
      </c>
      <c r="AJ2807" s="44">
        <f t="shared" si="228"/>
        <v>2.8330000000000002</v>
      </c>
      <c r="AP2807" s="46">
        <f t="shared" si="229"/>
        <v>0.19900000000000001</v>
      </c>
    </row>
    <row r="2808" spans="19:42" ht="18">
      <c r="S2808" s="8">
        <f t="shared" si="230"/>
        <v>0</v>
      </c>
      <c r="W2808" s="3">
        <v>2834</v>
      </c>
      <c r="X2808" s="30">
        <v>198.7</v>
      </c>
      <c r="Y2808" s="33">
        <f t="shared" si="227"/>
        <v>0.19900000000000001</v>
      </c>
      <c r="AH2808" s="45">
        <f t="shared" si="231"/>
        <v>0</v>
      </c>
      <c r="AJ2808" s="44">
        <f t="shared" si="228"/>
        <v>2.8340000000000001</v>
      </c>
      <c r="AP2808" s="46">
        <f t="shared" si="229"/>
        <v>0.19900000000000001</v>
      </c>
    </row>
    <row r="2809" spans="19:42" ht="18">
      <c r="S2809" s="8">
        <f t="shared" si="230"/>
        <v>0</v>
      </c>
      <c r="W2809" s="3">
        <v>2835</v>
      </c>
      <c r="X2809" s="30">
        <v>198.75</v>
      </c>
      <c r="Y2809" s="33">
        <f t="shared" si="227"/>
        <v>0.19900000000000001</v>
      </c>
      <c r="AH2809" s="45">
        <f t="shared" si="231"/>
        <v>0</v>
      </c>
      <c r="AJ2809" s="44">
        <f t="shared" si="228"/>
        <v>2.835</v>
      </c>
      <c r="AP2809" s="46">
        <f t="shared" si="229"/>
        <v>0.19900000000000001</v>
      </c>
    </row>
    <row r="2810" spans="19:42" ht="18">
      <c r="S2810" s="8">
        <f t="shared" si="230"/>
        <v>0</v>
      </c>
      <c r="W2810" s="3">
        <v>2836</v>
      </c>
      <c r="X2810" s="30">
        <v>198.8</v>
      </c>
      <c r="Y2810" s="33">
        <f t="shared" si="227"/>
        <v>0.19900000000000001</v>
      </c>
      <c r="AH2810" s="45">
        <f t="shared" si="231"/>
        <v>0</v>
      </c>
      <c r="AJ2810" s="44">
        <f t="shared" si="228"/>
        <v>2.8359999999999999</v>
      </c>
      <c r="AP2810" s="46">
        <f t="shared" si="229"/>
        <v>0.19900000000000001</v>
      </c>
    </row>
    <row r="2811" spans="19:42" ht="18">
      <c r="S2811" s="8">
        <f t="shared" si="230"/>
        <v>0</v>
      </c>
      <c r="W2811" s="3">
        <v>2837</v>
      </c>
      <c r="X2811" s="30">
        <v>198.85</v>
      </c>
      <c r="Y2811" s="33">
        <f t="shared" si="227"/>
        <v>0.19900000000000001</v>
      </c>
      <c r="AH2811" s="45">
        <f t="shared" si="231"/>
        <v>0</v>
      </c>
      <c r="AJ2811" s="44">
        <f t="shared" si="228"/>
        <v>2.8370000000000002</v>
      </c>
      <c r="AP2811" s="46">
        <f t="shared" si="229"/>
        <v>0.19900000000000001</v>
      </c>
    </row>
    <row r="2812" spans="19:42" ht="18">
      <c r="S2812" s="8">
        <f t="shared" si="230"/>
        <v>0</v>
      </c>
      <c r="W2812" s="3">
        <v>2838</v>
      </c>
      <c r="X2812" s="30">
        <v>198.9</v>
      </c>
      <c r="Y2812" s="33">
        <f t="shared" si="227"/>
        <v>0.19900000000000001</v>
      </c>
      <c r="AH2812" s="45">
        <f t="shared" si="231"/>
        <v>0</v>
      </c>
      <c r="AJ2812" s="44">
        <f t="shared" si="228"/>
        <v>2.8380000000000001</v>
      </c>
      <c r="AP2812" s="46">
        <f t="shared" si="229"/>
        <v>0.19900000000000001</v>
      </c>
    </row>
    <row r="2813" spans="19:42" ht="18">
      <c r="S2813" s="8">
        <f t="shared" si="230"/>
        <v>0</v>
      </c>
      <c r="W2813" s="3">
        <v>2839</v>
      </c>
      <c r="X2813" s="30">
        <v>198.95</v>
      </c>
      <c r="Y2813" s="33">
        <f t="shared" si="227"/>
        <v>0.19900000000000001</v>
      </c>
      <c r="AH2813" s="45">
        <f t="shared" si="231"/>
        <v>0</v>
      </c>
      <c r="AJ2813" s="44">
        <f t="shared" si="228"/>
        <v>2.839</v>
      </c>
      <c r="AP2813" s="46">
        <f t="shared" si="229"/>
        <v>0.19900000000000001</v>
      </c>
    </row>
    <row r="2814" spans="19:42" ht="18">
      <c r="S2814" s="8">
        <f t="shared" si="230"/>
        <v>0</v>
      </c>
      <c r="W2814" s="3">
        <v>2840</v>
      </c>
      <c r="X2814" s="30">
        <v>199</v>
      </c>
      <c r="Y2814" s="33">
        <f t="shared" si="227"/>
        <v>0.19900000000000001</v>
      </c>
      <c r="AH2814" s="45">
        <f t="shared" si="231"/>
        <v>0</v>
      </c>
      <c r="AJ2814" s="44">
        <f t="shared" si="228"/>
        <v>2.84</v>
      </c>
      <c r="AP2814" s="46">
        <f t="shared" si="229"/>
        <v>0.19900000000000001</v>
      </c>
    </row>
    <row r="2815" spans="19:42" ht="18">
      <c r="S2815" s="8">
        <f t="shared" si="230"/>
        <v>0</v>
      </c>
      <c r="W2815" s="3">
        <v>2841</v>
      </c>
      <c r="X2815" s="30">
        <v>199.05</v>
      </c>
      <c r="Y2815" s="33">
        <f t="shared" si="227"/>
        <v>0.19900000000000001</v>
      </c>
      <c r="AH2815" s="45">
        <f t="shared" si="231"/>
        <v>0</v>
      </c>
      <c r="AJ2815" s="44">
        <f t="shared" si="228"/>
        <v>2.8410000000000002</v>
      </c>
      <c r="AP2815" s="46">
        <f t="shared" si="229"/>
        <v>0.19900000000000001</v>
      </c>
    </row>
    <row r="2816" spans="19:42" ht="18">
      <c r="S2816" s="8">
        <f t="shared" si="230"/>
        <v>0</v>
      </c>
      <c r="W2816" s="3">
        <v>2842</v>
      </c>
      <c r="X2816" s="30">
        <v>199.1</v>
      </c>
      <c r="Y2816" s="33">
        <f t="shared" si="227"/>
        <v>0.19900000000000001</v>
      </c>
      <c r="AH2816" s="45">
        <f t="shared" si="231"/>
        <v>0</v>
      </c>
      <c r="AJ2816" s="44">
        <f t="shared" si="228"/>
        <v>2.8420000000000001</v>
      </c>
      <c r="AP2816" s="46">
        <f t="shared" si="229"/>
        <v>0.19900000000000001</v>
      </c>
    </row>
    <row r="2817" spans="19:42" ht="18">
      <c r="S2817" s="8">
        <f t="shared" si="230"/>
        <v>0</v>
      </c>
      <c r="W2817" s="3">
        <v>2843</v>
      </c>
      <c r="X2817" s="30">
        <v>199.15</v>
      </c>
      <c r="Y2817" s="33">
        <f t="shared" si="227"/>
        <v>0.19900000000000001</v>
      </c>
      <c r="AH2817" s="45">
        <f t="shared" si="231"/>
        <v>0</v>
      </c>
      <c r="AJ2817" s="44">
        <f t="shared" si="228"/>
        <v>2.843</v>
      </c>
      <c r="AP2817" s="46">
        <f t="shared" si="229"/>
        <v>0.19900000000000001</v>
      </c>
    </row>
    <row r="2818" spans="19:42" ht="18">
      <c r="S2818" s="8">
        <f t="shared" si="230"/>
        <v>0</v>
      </c>
      <c r="W2818" s="3">
        <v>2844</v>
      </c>
      <c r="X2818" s="30">
        <v>199.2</v>
      </c>
      <c r="Y2818" s="33">
        <f t="shared" si="227"/>
        <v>0.19900000000000001</v>
      </c>
      <c r="AH2818" s="45">
        <f t="shared" si="231"/>
        <v>0</v>
      </c>
      <c r="AJ2818" s="44">
        <f t="shared" si="228"/>
        <v>2.8439999999999999</v>
      </c>
      <c r="AP2818" s="46">
        <f t="shared" si="229"/>
        <v>0.19900000000000001</v>
      </c>
    </row>
    <row r="2819" spans="19:42" ht="18">
      <c r="S2819" s="8">
        <f t="shared" si="230"/>
        <v>0</v>
      </c>
      <c r="W2819" s="3">
        <v>2845</v>
      </c>
      <c r="X2819" s="30">
        <v>199.25</v>
      </c>
      <c r="Y2819" s="33">
        <f t="shared" si="227"/>
        <v>0.19900000000000001</v>
      </c>
      <c r="AH2819" s="45">
        <f t="shared" si="231"/>
        <v>0</v>
      </c>
      <c r="AJ2819" s="44">
        <f t="shared" si="228"/>
        <v>2.8450000000000002</v>
      </c>
      <c r="AP2819" s="46">
        <f t="shared" si="229"/>
        <v>0.19900000000000001</v>
      </c>
    </row>
    <row r="2820" spans="19:42" ht="18">
      <c r="S2820" s="8">
        <f t="shared" si="230"/>
        <v>0</v>
      </c>
      <c r="W2820" s="3">
        <v>2846</v>
      </c>
      <c r="X2820" s="30">
        <v>199.3</v>
      </c>
      <c r="Y2820" s="33">
        <f t="shared" si="227"/>
        <v>0.19900000000000001</v>
      </c>
      <c r="AH2820" s="45">
        <f t="shared" si="231"/>
        <v>0</v>
      </c>
      <c r="AJ2820" s="44">
        <f t="shared" si="228"/>
        <v>2.8460000000000001</v>
      </c>
      <c r="AP2820" s="46">
        <f t="shared" si="229"/>
        <v>0.19900000000000001</v>
      </c>
    </row>
    <row r="2821" spans="19:42" ht="18">
      <c r="S2821" s="8">
        <f t="shared" si="230"/>
        <v>0</v>
      </c>
      <c r="W2821" s="3">
        <v>2847</v>
      </c>
      <c r="X2821" s="30">
        <v>199.35</v>
      </c>
      <c r="Y2821" s="33">
        <f t="shared" ref="Y2821:Y2884" si="232">ROUND(X2821/1000,3)</f>
        <v>0.19900000000000001</v>
      </c>
      <c r="AH2821" s="45">
        <f t="shared" si="231"/>
        <v>0</v>
      </c>
      <c r="AJ2821" s="44">
        <f t="shared" ref="AJ2821:AJ2884" si="233">ROUND(W2821/1000,3)</f>
        <v>2.847</v>
      </c>
      <c r="AP2821" s="46">
        <f t="shared" ref="AP2821:AP2884" si="234">ROUND(X2821/1000,3)</f>
        <v>0.19900000000000001</v>
      </c>
    </row>
    <row r="2822" spans="19:42" ht="18">
      <c r="S2822" s="8">
        <f t="shared" ref="S2822:S2885" si="235">CEILING(R2822/50,0.5)</f>
        <v>0</v>
      </c>
      <c r="W2822" s="3">
        <v>2848</v>
      </c>
      <c r="X2822" s="30">
        <v>199.4</v>
      </c>
      <c r="Y2822" s="33">
        <f t="shared" si="232"/>
        <v>0.19900000000000001</v>
      </c>
      <c r="AH2822" s="45">
        <f t="shared" ref="AH2822:AH2885" si="236">AE2822-AE2821</f>
        <v>0</v>
      </c>
      <c r="AJ2822" s="44">
        <f t="shared" si="233"/>
        <v>2.8479999999999999</v>
      </c>
      <c r="AP2822" s="46">
        <f t="shared" si="234"/>
        <v>0.19900000000000001</v>
      </c>
    </row>
    <row r="2823" spans="19:42" ht="18">
      <c r="S2823" s="8">
        <f t="shared" si="235"/>
        <v>0</v>
      </c>
      <c r="W2823" s="3">
        <v>2849</v>
      </c>
      <c r="X2823" s="30">
        <v>199.45</v>
      </c>
      <c r="Y2823" s="33">
        <f t="shared" si="232"/>
        <v>0.19900000000000001</v>
      </c>
      <c r="AH2823" s="45">
        <f t="shared" si="236"/>
        <v>0</v>
      </c>
      <c r="AJ2823" s="44">
        <f t="shared" si="233"/>
        <v>2.8490000000000002</v>
      </c>
      <c r="AP2823" s="46">
        <f t="shared" si="234"/>
        <v>0.19900000000000001</v>
      </c>
    </row>
    <row r="2824" spans="19:42" ht="18">
      <c r="S2824" s="8">
        <f t="shared" si="235"/>
        <v>0</v>
      </c>
      <c r="W2824" s="3">
        <v>2850</v>
      </c>
      <c r="X2824" s="30">
        <v>199.5</v>
      </c>
      <c r="Y2824" s="33">
        <f t="shared" si="232"/>
        <v>0.2</v>
      </c>
      <c r="AH2824" s="45">
        <f t="shared" si="236"/>
        <v>0</v>
      </c>
      <c r="AJ2824" s="44">
        <f t="shared" si="233"/>
        <v>2.85</v>
      </c>
      <c r="AP2824" s="46">
        <f t="shared" si="234"/>
        <v>0.2</v>
      </c>
    </row>
    <row r="2825" spans="19:42" ht="18">
      <c r="S2825" s="8">
        <f t="shared" si="235"/>
        <v>0</v>
      </c>
      <c r="W2825" s="3">
        <v>2851</v>
      </c>
      <c r="X2825" s="30">
        <v>199.55</v>
      </c>
      <c r="Y2825" s="33">
        <f t="shared" si="232"/>
        <v>0.2</v>
      </c>
      <c r="AH2825" s="45">
        <f t="shared" si="236"/>
        <v>0</v>
      </c>
      <c r="AJ2825" s="44">
        <f t="shared" si="233"/>
        <v>2.851</v>
      </c>
      <c r="AP2825" s="46">
        <f t="shared" si="234"/>
        <v>0.2</v>
      </c>
    </row>
    <row r="2826" spans="19:42" ht="18">
      <c r="S2826" s="8">
        <f t="shared" si="235"/>
        <v>0</v>
      </c>
      <c r="W2826" s="3">
        <v>2852</v>
      </c>
      <c r="X2826" s="30">
        <v>199.6</v>
      </c>
      <c r="Y2826" s="33">
        <f t="shared" si="232"/>
        <v>0.2</v>
      </c>
      <c r="AH2826" s="45">
        <f t="shared" si="236"/>
        <v>0</v>
      </c>
      <c r="AJ2826" s="44">
        <f t="shared" si="233"/>
        <v>2.8519999999999999</v>
      </c>
      <c r="AP2826" s="46">
        <f t="shared" si="234"/>
        <v>0.2</v>
      </c>
    </row>
    <row r="2827" spans="19:42" ht="18">
      <c r="S2827" s="8">
        <f t="shared" si="235"/>
        <v>0</v>
      </c>
      <c r="W2827" s="3">
        <v>2853</v>
      </c>
      <c r="X2827" s="30">
        <v>199.65</v>
      </c>
      <c r="Y2827" s="33">
        <f t="shared" si="232"/>
        <v>0.2</v>
      </c>
      <c r="AH2827" s="45">
        <f t="shared" si="236"/>
        <v>0</v>
      </c>
      <c r="AJ2827" s="44">
        <f t="shared" si="233"/>
        <v>2.8530000000000002</v>
      </c>
      <c r="AP2827" s="46">
        <f t="shared" si="234"/>
        <v>0.2</v>
      </c>
    </row>
    <row r="2828" spans="19:42" ht="18">
      <c r="S2828" s="8">
        <f t="shared" si="235"/>
        <v>0</v>
      </c>
      <c r="W2828" s="3">
        <v>2854</v>
      </c>
      <c r="X2828" s="30">
        <v>199.7</v>
      </c>
      <c r="Y2828" s="33">
        <f t="shared" si="232"/>
        <v>0.2</v>
      </c>
      <c r="AH2828" s="45">
        <f t="shared" si="236"/>
        <v>0</v>
      </c>
      <c r="AJ2828" s="44">
        <f t="shared" si="233"/>
        <v>2.8540000000000001</v>
      </c>
      <c r="AP2828" s="46">
        <f t="shared" si="234"/>
        <v>0.2</v>
      </c>
    </row>
    <row r="2829" spans="19:42" ht="18">
      <c r="S2829" s="8">
        <f t="shared" si="235"/>
        <v>0</v>
      </c>
      <c r="W2829" s="3">
        <v>2855</v>
      </c>
      <c r="X2829" s="30">
        <v>199.75</v>
      </c>
      <c r="Y2829" s="33">
        <f t="shared" si="232"/>
        <v>0.2</v>
      </c>
      <c r="AH2829" s="45">
        <f t="shared" si="236"/>
        <v>0</v>
      </c>
      <c r="AJ2829" s="44">
        <f t="shared" si="233"/>
        <v>2.855</v>
      </c>
      <c r="AP2829" s="46">
        <f t="shared" si="234"/>
        <v>0.2</v>
      </c>
    </row>
    <row r="2830" spans="19:42" ht="18">
      <c r="S2830" s="8">
        <f t="shared" si="235"/>
        <v>0</v>
      </c>
      <c r="W2830" s="3">
        <v>2856</v>
      </c>
      <c r="X2830" s="30">
        <v>199.8</v>
      </c>
      <c r="Y2830" s="33">
        <f t="shared" si="232"/>
        <v>0.2</v>
      </c>
      <c r="AH2830" s="45">
        <f t="shared" si="236"/>
        <v>0</v>
      </c>
      <c r="AJ2830" s="44">
        <f t="shared" si="233"/>
        <v>2.8559999999999999</v>
      </c>
      <c r="AP2830" s="46">
        <f t="shared" si="234"/>
        <v>0.2</v>
      </c>
    </row>
    <row r="2831" spans="19:42" ht="18">
      <c r="S2831" s="8">
        <f t="shared" si="235"/>
        <v>0</v>
      </c>
      <c r="W2831" s="3">
        <v>2857</v>
      </c>
      <c r="X2831" s="30">
        <v>199.85</v>
      </c>
      <c r="Y2831" s="33">
        <f t="shared" si="232"/>
        <v>0.2</v>
      </c>
      <c r="AH2831" s="45">
        <f t="shared" si="236"/>
        <v>0</v>
      </c>
      <c r="AJ2831" s="44">
        <f t="shared" si="233"/>
        <v>2.8570000000000002</v>
      </c>
      <c r="AP2831" s="46">
        <f t="shared" si="234"/>
        <v>0.2</v>
      </c>
    </row>
    <row r="2832" spans="19:42" ht="18">
      <c r="S2832" s="8">
        <f t="shared" si="235"/>
        <v>0</v>
      </c>
      <c r="W2832" s="3">
        <v>2858</v>
      </c>
      <c r="X2832" s="30">
        <v>199.9</v>
      </c>
      <c r="Y2832" s="33">
        <f t="shared" si="232"/>
        <v>0.2</v>
      </c>
      <c r="AH2832" s="45">
        <f t="shared" si="236"/>
        <v>0</v>
      </c>
      <c r="AJ2832" s="44">
        <f t="shared" si="233"/>
        <v>2.8580000000000001</v>
      </c>
      <c r="AP2832" s="46">
        <f t="shared" si="234"/>
        <v>0.2</v>
      </c>
    </row>
    <row r="2833" spans="19:42" ht="18">
      <c r="S2833" s="8">
        <f t="shared" si="235"/>
        <v>0</v>
      </c>
      <c r="W2833" s="3">
        <v>2859</v>
      </c>
      <c r="X2833" s="30">
        <v>199.95</v>
      </c>
      <c r="Y2833" s="33">
        <f t="shared" si="232"/>
        <v>0.2</v>
      </c>
      <c r="AH2833" s="45">
        <f t="shared" si="236"/>
        <v>0</v>
      </c>
      <c r="AJ2833" s="44">
        <f t="shared" si="233"/>
        <v>2.859</v>
      </c>
      <c r="AP2833" s="46">
        <f t="shared" si="234"/>
        <v>0.2</v>
      </c>
    </row>
    <row r="2834" spans="19:42" ht="18">
      <c r="S2834" s="8">
        <f t="shared" si="235"/>
        <v>0</v>
      </c>
      <c r="W2834" s="3">
        <v>2860</v>
      </c>
      <c r="X2834" s="30">
        <v>200</v>
      </c>
      <c r="Y2834" s="33">
        <f t="shared" si="232"/>
        <v>0.2</v>
      </c>
      <c r="AH2834" s="45">
        <f t="shared" si="236"/>
        <v>0</v>
      </c>
      <c r="AJ2834" s="44">
        <f t="shared" si="233"/>
        <v>2.86</v>
      </c>
      <c r="AP2834" s="46">
        <f t="shared" si="234"/>
        <v>0.2</v>
      </c>
    </row>
    <row r="2835" spans="19:42" ht="18">
      <c r="S2835" s="8">
        <f t="shared" si="235"/>
        <v>0</v>
      </c>
      <c r="W2835" s="3">
        <v>2861</v>
      </c>
      <c r="X2835" s="30">
        <v>200.02500000000001</v>
      </c>
      <c r="Y2835" s="33">
        <f t="shared" si="232"/>
        <v>0.2</v>
      </c>
      <c r="AH2835" s="45">
        <f t="shared" si="236"/>
        <v>0</v>
      </c>
      <c r="AJ2835" s="44">
        <f t="shared" si="233"/>
        <v>2.8610000000000002</v>
      </c>
      <c r="AP2835" s="46">
        <f t="shared" si="234"/>
        <v>0.2</v>
      </c>
    </row>
    <row r="2836" spans="19:42" ht="18">
      <c r="S2836" s="8">
        <f t="shared" si="235"/>
        <v>0</v>
      </c>
      <c r="W2836" s="3">
        <v>2862</v>
      </c>
      <c r="X2836" s="30">
        <v>200.05</v>
      </c>
      <c r="Y2836" s="33">
        <f t="shared" si="232"/>
        <v>0.2</v>
      </c>
      <c r="AH2836" s="45">
        <f t="shared" si="236"/>
        <v>0</v>
      </c>
      <c r="AJ2836" s="44">
        <f t="shared" si="233"/>
        <v>2.8620000000000001</v>
      </c>
      <c r="AP2836" s="46">
        <f t="shared" si="234"/>
        <v>0.2</v>
      </c>
    </row>
    <row r="2837" spans="19:42" ht="18">
      <c r="S2837" s="8">
        <f t="shared" si="235"/>
        <v>0</v>
      </c>
      <c r="W2837" s="3">
        <v>2863</v>
      </c>
      <c r="X2837" s="30">
        <v>200.07499999999999</v>
      </c>
      <c r="Y2837" s="33">
        <f t="shared" si="232"/>
        <v>0.2</v>
      </c>
      <c r="AH2837" s="45">
        <f t="shared" si="236"/>
        <v>0</v>
      </c>
      <c r="AJ2837" s="44">
        <f t="shared" si="233"/>
        <v>2.863</v>
      </c>
      <c r="AP2837" s="46">
        <f t="shared" si="234"/>
        <v>0.2</v>
      </c>
    </row>
    <row r="2838" spans="19:42" ht="18">
      <c r="S2838" s="8">
        <f t="shared" si="235"/>
        <v>0</v>
      </c>
      <c r="W2838" s="3">
        <v>2864</v>
      </c>
      <c r="X2838" s="30">
        <v>200.1</v>
      </c>
      <c r="Y2838" s="33">
        <f t="shared" si="232"/>
        <v>0.2</v>
      </c>
      <c r="AH2838" s="45">
        <f t="shared" si="236"/>
        <v>0</v>
      </c>
      <c r="AJ2838" s="44">
        <f t="shared" si="233"/>
        <v>2.8639999999999999</v>
      </c>
      <c r="AP2838" s="46">
        <f t="shared" si="234"/>
        <v>0.2</v>
      </c>
    </row>
    <row r="2839" spans="19:42" ht="18">
      <c r="S2839" s="8">
        <f t="shared" si="235"/>
        <v>0</v>
      </c>
      <c r="W2839" s="3">
        <v>2865</v>
      </c>
      <c r="X2839" s="30">
        <v>200.125</v>
      </c>
      <c r="Y2839" s="33">
        <f t="shared" si="232"/>
        <v>0.2</v>
      </c>
      <c r="AH2839" s="45">
        <f t="shared" si="236"/>
        <v>0</v>
      </c>
      <c r="AJ2839" s="44">
        <f t="shared" si="233"/>
        <v>2.8650000000000002</v>
      </c>
      <c r="AP2839" s="46">
        <f t="shared" si="234"/>
        <v>0.2</v>
      </c>
    </row>
    <row r="2840" spans="19:42" ht="18">
      <c r="S2840" s="8">
        <f t="shared" si="235"/>
        <v>0</v>
      </c>
      <c r="W2840" s="3">
        <v>2866</v>
      </c>
      <c r="X2840" s="30">
        <v>200.15</v>
      </c>
      <c r="Y2840" s="33">
        <f t="shared" si="232"/>
        <v>0.2</v>
      </c>
      <c r="AH2840" s="45">
        <f t="shared" si="236"/>
        <v>0</v>
      </c>
      <c r="AJ2840" s="44">
        <f t="shared" si="233"/>
        <v>2.8660000000000001</v>
      </c>
      <c r="AP2840" s="46">
        <f t="shared" si="234"/>
        <v>0.2</v>
      </c>
    </row>
    <row r="2841" spans="19:42" ht="18">
      <c r="S2841" s="8">
        <f t="shared" si="235"/>
        <v>0</v>
      </c>
      <c r="W2841" s="3">
        <v>2867</v>
      </c>
      <c r="X2841" s="30">
        <v>200.17500000000001</v>
      </c>
      <c r="Y2841" s="33">
        <f t="shared" si="232"/>
        <v>0.2</v>
      </c>
      <c r="AH2841" s="45">
        <f t="shared" si="236"/>
        <v>0</v>
      </c>
      <c r="AJ2841" s="44">
        <f t="shared" si="233"/>
        <v>2.867</v>
      </c>
      <c r="AP2841" s="46">
        <f t="shared" si="234"/>
        <v>0.2</v>
      </c>
    </row>
    <row r="2842" spans="19:42" ht="18">
      <c r="S2842" s="8">
        <f t="shared" si="235"/>
        <v>0</v>
      </c>
      <c r="W2842" s="3">
        <v>2868</v>
      </c>
      <c r="X2842" s="30">
        <v>200.2</v>
      </c>
      <c r="Y2842" s="33">
        <f t="shared" si="232"/>
        <v>0.2</v>
      </c>
      <c r="AH2842" s="45">
        <f t="shared" si="236"/>
        <v>0</v>
      </c>
      <c r="AJ2842" s="44">
        <f t="shared" si="233"/>
        <v>2.8679999999999999</v>
      </c>
      <c r="AP2842" s="46">
        <f t="shared" si="234"/>
        <v>0.2</v>
      </c>
    </row>
    <row r="2843" spans="19:42" ht="18">
      <c r="S2843" s="8">
        <f t="shared" si="235"/>
        <v>0</v>
      </c>
      <c r="W2843" s="3">
        <v>2869</v>
      </c>
      <c r="X2843" s="30">
        <v>200.22499999999999</v>
      </c>
      <c r="Y2843" s="33">
        <f t="shared" si="232"/>
        <v>0.2</v>
      </c>
      <c r="AH2843" s="45">
        <f t="shared" si="236"/>
        <v>0</v>
      </c>
      <c r="AJ2843" s="44">
        <f t="shared" si="233"/>
        <v>2.8690000000000002</v>
      </c>
      <c r="AP2843" s="46">
        <f t="shared" si="234"/>
        <v>0.2</v>
      </c>
    </row>
    <row r="2844" spans="19:42" ht="18">
      <c r="S2844" s="8">
        <f t="shared" si="235"/>
        <v>0</v>
      </c>
      <c r="W2844" s="3">
        <v>2870</v>
      </c>
      <c r="X2844" s="30">
        <v>200.25</v>
      </c>
      <c r="Y2844" s="33">
        <f t="shared" si="232"/>
        <v>0.2</v>
      </c>
      <c r="AH2844" s="45">
        <f t="shared" si="236"/>
        <v>0</v>
      </c>
      <c r="AJ2844" s="44">
        <f t="shared" si="233"/>
        <v>2.87</v>
      </c>
      <c r="AP2844" s="46">
        <f t="shared" si="234"/>
        <v>0.2</v>
      </c>
    </row>
    <row r="2845" spans="19:42" ht="18">
      <c r="S2845" s="8">
        <f t="shared" si="235"/>
        <v>0</v>
      </c>
      <c r="W2845" s="3">
        <v>2871</v>
      </c>
      <c r="X2845" s="30">
        <v>200.27500000000001</v>
      </c>
      <c r="Y2845" s="33">
        <f t="shared" si="232"/>
        <v>0.2</v>
      </c>
      <c r="AH2845" s="45">
        <f t="shared" si="236"/>
        <v>0</v>
      </c>
      <c r="AJ2845" s="44">
        <f t="shared" si="233"/>
        <v>2.871</v>
      </c>
      <c r="AP2845" s="46">
        <f t="shared" si="234"/>
        <v>0.2</v>
      </c>
    </row>
    <row r="2846" spans="19:42" ht="18">
      <c r="S2846" s="8">
        <f t="shared" si="235"/>
        <v>0</v>
      </c>
      <c r="W2846" s="3">
        <v>2872</v>
      </c>
      <c r="X2846" s="30">
        <v>200.3</v>
      </c>
      <c r="Y2846" s="33">
        <f t="shared" si="232"/>
        <v>0.2</v>
      </c>
      <c r="AH2846" s="45">
        <f t="shared" si="236"/>
        <v>0</v>
      </c>
      <c r="AJ2846" s="44">
        <f t="shared" si="233"/>
        <v>2.8719999999999999</v>
      </c>
      <c r="AP2846" s="46">
        <f t="shared" si="234"/>
        <v>0.2</v>
      </c>
    </row>
    <row r="2847" spans="19:42" ht="18">
      <c r="S2847" s="8">
        <f t="shared" si="235"/>
        <v>0</v>
      </c>
      <c r="W2847" s="3">
        <v>2873</v>
      </c>
      <c r="X2847" s="30">
        <v>200.32499999999999</v>
      </c>
      <c r="Y2847" s="33">
        <f t="shared" si="232"/>
        <v>0.2</v>
      </c>
      <c r="AH2847" s="45">
        <f t="shared" si="236"/>
        <v>0</v>
      </c>
      <c r="AJ2847" s="44">
        <f t="shared" si="233"/>
        <v>2.8730000000000002</v>
      </c>
      <c r="AP2847" s="46">
        <f t="shared" si="234"/>
        <v>0.2</v>
      </c>
    </row>
    <row r="2848" spans="19:42" ht="18">
      <c r="S2848" s="8">
        <f t="shared" si="235"/>
        <v>0</v>
      </c>
      <c r="W2848" s="3">
        <v>2874</v>
      </c>
      <c r="X2848" s="30">
        <v>200.35</v>
      </c>
      <c r="Y2848" s="33">
        <f t="shared" si="232"/>
        <v>0.2</v>
      </c>
      <c r="AH2848" s="45">
        <f t="shared" si="236"/>
        <v>0</v>
      </c>
      <c r="AJ2848" s="44">
        <f t="shared" si="233"/>
        <v>2.8740000000000001</v>
      </c>
      <c r="AP2848" s="46">
        <f t="shared" si="234"/>
        <v>0.2</v>
      </c>
    </row>
    <row r="2849" spans="19:42" ht="18">
      <c r="S2849" s="8">
        <f t="shared" si="235"/>
        <v>0</v>
      </c>
      <c r="W2849" s="3">
        <v>2875</v>
      </c>
      <c r="X2849" s="30">
        <v>200.375</v>
      </c>
      <c r="Y2849" s="33">
        <f t="shared" si="232"/>
        <v>0.2</v>
      </c>
      <c r="AH2849" s="45">
        <f t="shared" si="236"/>
        <v>0</v>
      </c>
      <c r="AJ2849" s="44">
        <f t="shared" si="233"/>
        <v>2.875</v>
      </c>
      <c r="AP2849" s="46">
        <f t="shared" si="234"/>
        <v>0.2</v>
      </c>
    </row>
    <row r="2850" spans="19:42" ht="18">
      <c r="S2850" s="8">
        <f t="shared" si="235"/>
        <v>0</v>
      </c>
      <c r="W2850" s="3">
        <v>2876</v>
      </c>
      <c r="X2850" s="30">
        <v>200.4</v>
      </c>
      <c r="Y2850" s="33">
        <f t="shared" si="232"/>
        <v>0.2</v>
      </c>
      <c r="AH2850" s="45">
        <f t="shared" si="236"/>
        <v>0</v>
      </c>
      <c r="AJ2850" s="44">
        <f t="shared" si="233"/>
        <v>2.8759999999999999</v>
      </c>
      <c r="AP2850" s="46">
        <f t="shared" si="234"/>
        <v>0.2</v>
      </c>
    </row>
    <row r="2851" spans="19:42" ht="18">
      <c r="S2851" s="8">
        <f t="shared" si="235"/>
        <v>0</v>
      </c>
      <c r="W2851" s="3">
        <v>2877</v>
      </c>
      <c r="X2851" s="30">
        <v>200.42500000000001</v>
      </c>
      <c r="Y2851" s="33">
        <f t="shared" si="232"/>
        <v>0.2</v>
      </c>
      <c r="AH2851" s="45">
        <f t="shared" si="236"/>
        <v>0</v>
      </c>
      <c r="AJ2851" s="44">
        <f t="shared" si="233"/>
        <v>2.8769999999999998</v>
      </c>
      <c r="AP2851" s="46">
        <f t="shared" si="234"/>
        <v>0.2</v>
      </c>
    </row>
    <row r="2852" spans="19:42" ht="18">
      <c r="S2852" s="8">
        <f t="shared" si="235"/>
        <v>0</v>
      </c>
      <c r="W2852" s="3">
        <v>2878</v>
      </c>
      <c r="X2852" s="30">
        <v>200.45</v>
      </c>
      <c r="Y2852" s="33">
        <f t="shared" si="232"/>
        <v>0.2</v>
      </c>
      <c r="AH2852" s="45">
        <f t="shared" si="236"/>
        <v>0</v>
      </c>
      <c r="AJ2852" s="44">
        <f t="shared" si="233"/>
        <v>2.8780000000000001</v>
      </c>
      <c r="AP2852" s="46">
        <f t="shared" si="234"/>
        <v>0.2</v>
      </c>
    </row>
    <row r="2853" spans="19:42" ht="18">
      <c r="S2853" s="8">
        <f t="shared" si="235"/>
        <v>0</v>
      </c>
      <c r="W2853" s="3">
        <v>2879</v>
      </c>
      <c r="X2853" s="30">
        <v>200.47499999999999</v>
      </c>
      <c r="Y2853" s="33">
        <f t="shared" si="232"/>
        <v>0.2</v>
      </c>
      <c r="AH2853" s="45">
        <f t="shared" si="236"/>
        <v>0</v>
      </c>
      <c r="AJ2853" s="44">
        <f t="shared" si="233"/>
        <v>2.879</v>
      </c>
      <c r="AP2853" s="46">
        <f t="shared" si="234"/>
        <v>0.2</v>
      </c>
    </row>
    <row r="2854" spans="19:42" ht="18">
      <c r="S2854" s="8">
        <f t="shared" si="235"/>
        <v>0</v>
      </c>
      <c r="W2854" s="3">
        <v>2880</v>
      </c>
      <c r="X2854" s="30">
        <v>200.5</v>
      </c>
      <c r="Y2854" s="33">
        <f t="shared" si="232"/>
        <v>0.20100000000000001</v>
      </c>
      <c r="AH2854" s="45">
        <f t="shared" si="236"/>
        <v>0</v>
      </c>
      <c r="AJ2854" s="44">
        <f t="shared" si="233"/>
        <v>2.88</v>
      </c>
      <c r="AP2854" s="46">
        <f t="shared" si="234"/>
        <v>0.20100000000000001</v>
      </c>
    </row>
    <row r="2855" spans="19:42" ht="18">
      <c r="S2855" s="8">
        <f t="shared" si="235"/>
        <v>0</v>
      </c>
      <c r="W2855" s="3">
        <v>2881</v>
      </c>
      <c r="X2855" s="30">
        <v>200.52500000000001</v>
      </c>
      <c r="Y2855" s="33">
        <f t="shared" si="232"/>
        <v>0.20100000000000001</v>
      </c>
      <c r="AH2855" s="45">
        <f t="shared" si="236"/>
        <v>0</v>
      </c>
      <c r="AJ2855" s="44">
        <f t="shared" si="233"/>
        <v>2.8809999999999998</v>
      </c>
      <c r="AP2855" s="46">
        <f t="shared" si="234"/>
        <v>0.20100000000000001</v>
      </c>
    </row>
    <row r="2856" spans="19:42" ht="18">
      <c r="S2856" s="8">
        <f t="shared" si="235"/>
        <v>0</v>
      </c>
      <c r="W2856" s="3">
        <v>2882</v>
      </c>
      <c r="X2856" s="30">
        <v>200.55</v>
      </c>
      <c r="Y2856" s="33">
        <f t="shared" si="232"/>
        <v>0.20100000000000001</v>
      </c>
      <c r="AH2856" s="45">
        <f t="shared" si="236"/>
        <v>0</v>
      </c>
      <c r="AJ2856" s="44">
        <f t="shared" si="233"/>
        <v>2.8820000000000001</v>
      </c>
      <c r="AP2856" s="46">
        <f t="shared" si="234"/>
        <v>0.20100000000000001</v>
      </c>
    </row>
    <row r="2857" spans="19:42" ht="18">
      <c r="S2857" s="8">
        <f t="shared" si="235"/>
        <v>0</v>
      </c>
      <c r="W2857" s="3">
        <v>2883</v>
      </c>
      <c r="X2857" s="30">
        <v>200.57499999999999</v>
      </c>
      <c r="Y2857" s="33">
        <f t="shared" si="232"/>
        <v>0.20100000000000001</v>
      </c>
      <c r="AH2857" s="45">
        <f t="shared" si="236"/>
        <v>0</v>
      </c>
      <c r="AJ2857" s="44">
        <f t="shared" si="233"/>
        <v>2.883</v>
      </c>
      <c r="AP2857" s="46">
        <f t="shared" si="234"/>
        <v>0.20100000000000001</v>
      </c>
    </row>
    <row r="2858" spans="19:42" ht="18">
      <c r="S2858" s="8">
        <f t="shared" si="235"/>
        <v>0</v>
      </c>
      <c r="W2858" s="3">
        <v>2884</v>
      </c>
      <c r="X2858" s="30">
        <v>200.6</v>
      </c>
      <c r="Y2858" s="33">
        <f t="shared" si="232"/>
        <v>0.20100000000000001</v>
      </c>
      <c r="AH2858" s="45">
        <f t="shared" si="236"/>
        <v>0</v>
      </c>
      <c r="AJ2858" s="44">
        <f t="shared" si="233"/>
        <v>2.8839999999999999</v>
      </c>
      <c r="AP2858" s="46">
        <f t="shared" si="234"/>
        <v>0.20100000000000001</v>
      </c>
    </row>
    <row r="2859" spans="19:42" ht="18">
      <c r="S2859" s="8">
        <f t="shared" si="235"/>
        <v>0</v>
      </c>
      <c r="W2859" s="3">
        <v>2885</v>
      </c>
      <c r="X2859" s="30">
        <v>200.625</v>
      </c>
      <c r="Y2859" s="33">
        <f t="shared" si="232"/>
        <v>0.20100000000000001</v>
      </c>
      <c r="AH2859" s="45">
        <f t="shared" si="236"/>
        <v>0</v>
      </c>
      <c r="AJ2859" s="44">
        <f t="shared" si="233"/>
        <v>2.8849999999999998</v>
      </c>
      <c r="AP2859" s="46">
        <f t="shared" si="234"/>
        <v>0.20100000000000001</v>
      </c>
    </row>
    <row r="2860" spans="19:42" ht="18">
      <c r="S2860" s="8">
        <f t="shared" si="235"/>
        <v>0</v>
      </c>
      <c r="W2860" s="3">
        <v>2886</v>
      </c>
      <c r="X2860" s="30">
        <v>200.65</v>
      </c>
      <c r="Y2860" s="33">
        <f t="shared" si="232"/>
        <v>0.20100000000000001</v>
      </c>
      <c r="AH2860" s="45">
        <f t="shared" si="236"/>
        <v>0</v>
      </c>
      <c r="AJ2860" s="44">
        <f t="shared" si="233"/>
        <v>2.8860000000000001</v>
      </c>
      <c r="AP2860" s="46">
        <f t="shared" si="234"/>
        <v>0.20100000000000001</v>
      </c>
    </row>
    <row r="2861" spans="19:42" ht="18">
      <c r="S2861" s="8">
        <f t="shared" si="235"/>
        <v>0</v>
      </c>
      <c r="W2861" s="3">
        <v>2887</v>
      </c>
      <c r="X2861" s="30">
        <v>200.67500000000001</v>
      </c>
      <c r="Y2861" s="33">
        <f t="shared" si="232"/>
        <v>0.20100000000000001</v>
      </c>
      <c r="AH2861" s="45">
        <f t="shared" si="236"/>
        <v>0</v>
      </c>
      <c r="AJ2861" s="44">
        <f t="shared" si="233"/>
        <v>2.887</v>
      </c>
      <c r="AP2861" s="46">
        <f t="shared" si="234"/>
        <v>0.20100000000000001</v>
      </c>
    </row>
    <row r="2862" spans="19:42" ht="18">
      <c r="S2862" s="8">
        <f t="shared" si="235"/>
        <v>0</v>
      </c>
      <c r="W2862" s="3">
        <v>2888</v>
      </c>
      <c r="X2862" s="30">
        <v>200.7</v>
      </c>
      <c r="Y2862" s="33">
        <f t="shared" si="232"/>
        <v>0.20100000000000001</v>
      </c>
      <c r="AH2862" s="45">
        <f t="shared" si="236"/>
        <v>0</v>
      </c>
      <c r="AJ2862" s="44">
        <f t="shared" si="233"/>
        <v>2.8879999999999999</v>
      </c>
      <c r="AP2862" s="46">
        <f t="shared" si="234"/>
        <v>0.20100000000000001</v>
      </c>
    </row>
    <row r="2863" spans="19:42" ht="18">
      <c r="S2863" s="8">
        <f t="shared" si="235"/>
        <v>0</v>
      </c>
      <c r="W2863" s="3">
        <v>2889</v>
      </c>
      <c r="X2863" s="30">
        <v>200.72499999999999</v>
      </c>
      <c r="Y2863" s="33">
        <f t="shared" si="232"/>
        <v>0.20100000000000001</v>
      </c>
      <c r="AH2863" s="45">
        <f t="shared" si="236"/>
        <v>0</v>
      </c>
      <c r="AJ2863" s="44">
        <f t="shared" si="233"/>
        <v>2.8889999999999998</v>
      </c>
      <c r="AP2863" s="46">
        <f t="shared" si="234"/>
        <v>0.20100000000000001</v>
      </c>
    </row>
    <row r="2864" spans="19:42" ht="18">
      <c r="S2864" s="8">
        <f t="shared" si="235"/>
        <v>0</v>
      </c>
      <c r="W2864" s="3">
        <v>2890</v>
      </c>
      <c r="X2864" s="30">
        <v>200.75</v>
      </c>
      <c r="Y2864" s="33">
        <f t="shared" si="232"/>
        <v>0.20100000000000001</v>
      </c>
      <c r="AH2864" s="45">
        <f t="shared" si="236"/>
        <v>0</v>
      </c>
      <c r="AJ2864" s="44">
        <f t="shared" si="233"/>
        <v>2.89</v>
      </c>
      <c r="AP2864" s="46">
        <f t="shared" si="234"/>
        <v>0.20100000000000001</v>
      </c>
    </row>
    <row r="2865" spans="19:42" ht="18">
      <c r="S2865" s="8">
        <f t="shared" si="235"/>
        <v>0</v>
      </c>
      <c r="W2865" s="3">
        <v>2891</v>
      </c>
      <c r="X2865" s="30">
        <v>200.77500000000001</v>
      </c>
      <c r="Y2865" s="33">
        <f t="shared" si="232"/>
        <v>0.20100000000000001</v>
      </c>
      <c r="AH2865" s="45">
        <f t="shared" si="236"/>
        <v>0</v>
      </c>
      <c r="AJ2865" s="44">
        <f t="shared" si="233"/>
        <v>2.891</v>
      </c>
      <c r="AP2865" s="46">
        <f t="shared" si="234"/>
        <v>0.20100000000000001</v>
      </c>
    </row>
    <row r="2866" spans="19:42" ht="18">
      <c r="S2866" s="8">
        <f t="shared" si="235"/>
        <v>0</v>
      </c>
      <c r="W2866" s="3">
        <v>2892</v>
      </c>
      <c r="X2866" s="30">
        <v>200.8</v>
      </c>
      <c r="Y2866" s="33">
        <f t="shared" si="232"/>
        <v>0.20100000000000001</v>
      </c>
      <c r="AH2866" s="45">
        <f t="shared" si="236"/>
        <v>0</v>
      </c>
      <c r="AJ2866" s="44">
        <f t="shared" si="233"/>
        <v>2.8919999999999999</v>
      </c>
      <c r="AP2866" s="46">
        <f t="shared" si="234"/>
        <v>0.20100000000000001</v>
      </c>
    </row>
    <row r="2867" spans="19:42" ht="18">
      <c r="S2867" s="8">
        <f t="shared" si="235"/>
        <v>0</v>
      </c>
      <c r="W2867" s="3">
        <v>2893</v>
      </c>
      <c r="X2867" s="30">
        <v>200.82499999999999</v>
      </c>
      <c r="Y2867" s="33">
        <f t="shared" si="232"/>
        <v>0.20100000000000001</v>
      </c>
      <c r="AH2867" s="45">
        <f t="shared" si="236"/>
        <v>0</v>
      </c>
      <c r="AJ2867" s="44">
        <f t="shared" si="233"/>
        <v>2.8929999999999998</v>
      </c>
      <c r="AP2867" s="46">
        <f t="shared" si="234"/>
        <v>0.20100000000000001</v>
      </c>
    </row>
    <row r="2868" spans="19:42" ht="18">
      <c r="S2868" s="8">
        <f t="shared" si="235"/>
        <v>0</v>
      </c>
      <c r="W2868" s="3">
        <v>2894</v>
      </c>
      <c r="X2868" s="30">
        <v>200.85</v>
      </c>
      <c r="Y2868" s="33">
        <f t="shared" si="232"/>
        <v>0.20100000000000001</v>
      </c>
      <c r="AH2868" s="45">
        <f t="shared" si="236"/>
        <v>0</v>
      </c>
      <c r="AJ2868" s="44">
        <f t="shared" si="233"/>
        <v>2.8940000000000001</v>
      </c>
      <c r="AP2868" s="46">
        <f t="shared" si="234"/>
        <v>0.20100000000000001</v>
      </c>
    </row>
    <row r="2869" spans="19:42" ht="18">
      <c r="S2869" s="8">
        <f t="shared" si="235"/>
        <v>0</v>
      </c>
      <c r="W2869" s="3">
        <v>2895</v>
      </c>
      <c r="X2869" s="30">
        <v>200.875</v>
      </c>
      <c r="Y2869" s="33">
        <f t="shared" si="232"/>
        <v>0.20100000000000001</v>
      </c>
      <c r="AH2869" s="45">
        <f t="shared" si="236"/>
        <v>0</v>
      </c>
      <c r="AJ2869" s="44">
        <f t="shared" si="233"/>
        <v>2.895</v>
      </c>
      <c r="AP2869" s="46">
        <f t="shared" si="234"/>
        <v>0.20100000000000001</v>
      </c>
    </row>
    <row r="2870" spans="19:42" ht="18">
      <c r="S2870" s="8">
        <f t="shared" si="235"/>
        <v>0</v>
      </c>
      <c r="W2870" s="3">
        <v>2896</v>
      </c>
      <c r="X2870" s="30">
        <v>200.9</v>
      </c>
      <c r="Y2870" s="33">
        <f t="shared" si="232"/>
        <v>0.20100000000000001</v>
      </c>
      <c r="AH2870" s="45">
        <f t="shared" si="236"/>
        <v>0</v>
      </c>
      <c r="AJ2870" s="44">
        <f t="shared" si="233"/>
        <v>2.8959999999999999</v>
      </c>
      <c r="AP2870" s="46">
        <f t="shared" si="234"/>
        <v>0.20100000000000001</v>
      </c>
    </row>
    <row r="2871" spans="19:42" ht="18">
      <c r="S2871" s="8">
        <f t="shared" si="235"/>
        <v>0</v>
      </c>
      <c r="W2871" s="3">
        <v>2897</v>
      </c>
      <c r="X2871" s="30">
        <v>200.92500000000001</v>
      </c>
      <c r="Y2871" s="33">
        <f t="shared" si="232"/>
        <v>0.20100000000000001</v>
      </c>
      <c r="AH2871" s="45">
        <f t="shared" si="236"/>
        <v>0</v>
      </c>
      <c r="AJ2871" s="44">
        <f t="shared" si="233"/>
        <v>2.8969999999999998</v>
      </c>
      <c r="AP2871" s="46">
        <f t="shared" si="234"/>
        <v>0.20100000000000001</v>
      </c>
    </row>
    <row r="2872" spans="19:42" ht="18">
      <c r="S2872" s="8">
        <f t="shared" si="235"/>
        <v>0</v>
      </c>
      <c r="W2872" s="3">
        <v>2898</v>
      </c>
      <c r="X2872" s="30">
        <v>200.95</v>
      </c>
      <c r="Y2872" s="33">
        <f t="shared" si="232"/>
        <v>0.20100000000000001</v>
      </c>
      <c r="AH2872" s="45">
        <f t="shared" si="236"/>
        <v>0</v>
      </c>
      <c r="AJ2872" s="44">
        <f t="shared" si="233"/>
        <v>2.8980000000000001</v>
      </c>
      <c r="AP2872" s="46">
        <f t="shared" si="234"/>
        <v>0.20100000000000001</v>
      </c>
    </row>
    <row r="2873" spans="19:42" ht="18">
      <c r="S2873" s="8">
        <f t="shared" si="235"/>
        <v>0</v>
      </c>
      <c r="W2873" s="3">
        <v>2899</v>
      </c>
      <c r="X2873" s="30">
        <v>200.97499999999999</v>
      </c>
      <c r="Y2873" s="33">
        <f t="shared" si="232"/>
        <v>0.20100000000000001</v>
      </c>
      <c r="AH2873" s="45">
        <f t="shared" si="236"/>
        <v>0</v>
      </c>
      <c r="AJ2873" s="44">
        <f t="shared" si="233"/>
        <v>2.899</v>
      </c>
      <c r="AP2873" s="46">
        <f t="shared" si="234"/>
        <v>0.20100000000000001</v>
      </c>
    </row>
    <row r="2874" spans="19:42" ht="18">
      <c r="S2874" s="8">
        <f t="shared" si="235"/>
        <v>0</v>
      </c>
      <c r="W2874" s="3">
        <v>2900</v>
      </c>
      <c r="X2874" s="30">
        <v>201</v>
      </c>
      <c r="Y2874" s="33">
        <f t="shared" si="232"/>
        <v>0.20100000000000001</v>
      </c>
      <c r="AH2874" s="45">
        <f t="shared" si="236"/>
        <v>0</v>
      </c>
      <c r="AJ2874" s="44">
        <f t="shared" si="233"/>
        <v>2.9</v>
      </c>
      <c r="AP2874" s="46">
        <f t="shared" si="234"/>
        <v>0.20100000000000001</v>
      </c>
    </row>
    <row r="2875" spans="19:42" ht="18">
      <c r="S2875" s="8">
        <f t="shared" si="235"/>
        <v>0</v>
      </c>
      <c r="W2875" s="3">
        <v>2901</v>
      </c>
      <c r="X2875" s="30">
        <v>201.02500000000001</v>
      </c>
      <c r="Y2875" s="33">
        <f t="shared" si="232"/>
        <v>0.20100000000000001</v>
      </c>
      <c r="AH2875" s="45">
        <f t="shared" si="236"/>
        <v>0</v>
      </c>
      <c r="AJ2875" s="44">
        <f t="shared" si="233"/>
        <v>2.9009999999999998</v>
      </c>
      <c r="AP2875" s="46">
        <f t="shared" si="234"/>
        <v>0.20100000000000001</v>
      </c>
    </row>
    <row r="2876" spans="19:42" ht="18">
      <c r="S2876" s="8">
        <f t="shared" si="235"/>
        <v>0</v>
      </c>
      <c r="W2876" s="3">
        <v>2902</v>
      </c>
      <c r="X2876" s="30">
        <v>201.05</v>
      </c>
      <c r="Y2876" s="33">
        <f t="shared" si="232"/>
        <v>0.20100000000000001</v>
      </c>
      <c r="AH2876" s="45">
        <f t="shared" si="236"/>
        <v>0</v>
      </c>
      <c r="AJ2876" s="44">
        <f t="shared" si="233"/>
        <v>2.9020000000000001</v>
      </c>
      <c r="AP2876" s="46">
        <f t="shared" si="234"/>
        <v>0.20100000000000001</v>
      </c>
    </row>
    <row r="2877" spans="19:42" ht="18">
      <c r="S2877" s="8">
        <f t="shared" si="235"/>
        <v>0</v>
      </c>
      <c r="W2877" s="3">
        <v>2903</v>
      </c>
      <c r="X2877" s="30">
        <v>201.07499999999999</v>
      </c>
      <c r="Y2877" s="33">
        <f t="shared" si="232"/>
        <v>0.20100000000000001</v>
      </c>
      <c r="AH2877" s="45">
        <f t="shared" si="236"/>
        <v>0</v>
      </c>
      <c r="AJ2877" s="44">
        <f t="shared" si="233"/>
        <v>2.903</v>
      </c>
      <c r="AP2877" s="46">
        <f t="shared" si="234"/>
        <v>0.20100000000000001</v>
      </c>
    </row>
    <row r="2878" spans="19:42" ht="18">
      <c r="S2878" s="8">
        <f t="shared" si="235"/>
        <v>0</v>
      </c>
      <c r="W2878" s="3">
        <v>2904</v>
      </c>
      <c r="X2878" s="30">
        <v>201.1</v>
      </c>
      <c r="Y2878" s="33">
        <f t="shared" si="232"/>
        <v>0.20100000000000001</v>
      </c>
      <c r="AH2878" s="45">
        <f t="shared" si="236"/>
        <v>0</v>
      </c>
      <c r="AJ2878" s="44">
        <f t="shared" si="233"/>
        <v>2.9039999999999999</v>
      </c>
      <c r="AP2878" s="46">
        <f t="shared" si="234"/>
        <v>0.20100000000000001</v>
      </c>
    </row>
    <row r="2879" spans="19:42" ht="18">
      <c r="S2879" s="8">
        <f t="shared" si="235"/>
        <v>0</v>
      </c>
      <c r="W2879" s="3">
        <v>2905</v>
      </c>
      <c r="X2879" s="30">
        <v>201.125</v>
      </c>
      <c r="Y2879" s="33">
        <f t="shared" si="232"/>
        <v>0.20100000000000001</v>
      </c>
      <c r="AH2879" s="45">
        <f t="shared" si="236"/>
        <v>0</v>
      </c>
      <c r="AJ2879" s="44">
        <f t="shared" si="233"/>
        <v>2.9049999999999998</v>
      </c>
      <c r="AP2879" s="46">
        <f t="shared" si="234"/>
        <v>0.20100000000000001</v>
      </c>
    </row>
    <row r="2880" spans="19:42" ht="18">
      <c r="S2880" s="8">
        <f t="shared" si="235"/>
        <v>0</v>
      </c>
      <c r="W2880" s="3">
        <v>2906</v>
      </c>
      <c r="X2880" s="30">
        <v>201.15</v>
      </c>
      <c r="Y2880" s="33">
        <f t="shared" si="232"/>
        <v>0.20100000000000001</v>
      </c>
      <c r="AH2880" s="45">
        <f t="shared" si="236"/>
        <v>0</v>
      </c>
      <c r="AJ2880" s="44">
        <f t="shared" si="233"/>
        <v>2.9060000000000001</v>
      </c>
      <c r="AP2880" s="46">
        <f t="shared" si="234"/>
        <v>0.20100000000000001</v>
      </c>
    </row>
    <row r="2881" spans="19:42" ht="18">
      <c r="S2881" s="8">
        <f t="shared" si="235"/>
        <v>0</v>
      </c>
      <c r="W2881" s="3">
        <v>2907</v>
      </c>
      <c r="X2881" s="30">
        <v>201.17500000000001</v>
      </c>
      <c r="Y2881" s="33">
        <f t="shared" si="232"/>
        <v>0.20100000000000001</v>
      </c>
      <c r="AH2881" s="45">
        <f t="shared" si="236"/>
        <v>0</v>
      </c>
      <c r="AJ2881" s="44">
        <f t="shared" si="233"/>
        <v>2.907</v>
      </c>
      <c r="AP2881" s="46">
        <f t="shared" si="234"/>
        <v>0.20100000000000001</v>
      </c>
    </row>
    <row r="2882" spans="19:42" ht="18">
      <c r="S2882" s="8">
        <f t="shared" si="235"/>
        <v>0</v>
      </c>
      <c r="W2882" s="3">
        <v>2908</v>
      </c>
      <c r="X2882" s="30">
        <v>201.2</v>
      </c>
      <c r="Y2882" s="33">
        <f t="shared" si="232"/>
        <v>0.20100000000000001</v>
      </c>
      <c r="AH2882" s="45">
        <f t="shared" si="236"/>
        <v>0</v>
      </c>
      <c r="AJ2882" s="44">
        <f t="shared" si="233"/>
        <v>2.9079999999999999</v>
      </c>
      <c r="AP2882" s="46">
        <f t="shared" si="234"/>
        <v>0.20100000000000001</v>
      </c>
    </row>
    <row r="2883" spans="19:42" ht="18">
      <c r="S2883" s="8">
        <f t="shared" si="235"/>
        <v>0</v>
      </c>
      <c r="W2883" s="3">
        <v>2909</v>
      </c>
      <c r="X2883" s="30">
        <v>201.22499999999999</v>
      </c>
      <c r="Y2883" s="33">
        <f t="shared" si="232"/>
        <v>0.20100000000000001</v>
      </c>
      <c r="AH2883" s="45">
        <f t="shared" si="236"/>
        <v>0</v>
      </c>
      <c r="AJ2883" s="44">
        <f t="shared" si="233"/>
        <v>2.9089999999999998</v>
      </c>
      <c r="AP2883" s="46">
        <f t="shared" si="234"/>
        <v>0.20100000000000001</v>
      </c>
    </row>
    <row r="2884" spans="19:42" ht="18">
      <c r="S2884" s="8">
        <f t="shared" si="235"/>
        <v>0</v>
      </c>
      <c r="W2884" s="3">
        <v>2910</v>
      </c>
      <c r="X2884" s="30">
        <v>201.25</v>
      </c>
      <c r="Y2884" s="33">
        <f t="shared" si="232"/>
        <v>0.20100000000000001</v>
      </c>
      <c r="AH2884" s="45">
        <f t="shared" si="236"/>
        <v>0</v>
      </c>
      <c r="AJ2884" s="44">
        <f t="shared" si="233"/>
        <v>2.91</v>
      </c>
      <c r="AP2884" s="46">
        <f t="shared" si="234"/>
        <v>0.20100000000000001</v>
      </c>
    </row>
    <row r="2885" spans="19:42" ht="18">
      <c r="S2885" s="8">
        <f t="shared" si="235"/>
        <v>0</v>
      </c>
      <c r="W2885" s="3">
        <v>2911</v>
      </c>
      <c r="X2885" s="30">
        <v>201.27500000000001</v>
      </c>
      <c r="Y2885" s="33">
        <f t="shared" ref="Y2885:Y2948" si="237">ROUND(X2885/1000,3)</f>
        <v>0.20100000000000001</v>
      </c>
      <c r="AH2885" s="45">
        <f t="shared" si="236"/>
        <v>0</v>
      </c>
      <c r="AJ2885" s="44">
        <f t="shared" ref="AJ2885:AJ2948" si="238">ROUND(W2885/1000,3)</f>
        <v>2.911</v>
      </c>
      <c r="AP2885" s="46">
        <f t="shared" ref="AP2885:AP2948" si="239">ROUND(X2885/1000,3)</f>
        <v>0.20100000000000001</v>
      </c>
    </row>
    <row r="2886" spans="19:42" ht="18">
      <c r="S2886" s="8">
        <f t="shared" ref="S2886:S2949" si="240">CEILING(R2886/50,0.5)</f>
        <v>0</v>
      </c>
      <c r="W2886" s="3">
        <v>2912</v>
      </c>
      <c r="X2886" s="30">
        <v>201.3</v>
      </c>
      <c r="Y2886" s="33">
        <f t="shared" si="237"/>
        <v>0.20100000000000001</v>
      </c>
      <c r="AH2886" s="45">
        <f t="shared" ref="AH2886:AH2949" si="241">AE2886-AE2885</f>
        <v>0</v>
      </c>
      <c r="AJ2886" s="44">
        <f t="shared" si="238"/>
        <v>2.9119999999999999</v>
      </c>
      <c r="AP2886" s="46">
        <f t="shared" si="239"/>
        <v>0.20100000000000001</v>
      </c>
    </row>
    <row r="2887" spans="19:42" ht="18">
      <c r="S2887" s="8">
        <f t="shared" si="240"/>
        <v>0</v>
      </c>
      <c r="W2887" s="3">
        <v>2913</v>
      </c>
      <c r="X2887" s="30">
        <v>201.32499999999999</v>
      </c>
      <c r="Y2887" s="33">
        <f t="shared" si="237"/>
        <v>0.20100000000000001</v>
      </c>
      <c r="AH2887" s="45">
        <f t="shared" si="241"/>
        <v>0</v>
      </c>
      <c r="AJ2887" s="44">
        <f t="shared" si="238"/>
        <v>2.9129999999999998</v>
      </c>
      <c r="AP2887" s="46">
        <f t="shared" si="239"/>
        <v>0.20100000000000001</v>
      </c>
    </row>
    <row r="2888" spans="19:42" ht="18">
      <c r="S2888" s="8">
        <f t="shared" si="240"/>
        <v>0</v>
      </c>
      <c r="W2888" s="3">
        <v>2914</v>
      </c>
      <c r="X2888" s="30">
        <v>201.35</v>
      </c>
      <c r="Y2888" s="33">
        <f t="shared" si="237"/>
        <v>0.20100000000000001</v>
      </c>
      <c r="AH2888" s="45">
        <f t="shared" si="241"/>
        <v>0</v>
      </c>
      <c r="AJ2888" s="44">
        <f t="shared" si="238"/>
        <v>2.9140000000000001</v>
      </c>
      <c r="AP2888" s="46">
        <f t="shared" si="239"/>
        <v>0.20100000000000001</v>
      </c>
    </row>
    <row r="2889" spans="19:42" ht="18">
      <c r="S2889" s="8">
        <f t="shared" si="240"/>
        <v>0</v>
      </c>
      <c r="W2889" s="3">
        <v>2915</v>
      </c>
      <c r="X2889" s="30">
        <v>201.375</v>
      </c>
      <c r="Y2889" s="33">
        <f t="shared" si="237"/>
        <v>0.20100000000000001</v>
      </c>
      <c r="AH2889" s="45">
        <f t="shared" si="241"/>
        <v>0</v>
      </c>
      <c r="AJ2889" s="44">
        <f t="shared" si="238"/>
        <v>2.915</v>
      </c>
      <c r="AP2889" s="46">
        <f t="shared" si="239"/>
        <v>0.20100000000000001</v>
      </c>
    </row>
    <row r="2890" spans="19:42" ht="18">
      <c r="S2890" s="8">
        <f t="shared" si="240"/>
        <v>0</v>
      </c>
      <c r="W2890" s="3">
        <v>2916</v>
      </c>
      <c r="X2890" s="30">
        <v>201.4</v>
      </c>
      <c r="Y2890" s="33">
        <f t="shared" si="237"/>
        <v>0.20100000000000001</v>
      </c>
      <c r="AH2890" s="45">
        <f t="shared" si="241"/>
        <v>0</v>
      </c>
      <c r="AJ2890" s="44">
        <f t="shared" si="238"/>
        <v>2.9159999999999999</v>
      </c>
      <c r="AP2890" s="46">
        <f t="shared" si="239"/>
        <v>0.20100000000000001</v>
      </c>
    </row>
    <row r="2891" spans="19:42" ht="18">
      <c r="S2891" s="8">
        <f t="shared" si="240"/>
        <v>0</v>
      </c>
      <c r="W2891" s="3">
        <v>2917</v>
      </c>
      <c r="X2891" s="30">
        <v>201.42500000000001</v>
      </c>
      <c r="Y2891" s="33">
        <f t="shared" si="237"/>
        <v>0.20100000000000001</v>
      </c>
      <c r="AH2891" s="45">
        <f t="shared" si="241"/>
        <v>0</v>
      </c>
      <c r="AJ2891" s="44">
        <f t="shared" si="238"/>
        <v>2.9169999999999998</v>
      </c>
      <c r="AP2891" s="46">
        <f t="shared" si="239"/>
        <v>0.20100000000000001</v>
      </c>
    </row>
    <row r="2892" spans="19:42" ht="18">
      <c r="S2892" s="8">
        <f t="shared" si="240"/>
        <v>0</v>
      </c>
      <c r="W2892" s="3">
        <v>2918</v>
      </c>
      <c r="X2892" s="30">
        <v>201.45</v>
      </c>
      <c r="Y2892" s="33">
        <f t="shared" si="237"/>
        <v>0.20100000000000001</v>
      </c>
      <c r="AH2892" s="45">
        <f t="shared" si="241"/>
        <v>0</v>
      </c>
      <c r="AJ2892" s="44">
        <f t="shared" si="238"/>
        <v>2.9180000000000001</v>
      </c>
      <c r="AP2892" s="46">
        <f t="shared" si="239"/>
        <v>0.20100000000000001</v>
      </c>
    </row>
    <row r="2893" spans="19:42" ht="18">
      <c r="S2893" s="8">
        <f t="shared" si="240"/>
        <v>0</v>
      </c>
      <c r="W2893" s="3">
        <v>2919</v>
      </c>
      <c r="X2893" s="30">
        <v>201.47499999999999</v>
      </c>
      <c r="Y2893" s="33">
        <f t="shared" si="237"/>
        <v>0.20100000000000001</v>
      </c>
      <c r="AH2893" s="45">
        <f t="shared" si="241"/>
        <v>0</v>
      </c>
      <c r="AJ2893" s="44">
        <f t="shared" si="238"/>
        <v>2.919</v>
      </c>
      <c r="AP2893" s="46">
        <f t="shared" si="239"/>
        <v>0.20100000000000001</v>
      </c>
    </row>
    <row r="2894" spans="19:42" ht="18">
      <c r="S2894" s="8">
        <f t="shared" si="240"/>
        <v>0</v>
      </c>
      <c r="W2894" s="3">
        <v>2920</v>
      </c>
      <c r="X2894" s="30">
        <v>201.5</v>
      </c>
      <c r="Y2894" s="33">
        <f t="shared" si="237"/>
        <v>0.20200000000000001</v>
      </c>
      <c r="AH2894" s="45">
        <f t="shared" si="241"/>
        <v>0</v>
      </c>
      <c r="AJ2894" s="44">
        <f t="shared" si="238"/>
        <v>2.92</v>
      </c>
      <c r="AP2894" s="46">
        <f t="shared" si="239"/>
        <v>0.20200000000000001</v>
      </c>
    </row>
    <row r="2895" spans="19:42" ht="18">
      <c r="S2895" s="8">
        <f t="shared" si="240"/>
        <v>0</v>
      </c>
      <c r="W2895" s="3">
        <v>2921</v>
      </c>
      <c r="X2895" s="30">
        <v>201.52500000000001</v>
      </c>
      <c r="Y2895" s="33">
        <f t="shared" si="237"/>
        <v>0.20200000000000001</v>
      </c>
      <c r="AH2895" s="45">
        <f t="shared" si="241"/>
        <v>0</v>
      </c>
      <c r="AJ2895" s="44">
        <f t="shared" si="238"/>
        <v>2.9209999999999998</v>
      </c>
      <c r="AP2895" s="46">
        <f t="shared" si="239"/>
        <v>0.20200000000000001</v>
      </c>
    </row>
    <row r="2896" spans="19:42" ht="18">
      <c r="S2896" s="8">
        <f t="shared" si="240"/>
        <v>0</v>
      </c>
      <c r="W2896" s="3">
        <v>2922</v>
      </c>
      <c r="X2896" s="30">
        <v>201.55</v>
      </c>
      <c r="Y2896" s="33">
        <f t="shared" si="237"/>
        <v>0.20200000000000001</v>
      </c>
      <c r="AH2896" s="45">
        <f t="shared" si="241"/>
        <v>0</v>
      </c>
      <c r="AJ2896" s="44">
        <f t="shared" si="238"/>
        <v>2.9220000000000002</v>
      </c>
      <c r="AP2896" s="46">
        <f t="shared" si="239"/>
        <v>0.20200000000000001</v>
      </c>
    </row>
    <row r="2897" spans="19:42" ht="18">
      <c r="S2897" s="8">
        <f t="shared" si="240"/>
        <v>0</v>
      </c>
      <c r="W2897" s="3">
        <v>2923</v>
      </c>
      <c r="X2897" s="30">
        <v>201.57499999999999</v>
      </c>
      <c r="Y2897" s="33">
        <f t="shared" si="237"/>
        <v>0.20200000000000001</v>
      </c>
      <c r="AH2897" s="45">
        <f t="shared" si="241"/>
        <v>0</v>
      </c>
      <c r="AJ2897" s="44">
        <f t="shared" si="238"/>
        <v>2.923</v>
      </c>
      <c r="AP2897" s="46">
        <f t="shared" si="239"/>
        <v>0.20200000000000001</v>
      </c>
    </row>
    <row r="2898" spans="19:42" ht="18">
      <c r="S2898" s="8">
        <f t="shared" si="240"/>
        <v>0</v>
      </c>
      <c r="W2898" s="3">
        <v>2924</v>
      </c>
      <c r="X2898" s="30">
        <v>201.6</v>
      </c>
      <c r="Y2898" s="33">
        <f t="shared" si="237"/>
        <v>0.20200000000000001</v>
      </c>
      <c r="AH2898" s="45">
        <f t="shared" si="241"/>
        <v>0</v>
      </c>
      <c r="AJ2898" s="44">
        <f t="shared" si="238"/>
        <v>2.9239999999999999</v>
      </c>
      <c r="AP2898" s="46">
        <f t="shared" si="239"/>
        <v>0.20200000000000001</v>
      </c>
    </row>
    <row r="2899" spans="19:42" ht="18">
      <c r="S2899" s="8">
        <f t="shared" si="240"/>
        <v>0</v>
      </c>
      <c r="W2899" s="3">
        <v>2925</v>
      </c>
      <c r="X2899" s="30">
        <v>201.625</v>
      </c>
      <c r="Y2899" s="33">
        <f t="shared" si="237"/>
        <v>0.20200000000000001</v>
      </c>
      <c r="AH2899" s="45">
        <f t="shared" si="241"/>
        <v>0</v>
      </c>
      <c r="AJ2899" s="44">
        <f t="shared" si="238"/>
        <v>2.9249999999999998</v>
      </c>
      <c r="AP2899" s="46">
        <f t="shared" si="239"/>
        <v>0.20200000000000001</v>
      </c>
    </row>
    <row r="2900" spans="19:42" ht="18">
      <c r="S2900" s="8">
        <f t="shared" si="240"/>
        <v>0</v>
      </c>
      <c r="W2900" s="3">
        <v>2926</v>
      </c>
      <c r="X2900" s="30">
        <v>201.65</v>
      </c>
      <c r="Y2900" s="33">
        <f t="shared" si="237"/>
        <v>0.20200000000000001</v>
      </c>
      <c r="AH2900" s="45">
        <f t="shared" si="241"/>
        <v>0</v>
      </c>
      <c r="AJ2900" s="44">
        <f t="shared" si="238"/>
        <v>2.9260000000000002</v>
      </c>
      <c r="AP2900" s="46">
        <f t="shared" si="239"/>
        <v>0.20200000000000001</v>
      </c>
    </row>
    <row r="2901" spans="19:42" ht="18">
      <c r="S2901" s="8">
        <f t="shared" si="240"/>
        <v>0</v>
      </c>
      <c r="W2901" s="3">
        <v>2927</v>
      </c>
      <c r="X2901" s="30">
        <v>201.67500000000001</v>
      </c>
      <c r="Y2901" s="33">
        <f t="shared" si="237"/>
        <v>0.20200000000000001</v>
      </c>
      <c r="AH2901" s="45">
        <f t="shared" si="241"/>
        <v>0</v>
      </c>
      <c r="AJ2901" s="44">
        <f t="shared" si="238"/>
        <v>2.927</v>
      </c>
      <c r="AP2901" s="46">
        <f t="shared" si="239"/>
        <v>0.20200000000000001</v>
      </c>
    </row>
    <row r="2902" spans="19:42" ht="18">
      <c r="S2902" s="8">
        <f t="shared" si="240"/>
        <v>0</v>
      </c>
      <c r="W2902" s="3">
        <v>2928</v>
      </c>
      <c r="X2902" s="30">
        <v>201.7</v>
      </c>
      <c r="Y2902" s="33">
        <f t="shared" si="237"/>
        <v>0.20200000000000001</v>
      </c>
      <c r="AH2902" s="45">
        <f t="shared" si="241"/>
        <v>0</v>
      </c>
      <c r="AJ2902" s="44">
        <f t="shared" si="238"/>
        <v>2.9279999999999999</v>
      </c>
      <c r="AP2902" s="46">
        <f t="shared" si="239"/>
        <v>0.20200000000000001</v>
      </c>
    </row>
    <row r="2903" spans="19:42" ht="18">
      <c r="S2903" s="8">
        <f t="shared" si="240"/>
        <v>0</v>
      </c>
      <c r="W2903" s="3">
        <v>2929</v>
      </c>
      <c r="X2903" s="30">
        <v>201.72499999999999</v>
      </c>
      <c r="Y2903" s="33">
        <f t="shared" si="237"/>
        <v>0.20200000000000001</v>
      </c>
      <c r="AH2903" s="45">
        <f t="shared" si="241"/>
        <v>0</v>
      </c>
      <c r="AJ2903" s="44">
        <f t="shared" si="238"/>
        <v>2.9289999999999998</v>
      </c>
      <c r="AP2903" s="46">
        <f t="shared" si="239"/>
        <v>0.20200000000000001</v>
      </c>
    </row>
    <row r="2904" spans="19:42" ht="18">
      <c r="S2904" s="8">
        <f t="shared" si="240"/>
        <v>0</v>
      </c>
      <c r="W2904" s="3">
        <v>2930</v>
      </c>
      <c r="X2904" s="30">
        <v>201.75</v>
      </c>
      <c r="Y2904" s="33">
        <f t="shared" si="237"/>
        <v>0.20200000000000001</v>
      </c>
      <c r="AH2904" s="45">
        <f t="shared" si="241"/>
        <v>0</v>
      </c>
      <c r="AJ2904" s="44">
        <f t="shared" si="238"/>
        <v>2.93</v>
      </c>
      <c r="AP2904" s="46">
        <f t="shared" si="239"/>
        <v>0.20200000000000001</v>
      </c>
    </row>
    <row r="2905" spans="19:42" ht="18">
      <c r="S2905" s="8">
        <f t="shared" si="240"/>
        <v>0</v>
      </c>
      <c r="W2905" s="3">
        <v>2931</v>
      </c>
      <c r="X2905" s="30">
        <v>201.77500000000001</v>
      </c>
      <c r="Y2905" s="33">
        <f t="shared" si="237"/>
        <v>0.20200000000000001</v>
      </c>
      <c r="AH2905" s="45">
        <f t="shared" si="241"/>
        <v>0</v>
      </c>
      <c r="AJ2905" s="44">
        <f t="shared" si="238"/>
        <v>2.931</v>
      </c>
      <c r="AP2905" s="46">
        <f t="shared" si="239"/>
        <v>0.20200000000000001</v>
      </c>
    </row>
    <row r="2906" spans="19:42" ht="18">
      <c r="S2906" s="8">
        <f t="shared" si="240"/>
        <v>0</v>
      </c>
      <c r="W2906" s="3">
        <v>2932</v>
      </c>
      <c r="X2906" s="30">
        <v>201.8</v>
      </c>
      <c r="Y2906" s="33">
        <f t="shared" si="237"/>
        <v>0.20200000000000001</v>
      </c>
      <c r="AH2906" s="45">
        <f t="shared" si="241"/>
        <v>0</v>
      </c>
      <c r="AJ2906" s="44">
        <f t="shared" si="238"/>
        <v>2.9319999999999999</v>
      </c>
      <c r="AP2906" s="46">
        <f t="shared" si="239"/>
        <v>0.20200000000000001</v>
      </c>
    </row>
    <row r="2907" spans="19:42" ht="18">
      <c r="S2907" s="8">
        <f t="shared" si="240"/>
        <v>0</v>
      </c>
      <c r="W2907" s="3">
        <v>2933</v>
      </c>
      <c r="X2907" s="30">
        <v>201.82499999999999</v>
      </c>
      <c r="Y2907" s="33">
        <f t="shared" si="237"/>
        <v>0.20200000000000001</v>
      </c>
      <c r="AH2907" s="45">
        <f t="shared" si="241"/>
        <v>0</v>
      </c>
      <c r="AJ2907" s="44">
        <f t="shared" si="238"/>
        <v>2.9329999999999998</v>
      </c>
      <c r="AP2907" s="46">
        <f t="shared" si="239"/>
        <v>0.20200000000000001</v>
      </c>
    </row>
    <row r="2908" spans="19:42" ht="18">
      <c r="S2908" s="8">
        <f t="shared" si="240"/>
        <v>0</v>
      </c>
      <c r="W2908" s="3">
        <v>2934</v>
      </c>
      <c r="X2908" s="30">
        <v>201.85</v>
      </c>
      <c r="Y2908" s="33">
        <f t="shared" si="237"/>
        <v>0.20200000000000001</v>
      </c>
      <c r="AH2908" s="45">
        <f t="shared" si="241"/>
        <v>0</v>
      </c>
      <c r="AJ2908" s="44">
        <f t="shared" si="238"/>
        <v>2.9340000000000002</v>
      </c>
      <c r="AP2908" s="46">
        <f t="shared" si="239"/>
        <v>0.20200000000000001</v>
      </c>
    </row>
    <row r="2909" spans="19:42" ht="18">
      <c r="S2909" s="8">
        <f t="shared" si="240"/>
        <v>0</v>
      </c>
      <c r="W2909" s="3">
        <v>2935</v>
      </c>
      <c r="X2909" s="30">
        <v>201.875</v>
      </c>
      <c r="Y2909" s="33">
        <f t="shared" si="237"/>
        <v>0.20200000000000001</v>
      </c>
      <c r="AH2909" s="45">
        <f t="shared" si="241"/>
        <v>0</v>
      </c>
      <c r="AJ2909" s="44">
        <f t="shared" si="238"/>
        <v>2.9350000000000001</v>
      </c>
      <c r="AP2909" s="46">
        <f t="shared" si="239"/>
        <v>0.20200000000000001</v>
      </c>
    </row>
    <row r="2910" spans="19:42" ht="18">
      <c r="S2910" s="8">
        <f t="shared" si="240"/>
        <v>0</v>
      </c>
      <c r="W2910" s="3">
        <v>2936</v>
      </c>
      <c r="X2910" s="30">
        <v>201.9</v>
      </c>
      <c r="Y2910" s="33">
        <f t="shared" si="237"/>
        <v>0.20200000000000001</v>
      </c>
      <c r="AH2910" s="45">
        <f t="shared" si="241"/>
        <v>0</v>
      </c>
      <c r="AJ2910" s="44">
        <f t="shared" si="238"/>
        <v>2.9359999999999999</v>
      </c>
      <c r="AP2910" s="46">
        <f t="shared" si="239"/>
        <v>0.20200000000000001</v>
      </c>
    </row>
    <row r="2911" spans="19:42" ht="18">
      <c r="S2911" s="8">
        <f t="shared" si="240"/>
        <v>0</v>
      </c>
      <c r="W2911" s="3">
        <v>2937</v>
      </c>
      <c r="X2911" s="30">
        <v>201.92500000000001</v>
      </c>
      <c r="Y2911" s="33">
        <f t="shared" si="237"/>
        <v>0.20200000000000001</v>
      </c>
      <c r="AH2911" s="45">
        <f t="shared" si="241"/>
        <v>0</v>
      </c>
      <c r="AJ2911" s="44">
        <f t="shared" si="238"/>
        <v>2.9369999999999998</v>
      </c>
      <c r="AP2911" s="46">
        <f t="shared" si="239"/>
        <v>0.20200000000000001</v>
      </c>
    </row>
    <row r="2912" spans="19:42" ht="18">
      <c r="S2912" s="8">
        <f t="shared" si="240"/>
        <v>0</v>
      </c>
      <c r="W2912" s="3">
        <v>2938</v>
      </c>
      <c r="X2912" s="30">
        <v>201.95</v>
      </c>
      <c r="Y2912" s="33">
        <f t="shared" si="237"/>
        <v>0.20200000000000001</v>
      </c>
      <c r="AH2912" s="45">
        <f t="shared" si="241"/>
        <v>0</v>
      </c>
      <c r="AJ2912" s="44">
        <f t="shared" si="238"/>
        <v>2.9380000000000002</v>
      </c>
      <c r="AP2912" s="46">
        <f t="shared" si="239"/>
        <v>0.20200000000000001</v>
      </c>
    </row>
    <row r="2913" spans="19:42" ht="18">
      <c r="S2913" s="8">
        <f t="shared" si="240"/>
        <v>0</v>
      </c>
      <c r="W2913" s="3">
        <v>2939</v>
      </c>
      <c r="X2913" s="30">
        <v>201.97499999999999</v>
      </c>
      <c r="Y2913" s="33">
        <f t="shared" si="237"/>
        <v>0.20200000000000001</v>
      </c>
      <c r="AH2913" s="45">
        <f t="shared" si="241"/>
        <v>0</v>
      </c>
      <c r="AJ2913" s="44">
        <f t="shared" si="238"/>
        <v>2.9390000000000001</v>
      </c>
      <c r="AP2913" s="46">
        <f t="shared" si="239"/>
        <v>0.20200000000000001</v>
      </c>
    </row>
    <row r="2914" spans="19:42" ht="18">
      <c r="S2914" s="8">
        <f t="shared" si="240"/>
        <v>0</v>
      </c>
      <c r="W2914" s="3">
        <v>2940</v>
      </c>
      <c r="X2914" s="30">
        <v>202</v>
      </c>
      <c r="Y2914" s="33">
        <f t="shared" si="237"/>
        <v>0.20200000000000001</v>
      </c>
      <c r="AH2914" s="45">
        <f t="shared" si="241"/>
        <v>0</v>
      </c>
      <c r="AJ2914" s="44">
        <f t="shared" si="238"/>
        <v>2.94</v>
      </c>
      <c r="AP2914" s="46">
        <f t="shared" si="239"/>
        <v>0.20200000000000001</v>
      </c>
    </row>
    <row r="2915" spans="19:42" ht="18">
      <c r="S2915" s="8">
        <f t="shared" si="240"/>
        <v>0</v>
      </c>
      <c r="W2915" s="3">
        <v>2941</v>
      </c>
      <c r="X2915" s="30">
        <v>202.05</v>
      </c>
      <c r="Y2915" s="33">
        <f t="shared" si="237"/>
        <v>0.20200000000000001</v>
      </c>
      <c r="AH2915" s="45">
        <f t="shared" si="241"/>
        <v>0</v>
      </c>
      <c r="AJ2915" s="44">
        <f t="shared" si="238"/>
        <v>2.9409999999999998</v>
      </c>
      <c r="AP2915" s="46">
        <f t="shared" si="239"/>
        <v>0.20200000000000001</v>
      </c>
    </row>
    <row r="2916" spans="19:42" ht="18">
      <c r="S2916" s="8">
        <f t="shared" si="240"/>
        <v>0</v>
      </c>
      <c r="W2916" s="3">
        <v>2942</v>
      </c>
      <c r="X2916" s="30">
        <v>202.1</v>
      </c>
      <c r="Y2916" s="33">
        <f t="shared" si="237"/>
        <v>0.20200000000000001</v>
      </c>
      <c r="AH2916" s="45">
        <f t="shared" si="241"/>
        <v>0</v>
      </c>
      <c r="AJ2916" s="44">
        <f t="shared" si="238"/>
        <v>2.9420000000000002</v>
      </c>
      <c r="AP2916" s="46">
        <f t="shared" si="239"/>
        <v>0.20200000000000001</v>
      </c>
    </row>
    <row r="2917" spans="19:42" ht="18">
      <c r="S2917" s="8">
        <f t="shared" si="240"/>
        <v>0</v>
      </c>
      <c r="W2917" s="3">
        <v>2943</v>
      </c>
      <c r="X2917" s="30">
        <v>202.15</v>
      </c>
      <c r="Y2917" s="33">
        <f t="shared" si="237"/>
        <v>0.20200000000000001</v>
      </c>
      <c r="AH2917" s="45">
        <f t="shared" si="241"/>
        <v>0</v>
      </c>
      <c r="AJ2917" s="44">
        <f t="shared" si="238"/>
        <v>2.9430000000000001</v>
      </c>
      <c r="AP2917" s="46">
        <f t="shared" si="239"/>
        <v>0.20200000000000001</v>
      </c>
    </row>
    <row r="2918" spans="19:42" ht="18">
      <c r="S2918" s="8">
        <f t="shared" si="240"/>
        <v>0</v>
      </c>
      <c r="W2918" s="3">
        <v>2944</v>
      </c>
      <c r="X2918" s="30">
        <v>202.2</v>
      </c>
      <c r="Y2918" s="33">
        <f t="shared" si="237"/>
        <v>0.20200000000000001</v>
      </c>
      <c r="AH2918" s="45">
        <f t="shared" si="241"/>
        <v>0</v>
      </c>
      <c r="AJ2918" s="44">
        <f t="shared" si="238"/>
        <v>2.944</v>
      </c>
      <c r="AP2918" s="46">
        <f t="shared" si="239"/>
        <v>0.20200000000000001</v>
      </c>
    </row>
    <row r="2919" spans="19:42" ht="18">
      <c r="S2919" s="8">
        <f t="shared" si="240"/>
        <v>0</v>
      </c>
      <c r="W2919" s="3">
        <v>2945</v>
      </c>
      <c r="X2919" s="30">
        <v>202.25</v>
      </c>
      <c r="Y2919" s="33">
        <f t="shared" si="237"/>
        <v>0.20200000000000001</v>
      </c>
      <c r="AH2919" s="45">
        <f t="shared" si="241"/>
        <v>0</v>
      </c>
      <c r="AJ2919" s="44">
        <f t="shared" si="238"/>
        <v>2.9449999999999998</v>
      </c>
      <c r="AP2919" s="46">
        <f t="shared" si="239"/>
        <v>0.20200000000000001</v>
      </c>
    </row>
    <row r="2920" spans="19:42" ht="18">
      <c r="S2920" s="8">
        <f t="shared" si="240"/>
        <v>0</v>
      </c>
      <c r="W2920" s="3">
        <v>2946</v>
      </c>
      <c r="X2920" s="30">
        <v>202.3</v>
      </c>
      <c r="Y2920" s="33">
        <f t="shared" si="237"/>
        <v>0.20200000000000001</v>
      </c>
      <c r="AH2920" s="45">
        <f t="shared" si="241"/>
        <v>0</v>
      </c>
      <c r="AJ2920" s="44">
        <f t="shared" si="238"/>
        <v>2.9460000000000002</v>
      </c>
      <c r="AP2920" s="46">
        <f t="shared" si="239"/>
        <v>0.20200000000000001</v>
      </c>
    </row>
    <row r="2921" spans="19:42" ht="18">
      <c r="S2921" s="8">
        <f t="shared" si="240"/>
        <v>0</v>
      </c>
      <c r="W2921" s="3">
        <v>2947</v>
      </c>
      <c r="X2921" s="30">
        <v>202.35</v>
      </c>
      <c r="Y2921" s="33">
        <f t="shared" si="237"/>
        <v>0.20200000000000001</v>
      </c>
      <c r="AH2921" s="45">
        <f t="shared" si="241"/>
        <v>0</v>
      </c>
      <c r="AJ2921" s="44">
        <f t="shared" si="238"/>
        <v>2.9470000000000001</v>
      </c>
      <c r="AP2921" s="46">
        <f t="shared" si="239"/>
        <v>0.20200000000000001</v>
      </c>
    </row>
    <row r="2922" spans="19:42" ht="18">
      <c r="S2922" s="8">
        <f t="shared" si="240"/>
        <v>0</v>
      </c>
      <c r="W2922" s="3">
        <v>2948</v>
      </c>
      <c r="X2922" s="30">
        <v>202.4</v>
      </c>
      <c r="Y2922" s="33">
        <f t="shared" si="237"/>
        <v>0.20200000000000001</v>
      </c>
      <c r="AH2922" s="45">
        <f t="shared" si="241"/>
        <v>0</v>
      </c>
      <c r="AJ2922" s="44">
        <f t="shared" si="238"/>
        <v>2.948</v>
      </c>
      <c r="AP2922" s="46">
        <f t="shared" si="239"/>
        <v>0.20200000000000001</v>
      </c>
    </row>
    <row r="2923" spans="19:42" ht="18">
      <c r="S2923" s="8">
        <f t="shared" si="240"/>
        <v>0</v>
      </c>
      <c r="W2923" s="3">
        <v>2949</v>
      </c>
      <c r="X2923" s="30">
        <v>202.45</v>
      </c>
      <c r="Y2923" s="33">
        <f t="shared" si="237"/>
        <v>0.20200000000000001</v>
      </c>
      <c r="AH2923" s="45">
        <f t="shared" si="241"/>
        <v>0</v>
      </c>
      <c r="AJ2923" s="44">
        <f t="shared" si="238"/>
        <v>2.9489999999999998</v>
      </c>
      <c r="AP2923" s="46">
        <f t="shared" si="239"/>
        <v>0.20200000000000001</v>
      </c>
    </row>
    <row r="2924" spans="19:42" ht="18">
      <c r="S2924" s="8">
        <f t="shared" si="240"/>
        <v>0</v>
      </c>
      <c r="W2924" s="3">
        <v>2950</v>
      </c>
      <c r="X2924" s="30">
        <v>202.5</v>
      </c>
      <c r="Y2924" s="33">
        <f t="shared" si="237"/>
        <v>0.20300000000000001</v>
      </c>
      <c r="AH2924" s="45">
        <f t="shared" si="241"/>
        <v>0</v>
      </c>
      <c r="AJ2924" s="44">
        <f t="shared" si="238"/>
        <v>2.95</v>
      </c>
      <c r="AP2924" s="46">
        <f t="shared" si="239"/>
        <v>0.20300000000000001</v>
      </c>
    </row>
    <row r="2925" spans="19:42" ht="18">
      <c r="S2925" s="8">
        <f t="shared" si="240"/>
        <v>0</v>
      </c>
      <c r="W2925" s="3">
        <v>2951</v>
      </c>
      <c r="X2925" s="30">
        <v>202.55</v>
      </c>
      <c r="Y2925" s="33">
        <f t="shared" si="237"/>
        <v>0.20300000000000001</v>
      </c>
      <c r="AH2925" s="45">
        <f t="shared" si="241"/>
        <v>0</v>
      </c>
      <c r="AJ2925" s="44">
        <f t="shared" si="238"/>
        <v>2.9510000000000001</v>
      </c>
      <c r="AP2925" s="46">
        <f t="shared" si="239"/>
        <v>0.20300000000000001</v>
      </c>
    </row>
    <row r="2926" spans="19:42" ht="18">
      <c r="S2926" s="8">
        <f t="shared" si="240"/>
        <v>0</v>
      </c>
      <c r="W2926" s="3">
        <v>2952</v>
      </c>
      <c r="X2926" s="30">
        <v>202.6</v>
      </c>
      <c r="Y2926" s="33">
        <f t="shared" si="237"/>
        <v>0.20300000000000001</v>
      </c>
      <c r="AH2926" s="45">
        <f t="shared" si="241"/>
        <v>0</v>
      </c>
      <c r="AJ2926" s="44">
        <f t="shared" si="238"/>
        <v>2.952</v>
      </c>
      <c r="AP2926" s="46">
        <f t="shared" si="239"/>
        <v>0.20300000000000001</v>
      </c>
    </row>
    <row r="2927" spans="19:42" ht="18">
      <c r="S2927" s="8">
        <f t="shared" si="240"/>
        <v>0</v>
      </c>
      <c r="W2927" s="3">
        <v>2953</v>
      </c>
      <c r="X2927" s="30">
        <v>202.65</v>
      </c>
      <c r="Y2927" s="33">
        <f t="shared" si="237"/>
        <v>0.20300000000000001</v>
      </c>
      <c r="AH2927" s="45">
        <f t="shared" si="241"/>
        <v>0</v>
      </c>
      <c r="AJ2927" s="44">
        <f t="shared" si="238"/>
        <v>2.9529999999999998</v>
      </c>
      <c r="AP2927" s="46">
        <f t="shared" si="239"/>
        <v>0.20300000000000001</v>
      </c>
    </row>
    <row r="2928" spans="19:42" ht="18">
      <c r="S2928" s="8">
        <f t="shared" si="240"/>
        <v>0</v>
      </c>
      <c r="W2928" s="3">
        <v>2954</v>
      </c>
      <c r="X2928" s="30">
        <v>202.7</v>
      </c>
      <c r="Y2928" s="33">
        <f t="shared" si="237"/>
        <v>0.20300000000000001</v>
      </c>
      <c r="AH2928" s="45">
        <f t="shared" si="241"/>
        <v>0</v>
      </c>
      <c r="AJ2928" s="44">
        <f t="shared" si="238"/>
        <v>2.9540000000000002</v>
      </c>
      <c r="AP2928" s="46">
        <f t="shared" si="239"/>
        <v>0.20300000000000001</v>
      </c>
    </row>
    <row r="2929" spans="19:42" ht="18">
      <c r="S2929" s="8">
        <f t="shared" si="240"/>
        <v>0</v>
      </c>
      <c r="W2929" s="3">
        <v>2955</v>
      </c>
      <c r="X2929" s="30">
        <v>202.75</v>
      </c>
      <c r="Y2929" s="33">
        <f t="shared" si="237"/>
        <v>0.20300000000000001</v>
      </c>
      <c r="AH2929" s="45">
        <f t="shared" si="241"/>
        <v>0</v>
      </c>
      <c r="AJ2929" s="44">
        <f t="shared" si="238"/>
        <v>2.9550000000000001</v>
      </c>
      <c r="AP2929" s="46">
        <f t="shared" si="239"/>
        <v>0.20300000000000001</v>
      </c>
    </row>
    <row r="2930" spans="19:42" ht="18">
      <c r="S2930" s="8">
        <f t="shared" si="240"/>
        <v>0</v>
      </c>
      <c r="W2930" s="3">
        <v>2956</v>
      </c>
      <c r="X2930" s="30">
        <v>202.8</v>
      </c>
      <c r="Y2930" s="33">
        <f t="shared" si="237"/>
        <v>0.20300000000000001</v>
      </c>
      <c r="AH2930" s="45">
        <f t="shared" si="241"/>
        <v>0</v>
      </c>
      <c r="AJ2930" s="44">
        <f t="shared" si="238"/>
        <v>2.956</v>
      </c>
      <c r="AP2930" s="46">
        <f t="shared" si="239"/>
        <v>0.20300000000000001</v>
      </c>
    </row>
    <row r="2931" spans="19:42" ht="18">
      <c r="S2931" s="8">
        <f t="shared" si="240"/>
        <v>0</v>
      </c>
      <c r="W2931" s="3">
        <v>2957</v>
      </c>
      <c r="X2931" s="30">
        <v>202.85</v>
      </c>
      <c r="Y2931" s="33">
        <f t="shared" si="237"/>
        <v>0.20300000000000001</v>
      </c>
      <c r="AH2931" s="45">
        <f t="shared" si="241"/>
        <v>0</v>
      </c>
      <c r="AJ2931" s="44">
        <f t="shared" si="238"/>
        <v>2.9569999999999999</v>
      </c>
      <c r="AP2931" s="46">
        <f t="shared" si="239"/>
        <v>0.20300000000000001</v>
      </c>
    </row>
    <row r="2932" spans="19:42" ht="18">
      <c r="S2932" s="8">
        <f t="shared" si="240"/>
        <v>0</v>
      </c>
      <c r="W2932" s="3">
        <v>2958</v>
      </c>
      <c r="X2932" s="30">
        <v>202.9</v>
      </c>
      <c r="Y2932" s="33">
        <f t="shared" si="237"/>
        <v>0.20300000000000001</v>
      </c>
      <c r="AH2932" s="45">
        <f t="shared" si="241"/>
        <v>0</v>
      </c>
      <c r="AJ2932" s="44">
        <f t="shared" si="238"/>
        <v>2.9580000000000002</v>
      </c>
      <c r="AP2932" s="46">
        <f t="shared" si="239"/>
        <v>0.20300000000000001</v>
      </c>
    </row>
    <row r="2933" spans="19:42" ht="18">
      <c r="S2933" s="8">
        <f t="shared" si="240"/>
        <v>0</v>
      </c>
      <c r="W2933" s="3">
        <v>2959</v>
      </c>
      <c r="X2933" s="30">
        <v>202.95</v>
      </c>
      <c r="Y2933" s="33">
        <f t="shared" si="237"/>
        <v>0.20300000000000001</v>
      </c>
      <c r="AH2933" s="45">
        <f t="shared" si="241"/>
        <v>0</v>
      </c>
      <c r="AJ2933" s="44">
        <f t="shared" si="238"/>
        <v>2.9590000000000001</v>
      </c>
      <c r="AP2933" s="46">
        <f t="shared" si="239"/>
        <v>0.20300000000000001</v>
      </c>
    </row>
    <row r="2934" spans="19:42" ht="18">
      <c r="S2934" s="8">
        <f t="shared" si="240"/>
        <v>0</v>
      </c>
      <c r="W2934" s="3">
        <v>2960</v>
      </c>
      <c r="X2934" s="30">
        <v>203</v>
      </c>
      <c r="Y2934" s="33">
        <f t="shared" si="237"/>
        <v>0.20300000000000001</v>
      </c>
      <c r="AH2934" s="45">
        <f t="shared" si="241"/>
        <v>0</v>
      </c>
      <c r="AJ2934" s="44">
        <f t="shared" si="238"/>
        <v>2.96</v>
      </c>
      <c r="AP2934" s="46">
        <f t="shared" si="239"/>
        <v>0.20300000000000001</v>
      </c>
    </row>
    <row r="2935" spans="19:42" ht="18">
      <c r="S2935" s="8">
        <f t="shared" si="240"/>
        <v>0</v>
      </c>
      <c r="W2935" s="3">
        <v>2961</v>
      </c>
      <c r="X2935" s="30">
        <v>203.05</v>
      </c>
      <c r="Y2935" s="33">
        <f t="shared" si="237"/>
        <v>0.20300000000000001</v>
      </c>
      <c r="AH2935" s="45">
        <f t="shared" si="241"/>
        <v>0</v>
      </c>
      <c r="AJ2935" s="44">
        <f t="shared" si="238"/>
        <v>2.9609999999999999</v>
      </c>
      <c r="AP2935" s="46">
        <f t="shared" si="239"/>
        <v>0.20300000000000001</v>
      </c>
    </row>
    <row r="2936" spans="19:42" ht="18">
      <c r="S2936" s="8">
        <f t="shared" si="240"/>
        <v>0</v>
      </c>
      <c r="W2936" s="3">
        <v>2962</v>
      </c>
      <c r="X2936" s="30">
        <v>203.1</v>
      </c>
      <c r="Y2936" s="33">
        <f t="shared" si="237"/>
        <v>0.20300000000000001</v>
      </c>
      <c r="AH2936" s="45">
        <f t="shared" si="241"/>
        <v>0</v>
      </c>
      <c r="AJ2936" s="44">
        <f t="shared" si="238"/>
        <v>2.9620000000000002</v>
      </c>
      <c r="AP2936" s="46">
        <f t="shared" si="239"/>
        <v>0.20300000000000001</v>
      </c>
    </row>
    <row r="2937" spans="19:42" ht="18">
      <c r="S2937" s="8">
        <f t="shared" si="240"/>
        <v>0</v>
      </c>
      <c r="W2937" s="3">
        <v>2963</v>
      </c>
      <c r="X2937" s="30">
        <v>203.15</v>
      </c>
      <c r="Y2937" s="33">
        <f t="shared" si="237"/>
        <v>0.20300000000000001</v>
      </c>
      <c r="AH2937" s="45">
        <f t="shared" si="241"/>
        <v>0</v>
      </c>
      <c r="AJ2937" s="44">
        <f t="shared" si="238"/>
        <v>2.9630000000000001</v>
      </c>
      <c r="AP2937" s="46">
        <f t="shared" si="239"/>
        <v>0.20300000000000001</v>
      </c>
    </row>
    <row r="2938" spans="19:42" ht="18">
      <c r="S2938" s="8">
        <f t="shared" si="240"/>
        <v>0</v>
      </c>
      <c r="W2938" s="3">
        <v>2964</v>
      </c>
      <c r="X2938" s="30">
        <v>203.2</v>
      </c>
      <c r="Y2938" s="33">
        <f t="shared" si="237"/>
        <v>0.20300000000000001</v>
      </c>
      <c r="AH2938" s="45">
        <f t="shared" si="241"/>
        <v>0</v>
      </c>
      <c r="AJ2938" s="44">
        <f t="shared" si="238"/>
        <v>2.964</v>
      </c>
      <c r="AP2938" s="46">
        <f t="shared" si="239"/>
        <v>0.20300000000000001</v>
      </c>
    </row>
    <row r="2939" spans="19:42" ht="18">
      <c r="S2939" s="8">
        <f t="shared" si="240"/>
        <v>0</v>
      </c>
      <c r="W2939" s="3">
        <v>2965</v>
      </c>
      <c r="X2939" s="30">
        <v>203.25</v>
      </c>
      <c r="Y2939" s="33">
        <f t="shared" si="237"/>
        <v>0.20300000000000001</v>
      </c>
      <c r="AH2939" s="45">
        <f t="shared" si="241"/>
        <v>0</v>
      </c>
      <c r="AJ2939" s="44">
        <f t="shared" si="238"/>
        <v>2.9649999999999999</v>
      </c>
      <c r="AP2939" s="46">
        <f t="shared" si="239"/>
        <v>0.20300000000000001</v>
      </c>
    </row>
    <row r="2940" spans="19:42" ht="18">
      <c r="S2940" s="8">
        <f t="shared" si="240"/>
        <v>0</v>
      </c>
      <c r="W2940" s="3">
        <v>2966</v>
      </c>
      <c r="X2940" s="30">
        <v>203.3</v>
      </c>
      <c r="Y2940" s="33">
        <f t="shared" si="237"/>
        <v>0.20300000000000001</v>
      </c>
      <c r="AH2940" s="45">
        <f t="shared" si="241"/>
        <v>0</v>
      </c>
      <c r="AJ2940" s="44">
        <f t="shared" si="238"/>
        <v>2.9660000000000002</v>
      </c>
      <c r="AP2940" s="46">
        <f t="shared" si="239"/>
        <v>0.20300000000000001</v>
      </c>
    </row>
    <row r="2941" spans="19:42" ht="18">
      <c r="S2941" s="8">
        <f t="shared" si="240"/>
        <v>0</v>
      </c>
      <c r="W2941" s="3">
        <v>2967</v>
      </c>
      <c r="X2941" s="30">
        <v>203.35</v>
      </c>
      <c r="Y2941" s="33">
        <f t="shared" si="237"/>
        <v>0.20300000000000001</v>
      </c>
      <c r="AH2941" s="45">
        <f t="shared" si="241"/>
        <v>0</v>
      </c>
      <c r="AJ2941" s="44">
        <f t="shared" si="238"/>
        <v>2.9670000000000001</v>
      </c>
      <c r="AP2941" s="46">
        <f t="shared" si="239"/>
        <v>0.20300000000000001</v>
      </c>
    </row>
    <row r="2942" spans="19:42" ht="18">
      <c r="S2942" s="8">
        <f t="shared" si="240"/>
        <v>0</v>
      </c>
      <c r="W2942" s="3">
        <v>2968</v>
      </c>
      <c r="X2942" s="30">
        <v>203.4</v>
      </c>
      <c r="Y2942" s="33">
        <f t="shared" si="237"/>
        <v>0.20300000000000001</v>
      </c>
      <c r="AH2942" s="45">
        <f t="shared" si="241"/>
        <v>0</v>
      </c>
      <c r="AJ2942" s="44">
        <f t="shared" si="238"/>
        <v>2.968</v>
      </c>
      <c r="AP2942" s="46">
        <f t="shared" si="239"/>
        <v>0.20300000000000001</v>
      </c>
    </row>
    <row r="2943" spans="19:42" ht="18">
      <c r="S2943" s="8">
        <f t="shared" si="240"/>
        <v>0</v>
      </c>
      <c r="W2943" s="3">
        <v>2969</v>
      </c>
      <c r="X2943" s="30">
        <v>203.45</v>
      </c>
      <c r="Y2943" s="33">
        <f t="shared" si="237"/>
        <v>0.20300000000000001</v>
      </c>
      <c r="AH2943" s="45">
        <f t="shared" si="241"/>
        <v>0</v>
      </c>
      <c r="AJ2943" s="44">
        <f t="shared" si="238"/>
        <v>2.9689999999999999</v>
      </c>
      <c r="AP2943" s="46">
        <f t="shared" si="239"/>
        <v>0.20300000000000001</v>
      </c>
    </row>
    <row r="2944" spans="19:42" ht="18">
      <c r="S2944" s="8">
        <f t="shared" si="240"/>
        <v>0</v>
      </c>
      <c r="W2944" s="3">
        <v>2970</v>
      </c>
      <c r="X2944" s="30">
        <v>203.5</v>
      </c>
      <c r="Y2944" s="33">
        <f t="shared" si="237"/>
        <v>0.20399999999999999</v>
      </c>
      <c r="AH2944" s="45">
        <f t="shared" si="241"/>
        <v>0</v>
      </c>
      <c r="AJ2944" s="44">
        <f t="shared" si="238"/>
        <v>2.97</v>
      </c>
      <c r="AP2944" s="46">
        <f t="shared" si="239"/>
        <v>0.20399999999999999</v>
      </c>
    </row>
    <row r="2945" spans="19:42" ht="18">
      <c r="S2945" s="8">
        <f t="shared" si="240"/>
        <v>0</v>
      </c>
      <c r="W2945" s="3">
        <v>2971</v>
      </c>
      <c r="X2945" s="30">
        <v>203.55</v>
      </c>
      <c r="Y2945" s="33">
        <f t="shared" si="237"/>
        <v>0.20399999999999999</v>
      </c>
      <c r="AH2945" s="45">
        <f t="shared" si="241"/>
        <v>0</v>
      </c>
      <c r="AJ2945" s="44">
        <f t="shared" si="238"/>
        <v>2.9710000000000001</v>
      </c>
      <c r="AP2945" s="46">
        <f t="shared" si="239"/>
        <v>0.20399999999999999</v>
      </c>
    </row>
    <row r="2946" spans="19:42" ht="18">
      <c r="S2946" s="8">
        <f t="shared" si="240"/>
        <v>0</v>
      </c>
      <c r="W2946" s="3">
        <v>2972</v>
      </c>
      <c r="X2946" s="30">
        <v>203.6</v>
      </c>
      <c r="Y2946" s="33">
        <f t="shared" si="237"/>
        <v>0.20399999999999999</v>
      </c>
      <c r="AH2946" s="45">
        <f t="shared" si="241"/>
        <v>0</v>
      </c>
      <c r="AJ2946" s="44">
        <f t="shared" si="238"/>
        <v>2.972</v>
      </c>
      <c r="AP2946" s="46">
        <f t="shared" si="239"/>
        <v>0.20399999999999999</v>
      </c>
    </row>
    <row r="2947" spans="19:42" ht="18">
      <c r="S2947" s="8">
        <f t="shared" si="240"/>
        <v>0</v>
      </c>
      <c r="W2947" s="3">
        <v>2973</v>
      </c>
      <c r="X2947" s="30">
        <v>203.65</v>
      </c>
      <c r="Y2947" s="33">
        <f t="shared" si="237"/>
        <v>0.20399999999999999</v>
      </c>
      <c r="AH2947" s="45">
        <f t="shared" si="241"/>
        <v>0</v>
      </c>
      <c r="AJ2947" s="44">
        <f t="shared" si="238"/>
        <v>2.9729999999999999</v>
      </c>
      <c r="AP2947" s="46">
        <f t="shared" si="239"/>
        <v>0.20399999999999999</v>
      </c>
    </row>
    <row r="2948" spans="19:42" ht="18">
      <c r="S2948" s="8">
        <f t="shared" si="240"/>
        <v>0</v>
      </c>
      <c r="W2948" s="3">
        <v>2974</v>
      </c>
      <c r="X2948" s="30">
        <v>203.7</v>
      </c>
      <c r="Y2948" s="33">
        <f t="shared" si="237"/>
        <v>0.20399999999999999</v>
      </c>
      <c r="AH2948" s="45">
        <f t="shared" si="241"/>
        <v>0</v>
      </c>
      <c r="AJ2948" s="44">
        <f t="shared" si="238"/>
        <v>2.9740000000000002</v>
      </c>
      <c r="AP2948" s="46">
        <f t="shared" si="239"/>
        <v>0.20399999999999999</v>
      </c>
    </row>
    <row r="2949" spans="19:42" ht="18">
      <c r="S2949" s="8">
        <f t="shared" si="240"/>
        <v>0</v>
      </c>
      <c r="W2949" s="3">
        <v>2975</v>
      </c>
      <c r="X2949" s="30">
        <v>203.75</v>
      </c>
      <c r="Y2949" s="33">
        <f t="shared" ref="Y2949:Y3012" si="242">ROUND(X2949/1000,3)</f>
        <v>0.20399999999999999</v>
      </c>
      <c r="AH2949" s="45">
        <f t="shared" si="241"/>
        <v>0</v>
      </c>
      <c r="AJ2949" s="44">
        <f t="shared" ref="AJ2949:AJ3012" si="243">ROUND(W2949/1000,3)</f>
        <v>2.9750000000000001</v>
      </c>
      <c r="AP2949" s="46">
        <f t="shared" ref="AP2949:AP3012" si="244">ROUND(X2949/1000,3)</f>
        <v>0.20399999999999999</v>
      </c>
    </row>
    <row r="2950" spans="19:42" ht="18">
      <c r="S2950" s="8">
        <f t="shared" ref="S2950:S3013" si="245">CEILING(R2950/50,0.5)</f>
        <v>0</v>
      </c>
      <c r="W2950" s="3">
        <v>2976</v>
      </c>
      <c r="X2950" s="30">
        <v>203.8</v>
      </c>
      <c r="Y2950" s="33">
        <f t="shared" si="242"/>
        <v>0.20399999999999999</v>
      </c>
      <c r="AH2950" s="45">
        <f t="shared" ref="AH2950:AH3013" si="246">AE2950-AE2949</f>
        <v>0</v>
      </c>
      <c r="AJ2950" s="44">
        <f t="shared" si="243"/>
        <v>2.976</v>
      </c>
      <c r="AP2950" s="46">
        <f t="shared" si="244"/>
        <v>0.20399999999999999</v>
      </c>
    </row>
    <row r="2951" spans="19:42" ht="18">
      <c r="S2951" s="8">
        <f t="shared" si="245"/>
        <v>0</v>
      </c>
      <c r="W2951" s="3">
        <v>2977</v>
      </c>
      <c r="X2951" s="30">
        <v>203.85</v>
      </c>
      <c r="Y2951" s="33">
        <f t="shared" si="242"/>
        <v>0.20399999999999999</v>
      </c>
      <c r="AH2951" s="45">
        <f t="shared" si="246"/>
        <v>0</v>
      </c>
      <c r="AJ2951" s="44">
        <f t="shared" si="243"/>
        <v>2.9769999999999999</v>
      </c>
      <c r="AP2951" s="46">
        <f t="shared" si="244"/>
        <v>0.20399999999999999</v>
      </c>
    </row>
    <row r="2952" spans="19:42" ht="18">
      <c r="S2952" s="8">
        <f t="shared" si="245"/>
        <v>0</v>
      </c>
      <c r="W2952" s="3">
        <v>2978</v>
      </c>
      <c r="X2952" s="30">
        <v>203.9</v>
      </c>
      <c r="Y2952" s="33">
        <f t="shared" si="242"/>
        <v>0.20399999999999999</v>
      </c>
      <c r="AH2952" s="45">
        <f t="shared" si="246"/>
        <v>0</v>
      </c>
      <c r="AJ2952" s="44">
        <f t="shared" si="243"/>
        <v>2.9780000000000002</v>
      </c>
      <c r="AP2952" s="46">
        <f t="shared" si="244"/>
        <v>0.20399999999999999</v>
      </c>
    </row>
    <row r="2953" spans="19:42" ht="18">
      <c r="S2953" s="8">
        <f t="shared" si="245"/>
        <v>0</v>
      </c>
      <c r="W2953" s="3">
        <v>2979</v>
      </c>
      <c r="X2953" s="30">
        <v>203.95</v>
      </c>
      <c r="Y2953" s="33">
        <f t="shared" si="242"/>
        <v>0.20399999999999999</v>
      </c>
      <c r="AH2953" s="45">
        <f t="shared" si="246"/>
        <v>0</v>
      </c>
      <c r="AJ2953" s="44">
        <f t="shared" si="243"/>
        <v>2.9790000000000001</v>
      </c>
      <c r="AP2953" s="46">
        <f t="shared" si="244"/>
        <v>0.20399999999999999</v>
      </c>
    </row>
    <row r="2954" spans="19:42" ht="18">
      <c r="S2954" s="8">
        <f t="shared" si="245"/>
        <v>0</v>
      </c>
      <c r="W2954" s="3">
        <v>2980</v>
      </c>
      <c r="X2954" s="30">
        <v>204</v>
      </c>
      <c r="Y2954" s="33">
        <f t="shared" si="242"/>
        <v>0.20399999999999999</v>
      </c>
      <c r="AH2954" s="45">
        <f t="shared" si="246"/>
        <v>0</v>
      </c>
      <c r="AJ2954" s="44">
        <f t="shared" si="243"/>
        <v>2.98</v>
      </c>
      <c r="AP2954" s="46">
        <f t="shared" si="244"/>
        <v>0.20399999999999999</v>
      </c>
    </row>
    <row r="2955" spans="19:42" ht="18">
      <c r="S2955" s="8">
        <f t="shared" si="245"/>
        <v>0</v>
      </c>
      <c r="W2955" s="3">
        <v>2981</v>
      </c>
      <c r="X2955" s="30">
        <v>204.05</v>
      </c>
      <c r="Y2955" s="33">
        <f t="shared" si="242"/>
        <v>0.20399999999999999</v>
      </c>
      <c r="AH2955" s="45">
        <f t="shared" si="246"/>
        <v>0</v>
      </c>
      <c r="AJ2955" s="44">
        <f t="shared" si="243"/>
        <v>2.9809999999999999</v>
      </c>
      <c r="AP2955" s="46">
        <f t="shared" si="244"/>
        <v>0.20399999999999999</v>
      </c>
    </row>
    <row r="2956" spans="19:42" ht="18">
      <c r="S2956" s="8">
        <f t="shared" si="245"/>
        <v>0</v>
      </c>
      <c r="W2956" s="3">
        <v>2982</v>
      </c>
      <c r="X2956" s="30">
        <v>204.1</v>
      </c>
      <c r="Y2956" s="33">
        <f t="shared" si="242"/>
        <v>0.20399999999999999</v>
      </c>
      <c r="AH2956" s="45">
        <f t="shared" si="246"/>
        <v>0</v>
      </c>
      <c r="AJ2956" s="44">
        <f t="shared" si="243"/>
        <v>2.9820000000000002</v>
      </c>
      <c r="AP2956" s="46">
        <f t="shared" si="244"/>
        <v>0.20399999999999999</v>
      </c>
    </row>
    <row r="2957" spans="19:42" ht="18">
      <c r="S2957" s="8">
        <f t="shared" si="245"/>
        <v>0</v>
      </c>
      <c r="W2957" s="3">
        <v>2983</v>
      </c>
      <c r="X2957" s="30">
        <v>204.15</v>
      </c>
      <c r="Y2957" s="33">
        <f t="shared" si="242"/>
        <v>0.20399999999999999</v>
      </c>
      <c r="AH2957" s="45">
        <f t="shared" si="246"/>
        <v>0</v>
      </c>
      <c r="AJ2957" s="44">
        <f t="shared" si="243"/>
        <v>2.9830000000000001</v>
      </c>
      <c r="AP2957" s="46">
        <f t="shared" si="244"/>
        <v>0.20399999999999999</v>
      </c>
    </row>
    <row r="2958" spans="19:42" ht="18">
      <c r="S2958" s="8">
        <f t="shared" si="245"/>
        <v>0</v>
      </c>
      <c r="W2958" s="3">
        <v>2984</v>
      </c>
      <c r="X2958" s="30">
        <v>204.2</v>
      </c>
      <c r="Y2958" s="33">
        <f t="shared" si="242"/>
        <v>0.20399999999999999</v>
      </c>
      <c r="AH2958" s="45">
        <f t="shared" si="246"/>
        <v>0</v>
      </c>
      <c r="AJ2958" s="44">
        <f t="shared" si="243"/>
        <v>2.984</v>
      </c>
      <c r="AP2958" s="46">
        <f t="shared" si="244"/>
        <v>0.20399999999999999</v>
      </c>
    </row>
    <row r="2959" spans="19:42" ht="18">
      <c r="S2959" s="8">
        <f t="shared" si="245"/>
        <v>0</v>
      </c>
      <c r="W2959" s="3">
        <v>2985</v>
      </c>
      <c r="X2959" s="30">
        <v>204.25</v>
      </c>
      <c r="Y2959" s="33">
        <f t="shared" si="242"/>
        <v>0.20399999999999999</v>
      </c>
      <c r="AH2959" s="45">
        <f t="shared" si="246"/>
        <v>0</v>
      </c>
      <c r="AJ2959" s="44">
        <f t="shared" si="243"/>
        <v>2.9849999999999999</v>
      </c>
      <c r="AP2959" s="46">
        <f t="shared" si="244"/>
        <v>0.20399999999999999</v>
      </c>
    </row>
    <row r="2960" spans="19:42" ht="18">
      <c r="S2960" s="8">
        <f t="shared" si="245"/>
        <v>0</v>
      </c>
      <c r="W2960" s="3">
        <v>2986</v>
      </c>
      <c r="X2960" s="30">
        <v>204.3</v>
      </c>
      <c r="Y2960" s="33">
        <f t="shared" si="242"/>
        <v>0.20399999999999999</v>
      </c>
      <c r="AH2960" s="45">
        <f t="shared" si="246"/>
        <v>0</v>
      </c>
      <c r="AJ2960" s="44">
        <f t="shared" si="243"/>
        <v>2.9860000000000002</v>
      </c>
      <c r="AP2960" s="46">
        <f t="shared" si="244"/>
        <v>0.20399999999999999</v>
      </c>
    </row>
    <row r="2961" spans="19:42" ht="18">
      <c r="S2961" s="8">
        <f t="shared" si="245"/>
        <v>0</v>
      </c>
      <c r="W2961" s="3">
        <v>2987</v>
      </c>
      <c r="X2961" s="30">
        <v>204.35</v>
      </c>
      <c r="Y2961" s="33">
        <f t="shared" si="242"/>
        <v>0.20399999999999999</v>
      </c>
      <c r="AH2961" s="45">
        <f t="shared" si="246"/>
        <v>0</v>
      </c>
      <c r="AJ2961" s="44">
        <f t="shared" si="243"/>
        <v>2.9870000000000001</v>
      </c>
      <c r="AP2961" s="46">
        <f t="shared" si="244"/>
        <v>0.20399999999999999</v>
      </c>
    </row>
    <row r="2962" spans="19:42" ht="18">
      <c r="S2962" s="8">
        <f t="shared" si="245"/>
        <v>0</v>
      </c>
      <c r="W2962" s="3">
        <v>2988</v>
      </c>
      <c r="X2962" s="30">
        <v>204.4</v>
      </c>
      <c r="Y2962" s="33">
        <f t="shared" si="242"/>
        <v>0.20399999999999999</v>
      </c>
      <c r="AH2962" s="45">
        <f t="shared" si="246"/>
        <v>0</v>
      </c>
      <c r="AJ2962" s="44">
        <f t="shared" si="243"/>
        <v>2.988</v>
      </c>
      <c r="AP2962" s="46">
        <f t="shared" si="244"/>
        <v>0.20399999999999999</v>
      </c>
    </row>
    <row r="2963" spans="19:42" ht="18">
      <c r="S2963" s="8">
        <f t="shared" si="245"/>
        <v>0</v>
      </c>
      <c r="W2963" s="3">
        <v>2989</v>
      </c>
      <c r="X2963" s="30">
        <v>204.45</v>
      </c>
      <c r="Y2963" s="33">
        <f t="shared" si="242"/>
        <v>0.20399999999999999</v>
      </c>
      <c r="AH2963" s="45">
        <f t="shared" si="246"/>
        <v>0</v>
      </c>
      <c r="AJ2963" s="44">
        <f t="shared" si="243"/>
        <v>2.9889999999999999</v>
      </c>
      <c r="AP2963" s="46">
        <f t="shared" si="244"/>
        <v>0.20399999999999999</v>
      </c>
    </row>
    <row r="2964" spans="19:42" ht="18">
      <c r="S2964" s="8">
        <f t="shared" si="245"/>
        <v>0</v>
      </c>
      <c r="W2964" s="3">
        <v>2990</v>
      </c>
      <c r="X2964" s="30">
        <v>204.5</v>
      </c>
      <c r="Y2964" s="33">
        <f t="shared" si="242"/>
        <v>0.20499999999999999</v>
      </c>
      <c r="AH2964" s="45">
        <f t="shared" si="246"/>
        <v>0</v>
      </c>
      <c r="AJ2964" s="44">
        <f t="shared" si="243"/>
        <v>2.99</v>
      </c>
      <c r="AP2964" s="46">
        <f t="shared" si="244"/>
        <v>0.20499999999999999</v>
      </c>
    </row>
    <row r="2965" spans="19:42" ht="18">
      <c r="S2965" s="8">
        <f t="shared" si="245"/>
        <v>0</v>
      </c>
      <c r="W2965" s="3">
        <v>2991</v>
      </c>
      <c r="X2965" s="30">
        <v>204.55</v>
      </c>
      <c r="Y2965" s="33">
        <f t="shared" si="242"/>
        <v>0.20499999999999999</v>
      </c>
      <c r="AH2965" s="45">
        <f t="shared" si="246"/>
        <v>0</v>
      </c>
      <c r="AJ2965" s="44">
        <f t="shared" si="243"/>
        <v>2.9910000000000001</v>
      </c>
      <c r="AP2965" s="46">
        <f t="shared" si="244"/>
        <v>0.20499999999999999</v>
      </c>
    </row>
    <row r="2966" spans="19:42" ht="18">
      <c r="S2966" s="8">
        <f t="shared" si="245"/>
        <v>0</v>
      </c>
      <c r="W2966" s="3">
        <v>2992</v>
      </c>
      <c r="X2966" s="30">
        <v>204.6</v>
      </c>
      <c r="Y2966" s="33">
        <f t="shared" si="242"/>
        <v>0.20499999999999999</v>
      </c>
      <c r="AH2966" s="45">
        <f t="shared" si="246"/>
        <v>0</v>
      </c>
      <c r="AJ2966" s="44">
        <f t="shared" si="243"/>
        <v>2.992</v>
      </c>
      <c r="AP2966" s="46">
        <f t="shared" si="244"/>
        <v>0.20499999999999999</v>
      </c>
    </row>
    <row r="2967" spans="19:42" ht="18">
      <c r="S2967" s="8">
        <f t="shared" si="245"/>
        <v>0</v>
      </c>
      <c r="W2967" s="3">
        <v>2993</v>
      </c>
      <c r="X2967" s="30">
        <v>204.65</v>
      </c>
      <c r="Y2967" s="33">
        <f t="shared" si="242"/>
        <v>0.20499999999999999</v>
      </c>
      <c r="AH2967" s="45">
        <f t="shared" si="246"/>
        <v>0</v>
      </c>
      <c r="AJ2967" s="44">
        <f t="shared" si="243"/>
        <v>2.9929999999999999</v>
      </c>
      <c r="AP2967" s="46">
        <f t="shared" si="244"/>
        <v>0.20499999999999999</v>
      </c>
    </row>
    <row r="2968" spans="19:42" ht="18">
      <c r="S2968" s="8">
        <f t="shared" si="245"/>
        <v>0</v>
      </c>
      <c r="W2968" s="3">
        <v>2994</v>
      </c>
      <c r="X2968" s="30">
        <v>204.7</v>
      </c>
      <c r="Y2968" s="33">
        <f t="shared" si="242"/>
        <v>0.20499999999999999</v>
      </c>
      <c r="AH2968" s="45">
        <f t="shared" si="246"/>
        <v>0</v>
      </c>
      <c r="AJ2968" s="44">
        <f t="shared" si="243"/>
        <v>2.9940000000000002</v>
      </c>
      <c r="AP2968" s="46">
        <f t="shared" si="244"/>
        <v>0.20499999999999999</v>
      </c>
    </row>
    <row r="2969" spans="19:42" ht="18">
      <c r="S2969" s="8">
        <f t="shared" si="245"/>
        <v>0</v>
      </c>
      <c r="W2969" s="3">
        <v>2995</v>
      </c>
      <c r="X2969" s="30">
        <v>204.75</v>
      </c>
      <c r="Y2969" s="33">
        <f t="shared" si="242"/>
        <v>0.20499999999999999</v>
      </c>
      <c r="AH2969" s="45">
        <f t="shared" si="246"/>
        <v>0</v>
      </c>
      <c r="AJ2969" s="44">
        <f t="shared" si="243"/>
        <v>2.9950000000000001</v>
      </c>
      <c r="AP2969" s="46">
        <f t="shared" si="244"/>
        <v>0.20499999999999999</v>
      </c>
    </row>
    <row r="2970" spans="19:42" ht="18">
      <c r="S2970" s="8">
        <f t="shared" si="245"/>
        <v>0</v>
      </c>
      <c r="W2970" s="3">
        <v>2996</v>
      </c>
      <c r="X2970" s="30">
        <v>204.8</v>
      </c>
      <c r="Y2970" s="33">
        <f t="shared" si="242"/>
        <v>0.20499999999999999</v>
      </c>
      <c r="AH2970" s="45">
        <f t="shared" si="246"/>
        <v>0</v>
      </c>
      <c r="AJ2970" s="44">
        <f t="shared" si="243"/>
        <v>2.996</v>
      </c>
      <c r="AP2970" s="46">
        <f t="shared" si="244"/>
        <v>0.20499999999999999</v>
      </c>
    </row>
    <row r="2971" spans="19:42" ht="18">
      <c r="S2971" s="8">
        <f t="shared" si="245"/>
        <v>0</v>
      </c>
      <c r="W2971" s="3">
        <v>2997</v>
      </c>
      <c r="X2971" s="30">
        <v>204.85</v>
      </c>
      <c r="Y2971" s="33">
        <f t="shared" si="242"/>
        <v>0.20499999999999999</v>
      </c>
      <c r="AH2971" s="45">
        <f t="shared" si="246"/>
        <v>0</v>
      </c>
      <c r="AJ2971" s="44">
        <f t="shared" si="243"/>
        <v>2.9969999999999999</v>
      </c>
      <c r="AP2971" s="46">
        <f t="shared" si="244"/>
        <v>0.20499999999999999</v>
      </c>
    </row>
    <row r="2972" spans="19:42" ht="18">
      <c r="S2972" s="8">
        <f t="shared" si="245"/>
        <v>0</v>
      </c>
      <c r="W2972" s="3">
        <v>2998</v>
      </c>
      <c r="X2972" s="30">
        <v>204.9</v>
      </c>
      <c r="Y2972" s="33">
        <f t="shared" si="242"/>
        <v>0.20499999999999999</v>
      </c>
      <c r="AH2972" s="45">
        <f t="shared" si="246"/>
        <v>0</v>
      </c>
      <c r="AJ2972" s="44">
        <f t="shared" si="243"/>
        <v>2.9980000000000002</v>
      </c>
      <c r="AP2972" s="46">
        <f t="shared" si="244"/>
        <v>0.20499999999999999</v>
      </c>
    </row>
    <row r="2973" spans="19:42" ht="18">
      <c r="S2973" s="8">
        <f t="shared" si="245"/>
        <v>0</v>
      </c>
      <c r="W2973" s="3">
        <v>2999</v>
      </c>
      <c r="X2973" s="30">
        <v>204.95</v>
      </c>
      <c r="Y2973" s="33">
        <f t="shared" si="242"/>
        <v>0.20499999999999999</v>
      </c>
      <c r="AH2973" s="45">
        <f t="shared" si="246"/>
        <v>0</v>
      </c>
      <c r="AJ2973" s="44">
        <f t="shared" si="243"/>
        <v>2.9990000000000001</v>
      </c>
      <c r="AP2973" s="46">
        <f t="shared" si="244"/>
        <v>0.20499999999999999</v>
      </c>
    </row>
    <row r="2974" spans="19:42" ht="18">
      <c r="S2974" s="8">
        <f t="shared" si="245"/>
        <v>0</v>
      </c>
      <c r="W2974" s="3">
        <v>3000</v>
      </c>
      <c r="X2974" s="30">
        <v>205</v>
      </c>
      <c r="Y2974" s="33">
        <f t="shared" si="242"/>
        <v>0.20499999999999999</v>
      </c>
      <c r="AH2974" s="45">
        <f t="shared" si="246"/>
        <v>0</v>
      </c>
      <c r="AJ2974" s="44">
        <f t="shared" si="243"/>
        <v>3</v>
      </c>
      <c r="AP2974" s="46">
        <f t="shared" si="244"/>
        <v>0.20499999999999999</v>
      </c>
    </row>
    <row r="2975" spans="19:42" ht="18">
      <c r="S2975" s="8">
        <f t="shared" si="245"/>
        <v>0</v>
      </c>
      <c r="W2975" s="3">
        <v>3001</v>
      </c>
      <c r="X2975" s="30">
        <v>205.05</v>
      </c>
      <c r="Y2975" s="33">
        <f t="shared" si="242"/>
        <v>0.20499999999999999</v>
      </c>
      <c r="AH2975" s="45">
        <f t="shared" si="246"/>
        <v>0</v>
      </c>
      <c r="AJ2975" s="44">
        <f t="shared" si="243"/>
        <v>3.0009999999999999</v>
      </c>
      <c r="AP2975" s="46">
        <f t="shared" si="244"/>
        <v>0.20499999999999999</v>
      </c>
    </row>
    <row r="2976" spans="19:42" ht="18">
      <c r="S2976" s="8">
        <f t="shared" si="245"/>
        <v>0</v>
      </c>
      <c r="W2976" s="3">
        <v>3002</v>
      </c>
      <c r="X2976" s="30">
        <v>205.1</v>
      </c>
      <c r="Y2976" s="33">
        <f t="shared" si="242"/>
        <v>0.20499999999999999</v>
      </c>
      <c r="AH2976" s="45">
        <f t="shared" si="246"/>
        <v>0</v>
      </c>
      <c r="AJ2976" s="44">
        <f t="shared" si="243"/>
        <v>3.0019999999999998</v>
      </c>
      <c r="AP2976" s="46">
        <f t="shared" si="244"/>
        <v>0.20499999999999999</v>
      </c>
    </row>
    <row r="2977" spans="19:42" ht="18">
      <c r="S2977" s="8">
        <f t="shared" si="245"/>
        <v>0</v>
      </c>
      <c r="W2977" s="3">
        <v>3003</v>
      </c>
      <c r="X2977" s="30">
        <v>205.15</v>
      </c>
      <c r="Y2977" s="33">
        <f t="shared" si="242"/>
        <v>0.20499999999999999</v>
      </c>
      <c r="AH2977" s="45">
        <f t="shared" si="246"/>
        <v>0</v>
      </c>
      <c r="AJ2977" s="44">
        <f t="shared" si="243"/>
        <v>3.0030000000000001</v>
      </c>
      <c r="AP2977" s="46">
        <f t="shared" si="244"/>
        <v>0.20499999999999999</v>
      </c>
    </row>
    <row r="2978" spans="19:42" ht="18">
      <c r="S2978" s="8">
        <f t="shared" si="245"/>
        <v>0</v>
      </c>
      <c r="W2978" s="3">
        <v>3004</v>
      </c>
      <c r="X2978" s="30">
        <v>205.2</v>
      </c>
      <c r="Y2978" s="33">
        <f t="shared" si="242"/>
        <v>0.20499999999999999</v>
      </c>
      <c r="AH2978" s="45">
        <f t="shared" si="246"/>
        <v>0</v>
      </c>
      <c r="AJ2978" s="44">
        <f t="shared" si="243"/>
        <v>3.004</v>
      </c>
      <c r="AP2978" s="46">
        <f t="shared" si="244"/>
        <v>0.20499999999999999</v>
      </c>
    </row>
    <row r="2979" spans="19:42" ht="18">
      <c r="S2979" s="8">
        <f t="shared" si="245"/>
        <v>0</v>
      </c>
      <c r="W2979" s="3">
        <v>3005</v>
      </c>
      <c r="X2979" s="30">
        <v>205.25</v>
      </c>
      <c r="Y2979" s="33">
        <f t="shared" si="242"/>
        <v>0.20499999999999999</v>
      </c>
      <c r="AH2979" s="45">
        <f t="shared" si="246"/>
        <v>0</v>
      </c>
      <c r="AJ2979" s="44">
        <f t="shared" si="243"/>
        <v>3.0049999999999999</v>
      </c>
      <c r="AP2979" s="46">
        <f t="shared" si="244"/>
        <v>0.20499999999999999</v>
      </c>
    </row>
    <row r="2980" spans="19:42" ht="18">
      <c r="S2980" s="8">
        <f t="shared" si="245"/>
        <v>0</v>
      </c>
      <c r="W2980" s="3">
        <v>3006</v>
      </c>
      <c r="X2980" s="30">
        <v>205.3</v>
      </c>
      <c r="Y2980" s="33">
        <f t="shared" si="242"/>
        <v>0.20499999999999999</v>
      </c>
      <c r="AH2980" s="45">
        <f t="shared" si="246"/>
        <v>0</v>
      </c>
      <c r="AJ2980" s="44">
        <f t="shared" si="243"/>
        <v>3.0059999999999998</v>
      </c>
      <c r="AP2980" s="46">
        <f t="shared" si="244"/>
        <v>0.20499999999999999</v>
      </c>
    </row>
    <row r="2981" spans="19:42" ht="18">
      <c r="S2981" s="8">
        <f t="shared" si="245"/>
        <v>0</v>
      </c>
      <c r="W2981" s="3">
        <v>3007</v>
      </c>
      <c r="X2981" s="30">
        <v>205.35</v>
      </c>
      <c r="Y2981" s="33">
        <f t="shared" si="242"/>
        <v>0.20499999999999999</v>
      </c>
      <c r="AH2981" s="45">
        <f t="shared" si="246"/>
        <v>0</v>
      </c>
      <c r="AJ2981" s="44">
        <f t="shared" si="243"/>
        <v>3.0070000000000001</v>
      </c>
      <c r="AP2981" s="46">
        <f t="shared" si="244"/>
        <v>0.20499999999999999</v>
      </c>
    </row>
    <row r="2982" spans="19:42" ht="18">
      <c r="S2982" s="8">
        <f t="shared" si="245"/>
        <v>0</v>
      </c>
      <c r="W2982" s="3">
        <v>3008</v>
      </c>
      <c r="X2982" s="30">
        <v>205.4</v>
      </c>
      <c r="Y2982" s="33">
        <f t="shared" si="242"/>
        <v>0.20499999999999999</v>
      </c>
      <c r="AH2982" s="45">
        <f t="shared" si="246"/>
        <v>0</v>
      </c>
      <c r="AJ2982" s="44">
        <f t="shared" si="243"/>
        <v>3.008</v>
      </c>
      <c r="AP2982" s="46">
        <f t="shared" si="244"/>
        <v>0.20499999999999999</v>
      </c>
    </row>
    <row r="2983" spans="19:42" ht="18">
      <c r="S2983" s="8">
        <f t="shared" si="245"/>
        <v>0</v>
      </c>
      <c r="W2983" s="3">
        <v>3009</v>
      </c>
      <c r="X2983" s="30">
        <v>205.45</v>
      </c>
      <c r="Y2983" s="33">
        <f t="shared" si="242"/>
        <v>0.20499999999999999</v>
      </c>
      <c r="AH2983" s="45">
        <f t="shared" si="246"/>
        <v>0</v>
      </c>
      <c r="AJ2983" s="44">
        <f t="shared" si="243"/>
        <v>3.0089999999999999</v>
      </c>
      <c r="AP2983" s="46">
        <f t="shared" si="244"/>
        <v>0.20499999999999999</v>
      </c>
    </row>
    <row r="2984" spans="19:42" ht="18">
      <c r="S2984" s="8">
        <f t="shared" si="245"/>
        <v>0</v>
      </c>
      <c r="W2984" s="3">
        <v>3010</v>
      </c>
      <c r="X2984" s="30">
        <v>205.5</v>
      </c>
      <c r="Y2984" s="33">
        <f t="shared" si="242"/>
        <v>0.20599999999999999</v>
      </c>
      <c r="AH2984" s="45">
        <f t="shared" si="246"/>
        <v>0</v>
      </c>
      <c r="AJ2984" s="44">
        <f t="shared" si="243"/>
        <v>3.01</v>
      </c>
      <c r="AP2984" s="46">
        <f t="shared" si="244"/>
        <v>0.20599999999999999</v>
      </c>
    </row>
    <row r="2985" spans="19:42" ht="18">
      <c r="S2985" s="8">
        <f t="shared" si="245"/>
        <v>0</v>
      </c>
      <c r="W2985" s="3">
        <v>3011</v>
      </c>
      <c r="X2985" s="30">
        <v>205.55</v>
      </c>
      <c r="Y2985" s="33">
        <f t="shared" si="242"/>
        <v>0.20599999999999999</v>
      </c>
      <c r="AH2985" s="45">
        <f t="shared" si="246"/>
        <v>0</v>
      </c>
      <c r="AJ2985" s="44">
        <f t="shared" si="243"/>
        <v>3.0110000000000001</v>
      </c>
      <c r="AP2985" s="46">
        <f t="shared" si="244"/>
        <v>0.20599999999999999</v>
      </c>
    </row>
    <row r="2986" spans="19:42" ht="18">
      <c r="S2986" s="8">
        <f t="shared" si="245"/>
        <v>0</v>
      </c>
      <c r="W2986" s="3">
        <v>3012</v>
      </c>
      <c r="X2986" s="30">
        <v>205.6</v>
      </c>
      <c r="Y2986" s="33">
        <f t="shared" si="242"/>
        <v>0.20599999999999999</v>
      </c>
      <c r="AH2986" s="45">
        <f t="shared" si="246"/>
        <v>0</v>
      </c>
      <c r="AJ2986" s="44">
        <f t="shared" si="243"/>
        <v>3.012</v>
      </c>
      <c r="AP2986" s="46">
        <f t="shared" si="244"/>
        <v>0.20599999999999999</v>
      </c>
    </row>
    <row r="2987" spans="19:42" ht="18">
      <c r="S2987" s="8">
        <f t="shared" si="245"/>
        <v>0</v>
      </c>
      <c r="W2987" s="3">
        <v>3013</v>
      </c>
      <c r="X2987" s="30">
        <v>205.65</v>
      </c>
      <c r="Y2987" s="33">
        <f t="shared" si="242"/>
        <v>0.20599999999999999</v>
      </c>
      <c r="AH2987" s="45">
        <f t="shared" si="246"/>
        <v>0</v>
      </c>
      <c r="AJ2987" s="44">
        <f t="shared" si="243"/>
        <v>3.0129999999999999</v>
      </c>
      <c r="AP2987" s="46">
        <f t="shared" si="244"/>
        <v>0.20599999999999999</v>
      </c>
    </row>
    <row r="2988" spans="19:42" ht="18">
      <c r="S2988" s="8">
        <f t="shared" si="245"/>
        <v>0</v>
      </c>
      <c r="W2988" s="3">
        <v>3014</v>
      </c>
      <c r="X2988" s="30">
        <v>205.7</v>
      </c>
      <c r="Y2988" s="33">
        <f t="shared" si="242"/>
        <v>0.20599999999999999</v>
      </c>
      <c r="AH2988" s="45">
        <f t="shared" si="246"/>
        <v>0</v>
      </c>
      <c r="AJ2988" s="44">
        <f t="shared" si="243"/>
        <v>3.0139999999999998</v>
      </c>
      <c r="AP2988" s="46">
        <f t="shared" si="244"/>
        <v>0.20599999999999999</v>
      </c>
    </row>
    <row r="2989" spans="19:42" ht="18">
      <c r="S2989" s="8">
        <f t="shared" si="245"/>
        <v>0</v>
      </c>
      <c r="W2989" s="3">
        <v>3015</v>
      </c>
      <c r="X2989" s="30">
        <v>205.75</v>
      </c>
      <c r="Y2989" s="33">
        <f t="shared" si="242"/>
        <v>0.20599999999999999</v>
      </c>
      <c r="AH2989" s="45">
        <f t="shared" si="246"/>
        <v>0</v>
      </c>
      <c r="AJ2989" s="44">
        <f t="shared" si="243"/>
        <v>3.0150000000000001</v>
      </c>
      <c r="AP2989" s="46">
        <f t="shared" si="244"/>
        <v>0.20599999999999999</v>
      </c>
    </row>
    <row r="2990" spans="19:42" ht="18">
      <c r="S2990" s="8">
        <f t="shared" si="245"/>
        <v>0</v>
      </c>
      <c r="W2990" s="3">
        <v>3016</v>
      </c>
      <c r="X2990" s="30">
        <v>205.8</v>
      </c>
      <c r="Y2990" s="33">
        <f t="shared" si="242"/>
        <v>0.20599999999999999</v>
      </c>
      <c r="AH2990" s="45">
        <f t="shared" si="246"/>
        <v>0</v>
      </c>
      <c r="AJ2990" s="44">
        <f t="shared" si="243"/>
        <v>3.016</v>
      </c>
      <c r="AP2990" s="46">
        <f t="shared" si="244"/>
        <v>0.20599999999999999</v>
      </c>
    </row>
    <row r="2991" spans="19:42" ht="18">
      <c r="S2991" s="8">
        <f t="shared" si="245"/>
        <v>0</v>
      </c>
      <c r="W2991" s="3">
        <v>3017</v>
      </c>
      <c r="X2991" s="30">
        <v>205.85</v>
      </c>
      <c r="Y2991" s="33">
        <f t="shared" si="242"/>
        <v>0.20599999999999999</v>
      </c>
      <c r="AH2991" s="45">
        <f t="shared" si="246"/>
        <v>0</v>
      </c>
      <c r="AJ2991" s="44">
        <f t="shared" si="243"/>
        <v>3.0169999999999999</v>
      </c>
      <c r="AP2991" s="46">
        <f t="shared" si="244"/>
        <v>0.20599999999999999</v>
      </c>
    </row>
    <row r="2992" spans="19:42" ht="18">
      <c r="S2992" s="8">
        <f t="shared" si="245"/>
        <v>0</v>
      </c>
      <c r="W2992" s="3">
        <v>3018</v>
      </c>
      <c r="X2992" s="30">
        <v>205.9</v>
      </c>
      <c r="Y2992" s="33">
        <f t="shared" si="242"/>
        <v>0.20599999999999999</v>
      </c>
      <c r="AH2992" s="45">
        <f t="shared" si="246"/>
        <v>0</v>
      </c>
      <c r="AJ2992" s="44">
        <f t="shared" si="243"/>
        <v>3.0179999999999998</v>
      </c>
      <c r="AP2992" s="46">
        <f t="shared" si="244"/>
        <v>0.20599999999999999</v>
      </c>
    </row>
    <row r="2993" spans="19:42" ht="18">
      <c r="S2993" s="8">
        <f t="shared" si="245"/>
        <v>0</v>
      </c>
      <c r="W2993" s="3">
        <v>3019</v>
      </c>
      <c r="X2993" s="30">
        <v>205.95</v>
      </c>
      <c r="Y2993" s="33">
        <f t="shared" si="242"/>
        <v>0.20599999999999999</v>
      </c>
      <c r="AH2993" s="45">
        <f t="shared" si="246"/>
        <v>0</v>
      </c>
      <c r="AJ2993" s="44">
        <f t="shared" si="243"/>
        <v>3.0190000000000001</v>
      </c>
      <c r="AP2993" s="46">
        <f t="shared" si="244"/>
        <v>0.20599999999999999</v>
      </c>
    </row>
    <row r="2994" spans="19:42" ht="18">
      <c r="S2994" s="8">
        <f t="shared" si="245"/>
        <v>0</v>
      </c>
      <c r="W2994" s="3">
        <v>3020</v>
      </c>
      <c r="X2994" s="30">
        <v>206</v>
      </c>
      <c r="Y2994" s="33">
        <f t="shared" si="242"/>
        <v>0.20599999999999999</v>
      </c>
      <c r="AH2994" s="45">
        <f t="shared" si="246"/>
        <v>0</v>
      </c>
      <c r="AJ2994" s="44">
        <f t="shared" si="243"/>
        <v>3.02</v>
      </c>
      <c r="AP2994" s="46">
        <f t="shared" si="244"/>
        <v>0.20599999999999999</v>
      </c>
    </row>
    <row r="2995" spans="19:42" ht="18">
      <c r="S2995" s="8">
        <f t="shared" si="245"/>
        <v>0</v>
      </c>
      <c r="W2995" s="3">
        <v>3021</v>
      </c>
      <c r="X2995" s="30">
        <v>206.03800000000001</v>
      </c>
      <c r="Y2995" s="33">
        <f t="shared" si="242"/>
        <v>0.20599999999999999</v>
      </c>
      <c r="AH2995" s="45">
        <f t="shared" si="246"/>
        <v>0</v>
      </c>
      <c r="AJ2995" s="44">
        <f t="shared" si="243"/>
        <v>3.0209999999999999</v>
      </c>
      <c r="AP2995" s="46">
        <f t="shared" si="244"/>
        <v>0.20599999999999999</v>
      </c>
    </row>
    <row r="2996" spans="19:42" ht="18">
      <c r="S2996" s="8">
        <f t="shared" si="245"/>
        <v>0</v>
      </c>
      <c r="W2996" s="3">
        <v>3022</v>
      </c>
      <c r="X2996" s="30">
        <v>206.07499999999999</v>
      </c>
      <c r="Y2996" s="33">
        <f t="shared" si="242"/>
        <v>0.20599999999999999</v>
      </c>
      <c r="AH2996" s="45">
        <f t="shared" si="246"/>
        <v>0</v>
      </c>
      <c r="AJ2996" s="44">
        <f t="shared" si="243"/>
        <v>3.0219999999999998</v>
      </c>
      <c r="AP2996" s="46">
        <f t="shared" si="244"/>
        <v>0.20599999999999999</v>
      </c>
    </row>
    <row r="2997" spans="19:42" ht="18">
      <c r="S2997" s="8">
        <f t="shared" si="245"/>
        <v>0</v>
      </c>
      <c r="W2997" s="3">
        <v>3023</v>
      </c>
      <c r="X2997" s="30">
        <v>206.113</v>
      </c>
      <c r="Y2997" s="33">
        <f t="shared" si="242"/>
        <v>0.20599999999999999</v>
      </c>
      <c r="AH2997" s="45">
        <f t="shared" si="246"/>
        <v>0</v>
      </c>
      <c r="AJ2997" s="44">
        <f t="shared" si="243"/>
        <v>3.0230000000000001</v>
      </c>
      <c r="AP2997" s="46">
        <f t="shared" si="244"/>
        <v>0.20599999999999999</v>
      </c>
    </row>
    <row r="2998" spans="19:42" ht="18">
      <c r="S2998" s="8">
        <f t="shared" si="245"/>
        <v>0</v>
      </c>
      <c r="W2998" s="3">
        <v>3024</v>
      </c>
      <c r="X2998" s="30">
        <v>206.15</v>
      </c>
      <c r="Y2998" s="33">
        <f t="shared" si="242"/>
        <v>0.20599999999999999</v>
      </c>
      <c r="AH2998" s="45">
        <f t="shared" si="246"/>
        <v>0</v>
      </c>
      <c r="AJ2998" s="44">
        <f t="shared" si="243"/>
        <v>3.024</v>
      </c>
      <c r="AP2998" s="46">
        <f t="shared" si="244"/>
        <v>0.20599999999999999</v>
      </c>
    </row>
    <row r="2999" spans="19:42" ht="18">
      <c r="S2999" s="8">
        <f t="shared" si="245"/>
        <v>0</v>
      </c>
      <c r="W2999" s="3">
        <v>3025</v>
      </c>
      <c r="X2999" s="30">
        <v>206.18799999999999</v>
      </c>
      <c r="Y2999" s="33">
        <f t="shared" si="242"/>
        <v>0.20599999999999999</v>
      </c>
      <c r="AH2999" s="45">
        <f t="shared" si="246"/>
        <v>0</v>
      </c>
      <c r="AJ2999" s="44">
        <f t="shared" si="243"/>
        <v>3.0249999999999999</v>
      </c>
      <c r="AP2999" s="46">
        <f t="shared" si="244"/>
        <v>0.20599999999999999</v>
      </c>
    </row>
    <row r="3000" spans="19:42" ht="18">
      <c r="S3000" s="8">
        <f t="shared" si="245"/>
        <v>0</v>
      </c>
      <c r="W3000" s="3">
        <v>3026</v>
      </c>
      <c r="X3000" s="30">
        <v>206.22499999999999</v>
      </c>
      <c r="Y3000" s="33">
        <f t="shared" si="242"/>
        <v>0.20599999999999999</v>
      </c>
      <c r="AH3000" s="45">
        <f t="shared" si="246"/>
        <v>0</v>
      </c>
      <c r="AJ3000" s="44">
        <f t="shared" si="243"/>
        <v>3.0259999999999998</v>
      </c>
      <c r="AP3000" s="46">
        <f t="shared" si="244"/>
        <v>0.20599999999999999</v>
      </c>
    </row>
    <row r="3001" spans="19:42" ht="18">
      <c r="S3001" s="8">
        <f t="shared" si="245"/>
        <v>0</v>
      </c>
      <c r="W3001" s="3">
        <v>3027</v>
      </c>
      <c r="X3001" s="30">
        <v>206.26300000000001</v>
      </c>
      <c r="Y3001" s="33">
        <f t="shared" si="242"/>
        <v>0.20599999999999999</v>
      </c>
      <c r="AH3001" s="45">
        <f t="shared" si="246"/>
        <v>0</v>
      </c>
      <c r="AJ3001" s="44">
        <f t="shared" si="243"/>
        <v>3.0270000000000001</v>
      </c>
      <c r="AP3001" s="46">
        <f t="shared" si="244"/>
        <v>0.20599999999999999</v>
      </c>
    </row>
    <row r="3002" spans="19:42" ht="18">
      <c r="S3002" s="8">
        <f t="shared" si="245"/>
        <v>0</v>
      </c>
      <c r="W3002" s="3">
        <v>3028</v>
      </c>
      <c r="X3002" s="30">
        <v>206.3</v>
      </c>
      <c r="Y3002" s="33">
        <f t="shared" si="242"/>
        <v>0.20599999999999999</v>
      </c>
      <c r="AH3002" s="45">
        <f t="shared" si="246"/>
        <v>0</v>
      </c>
      <c r="AJ3002" s="44">
        <f t="shared" si="243"/>
        <v>3.028</v>
      </c>
      <c r="AP3002" s="46">
        <f t="shared" si="244"/>
        <v>0.20599999999999999</v>
      </c>
    </row>
    <row r="3003" spans="19:42" ht="18">
      <c r="S3003" s="8">
        <f t="shared" si="245"/>
        <v>0</v>
      </c>
      <c r="W3003" s="3">
        <v>3029</v>
      </c>
      <c r="X3003" s="30">
        <v>206.33799999999999</v>
      </c>
      <c r="Y3003" s="33">
        <f t="shared" si="242"/>
        <v>0.20599999999999999</v>
      </c>
      <c r="AH3003" s="45">
        <f t="shared" si="246"/>
        <v>0</v>
      </c>
      <c r="AJ3003" s="44">
        <f t="shared" si="243"/>
        <v>3.0289999999999999</v>
      </c>
      <c r="AP3003" s="46">
        <f t="shared" si="244"/>
        <v>0.20599999999999999</v>
      </c>
    </row>
    <row r="3004" spans="19:42" ht="18">
      <c r="S3004" s="8">
        <f t="shared" si="245"/>
        <v>0</v>
      </c>
      <c r="W3004" s="3">
        <v>3030</v>
      </c>
      <c r="X3004" s="30">
        <v>206.375</v>
      </c>
      <c r="Y3004" s="33">
        <f t="shared" si="242"/>
        <v>0.20599999999999999</v>
      </c>
      <c r="AH3004" s="45">
        <f t="shared" si="246"/>
        <v>0</v>
      </c>
      <c r="AJ3004" s="44">
        <f t="shared" si="243"/>
        <v>3.03</v>
      </c>
      <c r="AP3004" s="46">
        <f t="shared" si="244"/>
        <v>0.20599999999999999</v>
      </c>
    </row>
    <row r="3005" spans="19:42" ht="18">
      <c r="S3005" s="8">
        <f t="shared" si="245"/>
        <v>0</v>
      </c>
      <c r="W3005" s="3">
        <v>3031</v>
      </c>
      <c r="X3005" s="30">
        <v>206.41300000000001</v>
      </c>
      <c r="Y3005" s="33">
        <f t="shared" si="242"/>
        <v>0.20599999999999999</v>
      </c>
      <c r="AH3005" s="45">
        <f t="shared" si="246"/>
        <v>0</v>
      </c>
      <c r="AJ3005" s="44">
        <f t="shared" si="243"/>
        <v>3.0310000000000001</v>
      </c>
      <c r="AP3005" s="46">
        <f t="shared" si="244"/>
        <v>0.20599999999999999</v>
      </c>
    </row>
    <row r="3006" spans="19:42" ht="18">
      <c r="S3006" s="8">
        <f t="shared" si="245"/>
        <v>0</v>
      </c>
      <c r="W3006" s="3">
        <v>3032</v>
      </c>
      <c r="X3006" s="30">
        <v>206.45</v>
      </c>
      <c r="Y3006" s="33">
        <f t="shared" si="242"/>
        <v>0.20599999999999999</v>
      </c>
      <c r="AH3006" s="45">
        <f t="shared" si="246"/>
        <v>0</v>
      </c>
      <c r="AJ3006" s="44">
        <f t="shared" si="243"/>
        <v>3.032</v>
      </c>
      <c r="AP3006" s="46">
        <f t="shared" si="244"/>
        <v>0.20599999999999999</v>
      </c>
    </row>
    <row r="3007" spans="19:42" ht="18">
      <c r="S3007" s="8">
        <f t="shared" si="245"/>
        <v>0</v>
      </c>
      <c r="W3007" s="3">
        <v>3033</v>
      </c>
      <c r="X3007" s="30">
        <v>206.488</v>
      </c>
      <c r="Y3007" s="33">
        <f t="shared" si="242"/>
        <v>0.20599999999999999</v>
      </c>
      <c r="AH3007" s="45">
        <f t="shared" si="246"/>
        <v>0</v>
      </c>
      <c r="AJ3007" s="44">
        <f t="shared" si="243"/>
        <v>3.0329999999999999</v>
      </c>
      <c r="AP3007" s="46">
        <f t="shared" si="244"/>
        <v>0.20599999999999999</v>
      </c>
    </row>
    <row r="3008" spans="19:42" ht="18">
      <c r="S3008" s="8">
        <f t="shared" si="245"/>
        <v>0</v>
      </c>
      <c r="W3008" s="3">
        <v>3034</v>
      </c>
      <c r="X3008" s="30">
        <v>206.52500000000001</v>
      </c>
      <c r="Y3008" s="33">
        <f t="shared" si="242"/>
        <v>0.20699999999999999</v>
      </c>
      <c r="AH3008" s="45">
        <f t="shared" si="246"/>
        <v>0</v>
      </c>
      <c r="AJ3008" s="44">
        <f t="shared" si="243"/>
        <v>3.0339999999999998</v>
      </c>
      <c r="AP3008" s="46">
        <f t="shared" si="244"/>
        <v>0.20699999999999999</v>
      </c>
    </row>
    <row r="3009" spans="19:42" ht="18">
      <c r="S3009" s="8">
        <f t="shared" si="245"/>
        <v>0</v>
      </c>
      <c r="W3009" s="3">
        <v>3035</v>
      </c>
      <c r="X3009" s="30">
        <v>206.56299999999999</v>
      </c>
      <c r="Y3009" s="33">
        <f t="shared" si="242"/>
        <v>0.20699999999999999</v>
      </c>
      <c r="AH3009" s="45">
        <f t="shared" si="246"/>
        <v>0</v>
      </c>
      <c r="AJ3009" s="44">
        <f t="shared" si="243"/>
        <v>3.0350000000000001</v>
      </c>
      <c r="AP3009" s="46">
        <f t="shared" si="244"/>
        <v>0.20699999999999999</v>
      </c>
    </row>
    <row r="3010" spans="19:42" ht="18">
      <c r="S3010" s="8">
        <f t="shared" si="245"/>
        <v>0</v>
      </c>
      <c r="W3010" s="3">
        <v>3036</v>
      </c>
      <c r="X3010" s="30">
        <v>206.6</v>
      </c>
      <c r="Y3010" s="33">
        <f t="shared" si="242"/>
        <v>0.20699999999999999</v>
      </c>
      <c r="AH3010" s="45">
        <f t="shared" si="246"/>
        <v>0</v>
      </c>
      <c r="AJ3010" s="44">
        <f t="shared" si="243"/>
        <v>3.036</v>
      </c>
      <c r="AP3010" s="46">
        <f t="shared" si="244"/>
        <v>0.20699999999999999</v>
      </c>
    </row>
    <row r="3011" spans="19:42" ht="18">
      <c r="S3011" s="8">
        <f t="shared" si="245"/>
        <v>0</v>
      </c>
      <c r="W3011" s="3">
        <v>3037</v>
      </c>
      <c r="X3011" s="30">
        <v>206.63800000000001</v>
      </c>
      <c r="Y3011" s="33">
        <f t="shared" si="242"/>
        <v>0.20699999999999999</v>
      </c>
      <c r="AH3011" s="45">
        <f t="shared" si="246"/>
        <v>0</v>
      </c>
      <c r="AJ3011" s="44">
        <f t="shared" si="243"/>
        <v>3.0369999999999999</v>
      </c>
      <c r="AP3011" s="46">
        <f t="shared" si="244"/>
        <v>0.20699999999999999</v>
      </c>
    </row>
    <row r="3012" spans="19:42" ht="18">
      <c r="S3012" s="8">
        <f t="shared" si="245"/>
        <v>0</v>
      </c>
      <c r="W3012" s="3">
        <v>3038</v>
      </c>
      <c r="X3012" s="30">
        <v>206.67500000000001</v>
      </c>
      <c r="Y3012" s="33">
        <f t="shared" si="242"/>
        <v>0.20699999999999999</v>
      </c>
      <c r="AH3012" s="45">
        <f t="shared" si="246"/>
        <v>0</v>
      </c>
      <c r="AJ3012" s="44">
        <f t="shared" si="243"/>
        <v>3.0379999999999998</v>
      </c>
      <c r="AP3012" s="46">
        <f t="shared" si="244"/>
        <v>0.20699999999999999</v>
      </c>
    </row>
    <row r="3013" spans="19:42" ht="18">
      <c r="S3013" s="8">
        <f t="shared" si="245"/>
        <v>0</v>
      </c>
      <c r="W3013" s="3">
        <v>3039</v>
      </c>
      <c r="X3013" s="30">
        <v>206.71299999999999</v>
      </c>
      <c r="Y3013" s="33">
        <f t="shared" ref="Y3013:Y3076" si="247">ROUND(X3013/1000,3)</f>
        <v>0.20699999999999999</v>
      </c>
      <c r="AH3013" s="45">
        <f t="shared" si="246"/>
        <v>0</v>
      </c>
      <c r="AJ3013" s="44">
        <f t="shared" ref="AJ3013:AJ3076" si="248">ROUND(W3013/1000,3)</f>
        <v>3.0390000000000001</v>
      </c>
      <c r="AP3013" s="46">
        <f t="shared" ref="AP3013:AP3076" si="249">ROUND(X3013/1000,3)</f>
        <v>0.20699999999999999</v>
      </c>
    </row>
    <row r="3014" spans="19:42" ht="18">
      <c r="S3014" s="8">
        <f t="shared" ref="S3014:S3077" si="250">CEILING(R3014/50,0.5)</f>
        <v>0</v>
      </c>
      <c r="W3014" s="3">
        <v>3040</v>
      </c>
      <c r="X3014" s="30">
        <v>206.75</v>
      </c>
      <c r="Y3014" s="33">
        <f t="shared" si="247"/>
        <v>0.20699999999999999</v>
      </c>
      <c r="AH3014" s="45">
        <f t="shared" ref="AH3014:AH3077" si="251">AE3014-AE3013</f>
        <v>0</v>
      </c>
      <c r="AJ3014" s="44">
        <f t="shared" si="248"/>
        <v>3.04</v>
      </c>
      <c r="AP3014" s="46">
        <f t="shared" si="249"/>
        <v>0.20699999999999999</v>
      </c>
    </row>
    <row r="3015" spans="19:42" ht="18">
      <c r="S3015" s="8">
        <f t="shared" si="250"/>
        <v>0</v>
      </c>
      <c r="W3015" s="3">
        <v>3041</v>
      </c>
      <c r="X3015" s="30">
        <v>206.78800000000001</v>
      </c>
      <c r="Y3015" s="33">
        <f t="shared" si="247"/>
        <v>0.20699999999999999</v>
      </c>
      <c r="AH3015" s="45">
        <f t="shared" si="251"/>
        <v>0</v>
      </c>
      <c r="AJ3015" s="44">
        <f t="shared" si="248"/>
        <v>3.0409999999999999</v>
      </c>
      <c r="AP3015" s="46">
        <f t="shared" si="249"/>
        <v>0.20699999999999999</v>
      </c>
    </row>
    <row r="3016" spans="19:42" ht="18">
      <c r="S3016" s="8">
        <f t="shared" si="250"/>
        <v>0</v>
      </c>
      <c r="W3016" s="3">
        <v>3042</v>
      </c>
      <c r="X3016" s="30">
        <v>206.82499999999999</v>
      </c>
      <c r="Y3016" s="33">
        <f t="shared" si="247"/>
        <v>0.20699999999999999</v>
      </c>
      <c r="AH3016" s="45">
        <f t="shared" si="251"/>
        <v>0</v>
      </c>
      <c r="AJ3016" s="44">
        <f t="shared" si="248"/>
        <v>3.0419999999999998</v>
      </c>
      <c r="AP3016" s="46">
        <f t="shared" si="249"/>
        <v>0.20699999999999999</v>
      </c>
    </row>
    <row r="3017" spans="19:42" ht="18">
      <c r="S3017" s="8">
        <f t="shared" si="250"/>
        <v>0</v>
      </c>
      <c r="W3017" s="3">
        <v>3043</v>
      </c>
      <c r="X3017" s="30">
        <v>206.863</v>
      </c>
      <c r="Y3017" s="33">
        <f t="shared" si="247"/>
        <v>0.20699999999999999</v>
      </c>
      <c r="AH3017" s="45">
        <f t="shared" si="251"/>
        <v>0</v>
      </c>
      <c r="AJ3017" s="44">
        <f t="shared" si="248"/>
        <v>3.0430000000000001</v>
      </c>
      <c r="AP3017" s="46">
        <f t="shared" si="249"/>
        <v>0.20699999999999999</v>
      </c>
    </row>
    <row r="3018" spans="19:42" ht="18">
      <c r="S3018" s="8">
        <f t="shared" si="250"/>
        <v>0</v>
      </c>
      <c r="W3018" s="3">
        <v>3044</v>
      </c>
      <c r="X3018" s="30">
        <v>206.9</v>
      </c>
      <c r="Y3018" s="33">
        <f t="shared" si="247"/>
        <v>0.20699999999999999</v>
      </c>
      <c r="AH3018" s="45">
        <f t="shared" si="251"/>
        <v>0</v>
      </c>
      <c r="AJ3018" s="44">
        <f t="shared" si="248"/>
        <v>3.044</v>
      </c>
      <c r="AP3018" s="46">
        <f t="shared" si="249"/>
        <v>0.20699999999999999</v>
      </c>
    </row>
    <row r="3019" spans="19:42" ht="18">
      <c r="S3019" s="8">
        <f t="shared" si="250"/>
        <v>0</v>
      </c>
      <c r="W3019" s="3">
        <v>3045</v>
      </c>
      <c r="X3019" s="30">
        <v>206.93799999999999</v>
      </c>
      <c r="Y3019" s="33">
        <f t="shared" si="247"/>
        <v>0.20699999999999999</v>
      </c>
      <c r="AH3019" s="45">
        <f t="shared" si="251"/>
        <v>0</v>
      </c>
      <c r="AJ3019" s="44">
        <f t="shared" si="248"/>
        <v>3.0449999999999999</v>
      </c>
      <c r="AP3019" s="46">
        <f t="shared" si="249"/>
        <v>0.20699999999999999</v>
      </c>
    </row>
    <row r="3020" spans="19:42" ht="18">
      <c r="S3020" s="8">
        <f t="shared" si="250"/>
        <v>0</v>
      </c>
      <c r="W3020" s="3">
        <v>3046</v>
      </c>
      <c r="X3020" s="30">
        <v>206.97499999999999</v>
      </c>
      <c r="Y3020" s="33">
        <f t="shared" si="247"/>
        <v>0.20699999999999999</v>
      </c>
      <c r="AH3020" s="45">
        <f t="shared" si="251"/>
        <v>0</v>
      </c>
      <c r="AJ3020" s="44">
        <f t="shared" si="248"/>
        <v>3.0459999999999998</v>
      </c>
      <c r="AP3020" s="46">
        <f t="shared" si="249"/>
        <v>0.20699999999999999</v>
      </c>
    </row>
    <row r="3021" spans="19:42" ht="18">
      <c r="S3021" s="8">
        <f t="shared" si="250"/>
        <v>0</v>
      </c>
      <c r="W3021" s="3">
        <v>3047</v>
      </c>
      <c r="X3021" s="30">
        <v>207.01300000000001</v>
      </c>
      <c r="Y3021" s="33">
        <f t="shared" si="247"/>
        <v>0.20699999999999999</v>
      </c>
      <c r="AH3021" s="45">
        <f t="shared" si="251"/>
        <v>0</v>
      </c>
      <c r="AJ3021" s="44">
        <f t="shared" si="248"/>
        <v>3.0470000000000002</v>
      </c>
      <c r="AP3021" s="46">
        <f t="shared" si="249"/>
        <v>0.20699999999999999</v>
      </c>
    </row>
    <row r="3022" spans="19:42" ht="18">
      <c r="S3022" s="8">
        <f t="shared" si="250"/>
        <v>0</v>
      </c>
      <c r="W3022" s="3">
        <v>3048</v>
      </c>
      <c r="X3022" s="30">
        <v>207.05</v>
      </c>
      <c r="Y3022" s="33">
        <f t="shared" si="247"/>
        <v>0.20699999999999999</v>
      </c>
      <c r="AH3022" s="45">
        <f t="shared" si="251"/>
        <v>0</v>
      </c>
      <c r="AJ3022" s="44">
        <f t="shared" si="248"/>
        <v>3.048</v>
      </c>
      <c r="AP3022" s="46">
        <f t="shared" si="249"/>
        <v>0.20699999999999999</v>
      </c>
    </row>
    <row r="3023" spans="19:42" ht="18">
      <c r="S3023" s="8">
        <f t="shared" si="250"/>
        <v>0</v>
      </c>
      <c r="W3023" s="3">
        <v>3049</v>
      </c>
      <c r="X3023" s="30">
        <v>207.08799999999999</v>
      </c>
      <c r="Y3023" s="33">
        <f t="shared" si="247"/>
        <v>0.20699999999999999</v>
      </c>
      <c r="AH3023" s="45">
        <f t="shared" si="251"/>
        <v>0</v>
      </c>
      <c r="AJ3023" s="44">
        <f t="shared" si="248"/>
        <v>3.0489999999999999</v>
      </c>
      <c r="AP3023" s="46">
        <f t="shared" si="249"/>
        <v>0.20699999999999999</v>
      </c>
    </row>
    <row r="3024" spans="19:42" ht="18">
      <c r="S3024" s="8">
        <f t="shared" si="250"/>
        <v>0</v>
      </c>
      <c r="W3024" s="3">
        <v>3050</v>
      </c>
      <c r="X3024" s="30">
        <v>207.125</v>
      </c>
      <c r="Y3024" s="33">
        <f t="shared" si="247"/>
        <v>0.20699999999999999</v>
      </c>
      <c r="AH3024" s="45">
        <f t="shared" si="251"/>
        <v>0</v>
      </c>
      <c r="AJ3024" s="44">
        <f t="shared" si="248"/>
        <v>3.05</v>
      </c>
      <c r="AP3024" s="46">
        <f t="shared" si="249"/>
        <v>0.20699999999999999</v>
      </c>
    </row>
    <row r="3025" spans="19:42" ht="18">
      <c r="S3025" s="8">
        <f t="shared" si="250"/>
        <v>0</v>
      </c>
      <c r="W3025" s="3">
        <v>3051</v>
      </c>
      <c r="X3025" s="30">
        <v>207.16300000000001</v>
      </c>
      <c r="Y3025" s="33">
        <f t="shared" si="247"/>
        <v>0.20699999999999999</v>
      </c>
      <c r="AH3025" s="45">
        <f t="shared" si="251"/>
        <v>0</v>
      </c>
      <c r="AJ3025" s="44">
        <f t="shared" si="248"/>
        <v>3.0510000000000002</v>
      </c>
      <c r="AP3025" s="46">
        <f t="shared" si="249"/>
        <v>0.20699999999999999</v>
      </c>
    </row>
    <row r="3026" spans="19:42" ht="18">
      <c r="S3026" s="8">
        <f t="shared" si="250"/>
        <v>0</v>
      </c>
      <c r="W3026" s="3">
        <v>3052</v>
      </c>
      <c r="X3026" s="30">
        <v>207.2</v>
      </c>
      <c r="Y3026" s="33">
        <f t="shared" si="247"/>
        <v>0.20699999999999999</v>
      </c>
      <c r="AH3026" s="45">
        <f t="shared" si="251"/>
        <v>0</v>
      </c>
      <c r="AJ3026" s="44">
        <f t="shared" si="248"/>
        <v>3.052</v>
      </c>
      <c r="AP3026" s="46">
        <f t="shared" si="249"/>
        <v>0.20699999999999999</v>
      </c>
    </row>
    <row r="3027" spans="19:42" ht="18">
      <c r="S3027" s="8">
        <f t="shared" si="250"/>
        <v>0</v>
      </c>
      <c r="W3027" s="3">
        <v>3053</v>
      </c>
      <c r="X3027" s="30">
        <v>207.238</v>
      </c>
      <c r="Y3027" s="33">
        <f t="shared" si="247"/>
        <v>0.20699999999999999</v>
      </c>
      <c r="AH3027" s="45">
        <f t="shared" si="251"/>
        <v>0</v>
      </c>
      <c r="AJ3027" s="44">
        <f t="shared" si="248"/>
        <v>3.0529999999999999</v>
      </c>
      <c r="AP3027" s="46">
        <f t="shared" si="249"/>
        <v>0.20699999999999999</v>
      </c>
    </row>
    <row r="3028" spans="19:42" ht="18">
      <c r="S3028" s="8">
        <f t="shared" si="250"/>
        <v>0</v>
      </c>
      <c r="W3028" s="3">
        <v>3054</v>
      </c>
      <c r="X3028" s="30">
        <v>207.27500000000001</v>
      </c>
      <c r="Y3028" s="33">
        <f t="shared" si="247"/>
        <v>0.20699999999999999</v>
      </c>
      <c r="AH3028" s="45">
        <f t="shared" si="251"/>
        <v>0</v>
      </c>
      <c r="AJ3028" s="44">
        <f t="shared" si="248"/>
        <v>3.0539999999999998</v>
      </c>
      <c r="AP3028" s="46">
        <f t="shared" si="249"/>
        <v>0.20699999999999999</v>
      </c>
    </row>
    <row r="3029" spans="19:42" ht="18">
      <c r="S3029" s="8">
        <f t="shared" si="250"/>
        <v>0</v>
      </c>
      <c r="W3029" s="3">
        <v>3055</v>
      </c>
      <c r="X3029" s="30">
        <v>207.31299999999999</v>
      </c>
      <c r="Y3029" s="33">
        <f t="shared" si="247"/>
        <v>0.20699999999999999</v>
      </c>
      <c r="AH3029" s="45">
        <f t="shared" si="251"/>
        <v>0</v>
      </c>
      <c r="AJ3029" s="44">
        <f t="shared" si="248"/>
        <v>3.0550000000000002</v>
      </c>
      <c r="AP3029" s="46">
        <f t="shared" si="249"/>
        <v>0.20699999999999999</v>
      </c>
    </row>
    <row r="3030" spans="19:42" ht="18">
      <c r="S3030" s="8">
        <f t="shared" si="250"/>
        <v>0</v>
      </c>
      <c r="W3030" s="3">
        <v>3056</v>
      </c>
      <c r="X3030" s="30">
        <v>207.35</v>
      </c>
      <c r="Y3030" s="33">
        <f t="shared" si="247"/>
        <v>0.20699999999999999</v>
      </c>
      <c r="AH3030" s="45">
        <f t="shared" si="251"/>
        <v>0</v>
      </c>
      <c r="AJ3030" s="44">
        <f t="shared" si="248"/>
        <v>3.056</v>
      </c>
      <c r="AP3030" s="46">
        <f t="shared" si="249"/>
        <v>0.20699999999999999</v>
      </c>
    </row>
    <row r="3031" spans="19:42" ht="18">
      <c r="S3031" s="8">
        <f t="shared" si="250"/>
        <v>0</v>
      </c>
      <c r="W3031" s="3">
        <v>3057</v>
      </c>
      <c r="X3031" s="30">
        <v>207.38800000000001</v>
      </c>
      <c r="Y3031" s="33">
        <f t="shared" si="247"/>
        <v>0.20699999999999999</v>
      </c>
      <c r="AH3031" s="45">
        <f t="shared" si="251"/>
        <v>0</v>
      </c>
      <c r="AJ3031" s="44">
        <f t="shared" si="248"/>
        <v>3.0569999999999999</v>
      </c>
      <c r="AP3031" s="46">
        <f t="shared" si="249"/>
        <v>0.20699999999999999</v>
      </c>
    </row>
    <row r="3032" spans="19:42" ht="18">
      <c r="S3032" s="8">
        <f t="shared" si="250"/>
        <v>0</v>
      </c>
      <c r="W3032" s="3">
        <v>3058</v>
      </c>
      <c r="X3032" s="30">
        <v>207.42500000000001</v>
      </c>
      <c r="Y3032" s="33">
        <f t="shared" si="247"/>
        <v>0.20699999999999999</v>
      </c>
      <c r="AH3032" s="45">
        <f t="shared" si="251"/>
        <v>0</v>
      </c>
      <c r="AJ3032" s="44">
        <f t="shared" si="248"/>
        <v>3.0579999999999998</v>
      </c>
      <c r="AP3032" s="46">
        <f t="shared" si="249"/>
        <v>0.20699999999999999</v>
      </c>
    </row>
    <row r="3033" spans="19:42" ht="18">
      <c r="S3033" s="8">
        <f t="shared" si="250"/>
        <v>0</v>
      </c>
      <c r="W3033" s="3">
        <v>3059</v>
      </c>
      <c r="X3033" s="30">
        <v>207.46299999999999</v>
      </c>
      <c r="Y3033" s="33">
        <f t="shared" si="247"/>
        <v>0.20699999999999999</v>
      </c>
      <c r="AH3033" s="45">
        <f t="shared" si="251"/>
        <v>0</v>
      </c>
      <c r="AJ3033" s="44">
        <f t="shared" si="248"/>
        <v>3.0590000000000002</v>
      </c>
      <c r="AP3033" s="46">
        <f t="shared" si="249"/>
        <v>0.20699999999999999</v>
      </c>
    </row>
    <row r="3034" spans="19:42" ht="18">
      <c r="S3034" s="8">
        <f t="shared" si="250"/>
        <v>0</v>
      </c>
      <c r="W3034" s="3">
        <v>3060</v>
      </c>
      <c r="X3034" s="30">
        <v>207.5</v>
      </c>
      <c r="Y3034" s="33">
        <f t="shared" si="247"/>
        <v>0.20799999999999999</v>
      </c>
      <c r="AH3034" s="45">
        <f t="shared" si="251"/>
        <v>0</v>
      </c>
      <c r="AJ3034" s="44">
        <f t="shared" si="248"/>
        <v>3.06</v>
      </c>
      <c r="AP3034" s="46">
        <f t="shared" si="249"/>
        <v>0.20799999999999999</v>
      </c>
    </row>
    <row r="3035" spans="19:42" ht="18">
      <c r="S3035" s="8">
        <f t="shared" si="250"/>
        <v>0</v>
      </c>
      <c r="W3035" s="3">
        <v>3061</v>
      </c>
      <c r="X3035" s="30">
        <v>207.53800000000001</v>
      </c>
      <c r="Y3035" s="33">
        <f t="shared" si="247"/>
        <v>0.20799999999999999</v>
      </c>
      <c r="AH3035" s="45">
        <f t="shared" si="251"/>
        <v>0</v>
      </c>
      <c r="AJ3035" s="44">
        <f t="shared" si="248"/>
        <v>3.0609999999999999</v>
      </c>
      <c r="AP3035" s="46">
        <f t="shared" si="249"/>
        <v>0.20799999999999999</v>
      </c>
    </row>
    <row r="3036" spans="19:42" ht="18">
      <c r="S3036" s="8">
        <f t="shared" si="250"/>
        <v>0</v>
      </c>
      <c r="W3036" s="3">
        <v>3062</v>
      </c>
      <c r="X3036" s="30">
        <v>207.57499999999999</v>
      </c>
      <c r="Y3036" s="33">
        <f t="shared" si="247"/>
        <v>0.20799999999999999</v>
      </c>
      <c r="AH3036" s="45">
        <f t="shared" si="251"/>
        <v>0</v>
      </c>
      <c r="AJ3036" s="44">
        <f t="shared" si="248"/>
        <v>3.0619999999999998</v>
      </c>
      <c r="AP3036" s="46">
        <f t="shared" si="249"/>
        <v>0.20799999999999999</v>
      </c>
    </row>
    <row r="3037" spans="19:42" ht="18">
      <c r="S3037" s="8">
        <f t="shared" si="250"/>
        <v>0</v>
      </c>
      <c r="W3037" s="3">
        <v>3063</v>
      </c>
      <c r="X3037" s="30">
        <v>207.613</v>
      </c>
      <c r="Y3037" s="33">
        <f t="shared" si="247"/>
        <v>0.20799999999999999</v>
      </c>
      <c r="AH3037" s="45">
        <f t="shared" si="251"/>
        <v>0</v>
      </c>
      <c r="AJ3037" s="44">
        <f t="shared" si="248"/>
        <v>3.0630000000000002</v>
      </c>
      <c r="AP3037" s="46">
        <f t="shared" si="249"/>
        <v>0.20799999999999999</v>
      </c>
    </row>
    <row r="3038" spans="19:42" ht="18">
      <c r="S3038" s="8">
        <f t="shared" si="250"/>
        <v>0</v>
      </c>
      <c r="W3038" s="3">
        <v>3064</v>
      </c>
      <c r="X3038" s="30">
        <v>207.65</v>
      </c>
      <c r="Y3038" s="33">
        <f t="shared" si="247"/>
        <v>0.20799999999999999</v>
      </c>
      <c r="AH3038" s="45">
        <f t="shared" si="251"/>
        <v>0</v>
      </c>
      <c r="AJ3038" s="44">
        <f t="shared" si="248"/>
        <v>3.0640000000000001</v>
      </c>
      <c r="AP3038" s="46">
        <f t="shared" si="249"/>
        <v>0.20799999999999999</v>
      </c>
    </row>
    <row r="3039" spans="19:42" ht="18">
      <c r="S3039" s="8">
        <f t="shared" si="250"/>
        <v>0</v>
      </c>
      <c r="W3039" s="3">
        <v>3065</v>
      </c>
      <c r="X3039" s="30">
        <v>207.68799999999999</v>
      </c>
      <c r="Y3039" s="33">
        <f t="shared" si="247"/>
        <v>0.20799999999999999</v>
      </c>
      <c r="AH3039" s="45">
        <f t="shared" si="251"/>
        <v>0</v>
      </c>
      <c r="AJ3039" s="44">
        <f t="shared" si="248"/>
        <v>3.0649999999999999</v>
      </c>
      <c r="AP3039" s="46">
        <f t="shared" si="249"/>
        <v>0.20799999999999999</v>
      </c>
    </row>
    <row r="3040" spans="19:42" ht="18">
      <c r="S3040" s="8">
        <f t="shared" si="250"/>
        <v>0</v>
      </c>
      <c r="W3040" s="3">
        <v>3066</v>
      </c>
      <c r="X3040" s="30">
        <v>207.72499999999999</v>
      </c>
      <c r="Y3040" s="33">
        <f t="shared" si="247"/>
        <v>0.20799999999999999</v>
      </c>
      <c r="AH3040" s="45">
        <f t="shared" si="251"/>
        <v>0</v>
      </c>
      <c r="AJ3040" s="44">
        <f t="shared" si="248"/>
        <v>3.0659999999999998</v>
      </c>
      <c r="AP3040" s="46">
        <f t="shared" si="249"/>
        <v>0.20799999999999999</v>
      </c>
    </row>
    <row r="3041" spans="19:42" ht="18">
      <c r="S3041" s="8">
        <f t="shared" si="250"/>
        <v>0</v>
      </c>
      <c r="W3041" s="3">
        <v>3067</v>
      </c>
      <c r="X3041" s="30">
        <v>207.76300000000001</v>
      </c>
      <c r="Y3041" s="33">
        <f t="shared" si="247"/>
        <v>0.20799999999999999</v>
      </c>
      <c r="AH3041" s="45">
        <f t="shared" si="251"/>
        <v>0</v>
      </c>
      <c r="AJ3041" s="44">
        <f t="shared" si="248"/>
        <v>3.0670000000000002</v>
      </c>
      <c r="AP3041" s="46">
        <f t="shared" si="249"/>
        <v>0.20799999999999999</v>
      </c>
    </row>
    <row r="3042" spans="19:42" ht="18">
      <c r="S3042" s="8">
        <f t="shared" si="250"/>
        <v>0</v>
      </c>
      <c r="W3042" s="3">
        <v>3068</v>
      </c>
      <c r="X3042" s="30">
        <v>207.8</v>
      </c>
      <c r="Y3042" s="33">
        <f t="shared" si="247"/>
        <v>0.20799999999999999</v>
      </c>
      <c r="AH3042" s="45">
        <f t="shared" si="251"/>
        <v>0</v>
      </c>
      <c r="AJ3042" s="44">
        <f t="shared" si="248"/>
        <v>3.0680000000000001</v>
      </c>
      <c r="AP3042" s="46">
        <f t="shared" si="249"/>
        <v>0.20799999999999999</v>
      </c>
    </row>
    <row r="3043" spans="19:42" ht="18">
      <c r="S3043" s="8">
        <f t="shared" si="250"/>
        <v>0</v>
      </c>
      <c r="W3043" s="3">
        <v>3069</v>
      </c>
      <c r="X3043" s="30">
        <v>207.83799999999999</v>
      </c>
      <c r="Y3043" s="33">
        <f t="shared" si="247"/>
        <v>0.20799999999999999</v>
      </c>
      <c r="AH3043" s="45">
        <f t="shared" si="251"/>
        <v>0</v>
      </c>
      <c r="AJ3043" s="44">
        <f t="shared" si="248"/>
        <v>3.069</v>
      </c>
      <c r="AP3043" s="46">
        <f t="shared" si="249"/>
        <v>0.20799999999999999</v>
      </c>
    </row>
    <row r="3044" spans="19:42" ht="18">
      <c r="S3044" s="8">
        <f t="shared" si="250"/>
        <v>0</v>
      </c>
      <c r="W3044" s="3">
        <v>3070</v>
      </c>
      <c r="X3044" s="30">
        <v>207.875</v>
      </c>
      <c r="Y3044" s="33">
        <f t="shared" si="247"/>
        <v>0.20799999999999999</v>
      </c>
      <c r="AH3044" s="45">
        <f t="shared" si="251"/>
        <v>0</v>
      </c>
      <c r="AJ3044" s="44">
        <f t="shared" si="248"/>
        <v>3.07</v>
      </c>
      <c r="AP3044" s="46">
        <f t="shared" si="249"/>
        <v>0.20799999999999999</v>
      </c>
    </row>
    <row r="3045" spans="19:42" ht="18">
      <c r="S3045" s="8">
        <f t="shared" si="250"/>
        <v>0</v>
      </c>
      <c r="W3045" s="3">
        <v>3071</v>
      </c>
      <c r="X3045" s="30">
        <v>207.91300000000001</v>
      </c>
      <c r="Y3045" s="33">
        <f t="shared" si="247"/>
        <v>0.20799999999999999</v>
      </c>
      <c r="AH3045" s="45">
        <f t="shared" si="251"/>
        <v>0</v>
      </c>
      <c r="AJ3045" s="44">
        <f t="shared" si="248"/>
        <v>3.0710000000000002</v>
      </c>
      <c r="AP3045" s="46">
        <f t="shared" si="249"/>
        <v>0.20799999999999999</v>
      </c>
    </row>
    <row r="3046" spans="19:42" ht="18">
      <c r="S3046" s="8">
        <f t="shared" si="250"/>
        <v>0</v>
      </c>
      <c r="W3046" s="3">
        <v>3072</v>
      </c>
      <c r="X3046" s="30">
        <v>207.95</v>
      </c>
      <c r="Y3046" s="33">
        <f t="shared" si="247"/>
        <v>0.20799999999999999</v>
      </c>
      <c r="AH3046" s="45">
        <f t="shared" si="251"/>
        <v>0</v>
      </c>
      <c r="AJ3046" s="44">
        <f t="shared" si="248"/>
        <v>3.0720000000000001</v>
      </c>
      <c r="AP3046" s="46">
        <f t="shared" si="249"/>
        <v>0.20799999999999999</v>
      </c>
    </row>
    <row r="3047" spans="19:42" ht="18">
      <c r="S3047" s="8">
        <f t="shared" si="250"/>
        <v>0</v>
      </c>
      <c r="W3047" s="3">
        <v>3073</v>
      </c>
      <c r="X3047" s="30">
        <v>207.988</v>
      </c>
      <c r="Y3047" s="33">
        <f t="shared" si="247"/>
        <v>0.20799999999999999</v>
      </c>
      <c r="AH3047" s="45">
        <f t="shared" si="251"/>
        <v>0</v>
      </c>
      <c r="AJ3047" s="44">
        <f t="shared" si="248"/>
        <v>3.073</v>
      </c>
      <c r="AP3047" s="46">
        <f t="shared" si="249"/>
        <v>0.20799999999999999</v>
      </c>
    </row>
    <row r="3048" spans="19:42" ht="18">
      <c r="S3048" s="8">
        <f t="shared" si="250"/>
        <v>0</v>
      </c>
      <c r="W3048" s="3">
        <v>3074</v>
      </c>
      <c r="X3048" s="30">
        <v>208.02500000000001</v>
      </c>
      <c r="Y3048" s="33">
        <f t="shared" si="247"/>
        <v>0.20799999999999999</v>
      </c>
      <c r="AH3048" s="45">
        <f t="shared" si="251"/>
        <v>0</v>
      </c>
      <c r="AJ3048" s="44">
        <f t="shared" si="248"/>
        <v>3.0739999999999998</v>
      </c>
      <c r="AP3048" s="46">
        <f t="shared" si="249"/>
        <v>0.20799999999999999</v>
      </c>
    </row>
    <row r="3049" spans="19:42" ht="18">
      <c r="S3049" s="8">
        <f t="shared" si="250"/>
        <v>0</v>
      </c>
      <c r="W3049" s="3">
        <v>3075</v>
      </c>
      <c r="X3049" s="30">
        <v>208.06299999999999</v>
      </c>
      <c r="Y3049" s="33">
        <f t="shared" si="247"/>
        <v>0.20799999999999999</v>
      </c>
      <c r="AH3049" s="45">
        <f t="shared" si="251"/>
        <v>0</v>
      </c>
      <c r="AJ3049" s="44">
        <f t="shared" si="248"/>
        <v>3.0750000000000002</v>
      </c>
      <c r="AP3049" s="46">
        <f t="shared" si="249"/>
        <v>0.20799999999999999</v>
      </c>
    </row>
    <row r="3050" spans="19:42" ht="18">
      <c r="S3050" s="8">
        <f t="shared" si="250"/>
        <v>0</v>
      </c>
      <c r="W3050" s="3">
        <v>3076</v>
      </c>
      <c r="X3050" s="30">
        <v>208.1</v>
      </c>
      <c r="Y3050" s="33">
        <f t="shared" si="247"/>
        <v>0.20799999999999999</v>
      </c>
      <c r="AH3050" s="45">
        <f t="shared" si="251"/>
        <v>0</v>
      </c>
      <c r="AJ3050" s="44">
        <f t="shared" si="248"/>
        <v>3.0760000000000001</v>
      </c>
      <c r="AP3050" s="46">
        <f t="shared" si="249"/>
        <v>0.20799999999999999</v>
      </c>
    </row>
    <row r="3051" spans="19:42" ht="18">
      <c r="S3051" s="8">
        <f t="shared" si="250"/>
        <v>0</v>
      </c>
      <c r="W3051" s="3">
        <v>3077</v>
      </c>
      <c r="X3051" s="30">
        <v>208.13800000000001</v>
      </c>
      <c r="Y3051" s="33">
        <f t="shared" si="247"/>
        <v>0.20799999999999999</v>
      </c>
      <c r="AH3051" s="45">
        <f t="shared" si="251"/>
        <v>0</v>
      </c>
      <c r="AJ3051" s="44">
        <f t="shared" si="248"/>
        <v>3.077</v>
      </c>
      <c r="AP3051" s="46">
        <f t="shared" si="249"/>
        <v>0.20799999999999999</v>
      </c>
    </row>
    <row r="3052" spans="19:42" ht="18">
      <c r="S3052" s="8">
        <f t="shared" si="250"/>
        <v>0</v>
      </c>
      <c r="W3052" s="3">
        <v>3078</v>
      </c>
      <c r="X3052" s="30">
        <v>208.17500000000001</v>
      </c>
      <c r="Y3052" s="33">
        <f t="shared" si="247"/>
        <v>0.20799999999999999</v>
      </c>
      <c r="AH3052" s="45">
        <f t="shared" si="251"/>
        <v>0</v>
      </c>
      <c r="AJ3052" s="44">
        <f t="shared" si="248"/>
        <v>3.0779999999999998</v>
      </c>
      <c r="AP3052" s="46">
        <f t="shared" si="249"/>
        <v>0.20799999999999999</v>
      </c>
    </row>
    <row r="3053" spans="19:42" ht="18">
      <c r="S3053" s="8">
        <f t="shared" si="250"/>
        <v>0</v>
      </c>
      <c r="W3053" s="3">
        <v>3079</v>
      </c>
      <c r="X3053" s="30">
        <v>208.21299999999999</v>
      </c>
      <c r="Y3053" s="33">
        <f t="shared" si="247"/>
        <v>0.20799999999999999</v>
      </c>
      <c r="AH3053" s="45">
        <f t="shared" si="251"/>
        <v>0</v>
      </c>
      <c r="AJ3053" s="44">
        <f t="shared" si="248"/>
        <v>3.0790000000000002</v>
      </c>
      <c r="AP3053" s="46">
        <f t="shared" si="249"/>
        <v>0.20799999999999999</v>
      </c>
    </row>
    <row r="3054" spans="19:42" ht="18">
      <c r="S3054" s="8">
        <f t="shared" si="250"/>
        <v>0</v>
      </c>
      <c r="W3054" s="3">
        <v>3080</v>
      </c>
      <c r="X3054" s="30">
        <v>208.25</v>
      </c>
      <c r="Y3054" s="33">
        <f t="shared" si="247"/>
        <v>0.20799999999999999</v>
      </c>
      <c r="AH3054" s="45">
        <f t="shared" si="251"/>
        <v>0</v>
      </c>
      <c r="AJ3054" s="44">
        <f t="shared" si="248"/>
        <v>3.08</v>
      </c>
      <c r="AP3054" s="46">
        <f t="shared" si="249"/>
        <v>0.20799999999999999</v>
      </c>
    </row>
    <row r="3055" spans="19:42" ht="18">
      <c r="S3055" s="8">
        <f t="shared" si="250"/>
        <v>0</v>
      </c>
      <c r="W3055" s="3">
        <v>3081</v>
      </c>
      <c r="X3055" s="30">
        <v>208.28800000000001</v>
      </c>
      <c r="Y3055" s="33">
        <f t="shared" si="247"/>
        <v>0.20799999999999999</v>
      </c>
      <c r="AH3055" s="45">
        <f t="shared" si="251"/>
        <v>0</v>
      </c>
      <c r="AJ3055" s="44">
        <f t="shared" si="248"/>
        <v>3.081</v>
      </c>
      <c r="AP3055" s="46">
        <f t="shared" si="249"/>
        <v>0.20799999999999999</v>
      </c>
    </row>
    <row r="3056" spans="19:42" ht="18">
      <c r="S3056" s="8">
        <f t="shared" si="250"/>
        <v>0</v>
      </c>
      <c r="W3056" s="3">
        <v>3082</v>
      </c>
      <c r="X3056" s="30">
        <v>208.32499999999999</v>
      </c>
      <c r="Y3056" s="33">
        <f t="shared" si="247"/>
        <v>0.20799999999999999</v>
      </c>
      <c r="AH3056" s="45">
        <f t="shared" si="251"/>
        <v>0</v>
      </c>
      <c r="AJ3056" s="44">
        <f t="shared" si="248"/>
        <v>3.0819999999999999</v>
      </c>
      <c r="AP3056" s="46">
        <f t="shared" si="249"/>
        <v>0.20799999999999999</v>
      </c>
    </row>
    <row r="3057" spans="19:42" ht="18">
      <c r="S3057" s="8">
        <f t="shared" si="250"/>
        <v>0</v>
      </c>
      <c r="W3057" s="3">
        <v>3083</v>
      </c>
      <c r="X3057" s="30">
        <v>208.363</v>
      </c>
      <c r="Y3057" s="33">
        <f t="shared" si="247"/>
        <v>0.20799999999999999</v>
      </c>
      <c r="AH3057" s="45">
        <f t="shared" si="251"/>
        <v>0</v>
      </c>
      <c r="AJ3057" s="44">
        <f t="shared" si="248"/>
        <v>3.0830000000000002</v>
      </c>
      <c r="AP3057" s="46">
        <f t="shared" si="249"/>
        <v>0.20799999999999999</v>
      </c>
    </row>
    <row r="3058" spans="19:42" ht="18">
      <c r="S3058" s="8">
        <f t="shared" si="250"/>
        <v>0</v>
      </c>
      <c r="W3058" s="3">
        <v>3084</v>
      </c>
      <c r="X3058" s="30">
        <v>208.4</v>
      </c>
      <c r="Y3058" s="33">
        <f t="shared" si="247"/>
        <v>0.20799999999999999</v>
      </c>
      <c r="AH3058" s="45">
        <f t="shared" si="251"/>
        <v>0</v>
      </c>
      <c r="AJ3058" s="44">
        <f t="shared" si="248"/>
        <v>3.0840000000000001</v>
      </c>
      <c r="AP3058" s="46">
        <f t="shared" si="249"/>
        <v>0.20799999999999999</v>
      </c>
    </row>
    <row r="3059" spans="19:42" ht="18">
      <c r="S3059" s="8">
        <f t="shared" si="250"/>
        <v>0</v>
      </c>
      <c r="W3059" s="3">
        <v>3085</v>
      </c>
      <c r="X3059" s="30">
        <v>208.43799999999999</v>
      </c>
      <c r="Y3059" s="33">
        <f t="shared" si="247"/>
        <v>0.20799999999999999</v>
      </c>
      <c r="AH3059" s="45">
        <f t="shared" si="251"/>
        <v>0</v>
      </c>
      <c r="AJ3059" s="44">
        <f t="shared" si="248"/>
        <v>3.085</v>
      </c>
      <c r="AP3059" s="46">
        <f t="shared" si="249"/>
        <v>0.20799999999999999</v>
      </c>
    </row>
    <row r="3060" spans="19:42" ht="18">
      <c r="S3060" s="8">
        <f t="shared" si="250"/>
        <v>0</v>
      </c>
      <c r="W3060" s="3">
        <v>3086</v>
      </c>
      <c r="X3060" s="30">
        <v>208.47499999999999</v>
      </c>
      <c r="Y3060" s="33">
        <f t="shared" si="247"/>
        <v>0.20799999999999999</v>
      </c>
      <c r="AH3060" s="45">
        <f t="shared" si="251"/>
        <v>0</v>
      </c>
      <c r="AJ3060" s="44">
        <f t="shared" si="248"/>
        <v>3.0859999999999999</v>
      </c>
      <c r="AP3060" s="46">
        <f t="shared" si="249"/>
        <v>0.20799999999999999</v>
      </c>
    </row>
    <row r="3061" spans="19:42" ht="18">
      <c r="S3061" s="8">
        <f t="shared" si="250"/>
        <v>0</v>
      </c>
      <c r="W3061" s="3">
        <v>3087</v>
      </c>
      <c r="X3061" s="30">
        <v>208.51300000000001</v>
      </c>
      <c r="Y3061" s="33">
        <f t="shared" si="247"/>
        <v>0.20899999999999999</v>
      </c>
      <c r="AH3061" s="45">
        <f t="shared" si="251"/>
        <v>0</v>
      </c>
      <c r="AJ3061" s="44">
        <f t="shared" si="248"/>
        <v>3.0870000000000002</v>
      </c>
      <c r="AP3061" s="46">
        <f t="shared" si="249"/>
        <v>0.20899999999999999</v>
      </c>
    </row>
    <row r="3062" spans="19:42" ht="18">
      <c r="S3062" s="8">
        <f t="shared" si="250"/>
        <v>0</v>
      </c>
      <c r="W3062" s="3">
        <v>3088</v>
      </c>
      <c r="X3062" s="30">
        <v>208.55</v>
      </c>
      <c r="Y3062" s="33">
        <f t="shared" si="247"/>
        <v>0.20899999999999999</v>
      </c>
      <c r="AH3062" s="45">
        <f t="shared" si="251"/>
        <v>0</v>
      </c>
      <c r="AJ3062" s="44">
        <f t="shared" si="248"/>
        <v>3.0880000000000001</v>
      </c>
      <c r="AP3062" s="46">
        <f t="shared" si="249"/>
        <v>0.20899999999999999</v>
      </c>
    </row>
    <row r="3063" spans="19:42" ht="18">
      <c r="S3063" s="8">
        <f t="shared" si="250"/>
        <v>0</v>
      </c>
      <c r="W3063" s="3">
        <v>3089</v>
      </c>
      <c r="X3063" s="30">
        <v>208.58799999999999</v>
      </c>
      <c r="Y3063" s="33">
        <f t="shared" si="247"/>
        <v>0.20899999999999999</v>
      </c>
      <c r="AH3063" s="45">
        <f t="shared" si="251"/>
        <v>0</v>
      </c>
      <c r="AJ3063" s="44">
        <f t="shared" si="248"/>
        <v>3.089</v>
      </c>
      <c r="AP3063" s="46">
        <f t="shared" si="249"/>
        <v>0.20899999999999999</v>
      </c>
    </row>
    <row r="3064" spans="19:42" ht="18">
      <c r="S3064" s="8">
        <f t="shared" si="250"/>
        <v>0</v>
      </c>
      <c r="W3064" s="3">
        <v>3090</v>
      </c>
      <c r="X3064" s="30">
        <v>208.625</v>
      </c>
      <c r="Y3064" s="33">
        <f t="shared" si="247"/>
        <v>0.20899999999999999</v>
      </c>
      <c r="AH3064" s="45">
        <f t="shared" si="251"/>
        <v>0</v>
      </c>
      <c r="AJ3064" s="44">
        <f t="shared" si="248"/>
        <v>3.09</v>
      </c>
      <c r="AP3064" s="46">
        <f t="shared" si="249"/>
        <v>0.20899999999999999</v>
      </c>
    </row>
    <row r="3065" spans="19:42" ht="18">
      <c r="S3065" s="8">
        <f t="shared" si="250"/>
        <v>0</v>
      </c>
      <c r="W3065" s="3">
        <v>3091</v>
      </c>
      <c r="X3065" s="30">
        <v>208.66300000000001</v>
      </c>
      <c r="Y3065" s="33">
        <f t="shared" si="247"/>
        <v>0.20899999999999999</v>
      </c>
      <c r="AH3065" s="45">
        <f t="shared" si="251"/>
        <v>0</v>
      </c>
      <c r="AJ3065" s="44">
        <f t="shared" si="248"/>
        <v>3.0910000000000002</v>
      </c>
      <c r="AP3065" s="46">
        <f t="shared" si="249"/>
        <v>0.20899999999999999</v>
      </c>
    </row>
    <row r="3066" spans="19:42" ht="18">
      <c r="S3066" s="8">
        <f t="shared" si="250"/>
        <v>0</v>
      </c>
      <c r="W3066" s="3">
        <v>3092</v>
      </c>
      <c r="X3066" s="30">
        <v>208.7</v>
      </c>
      <c r="Y3066" s="33">
        <f t="shared" si="247"/>
        <v>0.20899999999999999</v>
      </c>
      <c r="AH3066" s="45">
        <f t="shared" si="251"/>
        <v>0</v>
      </c>
      <c r="AJ3066" s="44">
        <f t="shared" si="248"/>
        <v>3.0920000000000001</v>
      </c>
      <c r="AP3066" s="46">
        <f t="shared" si="249"/>
        <v>0.20899999999999999</v>
      </c>
    </row>
    <row r="3067" spans="19:42" ht="18">
      <c r="S3067" s="8">
        <f t="shared" si="250"/>
        <v>0</v>
      </c>
      <c r="W3067" s="3">
        <v>3093</v>
      </c>
      <c r="X3067" s="30">
        <v>208.738</v>
      </c>
      <c r="Y3067" s="33">
        <f t="shared" si="247"/>
        <v>0.20899999999999999</v>
      </c>
      <c r="AH3067" s="45">
        <f t="shared" si="251"/>
        <v>0</v>
      </c>
      <c r="AJ3067" s="44">
        <f t="shared" si="248"/>
        <v>3.093</v>
      </c>
      <c r="AP3067" s="46">
        <f t="shared" si="249"/>
        <v>0.20899999999999999</v>
      </c>
    </row>
    <row r="3068" spans="19:42" ht="18">
      <c r="S3068" s="8">
        <f t="shared" si="250"/>
        <v>0</v>
      </c>
      <c r="W3068" s="3">
        <v>3094</v>
      </c>
      <c r="X3068" s="30">
        <v>208.77500000000001</v>
      </c>
      <c r="Y3068" s="33">
        <f t="shared" si="247"/>
        <v>0.20899999999999999</v>
      </c>
      <c r="AH3068" s="45">
        <f t="shared" si="251"/>
        <v>0</v>
      </c>
      <c r="AJ3068" s="44">
        <f t="shared" si="248"/>
        <v>3.0939999999999999</v>
      </c>
      <c r="AP3068" s="46">
        <f t="shared" si="249"/>
        <v>0.20899999999999999</v>
      </c>
    </row>
    <row r="3069" spans="19:42" ht="18">
      <c r="S3069" s="8">
        <f t="shared" si="250"/>
        <v>0</v>
      </c>
      <c r="W3069" s="3">
        <v>3095</v>
      </c>
      <c r="X3069" s="30">
        <v>208.81299999999999</v>
      </c>
      <c r="Y3069" s="33">
        <f t="shared" si="247"/>
        <v>0.20899999999999999</v>
      </c>
      <c r="AH3069" s="45">
        <f t="shared" si="251"/>
        <v>0</v>
      </c>
      <c r="AJ3069" s="44">
        <f t="shared" si="248"/>
        <v>3.0950000000000002</v>
      </c>
      <c r="AP3069" s="46">
        <f t="shared" si="249"/>
        <v>0.20899999999999999</v>
      </c>
    </row>
    <row r="3070" spans="19:42" ht="18">
      <c r="S3070" s="8">
        <f t="shared" si="250"/>
        <v>0</v>
      </c>
      <c r="W3070" s="3">
        <v>3096</v>
      </c>
      <c r="X3070" s="30">
        <v>208.85</v>
      </c>
      <c r="Y3070" s="33">
        <f t="shared" si="247"/>
        <v>0.20899999999999999</v>
      </c>
      <c r="AH3070" s="45">
        <f t="shared" si="251"/>
        <v>0</v>
      </c>
      <c r="AJ3070" s="44">
        <f t="shared" si="248"/>
        <v>3.0960000000000001</v>
      </c>
      <c r="AP3070" s="46">
        <f t="shared" si="249"/>
        <v>0.20899999999999999</v>
      </c>
    </row>
    <row r="3071" spans="19:42" ht="18">
      <c r="S3071" s="8">
        <f t="shared" si="250"/>
        <v>0</v>
      </c>
      <c r="W3071" s="3">
        <v>3097</v>
      </c>
      <c r="X3071" s="30">
        <v>208.88800000000001</v>
      </c>
      <c r="Y3071" s="33">
        <f t="shared" si="247"/>
        <v>0.20899999999999999</v>
      </c>
      <c r="AH3071" s="45">
        <f t="shared" si="251"/>
        <v>0</v>
      </c>
      <c r="AJ3071" s="44">
        <f t="shared" si="248"/>
        <v>3.097</v>
      </c>
      <c r="AP3071" s="46">
        <f t="shared" si="249"/>
        <v>0.20899999999999999</v>
      </c>
    </row>
    <row r="3072" spans="19:42" ht="18">
      <c r="S3072" s="8">
        <f t="shared" si="250"/>
        <v>0</v>
      </c>
      <c r="W3072" s="3">
        <v>3098</v>
      </c>
      <c r="X3072" s="30">
        <v>208.92500000000001</v>
      </c>
      <c r="Y3072" s="33">
        <f t="shared" si="247"/>
        <v>0.20899999999999999</v>
      </c>
      <c r="AH3072" s="45">
        <f t="shared" si="251"/>
        <v>0</v>
      </c>
      <c r="AJ3072" s="44">
        <f t="shared" si="248"/>
        <v>3.0979999999999999</v>
      </c>
      <c r="AP3072" s="46">
        <f t="shared" si="249"/>
        <v>0.20899999999999999</v>
      </c>
    </row>
    <row r="3073" spans="19:42" ht="18">
      <c r="S3073" s="8">
        <f t="shared" si="250"/>
        <v>0</v>
      </c>
      <c r="W3073" s="3">
        <v>3099</v>
      </c>
      <c r="X3073" s="30">
        <v>208.96299999999999</v>
      </c>
      <c r="Y3073" s="33">
        <f t="shared" si="247"/>
        <v>0.20899999999999999</v>
      </c>
      <c r="AH3073" s="45">
        <f t="shared" si="251"/>
        <v>0</v>
      </c>
      <c r="AJ3073" s="44">
        <f t="shared" si="248"/>
        <v>3.0990000000000002</v>
      </c>
      <c r="AP3073" s="46">
        <f t="shared" si="249"/>
        <v>0.20899999999999999</v>
      </c>
    </row>
    <row r="3074" spans="19:42" ht="18">
      <c r="S3074" s="8">
        <f t="shared" si="250"/>
        <v>0</v>
      </c>
      <c r="W3074" s="3">
        <v>3100</v>
      </c>
      <c r="X3074" s="30">
        <v>209</v>
      </c>
      <c r="Y3074" s="33">
        <f t="shared" si="247"/>
        <v>0.20899999999999999</v>
      </c>
      <c r="AH3074" s="45">
        <f t="shared" si="251"/>
        <v>0</v>
      </c>
      <c r="AJ3074" s="44">
        <f t="shared" si="248"/>
        <v>3.1</v>
      </c>
      <c r="AP3074" s="46">
        <f t="shared" si="249"/>
        <v>0.20899999999999999</v>
      </c>
    </row>
    <row r="3075" spans="19:42" ht="18">
      <c r="S3075" s="8">
        <f t="shared" si="250"/>
        <v>0</v>
      </c>
      <c r="W3075" s="3">
        <v>3101</v>
      </c>
      <c r="X3075" s="30">
        <v>209.07499999999999</v>
      </c>
      <c r="Y3075" s="33">
        <f t="shared" si="247"/>
        <v>0.20899999999999999</v>
      </c>
      <c r="AH3075" s="45">
        <f t="shared" si="251"/>
        <v>0</v>
      </c>
      <c r="AJ3075" s="44">
        <f t="shared" si="248"/>
        <v>3.101</v>
      </c>
      <c r="AP3075" s="46">
        <f t="shared" si="249"/>
        <v>0.20899999999999999</v>
      </c>
    </row>
    <row r="3076" spans="19:42" ht="18">
      <c r="S3076" s="8">
        <f t="shared" si="250"/>
        <v>0</v>
      </c>
      <c r="W3076" s="3">
        <v>3102</v>
      </c>
      <c r="X3076" s="30">
        <v>209.15</v>
      </c>
      <c r="Y3076" s="33">
        <f t="shared" si="247"/>
        <v>0.20899999999999999</v>
      </c>
      <c r="AH3076" s="45">
        <f t="shared" si="251"/>
        <v>0</v>
      </c>
      <c r="AJ3076" s="44">
        <f t="shared" si="248"/>
        <v>3.1019999999999999</v>
      </c>
      <c r="AP3076" s="46">
        <f t="shared" si="249"/>
        <v>0.20899999999999999</v>
      </c>
    </row>
    <row r="3077" spans="19:42" ht="18">
      <c r="S3077" s="8">
        <f t="shared" si="250"/>
        <v>0</v>
      </c>
      <c r="W3077" s="3">
        <v>3103</v>
      </c>
      <c r="X3077" s="30">
        <v>209.22499999999999</v>
      </c>
      <c r="Y3077" s="33">
        <f t="shared" ref="Y3077:Y3140" si="252">ROUND(X3077/1000,3)</f>
        <v>0.20899999999999999</v>
      </c>
      <c r="AH3077" s="45">
        <f t="shared" si="251"/>
        <v>0</v>
      </c>
      <c r="AJ3077" s="44">
        <f t="shared" ref="AJ3077:AJ3140" si="253">ROUND(W3077/1000,3)</f>
        <v>3.1030000000000002</v>
      </c>
      <c r="AP3077" s="46">
        <f t="shared" ref="AP3077:AP3140" si="254">ROUND(X3077/1000,3)</f>
        <v>0.20899999999999999</v>
      </c>
    </row>
    <row r="3078" spans="19:42" ht="18">
      <c r="S3078" s="8">
        <f t="shared" ref="S3078:S3141" si="255">CEILING(R3078/50,0.5)</f>
        <v>0</v>
      </c>
      <c r="W3078" s="3">
        <v>3104</v>
      </c>
      <c r="X3078" s="30">
        <v>209.3</v>
      </c>
      <c r="Y3078" s="33">
        <f t="shared" si="252"/>
        <v>0.20899999999999999</v>
      </c>
      <c r="AH3078" s="45">
        <f t="shared" ref="AH3078:AH3141" si="256">AE3078-AE3077</f>
        <v>0</v>
      </c>
      <c r="AJ3078" s="44">
        <f t="shared" si="253"/>
        <v>3.1040000000000001</v>
      </c>
      <c r="AP3078" s="46">
        <f t="shared" si="254"/>
        <v>0.20899999999999999</v>
      </c>
    </row>
    <row r="3079" spans="19:42" ht="18">
      <c r="S3079" s="8">
        <f t="shared" si="255"/>
        <v>0</v>
      </c>
      <c r="W3079" s="3">
        <v>3105</v>
      </c>
      <c r="X3079" s="30">
        <v>209.375</v>
      </c>
      <c r="Y3079" s="33">
        <f t="shared" si="252"/>
        <v>0.20899999999999999</v>
      </c>
      <c r="AH3079" s="45">
        <f t="shared" si="256"/>
        <v>0</v>
      </c>
      <c r="AJ3079" s="44">
        <f t="shared" si="253"/>
        <v>3.105</v>
      </c>
      <c r="AP3079" s="46">
        <f t="shared" si="254"/>
        <v>0.20899999999999999</v>
      </c>
    </row>
    <row r="3080" spans="19:42" ht="18">
      <c r="S3080" s="8">
        <f t="shared" si="255"/>
        <v>0</v>
      </c>
      <c r="W3080" s="3">
        <v>3106</v>
      </c>
      <c r="X3080" s="30">
        <v>209.45</v>
      </c>
      <c r="Y3080" s="33">
        <f t="shared" si="252"/>
        <v>0.20899999999999999</v>
      </c>
      <c r="AH3080" s="45">
        <f t="shared" si="256"/>
        <v>0</v>
      </c>
      <c r="AJ3080" s="44">
        <f t="shared" si="253"/>
        <v>3.1059999999999999</v>
      </c>
      <c r="AP3080" s="46">
        <f t="shared" si="254"/>
        <v>0.20899999999999999</v>
      </c>
    </row>
    <row r="3081" spans="19:42" ht="18">
      <c r="S3081" s="8">
        <f t="shared" si="255"/>
        <v>0</v>
      </c>
      <c r="W3081" s="3">
        <v>3107</v>
      </c>
      <c r="X3081" s="30">
        <v>209.52500000000001</v>
      </c>
      <c r="Y3081" s="33">
        <f t="shared" si="252"/>
        <v>0.21</v>
      </c>
      <c r="AH3081" s="45">
        <f t="shared" si="256"/>
        <v>0</v>
      </c>
      <c r="AJ3081" s="44">
        <f t="shared" si="253"/>
        <v>3.1070000000000002</v>
      </c>
      <c r="AP3081" s="46">
        <f t="shared" si="254"/>
        <v>0.21</v>
      </c>
    </row>
    <row r="3082" spans="19:42" ht="18">
      <c r="S3082" s="8">
        <f t="shared" si="255"/>
        <v>0</v>
      </c>
      <c r="W3082" s="3">
        <v>3108</v>
      </c>
      <c r="X3082" s="30">
        <v>209.6</v>
      </c>
      <c r="Y3082" s="33">
        <f t="shared" si="252"/>
        <v>0.21</v>
      </c>
      <c r="AH3082" s="45">
        <f t="shared" si="256"/>
        <v>0</v>
      </c>
      <c r="AJ3082" s="44">
        <f t="shared" si="253"/>
        <v>3.1080000000000001</v>
      </c>
      <c r="AP3082" s="46">
        <f t="shared" si="254"/>
        <v>0.21</v>
      </c>
    </row>
    <row r="3083" spans="19:42" ht="18">
      <c r="S3083" s="8">
        <f t="shared" si="255"/>
        <v>0</v>
      </c>
      <c r="W3083" s="3">
        <v>3109</v>
      </c>
      <c r="X3083" s="30">
        <v>209.67500000000001</v>
      </c>
      <c r="Y3083" s="33">
        <f t="shared" si="252"/>
        <v>0.21</v>
      </c>
      <c r="AH3083" s="45">
        <f t="shared" si="256"/>
        <v>0</v>
      </c>
      <c r="AJ3083" s="44">
        <f t="shared" si="253"/>
        <v>3.109</v>
      </c>
      <c r="AP3083" s="46">
        <f t="shared" si="254"/>
        <v>0.21</v>
      </c>
    </row>
    <row r="3084" spans="19:42" ht="18">
      <c r="S3084" s="8">
        <f t="shared" si="255"/>
        <v>0</v>
      </c>
      <c r="W3084" s="3">
        <v>3110</v>
      </c>
      <c r="X3084" s="30">
        <v>209.75</v>
      </c>
      <c r="Y3084" s="33">
        <f t="shared" si="252"/>
        <v>0.21</v>
      </c>
      <c r="AH3084" s="45">
        <f t="shared" si="256"/>
        <v>0</v>
      </c>
      <c r="AJ3084" s="44">
        <f t="shared" si="253"/>
        <v>3.11</v>
      </c>
      <c r="AP3084" s="46">
        <f t="shared" si="254"/>
        <v>0.21</v>
      </c>
    </row>
    <row r="3085" spans="19:42" ht="18">
      <c r="S3085" s="8">
        <f t="shared" si="255"/>
        <v>0</v>
      </c>
      <c r="W3085" s="3">
        <v>3111</v>
      </c>
      <c r="X3085" s="30">
        <v>209.82499999999999</v>
      </c>
      <c r="Y3085" s="33">
        <f t="shared" si="252"/>
        <v>0.21</v>
      </c>
      <c r="AH3085" s="45">
        <f t="shared" si="256"/>
        <v>0</v>
      </c>
      <c r="AJ3085" s="44">
        <f t="shared" si="253"/>
        <v>3.1110000000000002</v>
      </c>
      <c r="AP3085" s="46">
        <f t="shared" si="254"/>
        <v>0.21</v>
      </c>
    </row>
    <row r="3086" spans="19:42" ht="18">
      <c r="S3086" s="8">
        <f t="shared" si="255"/>
        <v>0</v>
      </c>
      <c r="W3086" s="3">
        <v>3112</v>
      </c>
      <c r="X3086" s="30">
        <v>209.9</v>
      </c>
      <c r="Y3086" s="33">
        <f t="shared" si="252"/>
        <v>0.21</v>
      </c>
      <c r="AH3086" s="45">
        <f t="shared" si="256"/>
        <v>0</v>
      </c>
      <c r="AJ3086" s="44">
        <f t="shared" si="253"/>
        <v>3.1120000000000001</v>
      </c>
      <c r="AP3086" s="46">
        <f t="shared" si="254"/>
        <v>0.21</v>
      </c>
    </row>
    <row r="3087" spans="19:42" ht="18">
      <c r="S3087" s="8">
        <f t="shared" si="255"/>
        <v>0</v>
      </c>
      <c r="W3087" s="3">
        <v>3113</v>
      </c>
      <c r="X3087" s="30">
        <v>209.97499999999999</v>
      </c>
      <c r="Y3087" s="33">
        <f t="shared" si="252"/>
        <v>0.21</v>
      </c>
      <c r="AH3087" s="45">
        <f t="shared" si="256"/>
        <v>0</v>
      </c>
      <c r="AJ3087" s="44">
        <f t="shared" si="253"/>
        <v>3.113</v>
      </c>
      <c r="AP3087" s="46">
        <f t="shared" si="254"/>
        <v>0.21</v>
      </c>
    </row>
    <row r="3088" spans="19:42" ht="18">
      <c r="S3088" s="8">
        <f t="shared" si="255"/>
        <v>0</v>
      </c>
      <c r="W3088" s="3">
        <v>3114</v>
      </c>
      <c r="X3088" s="30">
        <v>210.05</v>
      </c>
      <c r="Y3088" s="33">
        <f t="shared" si="252"/>
        <v>0.21</v>
      </c>
      <c r="AH3088" s="45">
        <f t="shared" si="256"/>
        <v>0</v>
      </c>
      <c r="AJ3088" s="44">
        <f t="shared" si="253"/>
        <v>3.1139999999999999</v>
      </c>
      <c r="AP3088" s="46">
        <f t="shared" si="254"/>
        <v>0.21</v>
      </c>
    </row>
    <row r="3089" spans="19:42" ht="18">
      <c r="S3089" s="8">
        <f t="shared" si="255"/>
        <v>0</v>
      </c>
      <c r="W3089" s="3">
        <v>3115</v>
      </c>
      <c r="X3089" s="30">
        <v>210.125</v>
      </c>
      <c r="Y3089" s="33">
        <f t="shared" si="252"/>
        <v>0.21</v>
      </c>
      <c r="AH3089" s="45">
        <f t="shared" si="256"/>
        <v>0</v>
      </c>
      <c r="AJ3089" s="44">
        <f t="shared" si="253"/>
        <v>3.1150000000000002</v>
      </c>
      <c r="AP3089" s="46">
        <f t="shared" si="254"/>
        <v>0.21</v>
      </c>
    </row>
    <row r="3090" spans="19:42" ht="18">
      <c r="S3090" s="8">
        <f t="shared" si="255"/>
        <v>0</v>
      </c>
      <c r="W3090" s="3">
        <v>3116</v>
      </c>
      <c r="X3090" s="30">
        <v>210.2</v>
      </c>
      <c r="Y3090" s="33">
        <f t="shared" si="252"/>
        <v>0.21</v>
      </c>
      <c r="AH3090" s="45">
        <f t="shared" si="256"/>
        <v>0</v>
      </c>
      <c r="AJ3090" s="44">
        <f t="shared" si="253"/>
        <v>3.1160000000000001</v>
      </c>
      <c r="AP3090" s="46">
        <f t="shared" si="254"/>
        <v>0.21</v>
      </c>
    </row>
    <row r="3091" spans="19:42" ht="18">
      <c r="S3091" s="8">
        <f t="shared" si="255"/>
        <v>0</v>
      </c>
      <c r="W3091" s="3">
        <v>3117</v>
      </c>
      <c r="X3091" s="30">
        <v>210.27500000000001</v>
      </c>
      <c r="Y3091" s="33">
        <f t="shared" si="252"/>
        <v>0.21</v>
      </c>
      <c r="AH3091" s="45">
        <f t="shared" si="256"/>
        <v>0</v>
      </c>
      <c r="AJ3091" s="44">
        <f t="shared" si="253"/>
        <v>3.117</v>
      </c>
      <c r="AP3091" s="46">
        <f t="shared" si="254"/>
        <v>0.21</v>
      </c>
    </row>
    <row r="3092" spans="19:42" ht="18">
      <c r="S3092" s="8">
        <f t="shared" si="255"/>
        <v>0</v>
      </c>
      <c r="W3092" s="3">
        <v>3118</v>
      </c>
      <c r="X3092" s="30">
        <v>210.35</v>
      </c>
      <c r="Y3092" s="33">
        <f t="shared" si="252"/>
        <v>0.21</v>
      </c>
      <c r="AH3092" s="45">
        <f t="shared" si="256"/>
        <v>0</v>
      </c>
      <c r="AJ3092" s="44">
        <f t="shared" si="253"/>
        <v>3.1179999999999999</v>
      </c>
      <c r="AP3092" s="46">
        <f t="shared" si="254"/>
        <v>0.21</v>
      </c>
    </row>
    <row r="3093" spans="19:42" ht="18">
      <c r="S3093" s="8">
        <f t="shared" si="255"/>
        <v>0</v>
      </c>
      <c r="W3093" s="3">
        <v>3119</v>
      </c>
      <c r="X3093" s="30">
        <v>210.42500000000001</v>
      </c>
      <c r="Y3093" s="33">
        <f t="shared" si="252"/>
        <v>0.21</v>
      </c>
      <c r="AH3093" s="45">
        <f t="shared" si="256"/>
        <v>0</v>
      </c>
      <c r="AJ3093" s="44">
        <f t="shared" si="253"/>
        <v>3.1190000000000002</v>
      </c>
      <c r="AP3093" s="46">
        <f t="shared" si="254"/>
        <v>0.21</v>
      </c>
    </row>
    <row r="3094" spans="19:42" ht="18">
      <c r="S3094" s="8">
        <f t="shared" si="255"/>
        <v>0</v>
      </c>
      <c r="W3094" s="3">
        <v>3120</v>
      </c>
      <c r="X3094" s="30">
        <v>210.5</v>
      </c>
      <c r="Y3094" s="33">
        <f t="shared" si="252"/>
        <v>0.21099999999999999</v>
      </c>
      <c r="AH3094" s="45">
        <f t="shared" si="256"/>
        <v>0</v>
      </c>
      <c r="AJ3094" s="44">
        <f t="shared" si="253"/>
        <v>3.12</v>
      </c>
      <c r="AP3094" s="46">
        <f t="shared" si="254"/>
        <v>0.21099999999999999</v>
      </c>
    </row>
    <row r="3095" spans="19:42" ht="18">
      <c r="S3095" s="8">
        <f t="shared" si="255"/>
        <v>0</v>
      </c>
      <c r="W3095" s="3">
        <v>3121</v>
      </c>
      <c r="X3095" s="30">
        <v>210.57499999999999</v>
      </c>
      <c r="Y3095" s="33">
        <f t="shared" si="252"/>
        <v>0.21099999999999999</v>
      </c>
      <c r="AH3095" s="45">
        <f t="shared" si="256"/>
        <v>0</v>
      </c>
      <c r="AJ3095" s="44">
        <f t="shared" si="253"/>
        <v>3.121</v>
      </c>
      <c r="AP3095" s="46">
        <f t="shared" si="254"/>
        <v>0.21099999999999999</v>
      </c>
    </row>
    <row r="3096" spans="19:42" ht="18">
      <c r="S3096" s="8">
        <f t="shared" si="255"/>
        <v>0</v>
      </c>
      <c r="W3096" s="3">
        <v>3122</v>
      </c>
      <c r="X3096" s="30">
        <v>210.65</v>
      </c>
      <c r="Y3096" s="33">
        <f t="shared" si="252"/>
        <v>0.21099999999999999</v>
      </c>
      <c r="AH3096" s="45">
        <f t="shared" si="256"/>
        <v>0</v>
      </c>
      <c r="AJ3096" s="44">
        <f t="shared" si="253"/>
        <v>3.1219999999999999</v>
      </c>
      <c r="AP3096" s="46">
        <f t="shared" si="254"/>
        <v>0.21099999999999999</v>
      </c>
    </row>
    <row r="3097" spans="19:42" ht="18">
      <c r="S3097" s="8">
        <f t="shared" si="255"/>
        <v>0</v>
      </c>
      <c r="W3097" s="3">
        <v>3123</v>
      </c>
      <c r="X3097" s="30">
        <v>210.72499999999999</v>
      </c>
      <c r="Y3097" s="33">
        <f t="shared" si="252"/>
        <v>0.21099999999999999</v>
      </c>
      <c r="AH3097" s="45">
        <f t="shared" si="256"/>
        <v>0</v>
      </c>
      <c r="AJ3097" s="44">
        <f t="shared" si="253"/>
        <v>3.1230000000000002</v>
      </c>
      <c r="AP3097" s="46">
        <f t="shared" si="254"/>
        <v>0.21099999999999999</v>
      </c>
    </row>
    <row r="3098" spans="19:42" ht="18">
      <c r="S3098" s="8">
        <f t="shared" si="255"/>
        <v>0</v>
      </c>
      <c r="W3098" s="3">
        <v>3124</v>
      </c>
      <c r="X3098" s="30">
        <v>210.8</v>
      </c>
      <c r="Y3098" s="33">
        <f t="shared" si="252"/>
        <v>0.21099999999999999</v>
      </c>
      <c r="AH3098" s="45">
        <f t="shared" si="256"/>
        <v>0</v>
      </c>
      <c r="AJ3098" s="44">
        <f t="shared" si="253"/>
        <v>3.1240000000000001</v>
      </c>
      <c r="AP3098" s="46">
        <f t="shared" si="254"/>
        <v>0.21099999999999999</v>
      </c>
    </row>
    <row r="3099" spans="19:42" ht="18">
      <c r="S3099" s="8">
        <f t="shared" si="255"/>
        <v>0</v>
      </c>
      <c r="W3099" s="3">
        <v>3125</v>
      </c>
      <c r="X3099" s="30">
        <v>210.875</v>
      </c>
      <c r="Y3099" s="33">
        <f t="shared" si="252"/>
        <v>0.21099999999999999</v>
      </c>
      <c r="AH3099" s="45">
        <f t="shared" si="256"/>
        <v>0</v>
      </c>
      <c r="AJ3099" s="44">
        <f t="shared" si="253"/>
        <v>3.125</v>
      </c>
      <c r="AP3099" s="46">
        <f t="shared" si="254"/>
        <v>0.21099999999999999</v>
      </c>
    </row>
    <row r="3100" spans="19:42" ht="18">
      <c r="S3100" s="8">
        <f t="shared" si="255"/>
        <v>0</v>
      </c>
      <c r="W3100" s="3">
        <v>3126</v>
      </c>
      <c r="X3100" s="30">
        <v>210.95</v>
      </c>
      <c r="Y3100" s="33">
        <f t="shared" si="252"/>
        <v>0.21099999999999999</v>
      </c>
      <c r="AH3100" s="45">
        <f t="shared" si="256"/>
        <v>0</v>
      </c>
      <c r="AJ3100" s="44">
        <f t="shared" si="253"/>
        <v>3.1259999999999999</v>
      </c>
      <c r="AP3100" s="46">
        <f t="shared" si="254"/>
        <v>0.21099999999999999</v>
      </c>
    </row>
    <row r="3101" spans="19:42" ht="18">
      <c r="S3101" s="8">
        <f t="shared" si="255"/>
        <v>0</v>
      </c>
      <c r="W3101" s="3">
        <v>3127</v>
      </c>
      <c r="X3101" s="30">
        <v>211.02500000000001</v>
      </c>
      <c r="Y3101" s="33">
        <f t="shared" si="252"/>
        <v>0.21099999999999999</v>
      </c>
      <c r="AH3101" s="45">
        <f t="shared" si="256"/>
        <v>0</v>
      </c>
      <c r="AJ3101" s="44">
        <f t="shared" si="253"/>
        <v>3.1269999999999998</v>
      </c>
      <c r="AP3101" s="46">
        <f t="shared" si="254"/>
        <v>0.21099999999999999</v>
      </c>
    </row>
    <row r="3102" spans="19:42" ht="18">
      <c r="S3102" s="8">
        <f t="shared" si="255"/>
        <v>0</v>
      </c>
      <c r="W3102" s="3">
        <v>3128</v>
      </c>
      <c r="X3102" s="30">
        <v>211.1</v>
      </c>
      <c r="Y3102" s="33">
        <f t="shared" si="252"/>
        <v>0.21099999999999999</v>
      </c>
      <c r="AH3102" s="45">
        <f t="shared" si="256"/>
        <v>0</v>
      </c>
      <c r="AJ3102" s="44">
        <f t="shared" si="253"/>
        <v>3.1280000000000001</v>
      </c>
      <c r="AP3102" s="46">
        <f t="shared" si="254"/>
        <v>0.21099999999999999</v>
      </c>
    </row>
    <row r="3103" spans="19:42" ht="18">
      <c r="S3103" s="8">
        <f t="shared" si="255"/>
        <v>0</v>
      </c>
      <c r="W3103" s="3">
        <v>3129</v>
      </c>
      <c r="X3103" s="30">
        <v>211.17500000000001</v>
      </c>
      <c r="Y3103" s="33">
        <f t="shared" si="252"/>
        <v>0.21099999999999999</v>
      </c>
      <c r="AH3103" s="45">
        <f t="shared" si="256"/>
        <v>0</v>
      </c>
      <c r="AJ3103" s="44">
        <f t="shared" si="253"/>
        <v>3.129</v>
      </c>
      <c r="AP3103" s="46">
        <f t="shared" si="254"/>
        <v>0.21099999999999999</v>
      </c>
    </row>
    <row r="3104" spans="19:42" ht="18">
      <c r="S3104" s="8">
        <f t="shared" si="255"/>
        <v>0</v>
      </c>
      <c r="W3104" s="3">
        <v>3130</v>
      </c>
      <c r="X3104" s="30">
        <v>211.25</v>
      </c>
      <c r="Y3104" s="33">
        <f t="shared" si="252"/>
        <v>0.21099999999999999</v>
      </c>
      <c r="AH3104" s="45">
        <f t="shared" si="256"/>
        <v>0</v>
      </c>
      <c r="AJ3104" s="44">
        <f t="shared" si="253"/>
        <v>3.13</v>
      </c>
      <c r="AP3104" s="46">
        <f t="shared" si="254"/>
        <v>0.21099999999999999</v>
      </c>
    </row>
    <row r="3105" spans="19:42" ht="18">
      <c r="S3105" s="8">
        <f t="shared" si="255"/>
        <v>0</v>
      </c>
      <c r="W3105" s="3">
        <v>3131</v>
      </c>
      <c r="X3105" s="30">
        <v>211.32499999999999</v>
      </c>
      <c r="Y3105" s="33">
        <f t="shared" si="252"/>
        <v>0.21099999999999999</v>
      </c>
      <c r="AH3105" s="45">
        <f t="shared" si="256"/>
        <v>0</v>
      </c>
      <c r="AJ3105" s="44">
        <f t="shared" si="253"/>
        <v>3.1309999999999998</v>
      </c>
      <c r="AP3105" s="46">
        <f t="shared" si="254"/>
        <v>0.21099999999999999</v>
      </c>
    </row>
    <row r="3106" spans="19:42" ht="18">
      <c r="S3106" s="8">
        <f t="shared" si="255"/>
        <v>0</v>
      </c>
      <c r="W3106" s="3">
        <v>3132</v>
      </c>
      <c r="X3106" s="30">
        <v>211.4</v>
      </c>
      <c r="Y3106" s="33">
        <f t="shared" si="252"/>
        <v>0.21099999999999999</v>
      </c>
      <c r="AH3106" s="45">
        <f t="shared" si="256"/>
        <v>0</v>
      </c>
      <c r="AJ3106" s="44">
        <f t="shared" si="253"/>
        <v>3.1320000000000001</v>
      </c>
      <c r="AP3106" s="46">
        <f t="shared" si="254"/>
        <v>0.21099999999999999</v>
      </c>
    </row>
    <row r="3107" spans="19:42" ht="18">
      <c r="S3107" s="8">
        <f t="shared" si="255"/>
        <v>0</v>
      </c>
      <c r="W3107" s="3">
        <v>3133</v>
      </c>
      <c r="X3107" s="30">
        <v>211.47499999999999</v>
      </c>
      <c r="Y3107" s="33">
        <f t="shared" si="252"/>
        <v>0.21099999999999999</v>
      </c>
      <c r="AH3107" s="45">
        <f t="shared" si="256"/>
        <v>0</v>
      </c>
      <c r="AJ3107" s="44">
        <f t="shared" si="253"/>
        <v>3.133</v>
      </c>
      <c r="AP3107" s="46">
        <f t="shared" si="254"/>
        <v>0.21099999999999999</v>
      </c>
    </row>
    <row r="3108" spans="19:42" ht="18">
      <c r="S3108" s="8">
        <f t="shared" si="255"/>
        <v>0</v>
      </c>
      <c r="W3108" s="3">
        <v>3134</v>
      </c>
      <c r="X3108" s="30">
        <v>211.55</v>
      </c>
      <c r="Y3108" s="33">
        <f t="shared" si="252"/>
        <v>0.21199999999999999</v>
      </c>
      <c r="AH3108" s="45">
        <f t="shared" si="256"/>
        <v>0</v>
      </c>
      <c r="AJ3108" s="44">
        <f t="shared" si="253"/>
        <v>3.1339999999999999</v>
      </c>
      <c r="AP3108" s="46">
        <f t="shared" si="254"/>
        <v>0.21199999999999999</v>
      </c>
    </row>
    <row r="3109" spans="19:42" ht="18">
      <c r="S3109" s="8">
        <f t="shared" si="255"/>
        <v>0</v>
      </c>
      <c r="W3109" s="3">
        <v>3135</v>
      </c>
      <c r="X3109" s="30">
        <v>211.625</v>
      </c>
      <c r="Y3109" s="33">
        <f t="shared" si="252"/>
        <v>0.21199999999999999</v>
      </c>
      <c r="AH3109" s="45">
        <f t="shared" si="256"/>
        <v>0</v>
      </c>
      <c r="AJ3109" s="44">
        <f t="shared" si="253"/>
        <v>3.1349999999999998</v>
      </c>
      <c r="AP3109" s="46">
        <f t="shared" si="254"/>
        <v>0.21199999999999999</v>
      </c>
    </row>
    <row r="3110" spans="19:42" ht="18">
      <c r="S3110" s="8">
        <f t="shared" si="255"/>
        <v>0</v>
      </c>
      <c r="W3110" s="3">
        <v>3136</v>
      </c>
      <c r="X3110" s="30">
        <v>211.7</v>
      </c>
      <c r="Y3110" s="33">
        <f t="shared" si="252"/>
        <v>0.21199999999999999</v>
      </c>
      <c r="AH3110" s="45">
        <f t="shared" si="256"/>
        <v>0</v>
      </c>
      <c r="AJ3110" s="44">
        <f t="shared" si="253"/>
        <v>3.1360000000000001</v>
      </c>
      <c r="AP3110" s="46">
        <f t="shared" si="254"/>
        <v>0.21199999999999999</v>
      </c>
    </row>
    <row r="3111" spans="19:42" ht="18">
      <c r="S3111" s="8">
        <f t="shared" si="255"/>
        <v>0</v>
      </c>
      <c r="W3111" s="3">
        <v>3137</v>
      </c>
      <c r="X3111" s="30">
        <v>211.77500000000001</v>
      </c>
      <c r="Y3111" s="33">
        <f t="shared" si="252"/>
        <v>0.21199999999999999</v>
      </c>
      <c r="AH3111" s="45">
        <f t="shared" si="256"/>
        <v>0</v>
      </c>
      <c r="AJ3111" s="44">
        <f t="shared" si="253"/>
        <v>3.137</v>
      </c>
      <c r="AP3111" s="46">
        <f t="shared" si="254"/>
        <v>0.21199999999999999</v>
      </c>
    </row>
    <row r="3112" spans="19:42" ht="18">
      <c r="S3112" s="8">
        <f t="shared" si="255"/>
        <v>0</v>
      </c>
      <c r="W3112" s="3">
        <v>3138</v>
      </c>
      <c r="X3112" s="30">
        <v>211.85</v>
      </c>
      <c r="Y3112" s="33">
        <f t="shared" si="252"/>
        <v>0.21199999999999999</v>
      </c>
      <c r="AH3112" s="45">
        <f t="shared" si="256"/>
        <v>0</v>
      </c>
      <c r="AJ3112" s="44">
        <f t="shared" si="253"/>
        <v>3.1379999999999999</v>
      </c>
      <c r="AP3112" s="46">
        <f t="shared" si="254"/>
        <v>0.21199999999999999</v>
      </c>
    </row>
    <row r="3113" spans="19:42" ht="18">
      <c r="S3113" s="8">
        <f t="shared" si="255"/>
        <v>0</v>
      </c>
      <c r="W3113" s="3">
        <v>3139</v>
      </c>
      <c r="X3113" s="30">
        <v>211.92500000000001</v>
      </c>
      <c r="Y3113" s="33">
        <f t="shared" si="252"/>
        <v>0.21199999999999999</v>
      </c>
      <c r="AH3113" s="45">
        <f t="shared" si="256"/>
        <v>0</v>
      </c>
      <c r="AJ3113" s="44">
        <f t="shared" si="253"/>
        <v>3.1389999999999998</v>
      </c>
      <c r="AP3113" s="46">
        <f t="shared" si="254"/>
        <v>0.21199999999999999</v>
      </c>
    </row>
    <row r="3114" spans="19:42" ht="18">
      <c r="S3114" s="8">
        <f t="shared" si="255"/>
        <v>0</v>
      </c>
      <c r="W3114" s="3">
        <v>3140</v>
      </c>
      <c r="X3114" s="30">
        <v>212</v>
      </c>
      <c r="Y3114" s="33">
        <f t="shared" si="252"/>
        <v>0.21199999999999999</v>
      </c>
      <c r="AH3114" s="45">
        <f t="shared" si="256"/>
        <v>0</v>
      </c>
      <c r="AJ3114" s="44">
        <f t="shared" si="253"/>
        <v>3.14</v>
      </c>
      <c r="AP3114" s="46">
        <f t="shared" si="254"/>
        <v>0.21199999999999999</v>
      </c>
    </row>
    <row r="3115" spans="19:42" ht="18">
      <c r="S3115" s="8">
        <f t="shared" si="255"/>
        <v>0</v>
      </c>
      <c r="W3115" s="3">
        <v>3141</v>
      </c>
      <c r="X3115" s="30">
        <v>212.07499999999999</v>
      </c>
      <c r="Y3115" s="33">
        <f t="shared" si="252"/>
        <v>0.21199999999999999</v>
      </c>
      <c r="AH3115" s="45">
        <f t="shared" si="256"/>
        <v>0</v>
      </c>
      <c r="AJ3115" s="44">
        <f t="shared" si="253"/>
        <v>3.141</v>
      </c>
      <c r="AP3115" s="46">
        <f t="shared" si="254"/>
        <v>0.21199999999999999</v>
      </c>
    </row>
    <row r="3116" spans="19:42" ht="18">
      <c r="S3116" s="8">
        <f t="shared" si="255"/>
        <v>0</v>
      </c>
      <c r="W3116" s="3">
        <v>3142</v>
      </c>
      <c r="X3116" s="30">
        <v>212.15</v>
      </c>
      <c r="Y3116" s="33">
        <f t="shared" si="252"/>
        <v>0.21199999999999999</v>
      </c>
      <c r="AH3116" s="45">
        <f t="shared" si="256"/>
        <v>0</v>
      </c>
      <c r="AJ3116" s="44">
        <f t="shared" si="253"/>
        <v>3.1419999999999999</v>
      </c>
      <c r="AP3116" s="46">
        <f t="shared" si="254"/>
        <v>0.21199999999999999</v>
      </c>
    </row>
    <row r="3117" spans="19:42" ht="18">
      <c r="S3117" s="8">
        <f t="shared" si="255"/>
        <v>0</v>
      </c>
      <c r="W3117" s="3">
        <v>3143</v>
      </c>
      <c r="X3117" s="30">
        <v>212.22499999999999</v>
      </c>
      <c r="Y3117" s="33">
        <f t="shared" si="252"/>
        <v>0.21199999999999999</v>
      </c>
      <c r="AH3117" s="45">
        <f t="shared" si="256"/>
        <v>0</v>
      </c>
      <c r="AJ3117" s="44">
        <f t="shared" si="253"/>
        <v>3.1429999999999998</v>
      </c>
      <c r="AP3117" s="46">
        <f t="shared" si="254"/>
        <v>0.21199999999999999</v>
      </c>
    </row>
    <row r="3118" spans="19:42" ht="18">
      <c r="S3118" s="8">
        <f t="shared" si="255"/>
        <v>0</v>
      </c>
      <c r="W3118" s="3">
        <v>3144</v>
      </c>
      <c r="X3118" s="30">
        <v>212.3</v>
      </c>
      <c r="Y3118" s="33">
        <f t="shared" si="252"/>
        <v>0.21199999999999999</v>
      </c>
      <c r="AH3118" s="45">
        <f t="shared" si="256"/>
        <v>0</v>
      </c>
      <c r="AJ3118" s="44">
        <f t="shared" si="253"/>
        <v>3.1440000000000001</v>
      </c>
      <c r="AP3118" s="46">
        <f t="shared" si="254"/>
        <v>0.21199999999999999</v>
      </c>
    </row>
    <row r="3119" spans="19:42" ht="18">
      <c r="S3119" s="8">
        <f t="shared" si="255"/>
        <v>0</v>
      </c>
      <c r="W3119" s="3">
        <v>3145</v>
      </c>
      <c r="X3119" s="30">
        <v>212.375</v>
      </c>
      <c r="Y3119" s="33">
        <f t="shared" si="252"/>
        <v>0.21199999999999999</v>
      </c>
      <c r="AH3119" s="45">
        <f t="shared" si="256"/>
        <v>0</v>
      </c>
      <c r="AJ3119" s="44">
        <f t="shared" si="253"/>
        <v>3.145</v>
      </c>
      <c r="AP3119" s="46">
        <f t="shared" si="254"/>
        <v>0.21199999999999999</v>
      </c>
    </row>
    <row r="3120" spans="19:42" ht="18">
      <c r="S3120" s="8">
        <f t="shared" si="255"/>
        <v>0</v>
      </c>
      <c r="W3120" s="3">
        <v>3146</v>
      </c>
      <c r="X3120" s="30">
        <v>212.45</v>
      </c>
      <c r="Y3120" s="33">
        <f t="shared" si="252"/>
        <v>0.21199999999999999</v>
      </c>
      <c r="AH3120" s="45">
        <f t="shared" si="256"/>
        <v>0</v>
      </c>
      <c r="AJ3120" s="44">
        <f t="shared" si="253"/>
        <v>3.1459999999999999</v>
      </c>
      <c r="AP3120" s="46">
        <f t="shared" si="254"/>
        <v>0.21199999999999999</v>
      </c>
    </row>
    <row r="3121" spans="19:42" ht="18">
      <c r="S3121" s="8">
        <f t="shared" si="255"/>
        <v>0</v>
      </c>
      <c r="W3121" s="3">
        <v>3147</v>
      </c>
      <c r="X3121" s="30">
        <v>212.52500000000001</v>
      </c>
      <c r="Y3121" s="33">
        <f t="shared" si="252"/>
        <v>0.21299999999999999</v>
      </c>
      <c r="AH3121" s="45">
        <f t="shared" si="256"/>
        <v>0</v>
      </c>
      <c r="AJ3121" s="44">
        <f t="shared" si="253"/>
        <v>3.1469999999999998</v>
      </c>
      <c r="AP3121" s="46">
        <f t="shared" si="254"/>
        <v>0.21299999999999999</v>
      </c>
    </row>
    <row r="3122" spans="19:42" ht="18">
      <c r="S3122" s="8">
        <f t="shared" si="255"/>
        <v>0</v>
      </c>
      <c r="W3122" s="3">
        <v>3148</v>
      </c>
      <c r="X3122" s="30">
        <v>212.6</v>
      </c>
      <c r="Y3122" s="33">
        <f t="shared" si="252"/>
        <v>0.21299999999999999</v>
      </c>
      <c r="AH3122" s="45">
        <f t="shared" si="256"/>
        <v>0</v>
      </c>
      <c r="AJ3122" s="44">
        <f t="shared" si="253"/>
        <v>3.1480000000000001</v>
      </c>
      <c r="AP3122" s="46">
        <f t="shared" si="254"/>
        <v>0.21299999999999999</v>
      </c>
    </row>
    <row r="3123" spans="19:42" ht="18">
      <c r="S3123" s="8">
        <f t="shared" si="255"/>
        <v>0</v>
      </c>
      <c r="W3123" s="3">
        <v>3149</v>
      </c>
      <c r="X3123" s="30">
        <v>212.67500000000001</v>
      </c>
      <c r="Y3123" s="33">
        <f t="shared" si="252"/>
        <v>0.21299999999999999</v>
      </c>
      <c r="AH3123" s="45">
        <f t="shared" si="256"/>
        <v>0</v>
      </c>
      <c r="AJ3123" s="44">
        <f t="shared" si="253"/>
        <v>3.149</v>
      </c>
      <c r="AP3123" s="46">
        <f t="shared" si="254"/>
        <v>0.21299999999999999</v>
      </c>
    </row>
    <row r="3124" spans="19:42" ht="18">
      <c r="S3124" s="8">
        <f t="shared" si="255"/>
        <v>0</v>
      </c>
      <c r="W3124" s="3">
        <v>3150</v>
      </c>
      <c r="X3124" s="30">
        <v>212.75</v>
      </c>
      <c r="Y3124" s="33">
        <f t="shared" si="252"/>
        <v>0.21299999999999999</v>
      </c>
      <c r="AH3124" s="45">
        <f t="shared" si="256"/>
        <v>0</v>
      </c>
      <c r="AJ3124" s="44">
        <f t="shared" si="253"/>
        <v>3.15</v>
      </c>
      <c r="AP3124" s="46">
        <f t="shared" si="254"/>
        <v>0.21299999999999999</v>
      </c>
    </row>
    <row r="3125" spans="19:42" ht="18">
      <c r="S3125" s="8">
        <f t="shared" si="255"/>
        <v>0</v>
      </c>
      <c r="W3125" s="3">
        <v>3151</v>
      </c>
      <c r="X3125" s="30">
        <v>212.82499999999999</v>
      </c>
      <c r="Y3125" s="33">
        <f t="shared" si="252"/>
        <v>0.21299999999999999</v>
      </c>
      <c r="AH3125" s="45">
        <f t="shared" si="256"/>
        <v>0</v>
      </c>
      <c r="AJ3125" s="44">
        <f t="shared" si="253"/>
        <v>3.1509999999999998</v>
      </c>
      <c r="AP3125" s="46">
        <f t="shared" si="254"/>
        <v>0.21299999999999999</v>
      </c>
    </row>
    <row r="3126" spans="19:42" ht="18">
      <c r="S3126" s="8">
        <f t="shared" si="255"/>
        <v>0</v>
      </c>
      <c r="W3126" s="3">
        <v>3152</v>
      </c>
      <c r="X3126" s="30">
        <v>212.9</v>
      </c>
      <c r="Y3126" s="33">
        <f t="shared" si="252"/>
        <v>0.21299999999999999</v>
      </c>
      <c r="AH3126" s="45">
        <f t="shared" si="256"/>
        <v>0</v>
      </c>
      <c r="AJ3126" s="44">
        <f t="shared" si="253"/>
        <v>3.1520000000000001</v>
      </c>
      <c r="AP3126" s="46">
        <f t="shared" si="254"/>
        <v>0.21299999999999999</v>
      </c>
    </row>
    <row r="3127" spans="19:42" ht="18">
      <c r="S3127" s="8">
        <f t="shared" si="255"/>
        <v>0</v>
      </c>
      <c r="W3127" s="3">
        <v>3153</v>
      </c>
      <c r="X3127" s="30">
        <v>212.97499999999999</v>
      </c>
      <c r="Y3127" s="33">
        <f t="shared" si="252"/>
        <v>0.21299999999999999</v>
      </c>
      <c r="AH3127" s="45">
        <f t="shared" si="256"/>
        <v>0</v>
      </c>
      <c r="AJ3127" s="44">
        <f t="shared" si="253"/>
        <v>3.153</v>
      </c>
      <c r="AP3127" s="46">
        <f t="shared" si="254"/>
        <v>0.21299999999999999</v>
      </c>
    </row>
    <row r="3128" spans="19:42" ht="18">
      <c r="S3128" s="8">
        <f t="shared" si="255"/>
        <v>0</v>
      </c>
      <c r="W3128" s="3">
        <v>3154</v>
      </c>
      <c r="X3128" s="30">
        <v>213.05</v>
      </c>
      <c r="Y3128" s="33">
        <f t="shared" si="252"/>
        <v>0.21299999999999999</v>
      </c>
      <c r="AH3128" s="45">
        <f t="shared" si="256"/>
        <v>0</v>
      </c>
      <c r="AJ3128" s="44">
        <f t="shared" si="253"/>
        <v>3.1539999999999999</v>
      </c>
      <c r="AP3128" s="46">
        <f t="shared" si="254"/>
        <v>0.21299999999999999</v>
      </c>
    </row>
    <row r="3129" spans="19:42" ht="18">
      <c r="S3129" s="8">
        <f t="shared" si="255"/>
        <v>0</v>
      </c>
      <c r="W3129" s="3">
        <v>3155</v>
      </c>
      <c r="X3129" s="30">
        <v>213.125</v>
      </c>
      <c r="Y3129" s="33">
        <f t="shared" si="252"/>
        <v>0.21299999999999999</v>
      </c>
      <c r="AH3129" s="45">
        <f t="shared" si="256"/>
        <v>0</v>
      </c>
      <c r="AJ3129" s="44">
        <f t="shared" si="253"/>
        <v>3.1549999999999998</v>
      </c>
      <c r="AP3129" s="46">
        <f t="shared" si="254"/>
        <v>0.21299999999999999</v>
      </c>
    </row>
    <row r="3130" spans="19:42" ht="18">
      <c r="S3130" s="8">
        <f t="shared" si="255"/>
        <v>0</v>
      </c>
      <c r="W3130" s="3">
        <v>3156</v>
      </c>
      <c r="X3130" s="30">
        <v>213.2</v>
      </c>
      <c r="Y3130" s="33">
        <f t="shared" si="252"/>
        <v>0.21299999999999999</v>
      </c>
      <c r="AH3130" s="45">
        <f t="shared" si="256"/>
        <v>0</v>
      </c>
      <c r="AJ3130" s="44">
        <f t="shared" si="253"/>
        <v>3.1560000000000001</v>
      </c>
      <c r="AP3130" s="46">
        <f t="shared" si="254"/>
        <v>0.21299999999999999</v>
      </c>
    </row>
    <row r="3131" spans="19:42" ht="18">
      <c r="S3131" s="8">
        <f t="shared" si="255"/>
        <v>0</v>
      </c>
      <c r="W3131" s="3">
        <v>3157</v>
      </c>
      <c r="X3131" s="30">
        <v>213.27500000000001</v>
      </c>
      <c r="Y3131" s="33">
        <f t="shared" si="252"/>
        <v>0.21299999999999999</v>
      </c>
      <c r="AH3131" s="45">
        <f t="shared" si="256"/>
        <v>0</v>
      </c>
      <c r="AJ3131" s="44">
        <f t="shared" si="253"/>
        <v>3.157</v>
      </c>
      <c r="AP3131" s="46">
        <f t="shared" si="254"/>
        <v>0.21299999999999999</v>
      </c>
    </row>
    <row r="3132" spans="19:42" ht="18">
      <c r="S3132" s="8">
        <f t="shared" si="255"/>
        <v>0</v>
      </c>
      <c r="W3132" s="3">
        <v>3158</v>
      </c>
      <c r="X3132" s="30">
        <v>213.35</v>
      </c>
      <c r="Y3132" s="33">
        <f t="shared" si="252"/>
        <v>0.21299999999999999</v>
      </c>
      <c r="AH3132" s="45">
        <f t="shared" si="256"/>
        <v>0</v>
      </c>
      <c r="AJ3132" s="44">
        <f t="shared" si="253"/>
        <v>3.1579999999999999</v>
      </c>
      <c r="AP3132" s="46">
        <f t="shared" si="254"/>
        <v>0.21299999999999999</v>
      </c>
    </row>
    <row r="3133" spans="19:42" ht="18">
      <c r="S3133" s="8">
        <f t="shared" si="255"/>
        <v>0</v>
      </c>
      <c r="W3133" s="3">
        <v>3159</v>
      </c>
      <c r="X3133" s="30">
        <v>213.42500000000001</v>
      </c>
      <c r="Y3133" s="33">
        <f t="shared" si="252"/>
        <v>0.21299999999999999</v>
      </c>
      <c r="AH3133" s="45">
        <f t="shared" si="256"/>
        <v>0</v>
      </c>
      <c r="AJ3133" s="44">
        <f t="shared" si="253"/>
        <v>3.1589999999999998</v>
      </c>
      <c r="AP3133" s="46">
        <f t="shared" si="254"/>
        <v>0.21299999999999999</v>
      </c>
    </row>
    <row r="3134" spans="19:42" ht="18">
      <c r="S3134" s="8">
        <f t="shared" si="255"/>
        <v>0</v>
      </c>
      <c r="W3134" s="3">
        <v>3160</v>
      </c>
      <c r="X3134" s="30">
        <v>213.5</v>
      </c>
      <c r="Y3134" s="33">
        <f t="shared" si="252"/>
        <v>0.214</v>
      </c>
      <c r="AH3134" s="45">
        <f t="shared" si="256"/>
        <v>0</v>
      </c>
      <c r="AJ3134" s="44">
        <f t="shared" si="253"/>
        <v>3.16</v>
      </c>
      <c r="AP3134" s="46">
        <f t="shared" si="254"/>
        <v>0.214</v>
      </c>
    </row>
    <row r="3135" spans="19:42" ht="18">
      <c r="S3135" s="8">
        <f t="shared" si="255"/>
        <v>0</v>
      </c>
      <c r="W3135" s="3">
        <v>3161</v>
      </c>
      <c r="X3135" s="30">
        <v>213.57499999999999</v>
      </c>
      <c r="Y3135" s="33">
        <f t="shared" si="252"/>
        <v>0.214</v>
      </c>
      <c r="AH3135" s="45">
        <f t="shared" si="256"/>
        <v>0</v>
      </c>
      <c r="AJ3135" s="44">
        <f t="shared" si="253"/>
        <v>3.161</v>
      </c>
      <c r="AP3135" s="46">
        <f t="shared" si="254"/>
        <v>0.214</v>
      </c>
    </row>
    <row r="3136" spans="19:42" ht="18">
      <c r="S3136" s="8">
        <f t="shared" si="255"/>
        <v>0</v>
      </c>
      <c r="W3136" s="3">
        <v>3162</v>
      </c>
      <c r="X3136" s="30">
        <v>213.65</v>
      </c>
      <c r="Y3136" s="33">
        <f t="shared" si="252"/>
        <v>0.214</v>
      </c>
      <c r="AH3136" s="45">
        <f t="shared" si="256"/>
        <v>0</v>
      </c>
      <c r="AJ3136" s="44">
        <f t="shared" si="253"/>
        <v>3.1619999999999999</v>
      </c>
      <c r="AP3136" s="46">
        <f t="shared" si="254"/>
        <v>0.214</v>
      </c>
    </row>
    <row r="3137" spans="19:42" ht="18">
      <c r="S3137" s="8">
        <f t="shared" si="255"/>
        <v>0</v>
      </c>
      <c r="W3137" s="3">
        <v>3163</v>
      </c>
      <c r="X3137" s="30">
        <v>213.72499999999999</v>
      </c>
      <c r="Y3137" s="33">
        <f t="shared" si="252"/>
        <v>0.214</v>
      </c>
      <c r="AH3137" s="45">
        <f t="shared" si="256"/>
        <v>0</v>
      </c>
      <c r="AJ3137" s="44">
        <f t="shared" si="253"/>
        <v>3.1629999999999998</v>
      </c>
      <c r="AP3137" s="46">
        <f t="shared" si="254"/>
        <v>0.214</v>
      </c>
    </row>
    <row r="3138" spans="19:42" ht="18">
      <c r="S3138" s="8">
        <f t="shared" si="255"/>
        <v>0</v>
      </c>
      <c r="W3138" s="3">
        <v>3164</v>
      </c>
      <c r="X3138" s="30">
        <v>213.8</v>
      </c>
      <c r="Y3138" s="33">
        <f t="shared" si="252"/>
        <v>0.214</v>
      </c>
      <c r="AH3138" s="45">
        <f t="shared" si="256"/>
        <v>0</v>
      </c>
      <c r="AJ3138" s="44">
        <f t="shared" si="253"/>
        <v>3.1640000000000001</v>
      </c>
      <c r="AP3138" s="46">
        <f t="shared" si="254"/>
        <v>0.214</v>
      </c>
    </row>
    <row r="3139" spans="19:42" ht="18">
      <c r="S3139" s="8">
        <f t="shared" si="255"/>
        <v>0</v>
      </c>
      <c r="W3139" s="3">
        <v>3165</v>
      </c>
      <c r="X3139" s="30">
        <v>213.875</v>
      </c>
      <c r="Y3139" s="33">
        <f t="shared" si="252"/>
        <v>0.214</v>
      </c>
      <c r="AH3139" s="45">
        <f t="shared" si="256"/>
        <v>0</v>
      </c>
      <c r="AJ3139" s="44">
        <f t="shared" si="253"/>
        <v>3.165</v>
      </c>
      <c r="AP3139" s="46">
        <f t="shared" si="254"/>
        <v>0.214</v>
      </c>
    </row>
    <row r="3140" spans="19:42" ht="18">
      <c r="S3140" s="8">
        <f t="shared" si="255"/>
        <v>0</v>
      </c>
      <c r="W3140" s="3">
        <v>3166</v>
      </c>
      <c r="X3140" s="30">
        <v>213.95</v>
      </c>
      <c r="Y3140" s="33">
        <f t="shared" si="252"/>
        <v>0.214</v>
      </c>
      <c r="AH3140" s="45">
        <f t="shared" si="256"/>
        <v>0</v>
      </c>
      <c r="AJ3140" s="44">
        <f t="shared" si="253"/>
        <v>3.1659999999999999</v>
      </c>
      <c r="AP3140" s="46">
        <f t="shared" si="254"/>
        <v>0.214</v>
      </c>
    </row>
    <row r="3141" spans="19:42" ht="18">
      <c r="S3141" s="8">
        <f t="shared" si="255"/>
        <v>0</v>
      </c>
      <c r="W3141" s="3">
        <v>3167</v>
      </c>
      <c r="X3141" s="30">
        <v>214.02500000000001</v>
      </c>
      <c r="Y3141" s="33">
        <f t="shared" ref="Y3141:Y3204" si="257">ROUND(X3141/1000,3)</f>
        <v>0.214</v>
      </c>
      <c r="AH3141" s="45">
        <f t="shared" si="256"/>
        <v>0</v>
      </c>
      <c r="AJ3141" s="44">
        <f t="shared" ref="AJ3141:AJ3204" si="258">ROUND(W3141/1000,3)</f>
        <v>3.1669999999999998</v>
      </c>
      <c r="AP3141" s="46">
        <f t="shared" ref="AP3141:AP3204" si="259">ROUND(X3141/1000,3)</f>
        <v>0.214</v>
      </c>
    </row>
    <row r="3142" spans="19:42" ht="18">
      <c r="S3142" s="8">
        <f t="shared" ref="S3142:S3205" si="260">CEILING(R3142/50,0.5)</f>
        <v>0</v>
      </c>
      <c r="W3142" s="3">
        <v>3168</v>
      </c>
      <c r="X3142" s="30">
        <v>214.1</v>
      </c>
      <c r="Y3142" s="33">
        <f t="shared" si="257"/>
        <v>0.214</v>
      </c>
      <c r="AH3142" s="45">
        <f t="shared" ref="AH3142:AH3205" si="261">AE3142-AE3141</f>
        <v>0</v>
      </c>
      <c r="AJ3142" s="44">
        <f t="shared" si="258"/>
        <v>3.1680000000000001</v>
      </c>
      <c r="AP3142" s="46">
        <f t="shared" si="259"/>
        <v>0.214</v>
      </c>
    </row>
    <row r="3143" spans="19:42" ht="18">
      <c r="S3143" s="8">
        <f t="shared" si="260"/>
        <v>0</v>
      </c>
      <c r="W3143" s="3">
        <v>3169</v>
      </c>
      <c r="X3143" s="30">
        <v>214.17500000000001</v>
      </c>
      <c r="Y3143" s="33">
        <f t="shared" si="257"/>
        <v>0.214</v>
      </c>
      <c r="AH3143" s="45">
        <f t="shared" si="261"/>
        <v>0</v>
      </c>
      <c r="AJ3143" s="44">
        <f t="shared" si="258"/>
        <v>3.169</v>
      </c>
      <c r="AP3143" s="46">
        <f t="shared" si="259"/>
        <v>0.214</v>
      </c>
    </row>
    <row r="3144" spans="19:42" ht="18">
      <c r="S3144" s="8">
        <f t="shared" si="260"/>
        <v>0</v>
      </c>
      <c r="W3144" s="3">
        <v>3170</v>
      </c>
      <c r="X3144" s="30">
        <v>214.25</v>
      </c>
      <c r="Y3144" s="33">
        <f t="shared" si="257"/>
        <v>0.214</v>
      </c>
      <c r="AH3144" s="45">
        <f t="shared" si="261"/>
        <v>0</v>
      </c>
      <c r="AJ3144" s="44">
        <f t="shared" si="258"/>
        <v>3.17</v>
      </c>
      <c r="AP3144" s="46">
        <f t="shared" si="259"/>
        <v>0.214</v>
      </c>
    </row>
    <row r="3145" spans="19:42" ht="18">
      <c r="S3145" s="8">
        <f t="shared" si="260"/>
        <v>0</v>
      </c>
      <c r="W3145" s="3">
        <v>3171</v>
      </c>
      <c r="X3145" s="30">
        <v>214.32499999999999</v>
      </c>
      <c r="Y3145" s="33">
        <f t="shared" si="257"/>
        <v>0.214</v>
      </c>
      <c r="AH3145" s="45">
        <f t="shared" si="261"/>
        <v>0</v>
      </c>
      <c r="AJ3145" s="44">
        <f t="shared" si="258"/>
        <v>3.1709999999999998</v>
      </c>
      <c r="AP3145" s="46">
        <f t="shared" si="259"/>
        <v>0.214</v>
      </c>
    </row>
    <row r="3146" spans="19:42" ht="18">
      <c r="S3146" s="8">
        <f t="shared" si="260"/>
        <v>0</v>
      </c>
      <c r="W3146" s="3">
        <v>3172</v>
      </c>
      <c r="X3146" s="30">
        <v>214.4</v>
      </c>
      <c r="Y3146" s="33">
        <f t="shared" si="257"/>
        <v>0.214</v>
      </c>
      <c r="AH3146" s="45">
        <f t="shared" si="261"/>
        <v>0</v>
      </c>
      <c r="AJ3146" s="44">
        <f t="shared" si="258"/>
        <v>3.1720000000000002</v>
      </c>
      <c r="AP3146" s="46">
        <f t="shared" si="259"/>
        <v>0.214</v>
      </c>
    </row>
    <row r="3147" spans="19:42" ht="18">
      <c r="S3147" s="8">
        <f t="shared" si="260"/>
        <v>0</v>
      </c>
      <c r="W3147" s="3">
        <v>3173</v>
      </c>
      <c r="X3147" s="30">
        <v>214.47499999999999</v>
      </c>
      <c r="Y3147" s="33">
        <f t="shared" si="257"/>
        <v>0.214</v>
      </c>
      <c r="AH3147" s="45">
        <f t="shared" si="261"/>
        <v>0</v>
      </c>
      <c r="AJ3147" s="44">
        <f t="shared" si="258"/>
        <v>3.173</v>
      </c>
      <c r="AP3147" s="46">
        <f t="shared" si="259"/>
        <v>0.214</v>
      </c>
    </row>
    <row r="3148" spans="19:42" ht="18">
      <c r="S3148" s="8">
        <f t="shared" si="260"/>
        <v>0</v>
      </c>
      <c r="W3148" s="3">
        <v>3174</v>
      </c>
      <c r="X3148" s="30">
        <v>214.55</v>
      </c>
      <c r="Y3148" s="33">
        <f t="shared" si="257"/>
        <v>0.215</v>
      </c>
      <c r="AH3148" s="45">
        <f t="shared" si="261"/>
        <v>0</v>
      </c>
      <c r="AJ3148" s="44">
        <f t="shared" si="258"/>
        <v>3.1739999999999999</v>
      </c>
      <c r="AP3148" s="46">
        <f t="shared" si="259"/>
        <v>0.215</v>
      </c>
    </row>
    <row r="3149" spans="19:42" ht="18">
      <c r="S3149" s="8">
        <f t="shared" si="260"/>
        <v>0</v>
      </c>
      <c r="W3149" s="3">
        <v>3175</v>
      </c>
      <c r="X3149" s="30">
        <v>214.625</v>
      </c>
      <c r="Y3149" s="33">
        <f t="shared" si="257"/>
        <v>0.215</v>
      </c>
      <c r="AH3149" s="45">
        <f t="shared" si="261"/>
        <v>0</v>
      </c>
      <c r="AJ3149" s="44">
        <f t="shared" si="258"/>
        <v>3.1749999999999998</v>
      </c>
      <c r="AP3149" s="46">
        <f t="shared" si="259"/>
        <v>0.215</v>
      </c>
    </row>
    <row r="3150" spans="19:42" ht="18">
      <c r="S3150" s="8">
        <f t="shared" si="260"/>
        <v>0</v>
      </c>
      <c r="W3150" s="3">
        <v>3176</v>
      </c>
      <c r="X3150" s="30">
        <v>214.7</v>
      </c>
      <c r="Y3150" s="33">
        <f t="shared" si="257"/>
        <v>0.215</v>
      </c>
      <c r="AH3150" s="45">
        <f t="shared" si="261"/>
        <v>0</v>
      </c>
      <c r="AJ3150" s="44">
        <f t="shared" si="258"/>
        <v>3.1760000000000002</v>
      </c>
      <c r="AP3150" s="46">
        <f t="shared" si="259"/>
        <v>0.215</v>
      </c>
    </row>
    <row r="3151" spans="19:42" ht="18">
      <c r="S3151" s="8">
        <f t="shared" si="260"/>
        <v>0</v>
      </c>
      <c r="W3151" s="3">
        <v>3177</v>
      </c>
      <c r="X3151" s="30">
        <v>214.77500000000001</v>
      </c>
      <c r="Y3151" s="33">
        <f t="shared" si="257"/>
        <v>0.215</v>
      </c>
      <c r="AH3151" s="45">
        <f t="shared" si="261"/>
        <v>0</v>
      </c>
      <c r="AJ3151" s="44">
        <f t="shared" si="258"/>
        <v>3.177</v>
      </c>
      <c r="AP3151" s="46">
        <f t="shared" si="259"/>
        <v>0.215</v>
      </c>
    </row>
    <row r="3152" spans="19:42" ht="18">
      <c r="S3152" s="8">
        <f t="shared" si="260"/>
        <v>0</v>
      </c>
      <c r="W3152" s="3">
        <v>3178</v>
      </c>
      <c r="X3152" s="30">
        <v>214.85</v>
      </c>
      <c r="Y3152" s="33">
        <f t="shared" si="257"/>
        <v>0.215</v>
      </c>
      <c r="AH3152" s="45">
        <f t="shared" si="261"/>
        <v>0</v>
      </c>
      <c r="AJ3152" s="44">
        <f t="shared" si="258"/>
        <v>3.1779999999999999</v>
      </c>
      <c r="AP3152" s="46">
        <f t="shared" si="259"/>
        <v>0.215</v>
      </c>
    </row>
    <row r="3153" spans="19:42" ht="18">
      <c r="S3153" s="8">
        <f t="shared" si="260"/>
        <v>0</v>
      </c>
      <c r="W3153" s="3">
        <v>3179</v>
      </c>
      <c r="X3153" s="30">
        <v>214.92500000000001</v>
      </c>
      <c r="Y3153" s="33">
        <f t="shared" si="257"/>
        <v>0.215</v>
      </c>
      <c r="AH3153" s="45">
        <f t="shared" si="261"/>
        <v>0</v>
      </c>
      <c r="AJ3153" s="44">
        <f t="shared" si="258"/>
        <v>3.1789999999999998</v>
      </c>
      <c r="AP3153" s="46">
        <f t="shared" si="259"/>
        <v>0.215</v>
      </c>
    </row>
    <row r="3154" spans="19:42" ht="18">
      <c r="S3154" s="8">
        <f t="shared" si="260"/>
        <v>0</v>
      </c>
      <c r="W3154" s="3">
        <v>3180</v>
      </c>
      <c r="X3154" s="30">
        <v>215</v>
      </c>
      <c r="Y3154" s="33">
        <f t="shared" si="257"/>
        <v>0.215</v>
      </c>
      <c r="AH3154" s="45">
        <f t="shared" si="261"/>
        <v>0</v>
      </c>
      <c r="AJ3154" s="44">
        <f t="shared" si="258"/>
        <v>3.18</v>
      </c>
      <c r="AP3154" s="46">
        <f t="shared" si="259"/>
        <v>0.215</v>
      </c>
    </row>
    <row r="3155" spans="19:42" ht="18">
      <c r="S3155" s="8">
        <f t="shared" si="260"/>
        <v>0</v>
      </c>
      <c r="W3155" s="3">
        <v>3181</v>
      </c>
      <c r="X3155" s="30">
        <v>214.63300000000001</v>
      </c>
      <c r="Y3155" s="33">
        <f t="shared" si="257"/>
        <v>0.215</v>
      </c>
      <c r="AH3155" s="45">
        <f t="shared" si="261"/>
        <v>0</v>
      </c>
      <c r="AJ3155" s="44">
        <f t="shared" si="258"/>
        <v>3.181</v>
      </c>
      <c r="AP3155" s="46">
        <f t="shared" si="259"/>
        <v>0.215</v>
      </c>
    </row>
    <row r="3156" spans="19:42" ht="18">
      <c r="S3156" s="8">
        <f t="shared" si="260"/>
        <v>0</v>
      </c>
      <c r="W3156" s="3">
        <v>3182</v>
      </c>
      <c r="X3156" s="30">
        <v>214.267</v>
      </c>
      <c r="Y3156" s="33">
        <f t="shared" si="257"/>
        <v>0.214</v>
      </c>
      <c r="AH3156" s="45">
        <f t="shared" si="261"/>
        <v>0</v>
      </c>
      <c r="AJ3156" s="44">
        <f t="shared" si="258"/>
        <v>3.1819999999999999</v>
      </c>
      <c r="AP3156" s="46">
        <f t="shared" si="259"/>
        <v>0.214</v>
      </c>
    </row>
    <row r="3157" spans="19:42" ht="18">
      <c r="S3157" s="8">
        <f t="shared" si="260"/>
        <v>0</v>
      </c>
      <c r="W3157" s="3">
        <v>3183</v>
      </c>
      <c r="X3157" s="30">
        <v>213.9</v>
      </c>
      <c r="Y3157" s="33">
        <f t="shared" si="257"/>
        <v>0.214</v>
      </c>
      <c r="AH3157" s="45">
        <f t="shared" si="261"/>
        <v>0</v>
      </c>
      <c r="AJ3157" s="44">
        <f t="shared" si="258"/>
        <v>3.1829999999999998</v>
      </c>
      <c r="AP3157" s="46">
        <f t="shared" si="259"/>
        <v>0.214</v>
      </c>
    </row>
    <row r="3158" spans="19:42" ht="18">
      <c r="S3158" s="8">
        <f t="shared" si="260"/>
        <v>0</v>
      </c>
      <c r="W3158" s="3">
        <v>3184</v>
      </c>
      <c r="X3158" s="30">
        <v>213.53299999999999</v>
      </c>
      <c r="Y3158" s="33">
        <f t="shared" si="257"/>
        <v>0.214</v>
      </c>
      <c r="AH3158" s="45">
        <f t="shared" si="261"/>
        <v>0</v>
      </c>
      <c r="AJ3158" s="44">
        <f t="shared" si="258"/>
        <v>3.1840000000000002</v>
      </c>
      <c r="AP3158" s="46">
        <f t="shared" si="259"/>
        <v>0.214</v>
      </c>
    </row>
    <row r="3159" spans="19:42" ht="18">
      <c r="S3159" s="8">
        <f t="shared" si="260"/>
        <v>0</v>
      </c>
      <c r="W3159" s="3">
        <v>3185</v>
      </c>
      <c r="X3159" s="30">
        <v>213.167</v>
      </c>
      <c r="Y3159" s="33">
        <f t="shared" si="257"/>
        <v>0.21299999999999999</v>
      </c>
      <c r="AH3159" s="45">
        <f t="shared" si="261"/>
        <v>0</v>
      </c>
      <c r="AJ3159" s="44">
        <f t="shared" si="258"/>
        <v>3.1850000000000001</v>
      </c>
      <c r="AP3159" s="46">
        <f t="shared" si="259"/>
        <v>0.21299999999999999</v>
      </c>
    </row>
    <row r="3160" spans="19:42" ht="18">
      <c r="S3160" s="8">
        <f t="shared" si="260"/>
        <v>0</v>
      </c>
      <c r="W3160" s="3">
        <v>3186</v>
      </c>
      <c r="X3160" s="30">
        <v>212.8</v>
      </c>
      <c r="Y3160" s="33">
        <f t="shared" si="257"/>
        <v>0.21299999999999999</v>
      </c>
      <c r="AH3160" s="45">
        <f t="shared" si="261"/>
        <v>0</v>
      </c>
      <c r="AJ3160" s="44">
        <f t="shared" si="258"/>
        <v>3.1859999999999999</v>
      </c>
      <c r="AP3160" s="46">
        <f t="shared" si="259"/>
        <v>0.21299999999999999</v>
      </c>
    </row>
    <row r="3161" spans="19:42" ht="18">
      <c r="S3161" s="8">
        <f t="shared" si="260"/>
        <v>0</v>
      </c>
      <c r="W3161" s="3">
        <v>3187</v>
      </c>
      <c r="X3161" s="30">
        <v>212.43299999999999</v>
      </c>
      <c r="Y3161" s="33">
        <f t="shared" si="257"/>
        <v>0.21199999999999999</v>
      </c>
      <c r="AH3161" s="45">
        <f t="shared" si="261"/>
        <v>0</v>
      </c>
      <c r="AJ3161" s="44">
        <f t="shared" si="258"/>
        <v>3.1869999999999998</v>
      </c>
      <c r="AP3161" s="46">
        <f t="shared" si="259"/>
        <v>0.21199999999999999</v>
      </c>
    </row>
    <row r="3162" spans="19:42" ht="18">
      <c r="S3162" s="8">
        <f t="shared" si="260"/>
        <v>0</v>
      </c>
      <c r="W3162" s="3">
        <v>3188</v>
      </c>
      <c r="X3162" s="30">
        <v>212.06700000000001</v>
      </c>
      <c r="Y3162" s="33">
        <f t="shared" si="257"/>
        <v>0.21199999999999999</v>
      </c>
      <c r="AH3162" s="45">
        <f t="shared" si="261"/>
        <v>0</v>
      </c>
      <c r="AJ3162" s="44">
        <f t="shared" si="258"/>
        <v>3.1880000000000002</v>
      </c>
      <c r="AP3162" s="46">
        <f t="shared" si="259"/>
        <v>0.21199999999999999</v>
      </c>
    </row>
    <row r="3163" spans="19:42" ht="18">
      <c r="S3163" s="8">
        <f t="shared" si="260"/>
        <v>0</v>
      </c>
      <c r="W3163" s="3">
        <v>3189</v>
      </c>
      <c r="X3163" s="30">
        <v>211.7</v>
      </c>
      <c r="Y3163" s="33">
        <f t="shared" si="257"/>
        <v>0.21199999999999999</v>
      </c>
      <c r="AH3163" s="45">
        <f t="shared" si="261"/>
        <v>0</v>
      </c>
      <c r="AJ3163" s="44">
        <f t="shared" si="258"/>
        <v>3.1890000000000001</v>
      </c>
      <c r="AP3163" s="46">
        <f t="shared" si="259"/>
        <v>0.21199999999999999</v>
      </c>
    </row>
    <row r="3164" spans="19:42" ht="18">
      <c r="S3164" s="8">
        <f t="shared" si="260"/>
        <v>0</v>
      </c>
      <c r="W3164" s="3">
        <v>3190</v>
      </c>
      <c r="X3164" s="30">
        <v>211.333</v>
      </c>
      <c r="Y3164" s="33">
        <f t="shared" si="257"/>
        <v>0.21099999999999999</v>
      </c>
      <c r="AH3164" s="45">
        <f t="shared" si="261"/>
        <v>0</v>
      </c>
      <c r="AJ3164" s="44">
        <f t="shared" si="258"/>
        <v>3.19</v>
      </c>
      <c r="AP3164" s="46">
        <f t="shared" si="259"/>
        <v>0.21099999999999999</v>
      </c>
    </row>
    <row r="3165" spans="19:42" ht="18">
      <c r="S3165" s="8">
        <f t="shared" si="260"/>
        <v>0</v>
      </c>
      <c r="W3165" s="3">
        <v>3191</v>
      </c>
      <c r="X3165" s="30">
        <v>210.96700000000001</v>
      </c>
      <c r="Y3165" s="33">
        <f t="shared" si="257"/>
        <v>0.21099999999999999</v>
      </c>
      <c r="AH3165" s="45">
        <f t="shared" si="261"/>
        <v>0</v>
      </c>
      <c r="AJ3165" s="44">
        <f t="shared" si="258"/>
        <v>3.1909999999999998</v>
      </c>
      <c r="AP3165" s="46">
        <f t="shared" si="259"/>
        <v>0.21099999999999999</v>
      </c>
    </row>
    <row r="3166" spans="19:42" ht="18">
      <c r="S3166" s="8">
        <f t="shared" si="260"/>
        <v>0</v>
      </c>
      <c r="W3166" s="3">
        <v>3192</v>
      </c>
      <c r="X3166" s="30">
        <v>210.6</v>
      </c>
      <c r="Y3166" s="33">
        <f t="shared" si="257"/>
        <v>0.21099999999999999</v>
      </c>
      <c r="AH3166" s="45">
        <f t="shared" si="261"/>
        <v>0</v>
      </c>
      <c r="AJ3166" s="44">
        <f t="shared" si="258"/>
        <v>3.1920000000000002</v>
      </c>
      <c r="AP3166" s="46">
        <f t="shared" si="259"/>
        <v>0.21099999999999999</v>
      </c>
    </row>
    <row r="3167" spans="19:42" ht="18">
      <c r="S3167" s="8">
        <f t="shared" si="260"/>
        <v>0</v>
      </c>
      <c r="W3167" s="3">
        <v>3193</v>
      </c>
      <c r="X3167" s="30">
        <v>210.233</v>
      </c>
      <c r="Y3167" s="33">
        <f t="shared" si="257"/>
        <v>0.21</v>
      </c>
      <c r="AH3167" s="45">
        <f t="shared" si="261"/>
        <v>0</v>
      </c>
      <c r="AJ3167" s="44">
        <f t="shared" si="258"/>
        <v>3.1930000000000001</v>
      </c>
      <c r="AP3167" s="46">
        <f t="shared" si="259"/>
        <v>0.21</v>
      </c>
    </row>
    <row r="3168" spans="19:42" ht="18">
      <c r="S3168" s="8">
        <f t="shared" si="260"/>
        <v>0</v>
      </c>
      <c r="W3168" s="3">
        <v>3194</v>
      </c>
      <c r="X3168" s="30">
        <v>209.86699999999999</v>
      </c>
      <c r="Y3168" s="33">
        <f t="shared" si="257"/>
        <v>0.21</v>
      </c>
      <c r="AH3168" s="45">
        <f t="shared" si="261"/>
        <v>0</v>
      </c>
      <c r="AJ3168" s="44">
        <f t="shared" si="258"/>
        <v>3.194</v>
      </c>
      <c r="AP3168" s="46">
        <f t="shared" si="259"/>
        <v>0.21</v>
      </c>
    </row>
    <row r="3169" spans="19:42" ht="18">
      <c r="S3169" s="8">
        <f t="shared" si="260"/>
        <v>0</v>
      </c>
      <c r="W3169" s="3">
        <v>3195</v>
      </c>
      <c r="X3169" s="30">
        <v>209.5</v>
      </c>
      <c r="Y3169" s="33">
        <f t="shared" si="257"/>
        <v>0.21</v>
      </c>
      <c r="AH3169" s="45">
        <f t="shared" si="261"/>
        <v>0</v>
      </c>
      <c r="AJ3169" s="44">
        <f t="shared" si="258"/>
        <v>3.1949999999999998</v>
      </c>
      <c r="AP3169" s="46">
        <f t="shared" si="259"/>
        <v>0.21</v>
      </c>
    </row>
    <row r="3170" spans="19:42" ht="18">
      <c r="S3170" s="8">
        <f t="shared" si="260"/>
        <v>0</v>
      </c>
      <c r="W3170" s="3">
        <v>3196</v>
      </c>
      <c r="X3170" s="30">
        <v>209.13300000000001</v>
      </c>
      <c r="Y3170" s="33">
        <f t="shared" si="257"/>
        <v>0.20899999999999999</v>
      </c>
      <c r="AH3170" s="45">
        <f t="shared" si="261"/>
        <v>0</v>
      </c>
      <c r="AJ3170" s="44">
        <f t="shared" si="258"/>
        <v>3.1960000000000002</v>
      </c>
      <c r="AP3170" s="46">
        <f t="shared" si="259"/>
        <v>0.20899999999999999</v>
      </c>
    </row>
    <row r="3171" spans="19:42" ht="18">
      <c r="S3171" s="8">
        <f t="shared" si="260"/>
        <v>0</v>
      </c>
      <c r="W3171" s="3">
        <v>3197</v>
      </c>
      <c r="X3171" s="30">
        <v>208.767</v>
      </c>
      <c r="Y3171" s="33">
        <f t="shared" si="257"/>
        <v>0.20899999999999999</v>
      </c>
      <c r="AH3171" s="45">
        <f t="shared" si="261"/>
        <v>0</v>
      </c>
      <c r="AJ3171" s="44">
        <f t="shared" si="258"/>
        <v>3.1970000000000001</v>
      </c>
      <c r="AP3171" s="46">
        <f t="shared" si="259"/>
        <v>0.20899999999999999</v>
      </c>
    </row>
    <row r="3172" spans="19:42" ht="18">
      <c r="S3172" s="8">
        <f t="shared" si="260"/>
        <v>0</v>
      </c>
      <c r="W3172" s="3">
        <v>3198</v>
      </c>
      <c r="X3172" s="30">
        <v>208.4</v>
      </c>
      <c r="Y3172" s="33">
        <f t="shared" si="257"/>
        <v>0.20799999999999999</v>
      </c>
      <c r="AH3172" s="45">
        <f t="shared" si="261"/>
        <v>0</v>
      </c>
      <c r="AJ3172" s="44">
        <f t="shared" si="258"/>
        <v>3.198</v>
      </c>
      <c r="AP3172" s="46">
        <f t="shared" si="259"/>
        <v>0.20799999999999999</v>
      </c>
    </row>
    <row r="3173" spans="19:42" ht="18">
      <c r="S3173" s="8">
        <f t="shared" si="260"/>
        <v>0</v>
      </c>
      <c r="W3173" s="3">
        <v>3199</v>
      </c>
      <c r="X3173" s="30">
        <v>208.03299999999999</v>
      </c>
      <c r="Y3173" s="33">
        <f t="shared" si="257"/>
        <v>0.20799999999999999</v>
      </c>
      <c r="AH3173" s="45">
        <f t="shared" si="261"/>
        <v>0</v>
      </c>
      <c r="AJ3173" s="44">
        <f t="shared" si="258"/>
        <v>3.1989999999999998</v>
      </c>
      <c r="AP3173" s="46">
        <f t="shared" si="259"/>
        <v>0.20799999999999999</v>
      </c>
    </row>
    <row r="3174" spans="19:42" ht="18">
      <c r="S3174" s="8">
        <f t="shared" si="260"/>
        <v>0</v>
      </c>
      <c r="W3174" s="3">
        <v>3200</v>
      </c>
      <c r="X3174" s="30">
        <v>207.667</v>
      </c>
      <c r="Y3174" s="33">
        <f t="shared" si="257"/>
        <v>0.20799999999999999</v>
      </c>
      <c r="AH3174" s="45">
        <f t="shared" si="261"/>
        <v>0</v>
      </c>
      <c r="AJ3174" s="44">
        <f t="shared" si="258"/>
        <v>3.2</v>
      </c>
      <c r="AP3174" s="46">
        <f t="shared" si="259"/>
        <v>0.20799999999999999</v>
      </c>
    </row>
    <row r="3175" spans="19:42" ht="18">
      <c r="S3175" s="8">
        <f t="shared" si="260"/>
        <v>0</v>
      </c>
      <c r="W3175" s="3">
        <v>3201</v>
      </c>
      <c r="X3175" s="30">
        <v>207.3</v>
      </c>
      <c r="Y3175" s="33">
        <f t="shared" si="257"/>
        <v>0.20699999999999999</v>
      </c>
      <c r="AH3175" s="45">
        <f t="shared" si="261"/>
        <v>0</v>
      </c>
      <c r="AJ3175" s="44">
        <f t="shared" si="258"/>
        <v>3.2010000000000001</v>
      </c>
      <c r="AP3175" s="46">
        <f t="shared" si="259"/>
        <v>0.20699999999999999</v>
      </c>
    </row>
    <row r="3176" spans="19:42" ht="18">
      <c r="S3176" s="8">
        <f t="shared" si="260"/>
        <v>0</v>
      </c>
      <c r="W3176" s="3">
        <v>3202</v>
      </c>
      <c r="X3176" s="30">
        <v>206.93299999999999</v>
      </c>
      <c r="Y3176" s="33">
        <f t="shared" si="257"/>
        <v>0.20699999999999999</v>
      </c>
      <c r="AH3176" s="45">
        <f t="shared" si="261"/>
        <v>0</v>
      </c>
      <c r="AJ3176" s="44">
        <f t="shared" si="258"/>
        <v>3.202</v>
      </c>
      <c r="AP3176" s="46">
        <f t="shared" si="259"/>
        <v>0.20699999999999999</v>
      </c>
    </row>
    <row r="3177" spans="19:42" ht="18">
      <c r="S3177" s="8">
        <f t="shared" si="260"/>
        <v>0</v>
      </c>
      <c r="W3177" s="3">
        <v>3203</v>
      </c>
      <c r="X3177" s="30">
        <v>206.56700000000001</v>
      </c>
      <c r="Y3177" s="33">
        <f t="shared" si="257"/>
        <v>0.20699999999999999</v>
      </c>
      <c r="AH3177" s="45">
        <f t="shared" si="261"/>
        <v>0</v>
      </c>
      <c r="AJ3177" s="44">
        <f t="shared" si="258"/>
        <v>3.2029999999999998</v>
      </c>
      <c r="AP3177" s="46">
        <f t="shared" si="259"/>
        <v>0.20699999999999999</v>
      </c>
    </row>
    <row r="3178" spans="19:42" ht="18">
      <c r="S3178" s="8">
        <f t="shared" si="260"/>
        <v>0</v>
      </c>
      <c r="W3178" s="3">
        <v>3204</v>
      </c>
      <c r="X3178" s="30">
        <v>206.2</v>
      </c>
      <c r="Y3178" s="33">
        <f t="shared" si="257"/>
        <v>0.20599999999999999</v>
      </c>
      <c r="AH3178" s="45">
        <f t="shared" si="261"/>
        <v>0</v>
      </c>
      <c r="AJ3178" s="44">
        <f t="shared" si="258"/>
        <v>3.2040000000000002</v>
      </c>
      <c r="AP3178" s="46">
        <f t="shared" si="259"/>
        <v>0.20599999999999999</v>
      </c>
    </row>
    <row r="3179" spans="19:42" ht="18">
      <c r="S3179" s="8">
        <f t="shared" si="260"/>
        <v>0</v>
      </c>
      <c r="W3179" s="3">
        <v>3205</v>
      </c>
      <c r="X3179" s="30">
        <v>205.833</v>
      </c>
      <c r="Y3179" s="33">
        <f t="shared" si="257"/>
        <v>0.20599999999999999</v>
      </c>
      <c r="AH3179" s="45">
        <f t="shared" si="261"/>
        <v>0</v>
      </c>
      <c r="AJ3179" s="44">
        <f t="shared" si="258"/>
        <v>3.2050000000000001</v>
      </c>
      <c r="AP3179" s="46">
        <f t="shared" si="259"/>
        <v>0.20599999999999999</v>
      </c>
    </row>
    <row r="3180" spans="19:42" ht="18">
      <c r="S3180" s="8">
        <f t="shared" si="260"/>
        <v>0</v>
      </c>
      <c r="W3180" s="3">
        <v>3206</v>
      </c>
      <c r="X3180" s="30">
        <v>205.46700000000001</v>
      </c>
      <c r="Y3180" s="33">
        <f t="shared" si="257"/>
        <v>0.20499999999999999</v>
      </c>
      <c r="AH3180" s="45">
        <f t="shared" si="261"/>
        <v>0</v>
      </c>
      <c r="AJ3180" s="44">
        <f t="shared" si="258"/>
        <v>3.206</v>
      </c>
      <c r="AP3180" s="46">
        <f t="shared" si="259"/>
        <v>0.20499999999999999</v>
      </c>
    </row>
    <row r="3181" spans="19:42" ht="18">
      <c r="S3181" s="8">
        <f t="shared" si="260"/>
        <v>0</v>
      </c>
      <c r="W3181" s="3">
        <v>3207</v>
      </c>
      <c r="X3181" s="30">
        <v>205.1</v>
      </c>
      <c r="Y3181" s="33">
        <f t="shared" si="257"/>
        <v>0.20499999999999999</v>
      </c>
      <c r="AH3181" s="45">
        <f t="shared" si="261"/>
        <v>0</v>
      </c>
      <c r="AJ3181" s="44">
        <f t="shared" si="258"/>
        <v>3.2069999999999999</v>
      </c>
      <c r="AP3181" s="46">
        <f t="shared" si="259"/>
        <v>0.20499999999999999</v>
      </c>
    </row>
    <row r="3182" spans="19:42" ht="18">
      <c r="S3182" s="8">
        <f t="shared" si="260"/>
        <v>0</v>
      </c>
      <c r="W3182" s="3">
        <v>3208</v>
      </c>
      <c r="X3182" s="30">
        <v>204.733</v>
      </c>
      <c r="Y3182" s="33">
        <f t="shared" si="257"/>
        <v>0.20499999999999999</v>
      </c>
      <c r="AH3182" s="45">
        <f t="shared" si="261"/>
        <v>0</v>
      </c>
      <c r="AJ3182" s="44">
        <f t="shared" si="258"/>
        <v>3.2080000000000002</v>
      </c>
      <c r="AP3182" s="46">
        <f t="shared" si="259"/>
        <v>0.20499999999999999</v>
      </c>
    </row>
    <row r="3183" spans="19:42" ht="18">
      <c r="S3183" s="8">
        <f t="shared" si="260"/>
        <v>0</v>
      </c>
      <c r="W3183" s="3">
        <v>3209</v>
      </c>
      <c r="X3183" s="30">
        <v>204.36699999999999</v>
      </c>
      <c r="Y3183" s="33">
        <f t="shared" si="257"/>
        <v>0.20399999999999999</v>
      </c>
      <c r="AH3183" s="45">
        <f t="shared" si="261"/>
        <v>0</v>
      </c>
      <c r="AJ3183" s="44">
        <f t="shared" si="258"/>
        <v>3.2090000000000001</v>
      </c>
      <c r="AP3183" s="46">
        <f t="shared" si="259"/>
        <v>0.20399999999999999</v>
      </c>
    </row>
    <row r="3184" spans="19:42" ht="18">
      <c r="S3184" s="8">
        <f t="shared" si="260"/>
        <v>0</v>
      </c>
      <c r="W3184" s="3">
        <v>3210</v>
      </c>
      <c r="X3184" s="30">
        <v>204</v>
      </c>
      <c r="Y3184" s="33">
        <f t="shared" si="257"/>
        <v>0.20399999999999999</v>
      </c>
      <c r="AH3184" s="45">
        <f t="shared" si="261"/>
        <v>0</v>
      </c>
      <c r="AJ3184" s="44">
        <f t="shared" si="258"/>
        <v>3.21</v>
      </c>
      <c r="AP3184" s="46">
        <f t="shared" si="259"/>
        <v>0.20399999999999999</v>
      </c>
    </row>
    <row r="3185" spans="19:42" ht="18">
      <c r="S3185" s="8">
        <f t="shared" si="260"/>
        <v>0</v>
      </c>
      <c r="W3185" s="3">
        <v>3211</v>
      </c>
      <c r="X3185" s="30">
        <v>203.63300000000001</v>
      </c>
      <c r="Y3185" s="33">
        <f t="shared" si="257"/>
        <v>0.20399999999999999</v>
      </c>
      <c r="AH3185" s="45">
        <f t="shared" si="261"/>
        <v>0</v>
      </c>
      <c r="AJ3185" s="44">
        <f t="shared" si="258"/>
        <v>3.2109999999999999</v>
      </c>
      <c r="AP3185" s="46">
        <f t="shared" si="259"/>
        <v>0.20399999999999999</v>
      </c>
    </row>
    <row r="3186" spans="19:42" ht="18">
      <c r="S3186" s="8">
        <f t="shared" si="260"/>
        <v>0</v>
      </c>
      <c r="W3186" s="3">
        <v>3212</v>
      </c>
      <c r="X3186" s="30">
        <v>203.267</v>
      </c>
      <c r="Y3186" s="33">
        <f t="shared" si="257"/>
        <v>0.20300000000000001</v>
      </c>
      <c r="AH3186" s="45">
        <f t="shared" si="261"/>
        <v>0</v>
      </c>
      <c r="AJ3186" s="44">
        <f t="shared" si="258"/>
        <v>3.2120000000000002</v>
      </c>
      <c r="AP3186" s="46">
        <f t="shared" si="259"/>
        <v>0.20300000000000001</v>
      </c>
    </row>
    <row r="3187" spans="19:42" ht="18">
      <c r="S3187" s="8">
        <f t="shared" si="260"/>
        <v>0</v>
      </c>
      <c r="W3187" s="3">
        <v>3213</v>
      </c>
      <c r="X3187" s="30">
        <v>202.9</v>
      </c>
      <c r="Y3187" s="33">
        <f t="shared" si="257"/>
        <v>0.20300000000000001</v>
      </c>
      <c r="AH3187" s="45">
        <f t="shared" si="261"/>
        <v>0</v>
      </c>
      <c r="AJ3187" s="44">
        <f t="shared" si="258"/>
        <v>3.2130000000000001</v>
      </c>
      <c r="AP3187" s="46">
        <f t="shared" si="259"/>
        <v>0.20300000000000001</v>
      </c>
    </row>
    <row r="3188" spans="19:42" ht="18">
      <c r="S3188" s="8">
        <f t="shared" si="260"/>
        <v>0</v>
      </c>
      <c r="W3188" s="3">
        <v>3214</v>
      </c>
      <c r="X3188" s="30">
        <v>202.53299999999999</v>
      </c>
      <c r="Y3188" s="33">
        <f t="shared" si="257"/>
        <v>0.20300000000000001</v>
      </c>
      <c r="AH3188" s="45">
        <f t="shared" si="261"/>
        <v>0</v>
      </c>
      <c r="AJ3188" s="44">
        <f t="shared" si="258"/>
        <v>3.214</v>
      </c>
      <c r="AP3188" s="46">
        <f t="shared" si="259"/>
        <v>0.20300000000000001</v>
      </c>
    </row>
    <row r="3189" spans="19:42" ht="18">
      <c r="S3189" s="8">
        <f t="shared" si="260"/>
        <v>0</v>
      </c>
      <c r="W3189" s="3">
        <v>3215</v>
      </c>
      <c r="X3189" s="30">
        <v>202.167</v>
      </c>
      <c r="Y3189" s="33">
        <f t="shared" si="257"/>
        <v>0.20200000000000001</v>
      </c>
      <c r="AH3189" s="45">
        <f t="shared" si="261"/>
        <v>0</v>
      </c>
      <c r="AJ3189" s="44">
        <f t="shared" si="258"/>
        <v>3.2149999999999999</v>
      </c>
      <c r="AP3189" s="46">
        <f t="shared" si="259"/>
        <v>0.20200000000000001</v>
      </c>
    </row>
    <row r="3190" spans="19:42" ht="18">
      <c r="S3190" s="8">
        <f t="shared" si="260"/>
        <v>0</v>
      </c>
      <c r="W3190" s="3">
        <v>3216</v>
      </c>
      <c r="X3190" s="30">
        <v>201.8</v>
      </c>
      <c r="Y3190" s="33">
        <f t="shared" si="257"/>
        <v>0.20200000000000001</v>
      </c>
      <c r="AH3190" s="45">
        <f t="shared" si="261"/>
        <v>0</v>
      </c>
      <c r="AJ3190" s="44">
        <f t="shared" si="258"/>
        <v>3.2160000000000002</v>
      </c>
      <c r="AP3190" s="46">
        <f t="shared" si="259"/>
        <v>0.20200000000000001</v>
      </c>
    </row>
    <row r="3191" spans="19:42" ht="18">
      <c r="S3191" s="8">
        <f t="shared" si="260"/>
        <v>0</v>
      </c>
      <c r="W3191" s="3">
        <v>3217</v>
      </c>
      <c r="X3191" s="30">
        <v>201.43299999999999</v>
      </c>
      <c r="Y3191" s="33">
        <f t="shared" si="257"/>
        <v>0.20100000000000001</v>
      </c>
      <c r="AH3191" s="45">
        <f t="shared" si="261"/>
        <v>0</v>
      </c>
      <c r="AJ3191" s="44">
        <f t="shared" si="258"/>
        <v>3.2170000000000001</v>
      </c>
      <c r="AP3191" s="46">
        <f t="shared" si="259"/>
        <v>0.20100000000000001</v>
      </c>
    </row>
    <row r="3192" spans="19:42" ht="18">
      <c r="S3192" s="8">
        <f t="shared" si="260"/>
        <v>0</v>
      </c>
      <c r="W3192" s="3">
        <v>3218</v>
      </c>
      <c r="X3192" s="30">
        <v>201.06700000000001</v>
      </c>
      <c r="Y3192" s="33">
        <f t="shared" si="257"/>
        <v>0.20100000000000001</v>
      </c>
      <c r="AH3192" s="45">
        <f t="shared" si="261"/>
        <v>0</v>
      </c>
      <c r="AJ3192" s="44">
        <f t="shared" si="258"/>
        <v>3.218</v>
      </c>
      <c r="AP3192" s="46">
        <f t="shared" si="259"/>
        <v>0.20100000000000001</v>
      </c>
    </row>
    <row r="3193" spans="19:42" ht="18">
      <c r="S3193" s="8">
        <f t="shared" si="260"/>
        <v>0</v>
      </c>
      <c r="W3193" s="3">
        <v>3219</v>
      </c>
      <c r="X3193" s="30">
        <v>200.7</v>
      </c>
      <c r="Y3193" s="33">
        <f t="shared" si="257"/>
        <v>0.20100000000000001</v>
      </c>
      <c r="AH3193" s="45">
        <f t="shared" si="261"/>
        <v>0</v>
      </c>
      <c r="AJ3193" s="44">
        <f t="shared" si="258"/>
        <v>3.2189999999999999</v>
      </c>
      <c r="AP3193" s="46">
        <f t="shared" si="259"/>
        <v>0.20100000000000001</v>
      </c>
    </row>
    <row r="3194" spans="19:42" ht="18">
      <c r="S3194" s="8">
        <f t="shared" si="260"/>
        <v>0</v>
      </c>
      <c r="W3194" s="3">
        <v>3220</v>
      </c>
      <c r="X3194" s="30">
        <v>200.333</v>
      </c>
      <c r="Y3194" s="33">
        <f t="shared" si="257"/>
        <v>0.2</v>
      </c>
      <c r="AH3194" s="45">
        <f t="shared" si="261"/>
        <v>0</v>
      </c>
      <c r="AJ3194" s="44">
        <f t="shared" si="258"/>
        <v>3.22</v>
      </c>
      <c r="AP3194" s="46">
        <f t="shared" si="259"/>
        <v>0.2</v>
      </c>
    </row>
    <row r="3195" spans="19:42" ht="18">
      <c r="S3195" s="8">
        <f t="shared" si="260"/>
        <v>0</v>
      </c>
      <c r="W3195" s="3">
        <v>3221</v>
      </c>
      <c r="X3195" s="30">
        <v>199.96700000000001</v>
      </c>
      <c r="Y3195" s="33">
        <f t="shared" si="257"/>
        <v>0.2</v>
      </c>
      <c r="AH3195" s="45">
        <f t="shared" si="261"/>
        <v>0</v>
      </c>
      <c r="AJ3195" s="44">
        <f t="shared" si="258"/>
        <v>3.2210000000000001</v>
      </c>
      <c r="AP3195" s="46">
        <f t="shared" si="259"/>
        <v>0.2</v>
      </c>
    </row>
    <row r="3196" spans="19:42" ht="18">
      <c r="S3196" s="8">
        <f t="shared" si="260"/>
        <v>0</v>
      </c>
      <c r="W3196" s="3">
        <v>3222</v>
      </c>
      <c r="X3196" s="30">
        <v>199.6</v>
      </c>
      <c r="Y3196" s="33">
        <f t="shared" si="257"/>
        <v>0.2</v>
      </c>
      <c r="AH3196" s="45">
        <f t="shared" si="261"/>
        <v>0</v>
      </c>
      <c r="AJ3196" s="44">
        <f t="shared" si="258"/>
        <v>3.222</v>
      </c>
      <c r="AP3196" s="46">
        <f t="shared" si="259"/>
        <v>0.2</v>
      </c>
    </row>
    <row r="3197" spans="19:42" ht="18">
      <c r="S3197" s="8">
        <f t="shared" si="260"/>
        <v>0</v>
      </c>
      <c r="W3197" s="3">
        <v>3223</v>
      </c>
      <c r="X3197" s="30">
        <v>199.233</v>
      </c>
      <c r="Y3197" s="33">
        <f t="shared" si="257"/>
        <v>0.19900000000000001</v>
      </c>
      <c r="AH3197" s="45">
        <f t="shared" si="261"/>
        <v>0</v>
      </c>
      <c r="AJ3197" s="44">
        <f t="shared" si="258"/>
        <v>3.2229999999999999</v>
      </c>
      <c r="AP3197" s="46">
        <f t="shared" si="259"/>
        <v>0.19900000000000001</v>
      </c>
    </row>
    <row r="3198" spans="19:42" ht="18">
      <c r="S3198" s="8">
        <f t="shared" si="260"/>
        <v>0</v>
      </c>
      <c r="W3198" s="3">
        <v>3224</v>
      </c>
      <c r="X3198" s="30">
        <v>198.86699999999999</v>
      </c>
      <c r="Y3198" s="33">
        <f t="shared" si="257"/>
        <v>0.19900000000000001</v>
      </c>
      <c r="AH3198" s="45">
        <f t="shared" si="261"/>
        <v>0</v>
      </c>
      <c r="AJ3198" s="44">
        <f t="shared" si="258"/>
        <v>3.2240000000000002</v>
      </c>
      <c r="AP3198" s="46">
        <f t="shared" si="259"/>
        <v>0.19900000000000001</v>
      </c>
    </row>
    <row r="3199" spans="19:42" ht="18">
      <c r="S3199" s="8">
        <f t="shared" si="260"/>
        <v>0</v>
      </c>
      <c r="W3199" s="3">
        <v>3225</v>
      </c>
      <c r="X3199" s="30">
        <v>198.5</v>
      </c>
      <c r="Y3199" s="33">
        <f t="shared" si="257"/>
        <v>0.19900000000000001</v>
      </c>
      <c r="AH3199" s="45">
        <f t="shared" si="261"/>
        <v>0</v>
      </c>
      <c r="AJ3199" s="44">
        <f t="shared" si="258"/>
        <v>3.2250000000000001</v>
      </c>
      <c r="AP3199" s="46">
        <f t="shared" si="259"/>
        <v>0.19900000000000001</v>
      </c>
    </row>
    <row r="3200" spans="19:42" ht="18">
      <c r="S3200" s="8">
        <f t="shared" si="260"/>
        <v>0</v>
      </c>
      <c r="W3200" s="3">
        <v>3226</v>
      </c>
      <c r="X3200" s="30">
        <v>198.13300000000001</v>
      </c>
      <c r="Y3200" s="33">
        <f t="shared" si="257"/>
        <v>0.19800000000000001</v>
      </c>
      <c r="AH3200" s="45">
        <f t="shared" si="261"/>
        <v>0</v>
      </c>
      <c r="AJ3200" s="44">
        <f t="shared" si="258"/>
        <v>3.226</v>
      </c>
      <c r="AP3200" s="46">
        <f t="shared" si="259"/>
        <v>0.19800000000000001</v>
      </c>
    </row>
    <row r="3201" spans="19:42" ht="18">
      <c r="S3201" s="8">
        <f t="shared" si="260"/>
        <v>0</v>
      </c>
      <c r="W3201" s="3">
        <v>3227</v>
      </c>
      <c r="X3201" s="30">
        <v>197.767</v>
      </c>
      <c r="Y3201" s="33">
        <f t="shared" si="257"/>
        <v>0.19800000000000001</v>
      </c>
      <c r="AH3201" s="45">
        <f t="shared" si="261"/>
        <v>0</v>
      </c>
      <c r="AJ3201" s="44">
        <f t="shared" si="258"/>
        <v>3.2269999999999999</v>
      </c>
      <c r="AP3201" s="46">
        <f t="shared" si="259"/>
        <v>0.19800000000000001</v>
      </c>
    </row>
    <row r="3202" spans="19:42" ht="18">
      <c r="S3202" s="8">
        <f t="shared" si="260"/>
        <v>0</v>
      </c>
      <c r="W3202" s="3">
        <v>3228</v>
      </c>
      <c r="X3202" s="30">
        <v>197.4</v>
      </c>
      <c r="Y3202" s="33">
        <f t="shared" si="257"/>
        <v>0.19700000000000001</v>
      </c>
      <c r="AH3202" s="45">
        <f t="shared" si="261"/>
        <v>0</v>
      </c>
      <c r="AJ3202" s="44">
        <f t="shared" si="258"/>
        <v>3.2280000000000002</v>
      </c>
      <c r="AP3202" s="46">
        <f t="shared" si="259"/>
        <v>0.19700000000000001</v>
      </c>
    </row>
    <row r="3203" spans="19:42" ht="18">
      <c r="S3203" s="8">
        <f t="shared" si="260"/>
        <v>0</v>
      </c>
      <c r="W3203" s="3">
        <v>3229</v>
      </c>
      <c r="X3203" s="30">
        <v>197.03299999999999</v>
      </c>
      <c r="Y3203" s="33">
        <f t="shared" si="257"/>
        <v>0.19700000000000001</v>
      </c>
      <c r="AH3203" s="45">
        <f t="shared" si="261"/>
        <v>0</v>
      </c>
      <c r="AJ3203" s="44">
        <f t="shared" si="258"/>
        <v>3.2290000000000001</v>
      </c>
      <c r="AP3203" s="46">
        <f t="shared" si="259"/>
        <v>0.19700000000000001</v>
      </c>
    </row>
    <row r="3204" spans="19:42" ht="18">
      <c r="S3204" s="8">
        <f t="shared" si="260"/>
        <v>0</v>
      </c>
      <c r="W3204" s="3">
        <v>3230</v>
      </c>
      <c r="X3204" s="30">
        <v>196.667</v>
      </c>
      <c r="Y3204" s="33">
        <f t="shared" si="257"/>
        <v>0.19700000000000001</v>
      </c>
      <c r="AH3204" s="45">
        <f t="shared" si="261"/>
        <v>0</v>
      </c>
      <c r="AJ3204" s="44">
        <f t="shared" si="258"/>
        <v>3.23</v>
      </c>
      <c r="AP3204" s="46">
        <f t="shared" si="259"/>
        <v>0.19700000000000001</v>
      </c>
    </row>
    <row r="3205" spans="19:42" ht="18">
      <c r="S3205" s="8">
        <f t="shared" si="260"/>
        <v>0</v>
      </c>
      <c r="W3205" s="3">
        <v>3231</v>
      </c>
      <c r="X3205" s="30">
        <v>196.3</v>
      </c>
      <c r="Y3205" s="33">
        <f t="shared" ref="Y3205:Y3268" si="262">ROUND(X3205/1000,3)</f>
        <v>0.19600000000000001</v>
      </c>
      <c r="AH3205" s="45">
        <f t="shared" si="261"/>
        <v>0</v>
      </c>
      <c r="AJ3205" s="44">
        <f t="shared" ref="AJ3205:AJ3268" si="263">ROUND(W3205/1000,3)</f>
        <v>3.2309999999999999</v>
      </c>
      <c r="AP3205" s="46">
        <f t="shared" ref="AP3205:AP3268" si="264">ROUND(X3205/1000,3)</f>
        <v>0.19600000000000001</v>
      </c>
    </row>
    <row r="3206" spans="19:42" ht="18">
      <c r="S3206" s="8">
        <f t="shared" ref="S3206:S3269" si="265">CEILING(R3206/50,0.5)</f>
        <v>0</v>
      </c>
      <c r="W3206" s="3">
        <v>3232</v>
      </c>
      <c r="X3206" s="30">
        <v>195.93299999999999</v>
      </c>
      <c r="Y3206" s="33">
        <f t="shared" si="262"/>
        <v>0.19600000000000001</v>
      </c>
      <c r="AH3206" s="45">
        <f t="shared" ref="AH3206:AH3269" si="266">AE3206-AE3205</f>
        <v>0</v>
      </c>
      <c r="AJ3206" s="44">
        <f t="shared" si="263"/>
        <v>3.2320000000000002</v>
      </c>
      <c r="AP3206" s="46">
        <f t="shared" si="264"/>
        <v>0.19600000000000001</v>
      </c>
    </row>
    <row r="3207" spans="19:42" ht="18">
      <c r="S3207" s="8">
        <f t="shared" si="265"/>
        <v>0</v>
      </c>
      <c r="W3207" s="3">
        <v>3233</v>
      </c>
      <c r="X3207" s="30">
        <v>195.56700000000001</v>
      </c>
      <c r="Y3207" s="33">
        <f t="shared" si="262"/>
        <v>0.19600000000000001</v>
      </c>
      <c r="AH3207" s="45">
        <f t="shared" si="266"/>
        <v>0</v>
      </c>
      <c r="AJ3207" s="44">
        <f t="shared" si="263"/>
        <v>3.2330000000000001</v>
      </c>
      <c r="AP3207" s="46">
        <f t="shared" si="264"/>
        <v>0.19600000000000001</v>
      </c>
    </row>
    <row r="3208" spans="19:42" ht="18">
      <c r="S3208" s="8">
        <f t="shared" si="265"/>
        <v>0</v>
      </c>
      <c r="W3208" s="3">
        <v>3234</v>
      </c>
      <c r="X3208" s="30">
        <v>195.2</v>
      </c>
      <c r="Y3208" s="33">
        <f t="shared" si="262"/>
        <v>0.19500000000000001</v>
      </c>
      <c r="AH3208" s="45">
        <f t="shared" si="266"/>
        <v>0</v>
      </c>
      <c r="AJ3208" s="44">
        <f t="shared" si="263"/>
        <v>3.234</v>
      </c>
      <c r="AP3208" s="46">
        <f t="shared" si="264"/>
        <v>0.19500000000000001</v>
      </c>
    </row>
    <row r="3209" spans="19:42" ht="18">
      <c r="S3209" s="8">
        <f t="shared" si="265"/>
        <v>0</v>
      </c>
      <c r="W3209" s="3">
        <v>3235</v>
      </c>
      <c r="X3209" s="30">
        <v>194.833</v>
      </c>
      <c r="Y3209" s="33">
        <f t="shared" si="262"/>
        <v>0.19500000000000001</v>
      </c>
      <c r="AH3209" s="45">
        <f t="shared" si="266"/>
        <v>0</v>
      </c>
      <c r="AJ3209" s="44">
        <f t="shared" si="263"/>
        <v>3.2349999999999999</v>
      </c>
      <c r="AP3209" s="46">
        <f t="shared" si="264"/>
        <v>0.19500000000000001</v>
      </c>
    </row>
    <row r="3210" spans="19:42" ht="18">
      <c r="S3210" s="8">
        <f t="shared" si="265"/>
        <v>0</v>
      </c>
      <c r="W3210" s="3">
        <v>3236</v>
      </c>
      <c r="X3210" s="30">
        <v>194.46700000000001</v>
      </c>
      <c r="Y3210" s="33">
        <f t="shared" si="262"/>
        <v>0.19400000000000001</v>
      </c>
      <c r="AH3210" s="45">
        <f t="shared" si="266"/>
        <v>0</v>
      </c>
      <c r="AJ3210" s="44">
        <f t="shared" si="263"/>
        <v>3.2360000000000002</v>
      </c>
      <c r="AP3210" s="46">
        <f t="shared" si="264"/>
        <v>0.19400000000000001</v>
      </c>
    </row>
    <row r="3211" spans="19:42" ht="18">
      <c r="S3211" s="8">
        <f t="shared" si="265"/>
        <v>0</v>
      </c>
      <c r="W3211" s="3">
        <v>3237</v>
      </c>
      <c r="X3211" s="30">
        <v>194.1</v>
      </c>
      <c r="Y3211" s="33">
        <f t="shared" si="262"/>
        <v>0.19400000000000001</v>
      </c>
      <c r="AH3211" s="45">
        <f t="shared" si="266"/>
        <v>0</v>
      </c>
      <c r="AJ3211" s="44">
        <f t="shared" si="263"/>
        <v>3.2370000000000001</v>
      </c>
      <c r="AP3211" s="46">
        <f t="shared" si="264"/>
        <v>0.19400000000000001</v>
      </c>
    </row>
    <row r="3212" spans="19:42" ht="18">
      <c r="S3212" s="8">
        <f t="shared" si="265"/>
        <v>0</v>
      </c>
      <c r="W3212" s="3">
        <v>3238</v>
      </c>
      <c r="X3212" s="30">
        <v>193.733</v>
      </c>
      <c r="Y3212" s="33">
        <f t="shared" si="262"/>
        <v>0.19400000000000001</v>
      </c>
      <c r="AH3212" s="45">
        <f t="shared" si="266"/>
        <v>0</v>
      </c>
      <c r="AJ3212" s="44">
        <f t="shared" si="263"/>
        <v>3.238</v>
      </c>
      <c r="AP3212" s="46">
        <f t="shared" si="264"/>
        <v>0.19400000000000001</v>
      </c>
    </row>
    <row r="3213" spans="19:42" ht="18">
      <c r="S3213" s="8">
        <f t="shared" si="265"/>
        <v>0</v>
      </c>
      <c r="W3213" s="3">
        <v>3239</v>
      </c>
      <c r="X3213" s="30">
        <v>193.36699999999999</v>
      </c>
      <c r="Y3213" s="33">
        <f t="shared" si="262"/>
        <v>0.193</v>
      </c>
      <c r="AH3213" s="45">
        <f t="shared" si="266"/>
        <v>0</v>
      </c>
      <c r="AJ3213" s="44">
        <f t="shared" si="263"/>
        <v>3.2389999999999999</v>
      </c>
      <c r="AP3213" s="46">
        <f t="shared" si="264"/>
        <v>0.193</v>
      </c>
    </row>
    <row r="3214" spans="19:42" ht="18">
      <c r="S3214" s="8">
        <f t="shared" si="265"/>
        <v>0</v>
      </c>
      <c r="W3214" s="3">
        <v>3240</v>
      </c>
      <c r="X3214" s="30">
        <v>193</v>
      </c>
      <c r="Y3214" s="33">
        <f t="shared" si="262"/>
        <v>0.193</v>
      </c>
      <c r="AH3214" s="45">
        <f t="shared" si="266"/>
        <v>0</v>
      </c>
      <c r="AJ3214" s="44">
        <f t="shared" si="263"/>
        <v>3.24</v>
      </c>
      <c r="AP3214" s="46">
        <f t="shared" si="264"/>
        <v>0.193</v>
      </c>
    </row>
    <row r="3215" spans="19:42" ht="18">
      <c r="S3215" s="8">
        <f t="shared" si="265"/>
        <v>0</v>
      </c>
      <c r="W3215" s="3">
        <v>3241</v>
      </c>
      <c r="X3215" s="30">
        <v>193.029</v>
      </c>
      <c r="Y3215" s="33">
        <f t="shared" si="262"/>
        <v>0.193</v>
      </c>
      <c r="AH3215" s="45">
        <f t="shared" si="266"/>
        <v>0</v>
      </c>
      <c r="AJ3215" s="44">
        <f t="shared" si="263"/>
        <v>3.2410000000000001</v>
      </c>
      <c r="AP3215" s="46">
        <f t="shared" si="264"/>
        <v>0.193</v>
      </c>
    </row>
    <row r="3216" spans="19:42" ht="18">
      <c r="S3216" s="8">
        <f t="shared" si="265"/>
        <v>0</v>
      </c>
      <c r="W3216" s="3">
        <v>3242</v>
      </c>
      <c r="X3216" s="30">
        <v>193.05699999999999</v>
      </c>
      <c r="Y3216" s="33">
        <f t="shared" si="262"/>
        <v>0.193</v>
      </c>
      <c r="AH3216" s="45">
        <f t="shared" si="266"/>
        <v>0</v>
      </c>
      <c r="AJ3216" s="44">
        <f t="shared" si="263"/>
        <v>3.242</v>
      </c>
      <c r="AP3216" s="46">
        <f t="shared" si="264"/>
        <v>0.193</v>
      </c>
    </row>
    <row r="3217" spans="19:42" ht="18">
      <c r="S3217" s="8">
        <f t="shared" si="265"/>
        <v>0</v>
      </c>
      <c r="W3217" s="3">
        <v>3243</v>
      </c>
      <c r="X3217" s="30">
        <v>193.08600000000001</v>
      </c>
      <c r="Y3217" s="33">
        <f t="shared" si="262"/>
        <v>0.193</v>
      </c>
      <c r="AH3217" s="45">
        <f t="shared" si="266"/>
        <v>0</v>
      </c>
      <c r="AJ3217" s="44">
        <f t="shared" si="263"/>
        <v>3.2429999999999999</v>
      </c>
      <c r="AP3217" s="46">
        <f t="shared" si="264"/>
        <v>0.193</v>
      </c>
    </row>
    <row r="3218" spans="19:42" ht="18">
      <c r="S3218" s="8">
        <f t="shared" si="265"/>
        <v>0</v>
      </c>
      <c r="W3218" s="3">
        <v>3244</v>
      </c>
      <c r="X3218" s="30">
        <v>193.114</v>
      </c>
      <c r="Y3218" s="33">
        <f t="shared" si="262"/>
        <v>0.193</v>
      </c>
      <c r="AH3218" s="45">
        <f t="shared" si="266"/>
        <v>0</v>
      </c>
      <c r="AJ3218" s="44">
        <f t="shared" si="263"/>
        <v>3.2440000000000002</v>
      </c>
      <c r="AP3218" s="46">
        <f t="shared" si="264"/>
        <v>0.193</v>
      </c>
    </row>
    <row r="3219" spans="19:42" ht="18">
      <c r="S3219" s="8">
        <f t="shared" si="265"/>
        <v>0</v>
      </c>
      <c r="W3219" s="3">
        <v>3245</v>
      </c>
      <c r="X3219" s="30">
        <v>193.143</v>
      </c>
      <c r="Y3219" s="33">
        <f t="shared" si="262"/>
        <v>0.193</v>
      </c>
      <c r="AH3219" s="45">
        <f t="shared" si="266"/>
        <v>0</v>
      </c>
      <c r="AJ3219" s="44">
        <f t="shared" si="263"/>
        <v>3.2450000000000001</v>
      </c>
      <c r="AP3219" s="46">
        <f t="shared" si="264"/>
        <v>0.193</v>
      </c>
    </row>
    <row r="3220" spans="19:42" ht="18">
      <c r="S3220" s="8">
        <f t="shared" si="265"/>
        <v>0</v>
      </c>
      <c r="W3220" s="3">
        <v>3246</v>
      </c>
      <c r="X3220" s="30">
        <v>193.17099999999999</v>
      </c>
      <c r="Y3220" s="33">
        <f t="shared" si="262"/>
        <v>0.193</v>
      </c>
      <c r="AH3220" s="45">
        <f t="shared" si="266"/>
        <v>0</v>
      </c>
      <c r="AJ3220" s="44">
        <f t="shared" si="263"/>
        <v>3.246</v>
      </c>
      <c r="AP3220" s="46">
        <f t="shared" si="264"/>
        <v>0.193</v>
      </c>
    </row>
    <row r="3221" spans="19:42" ht="18">
      <c r="S3221" s="8">
        <f t="shared" si="265"/>
        <v>0</v>
      </c>
      <c r="W3221" s="3">
        <v>3247</v>
      </c>
      <c r="X3221" s="30">
        <v>193.2</v>
      </c>
      <c r="Y3221" s="33">
        <f t="shared" si="262"/>
        <v>0.193</v>
      </c>
      <c r="AH3221" s="45">
        <f t="shared" si="266"/>
        <v>0</v>
      </c>
      <c r="AJ3221" s="44">
        <f t="shared" si="263"/>
        <v>3.2469999999999999</v>
      </c>
      <c r="AP3221" s="46">
        <f t="shared" si="264"/>
        <v>0.193</v>
      </c>
    </row>
    <row r="3222" spans="19:42" ht="18">
      <c r="S3222" s="8">
        <f t="shared" si="265"/>
        <v>0</v>
      </c>
      <c r="W3222" s="3">
        <v>3248</v>
      </c>
      <c r="X3222" s="30">
        <v>193.22900000000001</v>
      </c>
      <c r="Y3222" s="33">
        <f t="shared" si="262"/>
        <v>0.193</v>
      </c>
      <c r="AH3222" s="45">
        <f t="shared" si="266"/>
        <v>0</v>
      </c>
      <c r="AJ3222" s="44">
        <f t="shared" si="263"/>
        <v>3.2480000000000002</v>
      </c>
      <c r="AP3222" s="46">
        <f t="shared" si="264"/>
        <v>0.193</v>
      </c>
    </row>
    <row r="3223" spans="19:42" ht="18">
      <c r="S3223" s="8">
        <f t="shared" si="265"/>
        <v>0</v>
      </c>
      <c r="W3223" s="3">
        <v>3249</v>
      </c>
      <c r="X3223" s="30">
        <v>193.25700000000001</v>
      </c>
      <c r="Y3223" s="33">
        <f t="shared" si="262"/>
        <v>0.193</v>
      </c>
      <c r="AH3223" s="45">
        <f t="shared" si="266"/>
        <v>0</v>
      </c>
      <c r="AJ3223" s="44">
        <f t="shared" si="263"/>
        <v>3.2490000000000001</v>
      </c>
      <c r="AP3223" s="46">
        <f t="shared" si="264"/>
        <v>0.193</v>
      </c>
    </row>
    <row r="3224" spans="19:42" ht="18">
      <c r="S3224" s="8">
        <f t="shared" si="265"/>
        <v>0</v>
      </c>
      <c r="W3224" s="3">
        <v>3250</v>
      </c>
      <c r="X3224" s="30">
        <v>193.286</v>
      </c>
      <c r="Y3224" s="33">
        <f t="shared" si="262"/>
        <v>0.193</v>
      </c>
      <c r="AH3224" s="45">
        <f t="shared" si="266"/>
        <v>0</v>
      </c>
      <c r="AJ3224" s="44">
        <f t="shared" si="263"/>
        <v>3.25</v>
      </c>
      <c r="AP3224" s="46">
        <f t="shared" si="264"/>
        <v>0.193</v>
      </c>
    </row>
    <row r="3225" spans="19:42" ht="18">
      <c r="S3225" s="8">
        <f t="shared" si="265"/>
        <v>0</v>
      </c>
      <c r="W3225" s="3">
        <v>3251</v>
      </c>
      <c r="X3225" s="30">
        <v>193.31399999999999</v>
      </c>
      <c r="Y3225" s="33">
        <f t="shared" si="262"/>
        <v>0.193</v>
      </c>
      <c r="AH3225" s="45">
        <f t="shared" si="266"/>
        <v>0</v>
      </c>
      <c r="AJ3225" s="44">
        <f t="shared" si="263"/>
        <v>3.2509999999999999</v>
      </c>
      <c r="AP3225" s="46">
        <f t="shared" si="264"/>
        <v>0.193</v>
      </c>
    </row>
    <row r="3226" spans="19:42" ht="18">
      <c r="S3226" s="8">
        <f t="shared" si="265"/>
        <v>0</v>
      </c>
      <c r="W3226" s="3">
        <v>3252</v>
      </c>
      <c r="X3226" s="30">
        <v>193.34299999999999</v>
      </c>
      <c r="Y3226" s="33">
        <f t="shared" si="262"/>
        <v>0.193</v>
      </c>
      <c r="AH3226" s="45">
        <f t="shared" si="266"/>
        <v>0</v>
      </c>
      <c r="AJ3226" s="44">
        <f t="shared" si="263"/>
        <v>3.2519999999999998</v>
      </c>
      <c r="AP3226" s="46">
        <f t="shared" si="264"/>
        <v>0.193</v>
      </c>
    </row>
    <row r="3227" spans="19:42" ht="18">
      <c r="S3227" s="8">
        <f t="shared" si="265"/>
        <v>0</v>
      </c>
      <c r="W3227" s="3">
        <v>3253</v>
      </c>
      <c r="X3227" s="30">
        <v>193.37100000000001</v>
      </c>
      <c r="Y3227" s="33">
        <f t="shared" si="262"/>
        <v>0.193</v>
      </c>
      <c r="AH3227" s="45">
        <f t="shared" si="266"/>
        <v>0</v>
      </c>
      <c r="AJ3227" s="44">
        <f t="shared" si="263"/>
        <v>3.2530000000000001</v>
      </c>
      <c r="AP3227" s="46">
        <f t="shared" si="264"/>
        <v>0.193</v>
      </c>
    </row>
    <row r="3228" spans="19:42" ht="18">
      <c r="S3228" s="8">
        <f t="shared" si="265"/>
        <v>0</v>
      </c>
      <c r="W3228" s="3">
        <v>3254</v>
      </c>
      <c r="X3228" s="30">
        <v>193.4</v>
      </c>
      <c r="Y3228" s="33">
        <f t="shared" si="262"/>
        <v>0.193</v>
      </c>
      <c r="AH3228" s="45">
        <f t="shared" si="266"/>
        <v>0</v>
      </c>
      <c r="AJ3228" s="44">
        <f t="shared" si="263"/>
        <v>3.254</v>
      </c>
      <c r="AP3228" s="46">
        <f t="shared" si="264"/>
        <v>0.193</v>
      </c>
    </row>
    <row r="3229" spans="19:42" ht="18">
      <c r="S3229" s="8">
        <f t="shared" si="265"/>
        <v>0</v>
      </c>
      <c r="W3229" s="3">
        <v>3255</v>
      </c>
      <c r="X3229" s="30">
        <v>193.429</v>
      </c>
      <c r="Y3229" s="33">
        <f t="shared" si="262"/>
        <v>0.193</v>
      </c>
      <c r="AH3229" s="45">
        <f t="shared" si="266"/>
        <v>0</v>
      </c>
      <c r="AJ3229" s="44">
        <f t="shared" si="263"/>
        <v>3.2549999999999999</v>
      </c>
      <c r="AP3229" s="46">
        <f t="shared" si="264"/>
        <v>0.193</v>
      </c>
    </row>
    <row r="3230" spans="19:42" ht="18">
      <c r="S3230" s="8">
        <f t="shared" si="265"/>
        <v>0</v>
      </c>
      <c r="W3230" s="3">
        <v>3256</v>
      </c>
      <c r="X3230" s="30">
        <v>193.45699999999999</v>
      </c>
      <c r="Y3230" s="33">
        <f t="shared" si="262"/>
        <v>0.193</v>
      </c>
      <c r="AH3230" s="45">
        <f t="shared" si="266"/>
        <v>0</v>
      </c>
      <c r="AJ3230" s="44">
        <f t="shared" si="263"/>
        <v>3.2559999999999998</v>
      </c>
      <c r="AP3230" s="46">
        <f t="shared" si="264"/>
        <v>0.193</v>
      </c>
    </row>
    <row r="3231" spans="19:42" ht="18">
      <c r="S3231" s="8">
        <f t="shared" si="265"/>
        <v>0</v>
      </c>
      <c r="W3231" s="3">
        <v>3257</v>
      </c>
      <c r="X3231" s="30">
        <v>193.48599999999999</v>
      </c>
      <c r="Y3231" s="33">
        <f t="shared" si="262"/>
        <v>0.193</v>
      </c>
      <c r="AH3231" s="45">
        <f t="shared" si="266"/>
        <v>0</v>
      </c>
      <c r="AJ3231" s="44">
        <f t="shared" si="263"/>
        <v>3.2570000000000001</v>
      </c>
      <c r="AP3231" s="46">
        <f t="shared" si="264"/>
        <v>0.193</v>
      </c>
    </row>
    <row r="3232" spans="19:42" ht="18">
      <c r="S3232" s="8">
        <f t="shared" si="265"/>
        <v>0</v>
      </c>
      <c r="W3232" s="3">
        <v>3258</v>
      </c>
      <c r="X3232" s="30">
        <v>193.51400000000001</v>
      </c>
      <c r="Y3232" s="33">
        <f t="shared" si="262"/>
        <v>0.19400000000000001</v>
      </c>
      <c r="AH3232" s="45">
        <f t="shared" si="266"/>
        <v>0</v>
      </c>
      <c r="AJ3232" s="44">
        <f t="shared" si="263"/>
        <v>3.258</v>
      </c>
      <c r="AP3232" s="46">
        <f t="shared" si="264"/>
        <v>0.19400000000000001</v>
      </c>
    </row>
    <row r="3233" spans="19:42" ht="18">
      <c r="S3233" s="8">
        <f t="shared" si="265"/>
        <v>0</v>
      </c>
      <c r="W3233" s="3">
        <v>3259</v>
      </c>
      <c r="X3233" s="30">
        <v>193.54300000000001</v>
      </c>
      <c r="Y3233" s="33">
        <f t="shared" si="262"/>
        <v>0.19400000000000001</v>
      </c>
      <c r="AH3233" s="45">
        <f t="shared" si="266"/>
        <v>0</v>
      </c>
      <c r="AJ3233" s="44">
        <f t="shared" si="263"/>
        <v>3.2589999999999999</v>
      </c>
      <c r="AP3233" s="46">
        <f t="shared" si="264"/>
        <v>0.19400000000000001</v>
      </c>
    </row>
    <row r="3234" spans="19:42" ht="18">
      <c r="S3234" s="8">
        <f t="shared" si="265"/>
        <v>0</v>
      </c>
      <c r="W3234" s="3">
        <v>3260</v>
      </c>
      <c r="X3234" s="30">
        <v>193.571</v>
      </c>
      <c r="Y3234" s="33">
        <f t="shared" si="262"/>
        <v>0.19400000000000001</v>
      </c>
      <c r="AH3234" s="45">
        <f t="shared" si="266"/>
        <v>0</v>
      </c>
      <c r="AJ3234" s="44">
        <f t="shared" si="263"/>
        <v>3.26</v>
      </c>
      <c r="AP3234" s="46">
        <f t="shared" si="264"/>
        <v>0.19400000000000001</v>
      </c>
    </row>
    <row r="3235" spans="19:42" ht="18">
      <c r="S3235" s="8">
        <f t="shared" si="265"/>
        <v>0</v>
      </c>
      <c r="W3235" s="3">
        <v>3261</v>
      </c>
      <c r="X3235" s="30">
        <v>193.6</v>
      </c>
      <c r="Y3235" s="33">
        <f t="shared" si="262"/>
        <v>0.19400000000000001</v>
      </c>
      <c r="AH3235" s="45">
        <f t="shared" si="266"/>
        <v>0</v>
      </c>
      <c r="AJ3235" s="44">
        <f t="shared" si="263"/>
        <v>3.2610000000000001</v>
      </c>
      <c r="AP3235" s="46">
        <f t="shared" si="264"/>
        <v>0.19400000000000001</v>
      </c>
    </row>
    <row r="3236" spans="19:42" ht="18">
      <c r="S3236" s="8">
        <f t="shared" si="265"/>
        <v>0</v>
      </c>
      <c r="W3236" s="3">
        <v>3262</v>
      </c>
      <c r="X3236" s="30">
        <v>193.62899999999999</v>
      </c>
      <c r="Y3236" s="33">
        <f t="shared" si="262"/>
        <v>0.19400000000000001</v>
      </c>
      <c r="AH3236" s="45">
        <f t="shared" si="266"/>
        <v>0</v>
      </c>
      <c r="AJ3236" s="44">
        <f t="shared" si="263"/>
        <v>3.262</v>
      </c>
      <c r="AP3236" s="46">
        <f t="shared" si="264"/>
        <v>0.19400000000000001</v>
      </c>
    </row>
    <row r="3237" spans="19:42" ht="18">
      <c r="S3237" s="8">
        <f t="shared" si="265"/>
        <v>0</v>
      </c>
      <c r="W3237" s="3">
        <v>3263</v>
      </c>
      <c r="X3237" s="30">
        <v>193.65700000000001</v>
      </c>
      <c r="Y3237" s="33">
        <f t="shared" si="262"/>
        <v>0.19400000000000001</v>
      </c>
      <c r="AH3237" s="45">
        <f t="shared" si="266"/>
        <v>0</v>
      </c>
      <c r="AJ3237" s="44">
        <f t="shared" si="263"/>
        <v>3.2629999999999999</v>
      </c>
      <c r="AP3237" s="46">
        <f t="shared" si="264"/>
        <v>0.19400000000000001</v>
      </c>
    </row>
    <row r="3238" spans="19:42" ht="18">
      <c r="S3238" s="8">
        <f t="shared" si="265"/>
        <v>0</v>
      </c>
      <c r="W3238" s="3">
        <v>3264</v>
      </c>
      <c r="X3238" s="30">
        <v>193.68600000000001</v>
      </c>
      <c r="Y3238" s="33">
        <f t="shared" si="262"/>
        <v>0.19400000000000001</v>
      </c>
      <c r="AH3238" s="45">
        <f t="shared" si="266"/>
        <v>0</v>
      </c>
      <c r="AJ3238" s="44">
        <f t="shared" si="263"/>
        <v>3.2639999999999998</v>
      </c>
      <c r="AP3238" s="46">
        <f t="shared" si="264"/>
        <v>0.19400000000000001</v>
      </c>
    </row>
    <row r="3239" spans="19:42" ht="18">
      <c r="S3239" s="8">
        <f t="shared" si="265"/>
        <v>0</v>
      </c>
      <c r="W3239" s="3">
        <v>3265</v>
      </c>
      <c r="X3239" s="30">
        <v>193.714</v>
      </c>
      <c r="Y3239" s="33">
        <f t="shared" si="262"/>
        <v>0.19400000000000001</v>
      </c>
      <c r="AH3239" s="45">
        <f t="shared" si="266"/>
        <v>0</v>
      </c>
      <c r="AJ3239" s="44">
        <f t="shared" si="263"/>
        <v>3.2650000000000001</v>
      </c>
      <c r="AP3239" s="46">
        <f t="shared" si="264"/>
        <v>0.19400000000000001</v>
      </c>
    </row>
    <row r="3240" spans="19:42" ht="18">
      <c r="S3240" s="8">
        <f t="shared" si="265"/>
        <v>0</v>
      </c>
      <c r="W3240" s="3">
        <v>3266</v>
      </c>
      <c r="X3240" s="30">
        <v>193.74299999999999</v>
      </c>
      <c r="Y3240" s="33">
        <f t="shared" si="262"/>
        <v>0.19400000000000001</v>
      </c>
      <c r="AH3240" s="45">
        <f t="shared" si="266"/>
        <v>0</v>
      </c>
      <c r="AJ3240" s="44">
        <f t="shared" si="263"/>
        <v>3.266</v>
      </c>
      <c r="AP3240" s="46">
        <f t="shared" si="264"/>
        <v>0.19400000000000001</v>
      </c>
    </row>
    <row r="3241" spans="19:42" ht="18">
      <c r="S3241" s="8">
        <f t="shared" si="265"/>
        <v>0</v>
      </c>
      <c r="W3241" s="3">
        <v>3267</v>
      </c>
      <c r="X3241" s="30">
        <v>193.77099999999999</v>
      </c>
      <c r="Y3241" s="33">
        <f t="shared" si="262"/>
        <v>0.19400000000000001</v>
      </c>
      <c r="AH3241" s="45">
        <f t="shared" si="266"/>
        <v>0</v>
      </c>
      <c r="AJ3241" s="44">
        <f t="shared" si="263"/>
        <v>3.2669999999999999</v>
      </c>
      <c r="AP3241" s="46">
        <f t="shared" si="264"/>
        <v>0.19400000000000001</v>
      </c>
    </row>
    <row r="3242" spans="19:42" ht="18">
      <c r="S3242" s="8">
        <f t="shared" si="265"/>
        <v>0</v>
      </c>
      <c r="W3242" s="3">
        <v>3268</v>
      </c>
      <c r="X3242" s="30">
        <v>193.8</v>
      </c>
      <c r="Y3242" s="33">
        <f t="shared" si="262"/>
        <v>0.19400000000000001</v>
      </c>
      <c r="AH3242" s="45">
        <f t="shared" si="266"/>
        <v>0</v>
      </c>
      <c r="AJ3242" s="44">
        <f t="shared" si="263"/>
        <v>3.2679999999999998</v>
      </c>
      <c r="AP3242" s="46">
        <f t="shared" si="264"/>
        <v>0.19400000000000001</v>
      </c>
    </row>
    <row r="3243" spans="19:42" ht="18">
      <c r="S3243" s="8">
        <f t="shared" si="265"/>
        <v>0</v>
      </c>
      <c r="W3243" s="3">
        <v>3269</v>
      </c>
      <c r="X3243" s="30">
        <v>193.82900000000001</v>
      </c>
      <c r="Y3243" s="33">
        <f t="shared" si="262"/>
        <v>0.19400000000000001</v>
      </c>
      <c r="AH3243" s="45">
        <f t="shared" si="266"/>
        <v>0</v>
      </c>
      <c r="AJ3243" s="44">
        <f t="shared" si="263"/>
        <v>3.2690000000000001</v>
      </c>
      <c r="AP3243" s="46">
        <f t="shared" si="264"/>
        <v>0.19400000000000001</v>
      </c>
    </row>
    <row r="3244" spans="19:42" ht="18">
      <c r="S3244" s="8">
        <f t="shared" si="265"/>
        <v>0</v>
      </c>
      <c r="W3244" s="3">
        <v>3270</v>
      </c>
      <c r="X3244" s="30">
        <v>193.857</v>
      </c>
      <c r="Y3244" s="33">
        <f t="shared" si="262"/>
        <v>0.19400000000000001</v>
      </c>
      <c r="AH3244" s="45">
        <f t="shared" si="266"/>
        <v>0</v>
      </c>
      <c r="AJ3244" s="44">
        <f t="shared" si="263"/>
        <v>3.27</v>
      </c>
      <c r="AP3244" s="46">
        <f t="shared" si="264"/>
        <v>0.19400000000000001</v>
      </c>
    </row>
    <row r="3245" spans="19:42" ht="18">
      <c r="S3245" s="8">
        <f t="shared" si="265"/>
        <v>0</v>
      </c>
      <c r="W3245" s="3">
        <v>3271</v>
      </c>
      <c r="X3245" s="30">
        <v>193.886</v>
      </c>
      <c r="Y3245" s="33">
        <f t="shared" si="262"/>
        <v>0.19400000000000001</v>
      </c>
      <c r="AH3245" s="45">
        <f t="shared" si="266"/>
        <v>0</v>
      </c>
      <c r="AJ3245" s="44">
        <f t="shared" si="263"/>
        <v>3.2709999999999999</v>
      </c>
      <c r="AP3245" s="46">
        <f t="shared" si="264"/>
        <v>0.19400000000000001</v>
      </c>
    </row>
    <row r="3246" spans="19:42" ht="18">
      <c r="S3246" s="8">
        <f t="shared" si="265"/>
        <v>0</v>
      </c>
      <c r="W3246" s="3">
        <v>3272</v>
      </c>
      <c r="X3246" s="30">
        <v>193.91399999999999</v>
      </c>
      <c r="Y3246" s="33">
        <f t="shared" si="262"/>
        <v>0.19400000000000001</v>
      </c>
      <c r="AH3246" s="45">
        <f t="shared" si="266"/>
        <v>0</v>
      </c>
      <c r="AJ3246" s="44">
        <f t="shared" si="263"/>
        <v>3.2719999999999998</v>
      </c>
      <c r="AP3246" s="46">
        <f t="shared" si="264"/>
        <v>0.19400000000000001</v>
      </c>
    </row>
    <row r="3247" spans="19:42" ht="18">
      <c r="S3247" s="8">
        <f t="shared" si="265"/>
        <v>0</v>
      </c>
      <c r="W3247" s="3">
        <v>3273</v>
      </c>
      <c r="X3247" s="30">
        <v>193.94300000000001</v>
      </c>
      <c r="Y3247" s="33">
        <f t="shared" si="262"/>
        <v>0.19400000000000001</v>
      </c>
      <c r="AH3247" s="45">
        <f t="shared" si="266"/>
        <v>0</v>
      </c>
      <c r="AJ3247" s="44">
        <f t="shared" si="263"/>
        <v>3.2730000000000001</v>
      </c>
      <c r="AP3247" s="46">
        <f t="shared" si="264"/>
        <v>0.19400000000000001</v>
      </c>
    </row>
    <row r="3248" spans="19:42" ht="18">
      <c r="S3248" s="8">
        <f t="shared" si="265"/>
        <v>0</v>
      </c>
      <c r="W3248" s="3">
        <v>3274</v>
      </c>
      <c r="X3248" s="30">
        <v>193.971</v>
      </c>
      <c r="Y3248" s="33">
        <f t="shared" si="262"/>
        <v>0.19400000000000001</v>
      </c>
      <c r="AH3248" s="45">
        <f t="shared" si="266"/>
        <v>0</v>
      </c>
      <c r="AJ3248" s="44">
        <f t="shared" si="263"/>
        <v>3.274</v>
      </c>
      <c r="AP3248" s="46">
        <f t="shared" si="264"/>
        <v>0.19400000000000001</v>
      </c>
    </row>
    <row r="3249" spans="19:42" ht="18">
      <c r="S3249" s="8">
        <f t="shared" si="265"/>
        <v>0</v>
      </c>
      <c r="W3249" s="3">
        <v>3275</v>
      </c>
      <c r="X3249" s="30">
        <v>194</v>
      </c>
      <c r="Y3249" s="33">
        <f t="shared" si="262"/>
        <v>0.19400000000000001</v>
      </c>
      <c r="AH3249" s="45">
        <f t="shared" si="266"/>
        <v>0</v>
      </c>
      <c r="AJ3249" s="44">
        <f t="shared" si="263"/>
        <v>3.2749999999999999</v>
      </c>
      <c r="AP3249" s="46">
        <f t="shared" si="264"/>
        <v>0.19400000000000001</v>
      </c>
    </row>
    <row r="3250" spans="19:42" ht="18">
      <c r="S3250" s="8">
        <f t="shared" si="265"/>
        <v>0</v>
      </c>
      <c r="W3250" s="3">
        <v>3276</v>
      </c>
      <c r="X3250" s="30">
        <v>194.029</v>
      </c>
      <c r="Y3250" s="33">
        <f t="shared" si="262"/>
        <v>0.19400000000000001</v>
      </c>
      <c r="AH3250" s="45">
        <f t="shared" si="266"/>
        <v>0</v>
      </c>
      <c r="AJ3250" s="44">
        <f t="shared" si="263"/>
        <v>3.2759999999999998</v>
      </c>
      <c r="AP3250" s="46">
        <f t="shared" si="264"/>
        <v>0.19400000000000001</v>
      </c>
    </row>
    <row r="3251" spans="19:42" ht="18">
      <c r="S3251" s="8">
        <f t="shared" si="265"/>
        <v>0</v>
      </c>
      <c r="W3251" s="3">
        <v>3277</v>
      </c>
      <c r="X3251" s="30">
        <v>194.05699999999999</v>
      </c>
      <c r="Y3251" s="33">
        <f t="shared" si="262"/>
        <v>0.19400000000000001</v>
      </c>
      <c r="AH3251" s="45">
        <f t="shared" si="266"/>
        <v>0</v>
      </c>
      <c r="AJ3251" s="44">
        <f t="shared" si="263"/>
        <v>3.2770000000000001</v>
      </c>
      <c r="AP3251" s="46">
        <f t="shared" si="264"/>
        <v>0.19400000000000001</v>
      </c>
    </row>
    <row r="3252" spans="19:42" ht="18">
      <c r="S3252" s="8">
        <f t="shared" si="265"/>
        <v>0</v>
      </c>
      <c r="W3252" s="3">
        <v>3278</v>
      </c>
      <c r="X3252" s="30">
        <v>194.08600000000001</v>
      </c>
      <c r="Y3252" s="33">
        <f t="shared" si="262"/>
        <v>0.19400000000000001</v>
      </c>
      <c r="AH3252" s="45">
        <f t="shared" si="266"/>
        <v>0</v>
      </c>
      <c r="AJ3252" s="44">
        <f t="shared" si="263"/>
        <v>3.278</v>
      </c>
      <c r="AP3252" s="46">
        <f t="shared" si="264"/>
        <v>0.19400000000000001</v>
      </c>
    </row>
    <row r="3253" spans="19:42" ht="18">
      <c r="S3253" s="8">
        <f t="shared" si="265"/>
        <v>0</v>
      </c>
      <c r="W3253" s="3">
        <v>3279</v>
      </c>
      <c r="X3253" s="30">
        <v>194.114</v>
      </c>
      <c r="Y3253" s="33">
        <f t="shared" si="262"/>
        <v>0.19400000000000001</v>
      </c>
      <c r="AH3253" s="45">
        <f t="shared" si="266"/>
        <v>0</v>
      </c>
      <c r="AJ3253" s="44">
        <f t="shared" si="263"/>
        <v>3.2789999999999999</v>
      </c>
      <c r="AP3253" s="46">
        <f t="shared" si="264"/>
        <v>0.19400000000000001</v>
      </c>
    </row>
    <row r="3254" spans="19:42" ht="18">
      <c r="S3254" s="8">
        <f t="shared" si="265"/>
        <v>0</v>
      </c>
      <c r="W3254" s="3">
        <v>3280</v>
      </c>
      <c r="X3254" s="30">
        <v>194.143</v>
      </c>
      <c r="Y3254" s="33">
        <f t="shared" si="262"/>
        <v>0.19400000000000001</v>
      </c>
      <c r="AH3254" s="45">
        <f t="shared" si="266"/>
        <v>0</v>
      </c>
      <c r="AJ3254" s="44">
        <f t="shared" si="263"/>
        <v>3.28</v>
      </c>
      <c r="AP3254" s="46">
        <f t="shared" si="264"/>
        <v>0.19400000000000001</v>
      </c>
    </row>
    <row r="3255" spans="19:42" ht="18">
      <c r="S3255" s="8">
        <f t="shared" si="265"/>
        <v>0</v>
      </c>
      <c r="W3255" s="3">
        <v>3281</v>
      </c>
      <c r="X3255" s="30">
        <v>194.17099999999999</v>
      </c>
      <c r="Y3255" s="33">
        <f t="shared" si="262"/>
        <v>0.19400000000000001</v>
      </c>
      <c r="AH3255" s="45">
        <f t="shared" si="266"/>
        <v>0</v>
      </c>
      <c r="AJ3255" s="44">
        <f t="shared" si="263"/>
        <v>3.2810000000000001</v>
      </c>
      <c r="AP3255" s="46">
        <f t="shared" si="264"/>
        <v>0.19400000000000001</v>
      </c>
    </row>
    <row r="3256" spans="19:42" ht="18">
      <c r="S3256" s="8">
        <f t="shared" si="265"/>
        <v>0</v>
      </c>
      <c r="W3256" s="3">
        <v>3282</v>
      </c>
      <c r="X3256" s="30">
        <v>194.2</v>
      </c>
      <c r="Y3256" s="33">
        <f t="shared" si="262"/>
        <v>0.19400000000000001</v>
      </c>
      <c r="AH3256" s="45">
        <f t="shared" si="266"/>
        <v>0</v>
      </c>
      <c r="AJ3256" s="44">
        <f t="shared" si="263"/>
        <v>3.282</v>
      </c>
      <c r="AP3256" s="46">
        <f t="shared" si="264"/>
        <v>0.19400000000000001</v>
      </c>
    </row>
    <row r="3257" spans="19:42" ht="18">
      <c r="S3257" s="8">
        <f t="shared" si="265"/>
        <v>0</v>
      </c>
      <c r="W3257" s="3">
        <v>3283</v>
      </c>
      <c r="X3257" s="30">
        <v>194.22900000000001</v>
      </c>
      <c r="Y3257" s="33">
        <f t="shared" si="262"/>
        <v>0.19400000000000001</v>
      </c>
      <c r="AH3257" s="45">
        <f t="shared" si="266"/>
        <v>0</v>
      </c>
      <c r="AJ3257" s="44">
        <f t="shared" si="263"/>
        <v>3.2829999999999999</v>
      </c>
      <c r="AP3257" s="46">
        <f t="shared" si="264"/>
        <v>0.19400000000000001</v>
      </c>
    </row>
    <row r="3258" spans="19:42" ht="18">
      <c r="S3258" s="8">
        <f t="shared" si="265"/>
        <v>0</v>
      </c>
      <c r="W3258" s="3">
        <v>3284</v>
      </c>
      <c r="X3258" s="30">
        <v>194.25700000000001</v>
      </c>
      <c r="Y3258" s="33">
        <f t="shared" si="262"/>
        <v>0.19400000000000001</v>
      </c>
      <c r="AH3258" s="45">
        <f t="shared" si="266"/>
        <v>0</v>
      </c>
      <c r="AJ3258" s="44">
        <f t="shared" si="263"/>
        <v>3.2839999999999998</v>
      </c>
      <c r="AP3258" s="46">
        <f t="shared" si="264"/>
        <v>0.19400000000000001</v>
      </c>
    </row>
    <row r="3259" spans="19:42" ht="18">
      <c r="S3259" s="8">
        <f t="shared" si="265"/>
        <v>0</v>
      </c>
      <c r="W3259" s="3">
        <v>3285</v>
      </c>
      <c r="X3259" s="30">
        <v>194.286</v>
      </c>
      <c r="Y3259" s="33">
        <f t="shared" si="262"/>
        <v>0.19400000000000001</v>
      </c>
      <c r="AH3259" s="45">
        <f t="shared" si="266"/>
        <v>0</v>
      </c>
      <c r="AJ3259" s="44">
        <f t="shared" si="263"/>
        <v>3.2850000000000001</v>
      </c>
      <c r="AP3259" s="46">
        <f t="shared" si="264"/>
        <v>0.19400000000000001</v>
      </c>
    </row>
    <row r="3260" spans="19:42" ht="18">
      <c r="S3260" s="8">
        <f t="shared" si="265"/>
        <v>0</v>
      </c>
      <c r="W3260" s="3">
        <v>3286</v>
      </c>
      <c r="X3260" s="30">
        <v>194.31399999999999</v>
      </c>
      <c r="Y3260" s="33">
        <f t="shared" si="262"/>
        <v>0.19400000000000001</v>
      </c>
      <c r="AH3260" s="45">
        <f t="shared" si="266"/>
        <v>0</v>
      </c>
      <c r="AJ3260" s="44">
        <f t="shared" si="263"/>
        <v>3.286</v>
      </c>
      <c r="AP3260" s="46">
        <f t="shared" si="264"/>
        <v>0.19400000000000001</v>
      </c>
    </row>
    <row r="3261" spans="19:42" ht="18">
      <c r="S3261" s="8">
        <f t="shared" si="265"/>
        <v>0</v>
      </c>
      <c r="W3261" s="3">
        <v>3287</v>
      </c>
      <c r="X3261" s="30">
        <v>194.34299999999999</v>
      </c>
      <c r="Y3261" s="33">
        <f t="shared" si="262"/>
        <v>0.19400000000000001</v>
      </c>
      <c r="AH3261" s="45">
        <f t="shared" si="266"/>
        <v>0</v>
      </c>
      <c r="AJ3261" s="44">
        <f t="shared" si="263"/>
        <v>3.2869999999999999</v>
      </c>
      <c r="AP3261" s="46">
        <f t="shared" si="264"/>
        <v>0.19400000000000001</v>
      </c>
    </row>
    <row r="3262" spans="19:42" ht="18">
      <c r="S3262" s="8">
        <f t="shared" si="265"/>
        <v>0</v>
      </c>
      <c r="W3262" s="3">
        <v>3288</v>
      </c>
      <c r="X3262" s="30">
        <v>194.37100000000001</v>
      </c>
      <c r="Y3262" s="33">
        <f t="shared" si="262"/>
        <v>0.19400000000000001</v>
      </c>
      <c r="AH3262" s="45">
        <f t="shared" si="266"/>
        <v>0</v>
      </c>
      <c r="AJ3262" s="44">
        <f t="shared" si="263"/>
        <v>3.2879999999999998</v>
      </c>
      <c r="AP3262" s="46">
        <f t="shared" si="264"/>
        <v>0.19400000000000001</v>
      </c>
    </row>
    <row r="3263" spans="19:42" ht="18">
      <c r="S3263" s="8">
        <f t="shared" si="265"/>
        <v>0</v>
      </c>
      <c r="W3263" s="3">
        <v>3289</v>
      </c>
      <c r="X3263" s="30">
        <v>194.4</v>
      </c>
      <c r="Y3263" s="33">
        <f t="shared" si="262"/>
        <v>0.19400000000000001</v>
      </c>
      <c r="AH3263" s="45">
        <f t="shared" si="266"/>
        <v>0</v>
      </c>
      <c r="AJ3263" s="44">
        <f t="shared" si="263"/>
        <v>3.2890000000000001</v>
      </c>
      <c r="AP3263" s="46">
        <f t="shared" si="264"/>
        <v>0.19400000000000001</v>
      </c>
    </row>
    <row r="3264" spans="19:42" ht="18">
      <c r="S3264" s="8">
        <f t="shared" si="265"/>
        <v>0</v>
      </c>
      <c r="W3264" s="3">
        <v>3290</v>
      </c>
      <c r="X3264" s="30">
        <v>194.429</v>
      </c>
      <c r="Y3264" s="33">
        <f t="shared" si="262"/>
        <v>0.19400000000000001</v>
      </c>
      <c r="AH3264" s="45">
        <f t="shared" si="266"/>
        <v>0</v>
      </c>
      <c r="AJ3264" s="44">
        <f t="shared" si="263"/>
        <v>3.29</v>
      </c>
      <c r="AP3264" s="46">
        <f t="shared" si="264"/>
        <v>0.19400000000000001</v>
      </c>
    </row>
    <row r="3265" spans="19:42" ht="18">
      <c r="S3265" s="8">
        <f t="shared" si="265"/>
        <v>0</v>
      </c>
      <c r="W3265" s="3">
        <v>3291</v>
      </c>
      <c r="X3265" s="30">
        <v>194.45699999999999</v>
      </c>
      <c r="Y3265" s="33">
        <f t="shared" si="262"/>
        <v>0.19400000000000001</v>
      </c>
      <c r="AH3265" s="45">
        <f t="shared" si="266"/>
        <v>0</v>
      </c>
      <c r="AJ3265" s="44">
        <f t="shared" si="263"/>
        <v>3.2909999999999999</v>
      </c>
      <c r="AP3265" s="46">
        <f t="shared" si="264"/>
        <v>0.19400000000000001</v>
      </c>
    </row>
    <row r="3266" spans="19:42" ht="18">
      <c r="S3266" s="8">
        <f t="shared" si="265"/>
        <v>0</v>
      </c>
      <c r="W3266" s="3">
        <v>3292</v>
      </c>
      <c r="X3266" s="30">
        <v>194.48599999999999</v>
      </c>
      <c r="Y3266" s="33">
        <f t="shared" si="262"/>
        <v>0.19400000000000001</v>
      </c>
      <c r="AH3266" s="45">
        <f t="shared" si="266"/>
        <v>0</v>
      </c>
      <c r="AJ3266" s="44">
        <f t="shared" si="263"/>
        <v>3.2919999999999998</v>
      </c>
      <c r="AP3266" s="46">
        <f t="shared" si="264"/>
        <v>0.19400000000000001</v>
      </c>
    </row>
    <row r="3267" spans="19:42" ht="18">
      <c r="S3267" s="8">
        <f t="shared" si="265"/>
        <v>0</v>
      </c>
      <c r="W3267" s="3">
        <v>3293</v>
      </c>
      <c r="X3267" s="30">
        <v>194.51400000000001</v>
      </c>
      <c r="Y3267" s="33">
        <f t="shared" si="262"/>
        <v>0.19500000000000001</v>
      </c>
      <c r="AH3267" s="45">
        <f t="shared" si="266"/>
        <v>0</v>
      </c>
      <c r="AJ3267" s="44">
        <f t="shared" si="263"/>
        <v>3.2930000000000001</v>
      </c>
      <c r="AP3267" s="46">
        <f t="shared" si="264"/>
        <v>0.19500000000000001</v>
      </c>
    </row>
    <row r="3268" spans="19:42" ht="18">
      <c r="S3268" s="8">
        <f t="shared" si="265"/>
        <v>0</v>
      </c>
      <c r="W3268" s="3">
        <v>3294</v>
      </c>
      <c r="X3268" s="30">
        <v>194.54300000000001</v>
      </c>
      <c r="Y3268" s="33">
        <f t="shared" si="262"/>
        <v>0.19500000000000001</v>
      </c>
      <c r="AH3268" s="45">
        <f t="shared" si="266"/>
        <v>0</v>
      </c>
      <c r="AJ3268" s="44">
        <f t="shared" si="263"/>
        <v>3.294</v>
      </c>
      <c r="AP3268" s="46">
        <f t="shared" si="264"/>
        <v>0.19500000000000001</v>
      </c>
    </row>
    <row r="3269" spans="19:42" ht="18">
      <c r="S3269" s="8">
        <f t="shared" si="265"/>
        <v>0</v>
      </c>
      <c r="W3269" s="3">
        <v>3295</v>
      </c>
      <c r="X3269" s="30">
        <v>194.571</v>
      </c>
      <c r="Y3269" s="33">
        <f t="shared" ref="Y3269:Y3332" si="267">ROUND(X3269/1000,3)</f>
        <v>0.19500000000000001</v>
      </c>
      <c r="AH3269" s="45">
        <f t="shared" si="266"/>
        <v>0</v>
      </c>
      <c r="AJ3269" s="44">
        <f t="shared" ref="AJ3269:AJ3284" si="268">ROUND(W3269/1000,3)</f>
        <v>3.2949999999999999</v>
      </c>
      <c r="AP3269" s="46">
        <f t="shared" ref="AP3269:AP3284" si="269">ROUND(X3269/1000,3)</f>
        <v>0.19500000000000001</v>
      </c>
    </row>
    <row r="3270" spans="19:42" ht="18">
      <c r="S3270" s="8">
        <f t="shared" ref="S3270:S3333" si="270">CEILING(R3270/50,0.5)</f>
        <v>0</v>
      </c>
      <c r="W3270" s="3">
        <v>3296</v>
      </c>
      <c r="X3270" s="30">
        <v>194.6</v>
      </c>
      <c r="Y3270" s="33">
        <f t="shared" si="267"/>
        <v>0.19500000000000001</v>
      </c>
      <c r="AH3270" s="45">
        <f t="shared" ref="AH3270:AH3284" si="271">AE3270-AE3269</f>
        <v>0</v>
      </c>
      <c r="AJ3270" s="44">
        <f t="shared" si="268"/>
        <v>3.2959999999999998</v>
      </c>
      <c r="AP3270" s="46">
        <f t="shared" si="269"/>
        <v>0.19500000000000001</v>
      </c>
    </row>
    <row r="3271" spans="19:42" ht="18">
      <c r="S3271" s="8">
        <f t="shared" si="270"/>
        <v>0</v>
      </c>
      <c r="W3271" s="3">
        <v>3297</v>
      </c>
      <c r="X3271" s="30">
        <v>194.62899999999999</v>
      </c>
      <c r="Y3271" s="33">
        <f t="shared" si="267"/>
        <v>0.19500000000000001</v>
      </c>
      <c r="AH3271" s="45">
        <f t="shared" si="271"/>
        <v>0</v>
      </c>
      <c r="AJ3271" s="44">
        <f t="shared" si="268"/>
        <v>3.2970000000000002</v>
      </c>
      <c r="AP3271" s="46">
        <f t="shared" si="269"/>
        <v>0.19500000000000001</v>
      </c>
    </row>
    <row r="3272" spans="19:42" ht="18">
      <c r="S3272" s="8">
        <f t="shared" si="270"/>
        <v>0</v>
      </c>
      <c r="W3272" s="3">
        <v>3298</v>
      </c>
      <c r="X3272" s="30">
        <v>194.65700000000001</v>
      </c>
      <c r="Y3272" s="33">
        <f t="shared" si="267"/>
        <v>0.19500000000000001</v>
      </c>
      <c r="AH3272" s="45">
        <f t="shared" si="271"/>
        <v>0</v>
      </c>
      <c r="AJ3272" s="44">
        <f t="shared" si="268"/>
        <v>3.298</v>
      </c>
      <c r="AP3272" s="46">
        <f t="shared" si="269"/>
        <v>0.19500000000000001</v>
      </c>
    </row>
    <row r="3273" spans="19:42" ht="18">
      <c r="S3273" s="8">
        <f t="shared" si="270"/>
        <v>0</v>
      </c>
      <c r="W3273" s="3">
        <v>3299</v>
      </c>
      <c r="X3273" s="30">
        <v>194.68600000000001</v>
      </c>
      <c r="Y3273" s="33">
        <f t="shared" si="267"/>
        <v>0.19500000000000001</v>
      </c>
      <c r="AH3273" s="45">
        <f t="shared" si="271"/>
        <v>0</v>
      </c>
      <c r="AJ3273" s="44">
        <f t="shared" si="268"/>
        <v>3.2989999999999999</v>
      </c>
      <c r="AP3273" s="46">
        <f t="shared" si="269"/>
        <v>0.19500000000000001</v>
      </c>
    </row>
    <row r="3274" spans="19:42" ht="18">
      <c r="S3274" s="8">
        <f t="shared" si="270"/>
        <v>0</v>
      </c>
      <c r="W3274" s="3">
        <v>3300</v>
      </c>
      <c r="X3274" s="30">
        <v>194.714</v>
      </c>
      <c r="Y3274" s="33">
        <f t="shared" si="267"/>
        <v>0.19500000000000001</v>
      </c>
      <c r="AH3274" s="45">
        <f t="shared" si="271"/>
        <v>0</v>
      </c>
      <c r="AJ3274" s="44">
        <f t="shared" si="268"/>
        <v>3.3</v>
      </c>
      <c r="AP3274" s="46">
        <f t="shared" si="269"/>
        <v>0.19500000000000001</v>
      </c>
    </row>
    <row r="3275" spans="19:42" ht="18">
      <c r="S3275" s="8">
        <f t="shared" si="270"/>
        <v>0</v>
      </c>
      <c r="W3275" s="3">
        <v>3301</v>
      </c>
      <c r="X3275" s="30">
        <v>194.74299999999999</v>
      </c>
      <c r="Y3275" s="33">
        <f t="shared" si="267"/>
        <v>0.19500000000000001</v>
      </c>
      <c r="AH3275" s="45">
        <f t="shared" si="271"/>
        <v>0</v>
      </c>
      <c r="AJ3275" s="44">
        <f t="shared" si="268"/>
        <v>3.3010000000000002</v>
      </c>
      <c r="AP3275" s="46">
        <f t="shared" si="269"/>
        <v>0.19500000000000001</v>
      </c>
    </row>
    <row r="3276" spans="19:42" ht="18">
      <c r="S3276" s="8">
        <f t="shared" si="270"/>
        <v>0</v>
      </c>
      <c r="W3276" s="3">
        <v>3302</v>
      </c>
      <c r="X3276" s="30">
        <v>194.77099999999999</v>
      </c>
      <c r="Y3276" s="33">
        <f t="shared" si="267"/>
        <v>0.19500000000000001</v>
      </c>
      <c r="AH3276" s="45">
        <f t="shared" si="271"/>
        <v>0</v>
      </c>
      <c r="AJ3276" s="44">
        <f t="shared" si="268"/>
        <v>3.302</v>
      </c>
      <c r="AP3276" s="46">
        <f t="shared" si="269"/>
        <v>0.19500000000000001</v>
      </c>
    </row>
    <row r="3277" spans="19:42" ht="18">
      <c r="S3277" s="8">
        <f t="shared" si="270"/>
        <v>0</v>
      </c>
      <c r="W3277" s="3">
        <v>3303</v>
      </c>
      <c r="X3277" s="30">
        <v>194.8</v>
      </c>
      <c r="Y3277" s="33">
        <f t="shared" si="267"/>
        <v>0.19500000000000001</v>
      </c>
      <c r="AH3277" s="45">
        <f t="shared" si="271"/>
        <v>0</v>
      </c>
      <c r="AJ3277" s="44">
        <f t="shared" si="268"/>
        <v>3.3029999999999999</v>
      </c>
      <c r="AP3277" s="46">
        <f t="shared" si="269"/>
        <v>0.19500000000000001</v>
      </c>
    </row>
    <row r="3278" spans="19:42" ht="18">
      <c r="S3278" s="8">
        <f t="shared" si="270"/>
        <v>0</v>
      </c>
      <c r="W3278" s="3">
        <v>3304</v>
      </c>
      <c r="X3278" s="30">
        <v>194.82900000000001</v>
      </c>
      <c r="Y3278" s="33">
        <f t="shared" si="267"/>
        <v>0.19500000000000001</v>
      </c>
      <c r="AH3278" s="45">
        <f t="shared" si="271"/>
        <v>0</v>
      </c>
      <c r="AJ3278" s="44">
        <f t="shared" si="268"/>
        <v>3.3039999999999998</v>
      </c>
      <c r="AP3278" s="46">
        <f t="shared" si="269"/>
        <v>0.19500000000000001</v>
      </c>
    </row>
    <row r="3279" spans="19:42" ht="18">
      <c r="S3279" s="8">
        <f t="shared" si="270"/>
        <v>0</v>
      </c>
      <c r="W3279" s="3">
        <v>3305</v>
      </c>
      <c r="X3279" s="30">
        <v>194.857</v>
      </c>
      <c r="Y3279" s="33">
        <f t="shared" si="267"/>
        <v>0.19500000000000001</v>
      </c>
      <c r="AH3279" s="45">
        <f t="shared" si="271"/>
        <v>0</v>
      </c>
      <c r="AJ3279" s="44">
        <f t="shared" si="268"/>
        <v>3.3050000000000002</v>
      </c>
      <c r="AP3279" s="46">
        <f t="shared" si="269"/>
        <v>0.19500000000000001</v>
      </c>
    </row>
    <row r="3280" spans="19:42" ht="18">
      <c r="S3280" s="8">
        <f t="shared" si="270"/>
        <v>0</v>
      </c>
      <c r="W3280" s="3">
        <v>3306</v>
      </c>
      <c r="X3280" s="30">
        <v>194.886</v>
      </c>
      <c r="Y3280" s="33">
        <f t="shared" si="267"/>
        <v>0.19500000000000001</v>
      </c>
      <c r="AH3280" s="45">
        <f t="shared" si="271"/>
        <v>0</v>
      </c>
      <c r="AJ3280" s="44">
        <f t="shared" si="268"/>
        <v>3.306</v>
      </c>
      <c r="AP3280" s="46">
        <f t="shared" si="269"/>
        <v>0.19500000000000001</v>
      </c>
    </row>
    <row r="3281" spans="19:42" ht="18">
      <c r="S3281" s="8">
        <f t="shared" si="270"/>
        <v>0</v>
      </c>
      <c r="W3281" s="3">
        <v>3307</v>
      </c>
      <c r="X3281" s="30">
        <v>194.91399999999999</v>
      </c>
      <c r="Y3281" s="33">
        <f t="shared" si="267"/>
        <v>0.19500000000000001</v>
      </c>
      <c r="AH3281" s="45">
        <f t="shared" si="271"/>
        <v>0</v>
      </c>
      <c r="AJ3281" s="44">
        <f t="shared" si="268"/>
        <v>3.3069999999999999</v>
      </c>
      <c r="AP3281" s="46">
        <f t="shared" si="269"/>
        <v>0.19500000000000001</v>
      </c>
    </row>
    <row r="3282" spans="19:42" ht="18">
      <c r="S3282" s="8">
        <f t="shared" si="270"/>
        <v>0</v>
      </c>
      <c r="W3282" s="3">
        <v>3308</v>
      </c>
      <c r="X3282" s="30">
        <v>194.94300000000001</v>
      </c>
      <c r="Y3282" s="33">
        <f t="shared" si="267"/>
        <v>0.19500000000000001</v>
      </c>
      <c r="AH3282" s="45">
        <f t="shared" si="271"/>
        <v>0</v>
      </c>
      <c r="AJ3282" s="44">
        <f t="shared" si="268"/>
        <v>3.3079999999999998</v>
      </c>
      <c r="AP3282" s="46">
        <f t="shared" si="269"/>
        <v>0.19500000000000001</v>
      </c>
    </row>
    <row r="3283" spans="19:42" ht="18">
      <c r="S3283" s="8">
        <f t="shared" si="270"/>
        <v>0</v>
      </c>
      <c r="W3283" s="3">
        <v>3309</v>
      </c>
      <c r="X3283" s="30">
        <v>194.971</v>
      </c>
      <c r="Y3283" s="33">
        <f t="shared" si="267"/>
        <v>0.19500000000000001</v>
      </c>
      <c r="AH3283" s="45">
        <f t="shared" si="271"/>
        <v>0</v>
      </c>
      <c r="AJ3283" s="44">
        <f t="shared" si="268"/>
        <v>3.3090000000000002</v>
      </c>
      <c r="AP3283" s="46">
        <f t="shared" si="269"/>
        <v>0.19500000000000001</v>
      </c>
    </row>
    <row r="3284" spans="19:42" ht="18">
      <c r="S3284" s="8">
        <f t="shared" si="270"/>
        <v>0</v>
      </c>
      <c r="W3284" s="3">
        <v>3310</v>
      </c>
      <c r="X3284" s="30">
        <v>195</v>
      </c>
      <c r="Y3284" s="33">
        <f t="shared" si="267"/>
        <v>0.19500000000000001</v>
      </c>
      <c r="AH3284" s="45">
        <f t="shared" si="271"/>
        <v>0</v>
      </c>
      <c r="AJ3284" s="44">
        <f t="shared" si="268"/>
        <v>3.31</v>
      </c>
      <c r="AP3284" s="46">
        <f t="shared" si="269"/>
        <v>0.19500000000000001</v>
      </c>
    </row>
    <row r="3285" spans="19:42">
      <c r="S3285" s="8">
        <f t="shared" si="270"/>
        <v>0</v>
      </c>
      <c r="Y3285" s="33">
        <f t="shared" si="267"/>
        <v>0</v>
      </c>
    </row>
    <row r="3286" spans="19:42">
      <c r="S3286" s="8">
        <f t="shared" si="270"/>
        <v>0</v>
      </c>
      <c r="Y3286" s="33">
        <f t="shared" si="267"/>
        <v>0</v>
      </c>
    </row>
    <row r="3287" spans="19:42">
      <c r="S3287" s="8">
        <f t="shared" si="270"/>
        <v>0</v>
      </c>
      <c r="Y3287" s="33">
        <f t="shared" si="267"/>
        <v>0</v>
      </c>
    </row>
    <row r="3288" spans="19:42">
      <c r="S3288" s="8">
        <f t="shared" si="270"/>
        <v>0</v>
      </c>
      <c r="Y3288" s="33">
        <f t="shared" si="267"/>
        <v>0</v>
      </c>
    </row>
    <row r="3289" spans="19:42">
      <c r="S3289" s="8">
        <f t="shared" si="270"/>
        <v>0</v>
      </c>
      <c r="Y3289" s="33">
        <f t="shared" si="267"/>
        <v>0</v>
      </c>
    </row>
    <row r="3290" spans="19:42">
      <c r="S3290" s="8">
        <f t="shared" si="270"/>
        <v>0</v>
      </c>
      <c r="Y3290" s="33">
        <f t="shared" si="267"/>
        <v>0</v>
      </c>
    </row>
    <row r="3291" spans="19:42">
      <c r="S3291" s="8">
        <f t="shared" si="270"/>
        <v>0</v>
      </c>
      <c r="Y3291" s="33">
        <f t="shared" si="267"/>
        <v>0</v>
      </c>
    </row>
    <row r="3292" spans="19:42">
      <c r="S3292" s="8">
        <f t="shared" si="270"/>
        <v>0</v>
      </c>
      <c r="Y3292" s="33">
        <f t="shared" si="267"/>
        <v>0</v>
      </c>
    </row>
    <row r="3293" spans="19:42">
      <c r="S3293" s="8">
        <f t="shared" si="270"/>
        <v>0</v>
      </c>
      <c r="Y3293" s="33">
        <f t="shared" si="267"/>
        <v>0</v>
      </c>
    </row>
    <row r="3294" spans="19:42">
      <c r="S3294" s="8">
        <f t="shared" si="270"/>
        <v>0</v>
      </c>
      <c r="Y3294" s="33">
        <f t="shared" si="267"/>
        <v>0</v>
      </c>
    </row>
    <row r="3295" spans="19:42">
      <c r="S3295" s="8">
        <f t="shared" si="270"/>
        <v>0</v>
      </c>
      <c r="Y3295" s="33">
        <f t="shared" si="267"/>
        <v>0</v>
      </c>
    </row>
    <row r="3296" spans="19:42">
      <c r="S3296" s="8">
        <f t="shared" si="270"/>
        <v>0</v>
      </c>
      <c r="Y3296" s="33">
        <f t="shared" si="267"/>
        <v>0</v>
      </c>
    </row>
    <row r="3297" spans="19:25">
      <c r="S3297" s="8">
        <f t="shared" si="270"/>
        <v>0</v>
      </c>
      <c r="Y3297" s="33">
        <f t="shared" si="267"/>
        <v>0</v>
      </c>
    </row>
    <row r="3298" spans="19:25">
      <c r="S3298" s="8">
        <f t="shared" si="270"/>
        <v>0</v>
      </c>
      <c r="Y3298" s="33">
        <f t="shared" si="267"/>
        <v>0</v>
      </c>
    </row>
    <row r="3299" spans="19:25">
      <c r="S3299" s="8">
        <f t="shared" si="270"/>
        <v>0</v>
      </c>
      <c r="Y3299" s="33">
        <f t="shared" si="267"/>
        <v>0</v>
      </c>
    </row>
    <row r="3300" spans="19:25">
      <c r="S3300" s="8">
        <f t="shared" si="270"/>
        <v>0</v>
      </c>
      <c r="Y3300" s="33">
        <f t="shared" si="267"/>
        <v>0</v>
      </c>
    </row>
    <row r="3301" spans="19:25">
      <c r="S3301" s="8">
        <f t="shared" si="270"/>
        <v>0</v>
      </c>
      <c r="Y3301" s="33">
        <f t="shared" si="267"/>
        <v>0</v>
      </c>
    </row>
    <row r="3302" spans="19:25">
      <c r="S3302" s="8">
        <f t="shared" si="270"/>
        <v>0</v>
      </c>
      <c r="Y3302" s="33">
        <f t="shared" si="267"/>
        <v>0</v>
      </c>
    </row>
    <row r="3303" spans="19:25">
      <c r="S3303" s="8">
        <f t="shared" si="270"/>
        <v>0</v>
      </c>
      <c r="Y3303" s="33">
        <f t="shared" si="267"/>
        <v>0</v>
      </c>
    </row>
    <row r="3304" spans="19:25">
      <c r="S3304" s="8">
        <f t="shared" si="270"/>
        <v>0</v>
      </c>
      <c r="Y3304" s="33">
        <f t="shared" si="267"/>
        <v>0</v>
      </c>
    </row>
    <row r="3305" spans="19:25">
      <c r="S3305" s="8">
        <f t="shared" si="270"/>
        <v>0</v>
      </c>
      <c r="Y3305" s="33">
        <f t="shared" si="267"/>
        <v>0</v>
      </c>
    </row>
    <row r="3306" spans="19:25">
      <c r="S3306" s="8">
        <f t="shared" si="270"/>
        <v>0</v>
      </c>
      <c r="Y3306" s="33">
        <f t="shared" si="267"/>
        <v>0</v>
      </c>
    </row>
    <row r="3307" spans="19:25">
      <c r="S3307" s="8">
        <f t="shared" si="270"/>
        <v>0</v>
      </c>
      <c r="Y3307" s="33">
        <f t="shared" si="267"/>
        <v>0</v>
      </c>
    </row>
    <row r="3308" spans="19:25">
      <c r="S3308" s="8">
        <f t="shared" si="270"/>
        <v>0</v>
      </c>
      <c r="Y3308" s="33">
        <f t="shared" si="267"/>
        <v>0</v>
      </c>
    </row>
    <row r="3309" spans="19:25">
      <c r="S3309" s="8">
        <f t="shared" si="270"/>
        <v>0</v>
      </c>
      <c r="Y3309" s="33">
        <f t="shared" si="267"/>
        <v>0</v>
      </c>
    </row>
    <row r="3310" spans="19:25">
      <c r="S3310" s="8">
        <f t="shared" si="270"/>
        <v>0</v>
      </c>
      <c r="Y3310" s="33">
        <f t="shared" si="267"/>
        <v>0</v>
      </c>
    </row>
    <row r="3311" spans="19:25">
      <c r="S3311" s="8">
        <f t="shared" si="270"/>
        <v>0</v>
      </c>
      <c r="Y3311" s="33">
        <f t="shared" si="267"/>
        <v>0</v>
      </c>
    </row>
    <row r="3312" spans="19:25">
      <c r="S3312" s="8">
        <f t="shared" si="270"/>
        <v>0</v>
      </c>
      <c r="Y3312" s="33">
        <f t="shared" si="267"/>
        <v>0</v>
      </c>
    </row>
    <row r="3313" spans="19:25">
      <c r="S3313" s="8">
        <f t="shared" si="270"/>
        <v>0</v>
      </c>
      <c r="Y3313" s="33">
        <f t="shared" si="267"/>
        <v>0</v>
      </c>
    </row>
    <row r="3314" spans="19:25">
      <c r="S3314" s="8">
        <f t="shared" si="270"/>
        <v>0</v>
      </c>
      <c r="Y3314" s="33">
        <f t="shared" si="267"/>
        <v>0</v>
      </c>
    </row>
    <row r="3315" spans="19:25">
      <c r="S3315" s="8">
        <f t="shared" si="270"/>
        <v>0</v>
      </c>
      <c r="Y3315" s="33">
        <f t="shared" si="267"/>
        <v>0</v>
      </c>
    </row>
    <row r="3316" spans="19:25">
      <c r="S3316" s="8">
        <f t="shared" si="270"/>
        <v>0</v>
      </c>
      <c r="Y3316" s="33">
        <f t="shared" si="267"/>
        <v>0</v>
      </c>
    </row>
    <row r="3317" spans="19:25">
      <c r="S3317" s="8">
        <f t="shared" si="270"/>
        <v>0</v>
      </c>
      <c r="Y3317" s="33">
        <f t="shared" si="267"/>
        <v>0</v>
      </c>
    </row>
    <row r="3318" spans="19:25">
      <c r="S3318" s="8">
        <f t="shared" si="270"/>
        <v>0</v>
      </c>
      <c r="Y3318" s="33">
        <f t="shared" si="267"/>
        <v>0</v>
      </c>
    </row>
    <row r="3319" spans="19:25">
      <c r="S3319" s="8">
        <f t="shared" si="270"/>
        <v>0</v>
      </c>
      <c r="Y3319" s="33">
        <f t="shared" si="267"/>
        <v>0</v>
      </c>
    </row>
    <row r="3320" spans="19:25">
      <c r="S3320" s="8">
        <f t="shared" si="270"/>
        <v>0</v>
      </c>
      <c r="Y3320" s="33">
        <f t="shared" si="267"/>
        <v>0</v>
      </c>
    </row>
    <row r="3321" spans="19:25">
      <c r="S3321" s="8">
        <f t="shared" si="270"/>
        <v>0</v>
      </c>
      <c r="Y3321" s="33">
        <f t="shared" si="267"/>
        <v>0</v>
      </c>
    </row>
    <row r="3322" spans="19:25">
      <c r="S3322" s="8">
        <f t="shared" si="270"/>
        <v>0</v>
      </c>
      <c r="Y3322" s="33">
        <f t="shared" si="267"/>
        <v>0</v>
      </c>
    </row>
    <row r="3323" spans="19:25">
      <c r="S3323" s="8">
        <f t="shared" si="270"/>
        <v>0</v>
      </c>
      <c r="Y3323" s="33">
        <f t="shared" si="267"/>
        <v>0</v>
      </c>
    </row>
    <row r="3324" spans="19:25">
      <c r="S3324" s="8">
        <f t="shared" si="270"/>
        <v>0</v>
      </c>
      <c r="Y3324" s="33">
        <f t="shared" si="267"/>
        <v>0</v>
      </c>
    </row>
    <row r="3325" spans="19:25">
      <c r="S3325" s="8">
        <f t="shared" si="270"/>
        <v>0</v>
      </c>
      <c r="Y3325" s="33">
        <f t="shared" si="267"/>
        <v>0</v>
      </c>
    </row>
    <row r="3326" spans="19:25">
      <c r="S3326" s="8">
        <f t="shared" si="270"/>
        <v>0</v>
      </c>
      <c r="Y3326" s="33">
        <f t="shared" si="267"/>
        <v>0</v>
      </c>
    </row>
    <row r="3327" spans="19:25">
      <c r="S3327" s="8">
        <f t="shared" si="270"/>
        <v>0</v>
      </c>
      <c r="Y3327" s="33">
        <f t="shared" si="267"/>
        <v>0</v>
      </c>
    </row>
    <row r="3328" spans="19:25">
      <c r="S3328" s="8">
        <f t="shared" si="270"/>
        <v>0</v>
      </c>
      <c r="Y3328" s="33">
        <f t="shared" si="267"/>
        <v>0</v>
      </c>
    </row>
    <row r="3329" spans="19:25">
      <c r="S3329" s="8">
        <f t="shared" si="270"/>
        <v>0</v>
      </c>
      <c r="Y3329" s="33">
        <f t="shared" si="267"/>
        <v>0</v>
      </c>
    </row>
    <row r="3330" spans="19:25">
      <c r="S3330" s="8">
        <f t="shared" si="270"/>
        <v>0</v>
      </c>
      <c r="Y3330" s="33">
        <f t="shared" si="267"/>
        <v>0</v>
      </c>
    </row>
    <row r="3331" spans="19:25">
      <c r="S3331" s="8">
        <f t="shared" si="270"/>
        <v>0</v>
      </c>
      <c r="Y3331" s="33">
        <f t="shared" si="267"/>
        <v>0</v>
      </c>
    </row>
    <row r="3332" spans="19:25">
      <c r="S3332" s="8">
        <f t="shared" si="270"/>
        <v>0</v>
      </c>
      <c r="Y3332" s="33">
        <f t="shared" si="267"/>
        <v>0</v>
      </c>
    </row>
    <row r="3333" spans="19:25">
      <c r="S3333" s="8">
        <f t="shared" si="270"/>
        <v>0</v>
      </c>
      <c r="Y3333" s="33">
        <f t="shared" ref="Y3333:Y3396" si="272">ROUND(X3333/1000,3)</f>
        <v>0</v>
      </c>
    </row>
    <row r="3334" spans="19:25">
      <c r="S3334" s="8">
        <f t="shared" ref="S3334:S3397" si="273">CEILING(R3334/50,0.5)</f>
        <v>0</v>
      </c>
      <c r="Y3334" s="33">
        <f t="shared" si="272"/>
        <v>0</v>
      </c>
    </row>
    <row r="3335" spans="19:25">
      <c r="S3335" s="8">
        <f t="shared" si="273"/>
        <v>0</v>
      </c>
      <c r="Y3335" s="33">
        <f t="shared" si="272"/>
        <v>0</v>
      </c>
    </row>
    <row r="3336" spans="19:25">
      <c r="S3336" s="8">
        <f t="shared" si="273"/>
        <v>0</v>
      </c>
      <c r="Y3336" s="33">
        <f t="shared" si="272"/>
        <v>0</v>
      </c>
    </row>
    <row r="3337" spans="19:25">
      <c r="S3337" s="8">
        <f t="shared" si="273"/>
        <v>0</v>
      </c>
      <c r="Y3337" s="33">
        <f t="shared" si="272"/>
        <v>0</v>
      </c>
    </row>
    <row r="3338" spans="19:25">
      <c r="S3338" s="8">
        <f t="shared" si="273"/>
        <v>0</v>
      </c>
      <c r="Y3338" s="33">
        <f t="shared" si="272"/>
        <v>0</v>
      </c>
    </row>
    <row r="3339" spans="19:25">
      <c r="S3339" s="8">
        <f t="shared" si="273"/>
        <v>0</v>
      </c>
      <c r="Y3339" s="33">
        <f t="shared" si="272"/>
        <v>0</v>
      </c>
    </row>
    <row r="3340" spans="19:25">
      <c r="S3340" s="8">
        <f t="shared" si="273"/>
        <v>0</v>
      </c>
      <c r="Y3340" s="33">
        <f t="shared" si="272"/>
        <v>0</v>
      </c>
    </row>
    <row r="3341" spans="19:25">
      <c r="S3341" s="8">
        <f t="shared" si="273"/>
        <v>0</v>
      </c>
      <c r="Y3341" s="33">
        <f t="shared" si="272"/>
        <v>0</v>
      </c>
    </row>
    <row r="3342" spans="19:25">
      <c r="S3342" s="8">
        <f t="shared" si="273"/>
        <v>0</v>
      </c>
      <c r="Y3342" s="33">
        <f t="shared" si="272"/>
        <v>0</v>
      </c>
    </row>
    <row r="3343" spans="19:25">
      <c r="S3343" s="8">
        <f t="shared" si="273"/>
        <v>0</v>
      </c>
      <c r="Y3343" s="33">
        <f t="shared" si="272"/>
        <v>0</v>
      </c>
    </row>
    <row r="3344" spans="19:25">
      <c r="S3344" s="8">
        <f t="shared" si="273"/>
        <v>0</v>
      </c>
      <c r="Y3344" s="33">
        <f t="shared" si="272"/>
        <v>0</v>
      </c>
    </row>
    <row r="3345" spans="19:25">
      <c r="S3345" s="8">
        <f t="shared" si="273"/>
        <v>0</v>
      </c>
      <c r="Y3345" s="33">
        <f t="shared" si="272"/>
        <v>0</v>
      </c>
    </row>
    <row r="3346" spans="19:25">
      <c r="S3346" s="8">
        <f t="shared" si="273"/>
        <v>0</v>
      </c>
      <c r="Y3346" s="33">
        <f t="shared" si="272"/>
        <v>0</v>
      </c>
    </row>
    <row r="3347" spans="19:25">
      <c r="S3347" s="8">
        <f t="shared" si="273"/>
        <v>0</v>
      </c>
      <c r="Y3347" s="33">
        <f t="shared" si="272"/>
        <v>0</v>
      </c>
    </row>
    <row r="3348" spans="19:25">
      <c r="S3348" s="8">
        <f t="shared" si="273"/>
        <v>0</v>
      </c>
      <c r="Y3348" s="33">
        <f t="shared" si="272"/>
        <v>0</v>
      </c>
    </row>
    <row r="3349" spans="19:25">
      <c r="S3349" s="8">
        <f t="shared" si="273"/>
        <v>0</v>
      </c>
      <c r="Y3349" s="33">
        <f t="shared" si="272"/>
        <v>0</v>
      </c>
    </row>
    <row r="3350" spans="19:25">
      <c r="S3350" s="8">
        <f t="shared" si="273"/>
        <v>0</v>
      </c>
      <c r="Y3350" s="33">
        <f t="shared" si="272"/>
        <v>0</v>
      </c>
    </row>
    <row r="3351" spans="19:25">
      <c r="S3351" s="8">
        <f t="shared" si="273"/>
        <v>0</v>
      </c>
      <c r="Y3351" s="33">
        <f t="shared" si="272"/>
        <v>0</v>
      </c>
    </row>
    <row r="3352" spans="19:25">
      <c r="S3352" s="8">
        <f t="shared" si="273"/>
        <v>0</v>
      </c>
      <c r="Y3352" s="33">
        <f t="shared" si="272"/>
        <v>0</v>
      </c>
    </row>
    <row r="3353" spans="19:25">
      <c r="S3353" s="8">
        <f t="shared" si="273"/>
        <v>0</v>
      </c>
      <c r="Y3353" s="33">
        <f t="shared" si="272"/>
        <v>0</v>
      </c>
    </row>
    <row r="3354" spans="19:25">
      <c r="S3354" s="8">
        <f t="shared" si="273"/>
        <v>0</v>
      </c>
      <c r="Y3354" s="33">
        <f t="shared" si="272"/>
        <v>0</v>
      </c>
    </row>
    <row r="3355" spans="19:25">
      <c r="S3355" s="8">
        <f t="shared" si="273"/>
        <v>0</v>
      </c>
      <c r="Y3355" s="33">
        <f t="shared" si="272"/>
        <v>0</v>
      </c>
    </row>
    <row r="3356" spans="19:25">
      <c r="S3356" s="8">
        <f t="shared" si="273"/>
        <v>0</v>
      </c>
      <c r="Y3356" s="33">
        <f t="shared" si="272"/>
        <v>0</v>
      </c>
    </row>
    <row r="3357" spans="19:25">
      <c r="S3357" s="8">
        <f t="shared" si="273"/>
        <v>0</v>
      </c>
      <c r="Y3357" s="33">
        <f t="shared" si="272"/>
        <v>0</v>
      </c>
    </row>
    <row r="3358" spans="19:25">
      <c r="S3358" s="8">
        <f t="shared" si="273"/>
        <v>0</v>
      </c>
      <c r="Y3358" s="33">
        <f t="shared" si="272"/>
        <v>0</v>
      </c>
    </row>
    <row r="3359" spans="19:25">
      <c r="S3359" s="8">
        <f t="shared" si="273"/>
        <v>0</v>
      </c>
      <c r="Y3359" s="33">
        <f t="shared" si="272"/>
        <v>0</v>
      </c>
    </row>
    <row r="3360" spans="19:25">
      <c r="S3360" s="8">
        <f t="shared" si="273"/>
        <v>0</v>
      </c>
      <c r="Y3360" s="33">
        <f t="shared" si="272"/>
        <v>0</v>
      </c>
    </row>
    <row r="3361" spans="19:25">
      <c r="S3361" s="8">
        <f t="shared" si="273"/>
        <v>0</v>
      </c>
      <c r="Y3361" s="33">
        <f t="shared" si="272"/>
        <v>0</v>
      </c>
    </row>
    <row r="3362" spans="19:25">
      <c r="S3362" s="8">
        <f t="shared" si="273"/>
        <v>0</v>
      </c>
      <c r="Y3362" s="33">
        <f t="shared" si="272"/>
        <v>0</v>
      </c>
    </row>
    <row r="3363" spans="19:25">
      <c r="S3363" s="8">
        <f t="shared" si="273"/>
        <v>0</v>
      </c>
      <c r="Y3363" s="33">
        <f t="shared" si="272"/>
        <v>0</v>
      </c>
    </row>
    <row r="3364" spans="19:25">
      <c r="S3364" s="8">
        <f t="shared" si="273"/>
        <v>0</v>
      </c>
      <c r="Y3364" s="33">
        <f t="shared" si="272"/>
        <v>0</v>
      </c>
    </row>
    <row r="3365" spans="19:25">
      <c r="S3365" s="8">
        <f t="shared" si="273"/>
        <v>0</v>
      </c>
      <c r="Y3365" s="33">
        <f t="shared" si="272"/>
        <v>0</v>
      </c>
    </row>
    <row r="3366" spans="19:25">
      <c r="S3366" s="8">
        <f t="shared" si="273"/>
        <v>0</v>
      </c>
      <c r="Y3366" s="33">
        <f t="shared" si="272"/>
        <v>0</v>
      </c>
    </row>
    <row r="3367" spans="19:25">
      <c r="S3367" s="8">
        <f t="shared" si="273"/>
        <v>0</v>
      </c>
      <c r="Y3367" s="33">
        <f t="shared" si="272"/>
        <v>0</v>
      </c>
    </row>
    <row r="3368" spans="19:25">
      <c r="S3368" s="8">
        <f t="shared" si="273"/>
        <v>0</v>
      </c>
      <c r="Y3368" s="33">
        <f t="shared" si="272"/>
        <v>0</v>
      </c>
    </row>
    <row r="3369" spans="19:25">
      <c r="S3369" s="8">
        <f t="shared" si="273"/>
        <v>0</v>
      </c>
      <c r="Y3369" s="33">
        <f t="shared" si="272"/>
        <v>0</v>
      </c>
    </row>
    <row r="3370" spans="19:25">
      <c r="S3370" s="8">
        <f t="shared" si="273"/>
        <v>0</v>
      </c>
      <c r="Y3370" s="33">
        <f t="shared" si="272"/>
        <v>0</v>
      </c>
    </row>
    <row r="3371" spans="19:25">
      <c r="S3371" s="8">
        <f t="shared" si="273"/>
        <v>0</v>
      </c>
      <c r="Y3371" s="33">
        <f t="shared" si="272"/>
        <v>0</v>
      </c>
    </row>
    <row r="3372" spans="19:25">
      <c r="S3372" s="8">
        <f t="shared" si="273"/>
        <v>0</v>
      </c>
      <c r="Y3372" s="33">
        <f t="shared" si="272"/>
        <v>0</v>
      </c>
    </row>
    <row r="3373" spans="19:25">
      <c r="S3373" s="8">
        <f t="shared" si="273"/>
        <v>0</v>
      </c>
      <c r="Y3373" s="33">
        <f t="shared" si="272"/>
        <v>0</v>
      </c>
    </row>
    <row r="3374" spans="19:25">
      <c r="S3374" s="8">
        <f t="shared" si="273"/>
        <v>0</v>
      </c>
      <c r="Y3374" s="33">
        <f t="shared" si="272"/>
        <v>0</v>
      </c>
    </row>
    <row r="3375" spans="19:25">
      <c r="S3375" s="8">
        <f t="shared" si="273"/>
        <v>0</v>
      </c>
      <c r="Y3375" s="33">
        <f t="shared" si="272"/>
        <v>0</v>
      </c>
    </row>
    <row r="3376" spans="19:25">
      <c r="S3376" s="8">
        <f t="shared" si="273"/>
        <v>0</v>
      </c>
      <c r="Y3376" s="33">
        <f t="shared" si="272"/>
        <v>0</v>
      </c>
    </row>
    <row r="3377" spans="19:25">
      <c r="S3377" s="8">
        <f t="shared" si="273"/>
        <v>0</v>
      </c>
      <c r="Y3377" s="33">
        <f t="shared" si="272"/>
        <v>0</v>
      </c>
    </row>
    <row r="3378" spans="19:25">
      <c r="S3378" s="8">
        <f t="shared" si="273"/>
        <v>0</v>
      </c>
      <c r="Y3378" s="33">
        <f t="shared" si="272"/>
        <v>0</v>
      </c>
    </row>
    <row r="3379" spans="19:25">
      <c r="S3379" s="8">
        <f t="shared" si="273"/>
        <v>0</v>
      </c>
      <c r="Y3379" s="33">
        <f t="shared" si="272"/>
        <v>0</v>
      </c>
    </row>
    <row r="3380" spans="19:25">
      <c r="S3380" s="8">
        <f t="shared" si="273"/>
        <v>0</v>
      </c>
      <c r="Y3380" s="33">
        <f t="shared" si="272"/>
        <v>0</v>
      </c>
    </row>
    <row r="3381" spans="19:25">
      <c r="S3381" s="8">
        <f t="shared" si="273"/>
        <v>0</v>
      </c>
      <c r="Y3381" s="33">
        <f t="shared" si="272"/>
        <v>0</v>
      </c>
    </row>
    <row r="3382" spans="19:25">
      <c r="S3382" s="8">
        <f t="shared" si="273"/>
        <v>0</v>
      </c>
      <c r="Y3382" s="33">
        <f t="shared" si="272"/>
        <v>0</v>
      </c>
    </row>
    <row r="3383" spans="19:25">
      <c r="S3383" s="8">
        <f t="shared" si="273"/>
        <v>0</v>
      </c>
      <c r="Y3383" s="33">
        <f t="shared" si="272"/>
        <v>0</v>
      </c>
    </row>
    <row r="3384" spans="19:25">
      <c r="S3384" s="8">
        <f t="shared" si="273"/>
        <v>0</v>
      </c>
      <c r="Y3384" s="33">
        <f t="shared" si="272"/>
        <v>0</v>
      </c>
    </row>
    <row r="3385" spans="19:25">
      <c r="S3385" s="8">
        <f t="shared" si="273"/>
        <v>0</v>
      </c>
      <c r="Y3385" s="33">
        <f t="shared" si="272"/>
        <v>0</v>
      </c>
    </row>
    <row r="3386" spans="19:25">
      <c r="S3386" s="8">
        <f t="shared" si="273"/>
        <v>0</v>
      </c>
      <c r="Y3386" s="33">
        <f t="shared" si="272"/>
        <v>0</v>
      </c>
    </row>
    <row r="3387" spans="19:25">
      <c r="S3387" s="8">
        <f t="shared" si="273"/>
        <v>0</v>
      </c>
      <c r="Y3387" s="33">
        <f t="shared" si="272"/>
        <v>0</v>
      </c>
    </row>
    <row r="3388" spans="19:25">
      <c r="S3388" s="8">
        <f t="shared" si="273"/>
        <v>0</v>
      </c>
      <c r="Y3388" s="33">
        <f t="shared" si="272"/>
        <v>0</v>
      </c>
    </row>
    <row r="3389" spans="19:25">
      <c r="S3389" s="8">
        <f t="shared" si="273"/>
        <v>0</v>
      </c>
      <c r="Y3389" s="33">
        <f t="shared" si="272"/>
        <v>0</v>
      </c>
    </row>
    <row r="3390" spans="19:25">
      <c r="S3390" s="8">
        <f t="shared" si="273"/>
        <v>0</v>
      </c>
      <c r="Y3390" s="33">
        <f t="shared" si="272"/>
        <v>0</v>
      </c>
    </row>
    <row r="3391" spans="19:25">
      <c r="S3391" s="8">
        <f t="shared" si="273"/>
        <v>0</v>
      </c>
      <c r="Y3391" s="33">
        <f t="shared" si="272"/>
        <v>0</v>
      </c>
    </row>
    <row r="3392" spans="19:25">
      <c r="S3392" s="8">
        <f t="shared" si="273"/>
        <v>0</v>
      </c>
      <c r="Y3392" s="33">
        <f t="shared" si="272"/>
        <v>0</v>
      </c>
    </row>
    <row r="3393" spans="19:25">
      <c r="S3393" s="8">
        <f t="shared" si="273"/>
        <v>0</v>
      </c>
      <c r="Y3393" s="33">
        <f t="shared" si="272"/>
        <v>0</v>
      </c>
    </row>
    <row r="3394" spans="19:25">
      <c r="S3394" s="8">
        <f t="shared" si="273"/>
        <v>0</v>
      </c>
      <c r="Y3394" s="33">
        <f t="shared" si="272"/>
        <v>0</v>
      </c>
    </row>
    <row r="3395" spans="19:25">
      <c r="S3395" s="8">
        <f t="shared" si="273"/>
        <v>0</v>
      </c>
      <c r="Y3395" s="33">
        <f t="shared" si="272"/>
        <v>0</v>
      </c>
    </row>
    <row r="3396" spans="19:25">
      <c r="S3396" s="8">
        <f t="shared" si="273"/>
        <v>0</v>
      </c>
      <c r="Y3396" s="33">
        <f t="shared" si="272"/>
        <v>0</v>
      </c>
    </row>
    <row r="3397" spans="19:25">
      <c r="S3397" s="8">
        <f t="shared" si="273"/>
        <v>0</v>
      </c>
      <c r="Y3397" s="33">
        <f t="shared" ref="Y3397:Y3460" si="274">ROUND(X3397/1000,3)</f>
        <v>0</v>
      </c>
    </row>
    <row r="3398" spans="19:25">
      <c r="S3398" s="8">
        <f t="shared" ref="S3398:S3461" si="275">CEILING(R3398/50,0.5)</f>
        <v>0</v>
      </c>
      <c r="Y3398" s="33">
        <f t="shared" si="274"/>
        <v>0</v>
      </c>
    </row>
    <row r="3399" spans="19:25">
      <c r="S3399" s="8">
        <f t="shared" si="275"/>
        <v>0</v>
      </c>
      <c r="Y3399" s="33">
        <f t="shared" si="274"/>
        <v>0</v>
      </c>
    </row>
    <row r="3400" spans="19:25">
      <c r="S3400" s="8">
        <f t="shared" si="275"/>
        <v>0</v>
      </c>
      <c r="Y3400" s="33">
        <f t="shared" si="274"/>
        <v>0</v>
      </c>
    </row>
    <row r="3401" spans="19:25">
      <c r="S3401" s="8">
        <f t="shared" si="275"/>
        <v>0</v>
      </c>
      <c r="Y3401" s="33">
        <f t="shared" si="274"/>
        <v>0</v>
      </c>
    </row>
    <row r="3402" spans="19:25">
      <c r="S3402" s="8">
        <f t="shared" si="275"/>
        <v>0</v>
      </c>
      <c r="Y3402" s="33">
        <f t="shared" si="274"/>
        <v>0</v>
      </c>
    </row>
    <row r="3403" spans="19:25">
      <c r="S3403" s="8">
        <f t="shared" si="275"/>
        <v>0</v>
      </c>
      <c r="Y3403" s="33">
        <f t="shared" si="274"/>
        <v>0</v>
      </c>
    </row>
    <row r="3404" spans="19:25">
      <c r="S3404" s="8">
        <f t="shared" si="275"/>
        <v>0</v>
      </c>
      <c r="Y3404" s="33">
        <f t="shared" si="274"/>
        <v>0</v>
      </c>
    </row>
    <row r="3405" spans="19:25">
      <c r="S3405" s="8">
        <f t="shared" si="275"/>
        <v>0</v>
      </c>
      <c r="Y3405" s="33">
        <f t="shared" si="274"/>
        <v>0</v>
      </c>
    </row>
    <row r="3406" spans="19:25">
      <c r="S3406" s="8">
        <f t="shared" si="275"/>
        <v>0</v>
      </c>
      <c r="Y3406" s="33">
        <f t="shared" si="274"/>
        <v>0</v>
      </c>
    </row>
    <row r="3407" spans="19:25">
      <c r="S3407" s="8">
        <f t="shared" si="275"/>
        <v>0</v>
      </c>
      <c r="Y3407" s="33">
        <f t="shared" si="274"/>
        <v>0</v>
      </c>
    </row>
    <row r="3408" spans="19:25">
      <c r="S3408" s="8">
        <f t="shared" si="275"/>
        <v>0</v>
      </c>
      <c r="Y3408" s="33">
        <f t="shared" si="274"/>
        <v>0</v>
      </c>
    </row>
    <row r="3409" spans="19:25">
      <c r="S3409" s="8">
        <f t="shared" si="275"/>
        <v>0</v>
      </c>
      <c r="Y3409" s="33">
        <f t="shared" si="274"/>
        <v>0</v>
      </c>
    </row>
    <row r="3410" spans="19:25">
      <c r="S3410" s="8">
        <f t="shared" si="275"/>
        <v>0</v>
      </c>
      <c r="Y3410" s="33">
        <f t="shared" si="274"/>
        <v>0</v>
      </c>
    </row>
    <row r="3411" spans="19:25">
      <c r="S3411" s="8">
        <f t="shared" si="275"/>
        <v>0</v>
      </c>
      <c r="Y3411" s="33">
        <f t="shared" si="274"/>
        <v>0</v>
      </c>
    </row>
    <row r="3412" spans="19:25">
      <c r="S3412" s="8">
        <f t="shared" si="275"/>
        <v>0</v>
      </c>
      <c r="Y3412" s="33">
        <f t="shared" si="274"/>
        <v>0</v>
      </c>
    </row>
    <row r="3413" spans="19:25">
      <c r="S3413" s="8">
        <f t="shared" si="275"/>
        <v>0</v>
      </c>
      <c r="Y3413" s="33">
        <f t="shared" si="274"/>
        <v>0</v>
      </c>
    </row>
    <row r="3414" spans="19:25">
      <c r="S3414" s="8">
        <f t="shared" si="275"/>
        <v>0</v>
      </c>
      <c r="Y3414" s="33">
        <f t="shared" si="274"/>
        <v>0</v>
      </c>
    </row>
    <row r="3415" spans="19:25">
      <c r="S3415" s="8">
        <f t="shared" si="275"/>
        <v>0</v>
      </c>
      <c r="Y3415" s="33">
        <f t="shared" si="274"/>
        <v>0</v>
      </c>
    </row>
    <row r="3416" spans="19:25">
      <c r="S3416" s="8">
        <f t="shared" si="275"/>
        <v>0</v>
      </c>
      <c r="Y3416" s="33">
        <f t="shared" si="274"/>
        <v>0</v>
      </c>
    </row>
    <row r="3417" spans="19:25">
      <c r="S3417" s="8">
        <f t="shared" si="275"/>
        <v>0</v>
      </c>
      <c r="Y3417" s="33">
        <f t="shared" si="274"/>
        <v>0</v>
      </c>
    </row>
    <row r="3418" spans="19:25">
      <c r="S3418" s="8">
        <f t="shared" si="275"/>
        <v>0</v>
      </c>
      <c r="Y3418" s="33">
        <f t="shared" si="274"/>
        <v>0</v>
      </c>
    </row>
    <row r="3419" spans="19:25">
      <c r="S3419" s="8">
        <f t="shared" si="275"/>
        <v>0</v>
      </c>
      <c r="Y3419" s="33">
        <f t="shared" si="274"/>
        <v>0</v>
      </c>
    </row>
    <row r="3420" spans="19:25">
      <c r="S3420" s="8">
        <f t="shared" si="275"/>
        <v>0</v>
      </c>
      <c r="Y3420" s="33">
        <f t="shared" si="274"/>
        <v>0</v>
      </c>
    </row>
    <row r="3421" spans="19:25">
      <c r="S3421" s="8">
        <f t="shared" si="275"/>
        <v>0</v>
      </c>
      <c r="Y3421" s="33">
        <f t="shared" si="274"/>
        <v>0</v>
      </c>
    </row>
    <row r="3422" spans="19:25">
      <c r="S3422" s="8">
        <f t="shared" si="275"/>
        <v>0</v>
      </c>
      <c r="Y3422" s="33">
        <f t="shared" si="274"/>
        <v>0</v>
      </c>
    </row>
    <row r="3423" spans="19:25">
      <c r="S3423" s="8">
        <f t="shared" si="275"/>
        <v>0</v>
      </c>
      <c r="Y3423" s="33">
        <f t="shared" si="274"/>
        <v>0</v>
      </c>
    </row>
    <row r="3424" spans="19:25">
      <c r="S3424" s="8">
        <f t="shared" si="275"/>
        <v>0</v>
      </c>
      <c r="Y3424" s="33">
        <f t="shared" si="274"/>
        <v>0</v>
      </c>
    </row>
    <row r="3425" spans="19:25">
      <c r="S3425" s="8">
        <f t="shared" si="275"/>
        <v>0</v>
      </c>
      <c r="Y3425" s="33">
        <f t="shared" si="274"/>
        <v>0</v>
      </c>
    </row>
    <row r="3426" spans="19:25">
      <c r="S3426" s="8">
        <f t="shared" si="275"/>
        <v>0</v>
      </c>
      <c r="Y3426" s="33">
        <f t="shared" si="274"/>
        <v>0</v>
      </c>
    </row>
    <row r="3427" spans="19:25">
      <c r="S3427" s="8">
        <f t="shared" si="275"/>
        <v>0</v>
      </c>
      <c r="Y3427" s="33">
        <f t="shared" si="274"/>
        <v>0</v>
      </c>
    </row>
    <row r="3428" spans="19:25">
      <c r="S3428" s="8">
        <f t="shared" si="275"/>
        <v>0</v>
      </c>
      <c r="Y3428" s="33">
        <f t="shared" si="274"/>
        <v>0</v>
      </c>
    </row>
    <row r="3429" spans="19:25">
      <c r="S3429" s="8">
        <f t="shared" si="275"/>
        <v>0</v>
      </c>
      <c r="Y3429" s="33">
        <f t="shared" si="274"/>
        <v>0</v>
      </c>
    </row>
    <row r="3430" spans="19:25">
      <c r="S3430" s="8">
        <f t="shared" si="275"/>
        <v>0</v>
      </c>
      <c r="Y3430" s="33">
        <f t="shared" si="274"/>
        <v>0</v>
      </c>
    </row>
    <row r="3431" spans="19:25">
      <c r="S3431" s="8">
        <f t="shared" si="275"/>
        <v>0</v>
      </c>
      <c r="Y3431" s="33">
        <f t="shared" si="274"/>
        <v>0</v>
      </c>
    </row>
    <row r="3432" spans="19:25">
      <c r="S3432" s="8">
        <f t="shared" si="275"/>
        <v>0</v>
      </c>
      <c r="Y3432" s="33">
        <f t="shared" si="274"/>
        <v>0</v>
      </c>
    </row>
    <row r="3433" spans="19:25">
      <c r="S3433" s="8">
        <f t="shared" si="275"/>
        <v>0</v>
      </c>
      <c r="Y3433" s="33">
        <f t="shared" si="274"/>
        <v>0</v>
      </c>
    </row>
    <row r="3434" spans="19:25">
      <c r="S3434" s="8">
        <f t="shared" si="275"/>
        <v>0</v>
      </c>
      <c r="Y3434" s="33">
        <f t="shared" si="274"/>
        <v>0</v>
      </c>
    </row>
    <row r="3435" spans="19:25">
      <c r="S3435" s="8">
        <f t="shared" si="275"/>
        <v>0</v>
      </c>
      <c r="Y3435" s="33">
        <f t="shared" si="274"/>
        <v>0</v>
      </c>
    </row>
    <row r="3436" spans="19:25">
      <c r="S3436" s="8">
        <f t="shared" si="275"/>
        <v>0</v>
      </c>
      <c r="Y3436" s="33">
        <f t="shared" si="274"/>
        <v>0</v>
      </c>
    </row>
    <row r="3437" spans="19:25">
      <c r="S3437" s="8">
        <f t="shared" si="275"/>
        <v>0</v>
      </c>
      <c r="Y3437" s="33">
        <f t="shared" si="274"/>
        <v>0</v>
      </c>
    </row>
    <row r="3438" spans="19:25">
      <c r="S3438" s="8">
        <f t="shared" si="275"/>
        <v>0</v>
      </c>
      <c r="Y3438" s="33">
        <f t="shared" si="274"/>
        <v>0</v>
      </c>
    </row>
    <row r="3439" spans="19:25">
      <c r="S3439" s="8">
        <f t="shared" si="275"/>
        <v>0</v>
      </c>
      <c r="Y3439" s="33">
        <f t="shared" si="274"/>
        <v>0</v>
      </c>
    </row>
    <row r="3440" spans="19:25">
      <c r="S3440" s="8">
        <f t="shared" si="275"/>
        <v>0</v>
      </c>
      <c r="Y3440" s="33">
        <f t="shared" si="274"/>
        <v>0</v>
      </c>
    </row>
    <row r="3441" spans="19:25">
      <c r="S3441" s="8">
        <f t="shared" si="275"/>
        <v>0</v>
      </c>
      <c r="Y3441" s="33">
        <f t="shared" si="274"/>
        <v>0</v>
      </c>
    </row>
    <row r="3442" spans="19:25">
      <c r="S3442" s="8">
        <f t="shared" si="275"/>
        <v>0</v>
      </c>
      <c r="Y3442" s="33">
        <f t="shared" si="274"/>
        <v>0</v>
      </c>
    </row>
    <row r="3443" spans="19:25">
      <c r="S3443" s="8">
        <f t="shared" si="275"/>
        <v>0</v>
      </c>
      <c r="Y3443" s="33">
        <f t="shared" si="274"/>
        <v>0</v>
      </c>
    </row>
    <row r="3444" spans="19:25">
      <c r="S3444" s="8">
        <f t="shared" si="275"/>
        <v>0</v>
      </c>
      <c r="Y3444" s="33">
        <f t="shared" si="274"/>
        <v>0</v>
      </c>
    </row>
    <row r="3445" spans="19:25">
      <c r="S3445" s="8">
        <f t="shared" si="275"/>
        <v>0</v>
      </c>
      <c r="Y3445" s="33">
        <f t="shared" si="274"/>
        <v>0</v>
      </c>
    </row>
    <row r="3446" spans="19:25">
      <c r="S3446" s="8">
        <f t="shared" si="275"/>
        <v>0</v>
      </c>
      <c r="Y3446" s="33">
        <f t="shared" si="274"/>
        <v>0</v>
      </c>
    </row>
    <row r="3447" spans="19:25">
      <c r="S3447" s="8">
        <f t="shared" si="275"/>
        <v>0</v>
      </c>
      <c r="Y3447" s="33">
        <f t="shared" si="274"/>
        <v>0</v>
      </c>
    </row>
    <row r="3448" spans="19:25">
      <c r="S3448" s="8">
        <f t="shared" si="275"/>
        <v>0</v>
      </c>
      <c r="Y3448" s="33">
        <f t="shared" si="274"/>
        <v>0</v>
      </c>
    </row>
    <row r="3449" spans="19:25">
      <c r="S3449" s="8">
        <f t="shared" si="275"/>
        <v>0</v>
      </c>
      <c r="Y3449" s="33">
        <f t="shared" si="274"/>
        <v>0</v>
      </c>
    </row>
    <row r="3450" spans="19:25">
      <c r="S3450" s="8">
        <f t="shared" si="275"/>
        <v>0</v>
      </c>
      <c r="Y3450" s="33">
        <f t="shared" si="274"/>
        <v>0</v>
      </c>
    </row>
    <row r="3451" spans="19:25">
      <c r="S3451" s="8">
        <f t="shared" si="275"/>
        <v>0</v>
      </c>
      <c r="Y3451" s="33">
        <f t="shared" si="274"/>
        <v>0</v>
      </c>
    </row>
    <row r="3452" spans="19:25">
      <c r="S3452" s="8">
        <f t="shared" si="275"/>
        <v>0</v>
      </c>
      <c r="Y3452" s="33">
        <f t="shared" si="274"/>
        <v>0</v>
      </c>
    </row>
    <row r="3453" spans="19:25">
      <c r="S3453" s="8">
        <f t="shared" si="275"/>
        <v>0</v>
      </c>
      <c r="Y3453" s="33">
        <f t="shared" si="274"/>
        <v>0</v>
      </c>
    </row>
    <row r="3454" spans="19:25">
      <c r="S3454" s="8">
        <f t="shared" si="275"/>
        <v>0</v>
      </c>
      <c r="Y3454" s="33">
        <f t="shared" si="274"/>
        <v>0</v>
      </c>
    </row>
    <row r="3455" spans="19:25">
      <c r="S3455" s="8">
        <f t="shared" si="275"/>
        <v>0</v>
      </c>
      <c r="Y3455" s="33">
        <f t="shared" si="274"/>
        <v>0</v>
      </c>
    </row>
    <row r="3456" spans="19:25">
      <c r="S3456" s="8">
        <f t="shared" si="275"/>
        <v>0</v>
      </c>
      <c r="Y3456" s="33">
        <f t="shared" si="274"/>
        <v>0</v>
      </c>
    </row>
    <row r="3457" spans="19:25">
      <c r="S3457" s="8">
        <f t="shared" si="275"/>
        <v>0</v>
      </c>
      <c r="Y3457" s="33">
        <f t="shared" si="274"/>
        <v>0</v>
      </c>
    </row>
    <row r="3458" spans="19:25">
      <c r="S3458" s="8">
        <f t="shared" si="275"/>
        <v>0</v>
      </c>
      <c r="Y3458" s="33">
        <f t="shared" si="274"/>
        <v>0</v>
      </c>
    </row>
    <row r="3459" spans="19:25">
      <c r="S3459" s="8">
        <f t="shared" si="275"/>
        <v>0</v>
      </c>
      <c r="Y3459" s="33">
        <f t="shared" si="274"/>
        <v>0</v>
      </c>
    </row>
    <row r="3460" spans="19:25">
      <c r="S3460" s="8">
        <f t="shared" si="275"/>
        <v>0</v>
      </c>
      <c r="Y3460" s="33">
        <f t="shared" si="274"/>
        <v>0</v>
      </c>
    </row>
    <row r="3461" spans="19:25">
      <c r="S3461" s="8">
        <f t="shared" si="275"/>
        <v>0</v>
      </c>
      <c r="Y3461" s="33">
        <f t="shared" ref="Y3461:Y3524" si="276">ROUND(X3461/1000,3)</f>
        <v>0</v>
      </c>
    </row>
    <row r="3462" spans="19:25">
      <c r="S3462" s="8">
        <f t="shared" ref="S3462:S3525" si="277">CEILING(R3462/50,0.5)</f>
        <v>0</v>
      </c>
      <c r="Y3462" s="33">
        <f t="shared" si="276"/>
        <v>0</v>
      </c>
    </row>
    <row r="3463" spans="19:25">
      <c r="S3463" s="8">
        <f t="shared" si="277"/>
        <v>0</v>
      </c>
      <c r="Y3463" s="33">
        <f t="shared" si="276"/>
        <v>0</v>
      </c>
    </row>
    <row r="3464" spans="19:25">
      <c r="S3464" s="8">
        <f t="shared" si="277"/>
        <v>0</v>
      </c>
      <c r="Y3464" s="33">
        <f t="shared" si="276"/>
        <v>0</v>
      </c>
    </row>
    <row r="3465" spans="19:25">
      <c r="S3465" s="8">
        <f t="shared" si="277"/>
        <v>0</v>
      </c>
      <c r="Y3465" s="33">
        <f t="shared" si="276"/>
        <v>0</v>
      </c>
    </row>
    <row r="3466" spans="19:25">
      <c r="S3466" s="8">
        <f t="shared" si="277"/>
        <v>0</v>
      </c>
      <c r="Y3466" s="33">
        <f t="shared" si="276"/>
        <v>0</v>
      </c>
    </row>
    <row r="3467" spans="19:25">
      <c r="S3467" s="8">
        <f t="shared" si="277"/>
        <v>0</v>
      </c>
      <c r="Y3467" s="33">
        <f t="shared" si="276"/>
        <v>0</v>
      </c>
    </row>
    <row r="3468" spans="19:25">
      <c r="S3468" s="8">
        <f t="shared" si="277"/>
        <v>0</v>
      </c>
      <c r="Y3468" s="33">
        <f t="shared" si="276"/>
        <v>0</v>
      </c>
    </row>
    <row r="3469" spans="19:25">
      <c r="S3469" s="8">
        <f t="shared" si="277"/>
        <v>0</v>
      </c>
      <c r="Y3469" s="33">
        <f t="shared" si="276"/>
        <v>0</v>
      </c>
    </row>
    <row r="3470" spans="19:25">
      <c r="S3470" s="8">
        <f t="shared" si="277"/>
        <v>0</v>
      </c>
      <c r="Y3470" s="33">
        <f t="shared" si="276"/>
        <v>0</v>
      </c>
    </row>
    <row r="3471" spans="19:25">
      <c r="S3471" s="8">
        <f t="shared" si="277"/>
        <v>0</v>
      </c>
      <c r="Y3471" s="33">
        <f t="shared" si="276"/>
        <v>0</v>
      </c>
    </row>
    <row r="3472" spans="19:25">
      <c r="S3472" s="8">
        <f t="shared" si="277"/>
        <v>0</v>
      </c>
      <c r="Y3472" s="33">
        <f t="shared" si="276"/>
        <v>0</v>
      </c>
    </row>
    <row r="3473" spans="19:25">
      <c r="S3473" s="8">
        <f t="shared" si="277"/>
        <v>0</v>
      </c>
      <c r="Y3473" s="33">
        <f t="shared" si="276"/>
        <v>0</v>
      </c>
    </row>
    <row r="3474" spans="19:25">
      <c r="S3474" s="8">
        <f t="shared" si="277"/>
        <v>0</v>
      </c>
      <c r="Y3474" s="33">
        <f t="shared" si="276"/>
        <v>0</v>
      </c>
    </row>
    <row r="3475" spans="19:25">
      <c r="S3475" s="8">
        <f t="shared" si="277"/>
        <v>0</v>
      </c>
      <c r="Y3475" s="33">
        <f t="shared" si="276"/>
        <v>0</v>
      </c>
    </row>
    <row r="3476" spans="19:25">
      <c r="S3476" s="8">
        <f t="shared" si="277"/>
        <v>0</v>
      </c>
      <c r="Y3476" s="33">
        <f t="shared" si="276"/>
        <v>0</v>
      </c>
    </row>
    <row r="3477" spans="19:25">
      <c r="S3477" s="8">
        <f t="shared" si="277"/>
        <v>0</v>
      </c>
      <c r="Y3477" s="33">
        <f t="shared" si="276"/>
        <v>0</v>
      </c>
    </row>
    <row r="3478" spans="19:25">
      <c r="S3478" s="8">
        <f t="shared" si="277"/>
        <v>0</v>
      </c>
      <c r="Y3478" s="33">
        <f t="shared" si="276"/>
        <v>0</v>
      </c>
    </row>
    <row r="3479" spans="19:25">
      <c r="S3479" s="8">
        <f t="shared" si="277"/>
        <v>0</v>
      </c>
      <c r="Y3479" s="33">
        <f t="shared" si="276"/>
        <v>0</v>
      </c>
    </row>
    <row r="3480" spans="19:25">
      <c r="S3480" s="8">
        <f t="shared" si="277"/>
        <v>0</v>
      </c>
      <c r="Y3480" s="33">
        <f t="shared" si="276"/>
        <v>0</v>
      </c>
    </row>
    <row r="3481" spans="19:25">
      <c r="S3481" s="8">
        <f t="shared" si="277"/>
        <v>0</v>
      </c>
      <c r="Y3481" s="33">
        <f t="shared" si="276"/>
        <v>0</v>
      </c>
    </row>
    <row r="3482" spans="19:25">
      <c r="S3482" s="8">
        <f t="shared" si="277"/>
        <v>0</v>
      </c>
      <c r="Y3482" s="33">
        <f t="shared" si="276"/>
        <v>0</v>
      </c>
    </row>
    <row r="3483" spans="19:25">
      <c r="S3483" s="8">
        <f t="shared" si="277"/>
        <v>0</v>
      </c>
      <c r="Y3483" s="33">
        <f t="shared" si="276"/>
        <v>0</v>
      </c>
    </row>
    <row r="3484" spans="19:25">
      <c r="S3484" s="8">
        <f t="shared" si="277"/>
        <v>0</v>
      </c>
      <c r="Y3484" s="33">
        <f t="shared" si="276"/>
        <v>0</v>
      </c>
    </row>
    <row r="3485" spans="19:25">
      <c r="S3485" s="8">
        <f t="shared" si="277"/>
        <v>0</v>
      </c>
      <c r="Y3485" s="33">
        <f t="shared" si="276"/>
        <v>0</v>
      </c>
    </row>
    <row r="3486" spans="19:25">
      <c r="S3486" s="8">
        <f t="shared" si="277"/>
        <v>0</v>
      </c>
      <c r="Y3486" s="33">
        <f t="shared" si="276"/>
        <v>0</v>
      </c>
    </row>
    <row r="3487" spans="19:25">
      <c r="S3487" s="8">
        <f t="shared" si="277"/>
        <v>0</v>
      </c>
      <c r="Y3487" s="33">
        <f t="shared" si="276"/>
        <v>0</v>
      </c>
    </row>
    <row r="3488" spans="19:25">
      <c r="S3488" s="8">
        <f t="shared" si="277"/>
        <v>0</v>
      </c>
      <c r="Y3488" s="33">
        <f t="shared" si="276"/>
        <v>0</v>
      </c>
    </row>
    <row r="3489" spans="19:25">
      <c r="S3489" s="8">
        <f t="shared" si="277"/>
        <v>0</v>
      </c>
      <c r="Y3489" s="33">
        <f t="shared" si="276"/>
        <v>0</v>
      </c>
    </row>
    <row r="3490" spans="19:25">
      <c r="S3490" s="8">
        <f t="shared" si="277"/>
        <v>0</v>
      </c>
      <c r="Y3490" s="33">
        <f t="shared" si="276"/>
        <v>0</v>
      </c>
    </row>
    <row r="3491" spans="19:25">
      <c r="S3491" s="8">
        <f t="shared" si="277"/>
        <v>0</v>
      </c>
      <c r="Y3491" s="33">
        <f t="shared" si="276"/>
        <v>0</v>
      </c>
    </row>
    <row r="3492" spans="19:25">
      <c r="S3492" s="8">
        <f t="shared" si="277"/>
        <v>0</v>
      </c>
      <c r="Y3492" s="33">
        <f t="shared" si="276"/>
        <v>0</v>
      </c>
    </row>
    <row r="3493" spans="19:25">
      <c r="S3493" s="8">
        <f t="shared" si="277"/>
        <v>0</v>
      </c>
      <c r="Y3493" s="33">
        <f t="shared" si="276"/>
        <v>0</v>
      </c>
    </row>
    <row r="3494" spans="19:25">
      <c r="S3494" s="8">
        <f t="shared" si="277"/>
        <v>0</v>
      </c>
      <c r="Y3494" s="33">
        <f t="shared" si="276"/>
        <v>0</v>
      </c>
    </row>
    <row r="3495" spans="19:25">
      <c r="S3495" s="8">
        <f t="shared" si="277"/>
        <v>0</v>
      </c>
      <c r="Y3495" s="33">
        <f t="shared" si="276"/>
        <v>0</v>
      </c>
    </row>
    <row r="3496" spans="19:25">
      <c r="S3496" s="8">
        <f t="shared" si="277"/>
        <v>0</v>
      </c>
      <c r="Y3496" s="33">
        <f t="shared" si="276"/>
        <v>0</v>
      </c>
    </row>
    <row r="3497" spans="19:25">
      <c r="S3497" s="8">
        <f t="shared" si="277"/>
        <v>0</v>
      </c>
      <c r="Y3497" s="33">
        <f t="shared" si="276"/>
        <v>0</v>
      </c>
    </row>
    <row r="3498" spans="19:25">
      <c r="S3498" s="8">
        <f t="shared" si="277"/>
        <v>0</v>
      </c>
      <c r="Y3498" s="33">
        <f t="shared" si="276"/>
        <v>0</v>
      </c>
    </row>
    <row r="3499" spans="19:25">
      <c r="S3499" s="8">
        <f t="shared" si="277"/>
        <v>0</v>
      </c>
      <c r="Y3499" s="33">
        <f t="shared" si="276"/>
        <v>0</v>
      </c>
    </row>
    <row r="3500" spans="19:25">
      <c r="S3500" s="8">
        <f t="shared" si="277"/>
        <v>0</v>
      </c>
      <c r="Y3500" s="33">
        <f t="shared" si="276"/>
        <v>0</v>
      </c>
    </row>
    <row r="3501" spans="19:25">
      <c r="S3501" s="8">
        <f t="shared" si="277"/>
        <v>0</v>
      </c>
      <c r="Y3501" s="33">
        <f t="shared" si="276"/>
        <v>0</v>
      </c>
    </row>
    <row r="3502" spans="19:25">
      <c r="S3502" s="8">
        <f t="shared" si="277"/>
        <v>0</v>
      </c>
      <c r="Y3502" s="33">
        <f t="shared" si="276"/>
        <v>0</v>
      </c>
    </row>
    <row r="3503" spans="19:25">
      <c r="S3503" s="8">
        <f t="shared" si="277"/>
        <v>0</v>
      </c>
      <c r="Y3503" s="33">
        <f t="shared" si="276"/>
        <v>0</v>
      </c>
    </row>
    <row r="3504" spans="19:25">
      <c r="S3504" s="8">
        <f t="shared" si="277"/>
        <v>0</v>
      </c>
      <c r="Y3504" s="33">
        <f t="shared" si="276"/>
        <v>0</v>
      </c>
    </row>
    <row r="3505" spans="19:25">
      <c r="S3505" s="8">
        <f t="shared" si="277"/>
        <v>0</v>
      </c>
      <c r="Y3505" s="33">
        <f t="shared" si="276"/>
        <v>0</v>
      </c>
    </row>
    <row r="3506" spans="19:25">
      <c r="S3506" s="8">
        <f t="shared" si="277"/>
        <v>0</v>
      </c>
      <c r="Y3506" s="33">
        <f t="shared" si="276"/>
        <v>0</v>
      </c>
    </row>
    <row r="3507" spans="19:25">
      <c r="S3507" s="8">
        <f t="shared" si="277"/>
        <v>0</v>
      </c>
      <c r="Y3507" s="33">
        <f t="shared" si="276"/>
        <v>0</v>
      </c>
    </row>
    <row r="3508" spans="19:25">
      <c r="S3508" s="8">
        <f t="shared" si="277"/>
        <v>0</v>
      </c>
      <c r="Y3508" s="33">
        <f t="shared" si="276"/>
        <v>0</v>
      </c>
    </row>
    <row r="3509" spans="19:25">
      <c r="S3509" s="8">
        <f t="shared" si="277"/>
        <v>0</v>
      </c>
      <c r="Y3509" s="33">
        <f t="shared" si="276"/>
        <v>0</v>
      </c>
    </row>
    <row r="3510" spans="19:25">
      <c r="S3510" s="8">
        <f t="shared" si="277"/>
        <v>0</v>
      </c>
      <c r="Y3510" s="33">
        <f t="shared" si="276"/>
        <v>0</v>
      </c>
    </row>
    <row r="3511" spans="19:25">
      <c r="S3511" s="8">
        <f t="shared" si="277"/>
        <v>0</v>
      </c>
      <c r="Y3511" s="33">
        <f t="shared" si="276"/>
        <v>0</v>
      </c>
    </row>
    <row r="3512" spans="19:25">
      <c r="S3512" s="8">
        <f t="shared" si="277"/>
        <v>0</v>
      </c>
      <c r="Y3512" s="33">
        <f t="shared" si="276"/>
        <v>0</v>
      </c>
    </row>
    <row r="3513" spans="19:25">
      <c r="S3513" s="8">
        <f t="shared" si="277"/>
        <v>0</v>
      </c>
      <c r="Y3513" s="33">
        <f t="shared" si="276"/>
        <v>0</v>
      </c>
    </row>
    <row r="3514" spans="19:25">
      <c r="S3514" s="8">
        <f t="shared" si="277"/>
        <v>0</v>
      </c>
      <c r="Y3514" s="33">
        <f t="shared" si="276"/>
        <v>0</v>
      </c>
    </row>
    <row r="3515" spans="19:25">
      <c r="S3515" s="8">
        <f t="shared" si="277"/>
        <v>0</v>
      </c>
      <c r="Y3515" s="33">
        <f t="shared" si="276"/>
        <v>0</v>
      </c>
    </row>
    <row r="3516" spans="19:25">
      <c r="S3516" s="8">
        <f t="shared" si="277"/>
        <v>0</v>
      </c>
      <c r="Y3516" s="33">
        <f t="shared" si="276"/>
        <v>0</v>
      </c>
    </row>
    <row r="3517" spans="19:25">
      <c r="S3517" s="8">
        <f t="shared" si="277"/>
        <v>0</v>
      </c>
      <c r="Y3517" s="33">
        <f t="shared" si="276"/>
        <v>0</v>
      </c>
    </row>
    <row r="3518" spans="19:25">
      <c r="S3518" s="8">
        <f t="shared" si="277"/>
        <v>0</v>
      </c>
      <c r="Y3518" s="33">
        <f t="shared" si="276"/>
        <v>0</v>
      </c>
    </row>
    <row r="3519" spans="19:25">
      <c r="S3519" s="8">
        <f t="shared" si="277"/>
        <v>0</v>
      </c>
      <c r="Y3519" s="33">
        <f t="shared" si="276"/>
        <v>0</v>
      </c>
    </row>
    <row r="3520" spans="19:25">
      <c r="S3520" s="8">
        <f t="shared" si="277"/>
        <v>0</v>
      </c>
      <c r="Y3520" s="33">
        <f t="shared" si="276"/>
        <v>0</v>
      </c>
    </row>
    <row r="3521" spans="19:25">
      <c r="S3521" s="8">
        <f t="shared" si="277"/>
        <v>0</v>
      </c>
      <c r="Y3521" s="33">
        <f t="shared" si="276"/>
        <v>0</v>
      </c>
    </row>
    <row r="3522" spans="19:25">
      <c r="S3522" s="8">
        <f t="shared" si="277"/>
        <v>0</v>
      </c>
      <c r="Y3522" s="33">
        <f t="shared" si="276"/>
        <v>0</v>
      </c>
    </row>
    <row r="3523" spans="19:25">
      <c r="S3523" s="8">
        <f t="shared" si="277"/>
        <v>0</v>
      </c>
      <c r="Y3523" s="33">
        <f t="shared" si="276"/>
        <v>0</v>
      </c>
    </row>
    <row r="3524" spans="19:25">
      <c r="S3524" s="8">
        <f t="shared" si="277"/>
        <v>0</v>
      </c>
      <c r="Y3524" s="33">
        <f t="shared" si="276"/>
        <v>0</v>
      </c>
    </row>
    <row r="3525" spans="19:25">
      <c r="S3525" s="8">
        <f t="shared" si="277"/>
        <v>0</v>
      </c>
      <c r="Y3525" s="33">
        <f t="shared" ref="Y3525:Y3588" si="278">ROUND(X3525/1000,3)</f>
        <v>0</v>
      </c>
    </row>
    <row r="3526" spans="19:25">
      <c r="S3526" s="8">
        <f t="shared" ref="S3526:S3589" si="279">CEILING(R3526/50,0.5)</f>
        <v>0</v>
      </c>
      <c r="Y3526" s="33">
        <f t="shared" si="278"/>
        <v>0</v>
      </c>
    </row>
    <row r="3527" spans="19:25">
      <c r="S3527" s="8">
        <f t="shared" si="279"/>
        <v>0</v>
      </c>
      <c r="Y3527" s="33">
        <f t="shared" si="278"/>
        <v>0</v>
      </c>
    </row>
    <row r="3528" spans="19:25">
      <c r="S3528" s="8">
        <f t="shared" si="279"/>
        <v>0</v>
      </c>
      <c r="Y3528" s="33">
        <f t="shared" si="278"/>
        <v>0</v>
      </c>
    </row>
    <row r="3529" spans="19:25">
      <c r="S3529" s="8">
        <f t="shared" si="279"/>
        <v>0</v>
      </c>
      <c r="Y3529" s="33">
        <f t="shared" si="278"/>
        <v>0</v>
      </c>
    </row>
    <row r="3530" spans="19:25">
      <c r="S3530" s="8">
        <f t="shared" si="279"/>
        <v>0</v>
      </c>
      <c r="Y3530" s="33">
        <f t="shared" si="278"/>
        <v>0</v>
      </c>
    </row>
    <row r="3531" spans="19:25">
      <c r="S3531" s="8">
        <f t="shared" si="279"/>
        <v>0</v>
      </c>
      <c r="Y3531" s="33">
        <f t="shared" si="278"/>
        <v>0</v>
      </c>
    </row>
    <row r="3532" spans="19:25">
      <c r="S3532" s="8">
        <f t="shared" si="279"/>
        <v>0</v>
      </c>
      <c r="Y3532" s="33">
        <f t="shared" si="278"/>
        <v>0</v>
      </c>
    </row>
    <row r="3533" spans="19:25">
      <c r="S3533" s="8">
        <f t="shared" si="279"/>
        <v>0</v>
      </c>
      <c r="Y3533" s="33">
        <f t="shared" si="278"/>
        <v>0</v>
      </c>
    </row>
    <row r="3534" spans="19:25">
      <c r="S3534" s="8">
        <f t="shared" si="279"/>
        <v>0</v>
      </c>
      <c r="Y3534" s="33">
        <f t="shared" si="278"/>
        <v>0</v>
      </c>
    </row>
    <row r="3535" spans="19:25">
      <c r="S3535" s="8">
        <f t="shared" si="279"/>
        <v>0</v>
      </c>
      <c r="Y3535" s="33">
        <f t="shared" si="278"/>
        <v>0</v>
      </c>
    </row>
    <row r="3536" spans="19:25">
      <c r="S3536" s="8">
        <f t="shared" si="279"/>
        <v>0</v>
      </c>
      <c r="Y3536" s="33">
        <f t="shared" si="278"/>
        <v>0</v>
      </c>
    </row>
    <row r="3537" spans="19:25">
      <c r="S3537" s="8">
        <f t="shared" si="279"/>
        <v>0</v>
      </c>
      <c r="Y3537" s="33">
        <f t="shared" si="278"/>
        <v>0</v>
      </c>
    </row>
    <row r="3538" spans="19:25">
      <c r="S3538" s="8">
        <f t="shared" si="279"/>
        <v>0</v>
      </c>
      <c r="Y3538" s="33">
        <f t="shared" si="278"/>
        <v>0</v>
      </c>
    </row>
    <row r="3539" spans="19:25">
      <c r="S3539" s="8">
        <f t="shared" si="279"/>
        <v>0</v>
      </c>
      <c r="Y3539" s="33">
        <f t="shared" si="278"/>
        <v>0</v>
      </c>
    </row>
    <row r="3540" spans="19:25">
      <c r="S3540" s="8">
        <f t="shared" si="279"/>
        <v>0</v>
      </c>
      <c r="Y3540" s="33">
        <f t="shared" si="278"/>
        <v>0</v>
      </c>
    </row>
    <row r="3541" spans="19:25">
      <c r="S3541" s="8">
        <f t="shared" si="279"/>
        <v>0</v>
      </c>
      <c r="Y3541" s="33">
        <f t="shared" si="278"/>
        <v>0</v>
      </c>
    </row>
    <row r="3542" spans="19:25">
      <c r="S3542" s="8">
        <f t="shared" si="279"/>
        <v>0</v>
      </c>
      <c r="Y3542" s="33">
        <f t="shared" si="278"/>
        <v>0</v>
      </c>
    </row>
    <row r="3543" spans="19:25">
      <c r="S3543" s="8">
        <f t="shared" si="279"/>
        <v>0</v>
      </c>
      <c r="Y3543" s="33">
        <f t="shared" si="278"/>
        <v>0</v>
      </c>
    </row>
    <row r="3544" spans="19:25">
      <c r="S3544" s="8">
        <f t="shared" si="279"/>
        <v>0</v>
      </c>
      <c r="Y3544" s="33">
        <f t="shared" si="278"/>
        <v>0</v>
      </c>
    </row>
    <row r="3545" spans="19:25">
      <c r="S3545" s="8">
        <f t="shared" si="279"/>
        <v>0</v>
      </c>
      <c r="Y3545" s="33">
        <f t="shared" si="278"/>
        <v>0</v>
      </c>
    </row>
    <row r="3546" spans="19:25">
      <c r="S3546" s="8">
        <f t="shared" si="279"/>
        <v>0</v>
      </c>
      <c r="Y3546" s="33">
        <f t="shared" si="278"/>
        <v>0</v>
      </c>
    </row>
    <row r="3547" spans="19:25">
      <c r="S3547" s="8">
        <f t="shared" si="279"/>
        <v>0</v>
      </c>
      <c r="Y3547" s="33">
        <f t="shared" si="278"/>
        <v>0</v>
      </c>
    </row>
    <row r="3548" spans="19:25">
      <c r="S3548" s="8">
        <f t="shared" si="279"/>
        <v>0</v>
      </c>
      <c r="Y3548" s="33">
        <f t="shared" si="278"/>
        <v>0</v>
      </c>
    </row>
    <row r="3549" spans="19:25">
      <c r="S3549" s="8">
        <f t="shared" si="279"/>
        <v>0</v>
      </c>
      <c r="Y3549" s="33">
        <f t="shared" si="278"/>
        <v>0</v>
      </c>
    </row>
    <row r="3550" spans="19:25">
      <c r="S3550" s="8">
        <f t="shared" si="279"/>
        <v>0</v>
      </c>
      <c r="Y3550" s="33">
        <f t="shared" si="278"/>
        <v>0</v>
      </c>
    </row>
    <row r="3551" spans="19:25">
      <c r="S3551" s="8">
        <f t="shared" si="279"/>
        <v>0</v>
      </c>
      <c r="Y3551" s="33">
        <f t="shared" si="278"/>
        <v>0</v>
      </c>
    </row>
    <row r="3552" spans="19:25">
      <c r="S3552" s="8">
        <f t="shared" si="279"/>
        <v>0</v>
      </c>
      <c r="Y3552" s="33">
        <f t="shared" si="278"/>
        <v>0</v>
      </c>
    </row>
    <row r="3553" spans="19:25">
      <c r="S3553" s="8">
        <f t="shared" si="279"/>
        <v>0</v>
      </c>
      <c r="Y3553" s="33">
        <f t="shared" si="278"/>
        <v>0</v>
      </c>
    </row>
    <row r="3554" spans="19:25">
      <c r="S3554" s="8">
        <f t="shared" si="279"/>
        <v>0</v>
      </c>
      <c r="Y3554" s="33">
        <f t="shared" si="278"/>
        <v>0</v>
      </c>
    </row>
    <row r="3555" spans="19:25">
      <c r="S3555" s="8">
        <f t="shared" si="279"/>
        <v>0</v>
      </c>
      <c r="Y3555" s="33">
        <f t="shared" si="278"/>
        <v>0</v>
      </c>
    </row>
    <row r="3556" spans="19:25">
      <c r="S3556" s="8">
        <f t="shared" si="279"/>
        <v>0</v>
      </c>
      <c r="Y3556" s="33">
        <f t="shared" si="278"/>
        <v>0</v>
      </c>
    </row>
    <row r="3557" spans="19:25">
      <c r="S3557" s="8">
        <f t="shared" si="279"/>
        <v>0</v>
      </c>
      <c r="Y3557" s="33">
        <f t="shared" si="278"/>
        <v>0</v>
      </c>
    </row>
    <row r="3558" spans="19:25">
      <c r="S3558" s="8">
        <f t="shared" si="279"/>
        <v>0</v>
      </c>
      <c r="Y3558" s="33">
        <f t="shared" si="278"/>
        <v>0</v>
      </c>
    </row>
    <row r="3559" spans="19:25">
      <c r="S3559" s="8">
        <f t="shared" si="279"/>
        <v>0</v>
      </c>
      <c r="Y3559" s="33">
        <f t="shared" si="278"/>
        <v>0</v>
      </c>
    </row>
    <row r="3560" spans="19:25">
      <c r="S3560" s="8">
        <f t="shared" si="279"/>
        <v>0</v>
      </c>
      <c r="Y3560" s="33">
        <f t="shared" si="278"/>
        <v>0</v>
      </c>
    </row>
    <row r="3561" spans="19:25">
      <c r="S3561" s="8">
        <f t="shared" si="279"/>
        <v>0</v>
      </c>
      <c r="Y3561" s="33">
        <f t="shared" si="278"/>
        <v>0</v>
      </c>
    </row>
    <row r="3562" spans="19:25">
      <c r="S3562" s="8">
        <f t="shared" si="279"/>
        <v>0</v>
      </c>
      <c r="Y3562" s="33">
        <f t="shared" si="278"/>
        <v>0</v>
      </c>
    </row>
    <row r="3563" spans="19:25">
      <c r="S3563" s="8">
        <f t="shared" si="279"/>
        <v>0</v>
      </c>
      <c r="Y3563" s="33">
        <f t="shared" si="278"/>
        <v>0</v>
      </c>
    </row>
    <row r="3564" spans="19:25">
      <c r="S3564" s="8">
        <f t="shared" si="279"/>
        <v>0</v>
      </c>
      <c r="Y3564" s="33">
        <f t="shared" si="278"/>
        <v>0</v>
      </c>
    </row>
    <row r="3565" spans="19:25">
      <c r="S3565" s="8">
        <f t="shared" si="279"/>
        <v>0</v>
      </c>
      <c r="Y3565" s="33">
        <f t="shared" si="278"/>
        <v>0</v>
      </c>
    </row>
    <row r="3566" spans="19:25">
      <c r="S3566" s="8">
        <f t="shared" si="279"/>
        <v>0</v>
      </c>
      <c r="Y3566" s="33">
        <f t="shared" si="278"/>
        <v>0</v>
      </c>
    </row>
    <row r="3567" spans="19:25">
      <c r="S3567" s="8">
        <f t="shared" si="279"/>
        <v>0</v>
      </c>
      <c r="Y3567" s="33">
        <f t="shared" si="278"/>
        <v>0</v>
      </c>
    </row>
    <row r="3568" spans="19:25">
      <c r="S3568" s="8">
        <f t="shared" si="279"/>
        <v>0</v>
      </c>
      <c r="Y3568" s="33">
        <f t="shared" si="278"/>
        <v>0</v>
      </c>
    </row>
    <row r="3569" spans="19:25">
      <c r="S3569" s="8">
        <f t="shared" si="279"/>
        <v>0</v>
      </c>
      <c r="Y3569" s="33">
        <f t="shared" si="278"/>
        <v>0</v>
      </c>
    </row>
    <row r="3570" spans="19:25">
      <c r="S3570" s="8">
        <f t="shared" si="279"/>
        <v>0</v>
      </c>
      <c r="Y3570" s="33">
        <f t="shared" si="278"/>
        <v>0</v>
      </c>
    </row>
    <row r="3571" spans="19:25">
      <c r="S3571" s="8">
        <f t="shared" si="279"/>
        <v>0</v>
      </c>
      <c r="Y3571" s="33">
        <f t="shared" si="278"/>
        <v>0</v>
      </c>
    </row>
    <row r="3572" spans="19:25">
      <c r="S3572" s="8">
        <f t="shared" si="279"/>
        <v>0</v>
      </c>
      <c r="Y3572" s="33">
        <f t="shared" si="278"/>
        <v>0</v>
      </c>
    </row>
    <row r="3573" spans="19:25">
      <c r="S3573" s="8">
        <f t="shared" si="279"/>
        <v>0</v>
      </c>
      <c r="Y3573" s="33">
        <f t="shared" si="278"/>
        <v>0</v>
      </c>
    </row>
    <row r="3574" spans="19:25">
      <c r="S3574" s="8">
        <f t="shared" si="279"/>
        <v>0</v>
      </c>
      <c r="Y3574" s="33">
        <f t="shared" si="278"/>
        <v>0</v>
      </c>
    </row>
    <row r="3575" spans="19:25">
      <c r="S3575" s="8">
        <f t="shared" si="279"/>
        <v>0</v>
      </c>
      <c r="Y3575" s="33">
        <f t="shared" si="278"/>
        <v>0</v>
      </c>
    </row>
    <row r="3576" spans="19:25">
      <c r="S3576" s="8">
        <f t="shared" si="279"/>
        <v>0</v>
      </c>
      <c r="Y3576" s="33">
        <f t="shared" si="278"/>
        <v>0</v>
      </c>
    </row>
    <row r="3577" spans="19:25">
      <c r="S3577" s="8">
        <f t="shared" si="279"/>
        <v>0</v>
      </c>
      <c r="Y3577" s="33">
        <f t="shared" si="278"/>
        <v>0</v>
      </c>
    </row>
    <row r="3578" spans="19:25">
      <c r="S3578" s="8">
        <f t="shared" si="279"/>
        <v>0</v>
      </c>
      <c r="Y3578" s="33">
        <f t="shared" si="278"/>
        <v>0</v>
      </c>
    </row>
    <row r="3579" spans="19:25">
      <c r="S3579" s="8">
        <f t="shared" si="279"/>
        <v>0</v>
      </c>
      <c r="Y3579" s="33">
        <f t="shared" si="278"/>
        <v>0</v>
      </c>
    </row>
    <row r="3580" spans="19:25">
      <c r="S3580" s="8">
        <f t="shared" si="279"/>
        <v>0</v>
      </c>
      <c r="Y3580" s="33">
        <f t="shared" si="278"/>
        <v>0</v>
      </c>
    </row>
    <row r="3581" spans="19:25">
      <c r="S3581" s="8">
        <f t="shared" si="279"/>
        <v>0</v>
      </c>
      <c r="Y3581" s="33">
        <f t="shared" si="278"/>
        <v>0</v>
      </c>
    </row>
    <row r="3582" spans="19:25">
      <c r="S3582" s="8">
        <f t="shared" si="279"/>
        <v>0</v>
      </c>
      <c r="Y3582" s="33">
        <f t="shared" si="278"/>
        <v>0</v>
      </c>
    </row>
    <row r="3583" spans="19:25">
      <c r="S3583" s="8">
        <f t="shared" si="279"/>
        <v>0</v>
      </c>
      <c r="Y3583" s="33">
        <f t="shared" si="278"/>
        <v>0</v>
      </c>
    </row>
    <row r="3584" spans="19:25">
      <c r="S3584" s="8">
        <f t="shared" si="279"/>
        <v>0</v>
      </c>
      <c r="Y3584" s="33">
        <f t="shared" si="278"/>
        <v>0</v>
      </c>
    </row>
    <row r="3585" spans="19:25">
      <c r="S3585" s="8">
        <f t="shared" si="279"/>
        <v>0</v>
      </c>
      <c r="Y3585" s="33">
        <f t="shared" si="278"/>
        <v>0</v>
      </c>
    </row>
    <row r="3586" spans="19:25">
      <c r="S3586" s="8">
        <f t="shared" si="279"/>
        <v>0</v>
      </c>
      <c r="Y3586" s="33">
        <f t="shared" si="278"/>
        <v>0</v>
      </c>
    </row>
    <row r="3587" spans="19:25">
      <c r="S3587" s="8">
        <f t="shared" si="279"/>
        <v>0</v>
      </c>
      <c r="Y3587" s="33">
        <f t="shared" si="278"/>
        <v>0</v>
      </c>
    </row>
    <row r="3588" spans="19:25">
      <c r="S3588" s="8">
        <f t="shared" si="279"/>
        <v>0</v>
      </c>
      <c r="Y3588" s="33">
        <f t="shared" si="278"/>
        <v>0</v>
      </c>
    </row>
    <row r="3589" spans="19:25">
      <c r="S3589" s="8">
        <f t="shared" si="279"/>
        <v>0</v>
      </c>
      <c r="Y3589" s="33">
        <f t="shared" ref="Y3589:Y3652" si="280">ROUND(X3589/1000,3)</f>
        <v>0</v>
      </c>
    </row>
    <row r="3590" spans="19:25">
      <c r="S3590" s="8">
        <f t="shared" ref="S3590:S3653" si="281">CEILING(R3590/50,0.5)</f>
        <v>0</v>
      </c>
      <c r="Y3590" s="33">
        <f t="shared" si="280"/>
        <v>0</v>
      </c>
    </row>
    <row r="3591" spans="19:25">
      <c r="S3591" s="8">
        <f t="shared" si="281"/>
        <v>0</v>
      </c>
      <c r="Y3591" s="33">
        <f t="shared" si="280"/>
        <v>0</v>
      </c>
    </row>
    <row r="3592" spans="19:25">
      <c r="S3592" s="8">
        <f t="shared" si="281"/>
        <v>0</v>
      </c>
      <c r="Y3592" s="33">
        <f t="shared" si="280"/>
        <v>0</v>
      </c>
    </row>
    <row r="3593" spans="19:25">
      <c r="S3593" s="8">
        <f t="shared" si="281"/>
        <v>0</v>
      </c>
      <c r="Y3593" s="33">
        <f t="shared" si="280"/>
        <v>0</v>
      </c>
    </row>
    <row r="3594" spans="19:25">
      <c r="S3594" s="8">
        <f t="shared" si="281"/>
        <v>0</v>
      </c>
      <c r="Y3594" s="33">
        <f t="shared" si="280"/>
        <v>0</v>
      </c>
    </row>
    <row r="3595" spans="19:25">
      <c r="S3595" s="8">
        <f t="shared" si="281"/>
        <v>0</v>
      </c>
      <c r="Y3595" s="33">
        <f t="shared" si="280"/>
        <v>0</v>
      </c>
    </row>
    <row r="3596" spans="19:25">
      <c r="S3596" s="8">
        <f t="shared" si="281"/>
        <v>0</v>
      </c>
      <c r="Y3596" s="33">
        <f t="shared" si="280"/>
        <v>0</v>
      </c>
    </row>
    <row r="3597" spans="19:25">
      <c r="S3597" s="8">
        <f t="shared" si="281"/>
        <v>0</v>
      </c>
      <c r="Y3597" s="33">
        <f t="shared" si="280"/>
        <v>0</v>
      </c>
    </row>
    <row r="3598" spans="19:25">
      <c r="S3598" s="8">
        <f t="shared" si="281"/>
        <v>0</v>
      </c>
      <c r="Y3598" s="33">
        <f t="shared" si="280"/>
        <v>0</v>
      </c>
    </row>
    <row r="3599" spans="19:25">
      <c r="S3599" s="8">
        <f t="shared" si="281"/>
        <v>0</v>
      </c>
      <c r="Y3599" s="33">
        <f t="shared" si="280"/>
        <v>0</v>
      </c>
    </row>
    <row r="3600" spans="19:25">
      <c r="S3600" s="8">
        <f t="shared" si="281"/>
        <v>0</v>
      </c>
      <c r="Y3600" s="33">
        <f t="shared" si="280"/>
        <v>0</v>
      </c>
    </row>
    <row r="3601" spans="19:25">
      <c r="S3601" s="8">
        <f t="shared" si="281"/>
        <v>0</v>
      </c>
      <c r="Y3601" s="33">
        <f t="shared" si="280"/>
        <v>0</v>
      </c>
    </row>
    <row r="3602" spans="19:25">
      <c r="S3602" s="8">
        <f t="shared" si="281"/>
        <v>0</v>
      </c>
      <c r="Y3602" s="33">
        <f t="shared" si="280"/>
        <v>0</v>
      </c>
    </row>
    <row r="3603" spans="19:25">
      <c r="S3603" s="8">
        <f t="shared" si="281"/>
        <v>0</v>
      </c>
      <c r="Y3603" s="33">
        <f t="shared" si="280"/>
        <v>0</v>
      </c>
    </row>
    <row r="3604" spans="19:25">
      <c r="S3604" s="8">
        <f t="shared" si="281"/>
        <v>0</v>
      </c>
      <c r="Y3604" s="33">
        <f t="shared" si="280"/>
        <v>0</v>
      </c>
    </row>
    <row r="3605" spans="19:25">
      <c r="S3605" s="8">
        <f t="shared" si="281"/>
        <v>0</v>
      </c>
      <c r="Y3605" s="33">
        <f t="shared" si="280"/>
        <v>0</v>
      </c>
    </row>
    <row r="3606" spans="19:25">
      <c r="S3606" s="8">
        <f t="shared" si="281"/>
        <v>0</v>
      </c>
      <c r="Y3606" s="33">
        <f t="shared" si="280"/>
        <v>0</v>
      </c>
    </row>
    <row r="3607" spans="19:25">
      <c r="S3607" s="8">
        <f t="shared" si="281"/>
        <v>0</v>
      </c>
      <c r="Y3607" s="33">
        <f t="shared" si="280"/>
        <v>0</v>
      </c>
    </row>
    <row r="3608" spans="19:25">
      <c r="S3608" s="8">
        <f t="shared" si="281"/>
        <v>0</v>
      </c>
      <c r="Y3608" s="33">
        <f t="shared" si="280"/>
        <v>0</v>
      </c>
    </row>
    <row r="3609" spans="19:25">
      <c r="S3609" s="8">
        <f t="shared" si="281"/>
        <v>0</v>
      </c>
      <c r="Y3609" s="33">
        <f t="shared" si="280"/>
        <v>0</v>
      </c>
    </row>
    <row r="3610" spans="19:25">
      <c r="S3610" s="8">
        <f t="shared" si="281"/>
        <v>0</v>
      </c>
      <c r="Y3610" s="33">
        <f t="shared" si="280"/>
        <v>0</v>
      </c>
    </row>
    <row r="3611" spans="19:25">
      <c r="S3611" s="8">
        <f t="shared" si="281"/>
        <v>0</v>
      </c>
      <c r="Y3611" s="33">
        <f t="shared" si="280"/>
        <v>0</v>
      </c>
    </row>
    <row r="3612" spans="19:25">
      <c r="S3612" s="8">
        <f t="shared" si="281"/>
        <v>0</v>
      </c>
      <c r="Y3612" s="33">
        <f t="shared" si="280"/>
        <v>0</v>
      </c>
    </row>
    <row r="3613" spans="19:25">
      <c r="S3613" s="8">
        <f t="shared" si="281"/>
        <v>0</v>
      </c>
      <c r="Y3613" s="33">
        <f t="shared" si="280"/>
        <v>0</v>
      </c>
    </row>
    <row r="3614" spans="19:25">
      <c r="S3614" s="8">
        <f t="shared" si="281"/>
        <v>0</v>
      </c>
      <c r="Y3614" s="33">
        <f t="shared" si="280"/>
        <v>0</v>
      </c>
    </row>
    <row r="3615" spans="19:25">
      <c r="S3615" s="8">
        <f t="shared" si="281"/>
        <v>0</v>
      </c>
      <c r="Y3615" s="33">
        <f t="shared" si="280"/>
        <v>0</v>
      </c>
    </row>
    <row r="3616" spans="19:25">
      <c r="S3616" s="8">
        <f t="shared" si="281"/>
        <v>0</v>
      </c>
      <c r="Y3616" s="33">
        <f t="shared" si="280"/>
        <v>0</v>
      </c>
    </row>
    <row r="3617" spans="19:25">
      <c r="S3617" s="8">
        <f t="shared" si="281"/>
        <v>0</v>
      </c>
      <c r="Y3617" s="33">
        <f t="shared" si="280"/>
        <v>0</v>
      </c>
    </row>
    <row r="3618" spans="19:25">
      <c r="S3618" s="8">
        <f t="shared" si="281"/>
        <v>0</v>
      </c>
      <c r="Y3618" s="33">
        <f t="shared" si="280"/>
        <v>0</v>
      </c>
    </row>
    <row r="3619" spans="19:25">
      <c r="S3619" s="8">
        <f t="shared" si="281"/>
        <v>0</v>
      </c>
      <c r="Y3619" s="33">
        <f t="shared" si="280"/>
        <v>0</v>
      </c>
    </row>
    <row r="3620" spans="19:25">
      <c r="S3620" s="8">
        <f t="shared" si="281"/>
        <v>0</v>
      </c>
      <c r="Y3620" s="33">
        <f t="shared" si="280"/>
        <v>0</v>
      </c>
    </row>
    <row r="3621" spans="19:25">
      <c r="S3621" s="8">
        <f t="shared" si="281"/>
        <v>0</v>
      </c>
      <c r="Y3621" s="33">
        <f t="shared" si="280"/>
        <v>0</v>
      </c>
    </row>
    <row r="3622" spans="19:25">
      <c r="S3622" s="8">
        <f t="shared" si="281"/>
        <v>0</v>
      </c>
      <c r="Y3622" s="33">
        <f t="shared" si="280"/>
        <v>0</v>
      </c>
    </row>
    <row r="3623" spans="19:25">
      <c r="S3623" s="8">
        <f t="shared" si="281"/>
        <v>0</v>
      </c>
      <c r="Y3623" s="33">
        <f t="shared" si="280"/>
        <v>0</v>
      </c>
    </row>
    <row r="3624" spans="19:25">
      <c r="S3624" s="8">
        <f t="shared" si="281"/>
        <v>0</v>
      </c>
      <c r="Y3624" s="33">
        <f t="shared" si="280"/>
        <v>0</v>
      </c>
    </row>
    <row r="3625" spans="19:25">
      <c r="S3625" s="8">
        <f t="shared" si="281"/>
        <v>0</v>
      </c>
      <c r="Y3625" s="33">
        <f t="shared" si="280"/>
        <v>0</v>
      </c>
    </row>
    <row r="3626" spans="19:25">
      <c r="S3626" s="8">
        <f t="shared" si="281"/>
        <v>0</v>
      </c>
      <c r="Y3626" s="33">
        <f t="shared" si="280"/>
        <v>0</v>
      </c>
    </row>
    <row r="3627" spans="19:25">
      <c r="S3627" s="8">
        <f t="shared" si="281"/>
        <v>0</v>
      </c>
      <c r="Y3627" s="33">
        <f t="shared" si="280"/>
        <v>0</v>
      </c>
    </row>
    <row r="3628" spans="19:25">
      <c r="S3628" s="8">
        <f t="shared" si="281"/>
        <v>0</v>
      </c>
      <c r="Y3628" s="33">
        <f t="shared" si="280"/>
        <v>0</v>
      </c>
    </row>
    <row r="3629" spans="19:25">
      <c r="S3629" s="8">
        <f t="shared" si="281"/>
        <v>0</v>
      </c>
      <c r="Y3629" s="33">
        <f t="shared" si="280"/>
        <v>0</v>
      </c>
    </row>
    <row r="3630" spans="19:25">
      <c r="S3630" s="8">
        <f t="shared" si="281"/>
        <v>0</v>
      </c>
      <c r="Y3630" s="33">
        <f t="shared" si="280"/>
        <v>0</v>
      </c>
    </row>
    <row r="3631" spans="19:25">
      <c r="S3631" s="8">
        <f t="shared" si="281"/>
        <v>0</v>
      </c>
      <c r="Y3631" s="33">
        <f t="shared" si="280"/>
        <v>0</v>
      </c>
    </row>
    <row r="3632" spans="19:25">
      <c r="S3632" s="8">
        <f t="shared" si="281"/>
        <v>0</v>
      </c>
      <c r="Y3632" s="33">
        <f t="shared" si="280"/>
        <v>0</v>
      </c>
    </row>
    <row r="3633" spans="19:25">
      <c r="S3633" s="8">
        <f t="shared" si="281"/>
        <v>0</v>
      </c>
      <c r="Y3633" s="33">
        <f t="shared" si="280"/>
        <v>0</v>
      </c>
    </row>
    <row r="3634" spans="19:25">
      <c r="S3634" s="8">
        <f t="shared" si="281"/>
        <v>0</v>
      </c>
      <c r="Y3634" s="33">
        <f t="shared" si="280"/>
        <v>0</v>
      </c>
    </row>
    <row r="3635" spans="19:25">
      <c r="S3635" s="8">
        <f t="shared" si="281"/>
        <v>0</v>
      </c>
      <c r="Y3635" s="33">
        <f t="shared" si="280"/>
        <v>0</v>
      </c>
    </row>
    <row r="3636" spans="19:25">
      <c r="S3636" s="8">
        <f t="shared" si="281"/>
        <v>0</v>
      </c>
      <c r="Y3636" s="33">
        <f t="shared" si="280"/>
        <v>0</v>
      </c>
    </row>
    <row r="3637" spans="19:25">
      <c r="S3637" s="8">
        <f t="shared" si="281"/>
        <v>0</v>
      </c>
      <c r="Y3637" s="33">
        <f t="shared" si="280"/>
        <v>0</v>
      </c>
    </row>
    <row r="3638" spans="19:25">
      <c r="S3638" s="8">
        <f t="shared" si="281"/>
        <v>0</v>
      </c>
      <c r="Y3638" s="33">
        <f t="shared" si="280"/>
        <v>0</v>
      </c>
    </row>
    <row r="3639" spans="19:25">
      <c r="S3639" s="8">
        <f t="shared" si="281"/>
        <v>0</v>
      </c>
      <c r="Y3639" s="33">
        <f t="shared" si="280"/>
        <v>0</v>
      </c>
    </row>
    <row r="3640" spans="19:25">
      <c r="S3640" s="8">
        <f t="shared" si="281"/>
        <v>0</v>
      </c>
      <c r="Y3640" s="33">
        <f t="shared" si="280"/>
        <v>0</v>
      </c>
    </row>
    <row r="3641" spans="19:25">
      <c r="S3641" s="8">
        <f t="shared" si="281"/>
        <v>0</v>
      </c>
      <c r="Y3641" s="33">
        <f t="shared" si="280"/>
        <v>0</v>
      </c>
    </row>
    <row r="3642" spans="19:25">
      <c r="S3642" s="8">
        <f t="shared" si="281"/>
        <v>0</v>
      </c>
      <c r="Y3642" s="33">
        <f t="shared" si="280"/>
        <v>0</v>
      </c>
    </row>
    <row r="3643" spans="19:25">
      <c r="S3643" s="8">
        <f t="shared" si="281"/>
        <v>0</v>
      </c>
      <c r="Y3643" s="33">
        <f t="shared" si="280"/>
        <v>0</v>
      </c>
    </row>
    <row r="3644" spans="19:25">
      <c r="S3644" s="8">
        <f t="shared" si="281"/>
        <v>0</v>
      </c>
      <c r="Y3644" s="33">
        <f t="shared" si="280"/>
        <v>0</v>
      </c>
    </row>
    <row r="3645" spans="19:25">
      <c r="S3645" s="8">
        <f t="shared" si="281"/>
        <v>0</v>
      </c>
      <c r="Y3645" s="33">
        <f t="shared" si="280"/>
        <v>0</v>
      </c>
    </row>
    <row r="3646" spans="19:25">
      <c r="S3646" s="8">
        <f t="shared" si="281"/>
        <v>0</v>
      </c>
      <c r="Y3646" s="33">
        <f t="shared" si="280"/>
        <v>0</v>
      </c>
    </row>
    <row r="3647" spans="19:25">
      <c r="S3647" s="8">
        <f t="shared" si="281"/>
        <v>0</v>
      </c>
      <c r="Y3647" s="33">
        <f t="shared" si="280"/>
        <v>0</v>
      </c>
    </row>
    <row r="3648" spans="19:25">
      <c r="S3648" s="8">
        <f t="shared" si="281"/>
        <v>0</v>
      </c>
      <c r="Y3648" s="33">
        <f t="shared" si="280"/>
        <v>0</v>
      </c>
    </row>
    <row r="3649" spans="19:25">
      <c r="S3649" s="8">
        <f t="shared" si="281"/>
        <v>0</v>
      </c>
      <c r="Y3649" s="33">
        <f t="shared" si="280"/>
        <v>0</v>
      </c>
    </row>
    <row r="3650" spans="19:25">
      <c r="S3650" s="8">
        <f t="shared" si="281"/>
        <v>0</v>
      </c>
      <c r="Y3650" s="33">
        <f t="shared" si="280"/>
        <v>0</v>
      </c>
    </row>
    <row r="3651" spans="19:25">
      <c r="S3651" s="8">
        <f t="shared" si="281"/>
        <v>0</v>
      </c>
      <c r="Y3651" s="33">
        <f t="shared" si="280"/>
        <v>0</v>
      </c>
    </row>
    <row r="3652" spans="19:25">
      <c r="S3652" s="8">
        <f t="shared" si="281"/>
        <v>0</v>
      </c>
      <c r="Y3652" s="33">
        <f t="shared" si="280"/>
        <v>0</v>
      </c>
    </row>
    <row r="3653" spans="19:25">
      <c r="S3653" s="8">
        <f t="shared" si="281"/>
        <v>0</v>
      </c>
      <c r="Y3653" s="33">
        <f t="shared" ref="Y3653:Y3716" si="282">ROUND(X3653/1000,3)</f>
        <v>0</v>
      </c>
    </row>
    <row r="3654" spans="19:25">
      <c r="S3654" s="8">
        <f t="shared" ref="S3654:S3717" si="283">CEILING(R3654/50,0.5)</f>
        <v>0</v>
      </c>
      <c r="Y3654" s="33">
        <f t="shared" si="282"/>
        <v>0</v>
      </c>
    </row>
    <row r="3655" spans="19:25">
      <c r="S3655" s="8">
        <f t="shared" si="283"/>
        <v>0</v>
      </c>
      <c r="Y3655" s="33">
        <f t="shared" si="282"/>
        <v>0</v>
      </c>
    </row>
    <row r="3656" spans="19:25">
      <c r="S3656" s="8">
        <f t="shared" si="283"/>
        <v>0</v>
      </c>
      <c r="Y3656" s="33">
        <f t="shared" si="282"/>
        <v>0</v>
      </c>
    </row>
    <row r="3657" spans="19:25">
      <c r="S3657" s="8">
        <f t="shared" si="283"/>
        <v>0</v>
      </c>
      <c r="Y3657" s="33">
        <f t="shared" si="282"/>
        <v>0</v>
      </c>
    </row>
    <row r="3658" spans="19:25">
      <c r="S3658" s="8">
        <f t="shared" si="283"/>
        <v>0</v>
      </c>
      <c r="Y3658" s="33">
        <f t="shared" si="282"/>
        <v>0</v>
      </c>
    </row>
    <row r="3659" spans="19:25">
      <c r="S3659" s="8">
        <f t="shared" si="283"/>
        <v>0</v>
      </c>
      <c r="Y3659" s="33">
        <f t="shared" si="282"/>
        <v>0</v>
      </c>
    </row>
    <row r="3660" spans="19:25">
      <c r="S3660" s="8">
        <f t="shared" si="283"/>
        <v>0</v>
      </c>
      <c r="Y3660" s="33">
        <f t="shared" si="282"/>
        <v>0</v>
      </c>
    </row>
    <row r="3661" spans="19:25">
      <c r="S3661" s="8">
        <f t="shared" si="283"/>
        <v>0</v>
      </c>
      <c r="Y3661" s="33">
        <f t="shared" si="282"/>
        <v>0</v>
      </c>
    </row>
    <row r="3662" spans="19:25">
      <c r="S3662" s="8">
        <f t="shared" si="283"/>
        <v>0</v>
      </c>
      <c r="Y3662" s="33">
        <f t="shared" si="282"/>
        <v>0</v>
      </c>
    </row>
    <row r="3663" spans="19:25">
      <c r="S3663" s="8">
        <f t="shared" si="283"/>
        <v>0</v>
      </c>
      <c r="Y3663" s="33">
        <f t="shared" si="282"/>
        <v>0</v>
      </c>
    </row>
    <row r="3664" spans="19:25">
      <c r="S3664" s="8">
        <f t="shared" si="283"/>
        <v>0</v>
      </c>
      <c r="Y3664" s="33">
        <f t="shared" si="282"/>
        <v>0</v>
      </c>
    </row>
    <row r="3665" spans="19:25">
      <c r="S3665" s="8">
        <f t="shared" si="283"/>
        <v>0</v>
      </c>
      <c r="Y3665" s="33">
        <f t="shared" si="282"/>
        <v>0</v>
      </c>
    </row>
    <row r="3666" spans="19:25">
      <c r="S3666" s="8">
        <f t="shared" si="283"/>
        <v>0</v>
      </c>
      <c r="Y3666" s="33">
        <f t="shared" si="282"/>
        <v>0</v>
      </c>
    </row>
    <row r="3667" spans="19:25">
      <c r="S3667" s="8">
        <f t="shared" si="283"/>
        <v>0</v>
      </c>
      <c r="Y3667" s="33">
        <f t="shared" si="282"/>
        <v>0</v>
      </c>
    </row>
    <row r="3668" spans="19:25">
      <c r="S3668" s="8">
        <f t="shared" si="283"/>
        <v>0</v>
      </c>
      <c r="Y3668" s="33">
        <f t="shared" si="282"/>
        <v>0</v>
      </c>
    </row>
    <row r="3669" spans="19:25">
      <c r="S3669" s="8">
        <f t="shared" si="283"/>
        <v>0</v>
      </c>
      <c r="Y3669" s="33">
        <f t="shared" si="282"/>
        <v>0</v>
      </c>
    </row>
    <row r="3670" spans="19:25">
      <c r="S3670" s="8">
        <f t="shared" si="283"/>
        <v>0</v>
      </c>
      <c r="Y3670" s="33">
        <f t="shared" si="282"/>
        <v>0</v>
      </c>
    </row>
    <row r="3671" spans="19:25">
      <c r="S3671" s="8">
        <f t="shared" si="283"/>
        <v>0</v>
      </c>
      <c r="Y3671" s="33">
        <f t="shared" si="282"/>
        <v>0</v>
      </c>
    </row>
    <row r="3672" spans="19:25">
      <c r="S3672" s="8">
        <f t="shared" si="283"/>
        <v>0</v>
      </c>
      <c r="Y3672" s="33">
        <f t="shared" si="282"/>
        <v>0</v>
      </c>
    </row>
    <row r="3673" spans="19:25">
      <c r="S3673" s="8">
        <f t="shared" si="283"/>
        <v>0</v>
      </c>
      <c r="Y3673" s="33">
        <f t="shared" si="282"/>
        <v>0</v>
      </c>
    </row>
    <row r="3674" spans="19:25">
      <c r="S3674" s="8">
        <f t="shared" si="283"/>
        <v>0</v>
      </c>
      <c r="Y3674" s="33">
        <f t="shared" si="282"/>
        <v>0</v>
      </c>
    </row>
    <row r="3675" spans="19:25">
      <c r="S3675" s="8">
        <f t="shared" si="283"/>
        <v>0</v>
      </c>
      <c r="Y3675" s="33">
        <f t="shared" si="282"/>
        <v>0</v>
      </c>
    </row>
    <row r="3676" spans="19:25">
      <c r="S3676" s="8">
        <f t="shared" si="283"/>
        <v>0</v>
      </c>
      <c r="Y3676" s="33">
        <f t="shared" si="282"/>
        <v>0</v>
      </c>
    </row>
    <row r="3677" spans="19:25">
      <c r="S3677" s="8">
        <f t="shared" si="283"/>
        <v>0</v>
      </c>
      <c r="Y3677" s="33">
        <f t="shared" si="282"/>
        <v>0</v>
      </c>
    </row>
    <row r="3678" spans="19:25">
      <c r="S3678" s="8">
        <f t="shared" si="283"/>
        <v>0</v>
      </c>
      <c r="Y3678" s="33">
        <f t="shared" si="282"/>
        <v>0</v>
      </c>
    </row>
    <row r="3679" spans="19:25">
      <c r="S3679" s="8">
        <f t="shared" si="283"/>
        <v>0</v>
      </c>
      <c r="Y3679" s="33">
        <f t="shared" si="282"/>
        <v>0</v>
      </c>
    </row>
    <row r="3680" spans="19:25">
      <c r="S3680" s="8">
        <f t="shared" si="283"/>
        <v>0</v>
      </c>
      <c r="Y3680" s="33">
        <f t="shared" si="282"/>
        <v>0</v>
      </c>
    </row>
    <row r="3681" spans="19:25">
      <c r="S3681" s="8">
        <f t="shared" si="283"/>
        <v>0</v>
      </c>
      <c r="Y3681" s="33">
        <f t="shared" si="282"/>
        <v>0</v>
      </c>
    </row>
    <row r="3682" spans="19:25">
      <c r="S3682" s="8">
        <f t="shared" si="283"/>
        <v>0</v>
      </c>
      <c r="Y3682" s="33">
        <f t="shared" si="282"/>
        <v>0</v>
      </c>
    </row>
    <row r="3683" spans="19:25">
      <c r="S3683" s="8">
        <f t="shared" si="283"/>
        <v>0</v>
      </c>
      <c r="Y3683" s="33">
        <f t="shared" si="282"/>
        <v>0</v>
      </c>
    </row>
    <row r="3684" spans="19:25">
      <c r="S3684" s="8">
        <f t="shared" si="283"/>
        <v>0</v>
      </c>
      <c r="Y3684" s="33">
        <f t="shared" si="282"/>
        <v>0</v>
      </c>
    </row>
    <row r="3685" spans="19:25">
      <c r="S3685" s="8">
        <f t="shared" si="283"/>
        <v>0</v>
      </c>
      <c r="Y3685" s="33">
        <f t="shared" si="282"/>
        <v>0</v>
      </c>
    </row>
    <row r="3686" spans="19:25">
      <c r="S3686" s="8">
        <f t="shared" si="283"/>
        <v>0</v>
      </c>
      <c r="Y3686" s="33">
        <f t="shared" si="282"/>
        <v>0</v>
      </c>
    </row>
    <row r="3687" spans="19:25">
      <c r="S3687" s="8">
        <f t="shared" si="283"/>
        <v>0</v>
      </c>
      <c r="Y3687" s="33">
        <f t="shared" si="282"/>
        <v>0</v>
      </c>
    </row>
    <row r="3688" spans="19:25">
      <c r="S3688" s="8">
        <f t="shared" si="283"/>
        <v>0</v>
      </c>
      <c r="Y3688" s="33">
        <f t="shared" si="282"/>
        <v>0</v>
      </c>
    </row>
    <row r="3689" spans="19:25">
      <c r="S3689" s="8">
        <f t="shared" si="283"/>
        <v>0</v>
      </c>
      <c r="Y3689" s="33">
        <f t="shared" si="282"/>
        <v>0</v>
      </c>
    </row>
    <row r="3690" spans="19:25">
      <c r="S3690" s="8">
        <f t="shared" si="283"/>
        <v>0</v>
      </c>
      <c r="Y3690" s="33">
        <f t="shared" si="282"/>
        <v>0</v>
      </c>
    </row>
    <row r="3691" spans="19:25">
      <c r="S3691" s="8">
        <f t="shared" si="283"/>
        <v>0</v>
      </c>
      <c r="Y3691" s="33">
        <f t="shared" si="282"/>
        <v>0</v>
      </c>
    </row>
    <row r="3692" spans="19:25">
      <c r="S3692" s="8">
        <f t="shared" si="283"/>
        <v>0</v>
      </c>
      <c r="Y3692" s="33">
        <f t="shared" si="282"/>
        <v>0</v>
      </c>
    </row>
    <row r="3693" spans="19:25">
      <c r="S3693" s="8">
        <f t="shared" si="283"/>
        <v>0</v>
      </c>
      <c r="Y3693" s="33">
        <f t="shared" si="282"/>
        <v>0</v>
      </c>
    </row>
    <row r="3694" spans="19:25">
      <c r="S3694" s="8">
        <f t="shared" si="283"/>
        <v>0</v>
      </c>
      <c r="Y3694" s="33">
        <f t="shared" si="282"/>
        <v>0</v>
      </c>
    </row>
    <row r="3695" spans="19:25">
      <c r="S3695" s="8">
        <f t="shared" si="283"/>
        <v>0</v>
      </c>
      <c r="Y3695" s="33">
        <f t="shared" si="282"/>
        <v>0</v>
      </c>
    </row>
    <row r="3696" spans="19:25">
      <c r="S3696" s="8">
        <f t="shared" si="283"/>
        <v>0</v>
      </c>
      <c r="Y3696" s="33">
        <f t="shared" si="282"/>
        <v>0</v>
      </c>
    </row>
    <row r="3697" spans="19:25">
      <c r="S3697" s="8">
        <f t="shared" si="283"/>
        <v>0</v>
      </c>
      <c r="Y3697" s="33">
        <f t="shared" si="282"/>
        <v>0</v>
      </c>
    </row>
    <row r="3698" spans="19:25">
      <c r="S3698" s="8">
        <f t="shared" si="283"/>
        <v>0</v>
      </c>
      <c r="Y3698" s="33">
        <f t="shared" si="282"/>
        <v>0</v>
      </c>
    </row>
    <row r="3699" spans="19:25">
      <c r="S3699" s="8">
        <f t="shared" si="283"/>
        <v>0</v>
      </c>
      <c r="Y3699" s="33">
        <f t="shared" si="282"/>
        <v>0</v>
      </c>
    </row>
    <row r="3700" spans="19:25">
      <c r="S3700" s="8">
        <f t="shared" si="283"/>
        <v>0</v>
      </c>
      <c r="Y3700" s="33">
        <f t="shared" si="282"/>
        <v>0</v>
      </c>
    </row>
    <row r="3701" spans="19:25">
      <c r="S3701" s="8">
        <f t="shared" si="283"/>
        <v>0</v>
      </c>
      <c r="Y3701" s="33">
        <f t="shared" si="282"/>
        <v>0</v>
      </c>
    </row>
    <row r="3702" spans="19:25">
      <c r="S3702" s="8">
        <f t="shared" si="283"/>
        <v>0</v>
      </c>
      <c r="Y3702" s="33">
        <f t="shared" si="282"/>
        <v>0</v>
      </c>
    </row>
    <row r="3703" spans="19:25">
      <c r="S3703" s="8">
        <f t="shared" si="283"/>
        <v>0</v>
      </c>
      <c r="Y3703" s="33">
        <f t="shared" si="282"/>
        <v>0</v>
      </c>
    </row>
    <row r="3704" spans="19:25">
      <c r="S3704" s="8">
        <f t="shared" si="283"/>
        <v>0</v>
      </c>
      <c r="Y3704" s="33">
        <f t="shared" si="282"/>
        <v>0</v>
      </c>
    </row>
    <row r="3705" spans="19:25">
      <c r="S3705" s="8">
        <f t="shared" si="283"/>
        <v>0</v>
      </c>
      <c r="Y3705" s="33">
        <f t="shared" si="282"/>
        <v>0</v>
      </c>
    </row>
    <row r="3706" spans="19:25">
      <c r="S3706" s="8">
        <f t="shared" si="283"/>
        <v>0</v>
      </c>
      <c r="Y3706" s="33">
        <f t="shared" si="282"/>
        <v>0</v>
      </c>
    </row>
    <row r="3707" spans="19:25">
      <c r="S3707" s="8">
        <f t="shared" si="283"/>
        <v>0</v>
      </c>
      <c r="Y3707" s="33">
        <f t="shared" si="282"/>
        <v>0</v>
      </c>
    </row>
    <row r="3708" spans="19:25">
      <c r="S3708" s="8">
        <f t="shared" si="283"/>
        <v>0</v>
      </c>
      <c r="Y3708" s="33">
        <f t="shared" si="282"/>
        <v>0</v>
      </c>
    </row>
    <row r="3709" spans="19:25">
      <c r="S3709" s="8">
        <f t="shared" si="283"/>
        <v>0</v>
      </c>
      <c r="Y3709" s="33">
        <f t="shared" si="282"/>
        <v>0</v>
      </c>
    </row>
    <row r="3710" spans="19:25">
      <c r="S3710" s="8">
        <f t="shared" si="283"/>
        <v>0</v>
      </c>
      <c r="Y3710" s="33">
        <f t="shared" si="282"/>
        <v>0</v>
      </c>
    </row>
    <row r="3711" spans="19:25">
      <c r="S3711" s="8">
        <f t="shared" si="283"/>
        <v>0</v>
      </c>
      <c r="Y3711" s="33">
        <f t="shared" si="282"/>
        <v>0</v>
      </c>
    </row>
    <row r="3712" spans="19:25">
      <c r="S3712" s="8">
        <f t="shared" si="283"/>
        <v>0</v>
      </c>
      <c r="Y3712" s="33">
        <f t="shared" si="282"/>
        <v>0</v>
      </c>
    </row>
    <row r="3713" spans="19:25">
      <c r="S3713" s="8">
        <f t="shared" si="283"/>
        <v>0</v>
      </c>
      <c r="Y3713" s="33">
        <f t="shared" si="282"/>
        <v>0</v>
      </c>
    </row>
    <row r="3714" spans="19:25">
      <c r="S3714" s="8">
        <f t="shared" si="283"/>
        <v>0</v>
      </c>
      <c r="Y3714" s="33">
        <f t="shared" si="282"/>
        <v>0</v>
      </c>
    </row>
    <row r="3715" spans="19:25">
      <c r="S3715" s="8">
        <f t="shared" si="283"/>
        <v>0</v>
      </c>
      <c r="Y3715" s="33">
        <f t="shared" si="282"/>
        <v>0</v>
      </c>
    </row>
    <row r="3716" spans="19:25">
      <c r="S3716" s="8">
        <f t="shared" si="283"/>
        <v>0</v>
      </c>
      <c r="Y3716" s="33">
        <f t="shared" si="282"/>
        <v>0</v>
      </c>
    </row>
    <row r="3717" spans="19:25">
      <c r="S3717" s="8">
        <f t="shared" si="283"/>
        <v>0</v>
      </c>
      <c r="Y3717" s="33">
        <f t="shared" ref="Y3717:Y3735" si="284">ROUND(X3717/1000,3)</f>
        <v>0</v>
      </c>
    </row>
    <row r="3718" spans="19:25">
      <c r="S3718" s="8">
        <f t="shared" ref="S3718:S3735" si="285">CEILING(R3718/50,0.5)</f>
        <v>0</v>
      </c>
      <c r="Y3718" s="33">
        <f t="shared" si="284"/>
        <v>0</v>
      </c>
    </row>
    <row r="3719" spans="19:25">
      <c r="S3719" s="8">
        <f t="shared" si="285"/>
        <v>0</v>
      </c>
      <c r="Y3719" s="33">
        <f t="shared" si="284"/>
        <v>0</v>
      </c>
    </row>
    <row r="3720" spans="19:25">
      <c r="S3720" s="8">
        <f t="shared" si="285"/>
        <v>0</v>
      </c>
      <c r="Y3720" s="33">
        <f t="shared" si="284"/>
        <v>0</v>
      </c>
    </row>
    <row r="3721" spans="19:25">
      <c r="S3721" s="8">
        <f t="shared" si="285"/>
        <v>0</v>
      </c>
      <c r="Y3721" s="33">
        <f t="shared" si="284"/>
        <v>0</v>
      </c>
    </row>
    <row r="3722" spans="19:25">
      <c r="S3722" s="8">
        <f t="shared" si="285"/>
        <v>0</v>
      </c>
      <c r="Y3722" s="33">
        <f t="shared" si="284"/>
        <v>0</v>
      </c>
    </row>
    <row r="3723" spans="19:25">
      <c r="S3723" s="8">
        <f t="shared" si="285"/>
        <v>0</v>
      </c>
      <c r="Y3723" s="33">
        <f t="shared" si="284"/>
        <v>0</v>
      </c>
    </row>
    <row r="3724" spans="19:25">
      <c r="S3724" s="8">
        <f t="shared" si="285"/>
        <v>0</v>
      </c>
      <c r="Y3724" s="33">
        <f t="shared" si="284"/>
        <v>0</v>
      </c>
    </row>
    <row r="3725" spans="19:25">
      <c r="S3725" s="8">
        <f t="shared" si="285"/>
        <v>0</v>
      </c>
      <c r="Y3725" s="33">
        <f t="shared" si="284"/>
        <v>0</v>
      </c>
    </row>
    <row r="3726" spans="19:25">
      <c r="S3726" s="8">
        <f t="shared" si="285"/>
        <v>0</v>
      </c>
      <c r="Y3726" s="33">
        <f t="shared" si="284"/>
        <v>0</v>
      </c>
    </row>
    <row r="3727" spans="19:25">
      <c r="S3727" s="8">
        <f t="shared" si="285"/>
        <v>0</v>
      </c>
      <c r="Y3727" s="33">
        <f t="shared" si="284"/>
        <v>0</v>
      </c>
    </row>
    <row r="3728" spans="19:25">
      <c r="S3728" s="8">
        <f t="shared" si="285"/>
        <v>0</v>
      </c>
      <c r="Y3728" s="33">
        <f t="shared" si="284"/>
        <v>0</v>
      </c>
    </row>
    <row r="3729" spans="19:25">
      <c r="S3729" s="8">
        <f t="shared" si="285"/>
        <v>0</v>
      </c>
      <c r="Y3729" s="33">
        <f t="shared" si="284"/>
        <v>0</v>
      </c>
    </row>
    <row r="3730" spans="19:25">
      <c r="S3730" s="8">
        <f t="shared" si="285"/>
        <v>0</v>
      </c>
      <c r="Y3730" s="33">
        <f t="shared" si="284"/>
        <v>0</v>
      </c>
    </row>
    <row r="3731" spans="19:25">
      <c r="S3731" s="8">
        <f t="shared" si="285"/>
        <v>0</v>
      </c>
      <c r="Y3731" s="33">
        <f t="shared" si="284"/>
        <v>0</v>
      </c>
    </row>
    <row r="3732" spans="19:25">
      <c r="S3732" s="8">
        <f t="shared" si="285"/>
        <v>0</v>
      </c>
      <c r="Y3732" s="33">
        <f t="shared" si="284"/>
        <v>0</v>
      </c>
    </row>
    <row r="3733" spans="19:25">
      <c r="S3733" s="8">
        <f t="shared" si="285"/>
        <v>0</v>
      </c>
      <c r="Y3733" s="33">
        <f t="shared" si="284"/>
        <v>0</v>
      </c>
    </row>
    <row r="3734" spans="19:25">
      <c r="S3734" s="8">
        <f t="shared" si="285"/>
        <v>0</v>
      </c>
      <c r="Y3734" s="33">
        <f t="shared" si="284"/>
        <v>0</v>
      </c>
    </row>
    <row r="3735" spans="19:25">
      <c r="S3735" s="8">
        <f t="shared" si="285"/>
        <v>0</v>
      </c>
      <c r="Y3735" s="33">
        <f t="shared" si="284"/>
        <v>0</v>
      </c>
    </row>
  </sheetData>
  <mergeCells count="2">
    <mergeCell ref="A1:H1"/>
    <mergeCell ref="K1:R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FBE80-F814-4A94-8B0A-EFBF6D815F88}">
  <sheetPr codeName="Sheet3"/>
  <dimension ref="A1:L45"/>
  <sheetViews>
    <sheetView zoomScale="80" zoomScaleNormal="80" workbookViewId="0">
      <selection activeCell="AD2121" sqref="AD2121"/>
    </sheetView>
  </sheetViews>
  <sheetFormatPr defaultColWidth="8.81640625" defaultRowHeight="18"/>
  <cols>
    <col min="1" max="1" width="2.26953125" style="14" bestFit="1" customWidth="1"/>
    <col min="2" max="2" width="18.26953125" style="14" bestFit="1" customWidth="1"/>
    <col min="3" max="3" width="6.90625" style="14" customWidth="1"/>
    <col min="4" max="4" width="6.81640625" style="14" customWidth="1"/>
    <col min="5" max="8" width="7.7265625" style="14" customWidth="1"/>
    <col min="9" max="9" width="6.90625" style="14" customWidth="1"/>
    <col min="10" max="10" width="48.08984375" style="54" bestFit="1" customWidth="1"/>
    <col min="11" max="11" width="17.453125" style="54" bestFit="1" customWidth="1"/>
    <col min="12" max="12" width="5.453125" style="14" bestFit="1" customWidth="1"/>
    <col min="13" max="16384" width="8.81640625" style="14"/>
  </cols>
  <sheetData>
    <row r="1" spans="1:12" s="27" customFormat="1" ht="60">
      <c r="A1" s="17"/>
      <c r="B1" s="17" t="s">
        <v>74</v>
      </c>
      <c r="C1" s="28" t="s">
        <v>20</v>
      </c>
      <c r="D1" s="17" t="s">
        <v>21</v>
      </c>
      <c r="E1" s="17" t="s">
        <v>24</v>
      </c>
      <c r="F1" s="17" t="s">
        <v>25</v>
      </c>
      <c r="G1" s="17" t="s">
        <v>126</v>
      </c>
      <c r="H1" s="17" t="s">
        <v>72</v>
      </c>
      <c r="I1" s="17" t="s">
        <v>43</v>
      </c>
      <c r="J1" s="17" t="s">
        <v>96</v>
      </c>
      <c r="K1" s="17" t="s">
        <v>105</v>
      </c>
      <c r="L1" s="17" t="s">
        <v>146</v>
      </c>
    </row>
    <row r="2" spans="1:12">
      <c r="A2" s="15" t="s">
        <v>26</v>
      </c>
      <c r="B2" s="59" t="s">
        <v>44</v>
      </c>
      <c r="C2" s="24">
        <f>+D2</f>
        <v>2200</v>
      </c>
      <c r="D2" s="24">
        <f>+E2*1000</f>
        <v>2200</v>
      </c>
      <c r="E2" s="19">
        <v>2.2000000000000002</v>
      </c>
      <c r="F2" s="19">
        <f>+E2</f>
        <v>2.2000000000000002</v>
      </c>
      <c r="G2" s="19">
        <f>+F2</f>
        <v>2.2000000000000002</v>
      </c>
      <c r="H2" s="18"/>
      <c r="I2" s="102" t="s">
        <v>47</v>
      </c>
      <c r="J2" s="55" t="s">
        <v>97</v>
      </c>
      <c r="K2" s="55" t="s">
        <v>119</v>
      </c>
      <c r="L2" s="65">
        <v>21</v>
      </c>
    </row>
    <row r="3" spans="1:12">
      <c r="A3" s="15" t="s">
        <v>27</v>
      </c>
      <c r="B3" s="59" t="s">
        <v>22</v>
      </c>
      <c r="C3" s="23">
        <f>+_xlfn.XLOOKUP(C2,'STD COBB'!L:L,'STD COBB'!Q:Q,"",1)</f>
        <v>3545</v>
      </c>
      <c r="D3" s="23">
        <f>+_xlfn.XLOOKUP(D2,'STD COBB'!B:B,'STD COBB'!G:G,"",1)</f>
        <v>3399</v>
      </c>
      <c r="E3" s="19">
        <f>+_xlfn.XLOOKUP(E2,'STD SAP'!C:C,'STD SAP'!I:I,"",1)</f>
        <v>3.6440000000000001</v>
      </c>
      <c r="F3" s="19">
        <f>+_xlfn.XLOOKUP(F2,'STD SAP'!X:X,'STD SAP'!AD:AD,"",1)</f>
        <v>3.37</v>
      </c>
      <c r="G3" s="19">
        <f>+_xlfn.XLOOKUP(G2,'STD SAP'!X:X,'STD SAP'!AD:AD,"",1)</f>
        <v>3.37</v>
      </c>
      <c r="H3" s="19"/>
      <c r="I3" s="102"/>
      <c r="J3" s="55" t="str">
        <f>"FI CUM STD dari "&amp;B2</f>
        <v>FI CUM STD dari Target BW</v>
      </c>
      <c r="K3" s="55" t="s">
        <v>198</v>
      </c>
      <c r="L3" s="65"/>
    </row>
    <row r="4" spans="1:12">
      <c r="A4" s="15" t="s">
        <v>28</v>
      </c>
      <c r="B4" s="59" t="s">
        <v>104</v>
      </c>
      <c r="C4" s="24">
        <f>D4</f>
        <v>17372</v>
      </c>
      <c r="D4" s="24">
        <f>E4</f>
        <v>17372</v>
      </c>
      <c r="E4" s="25">
        <f>17200*1.01</f>
        <v>17372</v>
      </c>
      <c r="F4" s="24">
        <f t="shared" ref="F4:F5" si="0">+E4</f>
        <v>17372</v>
      </c>
      <c r="G4" s="25">
        <f>17200*1.01</f>
        <v>17372</v>
      </c>
      <c r="H4" s="18"/>
      <c r="I4" s="102" t="s">
        <v>45</v>
      </c>
      <c r="J4" s="55" t="s">
        <v>98</v>
      </c>
      <c r="K4" s="55" t="s">
        <v>73</v>
      </c>
      <c r="L4" s="65">
        <v>3</v>
      </c>
    </row>
    <row r="5" spans="1:12">
      <c r="A5" s="15" t="s">
        <v>30</v>
      </c>
      <c r="B5" s="59" t="s">
        <v>75</v>
      </c>
      <c r="C5" s="21">
        <f>+D5</f>
        <v>46099</v>
      </c>
      <c r="D5" s="21">
        <f>+E5</f>
        <v>46099</v>
      </c>
      <c r="E5" s="20">
        <v>46099</v>
      </c>
      <c r="F5" s="21">
        <f t="shared" si="0"/>
        <v>46099</v>
      </c>
      <c r="G5" s="20">
        <v>46111</v>
      </c>
      <c r="H5" s="18"/>
      <c r="I5" s="102"/>
      <c r="J5" s="55" t="s">
        <v>99</v>
      </c>
      <c r="K5" s="55"/>
      <c r="L5" s="65"/>
    </row>
    <row r="6" spans="1:12">
      <c r="A6" s="15" t="s">
        <v>31</v>
      </c>
      <c r="B6" s="59" t="s">
        <v>35</v>
      </c>
      <c r="C6" s="26">
        <f>CEILING(C4*C3/1000,50)</f>
        <v>61600</v>
      </c>
      <c r="D6" s="26">
        <f>CEILING(D4*D3/1000,50)</f>
        <v>59050</v>
      </c>
      <c r="E6" s="26">
        <f>CEILING(E4*E3,50)</f>
        <v>63350</v>
      </c>
      <c r="F6" s="26">
        <f>CEILING(F4*F3,50)</f>
        <v>58550</v>
      </c>
      <c r="G6" s="26">
        <f>CEILING(G4*G3,50)</f>
        <v>58550</v>
      </c>
      <c r="H6" s="16"/>
      <c r="I6" s="102"/>
      <c r="J6" s="55" t="str">
        <f>B4&amp;" x "&amp;B3&amp;" , Kelipatan 50"</f>
        <v>Populasi + Bonus x Kebutuhan pakan , Kelipatan 50</v>
      </c>
      <c r="K6" s="55"/>
      <c r="L6" s="65"/>
    </row>
    <row r="7" spans="1:12">
      <c r="A7" s="15" t="s">
        <v>32</v>
      </c>
      <c r="B7" s="59" t="s">
        <v>100</v>
      </c>
      <c r="C7" s="56">
        <f>+C5+C8</f>
        <v>46135</v>
      </c>
      <c r="D7" s="56">
        <f>+D5+D8</f>
        <v>46135</v>
      </c>
      <c r="E7" s="20">
        <v>46135</v>
      </c>
      <c r="F7" s="56">
        <f>+F5+F8</f>
        <v>46135</v>
      </c>
      <c r="G7" s="20">
        <v>46147</v>
      </c>
      <c r="H7" s="16"/>
      <c r="I7" s="102"/>
      <c r="J7" s="55" t="s">
        <v>102</v>
      </c>
      <c r="K7" s="55" t="s">
        <v>110</v>
      </c>
      <c r="L7" s="65">
        <v>4</v>
      </c>
    </row>
    <row r="8" spans="1:12">
      <c r="A8" s="15" t="s">
        <v>34</v>
      </c>
      <c r="B8" s="59" t="s">
        <v>36</v>
      </c>
      <c r="C8" s="24">
        <f>+D8</f>
        <v>36</v>
      </c>
      <c r="D8" s="24">
        <f>+E8</f>
        <v>36</v>
      </c>
      <c r="E8" s="26">
        <f>+E7-E5</f>
        <v>36</v>
      </c>
      <c r="F8" s="24">
        <f t="shared" ref="F8:F14" si="1">+E8</f>
        <v>36</v>
      </c>
      <c r="G8" s="24">
        <f>+F8</f>
        <v>36</v>
      </c>
      <c r="H8" s="18"/>
      <c r="I8" s="102"/>
      <c r="J8" s="55" t="s">
        <v>173</v>
      </c>
      <c r="K8" s="55" t="s">
        <v>1</v>
      </c>
      <c r="L8" s="65">
        <v>5</v>
      </c>
    </row>
    <row r="9" spans="1:12">
      <c r="A9" s="15" t="s">
        <v>48</v>
      </c>
      <c r="B9" s="59" t="s">
        <v>37</v>
      </c>
      <c r="C9" s="24">
        <f>+D9</f>
        <v>2016</v>
      </c>
      <c r="D9" s="24">
        <f>+E9*1000</f>
        <v>2016</v>
      </c>
      <c r="E9" s="58">
        <v>2.016</v>
      </c>
      <c r="F9" s="19">
        <f t="shared" si="1"/>
        <v>2.016</v>
      </c>
      <c r="G9" s="69" cm="1">
        <f t="array" ref="G9">AVERAGE(_xlfn._xlws.FILTER('STD SAP'!X:X,'STD SAP'!W:W=_xlfn.XLOOKUP('Simulasi IBOCS'!E9,'STD SAP'!X:X,'STD SAP'!W:W,"",1)-3))</f>
        <v>1.7514999999999998</v>
      </c>
      <c r="H9" s="18"/>
      <c r="I9" s="102"/>
      <c r="J9" s="55" t="str">
        <f>"Last update input BW, diupayakan sama dengan "&amp;B7</f>
        <v>Last update input BW, diupayakan sama dengan Tanggal Kunjungan</v>
      </c>
      <c r="K9" s="55" t="s">
        <v>23</v>
      </c>
      <c r="L9" s="65">
        <v>8</v>
      </c>
    </row>
    <row r="10" spans="1:12">
      <c r="A10" s="15" t="s">
        <v>49</v>
      </c>
      <c r="B10" s="59" t="s">
        <v>38</v>
      </c>
      <c r="C10" s="24">
        <f>+D10</f>
        <v>716</v>
      </c>
      <c r="D10" s="24">
        <f>+E10</f>
        <v>716</v>
      </c>
      <c r="E10" s="25">
        <v>716</v>
      </c>
      <c r="F10" s="24">
        <f t="shared" si="1"/>
        <v>716</v>
      </c>
      <c r="G10" s="25">
        <v>716</v>
      </c>
      <c r="H10" s="18"/>
      <c r="I10" s="102"/>
      <c r="J10" s="55" t="str">
        <f>"Total Kematian hingga "&amp;B7</f>
        <v>Total Kematian hingga Tanggal Kunjungan</v>
      </c>
      <c r="K10" s="55" t="s">
        <v>111</v>
      </c>
      <c r="L10" s="65">
        <v>6</v>
      </c>
    </row>
    <row r="11" spans="1:12">
      <c r="A11" s="15" t="s">
        <v>51</v>
      </c>
      <c r="B11" s="59" t="s">
        <v>39</v>
      </c>
      <c r="C11" s="26">
        <f>+C4-C10</f>
        <v>16656</v>
      </c>
      <c r="D11" s="24">
        <f>+C11</f>
        <v>16656</v>
      </c>
      <c r="E11" s="24">
        <f>+D11</f>
        <v>16656</v>
      </c>
      <c r="F11" s="24">
        <f t="shared" si="1"/>
        <v>16656</v>
      </c>
      <c r="G11" s="24">
        <f>+F11</f>
        <v>16656</v>
      </c>
      <c r="H11" s="18"/>
      <c r="I11" s="102"/>
      <c r="J11" s="55" t="str">
        <f>B4&amp;" - "&amp;B10&amp;" - Total Panen Sebelum "&amp;B7</f>
        <v>Populasi + Bonus - Mort Kunjungan - Total Panen Sebelum Tanggal Kunjungan</v>
      </c>
      <c r="K11" s="55" t="s">
        <v>112</v>
      </c>
      <c r="L11" s="65">
        <v>7</v>
      </c>
    </row>
    <row r="12" spans="1:12">
      <c r="A12" s="15" t="s">
        <v>52</v>
      </c>
      <c r="B12" s="59" t="s">
        <v>85</v>
      </c>
      <c r="C12" s="26"/>
      <c r="D12" s="24"/>
      <c r="E12" s="19">
        <f>ROUND(+E14/E11/E9,3)</f>
        <v>1.5489999999999999</v>
      </c>
      <c r="F12" s="19">
        <f t="shared" ref="F12" si="2">ROUND(+F14/F11/F9,3)</f>
        <v>1.5489999999999999</v>
      </c>
      <c r="G12" s="19">
        <f>ROUND(+G14/G11/G9,3)</f>
        <v>1.782</v>
      </c>
      <c r="H12" s="18"/>
      <c r="I12" s="102"/>
      <c r="J12" s="55" t="str">
        <f>B14&amp;" / ("&amp;B11&amp;" x "&amp;B9&amp;")"</f>
        <v>Pakan Terpakai / (Last Stok kunjungan x BW Kunjungan)</v>
      </c>
      <c r="K12" s="55" t="s">
        <v>85</v>
      </c>
      <c r="L12" s="65">
        <v>9</v>
      </c>
    </row>
    <row r="13" spans="1:12">
      <c r="A13" s="15" t="s">
        <v>53</v>
      </c>
      <c r="B13" s="59" t="s">
        <v>40</v>
      </c>
      <c r="C13" s="24">
        <f>+D13</f>
        <v>57000</v>
      </c>
      <c r="D13" s="24">
        <f>+E13</f>
        <v>57000</v>
      </c>
      <c r="E13" s="25">
        <v>57000</v>
      </c>
      <c r="F13" s="24">
        <f t="shared" si="1"/>
        <v>57000</v>
      </c>
      <c r="G13" s="25">
        <v>57000</v>
      </c>
      <c r="H13" s="18"/>
      <c r="I13" s="102"/>
      <c r="J13" s="55" t="s">
        <v>174</v>
      </c>
      <c r="K13" s="55" t="s">
        <v>114</v>
      </c>
      <c r="L13" s="66" t="s">
        <v>169</v>
      </c>
    </row>
    <row r="14" spans="1:12">
      <c r="A14" s="15" t="s">
        <v>57</v>
      </c>
      <c r="B14" s="59" t="s">
        <v>41</v>
      </c>
      <c r="C14" s="24">
        <f>+D14</f>
        <v>52000</v>
      </c>
      <c r="D14" s="24">
        <f>+E14</f>
        <v>52000</v>
      </c>
      <c r="E14" s="25">
        <f>52000</f>
        <v>52000</v>
      </c>
      <c r="F14" s="24">
        <f t="shared" si="1"/>
        <v>52000</v>
      </c>
      <c r="G14" s="25">
        <f>52000</f>
        <v>52000</v>
      </c>
      <c r="H14" s="18"/>
      <c r="I14" s="102"/>
      <c r="J14" s="55" t="str">
        <f>"Total GI Pakan hingga "&amp;B7</f>
        <v>Total GI Pakan hingga Tanggal Kunjungan</v>
      </c>
      <c r="K14" s="55"/>
      <c r="L14" s="65"/>
    </row>
    <row r="15" spans="1:12" ht="18.75" customHeight="1">
      <c r="A15" s="15" t="s">
        <v>58</v>
      </c>
      <c r="B15" s="59" t="s">
        <v>42</v>
      </c>
      <c r="C15" s="23">
        <f>+C13-C14</f>
        <v>5000</v>
      </c>
      <c r="D15" s="23">
        <f>+D13-D14</f>
        <v>5000</v>
      </c>
      <c r="E15" s="23">
        <f>+E13-E14</f>
        <v>5000</v>
      </c>
      <c r="F15" s="23">
        <f>+F13-F14</f>
        <v>5000</v>
      </c>
      <c r="G15" s="23">
        <f>+G13-G14</f>
        <v>5000</v>
      </c>
      <c r="H15" s="16"/>
      <c r="I15" s="103" t="s">
        <v>46</v>
      </c>
      <c r="J15" s="55" t="str">
        <f>"Sisa Total Pakan "&amp;B13&amp;" - "&amp;B14</f>
        <v>Sisa Total Pakan Pakan Terkirim - Pakan Terpakai</v>
      </c>
      <c r="K15" s="55" t="s">
        <v>115</v>
      </c>
      <c r="L15" s="65">
        <v>14</v>
      </c>
    </row>
    <row r="16" spans="1:12" ht="18.75" customHeight="1">
      <c r="A16" s="15" t="s">
        <v>59</v>
      </c>
      <c r="B16" s="59" t="s">
        <v>127</v>
      </c>
      <c r="C16" s="23"/>
      <c r="D16" s="23"/>
      <c r="E16" s="23">
        <f ca="1">TODAY()-E5</f>
        <v>196</v>
      </c>
      <c r="F16" s="23">
        <f ca="1">TODAY()-F5</f>
        <v>196</v>
      </c>
      <c r="G16" s="23">
        <f ca="1">TODAY()-G5</f>
        <v>184</v>
      </c>
      <c r="H16" s="16"/>
      <c r="I16" s="104"/>
      <c r="J16" s="55" t="str">
        <f>"Today() - "&amp;B5</f>
        <v>Today() - Tanggal CI</v>
      </c>
      <c r="K16" s="55" t="s">
        <v>132</v>
      </c>
      <c r="L16" s="65">
        <v>15</v>
      </c>
    </row>
    <row r="17" spans="1:12" ht="18.75" customHeight="1">
      <c r="A17" s="15" t="s">
        <v>61</v>
      </c>
      <c r="B17" s="59" t="s">
        <v>128</v>
      </c>
      <c r="C17" s="23"/>
      <c r="D17" s="23"/>
      <c r="E17" s="25">
        <v>8219</v>
      </c>
      <c r="F17" s="23">
        <f>+E17</f>
        <v>8219</v>
      </c>
      <c r="G17" s="25">
        <v>8219</v>
      </c>
      <c r="H17" s="16"/>
      <c r="I17" s="104"/>
      <c r="J17" s="55" t="s">
        <v>175</v>
      </c>
      <c r="K17" s="57" t="s">
        <v>170</v>
      </c>
      <c r="L17" s="65">
        <v>17</v>
      </c>
    </row>
    <row r="18" spans="1:12" ht="18.75" customHeight="1">
      <c r="A18" s="15" t="s">
        <v>62</v>
      </c>
      <c r="B18" s="59" t="s">
        <v>129</v>
      </c>
      <c r="C18" s="23"/>
      <c r="D18" s="23"/>
      <c r="E18" s="23">
        <f>+E11-E17</f>
        <v>8437</v>
      </c>
      <c r="F18" s="23">
        <f>+F11-F17</f>
        <v>8437</v>
      </c>
      <c r="G18" s="23">
        <f>+G11-G17</f>
        <v>8437</v>
      </c>
      <c r="H18" s="16"/>
      <c r="I18" s="104"/>
      <c r="J18" s="55" t="str">
        <f>"Sisa Ayam dari "&amp;B11&amp;" - "&amp;B17</f>
        <v>Sisa Ayam dari Last Stok kunjungan - Panen Tambahan</v>
      </c>
      <c r="K18" s="55"/>
      <c r="L18" s="65"/>
    </row>
    <row r="19" spans="1:12" ht="18.75" customHeight="1">
      <c r="A19" s="15" t="s">
        <v>60</v>
      </c>
      <c r="B19" s="59" t="s">
        <v>130</v>
      </c>
      <c r="C19" s="23"/>
      <c r="D19" s="23"/>
      <c r="E19" s="20">
        <v>46136</v>
      </c>
      <c r="F19" s="21">
        <f>IF(E17="","",E19)</f>
        <v>46136</v>
      </c>
      <c r="G19" s="20">
        <v>46148</v>
      </c>
      <c r="H19" s="16"/>
      <c r="I19" s="104"/>
      <c r="J19" s="55" t="s">
        <v>176</v>
      </c>
      <c r="K19" s="57" t="s">
        <v>166</v>
      </c>
      <c r="L19" s="65">
        <v>16</v>
      </c>
    </row>
    <row r="20" spans="1:12" ht="18.75" customHeight="1">
      <c r="A20" s="15" t="s">
        <v>63</v>
      </c>
      <c r="B20" s="59" t="s">
        <v>131</v>
      </c>
      <c r="C20" s="23"/>
      <c r="D20" s="23"/>
      <c r="E20" s="23">
        <f>IF(E19&lt;&gt;"",E19-E5,E8)</f>
        <v>37</v>
      </c>
      <c r="F20" s="23">
        <f>IF(F19&lt;&gt;"",F19-F5,F8)</f>
        <v>37</v>
      </c>
      <c r="G20" s="23">
        <f>IF(G19&lt;&gt;"",G19-G5,G8)</f>
        <v>37</v>
      </c>
      <c r="H20" s="16"/>
      <c r="I20" s="104"/>
      <c r="J20" s="55" t="str">
        <f>B19&amp;" - "&amp;B7</f>
        <v>Tanggal Akhir - Tanggal Kunjungan</v>
      </c>
      <c r="K20" s="55"/>
      <c r="L20" s="65"/>
    </row>
    <row r="21" spans="1:12">
      <c r="A21" s="15" t="s">
        <v>64</v>
      </c>
      <c r="B21" s="59" t="s">
        <v>55</v>
      </c>
      <c r="C21" s="23">
        <f>ROUND(+C14/C4*1000,0)</f>
        <v>2993</v>
      </c>
      <c r="D21" s="23">
        <f>ROUND(+D14/D4*1000,0)</f>
        <v>2993</v>
      </c>
      <c r="E21" s="19">
        <f>ROUND(+E14/E4,3)</f>
        <v>2.9929999999999999</v>
      </c>
      <c r="F21" s="19">
        <f>ROUND(+F14/F4,3)</f>
        <v>2.9929999999999999</v>
      </c>
      <c r="G21" s="19">
        <f>ROUND(+G14/G4,3)</f>
        <v>2.9929999999999999</v>
      </c>
      <c r="H21" s="19"/>
      <c r="I21" s="104"/>
      <c r="J21" s="55" t="str">
        <f>B14&amp;" : "&amp;B4</f>
        <v>Pakan Terpakai : Populasi + Bonus</v>
      </c>
      <c r="K21" s="55" t="s">
        <v>113</v>
      </c>
      <c r="L21" s="65">
        <v>10</v>
      </c>
    </row>
    <row r="22" spans="1:12">
      <c r="A22" s="15" t="s">
        <v>65</v>
      </c>
      <c r="B22" s="59" t="s">
        <v>172</v>
      </c>
      <c r="C22" s="23"/>
      <c r="D22" s="23"/>
      <c r="E22" s="19"/>
      <c r="F22" s="19"/>
      <c r="G22" s="19" cm="1">
        <f t="array" ref="G22">IF(
OR(G19="",G19&lt;=G7),
G21,
MIN(
_xlfn._xlws.FILTER(
'STD SAP'!AD:AD,
'STD SAP'!W:W=
_xlfn.XLOOKUP(G21,'STD SAP'!AD:AD,'STD SAP'!W:W,"",1)+G20-G8
)
)
)</f>
        <v>3.1629999999999998</v>
      </c>
      <c r="H22" s="19"/>
      <c r="I22" s="104"/>
      <c r="J22" s="55" t="str">
        <f>"Jika "&amp;B19&amp;" =kosong atau "&amp;B19&amp;" &lt;= "&amp;B7&amp;", maka "&amp;B21&amp;" , FI min dari Usia (Usia STD dari "&amp;B21&amp;" ) + "&amp;B20&amp;" - "&amp;B8</f>
        <v>Jika Tanggal Akhir =kosong atau Tanggal Akhir &lt;= Tanggal Kunjungan, maka CUM FI ACT , FI min dari Usia (Usia STD dari CUM FI ACT ) + Usia Akhir - Usia Kunjungan</v>
      </c>
      <c r="K22" s="55"/>
      <c r="L22" s="65"/>
    </row>
    <row r="23" spans="1:12">
      <c r="A23" s="15" t="s">
        <v>66</v>
      </c>
      <c r="B23" s="59" t="s">
        <v>171</v>
      </c>
      <c r="C23" s="23"/>
      <c r="D23" s="23"/>
      <c r="E23" s="19"/>
      <c r="F23" s="19"/>
      <c r="G23" s="23">
        <f>MIN(CEILING(G18*(G22-G21),50), G15)</f>
        <v>1450</v>
      </c>
      <c r="H23" s="23"/>
      <c r="I23" s="104"/>
      <c r="J23" s="55" t="str">
        <f>B18&amp;" x ("&amp;B22&amp;" - "&amp;B21&amp;"), Pembulatan kelipatan 50 maks "&amp;B15</f>
        <v>Stock Akhir x (CUM FI Sampai panen - CUM FI ACT), Pembulatan kelipatan 50 maks Pakan Tersisa</v>
      </c>
      <c r="K23" s="55"/>
      <c r="L23" s="65"/>
    </row>
    <row r="24" spans="1:12">
      <c r="A24" s="15" t="s">
        <v>67</v>
      </c>
      <c r="B24" s="59" t="s">
        <v>201</v>
      </c>
      <c r="C24" s="23">
        <f>+_xlfn.XLOOKUP(C9,'STD COBB'!L:L,'STD COBB'!Q:Q,"",-1)</f>
        <v>2981</v>
      </c>
      <c r="D24" s="23">
        <f>+_xlfn.XLOOKUP(D9,'STD COBB'!B:B,'STD COBB'!G:G,"",-1)</f>
        <v>2870</v>
      </c>
      <c r="E24" s="19">
        <f>+_xlfn.XLOOKUP(E9,'STD SAP'!C:C,'STD SAP'!I:I,"",-1)</f>
        <v>3.4140000000000001</v>
      </c>
      <c r="F24" s="19">
        <f>+_xlfn.XLOOKUP(F9,'STD SAP'!X:X,'STD SAP'!AD:AD,"",-1)</f>
        <v>3.0230000000000001</v>
      </c>
      <c r="G24" s="19">
        <f>ROUND(+G13/G4,3)</f>
        <v>3.2810000000000001</v>
      </c>
      <c r="H24" s="19"/>
      <c r="I24" s="104"/>
      <c r="J24" s="55" t="s">
        <v>199</v>
      </c>
      <c r="K24" s="55" t="s">
        <v>200</v>
      </c>
      <c r="L24" s="65">
        <v>11</v>
      </c>
    </row>
    <row r="25" spans="1:12">
      <c r="A25" s="15" t="s">
        <v>68</v>
      </c>
      <c r="B25" s="59" t="s">
        <v>80</v>
      </c>
      <c r="C25" s="23">
        <f>ROUND(+C15/C11*1000,0)</f>
        <v>300</v>
      </c>
      <c r="D25" s="23">
        <f>ROUND(+D15/D11*1000,0)</f>
        <v>300</v>
      </c>
      <c r="E25" s="19">
        <f>IF(E17&lt;&gt;"",ROUND(+E15/E18,3),ROUND(+E15/E11,3))</f>
        <v>0.59299999999999997</v>
      </c>
      <c r="F25" s="19">
        <f>IF(F17&lt;&gt;"",ROUND(+F15/F18,3),ROUND(+F15/F11,3))</f>
        <v>0.59299999999999997</v>
      </c>
      <c r="G25" s="19">
        <f>ROUND((G15-G23)/G18,3)</f>
        <v>0.42099999999999999</v>
      </c>
      <c r="H25" s="19"/>
      <c r="I25" s="104"/>
      <c r="J25" s="55" t="str">
        <f>"("&amp;B15&amp;" - "&amp;B23&amp;") : "&amp;B18</f>
        <v>(Pakan Tersisa - Pakan Pakai Sampai Panen) : Stock Akhir</v>
      </c>
      <c r="K25" s="55"/>
      <c r="L25" s="65"/>
    </row>
    <row r="26" spans="1:12">
      <c r="A26" s="15" t="s">
        <v>69</v>
      </c>
      <c r="B26" s="59" t="s">
        <v>29</v>
      </c>
      <c r="C26" s="23">
        <f>+C21+C25</f>
        <v>3293</v>
      </c>
      <c r="D26" s="23">
        <f>+D21+D25</f>
        <v>3293</v>
      </c>
      <c r="E26" s="19">
        <f>+E21+E25</f>
        <v>3.5859999999999999</v>
      </c>
      <c r="F26" s="19">
        <f>+F21+F25</f>
        <v>3.5859999999999999</v>
      </c>
      <c r="G26" s="19">
        <f>+G22+G25</f>
        <v>3.5839999999999996</v>
      </c>
      <c r="H26" s="19"/>
      <c r="I26" s="104"/>
      <c r="J26" s="55" t="str">
        <f>B22&amp;" + "&amp;B25</f>
        <v>CUM FI Sampai panen + CUM FI Sisa Pakan</v>
      </c>
      <c r="K26" s="55"/>
      <c r="L26" s="65"/>
    </row>
    <row r="27" spans="1:12">
      <c r="A27" s="15" t="s">
        <v>70</v>
      </c>
      <c r="B27" s="59" t="s">
        <v>141</v>
      </c>
      <c r="C27" s="23">
        <f>_xlfn.XLOOKUP(C26,'STD COBB'!Q:Q,'STD COBB'!K:K,"",-1)</f>
        <v>34</v>
      </c>
      <c r="D27" s="23">
        <f>_xlfn.XLOOKUP(D26,'STD COBB'!G:G,'STD COBB'!A:A,"",-1)</f>
        <v>34</v>
      </c>
      <c r="E27" s="23">
        <f>_xlfn.XLOOKUP(E26,'STD SAP'!I:I,'STD SAP'!B:B,"",-1)</f>
        <v>35</v>
      </c>
      <c r="F27" s="23">
        <f>_xlfn.XLOOKUP(F26,'STD SAP'!AD:AD,'STD SAP'!W:W,"",-1)</f>
        <v>36</v>
      </c>
      <c r="G27" s="23">
        <f>_xlfn.XLOOKUP(G26,'STD SAP'!AD:AD,'STD SAP'!W:W,"",1)</f>
        <v>36</v>
      </c>
      <c r="H27" s="23"/>
      <c r="I27" s="104"/>
      <c r="J27" s="55" t="str">
        <f>"Usia STD dari "&amp;B26</f>
        <v>Usia STD dari CUM FI STD Total</v>
      </c>
      <c r="K27" s="55"/>
      <c r="L27" s="65"/>
    </row>
    <row r="28" spans="1:12">
      <c r="A28" s="15" t="s">
        <v>76</v>
      </c>
      <c r="B28" s="59" t="s">
        <v>142</v>
      </c>
      <c r="C28" s="23">
        <f>_xlfn.XLOOKUP(C9,'STD COBB'!L:L,'STD COBB'!K:K,"",-1)</f>
        <v>33</v>
      </c>
      <c r="D28" s="23">
        <f>_xlfn.XLOOKUP(D9,'STD COBB'!B:B,'STD COBB'!A:A,"",-1)</f>
        <v>32</v>
      </c>
      <c r="E28" s="23">
        <f>_xlfn.XLOOKUP(E9,'STD SAP'!C:C,'STD SAP'!B:B,"",-1)</f>
        <v>34</v>
      </c>
      <c r="F28" s="23">
        <f>_xlfn.XLOOKUP(F9,'STD SAP'!X:X,'STD SAP'!W:W,"",-1)</f>
        <v>33</v>
      </c>
      <c r="G28" s="23">
        <f xml:space="preserve"> _xlfn.XLOOKUP(G22,'STD SAP'!AD:AD,'STD SAP'!W:W,"",1)</f>
        <v>34</v>
      </c>
      <c r="H28" s="23"/>
      <c r="I28" s="104"/>
      <c r="J28" s="55" t="str">
        <f>"Usia STD dari "&amp;B22</f>
        <v>Usia STD dari CUM FI Sampai panen</v>
      </c>
      <c r="K28" s="55"/>
      <c r="L28" s="65"/>
    </row>
    <row r="29" spans="1:12">
      <c r="A29" s="15" t="s">
        <v>78</v>
      </c>
      <c r="B29" s="59" t="s">
        <v>33</v>
      </c>
      <c r="C29" s="23">
        <f>+C27-C28+C8</f>
        <v>37</v>
      </c>
      <c r="D29" s="23">
        <f>+D27-D28+D8</f>
        <v>38</v>
      </c>
      <c r="E29" s="23">
        <f>+E27-E28+E8</f>
        <v>37</v>
      </c>
      <c r="F29" s="23">
        <f>+F27-F28+F8</f>
        <v>39</v>
      </c>
      <c r="G29" s="23">
        <f>IF(G26&lt;=G22,G20,+G27-G28+G20)</f>
        <v>39</v>
      </c>
      <c r="H29" s="23"/>
      <c r="I29" s="104"/>
      <c r="J29" s="55" t="str">
        <f>"Jika "&amp;B26&amp;" &lt;= "&amp;B22&amp;", maka "&amp;B20&amp;", "&amp;B27&amp;" - "&amp;B28&amp;" + "&amp;B20</f>
        <v>Jika CUM FI STD Total &lt;= CUM FI Sampai panen, maka Usia Akhir, Usia CUM FI STD 1 - Usia CUM FI STD 2 + Usia Akhir</v>
      </c>
      <c r="K29" s="55" t="s">
        <v>117</v>
      </c>
      <c r="L29" s="65">
        <v>19</v>
      </c>
    </row>
    <row r="30" spans="1:12">
      <c r="A30" s="15" t="s">
        <v>79</v>
      </c>
      <c r="B30" s="59" t="s">
        <v>77</v>
      </c>
      <c r="C30" s="22">
        <f>+C5+C29</f>
        <v>46136</v>
      </c>
      <c r="D30" s="22">
        <f>+D5+D29</f>
        <v>46137</v>
      </c>
      <c r="E30" s="22">
        <f>+E5+E29</f>
        <v>46136</v>
      </c>
      <c r="F30" s="22">
        <f>+F5+F29</f>
        <v>46138</v>
      </c>
      <c r="G30" s="22">
        <f>+G5+G29</f>
        <v>46150</v>
      </c>
      <c r="H30" s="22"/>
      <c r="I30" s="104"/>
      <c r="J30" s="55" t="str">
        <f>B5&amp;" + "&amp;B29</f>
        <v>Tanggal CI + Usia Habis Pakan</v>
      </c>
      <c r="K30" s="55" t="s">
        <v>116</v>
      </c>
      <c r="L30" s="65">
        <v>18</v>
      </c>
    </row>
    <row r="31" spans="1:12">
      <c r="A31" s="15" t="s">
        <v>101</v>
      </c>
      <c r="B31" s="59" t="s">
        <v>106</v>
      </c>
      <c r="C31" s="23">
        <f>+C29-C8</f>
        <v>1</v>
      </c>
      <c r="D31" s="23">
        <f>+D29-D8</f>
        <v>2</v>
      </c>
      <c r="E31" s="23">
        <f>+E29-E8</f>
        <v>1</v>
      </c>
      <c r="F31" s="23">
        <f>+F29-F8</f>
        <v>3</v>
      </c>
      <c r="G31" s="23">
        <f ca="1">+G30-TODAY()</f>
        <v>-145</v>
      </c>
      <c r="H31" s="23"/>
      <c r="I31" s="105"/>
      <c r="J31" s="55" t="str">
        <f>B29&amp;" - "&amp;B8</f>
        <v>Usia Habis Pakan - Usia Kunjungan</v>
      </c>
      <c r="K31" s="57" t="s">
        <v>118</v>
      </c>
      <c r="L31" s="65">
        <v>20</v>
      </c>
    </row>
    <row r="32" spans="1:12" ht="18.75" customHeight="1">
      <c r="A32" s="15" t="s">
        <v>108</v>
      </c>
      <c r="B32" s="59" t="s">
        <v>50</v>
      </c>
      <c r="C32" s="23">
        <f>+C6-C13</f>
        <v>4600</v>
      </c>
      <c r="D32" s="23">
        <f>+D6-D13</f>
        <v>2050</v>
      </c>
      <c r="E32" s="23">
        <f>+E6-E13</f>
        <v>6350</v>
      </c>
      <c r="F32" s="23">
        <f>+F6-F13</f>
        <v>1550</v>
      </c>
      <c r="G32" s="23">
        <f>+G6-G13</f>
        <v>1550</v>
      </c>
      <c r="H32" s="23"/>
      <c r="I32" s="103" t="s">
        <v>71</v>
      </c>
      <c r="J32" s="55" t="str">
        <f>B6&amp;" - "&amp;B13</f>
        <v>KG Pakan - Pakan Terkirim</v>
      </c>
      <c r="K32" s="55" t="s">
        <v>120</v>
      </c>
      <c r="L32" s="65">
        <v>23</v>
      </c>
    </row>
    <row r="33" spans="1:12">
      <c r="A33" s="15" t="s">
        <v>109</v>
      </c>
      <c r="B33" s="59" t="s">
        <v>107</v>
      </c>
      <c r="C33" s="22">
        <f>+D33</f>
        <v>46137</v>
      </c>
      <c r="D33" s="22">
        <f>+E33</f>
        <v>46137</v>
      </c>
      <c r="E33" s="20">
        <v>46137</v>
      </c>
      <c r="F33" s="22">
        <f>E33</f>
        <v>46137</v>
      </c>
      <c r="G33" s="20">
        <v>46149</v>
      </c>
      <c r="H33" s="22"/>
      <c r="I33" s="104"/>
      <c r="J33" s="55" t="s">
        <v>103</v>
      </c>
      <c r="K33" s="57" t="s">
        <v>125</v>
      </c>
      <c r="L33" s="65">
        <v>24</v>
      </c>
    </row>
    <row r="34" spans="1:12">
      <c r="A34" s="15" t="s">
        <v>133</v>
      </c>
      <c r="B34" s="59" t="s">
        <v>54</v>
      </c>
      <c r="C34" s="24">
        <f>+D34</f>
        <v>2500</v>
      </c>
      <c r="D34" s="24">
        <f>+E34</f>
        <v>2500</v>
      </c>
      <c r="E34" s="25">
        <v>2500</v>
      </c>
      <c r="F34" s="24">
        <f>+E34</f>
        <v>2500</v>
      </c>
      <c r="G34" s="25">
        <v>2500</v>
      </c>
      <c r="H34" s="24"/>
      <c r="I34" s="104"/>
      <c r="J34" s="55" t="s">
        <v>181</v>
      </c>
      <c r="K34" s="57" t="s">
        <v>121</v>
      </c>
      <c r="L34" s="65">
        <v>33</v>
      </c>
    </row>
    <row r="35" spans="1:12">
      <c r="A35" s="15" t="s">
        <v>134</v>
      </c>
      <c r="B35" s="59" t="s">
        <v>56</v>
      </c>
      <c r="C35" s="23">
        <f>+C34+C15</f>
        <v>7500</v>
      </c>
      <c r="D35" s="23">
        <f>+D34+D15</f>
        <v>7500</v>
      </c>
      <c r="E35" s="23">
        <f>+E34+E15</f>
        <v>7500</v>
      </c>
      <c r="F35" s="23">
        <f>+F34+F15</f>
        <v>7500</v>
      </c>
      <c r="G35" s="23">
        <f>+G34+G15-G23</f>
        <v>6050</v>
      </c>
      <c r="H35" s="23"/>
      <c r="I35" s="104"/>
      <c r="J35" s="55" t="str">
        <f>B15&amp;" + "&amp;B34&amp;" - "&amp;B23</f>
        <v>Pakan Tersisa + Order Pakan - Pakan Pakai Sampai Panen</v>
      </c>
      <c r="K35" s="55"/>
      <c r="L35" s="65"/>
    </row>
    <row r="36" spans="1:12">
      <c r="A36" s="15" t="s">
        <v>135</v>
      </c>
      <c r="B36" s="59" t="s">
        <v>80</v>
      </c>
      <c r="C36" s="23">
        <f>+C35/C11*1000</f>
        <v>450.28818443804039</v>
      </c>
      <c r="D36" s="23">
        <f>+D35/D11*1000</f>
        <v>450.28818443804039</v>
      </c>
      <c r="E36" s="19">
        <f>ROUND(+E35/E11,3)</f>
        <v>0.45</v>
      </c>
      <c r="F36" s="19">
        <f>IF(F17&lt;&gt;"",ROUND(+F35/F18,3),ROUND(+F35/F11,3))</f>
        <v>0.88900000000000001</v>
      </c>
      <c r="G36" s="19">
        <f>ROUND(+G35/G18,3)</f>
        <v>0.71699999999999997</v>
      </c>
      <c r="H36" s="19"/>
      <c r="I36" s="104"/>
      <c r="J36" s="55" t="str">
        <f>B35&amp;" : "&amp;B18</f>
        <v>Total Pakan Tersisa : Stock Akhir</v>
      </c>
      <c r="K36" s="55"/>
      <c r="L36" s="65"/>
    </row>
    <row r="37" spans="1:12">
      <c r="A37" s="15" t="s">
        <v>136</v>
      </c>
      <c r="B37" s="59" t="s">
        <v>29</v>
      </c>
      <c r="C37" s="23">
        <f>+C21+C36</f>
        <v>3443.2881844380404</v>
      </c>
      <c r="D37" s="23">
        <f>+D21+D36</f>
        <v>3443.2881844380404</v>
      </c>
      <c r="E37" s="19">
        <f>+E21+E36</f>
        <v>3.4430000000000001</v>
      </c>
      <c r="F37" s="19">
        <f>+F21+F36</f>
        <v>3.8819999999999997</v>
      </c>
      <c r="G37" s="19">
        <f>+G22+G36</f>
        <v>3.88</v>
      </c>
      <c r="H37" s="19"/>
      <c r="I37" s="104"/>
      <c r="J37" s="55" t="str">
        <f>B22&amp;" + "&amp;B36</f>
        <v>CUM FI Sampai panen + CUM FI Sisa Pakan</v>
      </c>
      <c r="K37" s="55"/>
      <c r="L37" s="65"/>
    </row>
    <row r="38" spans="1:12">
      <c r="A38" s="15" t="s">
        <v>137</v>
      </c>
      <c r="B38" s="59" t="s">
        <v>143</v>
      </c>
      <c r="C38" s="23">
        <f>_xlfn.XLOOKUP(C37,'STD COBB'!Q:Q,'STD COBB'!K:K,"",-1)</f>
        <v>35</v>
      </c>
      <c r="D38" s="23">
        <f>_xlfn.XLOOKUP(D37,'STD COBB'!G:G,'STD COBB'!A:A,"",-1)</f>
        <v>35</v>
      </c>
      <c r="E38" s="23">
        <f>_xlfn.XLOOKUP(E37,'STD SAP'!I:I,'STD SAP'!B:B,"",-1)</f>
        <v>35</v>
      </c>
      <c r="F38" s="23">
        <f>_xlfn.XLOOKUP(F37,'STD SAP'!AD:AD,'STD SAP'!W:W,"",-1)</f>
        <v>37</v>
      </c>
      <c r="G38" s="23">
        <f>_xlfn.XLOOKUP(G37,'STD SAP'!AD:AD,'STD SAP'!W:W,"",-1)</f>
        <v>37</v>
      </c>
      <c r="H38" s="23"/>
      <c r="I38" s="104"/>
      <c r="J38" s="55" t="str">
        <f>"Usia STD dari "&amp;B37</f>
        <v>Usia STD dari CUM FI STD Total</v>
      </c>
      <c r="K38" s="55"/>
      <c r="L38" s="65"/>
    </row>
    <row r="39" spans="1:12">
      <c r="A39" s="15" t="s">
        <v>138</v>
      </c>
      <c r="B39" s="59" t="s">
        <v>33</v>
      </c>
      <c r="C39" s="23">
        <f>+C38-C28+C8</f>
        <v>38</v>
      </c>
      <c r="D39" s="23">
        <f>+D38-D28+D8</f>
        <v>39</v>
      </c>
      <c r="E39" s="23">
        <f>+E38-E28+E8</f>
        <v>37</v>
      </c>
      <c r="F39" s="23">
        <f>+F38-F28+F8</f>
        <v>40</v>
      </c>
      <c r="G39" s="23">
        <f>IF(G37&lt;=G26,G29,+G38-G28+G29)</f>
        <v>42</v>
      </c>
      <c r="H39" s="23"/>
      <c r="I39" s="104"/>
      <c r="J39" s="55" t="str">
        <f>"Jika "&amp;B37&amp;" &lt;= "&amp;B26&amp;", maka "&amp;B29&amp;", "&amp;B38&amp;" - "&amp;B28&amp;" + "&amp;B29</f>
        <v>Jika CUM FI STD Total &lt;= CUM FI STD Total, maka Usia Habis Pakan, Usia CUM FI STD 3 - Usia CUM FI STD 2 + Usia Habis Pakan</v>
      </c>
      <c r="K39" s="55" t="s">
        <v>123</v>
      </c>
      <c r="L39" s="65">
        <v>35</v>
      </c>
    </row>
    <row r="40" spans="1:12">
      <c r="A40" s="15" t="s">
        <v>139</v>
      </c>
      <c r="B40" s="59" t="s">
        <v>77</v>
      </c>
      <c r="C40" s="22">
        <f>+C5+C39</f>
        <v>46137</v>
      </c>
      <c r="D40" s="22">
        <f>+D5+D39</f>
        <v>46138</v>
      </c>
      <c r="E40" s="22">
        <f>+E5+E39</f>
        <v>46136</v>
      </c>
      <c r="F40" s="22">
        <f>+F5+F39</f>
        <v>46139</v>
      </c>
      <c r="G40" s="22">
        <f>+G5+G39</f>
        <v>46153</v>
      </c>
      <c r="H40" s="68"/>
      <c r="I40" s="104"/>
      <c r="J40" s="55" t="str">
        <f>B5&amp;" + "&amp;B39</f>
        <v>Tanggal CI + Usia Habis Pakan</v>
      </c>
      <c r="K40" s="55" t="s">
        <v>122</v>
      </c>
      <c r="L40" s="65">
        <v>34</v>
      </c>
    </row>
    <row r="41" spans="1:12">
      <c r="A41" s="15" t="s">
        <v>145</v>
      </c>
      <c r="B41" s="59" t="s">
        <v>106</v>
      </c>
      <c r="C41" s="23">
        <f>+C39-C8</f>
        <v>2</v>
      </c>
      <c r="D41" s="23">
        <f>+D39-D8</f>
        <v>3</v>
      </c>
      <c r="E41" s="23">
        <f>+E39-E8</f>
        <v>1</v>
      </c>
      <c r="F41" s="23">
        <f>+F39-F8</f>
        <v>4</v>
      </c>
      <c r="G41" s="23">
        <f ca="1">+G40-TODAY()</f>
        <v>-142</v>
      </c>
      <c r="H41" s="23"/>
      <c r="I41" s="105"/>
      <c r="J41" s="55" t="str">
        <f>B39&amp;" - "&amp;B8</f>
        <v>Usia Habis Pakan - Usia Kunjungan</v>
      </c>
      <c r="K41" s="57" t="s">
        <v>124</v>
      </c>
      <c r="L41" s="67">
        <v>36</v>
      </c>
    </row>
    <row r="42" spans="1:12">
      <c r="A42" s="10"/>
      <c r="B42" s="11"/>
      <c r="C42" s="12"/>
      <c r="D42" s="11"/>
      <c r="E42" s="11"/>
      <c r="F42" s="11"/>
      <c r="G42" s="11"/>
      <c r="H42" s="11"/>
      <c r="I42" s="13"/>
    </row>
    <row r="44" spans="1:12">
      <c r="B44" s="49" t="s">
        <v>94</v>
      </c>
    </row>
    <row r="45" spans="1:12">
      <c r="B45" s="62" t="s">
        <v>144</v>
      </c>
    </row>
  </sheetData>
  <mergeCells count="4">
    <mergeCell ref="I2:I3"/>
    <mergeCell ref="I4:I14"/>
    <mergeCell ref="I15:I31"/>
    <mergeCell ref="I32:I41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824A1-22E6-410E-B592-42931BFE0DB3}">
  <sheetPr codeName="Sheet4"/>
  <dimension ref="A1:BI75"/>
  <sheetViews>
    <sheetView tabSelected="1" zoomScale="70" zoomScaleNormal="70" workbookViewId="0">
      <pane xSplit="4" ySplit="15" topLeftCell="E16" activePane="bottomRight" state="frozen"/>
      <selection pane="topRight" activeCell="E1" sqref="E1"/>
      <selection pane="bottomLeft" activeCell="A12" sqref="A12"/>
      <selection pane="bottomRight" activeCell="F19" sqref="F19"/>
    </sheetView>
  </sheetViews>
  <sheetFormatPr defaultRowHeight="18"/>
  <cols>
    <col min="1" max="1" width="3.08984375" style="74" bestFit="1" customWidth="1"/>
    <col min="2" max="2" width="9" customWidth="1"/>
    <col min="3" max="3" width="72.26953125" customWidth="1"/>
    <col min="4" max="4" width="10.08984375" bestFit="1" customWidth="1"/>
    <col min="5" max="5" width="9.1796875" customWidth="1"/>
    <col min="6" max="6" width="9.26953125" bestFit="1" customWidth="1"/>
    <col min="7" max="7" width="9.1796875" bestFit="1" customWidth="1"/>
    <col min="8" max="8" width="5.1796875" bestFit="1" customWidth="1"/>
    <col min="9" max="9" width="6" customWidth="1"/>
    <col min="10" max="10" width="11.08984375" bestFit="1" customWidth="1"/>
    <col min="11" max="11" width="6.6328125" bestFit="1" customWidth="1"/>
    <col min="12" max="12" width="6.7265625" bestFit="1" customWidth="1"/>
    <col min="13" max="13" width="6.7265625" customWidth="1"/>
    <col min="14" max="14" width="6.7265625" bestFit="1" customWidth="1"/>
    <col min="15" max="15" width="7.36328125" customWidth="1"/>
    <col min="16" max="19" width="8.08984375" customWidth="1"/>
    <col min="20" max="20" width="6" bestFit="1" customWidth="1"/>
    <col min="21" max="21" width="9.1796875" customWidth="1"/>
    <col min="22" max="22" width="7.453125" customWidth="1"/>
    <col min="23" max="23" width="8.90625" customWidth="1"/>
    <col min="24" max="26" width="7.453125" customWidth="1"/>
    <col min="27" max="27" width="9" bestFit="1" customWidth="1"/>
    <col min="28" max="28" width="7.453125" customWidth="1"/>
    <col min="29" max="29" width="3.7265625" bestFit="1" customWidth="1"/>
    <col min="30" max="35" width="7.453125" customWidth="1"/>
    <col min="36" max="36" width="6.7265625" customWidth="1"/>
    <col min="37" max="37" width="13" customWidth="1"/>
    <col min="38" max="38" width="10.08984375" customWidth="1"/>
    <col min="39" max="39" width="9.1796875" bestFit="1" customWidth="1"/>
    <col min="40" max="40" width="11.453125" customWidth="1"/>
    <col min="41" max="41" width="7.6328125" customWidth="1"/>
    <col min="42" max="42" width="11.453125" customWidth="1"/>
    <col min="43" max="43" width="7.6328125" customWidth="1"/>
    <col min="44" max="44" width="11.453125" customWidth="1"/>
    <col min="45" max="45" width="7.6328125" customWidth="1"/>
    <col min="46" max="46" width="11.453125" customWidth="1"/>
    <col min="47" max="48" width="7.6328125" customWidth="1"/>
    <col min="49" max="49" width="9" bestFit="1" customWidth="1"/>
    <col min="50" max="50" width="7" customWidth="1"/>
    <col min="51" max="51" width="3.7265625" bestFit="1" customWidth="1"/>
    <col min="52" max="52" width="7.6328125" bestFit="1" customWidth="1"/>
    <col min="53" max="55" width="7" customWidth="1"/>
    <col min="56" max="56" width="11.36328125" customWidth="1"/>
    <col min="60" max="61" width="9.1796875" bestFit="1" customWidth="1"/>
  </cols>
  <sheetData>
    <row r="1" spans="1:61" ht="18.75" thickBot="1">
      <c r="A1" s="110" t="s">
        <v>146</v>
      </c>
      <c r="B1" s="110" t="s">
        <v>147</v>
      </c>
      <c r="C1" s="110" t="s">
        <v>148</v>
      </c>
      <c r="D1" s="110" t="s">
        <v>73</v>
      </c>
      <c r="E1" s="71"/>
      <c r="F1" s="71"/>
      <c r="G1" s="61" t="s">
        <v>149</v>
      </c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106" t="s">
        <v>132</v>
      </c>
      <c r="U1" s="61" t="s">
        <v>266</v>
      </c>
      <c r="V1" s="61"/>
      <c r="W1" s="61"/>
      <c r="X1" s="61"/>
      <c r="Y1" s="61"/>
      <c r="Z1" s="61"/>
      <c r="AA1" s="61" t="s">
        <v>150</v>
      </c>
      <c r="AB1" s="61"/>
      <c r="AC1" s="61"/>
      <c r="AD1" s="77"/>
      <c r="AE1" s="77"/>
      <c r="AF1" s="77"/>
      <c r="AG1" s="77"/>
      <c r="AH1" s="77"/>
      <c r="AI1" s="77"/>
      <c r="AJ1" s="106" t="s">
        <v>151</v>
      </c>
      <c r="AK1" s="106" t="s">
        <v>152</v>
      </c>
      <c r="AL1" s="106" t="s">
        <v>120</v>
      </c>
      <c r="AM1" s="61" t="s">
        <v>153</v>
      </c>
      <c r="AN1" s="61"/>
      <c r="AO1" s="61"/>
      <c r="AP1" s="61"/>
      <c r="AQ1" s="61"/>
      <c r="AR1" s="61"/>
      <c r="AS1" s="61"/>
      <c r="AT1" s="61"/>
      <c r="AU1" s="61"/>
      <c r="AV1" s="61"/>
      <c r="AW1" s="61" t="s">
        <v>154</v>
      </c>
      <c r="AX1" s="61"/>
      <c r="AY1" s="61"/>
      <c r="AZ1" s="77"/>
      <c r="BA1" s="77"/>
      <c r="BB1" s="77"/>
      <c r="BC1" s="77"/>
      <c r="BD1" s="108" t="s">
        <v>155</v>
      </c>
    </row>
    <row r="2" spans="1:61" s="72" customFormat="1" ht="63.6" customHeight="1" thickBot="1">
      <c r="A2" s="111"/>
      <c r="B2" s="111"/>
      <c r="C2" s="111"/>
      <c r="D2" s="111"/>
      <c r="E2" s="75" t="s">
        <v>75</v>
      </c>
      <c r="F2" s="75" t="s">
        <v>186</v>
      </c>
      <c r="G2" s="64" t="s">
        <v>110</v>
      </c>
      <c r="H2" s="64" t="s">
        <v>1</v>
      </c>
      <c r="I2" s="64" t="s">
        <v>238</v>
      </c>
      <c r="J2" s="64" t="s">
        <v>112</v>
      </c>
      <c r="K2" s="64" t="s">
        <v>23</v>
      </c>
      <c r="L2" s="64" t="s">
        <v>85</v>
      </c>
      <c r="M2" s="92" t="s">
        <v>239</v>
      </c>
      <c r="N2" s="64" t="s">
        <v>113</v>
      </c>
      <c r="O2" s="64" t="s">
        <v>156</v>
      </c>
      <c r="P2" s="64" t="s">
        <v>157</v>
      </c>
      <c r="Q2" s="64" t="s">
        <v>158</v>
      </c>
      <c r="R2" s="76" t="s">
        <v>184</v>
      </c>
      <c r="S2" s="64" t="s">
        <v>159</v>
      </c>
      <c r="T2" s="107"/>
      <c r="U2" s="96" t="s">
        <v>160</v>
      </c>
      <c r="V2" s="96" t="s">
        <v>170</v>
      </c>
      <c r="W2" s="76" t="s">
        <v>264</v>
      </c>
      <c r="X2" s="76" t="s">
        <v>265</v>
      </c>
      <c r="Y2" s="76" t="s">
        <v>194</v>
      </c>
      <c r="Z2" s="76" t="s">
        <v>195</v>
      </c>
      <c r="AA2" s="64" t="s">
        <v>160</v>
      </c>
      <c r="AB2" s="64" t="s">
        <v>1</v>
      </c>
      <c r="AC2" s="64" t="s">
        <v>168</v>
      </c>
      <c r="AD2" s="76" t="s">
        <v>197</v>
      </c>
      <c r="AE2" s="76" t="s">
        <v>202</v>
      </c>
      <c r="AF2" s="76" t="s">
        <v>203</v>
      </c>
      <c r="AG2" s="76" t="s">
        <v>204</v>
      </c>
      <c r="AH2" s="76" t="s">
        <v>205</v>
      </c>
      <c r="AI2" s="76" t="s">
        <v>206</v>
      </c>
      <c r="AJ2" s="107"/>
      <c r="AK2" s="107"/>
      <c r="AL2" s="107"/>
      <c r="AM2" s="96" t="s">
        <v>166</v>
      </c>
      <c r="AN2" s="96" t="s">
        <v>161</v>
      </c>
      <c r="AO2" s="96" t="s">
        <v>162</v>
      </c>
      <c r="AP2" s="96" t="s">
        <v>163</v>
      </c>
      <c r="AQ2" s="96" t="s">
        <v>162</v>
      </c>
      <c r="AR2" s="96" t="s">
        <v>164</v>
      </c>
      <c r="AS2" s="96" t="s">
        <v>162</v>
      </c>
      <c r="AT2" s="96" t="s">
        <v>165</v>
      </c>
      <c r="AU2" s="96" t="s">
        <v>162</v>
      </c>
      <c r="AV2" s="64" t="s">
        <v>167</v>
      </c>
      <c r="AW2" s="64" t="s">
        <v>160</v>
      </c>
      <c r="AX2" s="64" t="s">
        <v>1</v>
      </c>
      <c r="AY2" s="64" t="s">
        <v>168</v>
      </c>
      <c r="AZ2" s="76" t="s">
        <v>230</v>
      </c>
      <c r="BA2" s="76" t="s">
        <v>231</v>
      </c>
      <c r="BB2" s="76" t="s">
        <v>232</v>
      </c>
      <c r="BC2" s="76" t="s">
        <v>233</v>
      </c>
      <c r="BD2" s="109"/>
      <c r="BF2" s="72" t="s">
        <v>244</v>
      </c>
    </row>
    <row r="3" spans="1:61" ht="18.75" thickBot="1">
      <c r="A3" s="82">
        <v>1</v>
      </c>
      <c r="B3" s="60">
        <v>1000001</v>
      </c>
      <c r="C3" s="60" t="s">
        <v>257</v>
      </c>
      <c r="D3" s="85">
        <f>17200*1.01</f>
        <v>17372</v>
      </c>
      <c r="E3" s="86">
        <v>46111</v>
      </c>
      <c r="F3" s="85">
        <f>CEILING(_xlfn.XLOOKUP(AJ3,'STD SAP'!X:X,'STD SAP'!AD:AD)*D3,50)</f>
        <v>58550</v>
      </c>
      <c r="G3" s="86">
        <v>46147</v>
      </c>
      <c r="H3" s="60">
        <f>IF(G3&lt;&gt;"",G3-E3,0)</f>
        <v>36</v>
      </c>
      <c r="I3" s="85">
        <v>716</v>
      </c>
      <c r="J3" s="85">
        <f>IF(E3&lt;&gt;"",D3-I3,"")</f>
        <v>16656</v>
      </c>
      <c r="K3" s="88">
        <v>2.016</v>
      </c>
      <c r="L3" s="88">
        <f>IF(K3&lt;&gt;"",R3/K3/J3,"")</f>
        <v>1.5486101581202447</v>
      </c>
      <c r="M3" s="88">
        <f>IF(L3&lt;&gt;"",L3-_xlfn.XLOOKUP(K3,'STD SAP'!X:X,'STD SAP'!AA:AA),"")</f>
        <v>4.8610158120244717E-2</v>
      </c>
      <c r="N3" s="88">
        <f t="shared" ref="N3:N5" si="0">IF(R3&lt;&gt;"",ROUND(R3/D3,3),0)</f>
        <v>2.9929999999999999</v>
      </c>
      <c r="O3" s="88">
        <f t="shared" ref="O3:O12" si="1">IF(S3&lt;&gt;"",ROUND((P3+Q3)/D3,3),0)</f>
        <v>3.2810000000000001</v>
      </c>
      <c r="P3" s="85">
        <v>55000</v>
      </c>
      <c r="Q3" s="85">
        <v>2000</v>
      </c>
      <c r="R3" s="85">
        <v>52000</v>
      </c>
      <c r="S3" s="85">
        <f>IF(SUM(P3:Q3)&lt;&gt;0,+P3+Q3-R3,0)</f>
        <v>5000</v>
      </c>
      <c r="T3" s="60">
        <f ca="1">IF(E3&lt;&gt;"",IF(E3&lt;TODAY(),TODAY()-E3,0),"")</f>
        <v>184</v>
      </c>
      <c r="U3" s="86">
        <v>46148</v>
      </c>
      <c r="V3" s="85">
        <v>8219</v>
      </c>
      <c r="W3" s="94"/>
      <c r="X3" s="85"/>
      <c r="Y3" s="89">
        <f>IF(D3&lt;&gt;"",J3-V3-X3,"")</f>
        <v>8437</v>
      </c>
      <c r="Z3" s="60">
        <f>IF(
   OR(MAX(U3,W3)&lt;G3, COUNTA(U3,W3)=0),
   H3,
   MAX(U3,W3)-E3
)</f>
        <v>37</v>
      </c>
      <c r="AA3" s="86">
        <f t="shared" ref="AA3:AA12" si="2">IF(E3&lt;&gt;"",E3+AB3,"")</f>
        <v>46150</v>
      </c>
      <c r="AB3" s="60">
        <f>IF(AG3&lt;=AD3,Z3,AI3-AH3+Z3)</f>
        <v>39</v>
      </c>
      <c r="AC3" s="60">
        <f t="shared" ref="AC3:AC12" ca="1" si="3">IF(E3&lt;&gt;"",AA3-TODAY(),"")</f>
        <v>-145</v>
      </c>
      <c r="AD3" s="60">
        <f>IF(OR(U3="",U3&lt;=G3),N3,_xlfn.XLOOKUP(Z3-H3+_xlfn.XLOOKUP(N3,'STD SAP'!AD:AD,'STD SAP'!W:W,"",1),'STD SAP'!W:W,'STD SAP'!AD:AD))</f>
        <v>3.1629999999999998</v>
      </c>
      <c r="AE3" s="60">
        <f t="shared" ref="AE3:AE12" si="4">IF(Y3&lt;&gt;"",MIN(CEILING(Y3*(AD3-N3),50),S3),0)</f>
        <v>1450</v>
      </c>
      <c r="AF3" s="88">
        <f t="shared" ref="AF3:AF12" si="5">IF(S3&lt;&gt;"",ROUND((S3-AE3)/Y3,3),"")</f>
        <v>0.42099999999999999</v>
      </c>
      <c r="AG3" s="60">
        <f t="shared" ref="AG3" si="6">IF(AF3&lt;&gt;"",+AD3+AF3,0)</f>
        <v>3.5839999999999996</v>
      </c>
      <c r="AH3" s="60">
        <f>IF(AD3&lt;&gt;"",_xlfn.XLOOKUP(AD3,'STD SAP'!AD:AD,'STD SAP'!W:W,"",1),"")</f>
        <v>34</v>
      </c>
      <c r="AI3" s="60">
        <f>IF(AG3&lt;&gt;"",_xlfn.XLOOKUP(AG3,'STD SAP'!AD:AD,'STD SAP'!W:W,"",1),"")</f>
        <v>36</v>
      </c>
      <c r="AJ3" s="88">
        <v>2.2000000000000002</v>
      </c>
      <c r="AK3" s="60"/>
      <c r="AL3" s="90">
        <f>F3-P3-Q3</f>
        <v>1550</v>
      </c>
      <c r="AM3" s="86">
        <v>46149</v>
      </c>
      <c r="AN3" s="60" t="s">
        <v>243</v>
      </c>
      <c r="AO3" s="85">
        <v>2000</v>
      </c>
      <c r="AP3" s="60"/>
      <c r="AQ3" s="85"/>
      <c r="AR3" s="60"/>
      <c r="AS3" s="85"/>
      <c r="AT3" s="60"/>
      <c r="AU3" s="85"/>
      <c r="AV3" s="85">
        <f>IF(AO3&lt;&gt;"",AO3+AQ3+AS3+AU3,0)</f>
        <v>2000</v>
      </c>
      <c r="AW3" s="86">
        <f t="shared" ref="AW3:AW12" si="7">E3+AX3</f>
        <v>46153</v>
      </c>
      <c r="AX3" s="60">
        <f>IF(BB3&lt;=AG3,AB3,BC3+AB3-AH3)</f>
        <v>42</v>
      </c>
      <c r="AY3" s="60">
        <f ca="1">AW3-TODAY()</f>
        <v>-142</v>
      </c>
      <c r="AZ3" s="89">
        <f t="shared" ref="AZ3:AZ12" si="8">S3+AV3-AE3</f>
        <v>5550</v>
      </c>
      <c r="BA3" s="60">
        <f>ROUND(AZ3/Y3,3)</f>
        <v>0.65800000000000003</v>
      </c>
      <c r="BB3" s="88">
        <f>BA3+AD3</f>
        <v>3.8209999999999997</v>
      </c>
      <c r="BC3" s="60">
        <f>_xlfn.XLOOKUP(BB3,'STD SAP'!AD:AD,'STD SAP'!W:W,"",1)</f>
        <v>37</v>
      </c>
      <c r="BD3" s="60" t="s">
        <v>244</v>
      </c>
      <c r="BF3" t="s">
        <v>245</v>
      </c>
      <c r="BH3" s="91"/>
      <c r="BI3" s="91"/>
    </row>
    <row r="4" spans="1:61" ht="18.75" thickBot="1">
      <c r="A4" s="82">
        <v>2</v>
      </c>
      <c r="B4" s="60">
        <v>1000002</v>
      </c>
      <c r="C4" s="60" t="s">
        <v>258</v>
      </c>
      <c r="D4" s="85">
        <f>17200*1.01</f>
        <v>17372</v>
      </c>
      <c r="E4" s="86">
        <v>46111</v>
      </c>
      <c r="F4" s="85">
        <f>CEILING(_xlfn.XLOOKUP(AJ4,'STD SAP'!X:X,'STD SAP'!AD:AD)*D4,50)</f>
        <v>58550</v>
      </c>
      <c r="G4" s="86">
        <v>46147</v>
      </c>
      <c r="H4" s="60">
        <f t="shared" ref="H4:H5" si="9">IF(G4&lt;&gt;"",G4-E4,0)</f>
        <v>36</v>
      </c>
      <c r="I4" s="85">
        <v>716</v>
      </c>
      <c r="J4" s="85">
        <f t="shared" ref="J4:J5" si="10">IF(E4&lt;&gt;"",D4-I4,"")</f>
        <v>16656</v>
      </c>
      <c r="K4" s="88">
        <v>2.016</v>
      </c>
      <c r="L4" s="88">
        <f t="shared" ref="L4:L10" si="11">IF(K4&lt;&gt;"",R4/K4/J4,"")</f>
        <v>1.5486101581202447</v>
      </c>
      <c r="M4" s="88">
        <f>IF(L4&lt;&gt;"",L4-_xlfn.XLOOKUP(K4,'STD SAP'!X:X,'STD SAP'!AA:AA),"")</f>
        <v>4.8610158120244717E-2</v>
      </c>
      <c r="N4" s="88">
        <f t="shared" si="0"/>
        <v>2.9929999999999999</v>
      </c>
      <c r="O4" s="88">
        <f t="shared" si="1"/>
        <v>3.2810000000000001</v>
      </c>
      <c r="P4" s="85">
        <v>55000</v>
      </c>
      <c r="Q4" s="85">
        <v>2000</v>
      </c>
      <c r="R4" s="85">
        <v>52000</v>
      </c>
      <c r="S4" s="85">
        <f t="shared" ref="S4:S10" si="12">IF(SUM(P4:Q4)&lt;&gt;0,+P4+Q4-R4,0)</f>
        <v>5000</v>
      </c>
      <c r="T4" s="60">
        <f t="shared" ref="T4:T10" ca="1" si="13">IF(E4&lt;&gt;"",IF(E4&lt;TODAY(),TODAY()-E4,0),"")</f>
        <v>184</v>
      </c>
      <c r="U4" s="86">
        <v>46148</v>
      </c>
      <c r="V4" s="85">
        <v>8219</v>
      </c>
      <c r="W4" s="94"/>
      <c r="X4" s="85"/>
      <c r="Y4" s="89">
        <f>IF(D4&lt;&gt;"",J4-V4-X4,"")</f>
        <v>8437</v>
      </c>
      <c r="Z4" s="60">
        <f t="shared" ref="Z4:Z12" si="14">IF(
   OR(MAX(U4,W4)&lt;G4, COUNTA(U4,W4)=0),
   H4,
   MAX(U4,W4)-E4
)</f>
        <v>37</v>
      </c>
      <c r="AA4" s="86">
        <f t="shared" si="2"/>
        <v>46150</v>
      </c>
      <c r="AB4" s="60">
        <f t="shared" ref="AB4:AB5" si="15">IF(AG4&lt;=AD4,Z4,AI4-AH4+Z4)</f>
        <v>39</v>
      </c>
      <c r="AC4" s="60">
        <f t="shared" ca="1" si="3"/>
        <v>-145</v>
      </c>
      <c r="AD4" s="60">
        <f>IF(OR(U4="",U4&lt;=G4),N4,_xlfn.XLOOKUP(Z4-H4+_xlfn.XLOOKUP(N4,'STD SAP'!AD:AD,'STD SAP'!W:W,"",1),'STD SAP'!W:W,'STD SAP'!AD:AD))</f>
        <v>3.1629999999999998</v>
      </c>
      <c r="AE4" s="60">
        <f t="shared" si="4"/>
        <v>1450</v>
      </c>
      <c r="AF4" s="88">
        <f t="shared" si="5"/>
        <v>0.42099999999999999</v>
      </c>
      <c r="AG4" s="60">
        <f>IF(AF4&lt;&gt;"",+AD4+AF4,0)</f>
        <v>3.5839999999999996</v>
      </c>
      <c r="AH4" s="60">
        <f>IF(AD4&lt;&gt;"",_xlfn.XLOOKUP(AD4,'STD SAP'!AD:AD,'STD SAP'!W:W,"",1),"")</f>
        <v>34</v>
      </c>
      <c r="AI4" s="60">
        <f>IF(AG4&lt;&gt;"",_xlfn.XLOOKUP(AG4,'STD SAP'!AD:AD,'STD SAP'!W:W,"",1),"")</f>
        <v>36</v>
      </c>
      <c r="AJ4" s="88">
        <v>2.2000000000000002</v>
      </c>
      <c r="AK4" s="60"/>
      <c r="AL4" s="90">
        <f t="shared" ref="AL4:AL12" si="16">F4-P4-Q4</f>
        <v>1550</v>
      </c>
      <c r="AM4" s="86"/>
      <c r="AN4" s="60"/>
      <c r="AO4" s="85"/>
      <c r="AP4" s="60"/>
      <c r="AQ4" s="85"/>
      <c r="AR4" s="60"/>
      <c r="AS4" s="85"/>
      <c r="AT4" s="60"/>
      <c r="AU4" s="85"/>
      <c r="AV4" s="85">
        <f>IF(AO4&lt;&gt;"",AO4+AQ4+AS4+AU4,0)</f>
        <v>0</v>
      </c>
      <c r="AW4" s="86">
        <f t="shared" si="7"/>
        <v>46150</v>
      </c>
      <c r="AX4" s="60">
        <f t="shared" ref="AX4:AX6" si="17">IF(BB4&lt;=AG4,AB4,BC4+AB4-AH4)</f>
        <v>39</v>
      </c>
      <c r="AY4" s="60">
        <f t="shared" ref="AY4:AY5" ca="1" si="18">AW4-TODAY()</f>
        <v>-145</v>
      </c>
      <c r="AZ4" s="89">
        <f t="shared" si="8"/>
        <v>3550</v>
      </c>
      <c r="BA4" s="60">
        <f t="shared" ref="BA4:BA5" si="19">ROUND(AZ4/Y4,3)</f>
        <v>0.42099999999999999</v>
      </c>
      <c r="BB4" s="88">
        <f t="shared" ref="BB4:BB5" si="20">BA4+AD4</f>
        <v>3.5839999999999996</v>
      </c>
      <c r="BC4" s="60">
        <f>_xlfn.XLOOKUP(BB4,'STD SAP'!AD:AD,'STD SAP'!W:W,"",1)</f>
        <v>36</v>
      </c>
      <c r="BD4" s="60" t="s">
        <v>244</v>
      </c>
      <c r="BF4" t="s">
        <v>246</v>
      </c>
      <c r="BH4" s="91"/>
      <c r="BI4" s="91"/>
    </row>
    <row r="5" spans="1:61" ht="18.75" thickBot="1">
      <c r="A5" s="82">
        <v>3</v>
      </c>
      <c r="B5" s="60">
        <v>1000003</v>
      </c>
      <c r="C5" s="60" t="s">
        <v>259</v>
      </c>
      <c r="D5" s="85">
        <f t="shared" ref="D5:D10" si="21">17200*1.01</f>
        <v>17372</v>
      </c>
      <c r="E5" s="86">
        <v>46111</v>
      </c>
      <c r="F5" s="85">
        <f>CEILING(_xlfn.XLOOKUP(AJ5,'STD SAP'!X:X,'STD SAP'!AD:AD)*D5,50)</f>
        <v>58550</v>
      </c>
      <c r="G5" s="86">
        <v>46147</v>
      </c>
      <c r="H5" s="60">
        <f t="shared" si="9"/>
        <v>36</v>
      </c>
      <c r="I5" s="85">
        <v>716</v>
      </c>
      <c r="J5" s="85">
        <f t="shared" si="10"/>
        <v>16656</v>
      </c>
      <c r="K5" s="88">
        <v>2.016</v>
      </c>
      <c r="L5" s="88">
        <f t="shared" si="11"/>
        <v>1.5486101581202447</v>
      </c>
      <c r="M5" s="88">
        <f>IF(L5&lt;&gt;"",L5-_xlfn.XLOOKUP(K5,'STD SAP'!X:X,'STD SAP'!AA:AA),"")</f>
        <v>4.8610158120244717E-2</v>
      </c>
      <c r="N5" s="88">
        <f t="shared" si="0"/>
        <v>2.9929999999999999</v>
      </c>
      <c r="O5" s="88">
        <f t="shared" si="1"/>
        <v>3.2810000000000001</v>
      </c>
      <c r="P5" s="85">
        <v>55000</v>
      </c>
      <c r="Q5" s="85">
        <v>2000</v>
      </c>
      <c r="R5" s="85">
        <v>52000</v>
      </c>
      <c r="S5" s="85">
        <f t="shared" si="12"/>
        <v>5000</v>
      </c>
      <c r="T5" s="60">
        <f t="shared" ca="1" si="13"/>
        <v>184</v>
      </c>
      <c r="U5" s="86"/>
      <c r="V5" s="85"/>
      <c r="W5" s="86">
        <v>46145</v>
      </c>
      <c r="X5" s="85">
        <v>8219</v>
      </c>
      <c r="Y5" s="89">
        <f>IF(D5&lt;&gt;"",J5-V5-X5,"")</f>
        <v>8437</v>
      </c>
      <c r="Z5" s="60">
        <f t="shared" si="14"/>
        <v>36</v>
      </c>
      <c r="AA5" s="86">
        <f t="shared" si="2"/>
        <v>46150</v>
      </c>
      <c r="AB5" s="60">
        <f t="shared" si="15"/>
        <v>39</v>
      </c>
      <c r="AC5" s="60">
        <f t="shared" ca="1" si="3"/>
        <v>-145</v>
      </c>
      <c r="AD5" s="60">
        <f>IF(OR(U5="",U5&lt;=G5),N5,_xlfn.XLOOKUP(Z5-H5+_xlfn.XLOOKUP(N5,'STD SAP'!AD:AD,'STD SAP'!W:W,"",1),'STD SAP'!W:W,'STD SAP'!AD:AD))</f>
        <v>2.9929999999999999</v>
      </c>
      <c r="AE5" s="60">
        <f t="shared" si="4"/>
        <v>0</v>
      </c>
      <c r="AF5" s="88">
        <f t="shared" si="5"/>
        <v>0.59299999999999997</v>
      </c>
      <c r="AG5" s="60">
        <f>IF(AF5&lt;&gt;"",+AD5+AF5,0)</f>
        <v>3.5859999999999999</v>
      </c>
      <c r="AH5" s="60">
        <f>IF(AD5&lt;&gt;"",_xlfn.XLOOKUP(AD5,'STD SAP'!AD:AD,'STD SAP'!W:W,"",1),"")</f>
        <v>33</v>
      </c>
      <c r="AI5" s="60">
        <f>IF(AG5&lt;&gt;"",_xlfn.XLOOKUP(AG5,'STD SAP'!AD:AD,'STD SAP'!W:W,"",1),"")</f>
        <v>36</v>
      </c>
      <c r="AJ5" s="88">
        <v>2.2000000000000002</v>
      </c>
      <c r="AK5" s="60"/>
      <c r="AL5" s="90">
        <f t="shared" si="16"/>
        <v>1550</v>
      </c>
      <c r="AM5" s="86">
        <v>46149</v>
      </c>
      <c r="AN5" s="60" t="s">
        <v>243</v>
      </c>
      <c r="AO5" s="85">
        <v>2000</v>
      </c>
      <c r="AP5" s="60"/>
      <c r="AQ5" s="85"/>
      <c r="AR5" s="60"/>
      <c r="AS5" s="85"/>
      <c r="AT5" s="60"/>
      <c r="AU5" s="85"/>
      <c r="AV5" s="85">
        <f t="shared" ref="AV5:AV13" si="22">IF(AO5&lt;&gt;"",AO5+AQ5+AS5+AU5,0)</f>
        <v>2000</v>
      </c>
      <c r="AW5" s="86">
        <f t="shared" si="7"/>
        <v>46154</v>
      </c>
      <c r="AX5" s="60">
        <f t="shared" si="17"/>
        <v>43</v>
      </c>
      <c r="AY5" s="60">
        <f t="shared" ca="1" si="18"/>
        <v>-141</v>
      </c>
      <c r="AZ5" s="89">
        <f t="shared" si="8"/>
        <v>7000</v>
      </c>
      <c r="BA5" s="60">
        <f t="shared" si="19"/>
        <v>0.83</v>
      </c>
      <c r="BB5" s="88">
        <f t="shared" si="20"/>
        <v>3.823</v>
      </c>
      <c r="BC5" s="60">
        <f>_xlfn.XLOOKUP(BB5,'STD SAP'!AD:AD,'STD SAP'!W:W,"",1)</f>
        <v>37</v>
      </c>
      <c r="BD5" s="60" t="s">
        <v>244</v>
      </c>
      <c r="BF5" t="s">
        <v>247</v>
      </c>
      <c r="BH5" s="91"/>
      <c r="BI5" s="91"/>
    </row>
    <row r="6" spans="1:61" ht="18.75" thickBot="1">
      <c r="A6" s="82">
        <v>4</v>
      </c>
      <c r="B6" s="60">
        <v>1000004</v>
      </c>
      <c r="C6" s="60" t="s">
        <v>260</v>
      </c>
      <c r="D6" s="85">
        <f t="shared" si="21"/>
        <v>17372</v>
      </c>
      <c r="E6" s="86">
        <v>46111</v>
      </c>
      <c r="F6" s="85">
        <f>CEILING(_xlfn.XLOOKUP(AJ6,'STD SAP'!X:X,'STD SAP'!AD:AD)*D6,50)</f>
        <v>58550</v>
      </c>
      <c r="G6" s="86">
        <v>46147</v>
      </c>
      <c r="H6" s="60">
        <f t="shared" ref="H6:H8" si="23">IF(G6&lt;&gt;"",G6-E6,0)</f>
        <v>36</v>
      </c>
      <c r="I6" s="85">
        <v>716</v>
      </c>
      <c r="J6" s="85">
        <f t="shared" ref="J6:J8" si="24">IF(E6&lt;&gt;"",D6-I6,"")</f>
        <v>16656</v>
      </c>
      <c r="K6" s="88">
        <v>2.016</v>
      </c>
      <c r="L6" s="88">
        <f t="shared" ref="L6:L8" si="25">IF(K6&lt;&gt;"",R6/K6/J6,"")</f>
        <v>1.5486101581202447</v>
      </c>
      <c r="M6" s="88">
        <f>IF(L6&lt;&gt;"",L6-_xlfn.XLOOKUP(K6,'STD SAP'!X:X,'STD SAP'!AA:AA),"")</f>
        <v>4.8610158120244717E-2</v>
      </c>
      <c r="N6" s="88">
        <f t="shared" ref="N6:N8" si="26">IF(R6&lt;&gt;"",ROUND(R6/D6,3),0)</f>
        <v>2.9929999999999999</v>
      </c>
      <c r="O6" s="88">
        <f t="shared" si="1"/>
        <v>3.2810000000000001</v>
      </c>
      <c r="P6" s="85">
        <v>55000</v>
      </c>
      <c r="Q6" s="85">
        <v>2000</v>
      </c>
      <c r="R6" s="85">
        <v>52000</v>
      </c>
      <c r="S6" s="85">
        <f t="shared" si="12"/>
        <v>5000</v>
      </c>
      <c r="T6" s="60">
        <f t="shared" ca="1" si="13"/>
        <v>184</v>
      </c>
      <c r="U6" s="86"/>
      <c r="V6" s="85"/>
      <c r="W6" s="86">
        <v>46145</v>
      </c>
      <c r="X6" s="85">
        <v>8219</v>
      </c>
      <c r="Y6" s="89">
        <f t="shared" ref="Y6:Y12" si="27">IF(D6&lt;&gt;"",J6-V6-X6,"")</f>
        <v>8437</v>
      </c>
      <c r="Z6" s="60">
        <f>IF(
   OR(MAX(U6,W6)&lt;G6, COUNTA(U6,W6)=0),
   H6,
   MAX(U6,W6)-E6
)</f>
        <v>36</v>
      </c>
      <c r="AA6" s="86">
        <f t="shared" si="2"/>
        <v>46150</v>
      </c>
      <c r="AB6" s="60">
        <f>IF(AG6&lt;=AD6,Z6,AI6-AH6+Z6)</f>
        <v>39</v>
      </c>
      <c r="AC6" s="60">
        <f ca="1">IF(E6&lt;&gt;"",AA6-TODAY(),"")</f>
        <v>-145</v>
      </c>
      <c r="AD6" s="60">
        <f>IF(OR(U6="",U6&lt;=G6),N6,_xlfn.XLOOKUP(Z6-H6+_xlfn.XLOOKUP(N6,'STD SAP'!AD:AD,'STD SAP'!W:W,"",1),'STD SAP'!W:W,'STD SAP'!AD:AD))</f>
        <v>2.9929999999999999</v>
      </c>
      <c r="AE6" s="60">
        <f t="shared" si="4"/>
        <v>0</v>
      </c>
      <c r="AF6" s="88">
        <f t="shared" si="5"/>
        <v>0.59299999999999997</v>
      </c>
      <c r="AG6" s="60">
        <f>IF(AF6&lt;&gt;"",+AD6+AF6,0)</f>
        <v>3.5859999999999999</v>
      </c>
      <c r="AH6" s="60">
        <f>IF(AD6&lt;&gt;"",_xlfn.XLOOKUP(AD6,'STD SAP'!AD:AD,'STD SAP'!W:W,"",1),"")</f>
        <v>33</v>
      </c>
      <c r="AI6" s="60">
        <f>IF(AG6&lt;&gt;"",_xlfn.XLOOKUP(AG6,'STD SAP'!AD:AD,'STD SAP'!W:W,"",1),"")</f>
        <v>36</v>
      </c>
      <c r="AJ6" s="88">
        <v>2.2000000000000002</v>
      </c>
      <c r="AK6" s="60"/>
      <c r="AL6" s="90">
        <f t="shared" si="16"/>
        <v>1550</v>
      </c>
      <c r="AM6" s="86"/>
      <c r="AN6" s="60"/>
      <c r="AO6" s="85"/>
      <c r="AP6" s="60"/>
      <c r="AQ6" s="85"/>
      <c r="AR6" s="60"/>
      <c r="AS6" s="85"/>
      <c r="AT6" s="60"/>
      <c r="AU6" s="85"/>
      <c r="AV6" s="85">
        <f t="shared" si="22"/>
        <v>0</v>
      </c>
      <c r="AW6" s="86">
        <f t="shared" si="7"/>
        <v>46150</v>
      </c>
      <c r="AX6" s="60">
        <f t="shared" si="17"/>
        <v>39</v>
      </c>
      <c r="AY6" s="60">
        <f ca="1">AW6-TODAY()</f>
        <v>-145</v>
      </c>
      <c r="AZ6" s="89">
        <f t="shared" si="8"/>
        <v>5000</v>
      </c>
      <c r="BA6" s="60">
        <f>ROUND(AZ6/Y6,3)</f>
        <v>0.59299999999999997</v>
      </c>
      <c r="BB6" s="88">
        <f>BA6+AD6</f>
        <v>3.5859999999999999</v>
      </c>
      <c r="BC6" s="60">
        <f>_xlfn.XLOOKUP(BB6,'STD SAP'!AD:AD,'STD SAP'!W:W,"",1)</f>
        <v>36</v>
      </c>
      <c r="BD6" s="60" t="s">
        <v>244</v>
      </c>
      <c r="BF6" t="s">
        <v>249</v>
      </c>
      <c r="BH6" s="91"/>
      <c r="BI6" s="91"/>
    </row>
    <row r="7" spans="1:61" ht="18.75" thickBot="1">
      <c r="A7" s="82">
        <v>5</v>
      </c>
      <c r="B7" s="60">
        <v>1000005</v>
      </c>
      <c r="C7" s="60" t="s">
        <v>251</v>
      </c>
      <c r="D7" s="85">
        <f t="shared" si="21"/>
        <v>17372</v>
      </c>
      <c r="E7" s="86">
        <v>46111</v>
      </c>
      <c r="F7" s="85">
        <f>CEILING(_xlfn.XLOOKUP(AJ7,'STD SAP'!X:X,'STD SAP'!AD:AD)*D7,50)</f>
        <v>58550</v>
      </c>
      <c r="G7" s="86">
        <v>46147</v>
      </c>
      <c r="H7" s="60">
        <f t="shared" si="23"/>
        <v>36</v>
      </c>
      <c r="I7" s="85">
        <v>716</v>
      </c>
      <c r="J7" s="85">
        <f t="shared" si="24"/>
        <v>16656</v>
      </c>
      <c r="K7" s="88">
        <v>2.016</v>
      </c>
      <c r="L7" s="88">
        <f t="shared" si="25"/>
        <v>1.5486101581202447</v>
      </c>
      <c r="M7" s="88">
        <f>IF(L7&lt;&gt;"",L7-_xlfn.XLOOKUP(K7,'STD SAP'!X:X,'STD SAP'!AA:AA),"")</f>
        <v>4.8610158120244717E-2</v>
      </c>
      <c r="N7" s="88">
        <f t="shared" si="26"/>
        <v>2.9929999999999999</v>
      </c>
      <c r="O7" s="88">
        <f t="shared" si="1"/>
        <v>3.2810000000000001</v>
      </c>
      <c r="P7" s="85">
        <v>55000</v>
      </c>
      <c r="Q7" s="85">
        <v>2000</v>
      </c>
      <c r="R7" s="85">
        <v>52000</v>
      </c>
      <c r="S7" s="85">
        <f t="shared" si="12"/>
        <v>5000</v>
      </c>
      <c r="T7" s="60">
        <f t="shared" ca="1" si="13"/>
        <v>184</v>
      </c>
      <c r="U7" s="86"/>
      <c r="V7" s="85"/>
      <c r="W7" s="94"/>
      <c r="X7" s="85"/>
      <c r="Y7" s="89">
        <f t="shared" si="27"/>
        <v>16656</v>
      </c>
      <c r="Z7" s="60">
        <f t="shared" si="14"/>
        <v>36</v>
      </c>
      <c r="AA7" s="86">
        <f t="shared" si="2"/>
        <v>46148</v>
      </c>
      <c r="AB7" s="60">
        <f t="shared" ref="AB7:AB10" si="28">IF(AG7&lt;=AD7,Z7,AI7-AH7+Z7)</f>
        <v>37</v>
      </c>
      <c r="AC7" s="60">
        <f t="shared" ca="1" si="3"/>
        <v>-147</v>
      </c>
      <c r="AD7" s="60">
        <f>IF(OR(U7="",U7&lt;=G7),N7,_xlfn.XLOOKUP(Z7-H7+_xlfn.XLOOKUP(N7,'STD SAP'!AD:AD,'STD SAP'!W:W,"",1),'STD SAP'!W:W,'STD SAP'!AD:AD))</f>
        <v>2.9929999999999999</v>
      </c>
      <c r="AE7" s="60">
        <f t="shared" si="4"/>
        <v>0</v>
      </c>
      <c r="AF7" s="88">
        <f t="shared" si="5"/>
        <v>0.3</v>
      </c>
      <c r="AG7" s="60">
        <f t="shared" ref="AG7:AG10" si="29">IF(AF7&lt;&gt;"",+AD7+AF7,0)</f>
        <v>3.2929999999999997</v>
      </c>
      <c r="AH7" s="60">
        <f>IF(AD7&lt;&gt;"",_xlfn.XLOOKUP(AD7,'STD SAP'!AD:AD,'STD SAP'!W:W,"",1),"")</f>
        <v>33</v>
      </c>
      <c r="AI7" s="60">
        <f>IF(AG7&lt;&gt;"",_xlfn.XLOOKUP(AG7,'STD SAP'!AD:AD,'STD SAP'!W:W,"",1),"")</f>
        <v>34</v>
      </c>
      <c r="AJ7" s="88">
        <v>2.2000000000000002</v>
      </c>
      <c r="AK7" s="60"/>
      <c r="AL7" s="90">
        <f t="shared" si="16"/>
        <v>1550</v>
      </c>
      <c r="AM7" s="86">
        <v>46149</v>
      </c>
      <c r="AN7" s="60" t="s">
        <v>243</v>
      </c>
      <c r="AO7" s="85">
        <v>5000</v>
      </c>
      <c r="AP7" s="60"/>
      <c r="AQ7" s="85"/>
      <c r="AR7" s="60"/>
      <c r="AS7" s="85"/>
      <c r="AT7" s="60"/>
      <c r="AU7" s="85"/>
      <c r="AV7" s="85">
        <f t="shared" ref="AV7:AV10" si="30">IF(AO7&lt;&gt;"",AO7+AQ7+AS7+AU7,0)</f>
        <v>5000</v>
      </c>
      <c r="AW7" s="86">
        <f t="shared" si="7"/>
        <v>46151</v>
      </c>
      <c r="AX7" s="60">
        <f>IF(BB7&lt;=AG7,AB7,BC7+AB7-AH7)</f>
        <v>40</v>
      </c>
      <c r="AY7" s="60">
        <f t="shared" ref="AY7:AY12" ca="1" si="31">AW7-TODAY()</f>
        <v>-144</v>
      </c>
      <c r="AZ7" s="89">
        <f t="shared" si="8"/>
        <v>10000</v>
      </c>
      <c r="BA7" s="60">
        <f t="shared" ref="BA7:BA12" si="32">ROUND(AZ7/Y7,3)</f>
        <v>0.6</v>
      </c>
      <c r="BB7" s="88">
        <f t="shared" ref="BB7:BB12" si="33">BA7+AD7</f>
        <v>3.593</v>
      </c>
      <c r="BC7" s="60">
        <f>_xlfn.XLOOKUP(BB7,'STD SAP'!AD:AD,'STD SAP'!W:W,"",1)</f>
        <v>36</v>
      </c>
      <c r="BD7" s="60" t="s">
        <v>244</v>
      </c>
      <c r="BF7" t="s">
        <v>248</v>
      </c>
      <c r="BH7" s="91"/>
      <c r="BI7" s="91"/>
    </row>
    <row r="8" spans="1:61" ht="18.75" thickBot="1">
      <c r="A8" s="82">
        <v>6</v>
      </c>
      <c r="B8" s="60">
        <v>1000006</v>
      </c>
      <c r="C8" s="60" t="s">
        <v>252</v>
      </c>
      <c r="D8" s="85">
        <f t="shared" si="21"/>
        <v>17372</v>
      </c>
      <c r="E8" s="86">
        <v>46111</v>
      </c>
      <c r="F8" s="85">
        <f>CEILING(_xlfn.XLOOKUP(AJ8,'STD SAP'!X:X,'STD SAP'!AD:AD)*D8,50)</f>
        <v>58550</v>
      </c>
      <c r="G8" s="86">
        <v>46147</v>
      </c>
      <c r="H8" s="60">
        <f t="shared" si="23"/>
        <v>36</v>
      </c>
      <c r="I8" s="85">
        <v>716</v>
      </c>
      <c r="J8" s="85">
        <f t="shared" si="24"/>
        <v>16656</v>
      </c>
      <c r="K8" s="88">
        <v>2.016</v>
      </c>
      <c r="L8" s="88">
        <f t="shared" si="25"/>
        <v>1.5486101581202447</v>
      </c>
      <c r="M8" s="88">
        <f>IF(L8&lt;&gt;"",L8-_xlfn.XLOOKUP(K8,'STD SAP'!X:X,'STD SAP'!AA:AA),"")</f>
        <v>4.8610158120244717E-2</v>
      </c>
      <c r="N8" s="88">
        <f t="shared" si="26"/>
        <v>2.9929999999999999</v>
      </c>
      <c r="O8" s="88">
        <f t="shared" si="1"/>
        <v>3.2810000000000001</v>
      </c>
      <c r="P8" s="85">
        <v>55000</v>
      </c>
      <c r="Q8" s="85">
        <v>2000</v>
      </c>
      <c r="R8" s="85">
        <v>52000</v>
      </c>
      <c r="S8" s="85">
        <f t="shared" si="12"/>
        <v>5000</v>
      </c>
      <c r="T8" s="60">
        <f t="shared" ca="1" si="13"/>
        <v>184</v>
      </c>
      <c r="U8" s="86"/>
      <c r="V8" s="85"/>
      <c r="W8" s="94"/>
      <c r="X8" s="85"/>
      <c r="Y8" s="89">
        <f t="shared" si="27"/>
        <v>16656</v>
      </c>
      <c r="Z8" s="60">
        <f t="shared" si="14"/>
        <v>36</v>
      </c>
      <c r="AA8" s="86">
        <f t="shared" si="2"/>
        <v>46148</v>
      </c>
      <c r="AB8" s="60">
        <f t="shared" si="28"/>
        <v>37</v>
      </c>
      <c r="AC8" s="60">
        <f t="shared" ca="1" si="3"/>
        <v>-147</v>
      </c>
      <c r="AD8" s="60">
        <f>IF(OR(U8="",U8&lt;=G8),N8,_xlfn.XLOOKUP(Z8-H8+_xlfn.XLOOKUP(N8,'STD SAP'!AD:AD,'STD SAP'!W:W,"",1),'STD SAP'!W:W,'STD SAP'!AD:AD))</f>
        <v>2.9929999999999999</v>
      </c>
      <c r="AE8" s="60">
        <f t="shared" si="4"/>
        <v>0</v>
      </c>
      <c r="AF8" s="88">
        <f t="shared" si="5"/>
        <v>0.3</v>
      </c>
      <c r="AG8" s="60">
        <f t="shared" si="29"/>
        <v>3.2929999999999997</v>
      </c>
      <c r="AH8" s="60">
        <f>IF(AD8&lt;&gt;"",_xlfn.XLOOKUP(AD8,'STD SAP'!AD:AD,'STD SAP'!W:W,"",1),"")</f>
        <v>33</v>
      </c>
      <c r="AI8" s="60">
        <f>IF(AG8&lt;&gt;"",_xlfn.XLOOKUP(AG8,'STD SAP'!AD:AD,'STD SAP'!W:W,"",1),"")</f>
        <v>34</v>
      </c>
      <c r="AJ8" s="88">
        <v>2.2000000000000002</v>
      </c>
      <c r="AK8" s="60"/>
      <c r="AL8" s="90">
        <f t="shared" si="16"/>
        <v>1550</v>
      </c>
      <c r="AM8" s="86"/>
      <c r="AN8" s="60"/>
      <c r="AO8" s="85"/>
      <c r="AP8" s="60"/>
      <c r="AQ8" s="85"/>
      <c r="AR8" s="60"/>
      <c r="AS8" s="85"/>
      <c r="AT8" s="60"/>
      <c r="AU8" s="85"/>
      <c r="AV8" s="85">
        <f t="shared" si="30"/>
        <v>0</v>
      </c>
      <c r="AW8" s="86">
        <f t="shared" si="7"/>
        <v>46148</v>
      </c>
      <c r="AX8" s="60">
        <f t="shared" ref="AX8:AX12" si="34">IF(BB8&lt;=AG8,AB8,BC8+AB8-AH8)</f>
        <v>37</v>
      </c>
      <c r="AY8" s="60">
        <f t="shared" ca="1" si="31"/>
        <v>-147</v>
      </c>
      <c r="AZ8" s="89">
        <f t="shared" si="8"/>
        <v>5000</v>
      </c>
      <c r="BA8" s="60">
        <f t="shared" si="32"/>
        <v>0.3</v>
      </c>
      <c r="BB8" s="88">
        <f t="shared" si="33"/>
        <v>3.2929999999999997</v>
      </c>
      <c r="BC8" s="60">
        <f>_xlfn.XLOOKUP(BB8,'STD SAP'!AD:AD,'STD SAP'!W:W,"",1)</f>
        <v>34</v>
      </c>
      <c r="BD8" s="60" t="s">
        <v>244</v>
      </c>
      <c r="BH8" s="91"/>
      <c r="BI8" s="91"/>
    </row>
    <row r="9" spans="1:61" ht="18.75" thickBot="1">
      <c r="A9" s="82">
        <v>7</v>
      </c>
      <c r="B9" s="60">
        <v>1000007</v>
      </c>
      <c r="C9" s="60" t="s">
        <v>253</v>
      </c>
      <c r="D9" s="85">
        <f t="shared" si="21"/>
        <v>17372</v>
      </c>
      <c r="E9" s="86">
        <v>46153</v>
      </c>
      <c r="F9" s="85">
        <f>CEILING(_xlfn.XLOOKUP(AJ9,'STD SAP'!X:X,'STD SAP'!AD:AD)*D9,50)</f>
        <v>58550</v>
      </c>
      <c r="G9" s="86"/>
      <c r="H9" s="60">
        <f t="shared" ref="H9:H10" si="35">IF(G9&lt;&gt;"",G9-E9,0)</f>
        <v>0</v>
      </c>
      <c r="I9" s="85"/>
      <c r="J9" s="85">
        <f t="shared" ref="J9:J10" si="36">IF(E9&lt;&gt;"",D9-I9,"")</f>
        <v>17372</v>
      </c>
      <c r="K9" s="88"/>
      <c r="L9" s="88" t="str">
        <f t="shared" si="11"/>
        <v/>
      </c>
      <c r="M9" s="88" t="str">
        <f>IF(L9&lt;&gt;"",L9-_xlfn.XLOOKUP(K9,'STD SAP'!X:X,'STD SAP'!AA:AA),"")</f>
        <v/>
      </c>
      <c r="N9" s="88">
        <f t="shared" ref="N9:N10" si="37">IF(R9&lt;&gt;"",ROUND(R9/D9,3),0)</f>
        <v>0</v>
      </c>
      <c r="O9" s="88">
        <f t="shared" si="1"/>
        <v>0.28799999999999998</v>
      </c>
      <c r="P9" s="85">
        <v>5000</v>
      </c>
      <c r="Q9" s="85"/>
      <c r="R9" s="85"/>
      <c r="S9" s="85">
        <f t="shared" si="12"/>
        <v>5000</v>
      </c>
      <c r="T9" s="60">
        <f t="shared" ca="1" si="13"/>
        <v>142</v>
      </c>
      <c r="U9" s="86"/>
      <c r="V9" s="85"/>
      <c r="W9" s="94"/>
      <c r="X9" s="85"/>
      <c r="Y9" s="89">
        <f t="shared" si="27"/>
        <v>17372</v>
      </c>
      <c r="Z9" s="60">
        <f t="shared" si="14"/>
        <v>0</v>
      </c>
      <c r="AA9" s="86">
        <f t="shared" si="2"/>
        <v>46162</v>
      </c>
      <c r="AB9" s="60">
        <f t="shared" si="28"/>
        <v>9</v>
      </c>
      <c r="AC9" s="60">
        <f t="shared" ca="1" si="3"/>
        <v>-133</v>
      </c>
      <c r="AD9" s="60">
        <f>IF(OR(U9="",U9&lt;=G9),N9,_xlfn.XLOOKUP(Z9-H9+_xlfn.XLOOKUP(N9,'STD SAP'!AD:AD,'STD SAP'!W:W,"",1),'STD SAP'!W:W,'STD SAP'!AD:AD))</f>
        <v>0</v>
      </c>
      <c r="AE9" s="60">
        <f t="shared" si="4"/>
        <v>0</v>
      </c>
      <c r="AF9" s="88">
        <f t="shared" si="5"/>
        <v>0.28799999999999998</v>
      </c>
      <c r="AG9" s="60">
        <f t="shared" si="29"/>
        <v>0.28799999999999998</v>
      </c>
      <c r="AH9" s="60">
        <f>IF(AD9&lt;&gt;"",_xlfn.XLOOKUP(AD9,'STD SAP'!AD:AD,'STD SAP'!W:W,"",1),"")</f>
        <v>0</v>
      </c>
      <c r="AI9" s="60">
        <f>IF(AG9&lt;&gt;"",_xlfn.XLOOKUP(AG9,'STD SAP'!AD:AD,'STD SAP'!W:W,"",1),"")</f>
        <v>9</v>
      </c>
      <c r="AJ9" s="88">
        <v>2.2000000000000002</v>
      </c>
      <c r="AK9" s="60"/>
      <c r="AL9" s="90">
        <f t="shared" si="16"/>
        <v>53550</v>
      </c>
      <c r="AM9" s="86">
        <v>46149</v>
      </c>
      <c r="AN9" s="60" t="s">
        <v>243</v>
      </c>
      <c r="AO9" s="85">
        <v>5000</v>
      </c>
      <c r="AP9" s="60"/>
      <c r="AQ9" s="85"/>
      <c r="AR9" s="60"/>
      <c r="AS9" s="85"/>
      <c r="AT9" s="60"/>
      <c r="AU9" s="85"/>
      <c r="AV9" s="85">
        <f t="shared" si="30"/>
        <v>5000</v>
      </c>
      <c r="AW9" s="86">
        <f t="shared" si="7"/>
        <v>46176</v>
      </c>
      <c r="AX9" s="60">
        <f t="shared" si="34"/>
        <v>23</v>
      </c>
      <c r="AY9" s="60">
        <f t="shared" ca="1" si="31"/>
        <v>-119</v>
      </c>
      <c r="AZ9" s="89">
        <f t="shared" si="8"/>
        <v>10000</v>
      </c>
      <c r="BA9" s="60">
        <f t="shared" si="32"/>
        <v>0.57599999999999996</v>
      </c>
      <c r="BB9" s="88">
        <f t="shared" si="33"/>
        <v>0.57599999999999996</v>
      </c>
      <c r="BC9" s="60">
        <f>_xlfn.XLOOKUP(BB9,'STD SAP'!AD:AD,'STD SAP'!W:W,"",1)</f>
        <v>14</v>
      </c>
      <c r="BD9" s="60" t="s">
        <v>244</v>
      </c>
      <c r="BH9" s="91"/>
      <c r="BI9" s="91"/>
    </row>
    <row r="10" spans="1:61" ht="18.75" thickBot="1">
      <c r="A10" s="82">
        <v>8</v>
      </c>
      <c r="B10" s="60">
        <v>1000008</v>
      </c>
      <c r="C10" s="60" t="s">
        <v>254</v>
      </c>
      <c r="D10" s="85">
        <f t="shared" si="21"/>
        <v>17372</v>
      </c>
      <c r="E10" s="86">
        <v>46153</v>
      </c>
      <c r="F10" s="85">
        <f>CEILING(_xlfn.XLOOKUP(AJ10,'STD SAP'!X:X,'STD SAP'!AD:AD)*D10,50)</f>
        <v>58550</v>
      </c>
      <c r="G10" s="86"/>
      <c r="H10" s="60">
        <f t="shared" si="35"/>
        <v>0</v>
      </c>
      <c r="I10" s="85"/>
      <c r="J10" s="85">
        <f t="shared" si="36"/>
        <v>17372</v>
      </c>
      <c r="K10" s="88"/>
      <c r="L10" s="88" t="str">
        <f t="shared" si="11"/>
        <v/>
      </c>
      <c r="M10" s="88" t="str">
        <f>IF(L10&lt;&gt;"",L10-_xlfn.XLOOKUP(K10,'STD SAP'!X:X,'STD SAP'!AA:AA),"")</f>
        <v/>
      </c>
      <c r="N10" s="88">
        <f t="shared" si="37"/>
        <v>0</v>
      </c>
      <c r="O10" s="88">
        <f t="shared" si="1"/>
        <v>0.28799999999999998</v>
      </c>
      <c r="P10" s="85">
        <v>5000</v>
      </c>
      <c r="Q10" s="85"/>
      <c r="R10" s="85"/>
      <c r="S10" s="85">
        <f t="shared" si="12"/>
        <v>5000</v>
      </c>
      <c r="T10" s="60">
        <f t="shared" ca="1" si="13"/>
        <v>142</v>
      </c>
      <c r="U10" s="86"/>
      <c r="V10" s="85"/>
      <c r="W10" s="94"/>
      <c r="X10" s="85"/>
      <c r="Y10" s="89">
        <f t="shared" si="27"/>
        <v>17372</v>
      </c>
      <c r="Z10" s="60">
        <f t="shared" si="14"/>
        <v>0</v>
      </c>
      <c r="AA10" s="86">
        <f t="shared" si="2"/>
        <v>46162</v>
      </c>
      <c r="AB10" s="60">
        <f t="shared" si="28"/>
        <v>9</v>
      </c>
      <c r="AC10" s="60">
        <f t="shared" ca="1" si="3"/>
        <v>-133</v>
      </c>
      <c r="AD10" s="60">
        <f>IF(OR(U10="",U10&lt;=G10),N10,_xlfn.XLOOKUP(Z10-H10+_xlfn.XLOOKUP(N10,'STD SAP'!AD:AD,'STD SAP'!W:W,"",1),'STD SAP'!W:W,'STD SAP'!AD:AD))</f>
        <v>0</v>
      </c>
      <c r="AE10" s="60">
        <f t="shared" si="4"/>
        <v>0</v>
      </c>
      <c r="AF10" s="88">
        <f t="shared" si="5"/>
        <v>0.28799999999999998</v>
      </c>
      <c r="AG10" s="60">
        <f t="shared" si="29"/>
        <v>0.28799999999999998</v>
      </c>
      <c r="AH10" s="60">
        <f>IF(AD10&lt;&gt;"",_xlfn.XLOOKUP(AD10,'STD SAP'!AD:AD,'STD SAP'!W:W,"",1),"")</f>
        <v>0</v>
      </c>
      <c r="AI10" s="60">
        <f>IF(AG10&lt;&gt;"",_xlfn.XLOOKUP(AG10,'STD SAP'!AD:AD,'STD SAP'!W:W,"",1),"")</f>
        <v>9</v>
      </c>
      <c r="AJ10" s="88">
        <v>2.2000000000000002</v>
      </c>
      <c r="AK10" s="60"/>
      <c r="AL10" s="90">
        <f t="shared" si="16"/>
        <v>53550</v>
      </c>
      <c r="AM10" s="86"/>
      <c r="AN10" s="60"/>
      <c r="AO10" s="85"/>
      <c r="AP10" s="60"/>
      <c r="AQ10" s="85"/>
      <c r="AR10" s="60"/>
      <c r="AS10" s="85"/>
      <c r="AT10" s="60"/>
      <c r="AU10" s="85"/>
      <c r="AV10" s="85">
        <f t="shared" si="30"/>
        <v>0</v>
      </c>
      <c r="AW10" s="86">
        <f t="shared" si="7"/>
        <v>46162</v>
      </c>
      <c r="AX10" s="60">
        <f t="shared" si="34"/>
        <v>9</v>
      </c>
      <c r="AY10" s="60">
        <f t="shared" ca="1" si="31"/>
        <v>-133</v>
      </c>
      <c r="AZ10" s="89">
        <f t="shared" si="8"/>
        <v>5000</v>
      </c>
      <c r="BA10" s="60">
        <f t="shared" si="32"/>
        <v>0.28799999999999998</v>
      </c>
      <c r="BB10" s="88">
        <f t="shared" si="33"/>
        <v>0.28799999999999998</v>
      </c>
      <c r="BC10" s="60">
        <f>_xlfn.XLOOKUP(BB10,'STD SAP'!AD:AD,'STD SAP'!W:W,"",1)</f>
        <v>9</v>
      </c>
      <c r="BD10" s="60" t="s">
        <v>244</v>
      </c>
      <c r="BH10" s="91"/>
      <c r="BI10" s="91"/>
    </row>
    <row r="11" spans="1:61" ht="18.75" thickBot="1">
      <c r="A11" s="82">
        <v>9</v>
      </c>
      <c r="B11" s="60">
        <v>1000009</v>
      </c>
      <c r="C11" s="60" t="s">
        <v>255</v>
      </c>
      <c r="D11" s="85">
        <f t="shared" ref="D11:D12" si="38">17200*1.01</f>
        <v>17372</v>
      </c>
      <c r="E11" s="86">
        <v>46153</v>
      </c>
      <c r="F11" s="85">
        <f>CEILING(_xlfn.XLOOKUP(AJ11,'STD SAP'!X:X,'STD SAP'!AD:AD)*D11,50)</f>
        <v>58550</v>
      </c>
      <c r="G11" s="86"/>
      <c r="H11" s="60">
        <f t="shared" ref="H11:H14" si="39">IF(G11&lt;&gt;"",G11-E11,0)</f>
        <v>0</v>
      </c>
      <c r="I11" s="85"/>
      <c r="J11" s="85">
        <f t="shared" ref="J11:J12" si="40">IF(E11&lt;&gt;"",D11-I11,"")</f>
        <v>17372</v>
      </c>
      <c r="K11" s="88"/>
      <c r="L11" s="88" t="str">
        <f t="shared" ref="L11:L14" si="41">IF(K11&lt;&gt;"",R11/K11/J11,"")</f>
        <v/>
      </c>
      <c r="M11" s="88" t="str">
        <f>IF(L11&lt;&gt;"",L11-_xlfn.XLOOKUP(K11,'STD SAP'!X:X,'STD SAP'!AA:AA),"")</f>
        <v/>
      </c>
      <c r="N11" s="88">
        <f t="shared" ref="N11:N14" si="42">IF(R11&lt;&gt;"",ROUND(R11/D11,3),0)</f>
        <v>0</v>
      </c>
      <c r="O11" s="88">
        <f t="shared" si="1"/>
        <v>0</v>
      </c>
      <c r="P11" s="85"/>
      <c r="Q11" s="85"/>
      <c r="R11" s="85"/>
      <c r="S11" s="85">
        <f>IF(SUM(P11:Q11)&lt;&gt;0,+P11+Q11-R11,0)</f>
        <v>0</v>
      </c>
      <c r="T11" s="60">
        <f ca="1">IF(E11&lt;&gt;"",IF(E11&lt;TODAY(),TODAY()-E11,0),"")</f>
        <v>142</v>
      </c>
      <c r="U11" s="86"/>
      <c r="V11" s="85"/>
      <c r="W11" s="94"/>
      <c r="X11" s="85"/>
      <c r="Y11" s="89">
        <f t="shared" si="27"/>
        <v>17372</v>
      </c>
      <c r="Z11" s="60">
        <f t="shared" si="14"/>
        <v>0</v>
      </c>
      <c r="AA11" s="86">
        <f t="shared" si="2"/>
        <v>46153</v>
      </c>
      <c r="AB11" s="60">
        <f t="shared" ref="AB11:AB12" si="43">IF(AG11&lt;=AD11,Z11,AI11-AH11+Z11)</f>
        <v>0</v>
      </c>
      <c r="AC11" s="60">
        <f t="shared" ca="1" si="3"/>
        <v>-142</v>
      </c>
      <c r="AD11" s="60">
        <f>IF(OR(U11="",U11&lt;=G11),N11,_xlfn.XLOOKUP(Z11-H11+_xlfn.XLOOKUP(N11,'STD SAP'!AD:AD,'STD SAP'!W:W,"",1),'STD SAP'!W:W,'STD SAP'!AD:AD))</f>
        <v>0</v>
      </c>
      <c r="AE11" s="60">
        <f t="shared" si="4"/>
        <v>0</v>
      </c>
      <c r="AF11" s="88">
        <f t="shared" si="5"/>
        <v>0</v>
      </c>
      <c r="AG11" s="60">
        <f t="shared" ref="AG11:AG13" si="44">IF(AF11&lt;&gt;"",+AD11+AF11,0)</f>
        <v>0</v>
      </c>
      <c r="AH11" s="60">
        <f>IF(AD11&lt;&gt;"",_xlfn.XLOOKUP(AD11,'STD SAP'!AD:AD,'STD SAP'!W:W,"",1),"")</f>
        <v>0</v>
      </c>
      <c r="AI11" s="60">
        <f>IF(AG11&lt;&gt;"",_xlfn.XLOOKUP(AG11,'STD SAP'!AD:AD,'STD SAP'!W:W,"",1),"")</f>
        <v>0</v>
      </c>
      <c r="AJ11" s="88">
        <v>2.2000000000000002</v>
      </c>
      <c r="AK11" s="60"/>
      <c r="AL11" s="90">
        <f t="shared" si="16"/>
        <v>58550</v>
      </c>
      <c r="AM11" s="86">
        <v>46149</v>
      </c>
      <c r="AN11" s="60" t="s">
        <v>243</v>
      </c>
      <c r="AO11" s="85">
        <v>5000</v>
      </c>
      <c r="AP11" s="60"/>
      <c r="AQ11" s="85"/>
      <c r="AR11" s="60"/>
      <c r="AS11" s="85"/>
      <c r="AT11" s="60"/>
      <c r="AU11" s="85"/>
      <c r="AV11" s="85">
        <f t="shared" si="22"/>
        <v>5000</v>
      </c>
      <c r="AW11" s="86">
        <f t="shared" si="7"/>
        <v>46162</v>
      </c>
      <c r="AX11" s="60">
        <f t="shared" si="34"/>
        <v>9</v>
      </c>
      <c r="AY11" s="60">
        <f t="shared" ca="1" si="31"/>
        <v>-133</v>
      </c>
      <c r="AZ11" s="89">
        <f t="shared" si="8"/>
        <v>5000</v>
      </c>
      <c r="BA11" s="60">
        <f>ROUND(AZ11/Y11,3)</f>
        <v>0.28799999999999998</v>
      </c>
      <c r="BB11" s="88">
        <f>BA11+AD11</f>
        <v>0.28799999999999998</v>
      </c>
      <c r="BC11" s="60">
        <f>_xlfn.XLOOKUP(BB11,'STD SAP'!AD:AD,'STD SAP'!W:W,"",1)</f>
        <v>9</v>
      </c>
      <c r="BD11" s="60" t="s">
        <v>244</v>
      </c>
      <c r="BH11" s="91"/>
      <c r="BI11" s="91"/>
    </row>
    <row r="12" spans="1:61" ht="18.75" thickBot="1">
      <c r="A12" s="82">
        <v>10</v>
      </c>
      <c r="B12" s="60">
        <v>1000010</v>
      </c>
      <c r="C12" s="60" t="s">
        <v>256</v>
      </c>
      <c r="D12" s="85">
        <f t="shared" si="38"/>
        <v>17372</v>
      </c>
      <c r="E12" s="86">
        <v>46153</v>
      </c>
      <c r="F12" s="85">
        <f>CEILING(_xlfn.XLOOKUP(AJ12,'STD SAP'!X:X,'STD SAP'!AD:AD)*D12,50)</f>
        <v>58550</v>
      </c>
      <c r="G12" s="86"/>
      <c r="H12" s="60">
        <f t="shared" si="39"/>
        <v>0</v>
      </c>
      <c r="I12" s="85"/>
      <c r="J12" s="85">
        <f t="shared" si="40"/>
        <v>17372</v>
      </c>
      <c r="K12" s="88"/>
      <c r="L12" s="88" t="str">
        <f t="shared" si="41"/>
        <v/>
      </c>
      <c r="M12" s="88" t="str">
        <f>IF(L12&lt;&gt;"",L12-_xlfn.XLOOKUP(K12,'STD SAP'!X:X,'STD SAP'!AA:AA),"")</f>
        <v/>
      </c>
      <c r="N12" s="88">
        <f t="shared" si="42"/>
        <v>0</v>
      </c>
      <c r="O12" s="88">
        <f t="shared" si="1"/>
        <v>0</v>
      </c>
      <c r="P12" s="85"/>
      <c r="Q12" s="85"/>
      <c r="R12" s="85"/>
      <c r="S12" s="85">
        <f t="shared" ref="S12:S14" si="45">IF(SUM(P12:Q12)&lt;&gt;0,+P12+Q12-R12,0)</f>
        <v>0</v>
      </c>
      <c r="T12" s="60">
        <f t="shared" ref="T12:T14" ca="1" si="46">IF(E12&lt;&gt;"",IF(E12&lt;TODAY(),TODAY()-E12,0),"")</f>
        <v>142</v>
      </c>
      <c r="U12" s="86"/>
      <c r="V12" s="85"/>
      <c r="W12" s="94"/>
      <c r="X12" s="85"/>
      <c r="Y12" s="89">
        <f t="shared" si="27"/>
        <v>17372</v>
      </c>
      <c r="Z12" s="60">
        <f t="shared" si="14"/>
        <v>0</v>
      </c>
      <c r="AA12" s="86">
        <f t="shared" si="2"/>
        <v>46153</v>
      </c>
      <c r="AB12" s="60">
        <f t="shared" si="43"/>
        <v>0</v>
      </c>
      <c r="AC12" s="60">
        <f t="shared" ca="1" si="3"/>
        <v>-142</v>
      </c>
      <c r="AD12" s="60">
        <f>IF(OR(U12="",U12&lt;=G12),N12,_xlfn.XLOOKUP(Z12-H12+_xlfn.XLOOKUP(N12,'STD SAP'!AD:AD,'STD SAP'!W:W,"",1),'STD SAP'!W:W,'STD SAP'!AD:AD))</f>
        <v>0</v>
      </c>
      <c r="AE12" s="60">
        <f t="shared" si="4"/>
        <v>0</v>
      </c>
      <c r="AF12" s="88">
        <f t="shared" si="5"/>
        <v>0</v>
      </c>
      <c r="AG12" s="60">
        <f t="shared" si="44"/>
        <v>0</v>
      </c>
      <c r="AH12" s="60">
        <f>IF(AD12&lt;&gt;"",_xlfn.XLOOKUP(AD12,'STD SAP'!AD:AD,'STD SAP'!W:W,"",1),"")</f>
        <v>0</v>
      </c>
      <c r="AI12" s="60">
        <f>IF(AG12&lt;&gt;"",_xlfn.XLOOKUP(AG12,'STD SAP'!AD:AD,'STD SAP'!W:W,"",1),"")</f>
        <v>0</v>
      </c>
      <c r="AJ12" s="88">
        <v>2.2000000000000002</v>
      </c>
      <c r="AK12" s="60"/>
      <c r="AL12" s="90">
        <f t="shared" si="16"/>
        <v>58550</v>
      </c>
      <c r="AM12" s="86"/>
      <c r="AN12" s="60"/>
      <c r="AO12" s="85"/>
      <c r="AP12" s="60"/>
      <c r="AQ12" s="85"/>
      <c r="AR12" s="60"/>
      <c r="AS12" s="85"/>
      <c r="AT12" s="60"/>
      <c r="AU12" s="85"/>
      <c r="AV12" s="85">
        <f t="shared" si="22"/>
        <v>0</v>
      </c>
      <c r="AW12" s="86">
        <f t="shared" si="7"/>
        <v>46153</v>
      </c>
      <c r="AX12" s="60">
        <f t="shared" si="34"/>
        <v>0</v>
      </c>
      <c r="AY12" s="60">
        <f t="shared" ca="1" si="31"/>
        <v>-142</v>
      </c>
      <c r="AZ12" s="89">
        <f t="shared" si="8"/>
        <v>0</v>
      </c>
      <c r="BA12" s="60">
        <f t="shared" si="32"/>
        <v>0</v>
      </c>
      <c r="BB12" s="88">
        <f t="shared" si="33"/>
        <v>0</v>
      </c>
      <c r="BC12" s="60">
        <f>_xlfn.XLOOKUP(BB12,'STD SAP'!AD:AD,'STD SAP'!W:W,"",1)</f>
        <v>0</v>
      </c>
      <c r="BD12" s="60" t="s">
        <v>244</v>
      </c>
      <c r="BH12" s="91"/>
      <c r="BI12" s="91"/>
    </row>
    <row r="13" spans="1:61" ht="18.75" thickBot="1">
      <c r="A13" s="82">
        <v>11</v>
      </c>
      <c r="B13" s="60">
        <v>1000011</v>
      </c>
      <c r="C13" s="60" t="s">
        <v>272</v>
      </c>
      <c r="D13" s="85">
        <f>17200*1.01</f>
        <v>17372</v>
      </c>
      <c r="E13" s="86">
        <v>46111</v>
      </c>
      <c r="F13" s="85">
        <f>CEILING(_xlfn.XLOOKUP(AJ13,'STD SAP'!X:X,'STD SAP'!AD:AD)*D13,50)</f>
        <v>58550</v>
      </c>
      <c r="G13" s="86">
        <v>46147</v>
      </c>
      <c r="H13" s="60">
        <f t="shared" si="39"/>
        <v>36</v>
      </c>
      <c r="I13" s="85">
        <v>716</v>
      </c>
      <c r="J13" s="85">
        <f>IF(E13&lt;&gt;"",D13-I13,"")</f>
        <v>16656</v>
      </c>
      <c r="K13" s="88">
        <v>2.016</v>
      </c>
      <c r="L13" s="88">
        <f t="shared" si="41"/>
        <v>1.5486101581202447</v>
      </c>
      <c r="M13" s="88">
        <f>IF(L13&lt;&gt;"",L13-_xlfn.XLOOKUP(K13,'STD SAP'!X:X,'STD SAP'!AA:AA),"")</f>
        <v>4.8610158120244717E-2</v>
      </c>
      <c r="N13" s="88">
        <f t="shared" si="42"/>
        <v>2.9929999999999999</v>
      </c>
      <c r="O13" s="88">
        <f t="shared" ref="O13:O14" si="47">IF(S13&lt;&gt;"",ROUND((P13+Q13)/D13,3),0)</f>
        <v>3.2810000000000001</v>
      </c>
      <c r="P13" s="85">
        <v>55000</v>
      </c>
      <c r="Q13" s="85">
        <v>2000</v>
      </c>
      <c r="R13" s="85">
        <v>52000</v>
      </c>
      <c r="S13" s="85">
        <f t="shared" si="45"/>
        <v>5000</v>
      </c>
      <c r="T13" s="60">
        <f t="shared" ca="1" si="46"/>
        <v>184</v>
      </c>
      <c r="U13" s="86">
        <v>46148</v>
      </c>
      <c r="V13" s="85">
        <v>3219</v>
      </c>
      <c r="W13" s="86">
        <v>46148</v>
      </c>
      <c r="X13" s="85">
        <v>5000</v>
      </c>
      <c r="Y13" s="89">
        <f>IF(D13&lt;&gt;"",J13-V13-X13,"")</f>
        <v>8437</v>
      </c>
      <c r="Z13" s="60">
        <f t="shared" ref="Z13:Z14" si="48">IF(
   OR(MAX(U13,W13)&lt;G13, COUNTA(U13,W13)=0),
   H13,
   MAX(U13,W13)-E13
)</f>
        <v>37</v>
      </c>
      <c r="AA13" s="86">
        <f t="shared" ref="AA13:AA14" si="49">IF(E13&lt;&gt;"",E13+AB13,"")</f>
        <v>46150</v>
      </c>
      <c r="AB13" s="60">
        <f>IF(AG13&lt;=AD13,Z13,AI13-AH13+Z13)</f>
        <v>39</v>
      </c>
      <c r="AC13" s="60">
        <f t="shared" ref="AC13:AC14" ca="1" si="50">IF(E13&lt;&gt;"",AA13-TODAY(),"")</f>
        <v>-145</v>
      </c>
      <c r="AD13" s="60">
        <f>IF(OR(U13="",U13&lt;=G13),N13,_xlfn.XLOOKUP(Z13-H13+_xlfn.XLOOKUP(N13,'STD SAP'!AD:AD,'STD SAP'!W:W,"",1),'STD SAP'!W:W,'STD SAP'!AD:AD))</f>
        <v>3.1629999999999998</v>
      </c>
      <c r="AE13" s="60">
        <f t="shared" ref="AE13:AE14" si="51">IF(Y13&lt;&gt;"",MIN(CEILING(Y13*(AD13-N13),50),S13),0)</f>
        <v>1450</v>
      </c>
      <c r="AF13" s="88">
        <f t="shared" ref="AF13:AF14" si="52">IF(S13&lt;&gt;"",ROUND((S13-AE13)/Y13,3),"")</f>
        <v>0.42099999999999999</v>
      </c>
      <c r="AG13" s="60">
        <f t="shared" si="44"/>
        <v>3.5839999999999996</v>
      </c>
      <c r="AH13" s="60">
        <f>IF(AD13&lt;&gt;"",_xlfn.XLOOKUP(AD13,'STD SAP'!AD:AD,'STD SAP'!W:W,"",1),"")</f>
        <v>34</v>
      </c>
      <c r="AI13" s="60">
        <f>IF(AG13&lt;&gt;"",_xlfn.XLOOKUP(AG13,'STD SAP'!AD:AD,'STD SAP'!W:W,"",1),"")</f>
        <v>36</v>
      </c>
      <c r="AJ13" s="88">
        <v>2.2000000000000002</v>
      </c>
      <c r="AK13" s="60"/>
      <c r="AL13" s="90">
        <f t="shared" ref="AL13:AL14" si="53">F13-P13-Q13</f>
        <v>1550</v>
      </c>
      <c r="AM13" s="86">
        <v>46149</v>
      </c>
      <c r="AN13" s="60" t="s">
        <v>243</v>
      </c>
      <c r="AO13" s="85">
        <v>2000</v>
      </c>
      <c r="AP13" s="60"/>
      <c r="AQ13" s="85"/>
      <c r="AR13" s="60"/>
      <c r="AS13" s="85"/>
      <c r="AT13" s="60"/>
      <c r="AU13" s="85"/>
      <c r="AV13" s="85">
        <f t="shared" si="22"/>
        <v>2000</v>
      </c>
      <c r="AW13" s="86">
        <f t="shared" ref="AW13:AW14" si="54">E13+AX13</f>
        <v>46153</v>
      </c>
      <c r="AX13" s="60">
        <f>IF(BB13&lt;=AG13,AB13,BC13+AB13-AH13)</f>
        <v>42</v>
      </c>
      <c r="AY13" s="60">
        <f ca="1">AW13-TODAY()</f>
        <v>-142</v>
      </c>
      <c r="AZ13" s="89">
        <f t="shared" ref="AZ13:AZ14" si="55">S13+AV13-AE13</f>
        <v>5550</v>
      </c>
      <c r="BA13" s="60">
        <f>ROUND(AZ13/Y13,3)</f>
        <v>0.65800000000000003</v>
      </c>
      <c r="BB13" s="88">
        <f>BA13+AD13</f>
        <v>3.8209999999999997</v>
      </c>
      <c r="BC13" s="60">
        <f>_xlfn.XLOOKUP(BB13,'STD SAP'!AD:AD,'STD SAP'!W:W,"",1)</f>
        <v>37</v>
      </c>
      <c r="BD13" s="60" t="s">
        <v>244</v>
      </c>
    </row>
    <row r="14" spans="1:61" ht="18.75" thickBot="1">
      <c r="A14" s="82">
        <v>12</v>
      </c>
      <c r="B14" s="60">
        <v>1000012</v>
      </c>
      <c r="C14" s="60" t="s">
        <v>273</v>
      </c>
      <c r="D14" s="85">
        <f>17200*1.01</f>
        <v>17372</v>
      </c>
      <c r="E14" s="86">
        <v>46111</v>
      </c>
      <c r="F14" s="85">
        <f>CEILING(_xlfn.XLOOKUP(AJ14,'STD SAP'!X:X,'STD SAP'!AD:AD)*D14,50)</f>
        <v>58550</v>
      </c>
      <c r="G14" s="86">
        <v>46147</v>
      </c>
      <c r="H14" s="60">
        <f t="shared" si="39"/>
        <v>36</v>
      </c>
      <c r="I14" s="85">
        <v>716</v>
      </c>
      <c r="J14" s="85">
        <f t="shared" ref="J14" si="56">IF(E14&lt;&gt;"",D14-I14,"")</f>
        <v>16656</v>
      </c>
      <c r="K14" s="88">
        <v>2.016</v>
      </c>
      <c r="L14" s="88">
        <f t="shared" si="41"/>
        <v>1.5486101581202447</v>
      </c>
      <c r="M14" s="88">
        <f>IF(L14&lt;&gt;"",L14-_xlfn.XLOOKUP(K14,'STD SAP'!X:X,'STD SAP'!AA:AA),"")</f>
        <v>4.8610158120244717E-2</v>
      </c>
      <c r="N14" s="88">
        <f t="shared" si="42"/>
        <v>2.9929999999999999</v>
      </c>
      <c r="O14" s="88">
        <f t="shared" si="47"/>
        <v>3.2810000000000001</v>
      </c>
      <c r="P14" s="85">
        <v>55000</v>
      </c>
      <c r="Q14" s="85">
        <v>2000</v>
      </c>
      <c r="R14" s="85">
        <v>52000</v>
      </c>
      <c r="S14" s="85">
        <f t="shared" si="45"/>
        <v>5000</v>
      </c>
      <c r="T14" s="60">
        <f t="shared" ca="1" si="46"/>
        <v>184</v>
      </c>
      <c r="U14" s="86">
        <v>46148</v>
      </c>
      <c r="V14" s="85">
        <v>3219</v>
      </c>
      <c r="W14" s="86">
        <v>46148</v>
      </c>
      <c r="X14" s="85">
        <v>5000</v>
      </c>
      <c r="Y14" s="89">
        <f>IF(D14&lt;&gt;"",J14-V14-X14,"")</f>
        <v>8437</v>
      </c>
      <c r="Z14" s="60">
        <f t="shared" si="48"/>
        <v>37</v>
      </c>
      <c r="AA14" s="86">
        <f t="shared" si="49"/>
        <v>46150</v>
      </c>
      <c r="AB14" s="60">
        <f t="shared" ref="AB14" si="57">IF(AG14&lt;=AD14,Z14,AI14-AH14+Z14)</f>
        <v>39</v>
      </c>
      <c r="AC14" s="60">
        <f t="shared" ca="1" si="50"/>
        <v>-145</v>
      </c>
      <c r="AD14" s="60">
        <f>IF(OR(U14="",U14&lt;=G14),N14,_xlfn.XLOOKUP(Z14-H14+_xlfn.XLOOKUP(N14,'STD SAP'!AD:AD,'STD SAP'!W:W,"",1),'STD SAP'!W:W,'STD SAP'!AD:AD))</f>
        <v>3.1629999999999998</v>
      </c>
      <c r="AE14" s="60">
        <f t="shared" si="51"/>
        <v>1450</v>
      </c>
      <c r="AF14" s="88">
        <f t="shared" si="52"/>
        <v>0.42099999999999999</v>
      </c>
      <c r="AG14" s="60">
        <f>IF(AF14&lt;&gt;"",+AD14+AF14,0)</f>
        <v>3.5839999999999996</v>
      </c>
      <c r="AH14" s="60">
        <f>IF(AD14&lt;&gt;"",_xlfn.XLOOKUP(AD14,'STD SAP'!AD:AD,'STD SAP'!W:W,"",1),"")</f>
        <v>34</v>
      </c>
      <c r="AI14" s="60">
        <f>IF(AG14&lt;&gt;"",_xlfn.XLOOKUP(AG14,'STD SAP'!AD:AD,'STD SAP'!W:W,"",1),"")</f>
        <v>36</v>
      </c>
      <c r="AJ14" s="88">
        <v>2.2000000000000002</v>
      </c>
      <c r="AK14" s="60"/>
      <c r="AL14" s="90">
        <f t="shared" si="53"/>
        <v>1550</v>
      </c>
      <c r="AM14" s="86"/>
      <c r="AN14" s="60"/>
      <c r="AO14" s="85"/>
      <c r="AP14" s="60"/>
      <c r="AQ14" s="85"/>
      <c r="AR14" s="60"/>
      <c r="AS14" s="85"/>
      <c r="AT14" s="60"/>
      <c r="AU14" s="85"/>
      <c r="AV14" s="85">
        <f>IF(AO14&lt;&gt;"",AO14+AQ14+AS14+AU14,0)</f>
        <v>0</v>
      </c>
      <c r="AW14" s="86">
        <f t="shared" si="54"/>
        <v>46150</v>
      </c>
      <c r="AX14" s="60">
        <f t="shared" ref="AX14" si="58">IF(BB14&lt;=AG14,AB14,BC14+AB14-AH14)</f>
        <v>39</v>
      </c>
      <c r="AY14" s="60">
        <f t="shared" ref="AY14" ca="1" si="59">AW14-TODAY()</f>
        <v>-145</v>
      </c>
      <c r="AZ14" s="89">
        <f t="shared" si="55"/>
        <v>3550</v>
      </c>
      <c r="BA14" s="60">
        <f t="shared" ref="BA14" si="60">ROUND(AZ14/Y14,3)</f>
        <v>0.42099999999999999</v>
      </c>
      <c r="BB14" s="88">
        <f t="shared" ref="BB14" si="61">BA14+AD14</f>
        <v>3.5839999999999996</v>
      </c>
      <c r="BC14" s="60">
        <f>_xlfn.XLOOKUP(BB14,'STD SAP'!AD:AD,'STD SAP'!W:W,"",1)</f>
        <v>36</v>
      </c>
      <c r="BD14" s="60" t="s">
        <v>244</v>
      </c>
    </row>
    <row r="15" spans="1:61">
      <c r="B15" s="63" t="s">
        <v>26</v>
      </c>
      <c r="C15" s="63" t="s">
        <v>27</v>
      </c>
      <c r="D15" s="63" t="s">
        <v>28</v>
      </c>
      <c r="E15" s="63">
        <v>1</v>
      </c>
      <c r="F15" s="63">
        <v>2</v>
      </c>
      <c r="G15" s="63" t="s">
        <v>30</v>
      </c>
      <c r="H15" s="63" t="s">
        <v>31</v>
      </c>
      <c r="I15" s="63" t="s">
        <v>32</v>
      </c>
      <c r="J15" s="63" t="s">
        <v>34</v>
      </c>
      <c r="K15" s="63" t="s">
        <v>48</v>
      </c>
      <c r="L15" s="63" t="s">
        <v>187</v>
      </c>
      <c r="M15" s="63" t="s">
        <v>261</v>
      </c>
      <c r="N15" s="63" t="s">
        <v>49</v>
      </c>
      <c r="O15" s="63" t="s">
        <v>51</v>
      </c>
      <c r="P15" s="63" t="s">
        <v>52</v>
      </c>
      <c r="Q15" s="63" t="s">
        <v>53</v>
      </c>
      <c r="R15" s="63">
        <v>3</v>
      </c>
      <c r="S15" s="63" t="s">
        <v>57</v>
      </c>
      <c r="T15" s="63" t="s">
        <v>58</v>
      </c>
      <c r="U15" s="63" t="s">
        <v>59</v>
      </c>
      <c r="V15" s="63" t="s">
        <v>61</v>
      </c>
      <c r="W15" s="63">
        <v>16</v>
      </c>
      <c r="X15" s="63">
        <v>17</v>
      </c>
      <c r="Y15" s="63">
        <v>4</v>
      </c>
      <c r="Z15" s="63">
        <v>5</v>
      </c>
      <c r="AA15" s="63" t="s">
        <v>62</v>
      </c>
      <c r="AB15" s="63" t="s">
        <v>60</v>
      </c>
      <c r="AC15" s="63" t="s">
        <v>63</v>
      </c>
      <c r="AD15" s="63">
        <v>6</v>
      </c>
      <c r="AE15" s="63">
        <v>7</v>
      </c>
      <c r="AF15" s="63">
        <v>8</v>
      </c>
      <c r="AG15" s="63">
        <v>9</v>
      </c>
      <c r="AH15" s="63">
        <v>10</v>
      </c>
      <c r="AI15" s="63">
        <v>11</v>
      </c>
      <c r="AJ15" s="63" t="s">
        <v>64</v>
      </c>
      <c r="AK15" s="63" t="s">
        <v>65</v>
      </c>
      <c r="AL15" s="63" t="s">
        <v>66</v>
      </c>
      <c r="AM15" s="63" t="s">
        <v>67</v>
      </c>
      <c r="AN15" s="63" t="s">
        <v>68</v>
      </c>
      <c r="AO15" s="63" t="s">
        <v>69</v>
      </c>
      <c r="AP15" s="63" t="s">
        <v>70</v>
      </c>
      <c r="AQ15" s="63" t="s">
        <v>76</v>
      </c>
      <c r="AR15" s="63" t="s">
        <v>78</v>
      </c>
      <c r="AS15" s="63" t="s">
        <v>79</v>
      </c>
      <c r="AT15" s="63" t="s">
        <v>101</v>
      </c>
      <c r="AU15" s="63" t="s">
        <v>108</v>
      </c>
      <c r="AV15" s="63" t="s">
        <v>109</v>
      </c>
      <c r="AW15" s="63" t="s">
        <v>133</v>
      </c>
      <c r="AX15" s="63" t="s">
        <v>134</v>
      </c>
      <c r="AY15" s="63" t="s">
        <v>135</v>
      </c>
      <c r="AZ15" s="63">
        <v>12</v>
      </c>
      <c r="BA15" s="63">
        <v>13</v>
      </c>
      <c r="BB15" s="63">
        <v>14</v>
      </c>
      <c r="BC15" s="63">
        <v>15</v>
      </c>
      <c r="BD15" s="63" t="s">
        <v>136</v>
      </c>
    </row>
    <row r="16" spans="1:61">
      <c r="B16" t="s">
        <v>188</v>
      </c>
      <c r="C16" t="s">
        <v>190</v>
      </c>
    </row>
    <row r="17" spans="1:16">
      <c r="B17" s="70" t="s">
        <v>189</v>
      </c>
      <c r="C17" s="70" t="s">
        <v>191</v>
      </c>
    </row>
    <row r="18" spans="1:16">
      <c r="B18" s="93" t="s">
        <v>262</v>
      </c>
      <c r="C18" s="93" t="s">
        <v>263</v>
      </c>
    </row>
    <row r="19" spans="1:16">
      <c r="B19" s="95"/>
      <c r="C19" s="95" t="s">
        <v>274</v>
      </c>
    </row>
    <row r="21" spans="1:16" s="50" customFormat="1">
      <c r="A21" s="78" t="str" cm="1">
        <f t="array" ref="A21:A75">TRANSPOSE(B15:BD15)</f>
        <v>A</v>
      </c>
      <c r="B21" s="36" t="s">
        <v>177</v>
      </c>
      <c r="C21"/>
      <c r="D21" t="s">
        <v>196</v>
      </c>
      <c r="E21"/>
      <c r="F21"/>
      <c r="P21"/>
    </row>
    <row r="22" spans="1:16" s="50" customFormat="1">
      <c r="A22" s="78" t="str">
        <v>B</v>
      </c>
      <c r="B22" s="36" t="s">
        <v>178</v>
      </c>
      <c r="C22"/>
      <c r="D22" t="s">
        <v>196</v>
      </c>
      <c r="E22"/>
      <c r="F22"/>
      <c r="P22"/>
    </row>
    <row r="23" spans="1:16" s="50" customFormat="1">
      <c r="A23" s="78" t="str">
        <v>C</v>
      </c>
      <c r="B23" s="73" t="s">
        <v>218</v>
      </c>
      <c r="C23"/>
      <c r="D23" t="s">
        <v>196</v>
      </c>
      <c r="E23"/>
      <c r="F23"/>
    </row>
    <row r="24" spans="1:16" s="50" customFormat="1">
      <c r="A24" s="78">
        <v>1</v>
      </c>
      <c r="B24" s="70" t="s">
        <v>99</v>
      </c>
      <c r="C24" s="70"/>
      <c r="D24" t="s">
        <v>196</v>
      </c>
      <c r="E24"/>
      <c r="F24"/>
      <c r="H24" s="98"/>
    </row>
    <row r="25" spans="1:16" s="50" customFormat="1">
      <c r="A25" s="78">
        <v>2</v>
      </c>
      <c r="B25" s="80" t="s">
        <v>221</v>
      </c>
      <c r="C25" s="70"/>
      <c r="D25" t="s">
        <v>196</v>
      </c>
      <c r="E25"/>
      <c r="F25"/>
    </row>
    <row r="26" spans="1:16" s="50" customFormat="1">
      <c r="A26" s="78" t="str">
        <v>D</v>
      </c>
      <c r="B26" s="36" t="s">
        <v>102</v>
      </c>
      <c r="C26"/>
      <c r="D26" t="s">
        <v>196</v>
      </c>
      <c r="E26"/>
      <c r="F26"/>
    </row>
    <row r="27" spans="1:16" s="50" customFormat="1">
      <c r="A27" s="78" t="str">
        <v>E</v>
      </c>
      <c r="B27" s="36" t="s">
        <v>173</v>
      </c>
      <c r="C27"/>
      <c r="D27" t="s">
        <v>196</v>
      </c>
      <c r="E27"/>
      <c r="F27"/>
    </row>
    <row r="28" spans="1:16" s="50" customFormat="1">
      <c r="A28" s="78" t="str">
        <v>F</v>
      </c>
      <c r="B28" s="36" t="s">
        <v>182</v>
      </c>
      <c r="C28"/>
      <c r="D28" t="s">
        <v>196</v>
      </c>
      <c r="E28"/>
      <c r="F28"/>
    </row>
    <row r="29" spans="1:16" s="50" customFormat="1">
      <c r="A29" s="78" t="str">
        <v>G</v>
      </c>
      <c r="B29" s="73" t="s">
        <v>270</v>
      </c>
      <c r="C29"/>
      <c r="D29" t="s">
        <v>196</v>
      </c>
      <c r="E29"/>
      <c r="F29"/>
    </row>
    <row r="30" spans="1:16" s="50" customFormat="1">
      <c r="A30" s="78" t="str">
        <v>H</v>
      </c>
      <c r="B30" s="36" t="s">
        <v>192</v>
      </c>
      <c r="C30"/>
      <c r="D30" t="s">
        <v>196</v>
      </c>
      <c r="E30"/>
      <c r="F30"/>
    </row>
    <row r="31" spans="1:16" s="50" customFormat="1">
      <c r="A31" s="78" t="str">
        <v>I</v>
      </c>
      <c r="B31" s="73" t="s">
        <v>208</v>
      </c>
      <c r="C31"/>
      <c r="D31" t="s">
        <v>196</v>
      </c>
      <c r="E31"/>
      <c r="F31"/>
    </row>
    <row r="32" spans="1:16" s="50" customFormat="1">
      <c r="A32" s="78" t="str">
        <v>XI</v>
      </c>
      <c r="B32" s="73" t="s">
        <v>240</v>
      </c>
      <c r="C32"/>
      <c r="D32" t="s">
        <v>196</v>
      </c>
      <c r="E32"/>
      <c r="F32"/>
    </row>
    <row r="33" spans="1:28" s="50" customFormat="1">
      <c r="A33" s="78" t="str">
        <v>J</v>
      </c>
      <c r="B33" s="73" t="s">
        <v>207</v>
      </c>
      <c r="C33"/>
      <c r="D33" t="s">
        <v>196</v>
      </c>
      <c r="E33"/>
      <c r="F33"/>
    </row>
    <row r="34" spans="1:28" s="50" customFormat="1">
      <c r="A34" s="78" t="str">
        <v>K</v>
      </c>
      <c r="B34" s="36" t="s">
        <v>209</v>
      </c>
      <c r="C34"/>
      <c r="D34" t="s">
        <v>196</v>
      </c>
      <c r="E34"/>
      <c r="F34"/>
    </row>
    <row r="35" spans="1:28">
      <c r="A35" s="79" t="str">
        <v>L</v>
      </c>
      <c r="B35" s="36" t="s">
        <v>179</v>
      </c>
      <c r="D35" t="s">
        <v>196</v>
      </c>
    </row>
    <row r="36" spans="1:28">
      <c r="A36" s="79" t="str">
        <v>M</v>
      </c>
      <c r="B36" s="36" t="s">
        <v>180</v>
      </c>
      <c r="D36" t="s">
        <v>196</v>
      </c>
    </row>
    <row r="37" spans="1:28">
      <c r="A37" s="79">
        <v>3</v>
      </c>
      <c r="B37" s="70" t="s">
        <v>185</v>
      </c>
      <c r="C37" s="70"/>
      <c r="D37" t="s">
        <v>196</v>
      </c>
    </row>
    <row r="38" spans="1:28">
      <c r="A38" s="79" t="str">
        <v>N</v>
      </c>
      <c r="B38" s="73" t="s">
        <v>217</v>
      </c>
      <c r="D38" t="s">
        <v>196</v>
      </c>
    </row>
    <row r="39" spans="1:28">
      <c r="A39" s="79" t="str">
        <v>O</v>
      </c>
      <c r="B39" s="73" t="s">
        <v>241</v>
      </c>
      <c r="D39" t="s">
        <v>196</v>
      </c>
    </row>
    <row r="40" spans="1:28">
      <c r="A40" s="79" t="str">
        <v>P</v>
      </c>
      <c r="B40" s="97" t="s">
        <v>183</v>
      </c>
      <c r="C40" s="95"/>
      <c r="D40" t="s">
        <v>196</v>
      </c>
    </row>
    <row r="41" spans="1:28">
      <c r="A41" s="79" t="str">
        <v>Q</v>
      </c>
      <c r="B41" s="97" t="s">
        <v>193</v>
      </c>
      <c r="C41" s="95"/>
      <c r="D41" t="s">
        <v>196</v>
      </c>
      <c r="AB41" s="99"/>
    </row>
    <row r="42" spans="1:28">
      <c r="A42" s="79">
        <v>16</v>
      </c>
      <c r="B42" s="36" t="s">
        <v>267</v>
      </c>
    </row>
    <row r="43" spans="1:28">
      <c r="A43" s="79">
        <v>17</v>
      </c>
      <c r="B43" s="36" t="s">
        <v>268</v>
      </c>
      <c r="AB43" s="99"/>
    </row>
    <row r="44" spans="1:28">
      <c r="A44" s="79">
        <v>4</v>
      </c>
      <c r="B44" s="81" t="s">
        <v>269</v>
      </c>
      <c r="C44" s="70"/>
      <c r="D44" t="s">
        <v>196</v>
      </c>
    </row>
    <row r="45" spans="1:28">
      <c r="A45" s="79">
        <v>5</v>
      </c>
      <c r="B45" s="81" t="s">
        <v>271</v>
      </c>
      <c r="C45" s="70"/>
      <c r="D45" t="s">
        <v>196</v>
      </c>
    </row>
    <row r="46" spans="1:28">
      <c r="A46" s="79" t="str">
        <v>R</v>
      </c>
      <c r="B46" s="73" t="s">
        <v>242</v>
      </c>
      <c r="D46" t="s">
        <v>196</v>
      </c>
    </row>
    <row r="47" spans="1:28">
      <c r="A47" s="79" t="str">
        <v>S</v>
      </c>
      <c r="B47" s="73" t="s">
        <v>216</v>
      </c>
      <c r="D47" t="s">
        <v>196</v>
      </c>
    </row>
    <row r="48" spans="1:28">
      <c r="A48" s="79" t="str">
        <v>T</v>
      </c>
      <c r="B48" s="73" t="s">
        <v>219</v>
      </c>
      <c r="D48" t="s">
        <v>196</v>
      </c>
    </row>
    <row r="49" spans="1:38">
      <c r="A49" s="79">
        <v>6</v>
      </c>
      <c r="B49" s="81" t="s">
        <v>210</v>
      </c>
      <c r="C49" s="70"/>
      <c r="D49" t="s">
        <v>196</v>
      </c>
    </row>
    <row r="50" spans="1:38">
      <c r="A50" s="79">
        <v>7</v>
      </c>
      <c r="B50" s="81" t="s">
        <v>211</v>
      </c>
      <c r="C50" s="70"/>
      <c r="D50" t="s">
        <v>196</v>
      </c>
      <c r="AL50" s="99"/>
    </row>
    <row r="51" spans="1:38">
      <c r="A51" s="79">
        <v>8</v>
      </c>
      <c r="B51" s="81" t="s">
        <v>212</v>
      </c>
      <c r="C51" s="70"/>
      <c r="D51" t="s">
        <v>196</v>
      </c>
      <c r="AL51" s="99"/>
    </row>
    <row r="52" spans="1:38">
      <c r="A52" s="79">
        <v>9</v>
      </c>
      <c r="B52" s="81" t="s">
        <v>213</v>
      </c>
      <c r="C52" s="70"/>
      <c r="D52" t="s">
        <v>196</v>
      </c>
    </row>
    <row r="53" spans="1:38">
      <c r="A53" s="79">
        <v>10</v>
      </c>
      <c r="B53" s="81" t="s">
        <v>214</v>
      </c>
      <c r="C53" s="70"/>
      <c r="D53" t="s">
        <v>196</v>
      </c>
    </row>
    <row r="54" spans="1:38">
      <c r="A54" s="79">
        <v>11</v>
      </c>
      <c r="B54" s="81" t="s">
        <v>215</v>
      </c>
      <c r="C54" s="70"/>
      <c r="D54" t="s">
        <v>196</v>
      </c>
    </row>
    <row r="55" spans="1:38">
      <c r="A55" s="79" t="str">
        <v>U</v>
      </c>
      <c r="B55" s="36" t="s">
        <v>220</v>
      </c>
      <c r="D55" t="s">
        <v>196</v>
      </c>
    </row>
    <row r="56" spans="1:38">
      <c r="A56" s="79" t="str">
        <v>V</v>
      </c>
      <c r="B56" s="36" t="s">
        <v>275</v>
      </c>
    </row>
    <row r="57" spans="1:38">
      <c r="A57" s="79" t="str">
        <v>W</v>
      </c>
      <c r="B57" s="73" t="s">
        <v>222</v>
      </c>
      <c r="D57" t="s">
        <v>196</v>
      </c>
    </row>
    <row r="58" spans="1:38">
      <c r="A58" s="79" t="str">
        <v>X</v>
      </c>
      <c r="B58" s="97" t="s">
        <v>223</v>
      </c>
      <c r="C58" s="95"/>
      <c r="D58" t="s">
        <v>196</v>
      </c>
    </row>
    <row r="59" spans="1:38">
      <c r="A59" s="79" t="str">
        <v>Y</v>
      </c>
      <c r="B59" s="97" t="s">
        <v>224</v>
      </c>
      <c r="C59" s="95"/>
      <c r="D59" t="s">
        <v>196</v>
      </c>
    </row>
    <row r="60" spans="1:38">
      <c r="A60" s="79" t="str">
        <v>Z</v>
      </c>
      <c r="B60" s="97" t="s">
        <v>225</v>
      </c>
      <c r="C60" s="95"/>
      <c r="D60" t="s">
        <v>196</v>
      </c>
    </row>
    <row r="61" spans="1:38">
      <c r="A61" s="79" t="str">
        <v>AA</v>
      </c>
      <c r="B61" s="97" t="s">
        <v>224</v>
      </c>
      <c r="C61" s="95"/>
      <c r="D61" t="s">
        <v>196</v>
      </c>
    </row>
    <row r="62" spans="1:38">
      <c r="A62" s="79" t="str">
        <v>AB</v>
      </c>
      <c r="B62" s="97" t="s">
        <v>225</v>
      </c>
      <c r="C62" s="95"/>
      <c r="D62" t="s">
        <v>196</v>
      </c>
    </row>
    <row r="63" spans="1:38">
      <c r="A63" s="79" t="str">
        <v>AC</v>
      </c>
      <c r="B63" s="97" t="s">
        <v>224</v>
      </c>
      <c r="C63" s="95"/>
      <c r="D63" t="s">
        <v>196</v>
      </c>
    </row>
    <row r="64" spans="1:38">
      <c r="A64" s="79" t="str">
        <v>AD</v>
      </c>
      <c r="B64" s="97" t="s">
        <v>225</v>
      </c>
      <c r="C64" s="95"/>
      <c r="D64" t="s">
        <v>196</v>
      </c>
    </row>
    <row r="65" spans="1:4">
      <c r="A65" s="79" t="str">
        <v>AE</v>
      </c>
      <c r="B65" s="97" t="s">
        <v>224</v>
      </c>
      <c r="C65" s="95"/>
      <c r="D65" t="s">
        <v>196</v>
      </c>
    </row>
    <row r="66" spans="1:4">
      <c r="A66" s="79" t="str">
        <v>AF</v>
      </c>
      <c r="B66" s="97" t="s">
        <v>225</v>
      </c>
      <c r="C66" s="95"/>
      <c r="D66" t="s">
        <v>196</v>
      </c>
    </row>
    <row r="67" spans="1:4">
      <c r="A67" s="79" t="str">
        <v>AG</v>
      </c>
      <c r="B67" s="73" t="s">
        <v>229</v>
      </c>
      <c r="D67" t="s">
        <v>196</v>
      </c>
    </row>
    <row r="68" spans="1:4">
      <c r="A68" s="79" t="str">
        <v>AH</v>
      </c>
      <c r="B68" s="73" t="s">
        <v>228</v>
      </c>
      <c r="D68" t="s">
        <v>196</v>
      </c>
    </row>
    <row r="69" spans="1:4">
      <c r="A69" s="79" t="str">
        <v>AI</v>
      </c>
      <c r="B69" s="73" t="s">
        <v>250</v>
      </c>
      <c r="D69" t="s">
        <v>196</v>
      </c>
    </row>
    <row r="70" spans="1:4">
      <c r="A70" s="83" t="str">
        <v>AJ</v>
      </c>
      <c r="B70" s="73" t="s">
        <v>227</v>
      </c>
      <c r="D70" t="s">
        <v>196</v>
      </c>
    </row>
    <row r="71" spans="1:4">
      <c r="A71" s="83">
        <v>12</v>
      </c>
      <c r="B71" s="84" t="s">
        <v>234</v>
      </c>
      <c r="C71" s="70"/>
      <c r="D71" t="s">
        <v>196</v>
      </c>
    </row>
    <row r="72" spans="1:4">
      <c r="A72" s="83">
        <v>13</v>
      </c>
      <c r="B72" s="84" t="s">
        <v>235</v>
      </c>
      <c r="C72" s="70"/>
      <c r="D72" t="s">
        <v>196</v>
      </c>
    </row>
    <row r="73" spans="1:4">
      <c r="A73" s="83">
        <v>14</v>
      </c>
      <c r="B73" s="84" t="s">
        <v>236</v>
      </c>
      <c r="C73" s="70"/>
      <c r="D73" t="s">
        <v>196</v>
      </c>
    </row>
    <row r="74" spans="1:4">
      <c r="A74" s="83">
        <v>15</v>
      </c>
      <c r="B74" s="70" t="s">
        <v>237</v>
      </c>
      <c r="C74" s="70"/>
      <c r="D74" t="s">
        <v>196</v>
      </c>
    </row>
    <row r="75" spans="1:4">
      <c r="A75" s="83" t="str">
        <v>AK</v>
      </c>
      <c r="B75" s="97" t="s">
        <v>226</v>
      </c>
      <c r="C75" s="95"/>
      <c r="D75" t="s">
        <v>196</v>
      </c>
    </row>
  </sheetData>
  <mergeCells count="9">
    <mergeCell ref="AL1:AL2"/>
    <mergeCell ref="BD1:BD2"/>
    <mergeCell ref="A1:A2"/>
    <mergeCell ref="B1:B2"/>
    <mergeCell ref="C1:C2"/>
    <mergeCell ref="D1:D2"/>
    <mergeCell ref="AJ1:AJ2"/>
    <mergeCell ref="AK1:AK2"/>
    <mergeCell ref="T1:T2"/>
  </mergeCells>
  <phoneticPr fontId="11" type="noConversion"/>
  <dataValidations count="1">
    <dataValidation type="list" allowBlank="1" showInputMessage="1" showErrorMessage="1" sqref="BD3:BD14" xr:uid="{8524E876-6BD3-4C93-81D7-3D3B7E5807B2}">
      <formula1>$BF$2:$BF$12</formula1>
    </dataValidation>
  </dataValidations>
  <pageMargins left="0.7" right="0.7" top="0.75" bottom="0.75" header="0.3" footer="0.3"/>
  <pageSetup paperSize="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STD SAP</vt:lpstr>
      <vt:lpstr>STD COBB</vt:lpstr>
      <vt:lpstr>Simulasi IBOCS</vt:lpstr>
      <vt:lpstr>Layout IBOCS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admin3</dc:creator>
  <cp:lastModifiedBy>ThinkPad</cp:lastModifiedBy>
  <dcterms:created xsi:type="dcterms:W3CDTF">2026-04-22T02:40:42Z</dcterms:created>
  <dcterms:modified xsi:type="dcterms:W3CDTF">2026-09-30T02:45:39Z</dcterms:modified>
</cp:coreProperties>
</file>